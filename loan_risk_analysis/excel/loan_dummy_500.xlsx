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24226"/>
  <mc:AlternateContent xmlns:mc="http://schemas.openxmlformats.org/markup-compatibility/2006">
    <mc:Choice Requires="x15">
      <x15ac:absPath xmlns:x15ac="http://schemas.microsoft.com/office/spreadsheetml/2010/11/ac" url="https://d.docs.live.net/719209813a8b631b/Career/01. Excel/"/>
    </mc:Choice>
  </mc:AlternateContent>
  <xr:revisionPtr revIDLastSave="1303" documentId="11_BE863FC86241E9264E246FFB0D1DD01F502A38F3" xr6:coauthVersionLast="47" xr6:coauthVersionMax="47" xr10:uidLastSave="{27093582-F878-42FC-A0B8-4BEA6AA84FE2}"/>
  <bookViews>
    <workbookView xWindow="0" yWindow="740" windowWidth="29400" windowHeight="18380" firstSheet="3" activeTab="4" xr2:uid="{00000000-000D-0000-FFFF-FFFF00000000}"/>
  </bookViews>
  <sheets>
    <sheet name="Sheet1" sheetId="8" r:id="rId1"/>
    <sheet name="01. Business Questions" sheetId="5" r:id="rId2"/>
    <sheet name="02. Raw" sheetId="4" r:id="rId3"/>
    <sheet name="03. Data Prep" sheetId="1" r:id="rId4"/>
    <sheet name="04. Analysis" sheetId="6" r:id="rId5"/>
    <sheet name="05. Dasboard" sheetId="7" r:id="rId6"/>
    <sheet name="summary" sheetId="3" r:id="rId7"/>
    <sheet name="Business Questions" sheetId="2" r:id="rId8"/>
  </sheets>
  <definedNames>
    <definedName name="_xlnm._FilterDatabase" localSheetId="4" hidden="1">'04. Analysis'!$C$96:$D$101</definedName>
  </definedNames>
  <calcPr calcId="191028"/>
  <pivotCaches>
    <pivotCache cacheId="7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9" i="6" l="1"/>
  <c r="J90" i="6"/>
  <c r="J91" i="6"/>
  <c r="J92" i="6"/>
  <c r="J88" i="6"/>
  <c r="F89" i="6"/>
  <c r="F90" i="6"/>
  <c r="F91" i="6"/>
  <c r="F92" i="6"/>
  <c r="F88" i="6"/>
  <c r="O21" i="6"/>
  <c r="O22" i="6"/>
  <c r="O23" i="6"/>
  <c r="O20" i="6"/>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AW45" i="1"/>
  <c r="AW46" i="1"/>
  <c r="AW47" i="1"/>
  <c r="AW48" i="1"/>
  <c r="AW49" i="1"/>
  <c r="AW50" i="1"/>
  <c r="AW51" i="1"/>
  <c r="AW52" i="1"/>
  <c r="AW53" i="1"/>
  <c r="AW54" i="1"/>
  <c r="AW55" i="1"/>
  <c r="AW56" i="1"/>
  <c r="AW57" i="1"/>
  <c r="AW58" i="1"/>
  <c r="AW59" i="1"/>
  <c r="AW60" i="1"/>
  <c r="AW61" i="1"/>
  <c r="AW62" i="1"/>
  <c r="AW63" i="1"/>
  <c r="AW64" i="1"/>
  <c r="AW65" i="1"/>
  <c r="AW66" i="1"/>
  <c r="AW67" i="1"/>
  <c r="AW68" i="1"/>
  <c r="AW69" i="1"/>
  <c r="AW70" i="1"/>
  <c r="AW71" i="1"/>
  <c r="AW72" i="1"/>
  <c r="AW73" i="1"/>
  <c r="AW74" i="1"/>
  <c r="AW75" i="1"/>
  <c r="AW76" i="1"/>
  <c r="AW77" i="1"/>
  <c r="AW78" i="1"/>
  <c r="AW79" i="1"/>
  <c r="AW80" i="1"/>
  <c r="AW81" i="1"/>
  <c r="AW82" i="1"/>
  <c r="AW83" i="1"/>
  <c r="AW84" i="1"/>
  <c r="AW85" i="1"/>
  <c r="AW86" i="1"/>
  <c r="AW87" i="1"/>
  <c r="AW88" i="1"/>
  <c r="AW89" i="1"/>
  <c r="AW90" i="1"/>
  <c r="AW91" i="1"/>
  <c r="AW92" i="1"/>
  <c r="AW93" i="1"/>
  <c r="AW94" i="1"/>
  <c r="AW95" i="1"/>
  <c r="AW96" i="1"/>
  <c r="AW97" i="1"/>
  <c r="AW98" i="1"/>
  <c r="AW99" i="1"/>
  <c r="AW100" i="1"/>
  <c r="AW101" i="1"/>
  <c r="AW102" i="1"/>
  <c r="AW103" i="1"/>
  <c r="AW104" i="1"/>
  <c r="AW105" i="1"/>
  <c r="AW106" i="1"/>
  <c r="AW107" i="1"/>
  <c r="AW108" i="1"/>
  <c r="AW109" i="1"/>
  <c r="AW110" i="1"/>
  <c r="AW111" i="1"/>
  <c r="AW112" i="1"/>
  <c r="AW113" i="1"/>
  <c r="AW114" i="1"/>
  <c r="AW115" i="1"/>
  <c r="AW116" i="1"/>
  <c r="AW117" i="1"/>
  <c r="AW118" i="1"/>
  <c r="AW119" i="1"/>
  <c r="AW120" i="1"/>
  <c r="AW121" i="1"/>
  <c r="AW122" i="1"/>
  <c r="AW123" i="1"/>
  <c r="AW124" i="1"/>
  <c r="AW125" i="1"/>
  <c r="AW126" i="1"/>
  <c r="AW127" i="1"/>
  <c r="AW128" i="1"/>
  <c r="AW129" i="1"/>
  <c r="AW130" i="1"/>
  <c r="AW131" i="1"/>
  <c r="AW132" i="1"/>
  <c r="AW133" i="1"/>
  <c r="AW134" i="1"/>
  <c r="AW135" i="1"/>
  <c r="AW136" i="1"/>
  <c r="AW137" i="1"/>
  <c r="AW138" i="1"/>
  <c r="AW139" i="1"/>
  <c r="AW140" i="1"/>
  <c r="AW141" i="1"/>
  <c r="AW142" i="1"/>
  <c r="AW143" i="1"/>
  <c r="AW144" i="1"/>
  <c r="AW145" i="1"/>
  <c r="AW146" i="1"/>
  <c r="AW147" i="1"/>
  <c r="AW148" i="1"/>
  <c r="AW149" i="1"/>
  <c r="AW150" i="1"/>
  <c r="AW151" i="1"/>
  <c r="AW152" i="1"/>
  <c r="AW153" i="1"/>
  <c r="AW154" i="1"/>
  <c r="AW155" i="1"/>
  <c r="AW156" i="1"/>
  <c r="AW157" i="1"/>
  <c r="AW158" i="1"/>
  <c r="AW159" i="1"/>
  <c r="AW160" i="1"/>
  <c r="AW161" i="1"/>
  <c r="AW162" i="1"/>
  <c r="AW163" i="1"/>
  <c r="AW164" i="1"/>
  <c r="AW165" i="1"/>
  <c r="AW166" i="1"/>
  <c r="AW167" i="1"/>
  <c r="AW168" i="1"/>
  <c r="AW169" i="1"/>
  <c r="AW170" i="1"/>
  <c r="AW171" i="1"/>
  <c r="AW172" i="1"/>
  <c r="AW173" i="1"/>
  <c r="AW174" i="1"/>
  <c r="AW175" i="1"/>
  <c r="AW176" i="1"/>
  <c r="AW177" i="1"/>
  <c r="AW178" i="1"/>
  <c r="AW179" i="1"/>
  <c r="AW180" i="1"/>
  <c r="AW181" i="1"/>
  <c r="AW182" i="1"/>
  <c r="AW183" i="1"/>
  <c r="AW184" i="1"/>
  <c r="AW185" i="1"/>
  <c r="AW186" i="1"/>
  <c r="AW187" i="1"/>
  <c r="AW188" i="1"/>
  <c r="AW189" i="1"/>
  <c r="AW190" i="1"/>
  <c r="AW191" i="1"/>
  <c r="AW192" i="1"/>
  <c r="AW193" i="1"/>
  <c r="AW194" i="1"/>
  <c r="AW195" i="1"/>
  <c r="AW196" i="1"/>
  <c r="AW197" i="1"/>
  <c r="AW198" i="1"/>
  <c r="AW199" i="1"/>
  <c r="AW200" i="1"/>
  <c r="AW201" i="1"/>
  <c r="AW202" i="1"/>
  <c r="AW203" i="1"/>
  <c r="AW204" i="1"/>
  <c r="AW205" i="1"/>
  <c r="AW206" i="1"/>
  <c r="AW207" i="1"/>
  <c r="AW208" i="1"/>
  <c r="AW209" i="1"/>
  <c r="AW210" i="1"/>
  <c r="AW211" i="1"/>
  <c r="AW212" i="1"/>
  <c r="AW213" i="1"/>
  <c r="AW214" i="1"/>
  <c r="AW215" i="1"/>
  <c r="AW216" i="1"/>
  <c r="AW217" i="1"/>
  <c r="AW218" i="1"/>
  <c r="AW219" i="1"/>
  <c r="AW220" i="1"/>
  <c r="AW221" i="1"/>
  <c r="AW222" i="1"/>
  <c r="AW223" i="1"/>
  <c r="AW224" i="1"/>
  <c r="AW225" i="1"/>
  <c r="AW226" i="1"/>
  <c r="AW227" i="1"/>
  <c r="AW228" i="1"/>
  <c r="AW229" i="1"/>
  <c r="AW230" i="1"/>
  <c r="AW231" i="1"/>
  <c r="AW232" i="1"/>
  <c r="AW233" i="1"/>
  <c r="AW234" i="1"/>
  <c r="AW235" i="1"/>
  <c r="AW236" i="1"/>
  <c r="AW237" i="1"/>
  <c r="AW238" i="1"/>
  <c r="AW239" i="1"/>
  <c r="AW240" i="1"/>
  <c r="AW241" i="1"/>
  <c r="AW242" i="1"/>
  <c r="AW243" i="1"/>
  <c r="AW244" i="1"/>
  <c r="AW245" i="1"/>
  <c r="AW246" i="1"/>
  <c r="AW247" i="1"/>
  <c r="AW248" i="1"/>
  <c r="AW249" i="1"/>
  <c r="AW250" i="1"/>
  <c r="AW251" i="1"/>
  <c r="AW252" i="1"/>
  <c r="AW253" i="1"/>
  <c r="AW254" i="1"/>
  <c r="AW255" i="1"/>
  <c r="AW256" i="1"/>
  <c r="AW257" i="1"/>
  <c r="AW258" i="1"/>
  <c r="AW259" i="1"/>
  <c r="AW260" i="1"/>
  <c r="AW261" i="1"/>
  <c r="AW262" i="1"/>
  <c r="AW263" i="1"/>
  <c r="AW264" i="1"/>
  <c r="AW265" i="1"/>
  <c r="AW266" i="1"/>
  <c r="AW267" i="1"/>
  <c r="AW268" i="1"/>
  <c r="AW269" i="1"/>
  <c r="AW270" i="1"/>
  <c r="AW271" i="1"/>
  <c r="AW272" i="1"/>
  <c r="AW273" i="1"/>
  <c r="AW274" i="1"/>
  <c r="AW275" i="1"/>
  <c r="AW276" i="1"/>
  <c r="AW277" i="1"/>
  <c r="AW278" i="1"/>
  <c r="AW279" i="1"/>
  <c r="AW280" i="1"/>
  <c r="AW281" i="1"/>
  <c r="AW282" i="1"/>
  <c r="AW283" i="1"/>
  <c r="AW284" i="1"/>
  <c r="AW285" i="1"/>
  <c r="AW286" i="1"/>
  <c r="AW287" i="1"/>
  <c r="AW288" i="1"/>
  <c r="AW289" i="1"/>
  <c r="AW290" i="1"/>
  <c r="AW291" i="1"/>
  <c r="AW292" i="1"/>
  <c r="AW293" i="1"/>
  <c r="AW294" i="1"/>
  <c r="AW295" i="1"/>
  <c r="AW296" i="1"/>
  <c r="AW297" i="1"/>
  <c r="AW298" i="1"/>
  <c r="AW299" i="1"/>
  <c r="AW300" i="1"/>
  <c r="AW301" i="1"/>
  <c r="AW302" i="1"/>
  <c r="AW303" i="1"/>
  <c r="AW304" i="1"/>
  <c r="AW305" i="1"/>
  <c r="AW306" i="1"/>
  <c r="AW307" i="1"/>
  <c r="AW308" i="1"/>
  <c r="AW309" i="1"/>
  <c r="AW310" i="1"/>
  <c r="AW311" i="1"/>
  <c r="AW312" i="1"/>
  <c r="AW313" i="1"/>
  <c r="AW314" i="1"/>
  <c r="AW315" i="1"/>
  <c r="AW316" i="1"/>
  <c r="AW317" i="1"/>
  <c r="AW318" i="1"/>
  <c r="AW319" i="1"/>
  <c r="AW320" i="1"/>
  <c r="AW321" i="1"/>
  <c r="AW322" i="1"/>
  <c r="AW323" i="1"/>
  <c r="AW324" i="1"/>
  <c r="AW325" i="1"/>
  <c r="AW326" i="1"/>
  <c r="AW327" i="1"/>
  <c r="AW328" i="1"/>
  <c r="AW329" i="1"/>
  <c r="AW330" i="1"/>
  <c r="AW331" i="1"/>
  <c r="AW332" i="1"/>
  <c r="AW333" i="1"/>
  <c r="AW334" i="1"/>
  <c r="AW335" i="1"/>
  <c r="AW336" i="1"/>
  <c r="AW337" i="1"/>
  <c r="AW338" i="1"/>
  <c r="AW339" i="1"/>
  <c r="AW340" i="1"/>
  <c r="AW341" i="1"/>
  <c r="AW342" i="1"/>
  <c r="AW343" i="1"/>
  <c r="AW344" i="1"/>
  <c r="AW345" i="1"/>
  <c r="AW346" i="1"/>
  <c r="AW347" i="1"/>
  <c r="AW348" i="1"/>
  <c r="AW349" i="1"/>
  <c r="AW350" i="1"/>
  <c r="AW351" i="1"/>
  <c r="AW352" i="1"/>
  <c r="AW353" i="1"/>
  <c r="AW354" i="1"/>
  <c r="AW355" i="1"/>
  <c r="AW356" i="1"/>
  <c r="AW357" i="1"/>
  <c r="AW358" i="1"/>
  <c r="AW359" i="1"/>
  <c r="AW360" i="1"/>
  <c r="AW361" i="1"/>
  <c r="AW362" i="1"/>
  <c r="AW363" i="1"/>
  <c r="AW364" i="1"/>
  <c r="AW365" i="1"/>
  <c r="AW366" i="1"/>
  <c r="AW367" i="1"/>
  <c r="AW368" i="1"/>
  <c r="AW369" i="1"/>
  <c r="AW370" i="1"/>
  <c r="AW371" i="1"/>
  <c r="AW372" i="1"/>
  <c r="AW373" i="1"/>
  <c r="AW374" i="1"/>
  <c r="AW375" i="1"/>
  <c r="AW376" i="1"/>
  <c r="AW377" i="1"/>
  <c r="AW378" i="1"/>
  <c r="AW379" i="1"/>
  <c r="AW380" i="1"/>
  <c r="AW381" i="1"/>
  <c r="AW382" i="1"/>
  <c r="AW383" i="1"/>
  <c r="AW384" i="1"/>
  <c r="AW385" i="1"/>
  <c r="AW386" i="1"/>
  <c r="AW387" i="1"/>
  <c r="AW388" i="1"/>
  <c r="AW389" i="1"/>
  <c r="AW390" i="1"/>
  <c r="AW391" i="1"/>
  <c r="AW392" i="1"/>
  <c r="AW393" i="1"/>
  <c r="AW394" i="1"/>
  <c r="AW395" i="1"/>
  <c r="AW396" i="1"/>
  <c r="AW397" i="1"/>
  <c r="AW398" i="1"/>
  <c r="AW399" i="1"/>
  <c r="AW400" i="1"/>
  <c r="AW401" i="1"/>
  <c r="AW402" i="1"/>
  <c r="AW403" i="1"/>
  <c r="AW404" i="1"/>
  <c r="AW405" i="1"/>
  <c r="AW406" i="1"/>
  <c r="AW407" i="1"/>
  <c r="AW408" i="1"/>
  <c r="AW409" i="1"/>
  <c r="AW410" i="1"/>
  <c r="AW411" i="1"/>
  <c r="AW412" i="1"/>
  <c r="AW413" i="1"/>
  <c r="AW414" i="1"/>
  <c r="AW415" i="1"/>
  <c r="AW416" i="1"/>
  <c r="AW417" i="1"/>
  <c r="AW418" i="1"/>
  <c r="AW419" i="1"/>
  <c r="AW420" i="1"/>
  <c r="AW421" i="1"/>
  <c r="AW422" i="1"/>
  <c r="AW423" i="1"/>
  <c r="AW424" i="1"/>
  <c r="AW425" i="1"/>
  <c r="AW426" i="1"/>
  <c r="AW427" i="1"/>
  <c r="AW428" i="1"/>
  <c r="AW429" i="1"/>
  <c r="AW430" i="1"/>
  <c r="AW431" i="1"/>
  <c r="AW432" i="1"/>
  <c r="AW433" i="1"/>
  <c r="AW434" i="1"/>
  <c r="AW435" i="1"/>
  <c r="AW436" i="1"/>
  <c r="AW437" i="1"/>
  <c r="AW438" i="1"/>
  <c r="AW439" i="1"/>
  <c r="AW440" i="1"/>
  <c r="AW441" i="1"/>
  <c r="AW442" i="1"/>
  <c r="AW443" i="1"/>
  <c r="AW444" i="1"/>
  <c r="AW445" i="1"/>
  <c r="AW446" i="1"/>
  <c r="AW447" i="1"/>
  <c r="AW448" i="1"/>
  <c r="AW449" i="1"/>
  <c r="AW450" i="1"/>
  <c r="AW451" i="1"/>
  <c r="AW452" i="1"/>
  <c r="AW453" i="1"/>
  <c r="AW454" i="1"/>
  <c r="AW455" i="1"/>
  <c r="AW456" i="1"/>
  <c r="AW457" i="1"/>
  <c r="AW458" i="1"/>
  <c r="AW459" i="1"/>
  <c r="AW460" i="1"/>
  <c r="AW461" i="1"/>
  <c r="AW462" i="1"/>
  <c r="AW463" i="1"/>
  <c r="AW464" i="1"/>
  <c r="AW465" i="1"/>
  <c r="AW466" i="1"/>
  <c r="AW467" i="1"/>
  <c r="AW468" i="1"/>
  <c r="AW469" i="1"/>
  <c r="AW470" i="1"/>
  <c r="AW471" i="1"/>
  <c r="AW472" i="1"/>
  <c r="AW473" i="1"/>
  <c r="AW474" i="1"/>
  <c r="AW475" i="1"/>
  <c r="AW476" i="1"/>
  <c r="AW477" i="1"/>
  <c r="AW478" i="1"/>
  <c r="AW479" i="1"/>
  <c r="AW480" i="1"/>
  <c r="AW481" i="1"/>
  <c r="AW482" i="1"/>
  <c r="AW483" i="1"/>
  <c r="AW484" i="1"/>
  <c r="AW485" i="1"/>
  <c r="AW486" i="1"/>
  <c r="AW487" i="1"/>
  <c r="AW488" i="1"/>
  <c r="AW489" i="1"/>
  <c r="AW490" i="1"/>
  <c r="AW491" i="1"/>
  <c r="AW492" i="1"/>
  <c r="AW493" i="1"/>
  <c r="AW494" i="1"/>
  <c r="AW495" i="1"/>
  <c r="AW496" i="1"/>
  <c r="AW497" i="1"/>
  <c r="AW498" i="1"/>
  <c r="AW499" i="1"/>
  <c r="AW500" i="1"/>
  <c r="AW501" i="1"/>
  <c r="AW502" i="1"/>
  <c r="AW503" i="1"/>
  <c r="AW504" i="1"/>
  <c r="AW505" i="1"/>
  <c r="AW506" i="1"/>
  <c r="AW507" i="1"/>
  <c r="AW508" i="1"/>
  <c r="AW509" i="1"/>
  <c r="AW510" i="1"/>
  <c r="AW511" i="1"/>
  <c r="AW512" i="1"/>
  <c r="AW513" i="1"/>
  <c r="AW514" i="1"/>
  <c r="AW515" i="1"/>
  <c r="AW516" i="1"/>
  <c r="AW517" i="1"/>
  <c r="D10" i="6"/>
  <c r="D11" i="6"/>
  <c r="D9" i="6"/>
  <c r="D8" i="6"/>
  <c r="D7" i="6"/>
  <c r="D6" i="6"/>
  <c r="BB96" i="1" a="1"/>
  <c r="AY107" i="1" a="1"/>
  <c r="AY102" i="1" a="1"/>
  <c r="BC86" i="1"/>
  <c r="AY96" i="1" a="1"/>
  <c r="BC66" i="1"/>
  <c r="BD66" i="1"/>
  <c r="BE66" i="1"/>
  <c r="BF66" i="1"/>
  <c r="BG66" i="1"/>
  <c r="BH66" i="1"/>
  <c r="BC67" i="1"/>
  <c r="BD67" i="1"/>
  <c r="BE67" i="1"/>
  <c r="BF67" i="1"/>
  <c r="BG67" i="1"/>
  <c r="BH67" i="1"/>
  <c r="BC68" i="1"/>
  <c r="BD68" i="1"/>
  <c r="BE68" i="1"/>
  <c r="BF68" i="1"/>
  <c r="BG68" i="1"/>
  <c r="BH68" i="1"/>
  <c r="BC69" i="1"/>
  <c r="BD69" i="1"/>
  <c r="BE69" i="1"/>
  <c r="BF69" i="1"/>
  <c r="BG69" i="1"/>
  <c r="BH69" i="1"/>
  <c r="BC70" i="1"/>
  <c r="BD70" i="1"/>
  <c r="BE70" i="1"/>
  <c r="BF70" i="1"/>
  <c r="BG70" i="1"/>
  <c r="BH70" i="1"/>
  <c r="BC71" i="1"/>
  <c r="BD71" i="1"/>
  <c r="BE71" i="1"/>
  <c r="BF71" i="1"/>
  <c r="BG71" i="1"/>
  <c r="BH71" i="1"/>
  <c r="BC72" i="1"/>
  <c r="BD72" i="1"/>
  <c r="BE72" i="1"/>
  <c r="BF72" i="1"/>
  <c r="BG72" i="1"/>
  <c r="BH72" i="1"/>
  <c r="BC73" i="1"/>
  <c r="BD73" i="1"/>
  <c r="BE73" i="1"/>
  <c r="BF73" i="1"/>
  <c r="BG73" i="1"/>
  <c r="BH73" i="1"/>
  <c r="BC74" i="1"/>
  <c r="BD74" i="1"/>
  <c r="BE74" i="1"/>
  <c r="BF74" i="1"/>
  <c r="BG74" i="1"/>
  <c r="BH74" i="1"/>
  <c r="BC75" i="1"/>
  <c r="BD75" i="1"/>
  <c r="BE75" i="1"/>
  <c r="BF75" i="1"/>
  <c r="BG75" i="1"/>
  <c r="BH75" i="1"/>
  <c r="BC76" i="1"/>
  <c r="BD76" i="1"/>
  <c r="BE76" i="1"/>
  <c r="BF76" i="1"/>
  <c r="BG76" i="1"/>
  <c r="BH76" i="1"/>
  <c r="BC77" i="1"/>
  <c r="BD77" i="1"/>
  <c r="BE77" i="1"/>
  <c r="BF77" i="1"/>
  <c r="BG77" i="1"/>
  <c r="BH77" i="1"/>
  <c r="BC78" i="1"/>
  <c r="BD78" i="1"/>
  <c r="BE78" i="1"/>
  <c r="BF78" i="1"/>
  <c r="BG78" i="1"/>
  <c r="BH78" i="1"/>
  <c r="BC79" i="1"/>
  <c r="BD79" i="1"/>
  <c r="BE79" i="1"/>
  <c r="BF79" i="1"/>
  <c r="BG79" i="1"/>
  <c r="BH79" i="1"/>
  <c r="BC80" i="1"/>
  <c r="BD80" i="1"/>
  <c r="BE80" i="1"/>
  <c r="BF80" i="1"/>
  <c r="BG80" i="1"/>
  <c r="BH80" i="1"/>
  <c r="BC81" i="1"/>
  <c r="BD81" i="1"/>
  <c r="BE81" i="1"/>
  <c r="BF81" i="1"/>
  <c r="BG81" i="1"/>
  <c r="BH81" i="1"/>
  <c r="BC65" i="1"/>
  <c r="BD65" i="1"/>
  <c r="BH65" i="1"/>
  <c r="BG65" i="1"/>
  <c r="BF65" i="1"/>
  <c r="BE65" i="1"/>
  <c r="BB65" i="1"/>
  <c r="BB66" i="1"/>
  <c r="BB67" i="1"/>
  <c r="BB68" i="1"/>
  <c r="BB69" i="1"/>
  <c r="BB70" i="1"/>
  <c r="BB71" i="1"/>
  <c r="BB72" i="1"/>
  <c r="BB73" i="1"/>
  <c r="BB74" i="1"/>
  <c r="BB75" i="1"/>
  <c r="BB76" i="1"/>
  <c r="BB77" i="1"/>
  <c r="BB78" i="1"/>
  <c r="BB79" i="1"/>
  <c r="BB80" i="1"/>
  <c r="BB81" i="1"/>
  <c r="BA66" i="1"/>
  <c r="BA67" i="1"/>
  <c r="BA68" i="1"/>
  <c r="BA69" i="1"/>
  <c r="BA70" i="1"/>
  <c r="BA71" i="1"/>
  <c r="BA72" i="1"/>
  <c r="BA73" i="1"/>
  <c r="BA74" i="1"/>
  <c r="BA75" i="1"/>
  <c r="BA76" i="1"/>
  <c r="BA77" i="1"/>
  <c r="BA78" i="1"/>
  <c r="BA79" i="1"/>
  <c r="BA80" i="1"/>
  <c r="BA81" i="1"/>
  <c r="BA65" i="1"/>
  <c r="AZ65" i="1"/>
  <c r="AZ66" i="1"/>
  <c r="AZ67" i="1"/>
  <c r="AZ68" i="1"/>
  <c r="AZ69" i="1"/>
  <c r="AZ70" i="1"/>
  <c r="AZ71" i="1"/>
  <c r="AZ72" i="1"/>
  <c r="AZ73" i="1"/>
  <c r="AZ74" i="1"/>
  <c r="AZ75" i="1"/>
  <c r="AZ76" i="1"/>
  <c r="AZ77" i="1"/>
  <c r="AZ78" i="1"/>
  <c r="AZ79" i="1"/>
  <c r="AZ80" i="1"/>
  <c r="AZ81" i="1"/>
  <c r="BA60" i="1"/>
  <c r="BA59" i="1"/>
  <c r="BA57" i="1"/>
  <c r="BA56" i="1"/>
  <c r="BA55"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154" i="1"/>
  <c r="AV155" i="1"/>
  <c r="AV156" i="1"/>
  <c r="AV157" i="1"/>
  <c r="AV158" i="1"/>
  <c r="AV159" i="1"/>
  <c r="AV160" i="1"/>
  <c r="AV161" i="1"/>
  <c r="AV162" i="1"/>
  <c r="AV163" i="1"/>
  <c r="AV164" i="1"/>
  <c r="AV165" i="1"/>
  <c r="AV166" i="1"/>
  <c r="AV167" i="1"/>
  <c r="AV168" i="1"/>
  <c r="AV169" i="1"/>
  <c r="AV170" i="1"/>
  <c r="AV171" i="1"/>
  <c r="AV172" i="1"/>
  <c r="AV173" i="1"/>
  <c r="AV174" i="1"/>
  <c r="AV175" i="1"/>
  <c r="AV176" i="1"/>
  <c r="AV177" i="1"/>
  <c r="AV178" i="1"/>
  <c r="AV179" i="1"/>
  <c r="AV180" i="1"/>
  <c r="AV181" i="1"/>
  <c r="AV182" i="1"/>
  <c r="AV183" i="1"/>
  <c r="AV184" i="1"/>
  <c r="AV185" i="1"/>
  <c r="AV186" i="1"/>
  <c r="AV187" i="1"/>
  <c r="AV188" i="1"/>
  <c r="AV189" i="1"/>
  <c r="AV190" i="1"/>
  <c r="AV191" i="1"/>
  <c r="AV192" i="1"/>
  <c r="AV193" i="1"/>
  <c r="AV194" i="1"/>
  <c r="AV195" i="1"/>
  <c r="AV196" i="1"/>
  <c r="AV197" i="1"/>
  <c r="AV198" i="1"/>
  <c r="AV199" i="1"/>
  <c r="AV200" i="1"/>
  <c r="AV201" i="1"/>
  <c r="AV202" i="1"/>
  <c r="AV203" i="1"/>
  <c r="AV204" i="1"/>
  <c r="AV205" i="1"/>
  <c r="AV206" i="1"/>
  <c r="AV207" i="1"/>
  <c r="AV208" i="1"/>
  <c r="AV209" i="1"/>
  <c r="AV210" i="1"/>
  <c r="AV211" i="1"/>
  <c r="AV212" i="1"/>
  <c r="AV213" i="1"/>
  <c r="AV214" i="1"/>
  <c r="AV215" i="1"/>
  <c r="AV216" i="1"/>
  <c r="AV217" i="1"/>
  <c r="AV218" i="1"/>
  <c r="AV219" i="1"/>
  <c r="AV220" i="1"/>
  <c r="AV221" i="1"/>
  <c r="AV222" i="1"/>
  <c r="AV223" i="1"/>
  <c r="AV224" i="1"/>
  <c r="AV225" i="1"/>
  <c r="AV226" i="1"/>
  <c r="AV227" i="1"/>
  <c r="AV228" i="1"/>
  <c r="AV229" i="1"/>
  <c r="AV230" i="1"/>
  <c r="AV231" i="1"/>
  <c r="AV232" i="1"/>
  <c r="AV233" i="1"/>
  <c r="AV234" i="1"/>
  <c r="AV235" i="1"/>
  <c r="AV236" i="1"/>
  <c r="AV237" i="1"/>
  <c r="AV238" i="1"/>
  <c r="AV239" i="1"/>
  <c r="AV240" i="1"/>
  <c r="AV241" i="1"/>
  <c r="AV242" i="1"/>
  <c r="AV243" i="1"/>
  <c r="AV244" i="1"/>
  <c r="AV245" i="1"/>
  <c r="AV246" i="1"/>
  <c r="AV247" i="1"/>
  <c r="AV248" i="1"/>
  <c r="AV249" i="1"/>
  <c r="AV250" i="1"/>
  <c r="AV251" i="1"/>
  <c r="AV252" i="1"/>
  <c r="AV253" i="1"/>
  <c r="AV254" i="1"/>
  <c r="AV255" i="1"/>
  <c r="AV256" i="1"/>
  <c r="AV257" i="1"/>
  <c r="AV258" i="1"/>
  <c r="AV259" i="1"/>
  <c r="AV260" i="1"/>
  <c r="AV261" i="1"/>
  <c r="AV262" i="1"/>
  <c r="AV263" i="1"/>
  <c r="AV264" i="1"/>
  <c r="AV265" i="1"/>
  <c r="AV266" i="1"/>
  <c r="AV267" i="1"/>
  <c r="AV268" i="1"/>
  <c r="AV269" i="1"/>
  <c r="AV270" i="1"/>
  <c r="AV271" i="1"/>
  <c r="AV272" i="1"/>
  <c r="AV273" i="1"/>
  <c r="AV274" i="1"/>
  <c r="AV275" i="1"/>
  <c r="AV276" i="1"/>
  <c r="AV277" i="1"/>
  <c r="AV278" i="1"/>
  <c r="AV279" i="1"/>
  <c r="AV280" i="1"/>
  <c r="AV281" i="1"/>
  <c r="AV282" i="1"/>
  <c r="AV283" i="1"/>
  <c r="AV284" i="1"/>
  <c r="AV285" i="1"/>
  <c r="AV286" i="1"/>
  <c r="AV287" i="1"/>
  <c r="AV288" i="1"/>
  <c r="AV289" i="1"/>
  <c r="AV290" i="1"/>
  <c r="AV291" i="1"/>
  <c r="AV292" i="1"/>
  <c r="AV293" i="1"/>
  <c r="AV294" i="1"/>
  <c r="AV295" i="1"/>
  <c r="AV296" i="1"/>
  <c r="AV297" i="1"/>
  <c r="AV298" i="1"/>
  <c r="AV299" i="1"/>
  <c r="AV300" i="1"/>
  <c r="AV301" i="1"/>
  <c r="AV302" i="1"/>
  <c r="AV303" i="1"/>
  <c r="AV304" i="1"/>
  <c r="AV305" i="1"/>
  <c r="AV306" i="1"/>
  <c r="AV307" i="1"/>
  <c r="AV308" i="1"/>
  <c r="AV309" i="1"/>
  <c r="AV310" i="1"/>
  <c r="AV311" i="1"/>
  <c r="AV312" i="1"/>
  <c r="AV313" i="1"/>
  <c r="AV314" i="1"/>
  <c r="AV315" i="1"/>
  <c r="AV316" i="1"/>
  <c r="AV317" i="1"/>
  <c r="AV318" i="1"/>
  <c r="AV319" i="1"/>
  <c r="AV320" i="1"/>
  <c r="AV321" i="1"/>
  <c r="AV322" i="1"/>
  <c r="AV323" i="1"/>
  <c r="AV324" i="1"/>
  <c r="AV325" i="1"/>
  <c r="AV326" i="1"/>
  <c r="AV327" i="1"/>
  <c r="AV328" i="1"/>
  <c r="AV329" i="1"/>
  <c r="AV330" i="1"/>
  <c r="AV331" i="1"/>
  <c r="AV332" i="1"/>
  <c r="AV333" i="1"/>
  <c r="AV334" i="1"/>
  <c r="AV335" i="1"/>
  <c r="AV336" i="1"/>
  <c r="AV337" i="1"/>
  <c r="AV338" i="1"/>
  <c r="AV339" i="1"/>
  <c r="AV340" i="1"/>
  <c r="AV341" i="1"/>
  <c r="AV342" i="1"/>
  <c r="AV343" i="1"/>
  <c r="AV344" i="1"/>
  <c r="AV345" i="1"/>
  <c r="AV346" i="1"/>
  <c r="AV347" i="1"/>
  <c r="AV348" i="1"/>
  <c r="AV349" i="1"/>
  <c r="AV350" i="1"/>
  <c r="AV351" i="1"/>
  <c r="AV352" i="1"/>
  <c r="AV353" i="1"/>
  <c r="AV354" i="1"/>
  <c r="AV355" i="1"/>
  <c r="AV356" i="1"/>
  <c r="AV357" i="1"/>
  <c r="AV358" i="1"/>
  <c r="AV359" i="1"/>
  <c r="AV360" i="1"/>
  <c r="AV361" i="1"/>
  <c r="AV362" i="1"/>
  <c r="AV363" i="1"/>
  <c r="AV364" i="1"/>
  <c r="AV365" i="1"/>
  <c r="AV366" i="1"/>
  <c r="AV367" i="1"/>
  <c r="AV368" i="1"/>
  <c r="AV369" i="1"/>
  <c r="AV370" i="1"/>
  <c r="AV371" i="1"/>
  <c r="AV372" i="1"/>
  <c r="AV373" i="1"/>
  <c r="AV374" i="1"/>
  <c r="AV375" i="1"/>
  <c r="AV376" i="1"/>
  <c r="AV377" i="1"/>
  <c r="AV378" i="1"/>
  <c r="AV379" i="1"/>
  <c r="AV380" i="1"/>
  <c r="AV381" i="1"/>
  <c r="AV382" i="1"/>
  <c r="AV383" i="1"/>
  <c r="AV384" i="1"/>
  <c r="AV385" i="1"/>
  <c r="AV386" i="1"/>
  <c r="AV387" i="1"/>
  <c r="AV388" i="1"/>
  <c r="AV389" i="1"/>
  <c r="AV390" i="1"/>
  <c r="AV391" i="1"/>
  <c r="AV392" i="1"/>
  <c r="AV393" i="1"/>
  <c r="AV394" i="1"/>
  <c r="AV395" i="1"/>
  <c r="AV396" i="1"/>
  <c r="AV397" i="1"/>
  <c r="AV398" i="1"/>
  <c r="AV399" i="1"/>
  <c r="AV400" i="1"/>
  <c r="AV401" i="1"/>
  <c r="AV402" i="1"/>
  <c r="AV403" i="1"/>
  <c r="AV404" i="1"/>
  <c r="AV405" i="1"/>
  <c r="AV406" i="1"/>
  <c r="AV407" i="1"/>
  <c r="AV408" i="1"/>
  <c r="AV409" i="1"/>
  <c r="AV410" i="1"/>
  <c r="AV411" i="1"/>
  <c r="AV412" i="1"/>
  <c r="AV413" i="1"/>
  <c r="AV414" i="1"/>
  <c r="AV415" i="1"/>
  <c r="AV416" i="1"/>
  <c r="AV417" i="1"/>
  <c r="AV418" i="1"/>
  <c r="AV419" i="1"/>
  <c r="AV420" i="1"/>
  <c r="AV421" i="1"/>
  <c r="AV422" i="1"/>
  <c r="AV423" i="1"/>
  <c r="AV424" i="1"/>
  <c r="AV425" i="1"/>
  <c r="AV426" i="1"/>
  <c r="AV427" i="1"/>
  <c r="AV428" i="1"/>
  <c r="AV429" i="1"/>
  <c r="AV430" i="1"/>
  <c r="AV431" i="1"/>
  <c r="AV432" i="1"/>
  <c r="AV433" i="1"/>
  <c r="AV434" i="1"/>
  <c r="AV435" i="1"/>
  <c r="AV436" i="1"/>
  <c r="AV437" i="1"/>
  <c r="AV438" i="1"/>
  <c r="AV439" i="1"/>
  <c r="AV440" i="1"/>
  <c r="AV441" i="1"/>
  <c r="AV442" i="1"/>
  <c r="AV443" i="1"/>
  <c r="AV444" i="1"/>
  <c r="AV445" i="1"/>
  <c r="AV446" i="1"/>
  <c r="AV447" i="1"/>
  <c r="AV448" i="1"/>
  <c r="AV449" i="1"/>
  <c r="AV450" i="1"/>
  <c r="AV451" i="1"/>
  <c r="AV452" i="1"/>
  <c r="AV453" i="1"/>
  <c r="AV454" i="1"/>
  <c r="AV455" i="1"/>
  <c r="AV456" i="1"/>
  <c r="AV457" i="1"/>
  <c r="AV458" i="1"/>
  <c r="AV459" i="1"/>
  <c r="AV460" i="1"/>
  <c r="AV461" i="1"/>
  <c r="AV462" i="1"/>
  <c r="AV463" i="1"/>
  <c r="AV464" i="1"/>
  <c r="AV465" i="1"/>
  <c r="AV466" i="1"/>
  <c r="AV467" i="1"/>
  <c r="AV468" i="1"/>
  <c r="AV469" i="1"/>
  <c r="AV470" i="1"/>
  <c r="AV471" i="1"/>
  <c r="AV472" i="1"/>
  <c r="AV473" i="1"/>
  <c r="AV474" i="1"/>
  <c r="AV475" i="1"/>
  <c r="AV476" i="1"/>
  <c r="AV477" i="1"/>
  <c r="AV478" i="1"/>
  <c r="AV479" i="1"/>
  <c r="AV480" i="1"/>
  <c r="AV481" i="1"/>
  <c r="AV482" i="1"/>
  <c r="AV483" i="1"/>
  <c r="AV484" i="1"/>
  <c r="AV485" i="1"/>
  <c r="AV486" i="1"/>
  <c r="AV487" i="1"/>
  <c r="AV488" i="1"/>
  <c r="AV489" i="1"/>
  <c r="AV490" i="1"/>
  <c r="AV491" i="1"/>
  <c r="AV492" i="1"/>
  <c r="AV493" i="1"/>
  <c r="AV494" i="1"/>
  <c r="AV495" i="1"/>
  <c r="AV496" i="1"/>
  <c r="AV497" i="1"/>
  <c r="AV498" i="1"/>
  <c r="AV499" i="1"/>
  <c r="AV500" i="1"/>
  <c r="AV501" i="1"/>
  <c r="AV502" i="1"/>
  <c r="AV503" i="1"/>
  <c r="AV504" i="1"/>
  <c r="AV505" i="1"/>
  <c r="AV506" i="1"/>
  <c r="AV507" i="1"/>
  <c r="AV508" i="1"/>
  <c r="AV509" i="1"/>
  <c r="AV510" i="1"/>
  <c r="AV511" i="1"/>
  <c r="AV512" i="1"/>
  <c r="AV513" i="1"/>
  <c r="AV514" i="1"/>
  <c r="AV515" i="1"/>
  <c r="AV516" i="1"/>
  <c r="AV517" i="1"/>
  <c r="BA49" i="1" a="1"/>
  <c r="BA49" i="1" s="1"/>
  <c r="BA48" i="1" a="1"/>
  <c r="BA48" i="1" s="1"/>
  <c r="BB21" i="1"/>
  <c r="BB22" i="1"/>
  <c r="BB23" i="1"/>
  <c r="BB24" i="1"/>
  <c r="BB25" i="1"/>
  <c r="BB26" i="1"/>
  <c r="BB27" i="1"/>
  <c r="BB28" i="1"/>
  <c r="BB29" i="1"/>
  <c r="BB30" i="1"/>
  <c r="BB31" i="1"/>
  <c r="BB32" i="1"/>
  <c r="BB33" i="1"/>
  <c r="BB34" i="1"/>
  <c r="BB35" i="1"/>
  <c r="BB36" i="1"/>
  <c r="BB37" i="1"/>
  <c r="BB38" i="1"/>
  <c r="BB39" i="1"/>
  <c r="BB40" i="1"/>
  <c r="BB41" i="1"/>
  <c r="BB42" i="1"/>
  <c r="BB43" i="1"/>
  <c r="BB20" i="1"/>
  <c r="BA20" i="1"/>
  <c r="BA21" i="1"/>
  <c r="BA22" i="1"/>
  <c r="BA23" i="1"/>
  <c r="BA24" i="1"/>
  <c r="BA25" i="1"/>
  <c r="BA26" i="1"/>
  <c r="BA27" i="1"/>
  <c r="BA28" i="1"/>
  <c r="BA29" i="1"/>
  <c r="BA30" i="1"/>
  <c r="BA31" i="1"/>
  <c r="BA32" i="1"/>
  <c r="BA33" i="1"/>
  <c r="BA34" i="1"/>
  <c r="BA35" i="1"/>
  <c r="BA36" i="1"/>
  <c r="BA37" i="1"/>
  <c r="BA38" i="1"/>
  <c r="BA39" i="1"/>
  <c r="BA40" i="1"/>
  <c r="BA41" i="1"/>
  <c r="BA42" i="1"/>
  <c r="BA43" i="1"/>
  <c r="AZ21" i="1"/>
  <c r="AZ22" i="1"/>
  <c r="AZ23" i="1"/>
  <c r="AZ24" i="1"/>
  <c r="AZ25" i="1"/>
  <c r="AZ26" i="1"/>
  <c r="AZ27" i="1"/>
  <c r="AZ28" i="1"/>
  <c r="AZ29" i="1"/>
  <c r="AZ30" i="1"/>
  <c r="AZ31" i="1"/>
  <c r="AZ32" i="1"/>
  <c r="AZ33" i="1"/>
  <c r="AZ34" i="1"/>
  <c r="AZ35" i="1"/>
  <c r="AZ36" i="1"/>
  <c r="AZ37" i="1"/>
  <c r="AZ38" i="1"/>
  <c r="AZ39" i="1"/>
  <c r="AZ40" i="1"/>
  <c r="AZ41" i="1"/>
  <c r="AZ42" i="1"/>
  <c r="AZ43" i="1"/>
  <c r="AZ20" i="1"/>
  <c r="D15" i="5"/>
  <c r="H9" i="2"/>
  <c r="AT458" i="1"/>
  <c r="AT152" i="1"/>
  <c r="AT182" i="1"/>
  <c r="AT238" i="1"/>
  <c r="AT420" i="1"/>
  <c r="AT239" i="1"/>
  <c r="AT299" i="1"/>
  <c r="AT54" i="1"/>
  <c r="AT183" i="1"/>
  <c r="AT153" i="1"/>
  <c r="AT184" i="1"/>
  <c r="AT185" i="1"/>
  <c r="AT459" i="1"/>
  <c r="AT365" i="1"/>
  <c r="AT240" i="1"/>
  <c r="AT460" i="1"/>
  <c r="AT90" i="1"/>
  <c r="AT338" i="1"/>
  <c r="AT55" i="1"/>
  <c r="AT393" i="1"/>
  <c r="AT275" i="1"/>
  <c r="AT421" i="1"/>
  <c r="AT490" i="1"/>
  <c r="AT154" i="1"/>
  <c r="AT339" i="1"/>
  <c r="AT340" i="1"/>
  <c r="AT491" i="1"/>
  <c r="AT123" i="1"/>
  <c r="AT18" i="1"/>
  <c r="AT241" i="1"/>
  <c r="AT366" i="1"/>
  <c r="AT341" i="1"/>
  <c r="AT300" i="1"/>
  <c r="AT56" i="1"/>
  <c r="AT91" i="1"/>
  <c r="AT186" i="1"/>
  <c r="AT422" i="1"/>
  <c r="AT461" i="1"/>
  <c r="AT342" i="1"/>
  <c r="AT19" i="1"/>
  <c r="AT492" i="1"/>
  <c r="AT92" i="1"/>
  <c r="AT57" i="1"/>
  <c r="AT211" i="1"/>
  <c r="AT124" i="1"/>
  <c r="AT343" i="1"/>
  <c r="AT242" i="1"/>
  <c r="AT344" i="1"/>
  <c r="AT301" i="1"/>
  <c r="AT212" i="1"/>
  <c r="AT125" i="1"/>
  <c r="AT126" i="1"/>
  <c r="AT394" i="1"/>
  <c r="AT345" i="1"/>
  <c r="AT127" i="1"/>
  <c r="AT493" i="1"/>
  <c r="AT462" i="1"/>
  <c r="AT302" i="1"/>
  <c r="AT463" i="1"/>
  <c r="AT395" i="1"/>
  <c r="AT93" i="1"/>
  <c r="AT367" i="1"/>
  <c r="AT155" i="1"/>
  <c r="AT58" i="1"/>
  <c r="AT303" i="1"/>
  <c r="AT213" i="1"/>
  <c r="AT20" i="1"/>
  <c r="AT243" i="1"/>
  <c r="AT423" i="1"/>
  <c r="AT94" i="1"/>
  <c r="AT244" i="1"/>
  <c r="AT21" i="1"/>
  <c r="AT22" i="1"/>
  <c r="AT424" i="1"/>
  <c r="AT494" i="1"/>
  <c r="AT276" i="1"/>
  <c r="AT368" i="1"/>
  <c r="AT156" i="1"/>
  <c r="AT157" i="1"/>
  <c r="AT304" i="1"/>
  <c r="AT425" i="1"/>
  <c r="AT495" i="1"/>
  <c r="AT23" i="1"/>
  <c r="AT24" i="1"/>
  <c r="AT245" i="1"/>
  <c r="AT95" i="1"/>
  <c r="AT246" i="1"/>
  <c r="AT369" i="1"/>
  <c r="AT25" i="1"/>
  <c r="AT247" i="1"/>
  <c r="AT26" i="1"/>
  <c r="AT214" i="1"/>
  <c r="AT59" i="1"/>
  <c r="AT187" i="1"/>
  <c r="AT426" i="1"/>
  <c r="AT277" i="1"/>
  <c r="AT464" i="1"/>
  <c r="AT215" i="1"/>
  <c r="AT188" i="1"/>
  <c r="AT396" i="1"/>
  <c r="AT248" i="1"/>
  <c r="AT249" i="1"/>
  <c r="AT278" i="1"/>
  <c r="AT27" i="1"/>
  <c r="AT370" i="1"/>
  <c r="AT279" i="1"/>
  <c r="AT96" i="1"/>
  <c r="AT60" i="1"/>
  <c r="AT61" i="1"/>
  <c r="AT305" i="1"/>
  <c r="AT216" i="1"/>
  <c r="AT250" i="1"/>
  <c r="AT251" i="1"/>
  <c r="AT496" i="1"/>
  <c r="AT252" i="1"/>
  <c r="AT497" i="1"/>
  <c r="AT217" i="1"/>
  <c r="AT218" i="1"/>
  <c r="AT97" i="1"/>
  <c r="AT306" i="1"/>
  <c r="AT253" i="1"/>
  <c r="AT307" i="1"/>
  <c r="AT465" i="1"/>
  <c r="AT427" i="1"/>
  <c r="AT428" i="1"/>
  <c r="AT62" i="1"/>
  <c r="AT498" i="1"/>
  <c r="AT397" i="1"/>
  <c r="AT63" i="1"/>
  <c r="AT28" i="1"/>
  <c r="AT128" i="1"/>
  <c r="AT29" i="1"/>
  <c r="AT189" i="1"/>
  <c r="AT129" i="1"/>
  <c r="AT308" i="1"/>
  <c r="AT280" i="1"/>
  <c r="AT499" i="1"/>
  <c r="AT281" i="1"/>
  <c r="AT466" i="1"/>
  <c r="AT190" i="1"/>
  <c r="AT467" i="1"/>
  <c r="AT398" i="1"/>
  <c r="AT158" i="1"/>
  <c r="AT282" i="1"/>
  <c r="AT191" i="1"/>
  <c r="AT192" i="1"/>
  <c r="AT500" i="1"/>
  <c r="AT130" i="1"/>
  <c r="AT219" i="1"/>
  <c r="AT283" i="1"/>
  <c r="AT131" i="1"/>
  <c r="AT309" i="1"/>
  <c r="AT220" i="1"/>
  <c r="AT30" i="1"/>
  <c r="AT429" i="1"/>
  <c r="AT132" i="1"/>
  <c r="AT159" i="1"/>
  <c r="AT31" i="1"/>
  <c r="AT193" i="1"/>
  <c r="AT501" i="1"/>
  <c r="AT254" i="1"/>
  <c r="AT64" i="1"/>
  <c r="AT371" i="1"/>
  <c r="AT32" i="1"/>
  <c r="AT468" i="1"/>
  <c r="AT502" i="1"/>
  <c r="AT346" i="1"/>
  <c r="AT347" i="1"/>
  <c r="AT65" i="1"/>
  <c r="AT66" i="1"/>
  <c r="AT255" i="1"/>
  <c r="AT372" i="1"/>
  <c r="AT469" i="1"/>
  <c r="AT430" i="1"/>
  <c r="AT221" i="1"/>
  <c r="AT133" i="1"/>
  <c r="AT310" i="1"/>
  <c r="AT470" i="1"/>
  <c r="AT67" i="1"/>
  <c r="AT348" i="1"/>
  <c r="AT284" i="1"/>
  <c r="AT256" i="1"/>
  <c r="AT471" i="1"/>
  <c r="AT33" i="1"/>
  <c r="AT98" i="1"/>
  <c r="AT472" i="1"/>
  <c r="AT160" i="1"/>
  <c r="AT68" i="1"/>
  <c r="AT431" i="1"/>
  <c r="AT161" i="1"/>
  <c r="AT349" i="1"/>
  <c r="AT432" i="1"/>
  <c r="AT69" i="1"/>
  <c r="AT194" i="1"/>
  <c r="AT257" i="1"/>
  <c r="AT285" i="1"/>
  <c r="AT34" i="1"/>
  <c r="AT162" i="1"/>
  <c r="AT99" i="1"/>
  <c r="AT311" i="1"/>
  <c r="AT134" i="1"/>
  <c r="AT195" i="1"/>
  <c r="AT135" i="1"/>
  <c r="AT312" i="1"/>
  <c r="AT196" i="1"/>
  <c r="AT313" i="1"/>
  <c r="AT70" i="1"/>
  <c r="AT35" i="1"/>
  <c r="AT136" i="1"/>
  <c r="AT473" i="1"/>
  <c r="AT503" i="1"/>
  <c r="AT474" i="1"/>
  <c r="AT163" i="1"/>
  <c r="AT314" i="1"/>
  <c r="AT433" i="1"/>
  <c r="AT399" i="1"/>
  <c r="AT373" i="1"/>
  <c r="AT100" i="1"/>
  <c r="AT101" i="1"/>
  <c r="AT137" i="1"/>
  <c r="AT315" i="1"/>
  <c r="AT258" i="1"/>
  <c r="AT71" i="1"/>
  <c r="AT259" i="1"/>
  <c r="AT475" i="1"/>
  <c r="AT504" i="1"/>
  <c r="AT400" i="1"/>
  <c r="AT36" i="1"/>
  <c r="AT316" i="1"/>
  <c r="AT197" i="1"/>
  <c r="AT222" i="1"/>
  <c r="AT37" i="1"/>
  <c r="AT102" i="1"/>
  <c r="AT350" i="1"/>
  <c r="AT401" i="1"/>
  <c r="AT260" i="1"/>
  <c r="AT317" i="1"/>
  <c r="AT351" i="1"/>
  <c r="AT223" i="1"/>
  <c r="AT476" i="1"/>
  <c r="AT374" i="1"/>
  <c r="AT224" i="1"/>
  <c r="AT103" i="1"/>
  <c r="AT477" i="1"/>
  <c r="AT286" i="1"/>
  <c r="AT164" i="1"/>
  <c r="AT138" i="1"/>
  <c r="AT434" i="1"/>
  <c r="AT478" i="1"/>
  <c r="AT505" i="1"/>
  <c r="AT352" i="1"/>
  <c r="AT287" i="1"/>
  <c r="AT435" i="1"/>
  <c r="AT165" i="1"/>
  <c r="AT375" i="1"/>
  <c r="AT436" i="1"/>
  <c r="AT139" i="1"/>
  <c r="AT166" i="1"/>
  <c r="AT72" i="1"/>
  <c r="AT104" i="1"/>
  <c r="AT225" i="1"/>
  <c r="AT105" i="1"/>
  <c r="AT353" i="1"/>
  <c r="AT261" i="1"/>
  <c r="AT437" i="1"/>
  <c r="AT438" i="1"/>
  <c r="AT354" i="1"/>
  <c r="AT106" i="1"/>
  <c r="AT73" i="1"/>
  <c r="AT198" i="1"/>
  <c r="AT107" i="1"/>
  <c r="AT439" i="1"/>
  <c r="AT402" i="1"/>
  <c r="AT479" i="1"/>
  <c r="AT108" i="1"/>
  <c r="AT262" i="1"/>
  <c r="AT38" i="1"/>
  <c r="AT226" i="1"/>
  <c r="AT318" i="1"/>
  <c r="AT319" i="1"/>
  <c r="AT140" i="1"/>
  <c r="AT39" i="1"/>
  <c r="AT506" i="1"/>
  <c r="AT320" i="1"/>
  <c r="AT440" i="1"/>
  <c r="AT321" i="1"/>
  <c r="AT403" i="1"/>
  <c r="AT355" i="1"/>
  <c r="AT480" i="1"/>
  <c r="AT376" i="1"/>
  <c r="AT288" i="1"/>
  <c r="AT141" i="1"/>
  <c r="AT74" i="1"/>
  <c r="AT289" i="1"/>
  <c r="AT109" i="1"/>
  <c r="AT441" i="1"/>
  <c r="AT40" i="1"/>
  <c r="AT75" i="1"/>
  <c r="AT404" i="1"/>
  <c r="AT227" i="1"/>
  <c r="AT110" i="1"/>
  <c r="AT356" i="1"/>
  <c r="AT167" i="1"/>
  <c r="AT263" i="1"/>
  <c r="AT111" i="1"/>
  <c r="AT442" i="1"/>
  <c r="AT405" i="1"/>
  <c r="AT406" i="1"/>
  <c r="AT357" i="1"/>
  <c r="AT290" i="1"/>
  <c r="AT199" i="1"/>
  <c r="AT443" i="1"/>
  <c r="AT112" i="1"/>
  <c r="AT168" i="1"/>
  <c r="AT377" i="1"/>
  <c r="AT291" i="1"/>
  <c r="AT507" i="1"/>
  <c r="AT200" i="1"/>
  <c r="AT76" i="1"/>
  <c r="AT77" i="1"/>
  <c r="AT407" i="1"/>
  <c r="AT408" i="1"/>
  <c r="AT142" i="1"/>
  <c r="AT322" i="1"/>
  <c r="AT323" i="1"/>
  <c r="AT169" i="1"/>
  <c r="AT324" i="1"/>
  <c r="AT508" i="1"/>
  <c r="AT228" i="1"/>
  <c r="AT444" i="1"/>
  <c r="AT325" i="1"/>
  <c r="AT445" i="1"/>
  <c r="AT481" i="1"/>
  <c r="AT229" i="1"/>
  <c r="AT326" i="1"/>
  <c r="AT482" i="1"/>
  <c r="AT358" i="1"/>
  <c r="AT483" i="1"/>
  <c r="AT327" i="1"/>
  <c r="AT201" i="1"/>
  <c r="AT264" i="1"/>
  <c r="AT41" i="1"/>
  <c r="AT143" i="1"/>
  <c r="AT292" i="1"/>
  <c r="AT509" i="1"/>
  <c r="AT144" i="1"/>
  <c r="AT378" i="1"/>
  <c r="AT510" i="1"/>
  <c r="AT113" i="1"/>
  <c r="AT202" i="1"/>
  <c r="AT328" i="1"/>
  <c r="AT265" i="1"/>
  <c r="AT379" i="1"/>
  <c r="AT78" i="1"/>
  <c r="AT329" i="1"/>
  <c r="AT330" i="1"/>
  <c r="AT446" i="1"/>
  <c r="AT511" i="1"/>
  <c r="AT380" i="1"/>
  <c r="AT114" i="1"/>
  <c r="AT409" i="1"/>
  <c r="AT381" i="1"/>
  <c r="AT230" i="1"/>
  <c r="AT170" i="1"/>
  <c r="AT115" i="1"/>
  <c r="AT410" i="1"/>
  <c r="AT447" i="1"/>
  <c r="AT42" i="1"/>
  <c r="AT231" i="1"/>
  <c r="AT203" i="1"/>
  <c r="AT411" i="1"/>
  <c r="AT293" i="1"/>
  <c r="AT484" i="1"/>
  <c r="AT331" i="1"/>
  <c r="AT204" i="1"/>
  <c r="AT205" i="1"/>
  <c r="AT332" i="1"/>
  <c r="AT145" i="1"/>
  <c r="AT294" i="1"/>
  <c r="AT146" i="1"/>
  <c r="AT266" i="1"/>
  <c r="AT382" i="1"/>
  <c r="AT116" i="1"/>
  <c r="AT79" i="1"/>
  <c r="AT232" i="1"/>
  <c r="AT267" i="1"/>
  <c r="AT43" i="1"/>
  <c r="AT383" i="1"/>
  <c r="AT359" i="1"/>
  <c r="AT412" i="1"/>
  <c r="AT448" i="1"/>
  <c r="AT206" i="1"/>
  <c r="AT147" i="1"/>
  <c r="AT207" i="1"/>
  <c r="AT449" i="1"/>
  <c r="AT171" i="1"/>
  <c r="AT295" i="1"/>
  <c r="AT172" i="1"/>
  <c r="AT80" i="1"/>
  <c r="AT384" i="1"/>
  <c r="AT148" i="1"/>
  <c r="AT117" i="1"/>
  <c r="AT173" i="1"/>
  <c r="AT450" i="1"/>
  <c r="AT485" i="1"/>
  <c r="AT233" i="1"/>
  <c r="AT333" i="1"/>
  <c r="AT81" i="1"/>
  <c r="AT385" i="1"/>
  <c r="AT386" i="1"/>
  <c r="AT118" i="1"/>
  <c r="AT268" i="1"/>
  <c r="AT334" i="1"/>
  <c r="AT387" i="1"/>
  <c r="AT512" i="1"/>
  <c r="AT296" i="1"/>
  <c r="AT513" i="1"/>
  <c r="AT360" i="1"/>
  <c r="AT413" i="1"/>
  <c r="AT361" i="1"/>
  <c r="AT388" i="1"/>
  <c r="AT451" i="1"/>
  <c r="AT297" i="1"/>
  <c r="AT174" i="1"/>
  <c r="AT44" i="1"/>
  <c r="AT414" i="1"/>
  <c r="AT82" i="1"/>
  <c r="AT269" i="1"/>
  <c r="AT415" i="1"/>
  <c r="AT416" i="1"/>
  <c r="AT389" i="1"/>
  <c r="AT514" i="1"/>
  <c r="AT417" i="1"/>
  <c r="AT452" i="1"/>
  <c r="AT486" i="1"/>
  <c r="AT390" i="1"/>
  <c r="AT234" i="1"/>
  <c r="AT149" i="1"/>
  <c r="AT298" i="1"/>
  <c r="AT175" i="1"/>
  <c r="AT270" i="1"/>
  <c r="AT83" i="1"/>
  <c r="AT45" i="1"/>
  <c r="AT176" i="1"/>
  <c r="AT119" i="1"/>
  <c r="AT46" i="1"/>
  <c r="AT453" i="1"/>
  <c r="AT47" i="1"/>
  <c r="AT515" i="1"/>
  <c r="AT48" i="1"/>
  <c r="AT150" i="1"/>
  <c r="AT49" i="1"/>
  <c r="AT208" i="1"/>
  <c r="AT235" i="1"/>
  <c r="AT454" i="1"/>
  <c r="AT362" i="1"/>
  <c r="AT335" i="1"/>
  <c r="AT177" i="1"/>
  <c r="AT178" i="1"/>
  <c r="AT236" i="1"/>
  <c r="AT455" i="1"/>
  <c r="AT336" i="1"/>
  <c r="AT516" i="1"/>
  <c r="AT179" i="1"/>
  <c r="AT84" i="1"/>
  <c r="AT50" i="1"/>
  <c r="AT456" i="1"/>
  <c r="AT418" i="1"/>
  <c r="AT271" i="1"/>
  <c r="AT180" i="1"/>
  <c r="AT272" i="1"/>
  <c r="AT487" i="1"/>
  <c r="AT51" i="1"/>
  <c r="AT85" i="1"/>
  <c r="AT120" i="1"/>
  <c r="AT151" i="1"/>
  <c r="AT52" i="1"/>
  <c r="AT273" i="1"/>
  <c r="AT363" i="1"/>
  <c r="AT53" i="1"/>
  <c r="AT457" i="1"/>
  <c r="AT337" i="1"/>
  <c r="AT86" i="1"/>
  <c r="AT391" i="1"/>
  <c r="AT121" i="1"/>
  <c r="AT87" i="1"/>
  <c r="AT88" i="1"/>
  <c r="AT122" i="1"/>
  <c r="AT237" i="1"/>
  <c r="AT274" i="1"/>
  <c r="AT517" i="1"/>
  <c r="AT89" i="1"/>
  <c r="AT209" i="1"/>
  <c r="AT364" i="1"/>
  <c r="AT210" i="1"/>
  <c r="AT488" i="1"/>
  <c r="AT181" i="1"/>
  <c r="AT489" i="1"/>
  <c r="AT419" i="1"/>
  <c r="AT392" i="1"/>
  <c r="AS458" i="1"/>
  <c r="AS152" i="1"/>
  <c r="AS182" i="1"/>
  <c r="AS238" i="1"/>
  <c r="AS420" i="1"/>
  <c r="AS239" i="1"/>
  <c r="AS299" i="1"/>
  <c r="AS54" i="1"/>
  <c r="AS183" i="1"/>
  <c r="AS153" i="1"/>
  <c r="AS184" i="1"/>
  <c r="AS185" i="1"/>
  <c r="AS459" i="1"/>
  <c r="AS365" i="1"/>
  <c r="AS240" i="1"/>
  <c r="AS460" i="1"/>
  <c r="AS90" i="1"/>
  <c r="AS338" i="1"/>
  <c r="AS55" i="1"/>
  <c r="AS393" i="1"/>
  <c r="AS275" i="1"/>
  <c r="AS421" i="1"/>
  <c r="AS490" i="1"/>
  <c r="AS154" i="1"/>
  <c r="AS339" i="1"/>
  <c r="AS340" i="1"/>
  <c r="AS491" i="1"/>
  <c r="AS123" i="1"/>
  <c r="AS18" i="1"/>
  <c r="AS241" i="1"/>
  <c r="AS366" i="1"/>
  <c r="AS341" i="1"/>
  <c r="AS300" i="1"/>
  <c r="AS56" i="1"/>
  <c r="AS91" i="1"/>
  <c r="AS186" i="1"/>
  <c r="AS422" i="1"/>
  <c r="AS461" i="1"/>
  <c r="AS342" i="1"/>
  <c r="AS19" i="1"/>
  <c r="AS492" i="1"/>
  <c r="AS92" i="1"/>
  <c r="AS57" i="1"/>
  <c r="AS211" i="1"/>
  <c r="AS124" i="1"/>
  <c r="AS343" i="1"/>
  <c r="AS242" i="1"/>
  <c r="AS344" i="1"/>
  <c r="AS301" i="1"/>
  <c r="AS212" i="1"/>
  <c r="AS125" i="1"/>
  <c r="AS126" i="1"/>
  <c r="AS394" i="1"/>
  <c r="AS345" i="1"/>
  <c r="AS127" i="1"/>
  <c r="AS493" i="1"/>
  <c r="AS462" i="1"/>
  <c r="AS302" i="1"/>
  <c r="AS463" i="1"/>
  <c r="AS395" i="1"/>
  <c r="AS93" i="1"/>
  <c r="AS367" i="1"/>
  <c r="AS155" i="1"/>
  <c r="AS58" i="1"/>
  <c r="AS303" i="1"/>
  <c r="AS213" i="1"/>
  <c r="AS20" i="1"/>
  <c r="AS243" i="1"/>
  <c r="AS423" i="1"/>
  <c r="AS94" i="1"/>
  <c r="AS244" i="1"/>
  <c r="AS21" i="1"/>
  <c r="AS22" i="1"/>
  <c r="AS424" i="1"/>
  <c r="AS494" i="1"/>
  <c r="AS276" i="1"/>
  <c r="AS368" i="1"/>
  <c r="AS156" i="1"/>
  <c r="AS157" i="1"/>
  <c r="AS304" i="1"/>
  <c r="AS425" i="1"/>
  <c r="AS495" i="1"/>
  <c r="AS23" i="1"/>
  <c r="AS24" i="1"/>
  <c r="AS245" i="1"/>
  <c r="AS95" i="1"/>
  <c r="AS246" i="1"/>
  <c r="AS369" i="1"/>
  <c r="AS25" i="1"/>
  <c r="AS247" i="1"/>
  <c r="AS26" i="1"/>
  <c r="AS214" i="1"/>
  <c r="AS59" i="1"/>
  <c r="AS187" i="1"/>
  <c r="AS426" i="1"/>
  <c r="AS277" i="1"/>
  <c r="AS464" i="1"/>
  <c r="AS215" i="1"/>
  <c r="AS188" i="1"/>
  <c r="AS396" i="1"/>
  <c r="AS248" i="1"/>
  <c r="AS249" i="1"/>
  <c r="AS278" i="1"/>
  <c r="AS27" i="1"/>
  <c r="AS370" i="1"/>
  <c r="AS279" i="1"/>
  <c r="AS96" i="1"/>
  <c r="AS60" i="1"/>
  <c r="AS61" i="1"/>
  <c r="AS305" i="1"/>
  <c r="AS216" i="1"/>
  <c r="AS250" i="1"/>
  <c r="AS251" i="1"/>
  <c r="AS496" i="1"/>
  <c r="AS252" i="1"/>
  <c r="AS497" i="1"/>
  <c r="AS217" i="1"/>
  <c r="AS218" i="1"/>
  <c r="AS97" i="1"/>
  <c r="AS306" i="1"/>
  <c r="AS253" i="1"/>
  <c r="AS307" i="1"/>
  <c r="AS465" i="1"/>
  <c r="AS427" i="1"/>
  <c r="AS428" i="1"/>
  <c r="AS62" i="1"/>
  <c r="AS498" i="1"/>
  <c r="AS397" i="1"/>
  <c r="AS63" i="1"/>
  <c r="AS28" i="1"/>
  <c r="AS128" i="1"/>
  <c r="AS29" i="1"/>
  <c r="AS189" i="1"/>
  <c r="AS129" i="1"/>
  <c r="AS308" i="1"/>
  <c r="AS280" i="1"/>
  <c r="AS499" i="1"/>
  <c r="AS281" i="1"/>
  <c r="AS466" i="1"/>
  <c r="AS190" i="1"/>
  <c r="AS467" i="1"/>
  <c r="AS398" i="1"/>
  <c r="AS158" i="1"/>
  <c r="AS282" i="1"/>
  <c r="AS191" i="1"/>
  <c r="AS192" i="1"/>
  <c r="AS500" i="1"/>
  <c r="AS130" i="1"/>
  <c r="AS219" i="1"/>
  <c r="AS283" i="1"/>
  <c r="AS131" i="1"/>
  <c r="AS309" i="1"/>
  <c r="AS220" i="1"/>
  <c r="AS30" i="1"/>
  <c r="AS429" i="1"/>
  <c r="AS132" i="1"/>
  <c r="AS159" i="1"/>
  <c r="AS31" i="1"/>
  <c r="AS193" i="1"/>
  <c r="AS501" i="1"/>
  <c r="AS254" i="1"/>
  <c r="AS64" i="1"/>
  <c r="AS371" i="1"/>
  <c r="AS32" i="1"/>
  <c r="AS468" i="1"/>
  <c r="AS502" i="1"/>
  <c r="AS346" i="1"/>
  <c r="AS347" i="1"/>
  <c r="AS65" i="1"/>
  <c r="AS66" i="1"/>
  <c r="AS255" i="1"/>
  <c r="AS372" i="1"/>
  <c r="AS469" i="1"/>
  <c r="AS430" i="1"/>
  <c r="AS221" i="1"/>
  <c r="AS133" i="1"/>
  <c r="AS310" i="1"/>
  <c r="AS470" i="1"/>
  <c r="AS67" i="1"/>
  <c r="AS348" i="1"/>
  <c r="AS284" i="1"/>
  <c r="AS256" i="1"/>
  <c r="AS471" i="1"/>
  <c r="AS33" i="1"/>
  <c r="AS98" i="1"/>
  <c r="AS472" i="1"/>
  <c r="AS160" i="1"/>
  <c r="AS68" i="1"/>
  <c r="AS431" i="1"/>
  <c r="AS161" i="1"/>
  <c r="AS349" i="1"/>
  <c r="AS432" i="1"/>
  <c r="AS69" i="1"/>
  <c r="AS194" i="1"/>
  <c r="AS257" i="1"/>
  <c r="AS285" i="1"/>
  <c r="AS34" i="1"/>
  <c r="AS162" i="1"/>
  <c r="AS99" i="1"/>
  <c r="AS311" i="1"/>
  <c r="AS134" i="1"/>
  <c r="AS195" i="1"/>
  <c r="AS135" i="1"/>
  <c r="AS312" i="1"/>
  <c r="AS196" i="1"/>
  <c r="AS313" i="1"/>
  <c r="AS70" i="1"/>
  <c r="AS35" i="1"/>
  <c r="AS136" i="1"/>
  <c r="AS473" i="1"/>
  <c r="AS503" i="1"/>
  <c r="AS474" i="1"/>
  <c r="AS163" i="1"/>
  <c r="AS314" i="1"/>
  <c r="AS433" i="1"/>
  <c r="AS399" i="1"/>
  <c r="AS373" i="1"/>
  <c r="AS100" i="1"/>
  <c r="AS101" i="1"/>
  <c r="AS137" i="1"/>
  <c r="AS315" i="1"/>
  <c r="AS258" i="1"/>
  <c r="AS71" i="1"/>
  <c r="AS259" i="1"/>
  <c r="AS475" i="1"/>
  <c r="AS504" i="1"/>
  <c r="AS400" i="1"/>
  <c r="AS36" i="1"/>
  <c r="AS316" i="1"/>
  <c r="AS197" i="1"/>
  <c r="AS222" i="1"/>
  <c r="AS37" i="1"/>
  <c r="AS102" i="1"/>
  <c r="AS350" i="1"/>
  <c r="AS401" i="1"/>
  <c r="AS260" i="1"/>
  <c r="AS317" i="1"/>
  <c r="AS351" i="1"/>
  <c r="AS223" i="1"/>
  <c r="AS476" i="1"/>
  <c r="AS374" i="1"/>
  <c r="AS224" i="1"/>
  <c r="AS103" i="1"/>
  <c r="AS477" i="1"/>
  <c r="AS286" i="1"/>
  <c r="AS164" i="1"/>
  <c r="AS138" i="1"/>
  <c r="AS434" i="1"/>
  <c r="AS478" i="1"/>
  <c r="AS505" i="1"/>
  <c r="AS352" i="1"/>
  <c r="AS287" i="1"/>
  <c r="AS435" i="1"/>
  <c r="AS165" i="1"/>
  <c r="AS375" i="1"/>
  <c r="AS436" i="1"/>
  <c r="AS139" i="1"/>
  <c r="AS166" i="1"/>
  <c r="AS72" i="1"/>
  <c r="AS104" i="1"/>
  <c r="AS225" i="1"/>
  <c r="AS105" i="1"/>
  <c r="AS353" i="1"/>
  <c r="AS261" i="1"/>
  <c r="AS437" i="1"/>
  <c r="AS438" i="1"/>
  <c r="AS354" i="1"/>
  <c r="AS106" i="1"/>
  <c r="AS73" i="1"/>
  <c r="AS198" i="1"/>
  <c r="AS107" i="1"/>
  <c r="AS439" i="1"/>
  <c r="AS402" i="1"/>
  <c r="AS479" i="1"/>
  <c r="AS108" i="1"/>
  <c r="AS262" i="1"/>
  <c r="AS38" i="1"/>
  <c r="AS226" i="1"/>
  <c r="AS318" i="1"/>
  <c r="AS319" i="1"/>
  <c r="AS140" i="1"/>
  <c r="AS39" i="1"/>
  <c r="AS506" i="1"/>
  <c r="AS320" i="1"/>
  <c r="AS440" i="1"/>
  <c r="AS321" i="1"/>
  <c r="AS403" i="1"/>
  <c r="AS355" i="1"/>
  <c r="AS480" i="1"/>
  <c r="AS376" i="1"/>
  <c r="AS288" i="1"/>
  <c r="AS141" i="1"/>
  <c r="AS74" i="1"/>
  <c r="AS289" i="1"/>
  <c r="AS109" i="1"/>
  <c r="AS441" i="1"/>
  <c r="AS40" i="1"/>
  <c r="AS75" i="1"/>
  <c r="AS404" i="1"/>
  <c r="AS227" i="1"/>
  <c r="AS110" i="1"/>
  <c r="AS356" i="1"/>
  <c r="AS167" i="1"/>
  <c r="AS263" i="1"/>
  <c r="AS111" i="1"/>
  <c r="AS442" i="1"/>
  <c r="AS405" i="1"/>
  <c r="AS406" i="1"/>
  <c r="AS357" i="1"/>
  <c r="AS290" i="1"/>
  <c r="AS199" i="1"/>
  <c r="AS443" i="1"/>
  <c r="AS112" i="1"/>
  <c r="AS168" i="1"/>
  <c r="AS377" i="1"/>
  <c r="AS291" i="1"/>
  <c r="AS507" i="1"/>
  <c r="AS200" i="1"/>
  <c r="AS76" i="1"/>
  <c r="AS77" i="1"/>
  <c r="AS407" i="1"/>
  <c r="AS408" i="1"/>
  <c r="AS142" i="1"/>
  <c r="AS322" i="1"/>
  <c r="AS323" i="1"/>
  <c r="AS169" i="1"/>
  <c r="AS324" i="1"/>
  <c r="AS508" i="1"/>
  <c r="AS228" i="1"/>
  <c r="AS444" i="1"/>
  <c r="AS325" i="1"/>
  <c r="AS445" i="1"/>
  <c r="AS481" i="1"/>
  <c r="AS229" i="1"/>
  <c r="AS326" i="1"/>
  <c r="AS482" i="1"/>
  <c r="AS358" i="1"/>
  <c r="AS483" i="1"/>
  <c r="AS327" i="1"/>
  <c r="AS201" i="1"/>
  <c r="AS264" i="1"/>
  <c r="AS41" i="1"/>
  <c r="AS143" i="1"/>
  <c r="AS292" i="1"/>
  <c r="AS509" i="1"/>
  <c r="AS144" i="1"/>
  <c r="AS378" i="1"/>
  <c r="AS510" i="1"/>
  <c r="AS113" i="1"/>
  <c r="AS202" i="1"/>
  <c r="AS328" i="1"/>
  <c r="AS265" i="1"/>
  <c r="AS379" i="1"/>
  <c r="AS78" i="1"/>
  <c r="AS329" i="1"/>
  <c r="AS330" i="1"/>
  <c r="AS446" i="1"/>
  <c r="AS511" i="1"/>
  <c r="AS380" i="1"/>
  <c r="AS114" i="1"/>
  <c r="AS409" i="1"/>
  <c r="AS381" i="1"/>
  <c r="AS230" i="1"/>
  <c r="AS170" i="1"/>
  <c r="AS115" i="1"/>
  <c r="AS410" i="1"/>
  <c r="AS447" i="1"/>
  <c r="AS42" i="1"/>
  <c r="AS231" i="1"/>
  <c r="AS203" i="1"/>
  <c r="AS411" i="1"/>
  <c r="AS293" i="1"/>
  <c r="AS484" i="1"/>
  <c r="AS331" i="1"/>
  <c r="AS204" i="1"/>
  <c r="AS205" i="1"/>
  <c r="AS332" i="1"/>
  <c r="AS145" i="1"/>
  <c r="AS294" i="1"/>
  <c r="AS146" i="1"/>
  <c r="AS266" i="1"/>
  <c r="AS382" i="1"/>
  <c r="AS116" i="1"/>
  <c r="AS79" i="1"/>
  <c r="AS232" i="1"/>
  <c r="AS267" i="1"/>
  <c r="AS43" i="1"/>
  <c r="AS383" i="1"/>
  <c r="AS359" i="1"/>
  <c r="AS412" i="1"/>
  <c r="AS448" i="1"/>
  <c r="AS206" i="1"/>
  <c r="AS147" i="1"/>
  <c r="AS207" i="1"/>
  <c r="AS449" i="1"/>
  <c r="AS171" i="1"/>
  <c r="AS295" i="1"/>
  <c r="AS172" i="1"/>
  <c r="AS80" i="1"/>
  <c r="AS384" i="1"/>
  <c r="AS148" i="1"/>
  <c r="AS117" i="1"/>
  <c r="AS173" i="1"/>
  <c r="AS450" i="1"/>
  <c r="AS485" i="1"/>
  <c r="AS233" i="1"/>
  <c r="AS333" i="1"/>
  <c r="AS81" i="1"/>
  <c r="AS385" i="1"/>
  <c r="AS386" i="1"/>
  <c r="AS118" i="1"/>
  <c r="AS268" i="1"/>
  <c r="AS334" i="1"/>
  <c r="AS387" i="1"/>
  <c r="AS512" i="1"/>
  <c r="AS296" i="1"/>
  <c r="AS513" i="1"/>
  <c r="AS360" i="1"/>
  <c r="AS413" i="1"/>
  <c r="AS361" i="1"/>
  <c r="AS388" i="1"/>
  <c r="AS451" i="1"/>
  <c r="AS297" i="1"/>
  <c r="AS174" i="1"/>
  <c r="AS44" i="1"/>
  <c r="AS414" i="1"/>
  <c r="AS82" i="1"/>
  <c r="AS269" i="1"/>
  <c r="AS415" i="1"/>
  <c r="AS416" i="1"/>
  <c r="AS389" i="1"/>
  <c r="AS514" i="1"/>
  <c r="AS417" i="1"/>
  <c r="AS452" i="1"/>
  <c r="AS486" i="1"/>
  <c r="AS390" i="1"/>
  <c r="AS234" i="1"/>
  <c r="AS149" i="1"/>
  <c r="AS298" i="1"/>
  <c r="AS175" i="1"/>
  <c r="AS270" i="1"/>
  <c r="AS83" i="1"/>
  <c r="AS45" i="1"/>
  <c r="AS176" i="1"/>
  <c r="AS119" i="1"/>
  <c r="AS46" i="1"/>
  <c r="AS453" i="1"/>
  <c r="AS47" i="1"/>
  <c r="AS515" i="1"/>
  <c r="AS48" i="1"/>
  <c r="AS150" i="1"/>
  <c r="AS49" i="1"/>
  <c r="AS208" i="1"/>
  <c r="AS235" i="1"/>
  <c r="AS454" i="1"/>
  <c r="AS362" i="1"/>
  <c r="AS335" i="1"/>
  <c r="AS177" i="1"/>
  <c r="AS178" i="1"/>
  <c r="AS236" i="1"/>
  <c r="AS455" i="1"/>
  <c r="AS336" i="1"/>
  <c r="AS516" i="1"/>
  <c r="AS179" i="1"/>
  <c r="AS84" i="1"/>
  <c r="AS50" i="1"/>
  <c r="AS456" i="1"/>
  <c r="AS418" i="1"/>
  <c r="AS271" i="1"/>
  <c r="AS180" i="1"/>
  <c r="AS272" i="1"/>
  <c r="AS487" i="1"/>
  <c r="AS51" i="1"/>
  <c r="AS85" i="1"/>
  <c r="AS120" i="1"/>
  <c r="AS151" i="1"/>
  <c r="AS52" i="1"/>
  <c r="AS273" i="1"/>
  <c r="AS363" i="1"/>
  <c r="AS53" i="1"/>
  <c r="AS457" i="1"/>
  <c r="AS337" i="1"/>
  <c r="AS86" i="1"/>
  <c r="AS391" i="1"/>
  <c r="AS121" i="1"/>
  <c r="AS87" i="1"/>
  <c r="AS88" i="1"/>
  <c r="AS122" i="1"/>
  <c r="AS237" i="1"/>
  <c r="AS274" i="1"/>
  <c r="AS517" i="1"/>
  <c r="AS89" i="1"/>
  <c r="AS209" i="1"/>
  <c r="AS364" i="1"/>
  <c r="AS210" i="1"/>
  <c r="AS488" i="1"/>
  <c r="AS181" i="1"/>
  <c r="AS489" i="1"/>
  <c r="AS419" i="1"/>
  <c r="AS392" i="1"/>
  <c r="AR458" i="1"/>
  <c r="AR152" i="1"/>
  <c r="AR182" i="1"/>
  <c r="AR238" i="1"/>
  <c r="AR420" i="1"/>
  <c r="AR239" i="1"/>
  <c r="AR299" i="1"/>
  <c r="AR54" i="1"/>
  <c r="AR183" i="1"/>
  <c r="AR153" i="1"/>
  <c r="AR184" i="1"/>
  <c r="AR185" i="1"/>
  <c r="AR459" i="1"/>
  <c r="AR365" i="1"/>
  <c r="AR240" i="1"/>
  <c r="AR460" i="1"/>
  <c r="AR90" i="1"/>
  <c r="AR338" i="1"/>
  <c r="AR55" i="1"/>
  <c r="AR393" i="1"/>
  <c r="AR275" i="1"/>
  <c r="AR421" i="1"/>
  <c r="AR490" i="1"/>
  <c r="AR154" i="1"/>
  <c r="AR339" i="1"/>
  <c r="AR340" i="1"/>
  <c r="AR491" i="1"/>
  <c r="AR123" i="1"/>
  <c r="AR18" i="1"/>
  <c r="AR241" i="1"/>
  <c r="AR366" i="1"/>
  <c r="AR341" i="1"/>
  <c r="AR300" i="1"/>
  <c r="AR56" i="1"/>
  <c r="AR91" i="1"/>
  <c r="AR186" i="1"/>
  <c r="AR422" i="1"/>
  <c r="AR461" i="1"/>
  <c r="AR342" i="1"/>
  <c r="AR19" i="1"/>
  <c r="AR492" i="1"/>
  <c r="AR92" i="1"/>
  <c r="AR57" i="1"/>
  <c r="AR211" i="1"/>
  <c r="AR124" i="1"/>
  <c r="AR343" i="1"/>
  <c r="AR242" i="1"/>
  <c r="AR344" i="1"/>
  <c r="AR301" i="1"/>
  <c r="AR212" i="1"/>
  <c r="AR125" i="1"/>
  <c r="AR126" i="1"/>
  <c r="AR394" i="1"/>
  <c r="AR345" i="1"/>
  <c r="AR127" i="1"/>
  <c r="AR493" i="1"/>
  <c r="AR462" i="1"/>
  <c r="AR302" i="1"/>
  <c r="AR463" i="1"/>
  <c r="AR395" i="1"/>
  <c r="AR93" i="1"/>
  <c r="AR367" i="1"/>
  <c r="AR155" i="1"/>
  <c r="AR58" i="1"/>
  <c r="AR303" i="1"/>
  <c r="AR213" i="1"/>
  <c r="AR20" i="1"/>
  <c r="AR243" i="1"/>
  <c r="AR423" i="1"/>
  <c r="AR94" i="1"/>
  <c r="AR244" i="1"/>
  <c r="AR21" i="1"/>
  <c r="AR22" i="1"/>
  <c r="AR424" i="1"/>
  <c r="AR494" i="1"/>
  <c r="AR276" i="1"/>
  <c r="AR368" i="1"/>
  <c r="AR156" i="1"/>
  <c r="AR157" i="1"/>
  <c r="AR304" i="1"/>
  <c r="AR425" i="1"/>
  <c r="AR495" i="1"/>
  <c r="AR23" i="1"/>
  <c r="AR24" i="1"/>
  <c r="AR245" i="1"/>
  <c r="AR95" i="1"/>
  <c r="AR246" i="1"/>
  <c r="AR369" i="1"/>
  <c r="AR25" i="1"/>
  <c r="AR247" i="1"/>
  <c r="AR26" i="1"/>
  <c r="AR214" i="1"/>
  <c r="AR59" i="1"/>
  <c r="AR187" i="1"/>
  <c r="AR426" i="1"/>
  <c r="AR277" i="1"/>
  <c r="AR464" i="1"/>
  <c r="AR215" i="1"/>
  <c r="AR188" i="1"/>
  <c r="AR396" i="1"/>
  <c r="AR248" i="1"/>
  <c r="AR249" i="1"/>
  <c r="AR278" i="1"/>
  <c r="AR27" i="1"/>
  <c r="AR370" i="1"/>
  <c r="AR279" i="1"/>
  <c r="AR96" i="1"/>
  <c r="AR60" i="1"/>
  <c r="AR61" i="1"/>
  <c r="AR305" i="1"/>
  <c r="AR216" i="1"/>
  <c r="AR250" i="1"/>
  <c r="AR251" i="1"/>
  <c r="AR496" i="1"/>
  <c r="AR252" i="1"/>
  <c r="AR497" i="1"/>
  <c r="AR217" i="1"/>
  <c r="AR218" i="1"/>
  <c r="AR97" i="1"/>
  <c r="AR306" i="1"/>
  <c r="AR253" i="1"/>
  <c r="AR307" i="1"/>
  <c r="AR465" i="1"/>
  <c r="AR427" i="1"/>
  <c r="AR428" i="1"/>
  <c r="AR62" i="1"/>
  <c r="AR498" i="1"/>
  <c r="AR397" i="1"/>
  <c r="AR63" i="1"/>
  <c r="AR28" i="1"/>
  <c r="AR128" i="1"/>
  <c r="AR29" i="1"/>
  <c r="AR189" i="1"/>
  <c r="AR129" i="1"/>
  <c r="AR308" i="1"/>
  <c r="AR280" i="1"/>
  <c r="AR499" i="1"/>
  <c r="AR281" i="1"/>
  <c r="AR466" i="1"/>
  <c r="AR190" i="1"/>
  <c r="AR467" i="1"/>
  <c r="AR398" i="1"/>
  <c r="AR158" i="1"/>
  <c r="AR282" i="1"/>
  <c r="AR191" i="1"/>
  <c r="AR192" i="1"/>
  <c r="AR500" i="1"/>
  <c r="AR130" i="1"/>
  <c r="AR219" i="1"/>
  <c r="AR283" i="1"/>
  <c r="AR131" i="1"/>
  <c r="AR309" i="1"/>
  <c r="AR220" i="1"/>
  <c r="AR30" i="1"/>
  <c r="AR429" i="1"/>
  <c r="AR132" i="1"/>
  <c r="AR159" i="1"/>
  <c r="AR31" i="1"/>
  <c r="AR193" i="1"/>
  <c r="AR501" i="1"/>
  <c r="AR254" i="1"/>
  <c r="AR64" i="1"/>
  <c r="AR371" i="1"/>
  <c r="AR32" i="1"/>
  <c r="AR468" i="1"/>
  <c r="AR502" i="1"/>
  <c r="AR346" i="1"/>
  <c r="AR347" i="1"/>
  <c r="AR65" i="1"/>
  <c r="AR66" i="1"/>
  <c r="AR255" i="1"/>
  <c r="AR372" i="1"/>
  <c r="AR469" i="1"/>
  <c r="AR430" i="1"/>
  <c r="AR221" i="1"/>
  <c r="AR133" i="1"/>
  <c r="AR310" i="1"/>
  <c r="AR470" i="1"/>
  <c r="AR67" i="1"/>
  <c r="AR348" i="1"/>
  <c r="AR284" i="1"/>
  <c r="AR256" i="1"/>
  <c r="AR471" i="1"/>
  <c r="AR33" i="1"/>
  <c r="AR98" i="1"/>
  <c r="AR472" i="1"/>
  <c r="AR160" i="1"/>
  <c r="AR68" i="1"/>
  <c r="AR431" i="1"/>
  <c r="AR161" i="1"/>
  <c r="AR349" i="1"/>
  <c r="AR432" i="1"/>
  <c r="AR69" i="1"/>
  <c r="AR194" i="1"/>
  <c r="AR257" i="1"/>
  <c r="AR285" i="1"/>
  <c r="AR34" i="1"/>
  <c r="AR162" i="1"/>
  <c r="AR99" i="1"/>
  <c r="AR311" i="1"/>
  <c r="AR134" i="1"/>
  <c r="AR195" i="1"/>
  <c r="AR135" i="1"/>
  <c r="AR312" i="1"/>
  <c r="AR196" i="1"/>
  <c r="AR313" i="1"/>
  <c r="AR70" i="1"/>
  <c r="AR35" i="1"/>
  <c r="AR136" i="1"/>
  <c r="AR473" i="1"/>
  <c r="AR503" i="1"/>
  <c r="AR474" i="1"/>
  <c r="AR163" i="1"/>
  <c r="AR314" i="1"/>
  <c r="AR433" i="1"/>
  <c r="AR399" i="1"/>
  <c r="AR373" i="1"/>
  <c r="AR100" i="1"/>
  <c r="AR101" i="1"/>
  <c r="AR137" i="1"/>
  <c r="AR315" i="1"/>
  <c r="AR258" i="1"/>
  <c r="AR71" i="1"/>
  <c r="AR259" i="1"/>
  <c r="AR475" i="1"/>
  <c r="AR504" i="1"/>
  <c r="AR400" i="1"/>
  <c r="AR36" i="1"/>
  <c r="AR316" i="1"/>
  <c r="AR197" i="1"/>
  <c r="AR222" i="1"/>
  <c r="AR37" i="1"/>
  <c r="AR102" i="1"/>
  <c r="AR350" i="1"/>
  <c r="AR401" i="1"/>
  <c r="AR260" i="1"/>
  <c r="AR317" i="1"/>
  <c r="AR351" i="1"/>
  <c r="AR223" i="1"/>
  <c r="AR476" i="1"/>
  <c r="AR374" i="1"/>
  <c r="AR224" i="1"/>
  <c r="AR103" i="1"/>
  <c r="AR477" i="1"/>
  <c r="AR286" i="1"/>
  <c r="AR164" i="1"/>
  <c r="AR138" i="1"/>
  <c r="AR434" i="1"/>
  <c r="AR478" i="1"/>
  <c r="AR505" i="1"/>
  <c r="AR352" i="1"/>
  <c r="AR287" i="1"/>
  <c r="AR435" i="1"/>
  <c r="AR165" i="1"/>
  <c r="AR375" i="1"/>
  <c r="AR436" i="1"/>
  <c r="AR139" i="1"/>
  <c r="AR166" i="1"/>
  <c r="AR72" i="1"/>
  <c r="AR104" i="1"/>
  <c r="AR225" i="1"/>
  <c r="AR105" i="1"/>
  <c r="AR353" i="1"/>
  <c r="AR261" i="1"/>
  <c r="AR437" i="1"/>
  <c r="AR438" i="1"/>
  <c r="AR354" i="1"/>
  <c r="AR106" i="1"/>
  <c r="AR73" i="1"/>
  <c r="AR198" i="1"/>
  <c r="AR107" i="1"/>
  <c r="AR439" i="1"/>
  <c r="AR402" i="1"/>
  <c r="AR479" i="1"/>
  <c r="AR108" i="1"/>
  <c r="AR262" i="1"/>
  <c r="AR38" i="1"/>
  <c r="AR226" i="1"/>
  <c r="AR318" i="1"/>
  <c r="AR319" i="1"/>
  <c r="AR140" i="1"/>
  <c r="AR39" i="1"/>
  <c r="AR506" i="1"/>
  <c r="AR320" i="1"/>
  <c r="AR440" i="1"/>
  <c r="AR321" i="1"/>
  <c r="AR403" i="1"/>
  <c r="AR355" i="1"/>
  <c r="AR480" i="1"/>
  <c r="AR376" i="1"/>
  <c r="AR288" i="1"/>
  <c r="AR141" i="1"/>
  <c r="AR74" i="1"/>
  <c r="AR289" i="1"/>
  <c r="AR109" i="1"/>
  <c r="AR441" i="1"/>
  <c r="AR40" i="1"/>
  <c r="AR75" i="1"/>
  <c r="AR404" i="1"/>
  <c r="AR227" i="1"/>
  <c r="AR110" i="1"/>
  <c r="AR356" i="1"/>
  <c r="AR167" i="1"/>
  <c r="AR263" i="1"/>
  <c r="AR111" i="1"/>
  <c r="AR442" i="1"/>
  <c r="AR405" i="1"/>
  <c r="AR406" i="1"/>
  <c r="AR357" i="1"/>
  <c r="AR290" i="1"/>
  <c r="AR199" i="1"/>
  <c r="AR443" i="1"/>
  <c r="AR112" i="1"/>
  <c r="AR168" i="1"/>
  <c r="AR377" i="1"/>
  <c r="AR291" i="1"/>
  <c r="AR507" i="1"/>
  <c r="AR200" i="1"/>
  <c r="AR76" i="1"/>
  <c r="AR77" i="1"/>
  <c r="AR407" i="1"/>
  <c r="AR408" i="1"/>
  <c r="AR142" i="1"/>
  <c r="AR322" i="1"/>
  <c r="AR323" i="1"/>
  <c r="AR169" i="1"/>
  <c r="AR324" i="1"/>
  <c r="AR508" i="1"/>
  <c r="AR228" i="1"/>
  <c r="AR444" i="1"/>
  <c r="AR325" i="1"/>
  <c r="AR445" i="1"/>
  <c r="AR481" i="1"/>
  <c r="AR229" i="1"/>
  <c r="AR326" i="1"/>
  <c r="AR482" i="1"/>
  <c r="AR358" i="1"/>
  <c r="AR483" i="1"/>
  <c r="AR327" i="1"/>
  <c r="AR201" i="1"/>
  <c r="AR264" i="1"/>
  <c r="AR41" i="1"/>
  <c r="AR143" i="1"/>
  <c r="AR292" i="1"/>
  <c r="AR509" i="1"/>
  <c r="AR144" i="1"/>
  <c r="AR378" i="1"/>
  <c r="AR510" i="1"/>
  <c r="AR113" i="1"/>
  <c r="AR202" i="1"/>
  <c r="AR328" i="1"/>
  <c r="AR265" i="1"/>
  <c r="AR379" i="1"/>
  <c r="AR78" i="1"/>
  <c r="AR329" i="1"/>
  <c r="AR330" i="1"/>
  <c r="AR446" i="1"/>
  <c r="AR511" i="1"/>
  <c r="AR380" i="1"/>
  <c r="AR114" i="1"/>
  <c r="AR409" i="1"/>
  <c r="AR381" i="1"/>
  <c r="AR230" i="1"/>
  <c r="AR170" i="1"/>
  <c r="AR115" i="1"/>
  <c r="AR410" i="1"/>
  <c r="AR447" i="1"/>
  <c r="AR42" i="1"/>
  <c r="AR231" i="1"/>
  <c r="AR203" i="1"/>
  <c r="AR411" i="1"/>
  <c r="AR293" i="1"/>
  <c r="AR484" i="1"/>
  <c r="AR331" i="1"/>
  <c r="AR204" i="1"/>
  <c r="AR205" i="1"/>
  <c r="AR332" i="1"/>
  <c r="AR145" i="1"/>
  <c r="AR294" i="1"/>
  <c r="AR146" i="1"/>
  <c r="AR266" i="1"/>
  <c r="AR382" i="1"/>
  <c r="AR116" i="1"/>
  <c r="AR79" i="1"/>
  <c r="AR232" i="1"/>
  <c r="AR267" i="1"/>
  <c r="AR43" i="1"/>
  <c r="AR383" i="1"/>
  <c r="AR359" i="1"/>
  <c r="AR412" i="1"/>
  <c r="AR448" i="1"/>
  <c r="AR206" i="1"/>
  <c r="AR147" i="1"/>
  <c r="AR207" i="1"/>
  <c r="AR449" i="1"/>
  <c r="AR171" i="1"/>
  <c r="AR295" i="1"/>
  <c r="AR172" i="1"/>
  <c r="AR80" i="1"/>
  <c r="AR384" i="1"/>
  <c r="AR148" i="1"/>
  <c r="AR117" i="1"/>
  <c r="AR173" i="1"/>
  <c r="AR450" i="1"/>
  <c r="AR485" i="1"/>
  <c r="AR233" i="1"/>
  <c r="AR333" i="1"/>
  <c r="AR81" i="1"/>
  <c r="AR385" i="1"/>
  <c r="AR386" i="1"/>
  <c r="AR118" i="1"/>
  <c r="AR268" i="1"/>
  <c r="AR334" i="1"/>
  <c r="AR387" i="1"/>
  <c r="AR512" i="1"/>
  <c r="AR296" i="1"/>
  <c r="AR513" i="1"/>
  <c r="AR360" i="1"/>
  <c r="AR413" i="1"/>
  <c r="AR361" i="1"/>
  <c r="AR388" i="1"/>
  <c r="AR451" i="1"/>
  <c r="AR297" i="1"/>
  <c r="AR174" i="1"/>
  <c r="AR44" i="1"/>
  <c r="AR414" i="1"/>
  <c r="AR82" i="1"/>
  <c r="AR269" i="1"/>
  <c r="AR415" i="1"/>
  <c r="AR416" i="1"/>
  <c r="AR389" i="1"/>
  <c r="AR514" i="1"/>
  <c r="AR417" i="1"/>
  <c r="AR452" i="1"/>
  <c r="AR486" i="1"/>
  <c r="AR390" i="1"/>
  <c r="AR234" i="1"/>
  <c r="AR149" i="1"/>
  <c r="AR298" i="1"/>
  <c r="AR175" i="1"/>
  <c r="AR270" i="1"/>
  <c r="AR83" i="1"/>
  <c r="AR45" i="1"/>
  <c r="AR176" i="1"/>
  <c r="AR119" i="1"/>
  <c r="AR46" i="1"/>
  <c r="AR453" i="1"/>
  <c r="AR47" i="1"/>
  <c r="AR515" i="1"/>
  <c r="AR48" i="1"/>
  <c r="AR150" i="1"/>
  <c r="AR49" i="1"/>
  <c r="AR208" i="1"/>
  <c r="AR235" i="1"/>
  <c r="AR454" i="1"/>
  <c r="AR362" i="1"/>
  <c r="AR335" i="1"/>
  <c r="AR177" i="1"/>
  <c r="AR178" i="1"/>
  <c r="AR236" i="1"/>
  <c r="AR455" i="1"/>
  <c r="AR336" i="1"/>
  <c r="AR516" i="1"/>
  <c r="AR179" i="1"/>
  <c r="AR84" i="1"/>
  <c r="AR50" i="1"/>
  <c r="AR456" i="1"/>
  <c r="AR418" i="1"/>
  <c r="AR271" i="1"/>
  <c r="AR180" i="1"/>
  <c r="AR272" i="1"/>
  <c r="AR487" i="1"/>
  <c r="AR51" i="1"/>
  <c r="AR85" i="1"/>
  <c r="AR120" i="1"/>
  <c r="AR151" i="1"/>
  <c r="AR52" i="1"/>
  <c r="AR273" i="1"/>
  <c r="AR363" i="1"/>
  <c r="AR53" i="1"/>
  <c r="AR457" i="1"/>
  <c r="AR337" i="1"/>
  <c r="AR86" i="1"/>
  <c r="AR391" i="1"/>
  <c r="AR121" i="1"/>
  <c r="AR87" i="1"/>
  <c r="AR88" i="1"/>
  <c r="AR122" i="1"/>
  <c r="AR237" i="1"/>
  <c r="AR274" i="1"/>
  <c r="AR517" i="1"/>
  <c r="AR89" i="1"/>
  <c r="AR209" i="1"/>
  <c r="AR364" i="1"/>
  <c r="AR210" i="1"/>
  <c r="AR488" i="1"/>
  <c r="AR181" i="1"/>
  <c r="AR489" i="1"/>
  <c r="AR419" i="1"/>
  <c r="AR392" i="1"/>
  <c r="AP458" i="1"/>
  <c r="AP152" i="1"/>
  <c r="AP182" i="1"/>
  <c r="AP238" i="1"/>
  <c r="AP420" i="1"/>
  <c r="AP239" i="1"/>
  <c r="AP299" i="1"/>
  <c r="AP54" i="1"/>
  <c r="AP183" i="1"/>
  <c r="AP153" i="1"/>
  <c r="AP184" i="1"/>
  <c r="AP185" i="1"/>
  <c r="AP459" i="1"/>
  <c r="AP365" i="1"/>
  <c r="AP240" i="1"/>
  <c r="AP460" i="1"/>
  <c r="AP90" i="1"/>
  <c r="AP338" i="1"/>
  <c r="AP55" i="1"/>
  <c r="AP393" i="1"/>
  <c r="AP275" i="1"/>
  <c r="AP421" i="1"/>
  <c r="AP490" i="1"/>
  <c r="AP154" i="1"/>
  <c r="AP339" i="1"/>
  <c r="AP340" i="1"/>
  <c r="AP491" i="1"/>
  <c r="AP123" i="1"/>
  <c r="AP18" i="1"/>
  <c r="AP241" i="1"/>
  <c r="AP366" i="1"/>
  <c r="AP341" i="1"/>
  <c r="AP300" i="1"/>
  <c r="AP56" i="1"/>
  <c r="AP91" i="1"/>
  <c r="AP186" i="1"/>
  <c r="AP422" i="1"/>
  <c r="AP461" i="1"/>
  <c r="AP342" i="1"/>
  <c r="AP19" i="1"/>
  <c r="AP492" i="1"/>
  <c r="AP92" i="1"/>
  <c r="AP57" i="1"/>
  <c r="AP211" i="1"/>
  <c r="AP124" i="1"/>
  <c r="AP343" i="1"/>
  <c r="AP242" i="1"/>
  <c r="AP344" i="1"/>
  <c r="AP301" i="1"/>
  <c r="AP212" i="1"/>
  <c r="AP125" i="1"/>
  <c r="AP126" i="1"/>
  <c r="AP394" i="1"/>
  <c r="AP345" i="1"/>
  <c r="AP127" i="1"/>
  <c r="AP493" i="1"/>
  <c r="AP462" i="1"/>
  <c r="AP302" i="1"/>
  <c r="AP463" i="1"/>
  <c r="AP395" i="1"/>
  <c r="AP93" i="1"/>
  <c r="AP367" i="1"/>
  <c r="AP155" i="1"/>
  <c r="AP58" i="1"/>
  <c r="AP303" i="1"/>
  <c r="AP213" i="1"/>
  <c r="AP20" i="1"/>
  <c r="AP243" i="1"/>
  <c r="AP423" i="1"/>
  <c r="AP94" i="1"/>
  <c r="AP244" i="1"/>
  <c r="AP21" i="1"/>
  <c r="AP22" i="1"/>
  <c r="AP424" i="1"/>
  <c r="AP494" i="1"/>
  <c r="AP276" i="1"/>
  <c r="AP368" i="1"/>
  <c r="AP156" i="1"/>
  <c r="AP157" i="1"/>
  <c r="AP304" i="1"/>
  <c r="AP425" i="1"/>
  <c r="AP495" i="1"/>
  <c r="AP23" i="1"/>
  <c r="AP24" i="1"/>
  <c r="AP245" i="1"/>
  <c r="AP95" i="1"/>
  <c r="AP246" i="1"/>
  <c r="AP369" i="1"/>
  <c r="AP25" i="1"/>
  <c r="AP247" i="1"/>
  <c r="AP26" i="1"/>
  <c r="AP214" i="1"/>
  <c r="AP59" i="1"/>
  <c r="AP187" i="1"/>
  <c r="AP426" i="1"/>
  <c r="AP277" i="1"/>
  <c r="AP464" i="1"/>
  <c r="AP215" i="1"/>
  <c r="AP188" i="1"/>
  <c r="AP396" i="1"/>
  <c r="AP248" i="1"/>
  <c r="AP249" i="1"/>
  <c r="AP278" i="1"/>
  <c r="AP27" i="1"/>
  <c r="AP370" i="1"/>
  <c r="AP279" i="1"/>
  <c r="AP96" i="1"/>
  <c r="AP60" i="1"/>
  <c r="AP61" i="1"/>
  <c r="AP305" i="1"/>
  <c r="AP216" i="1"/>
  <c r="AP250" i="1"/>
  <c r="AP251" i="1"/>
  <c r="AP496" i="1"/>
  <c r="AP252" i="1"/>
  <c r="AP497" i="1"/>
  <c r="AP217" i="1"/>
  <c r="AP218" i="1"/>
  <c r="AP97" i="1"/>
  <c r="AP306" i="1"/>
  <c r="AP253" i="1"/>
  <c r="AP307" i="1"/>
  <c r="AP465" i="1"/>
  <c r="AP427" i="1"/>
  <c r="AP428" i="1"/>
  <c r="AP62" i="1"/>
  <c r="AP498" i="1"/>
  <c r="AP397" i="1"/>
  <c r="AP63" i="1"/>
  <c r="AP28" i="1"/>
  <c r="AP128" i="1"/>
  <c r="AP29" i="1"/>
  <c r="AP189" i="1"/>
  <c r="AP129" i="1"/>
  <c r="AP308" i="1"/>
  <c r="AP280" i="1"/>
  <c r="AP499" i="1"/>
  <c r="AP281" i="1"/>
  <c r="AP466" i="1"/>
  <c r="AP190" i="1"/>
  <c r="AP467" i="1"/>
  <c r="AP398" i="1"/>
  <c r="AP158" i="1"/>
  <c r="AP282" i="1"/>
  <c r="AP191" i="1"/>
  <c r="AP192" i="1"/>
  <c r="AP500" i="1"/>
  <c r="AP130" i="1"/>
  <c r="AP219" i="1"/>
  <c r="AP283" i="1"/>
  <c r="AP131" i="1"/>
  <c r="AP309" i="1"/>
  <c r="AP220" i="1"/>
  <c r="AP30" i="1"/>
  <c r="AP429" i="1"/>
  <c r="AP132" i="1"/>
  <c r="AP159" i="1"/>
  <c r="AP31" i="1"/>
  <c r="AP193" i="1"/>
  <c r="AP501" i="1"/>
  <c r="AP254" i="1"/>
  <c r="AP64" i="1"/>
  <c r="AP371" i="1"/>
  <c r="AP32" i="1"/>
  <c r="AP468" i="1"/>
  <c r="AP502" i="1"/>
  <c r="AP346" i="1"/>
  <c r="AP347" i="1"/>
  <c r="AP65" i="1"/>
  <c r="AP66" i="1"/>
  <c r="AP255" i="1"/>
  <c r="AP372" i="1"/>
  <c r="AP469" i="1"/>
  <c r="AP430" i="1"/>
  <c r="AP221" i="1"/>
  <c r="AP133" i="1"/>
  <c r="AP310" i="1"/>
  <c r="AP470" i="1"/>
  <c r="AP67" i="1"/>
  <c r="AP348" i="1"/>
  <c r="AP284" i="1"/>
  <c r="AP256" i="1"/>
  <c r="AP471" i="1"/>
  <c r="AP33" i="1"/>
  <c r="AP98" i="1"/>
  <c r="AP472" i="1"/>
  <c r="AP160" i="1"/>
  <c r="AP68" i="1"/>
  <c r="AP431" i="1"/>
  <c r="AP161" i="1"/>
  <c r="AP349" i="1"/>
  <c r="AP432" i="1"/>
  <c r="AP69" i="1"/>
  <c r="AP194" i="1"/>
  <c r="AP257" i="1"/>
  <c r="AP285" i="1"/>
  <c r="AP34" i="1"/>
  <c r="AP162" i="1"/>
  <c r="AP99" i="1"/>
  <c r="AP311" i="1"/>
  <c r="AP134" i="1"/>
  <c r="AP195" i="1"/>
  <c r="AP135" i="1"/>
  <c r="AP312" i="1"/>
  <c r="AP196" i="1"/>
  <c r="AP313" i="1"/>
  <c r="AP70" i="1"/>
  <c r="AP35" i="1"/>
  <c r="AP136" i="1"/>
  <c r="AP473" i="1"/>
  <c r="AP503" i="1"/>
  <c r="AP474" i="1"/>
  <c r="AP163" i="1"/>
  <c r="AP314" i="1"/>
  <c r="AP433" i="1"/>
  <c r="AP399" i="1"/>
  <c r="AP373" i="1"/>
  <c r="AP100" i="1"/>
  <c r="AP101" i="1"/>
  <c r="AP137" i="1"/>
  <c r="AP315" i="1"/>
  <c r="AP258" i="1"/>
  <c r="AP71" i="1"/>
  <c r="AP259" i="1"/>
  <c r="AP475" i="1"/>
  <c r="AP504" i="1"/>
  <c r="AP400" i="1"/>
  <c r="AP36" i="1"/>
  <c r="AP316" i="1"/>
  <c r="AP197" i="1"/>
  <c r="AP222" i="1"/>
  <c r="AP37" i="1"/>
  <c r="AP102" i="1"/>
  <c r="AP350" i="1"/>
  <c r="AP401" i="1"/>
  <c r="AP260" i="1"/>
  <c r="AP317" i="1"/>
  <c r="AP351" i="1"/>
  <c r="AP223" i="1"/>
  <c r="AP476" i="1"/>
  <c r="AP374" i="1"/>
  <c r="AP224" i="1"/>
  <c r="AP103" i="1"/>
  <c r="AP477" i="1"/>
  <c r="AP286" i="1"/>
  <c r="AP164" i="1"/>
  <c r="AP138" i="1"/>
  <c r="AP434" i="1"/>
  <c r="AP478" i="1"/>
  <c r="AP505" i="1"/>
  <c r="AP352" i="1"/>
  <c r="AP287" i="1"/>
  <c r="AP435" i="1"/>
  <c r="AP165" i="1"/>
  <c r="AP375" i="1"/>
  <c r="AP436" i="1"/>
  <c r="AP139" i="1"/>
  <c r="AP166" i="1"/>
  <c r="AP72" i="1"/>
  <c r="AP104" i="1"/>
  <c r="AP225" i="1"/>
  <c r="AP105" i="1"/>
  <c r="AP353" i="1"/>
  <c r="AP261" i="1"/>
  <c r="AP437" i="1"/>
  <c r="AP438" i="1"/>
  <c r="AP354" i="1"/>
  <c r="AP106" i="1"/>
  <c r="AP73" i="1"/>
  <c r="AP198" i="1"/>
  <c r="AP107" i="1"/>
  <c r="AP439" i="1"/>
  <c r="AP402" i="1"/>
  <c r="AP479" i="1"/>
  <c r="AP108" i="1"/>
  <c r="AP262" i="1"/>
  <c r="AP38" i="1"/>
  <c r="AP226" i="1"/>
  <c r="AP318" i="1"/>
  <c r="AP319" i="1"/>
  <c r="AP140" i="1"/>
  <c r="AP39" i="1"/>
  <c r="AP506" i="1"/>
  <c r="AP320" i="1"/>
  <c r="AP440" i="1"/>
  <c r="AP321" i="1"/>
  <c r="AP403" i="1"/>
  <c r="AP355" i="1"/>
  <c r="AP480" i="1"/>
  <c r="AP376" i="1"/>
  <c r="AP288" i="1"/>
  <c r="AP141" i="1"/>
  <c r="AP74" i="1"/>
  <c r="AP289" i="1"/>
  <c r="AP109" i="1"/>
  <c r="AP441" i="1"/>
  <c r="AP40" i="1"/>
  <c r="AP75" i="1"/>
  <c r="AP404" i="1"/>
  <c r="AP227" i="1"/>
  <c r="AP110" i="1"/>
  <c r="AP356" i="1"/>
  <c r="AP167" i="1"/>
  <c r="AP263" i="1"/>
  <c r="AP111" i="1"/>
  <c r="AP442" i="1"/>
  <c r="AP405" i="1"/>
  <c r="AP406" i="1"/>
  <c r="AP357" i="1"/>
  <c r="AP290" i="1"/>
  <c r="AP199" i="1"/>
  <c r="AP443" i="1"/>
  <c r="AP112" i="1"/>
  <c r="AP168" i="1"/>
  <c r="AP377" i="1"/>
  <c r="AP291" i="1"/>
  <c r="AP507" i="1"/>
  <c r="AP200" i="1"/>
  <c r="AP76" i="1"/>
  <c r="AP77" i="1"/>
  <c r="AP407" i="1"/>
  <c r="AP408" i="1"/>
  <c r="AP142" i="1"/>
  <c r="AP322" i="1"/>
  <c r="AP323" i="1"/>
  <c r="AP169" i="1"/>
  <c r="AP324" i="1"/>
  <c r="AP508" i="1"/>
  <c r="AP228" i="1"/>
  <c r="AP444" i="1"/>
  <c r="AP325" i="1"/>
  <c r="AP445" i="1"/>
  <c r="AP481" i="1"/>
  <c r="AP229" i="1"/>
  <c r="AP326" i="1"/>
  <c r="AP482" i="1"/>
  <c r="AP358" i="1"/>
  <c r="AP483" i="1"/>
  <c r="AP327" i="1"/>
  <c r="AP201" i="1"/>
  <c r="AP264" i="1"/>
  <c r="AP41" i="1"/>
  <c r="AP143" i="1"/>
  <c r="AP292" i="1"/>
  <c r="AP509" i="1"/>
  <c r="AP144" i="1"/>
  <c r="AP378" i="1"/>
  <c r="AP510" i="1"/>
  <c r="AP113" i="1"/>
  <c r="AP202" i="1"/>
  <c r="AP328" i="1"/>
  <c r="AP265" i="1"/>
  <c r="AP379" i="1"/>
  <c r="AP78" i="1"/>
  <c r="AP329" i="1"/>
  <c r="AP330" i="1"/>
  <c r="AP446" i="1"/>
  <c r="AP511" i="1"/>
  <c r="AP380" i="1"/>
  <c r="AP114" i="1"/>
  <c r="AP409" i="1"/>
  <c r="AP381" i="1"/>
  <c r="AP230" i="1"/>
  <c r="AP170" i="1"/>
  <c r="AP115" i="1"/>
  <c r="AP410" i="1"/>
  <c r="AP447" i="1"/>
  <c r="AP42" i="1"/>
  <c r="AP231" i="1"/>
  <c r="AP203" i="1"/>
  <c r="AP411" i="1"/>
  <c r="AP293" i="1"/>
  <c r="AP484" i="1"/>
  <c r="AP331" i="1"/>
  <c r="AP204" i="1"/>
  <c r="AP205" i="1"/>
  <c r="AP332" i="1"/>
  <c r="AP145" i="1"/>
  <c r="AP294" i="1"/>
  <c r="AP146" i="1"/>
  <c r="AP266" i="1"/>
  <c r="AP382" i="1"/>
  <c r="AP116" i="1"/>
  <c r="AP79" i="1"/>
  <c r="AP232" i="1"/>
  <c r="AP267" i="1"/>
  <c r="AP43" i="1"/>
  <c r="AP383" i="1"/>
  <c r="AP359" i="1"/>
  <c r="AP412" i="1"/>
  <c r="AP448" i="1"/>
  <c r="AP206" i="1"/>
  <c r="AP147" i="1"/>
  <c r="AP207" i="1"/>
  <c r="AP449" i="1"/>
  <c r="AP171" i="1"/>
  <c r="AP295" i="1"/>
  <c r="AP172" i="1"/>
  <c r="AP80" i="1"/>
  <c r="AP384" i="1"/>
  <c r="AP148" i="1"/>
  <c r="AP117" i="1"/>
  <c r="AP173" i="1"/>
  <c r="AP450" i="1"/>
  <c r="AP485" i="1"/>
  <c r="AP233" i="1"/>
  <c r="AP333" i="1"/>
  <c r="AP81" i="1"/>
  <c r="AP385" i="1"/>
  <c r="AP386" i="1"/>
  <c r="AP118" i="1"/>
  <c r="AP268" i="1"/>
  <c r="AP334" i="1"/>
  <c r="AP387" i="1"/>
  <c r="AP512" i="1"/>
  <c r="AP296" i="1"/>
  <c r="AP513" i="1"/>
  <c r="AP360" i="1"/>
  <c r="AP413" i="1"/>
  <c r="AP361" i="1"/>
  <c r="AP388" i="1"/>
  <c r="AP451" i="1"/>
  <c r="AP297" i="1"/>
  <c r="AP174" i="1"/>
  <c r="AP44" i="1"/>
  <c r="AP414" i="1"/>
  <c r="AP82" i="1"/>
  <c r="AP269" i="1"/>
  <c r="AP415" i="1"/>
  <c r="AP416" i="1"/>
  <c r="AP389" i="1"/>
  <c r="AP514" i="1"/>
  <c r="AP417" i="1"/>
  <c r="AP452" i="1"/>
  <c r="AP486" i="1"/>
  <c r="AP390" i="1"/>
  <c r="AP234" i="1"/>
  <c r="AP149" i="1"/>
  <c r="AP298" i="1"/>
  <c r="AP175" i="1"/>
  <c r="AP270" i="1"/>
  <c r="AP83" i="1"/>
  <c r="AP45" i="1"/>
  <c r="AP176" i="1"/>
  <c r="AP119" i="1"/>
  <c r="AP46" i="1"/>
  <c r="AP453" i="1"/>
  <c r="AP47" i="1"/>
  <c r="AP515" i="1"/>
  <c r="AP48" i="1"/>
  <c r="AP150" i="1"/>
  <c r="AP49" i="1"/>
  <c r="AP208" i="1"/>
  <c r="AP235" i="1"/>
  <c r="AP454" i="1"/>
  <c r="AP362" i="1"/>
  <c r="AP335" i="1"/>
  <c r="AP177" i="1"/>
  <c r="AP178" i="1"/>
  <c r="AP236" i="1"/>
  <c r="AP455" i="1"/>
  <c r="AP336" i="1"/>
  <c r="AP516" i="1"/>
  <c r="AP179" i="1"/>
  <c r="AP84" i="1"/>
  <c r="AP50" i="1"/>
  <c r="AP456" i="1"/>
  <c r="AP418" i="1"/>
  <c r="AP271" i="1"/>
  <c r="AP180" i="1"/>
  <c r="AP272" i="1"/>
  <c r="AP487" i="1"/>
  <c r="AP51" i="1"/>
  <c r="AP85" i="1"/>
  <c r="AP120" i="1"/>
  <c r="AP151" i="1"/>
  <c r="AP52" i="1"/>
  <c r="AP273" i="1"/>
  <c r="AP363" i="1"/>
  <c r="AP53" i="1"/>
  <c r="AP457" i="1"/>
  <c r="AP337" i="1"/>
  <c r="AP86" i="1"/>
  <c r="AP391" i="1"/>
  <c r="AP121" i="1"/>
  <c r="AP87" i="1"/>
  <c r="AP88" i="1"/>
  <c r="AP122" i="1"/>
  <c r="AP237" i="1"/>
  <c r="AP274" i="1"/>
  <c r="AP517" i="1"/>
  <c r="AP89" i="1"/>
  <c r="AP209" i="1"/>
  <c r="AP364" i="1"/>
  <c r="AP210" i="1"/>
  <c r="AP488" i="1"/>
  <c r="AP181" i="1"/>
  <c r="AP489" i="1"/>
  <c r="AP419" i="1"/>
  <c r="AP392" i="1"/>
  <c r="C23" i="2"/>
  <c r="C21" i="2"/>
  <c r="E20" i="2"/>
  <c r="D20" i="2"/>
  <c r="C20" i="2"/>
  <c r="AO458" i="1"/>
  <c r="AO152" i="1"/>
  <c r="AO182" i="1"/>
  <c r="AO238" i="1"/>
  <c r="AO420" i="1"/>
  <c r="AO239" i="1"/>
  <c r="AO299" i="1"/>
  <c r="AO54" i="1"/>
  <c r="AO183" i="1"/>
  <c r="AO153" i="1"/>
  <c r="AO184" i="1"/>
  <c r="AO185" i="1"/>
  <c r="AO459" i="1"/>
  <c r="AO365" i="1"/>
  <c r="AO240" i="1"/>
  <c r="AO460" i="1"/>
  <c r="AO90" i="1"/>
  <c r="AO338" i="1"/>
  <c r="AO55" i="1"/>
  <c r="AO393" i="1"/>
  <c r="AO275" i="1"/>
  <c r="AO421" i="1"/>
  <c r="AO490" i="1"/>
  <c r="AO154" i="1"/>
  <c r="AO339" i="1"/>
  <c r="AO340" i="1"/>
  <c r="AO491" i="1"/>
  <c r="AO123" i="1"/>
  <c r="AO18" i="1"/>
  <c r="AO241" i="1"/>
  <c r="AO366" i="1"/>
  <c r="AO341" i="1"/>
  <c r="AO300" i="1"/>
  <c r="AO56" i="1"/>
  <c r="AO91" i="1"/>
  <c r="AO186" i="1"/>
  <c r="AO422" i="1"/>
  <c r="AO461" i="1"/>
  <c r="AO342" i="1"/>
  <c r="AO19" i="1"/>
  <c r="AO492" i="1"/>
  <c r="AO92" i="1"/>
  <c r="AO57" i="1"/>
  <c r="AO211" i="1"/>
  <c r="AO124" i="1"/>
  <c r="AO343" i="1"/>
  <c r="AO242" i="1"/>
  <c r="AO344" i="1"/>
  <c r="AO301" i="1"/>
  <c r="AO212" i="1"/>
  <c r="AO125" i="1"/>
  <c r="AO126" i="1"/>
  <c r="AO394" i="1"/>
  <c r="AO345" i="1"/>
  <c r="AO127" i="1"/>
  <c r="AO493" i="1"/>
  <c r="AO462" i="1"/>
  <c r="AO302" i="1"/>
  <c r="AO463" i="1"/>
  <c r="AO395" i="1"/>
  <c r="AO93" i="1"/>
  <c r="AO367" i="1"/>
  <c r="AO155" i="1"/>
  <c r="AO58" i="1"/>
  <c r="AO303" i="1"/>
  <c r="AO213" i="1"/>
  <c r="AO20" i="1"/>
  <c r="AO243" i="1"/>
  <c r="AO423" i="1"/>
  <c r="AO94" i="1"/>
  <c r="AO244" i="1"/>
  <c r="AO21" i="1"/>
  <c r="AO22" i="1"/>
  <c r="AO424" i="1"/>
  <c r="AO494" i="1"/>
  <c r="AO276" i="1"/>
  <c r="AO368" i="1"/>
  <c r="AO156" i="1"/>
  <c r="AO157" i="1"/>
  <c r="AO304" i="1"/>
  <c r="AO425" i="1"/>
  <c r="AO495" i="1"/>
  <c r="AO23" i="1"/>
  <c r="AO24" i="1"/>
  <c r="AO245" i="1"/>
  <c r="AO95" i="1"/>
  <c r="AO246" i="1"/>
  <c r="AO369" i="1"/>
  <c r="AO25" i="1"/>
  <c r="AO247" i="1"/>
  <c r="AO26" i="1"/>
  <c r="AO214" i="1"/>
  <c r="AO59" i="1"/>
  <c r="AO187" i="1"/>
  <c r="AO426" i="1"/>
  <c r="AO277" i="1"/>
  <c r="AO464" i="1"/>
  <c r="AO215" i="1"/>
  <c r="AO188" i="1"/>
  <c r="AO396" i="1"/>
  <c r="AO248" i="1"/>
  <c r="AO249" i="1"/>
  <c r="AO278" i="1"/>
  <c r="AO27" i="1"/>
  <c r="AO370" i="1"/>
  <c r="AO279" i="1"/>
  <c r="AO96" i="1"/>
  <c r="AO60" i="1"/>
  <c r="AO61" i="1"/>
  <c r="AO305" i="1"/>
  <c r="AO216" i="1"/>
  <c r="AO250" i="1"/>
  <c r="AO251" i="1"/>
  <c r="AO496" i="1"/>
  <c r="AO252" i="1"/>
  <c r="AO497" i="1"/>
  <c r="AO217" i="1"/>
  <c r="AO218" i="1"/>
  <c r="AO97" i="1"/>
  <c r="AO306" i="1"/>
  <c r="AO253" i="1"/>
  <c r="AO307" i="1"/>
  <c r="AO465" i="1"/>
  <c r="AO427" i="1"/>
  <c r="AO428" i="1"/>
  <c r="AO62" i="1"/>
  <c r="AO498" i="1"/>
  <c r="AO397" i="1"/>
  <c r="AO63" i="1"/>
  <c r="AO28" i="1"/>
  <c r="AO128" i="1"/>
  <c r="AO29" i="1"/>
  <c r="AO189" i="1"/>
  <c r="AO129" i="1"/>
  <c r="AO308" i="1"/>
  <c r="AO280" i="1"/>
  <c r="AO499" i="1"/>
  <c r="AO281" i="1"/>
  <c r="AO466" i="1"/>
  <c r="AO190" i="1"/>
  <c r="AO467" i="1"/>
  <c r="AO398" i="1"/>
  <c r="AO158" i="1"/>
  <c r="AO282" i="1"/>
  <c r="AO191" i="1"/>
  <c r="AO192" i="1"/>
  <c r="AO500" i="1"/>
  <c r="AO130" i="1"/>
  <c r="AO219" i="1"/>
  <c r="AO283" i="1"/>
  <c r="AO131" i="1"/>
  <c r="AO309" i="1"/>
  <c r="AO220" i="1"/>
  <c r="AO30" i="1"/>
  <c r="AO429" i="1"/>
  <c r="AO132" i="1"/>
  <c r="AO159" i="1"/>
  <c r="AO31" i="1"/>
  <c r="AO193" i="1"/>
  <c r="AO501" i="1"/>
  <c r="AO254" i="1"/>
  <c r="AO64" i="1"/>
  <c r="AO371" i="1"/>
  <c r="AO32" i="1"/>
  <c r="AO468" i="1"/>
  <c r="AO502" i="1"/>
  <c r="AO346" i="1"/>
  <c r="AO347" i="1"/>
  <c r="AO65" i="1"/>
  <c r="AO66" i="1"/>
  <c r="AO255" i="1"/>
  <c r="AO372" i="1"/>
  <c r="AO469" i="1"/>
  <c r="AO430" i="1"/>
  <c r="AO221" i="1"/>
  <c r="AO133" i="1"/>
  <c r="AO310" i="1"/>
  <c r="AO470" i="1"/>
  <c r="AO67" i="1"/>
  <c r="AO348" i="1"/>
  <c r="AO284" i="1"/>
  <c r="AO256" i="1"/>
  <c r="AO471" i="1"/>
  <c r="AO33" i="1"/>
  <c r="AO98" i="1"/>
  <c r="AO472" i="1"/>
  <c r="AO160" i="1"/>
  <c r="AO68" i="1"/>
  <c r="AO431" i="1"/>
  <c r="AO161" i="1"/>
  <c r="AO349" i="1"/>
  <c r="AO432" i="1"/>
  <c r="AO69" i="1"/>
  <c r="AO194" i="1"/>
  <c r="AO257" i="1"/>
  <c r="AO285" i="1"/>
  <c r="AO34" i="1"/>
  <c r="AO162" i="1"/>
  <c r="AO99" i="1"/>
  <c r="AO311" i="1"/>
  <c r="AO134" i="1"/>
  <c r="AO195" i="1"/>
  <c r="AO135" i="1"/>
  <c r="AO312" i="1"/>
  <c r="AO196" i="1"/>
  <c r="AO313" i="1"/>
  <c r="AO70" i="1"/>
  <c r="AO35" i="1"/>
  <c r="AO136" i="1"/>
  <c r="AO473" i="1"/>
  <c r="AO503" i="1"/>
  <c r="AO474" i="1"/>
  <c r="AO163" i="1"/>
  <c r="AO314" i="1"/>
  <c r="AO433" i="1"/>
  <c r="AO399" i="1"/>
  <c r="AO373" i="1"/>
  <c r="AO100" i="1"/>
  <c r="AO101" i="1"/>
  <c r="AO137" i="1"/>
  <c r="AO315" i="1"/>
  <c r="AO258" i="1"/>
  <c r="AO71" i="1"/>
  <c r="AO259" i="1"/>
  <c r="AO475" i="1"/>
  <c r="AO504" i="1"/>
  <c r="AO400" i="1"/>
  <c r="AO36" i="1"/>
  <c r="AO316" i="1"/>
  <c r="AO197" i="1"/>
  <c r="AO222" i="1"/>
  <c r="AO37" i="1"/>
  <c r="AO102" i="1"/>
  <c r="AO350" i="1"/>
  <c r="AO401" i="1"/>
  <c r="AO260" i="1"/>
  <c r="AO317" i="1"/>
  <c r="AO351" i="1"/>
  <c r="AO223" i="1"/>
  <c r="AO476" i="1"/>
  <c r="AO374" i="1"/>
  <c r="AO224" i="1"/>
  <c r="AO103" i="1"/>
  <c r="AO477" i="1"/>
  <c r="AO286" i="1"/>
  <c r="AO164" i="1"/>
  <c r="AO138" i="1"/>
  <c r="AO434" i="1"/>
  <c r="AO478" i="1"/>
  <c r="AO505" i="1"/>
  <c r="AO352" i="1"/>
  <c r="AO287" i="1"/>
  <c r="AO435" i="1"/>
  <c r="AO165" i="1"/>
  <c r="AO375" i="1"/>
  <c r="AO436" i="1"/>
  <c r="AO139" i="1"/>
  <c r="AO166" i="1"/>
  <c r="AO72" i="1"/>
  <c r="AO104" i="1"/>
  <c r="AO225" i="1"/>
  <c r="AO105" i="1"/>
  <c r="AO353" i="1"/>
  <c r="AO261" i="1"/>
  <c r="AO437" i="1"/>
  <c r="AO438" i="1"/>
  <c r="AO354" i="1"/>
  <c r="AO106" i="1"/>
  <c r="AO73" i="1"/>
  <c r="AO198" i="1"/>
  <c r="AO107" i="1"/>
  <c r="AO439" i="1"/>
  <c r="AO402" i="1"/>
  <c r="AO479" i="1"/>
  <c r="AO108" i="1"/>
  <c r="AO262" i="1"/>
  <c r="AO38" i="1"/>
  <c r="AO226" i="1"/>
  <c r="AO318" i="1"/>
  <c r="AO319" i="1"/>
  <c r="AO140" i="1"/>
  <c r="AO39" i="1"/>
  <c r="AO506" i="1"/>
  <c r="AO320" i="1"/>
  <c r="AO440" i="1"/>
  <c r="AO321" i="1"/>
  <c r="AO403" i="1"/>
  <c r="AO355" i="1"/>
  <c r="AO480" i="1"/>
  <c r="AO376" i="1"/>
  <c r="AO288" i="1"/>
  <c r="AO141" i="1"/>
  <c r="AO74" i="1"/>
  <c r="AO289" i="1"/>
  <c r="AO109" i="1"/>
  <c r="AO441" i="1"/>
  <c r="AO40" i="1"/>
  <c r="AO75" i="1"/>
  <c r="AO404" i="1"/>
  <c r="AO227" i="1"/>
  <c r="AO110" i="1"/>
  <c r="AO356" i="1"/>
  <c r="AO167" i="1"/>
  <c r="AO263" i="1"/>
  <c r="AO111" i="1"/>
  <c r="AO442" i="1"/>
  <c r="AO405" i="1"/>
  <c r="AO406" i="1"/>
  <c r="AO357" i="1"/>
  <c r="AO290" i="1"/>
  <c r="AO199" i="1"/>
  <c r="AO443" i="1"/>
  <c r="AO112" i="1"/>
  <c r="AO168" i="1"/>
  <c r="AO377" i="1"/>
  <c r="AO291" i="1"/>
  <c r="AO507" i="1"/>
  <c r="AO200" i="1"/>
  <c r="AO76" i="1"/>
  <c r="AO77" i="1"/>
  <c r="AO407" i="1"/>
  <c r="AO408" i="1"/>
  <c r="AO142" i="1"/>
  <c r="AO322" i="1"/>
  <c r="AO323" i="1"/>
  <c r="AO169" i="1"/>
  <c r="AO324" i="1"/>
  <c r="AO508" i="1"/>
  <c r="AO228" i="1"/>
  <c r="AO444" i="1"/>
  <c r="AO325" i="1"/>
  <c r="AO445" i="1"/>
  <c r="AO481" i="1"/>
  <c r="AO229" i="1"/>
  <c r="AO326" i="1"/>
  <c r="AO482" i="1"/>
  <c r="AO358" i="1"/>
  <c r="AO483" i="1"/>
  <c r="AO327" i="1"/>
  <c r="AO201" i="1"/>
  <c r="AO264" i="1"/>
  <c r="AO41" i="1"/>
  <c r="AO143" i="1"/>
  <c r="AO292" i="1"/>
  <c r="AO509" i="1"/>
  <c r="AO144" i="1"/>
  <c r="AO378" i="1"/>
  <c r="AO510" i="1"/>
  <c r="AO113" i="1"/>
  <c r="AO202" i="1"/>
  <c r="AO328" i="1"/>
  <c r="AO265" i="1"/>
  <c r="AO379" i="1"/>
  <c r="AO78" i="1"/>
  <c r="AO329" i="1"/>
  <c r="AO330" i="1"/>
  <c r="AO446" i="1"/>
  <c r="AO511" i="1"/>
  <c r="AO380" i="1"/>
  <c r="AO114" i="1"/>
  <c r="AO409" i="1"/>
  <c r="AO381" i="1"/>
  <c r="AO230" i="1"/>
  <c r="AO170" i="1"/>
  <c r="AO115" i="1"/>
  <c r="AO410" i="1"/>
  <c r="AO447" i="1"/>
  <c r="AO42" i="1"/>
  <c r="AO231" i="1"/>
  <c r="AO203" i="1"/>
  <c r="AO411" i="1"/>
  <c r="AO293" i="1"/>
  <c r="AO484" i="1"/>
  <c r="AO331" i="1"/>
  <c r="AO204" i="1"/>
  <c r="AO205" i="1"/>
  <c r="AO332" i="1"/>
  <c r="AO145" i="1"/>
  <c r="AO294" i="1"/>
  <c r="AO146" i="1"/>
  <c r="AO266" i="1"/>
  <c r="AO382" i="1"/>
  <c r="AO116" i="1"/>
  <c r="AO79" i="1"/>
  <c r="AO232" i="1"/>
  <c r="AO267" i="1"/>
  <c r="AO43" i="1"/>
  <c r="AO383" i="1"/>
  <c r="AO359" i="1"/>
  <c r="AO412" i="1"/>
  <c r="AO448" i="1"/>
  <c r="AO206" i="1"/>
  <c r="AO147" i="1"/>
  <c r="AO207" i="1"/>
  <c r="AO449" i="1"/>
  <c r="AO171" i="1"/>
  <c r="AO295" i="1"/>
  <c r="AO172" i="1"/>
  <c r="AO80" i="1"/>
  <c r="AO384" i="1"/>
  <c r="AO148" i="1"/>
  <c r="AO117" i="1"/>
  <c r="AO173" i="1"/>
  <c r="AO450" i="1"/>
  <c r="AO485" i="1"/>
  <c r="AO233" i="1"/>
  <c r="AO333" i="1"/>
  <c r="AO81" i="1"/>
  <c r="AO385" i="1"/>
  <c r="AO386" i="1"/>
  <c r="AO118" i="1"/>
  <c r="AO268" i="1"/>
  <c r="AO334" i="1"/>
  <c r="AO387" i="1"/>
  <c r="AO512" i="1"/>
  <c r="AO296" i="1"/>
  <c r="AO513" i="1"/>
  <c r="AO360" i="1"/>
  <c r="AO413" i="1"/>
  <c r="AO361" i="1"/>
  <c r="AO388" i="1"/>
  <c r="AO451" i="1"/>
  <c r="AO297" i="1"/>
  <c r="AO174" i="1"/>
  <c r="AO44" i="1"/>
  <c r="AO414" i="1"/>
  <c r="AO82" i="1"/>
  <c r="AO269" i="1"/>
  <c r="AO415" i="1"/>
  <c r="AO416" i="1"/>
  <c r="AO389" i="1"/>
  <c r="AO514" i="1"/>
  <c r="AO417" i="1"/>
  <c r="AO452" i="1"/>
  <c r="AO486" i="1"/>
  <c r="AO390" i="1"/>
  <c r="AO234" i="1"/>
  <c r="AO149" i="1"/>
  <c r="AO298" i="1"/>
  <c r="AO175" i="1"/>
  <c r="AO270" i="1"/>
  <c r="AO83" i="1"/>
  <c r="AO45" i="1"/>
  <c r="AO176" i="1"/>
  <c r="AO119" i="1"/>
  <c r="AO46" i="1"/>
  <c r="AO453" i="1"/>
  <c r="AO47" i="1"/>
  <c r="AO515" i="1"/>
  <c r="AO48" i="1"/>
  <c r="AO150" i="1"/>
  <c r="AO49" i="1"/>
  <c r="AO208" i="1"/>
  <c r="AO235" i="1"/>
  <c r="AO454" i="1"/>
  <c r="AO362" i="1"/>
  <c r="AO335" i="1"/>
  <c r="AO177" i="1"/>
  <c r="AO178" i="1"/>
  <c r="AO236" i="1"/>
  <c r="AO455" i="1"/>
  <c r="AO336" i="1"/>
  <c r="AO516" i="1"/>
  <c r="AO179" i="1"/>
  <c r="AO84" i="1"/>
  <c r="AO50" i="1"/>
  <c r="AO456" i="1"/>
  <c r="AO418" i="1"/>
  <c r="AO271" i="1"/>
  <c r="AO180" i="1"/>
  <c r="AO272" i="1"/>
  <c r="AO487" i="1"/>
  <c r="AO51" i="1"/>
  <c r="AO85" i="1"/>
  <c r="AO120" i="1"/>
  <c r="AO151" i="1"/>
  <c r="AO52" i="1"/>
  <c r="AO273" i="1"/>
  <c r="AO363" i="1"/>
  <c r="AO53" i="1"/>
  <c r="AO457" i="1"/>
  <c r="AO337" i="1"/>
  <c r="AO86" i="1"/>
  <c r="AO391" i="1"/>
  <c r="AO121" i="1"/>
  <c r="AO87" i="1"/>
  <c r="AO88" i="1"/>
  <c r="AO122" i="1"/>
  <c r="AO237" i="1"/>
  <c r="AO274" i="1"/>
  <c r="AO517" i="1"/>
  <c r="AO89" i="1"/>
  <c r="AO209" i="1"/>
  <c r="AO364" i="1"/>
  <c r="AO210" i="1"/>
  <c r="AO488" i="1"/>
  <c r="AO181" i="1"/>
  <c r="AO489" i="1"/>
  <c r="AO419" i="1"/>
  <c r="AO392" i="1"/>
  <c r="AM458" i="1"/>
  <c r="AM152" i="1"/>
  <c r="AM182" i="1"/>
  <c r="AM238" i="1"/>
  <c r="AM420" i="1"/>
  <c r="AM239" i="1"/>
  <c r="AM299" i="1"/>
  <c r="AM54" i="1"/>
  <c r="AM183" i="1"/>
  <c r="AM153" i="1"/>
  <c r="AM184" i="1"/>
  <c r="AM185" i="1"/>
  <c r="AM459" i="1"/>
  <c r="AM365" i="1"/>
  <c r="AM240" i="1"/>
  <c r="AM460" i="1"/>
  <c r="AM90" i="1"/>
  <c r="AM338" i="1"/>
  <c r="AM55" i="1"/>
  <c r="AM393" i="1"/>
  <c r="AM275" i="1"/>
  <c r="AM421" i="1"/>
  <c r="AM490" i="1"/>
  <c r="AM154" i="1"/>
  <c r="AM339" i="1"/>
  <c r="AM340" i="1"/>
  <c r="AM491" i="1"/>
  <c r="AM123" i="1"/>
  <c r="AM18" i="1"/>
  <c r="AM241" i="1"/>
  <c r="AM366" i="1"/>
  <c r="AM341" i="1"/>
  <c r="AM300" i="1"/>
  <c r="AM56" i="1"/>
  <c r="AM91" i="1"/>
  <c r="AM186" i="1"/>
  <c r="AM422" i="1"/>
  <c r="AM461" i="1"/>
  <c r="AM342" i="1"/>
  <c r="AM19" i="1"/>
  <c r="AM492" i="1"/>
  <c r="AM92" i="1"/>
  <c r="AM57" i="1"/>
  <c r="AM211" i="1"/>
  <c r="AM124" i="1"/>
  <c r="AM343" i="1"/>
  <c r="AM242" i="1"/>
  <c r="AM344" i="1"/>
  <c r="AM301" i="1"/>
  <c r="AM212" i="1"/>
  <c r="AM125" i="1"/>
  <c r="AM126" i="1"/>
  <c r="AM394" i="1"/>
  <c r="AM345" i="1"/>
  <c r="AM127" i="1"/>
  <c r="AM493" i="1"/>
  <c r="AM462" i="1"/>
  <c r="AM302" i="1"/>
  <c r="AM463" i="1"/>
  <c r="AM395" i="1"/>
  <c r="AM93" i="1"/>
  <c r="AM367" i="1"/>
  <c r="AM155" i="1"/>
  <c r="AM58" i="1"/>
  <c r="AM303" i="1"/>
  <c r="AM213" i="1"/>
  <c r="AM20" i="1"/>
  <c r="AM243" i="1"/>
  <c r="AM423" i="1"/>
  <c r="AM94" i="1"/>
  <c r="AM244" i="1"/>
  <c r="AM21" i="1"/>
  <c r="AM22" i="1"/>
  <c r="AM424" i="1"/>
  <c r="AM494" i="1"/>
  <c r="AM276" i="1"/>
  <c r="AM368" i="1"/>
  <c r="AM156" i="1"/>
  <c r="AM157" i="1"/>
  <c r="AM304" i="1"/>
  <c r="AM425" i="1"/>
  <c r="AM495" i="1"/>
  <c r="AM23" i="1"/>
  <c r="AM24" i="1"/>
  <c r="AM245" i="1"/>
  <c r="AM95" i="1"/>
  <c r="AM246" i="1"/>
  <c r="AM369" i="1"/>
  <c r="AM25" i="1"/>
  <c r="AM247" i="1"/>
  <c r="AM26" i="1"/>
  <c r="AM214" i="1"/>
  <c r="AM59" i="1"/>
  <c r="AM187" i="1"/>
  <c r="AM426" i="1"/>
  <c r="AM277" i="1"/>
  <c r="AM464" i="1"/>
  <c r="AM215" i="1"/>
  <c r="AM188" i="1"/>
  <c r="AM396" i="1"/>
  <c r="AM248" i="1"/>
  <c r="AM249" i="1"/>
  <c r="AM278" i="1"/>
  <c r="AM27" i="1"/>
  <c r="AM370" i="1"/>
  <c r="AM279" i="1"/>
  <c r="AM96" i="1"/>
  <c r="AM60" i="1"/>
  <c r="AM61" i="1"/>
  <c r="AM305" i="1"/>
  <c r="AM216" i="1"/>
  <c r="AM250" i="1"/>
  <c r="AM251" i="1"/>
  <c r="AM496" i="1"/>
  <c r="AM252" i="1"/>
  <c r="AM497" i="1"/>
  <c r="AM217" i="1"/>
  <c r="AM218" i="1"/>
  <c r="AM97" i="1"/>
  <c r="AM306" i="1"/>
  <c r="AM253" i="1"/>
  <c r="AM307" i="1"/>
  <c r="AM465" i="1"/>
  <c r="AM427" i="1"/>
  <c r="AM428" i="1"/>
  <c r="AM62" i="1"/>
  <c r="AM498" i="1"/>
  <c r="AM397" i="1"/>
  <c r="AM63" i="1"/>
  <c r="AM28" i="1"/>
  <c r="AM128" i="1"/>
  <c r="AM29" i="1"/>
  <c r="AM189" i="1"/>
  <c r="AM129" i="1"/>
  <c r="AM308" i="1"/>
  <c r="AM280" i="1"/>
  <c r="AM499" i="1"/>
  <c r="AM281" i="1"/>
  <c r="AM466" i="1"/>
  <c r="AM190" i="1"/>
  <c r="AM467" i="1"/>
  <c r="AM398" i="1"/>
  <c r="AM158" i="1"/>
  <c r="AM282" i="1"/>
  <c r="AM191" i="1"/>
  <c r="AM192" i="1"/>
  <c r="AM500" i="1"/>
  <c r="AM130" i="1"/>
  <c r="AM219" i="1"/>
  <c r="AM283" i="1"/>
  <c r="AM131" i="1"/>
  <c r="AM309" i="1"/>
  <c r="AM220" i="1"/>
  <c r="AM30" i="1"/>
  <c r="AM429" i="1"/>
  <c r="AM132" i="1"/>
  <c r="AM159" i="1"/>
  <c r="AM31" i="1"/>
  <c r="AM193" i="1"/>
  <c r="AM501" i="1"/>
  <c r="AM254" i="1"/>
  <c r="AM64" i="1"/>
  <c r="AM371" i="1"/>
  <c r="AM32" i="1"/>
  <c r="AM468" i="1"/>
  <c r="AM502" i="1"/>
  <c r="AM346" i="1"/>
  <c r="AM347" i="1"/>
  <c r="AM65" i="1"/>
  <c r="AM66" i="1"/>
  <c r="AM255" i="1"/>
  <c r="AM372" i="1"/>
  <c r="AM469" i="1"/>
  <c r="AM430" i="1"/>
  <c r="AM221" i="1"/>
  <c r="AM133" i="1"/>
  <c r="AM310" i="1"/>
  <c r="AM470" i="1"/>
  <c r="AM67" i="1"/>
  <c r="AM348" i="1"/>
  <c r="AM284" i="1"/>
  <c r="AM256" i="1"/>
  <c r="AM471" i="1"/>
  <c r="AM33" i="1"/>
  <c r="AM98" i="1"/>
  <c r="AM472" i="1"/>
  <c r="AM160" i="1"/>
  <c r="AM68" i="1"/>
  <c r="AM431" i="1"/>
  <c r="AM161" i="1"/>
  <c r="AM349" i="1"/>
  <c r="AM432" i="1"/>
  <c r="AM69" i="1"/>
  <c r="AM194" i="1"/>
  <c r="AM257" i="1"/>
  <c r="AM285" i="1"/>
  <c r="AM34" i="1"/>
  <c r="AM162" i="1"/>
  <c r="AM99" i="1"/>
  <c r="AM311" i="1"/>
  <c r="AM134" i="1"/>
  <c r="AM195" i="1"/>
  <c r="AM135" i="1"/>
  <c r="AM312" i="1"/>
  <c r="AM196" i="1"/>
  <c r="AM313" i="1"/>
  <c r="AM70" i="1"/>
  <c r="AM35" i="1"/>
  <c r="AM136" i="1"/>
  <c r="AM473" i="1"/>
  <c r="AM503" i="1"/>
  <c r="AM474" i="1"/>
  <c r="AM163" i="1"/>
  <c r="AM314" i="1"/>
  <c r="AM433" i="1"/>
  <c r="AM399" i="1"/>
  <c r="AM373" i="1"/>
  <c r="AM100" i="1"/>
  <c r="AM101" i="1"/>
  <c r="AM137" i="1"/>
  <c r="AM315" i="1"/>
  <c r="AM258" i="1"/>
  <c r="AM71" i="1"/>
  <c r="AM259" i="1"/>
  <c r="AM475" i="1"/>
  <c r="AM504" i="1"/>
  <c r="AM400" i="1"/>
  <c r="AM36" i="1"/>
  <c r="AM316" i="1"/>
  <c r="AM197" i="1"/>
  <c r="AM222" i="1"/>
  <c r="AM37" i="1"/>
  <c r="AM102" i="1"/>
  <c r="AM350" i="1"/>
  <c r="AM401" i="1"/>
  <c r="AM260" i="1"/>
  <c r="AM317" i="1"/>
  <c r="AM351" i="1"/>
  <c r="AM223" i="1"/>
  <c r="AM476" i="1"/>
  <c r="AM374" i="1"/>
  <c r="AM224" i="1"/>
  <c r="AM103" i="1"/>
  <c r="AM477" i="1"/>
  <c r="AM286" i="1"/>
  <c r="AM164" i="1"/>
  <c r="AM138" i="1"/>
  <c r="AM434" i="1"/>
  <c r="AM478" i="1"/>
  <c r="AM505" i="1"/>
  <c r="AM352" i="1"/>
  <c r="AM287" i="1"/>
  <c r="AM435" i="1"/>
  <c r="AM165" i="1"/>
  <c r="AM375" i="1"/>
  <c r="AM436" i="1"/>
  <c r="AM139" i="1"/>
  <c r="AM166" i="1"/>
  <c r="AM72" i="1"/>
  <c r="AM104" i="1"/>
  <c r="AM225" i="1"/>
  <c r="AM105" i="1"/>
  <c r="AM353" i="1"/>
  <c r="AM261" i="1"/>
  <c r="AM437" i="1"/>
  <c r="AM438" i="1"/>
  <c r="AM354" i="1"/>
  <c r="AM106" i="1"/>
  <c r="AM73" i="1"/>
  <c r="AM198" i="1"/>
  <c r="AM107" i="1"/>
  <c r="AM439" i="1"/>
  <c r="AM402" i="1"/>
  <c r="AM479" i="1"/>
  <c r="AM108" i="1"/>
  <c r="AM262" i="1"/>
  <c r="AM38" i="1"/>
  <c r="AM226" i="1"/>
  <c r="AM318" i="1"/>
  <c r="AM319" i="1"/>
  <c r="AM140" i="1"/>
  <c r="AM39" i="1"/>
  <c r="AM506" i="1"/>
  <c r="AM320" i="1"/>
  <c r="AM440" i="1"/>
  <c r="AM321" i="1"/>
  <c r="AM403" i="1"/>
  <c r="AM355" i="1"/>
  <c r="AM480" i="1"/>
  <c r="AM376" i="1"/>
  <c r="AM288" i="1"/>
  <c r="AM141" i="1"/>
  <c r="AM74" i="1"/>
  <c r="AM289" i="1"/>
  <c r="AM109" i="1"/>
  <c r="AM441" i="1"/>
  <c r="AM40" i="1"/>
  <c r="AM75" i="1"/>
  <c r="AM404" i="1"/>
  <c r="AM227" i="1"/>
  <c r="AM110" i="1"/>
  <c r="AM356" i="1"/>
  <c r="AM167" i="1"/>
  <c r="AM263" i="1"/>
  <c r="AM111" i="1"/>
  <c r="AM442" i="1"/>
  <c r="AM405" i="1"/>
  <c r="AM406" i="1"/>
  <c r="AM357" i="1"/>
  <c r="AM290" i="1"/>
  <c r="AM199" i="1"/>
  <c r="AM443" i="1"/>
  <c r="AM112" i="1"/>
  <c r="AM168" i="1"/>
  <c r="AM377" i="1"/>
  <c r="AM291" i="1"/>
  <c r="AM507" i="1"/>
  <c r="AM200" i="1"/>
  <c r="AM76" i="1"/>
  <c r="AM77" i="1"/>
  <c r="AM407" i="1"/>
  <c r="AM408" i="1"/>
  <c r="AM142" i="1"/>
  <c r="AM322" i="1"/>
  <c r="AM323" i="1"/>
  <c r="AM169" i="1"/>
  <c r="AM324" i="1"/>
  <c r="AM508" i="1"/>
  <c r="AM228" i="1"/>
  <c r="AM444" i="1"/>
  <c r="AM325" i="1"/>
  <c r="AM445" i="1"/>
  <c r="AM481" i="1"/>
  <c r="AM229" i="1"/>
  <c r="AM326" i="1"/>
  <c r="AM482" i="1"/>
  <c r="AM358" i="1"/>
  <c r="AM483" i="1"/>
  <c r="AM327" i="1"/>
  <c r="AM201" i="1"/>
  <c r="AM264" i="1"/>
  <c r="AM41" i="1"/>
  <c r="AM143" i="1"/>
  <c r="AM292" i="1"/>
  <c r="AM509" i="1"/>
  <c r="AM144" i="1"/>
  <c r="AM378" i="1"/>
  <c r="AM510" i="1"/>
  <c r="AM113" i="1"/>
  <c r="AM202" i="1"/>
  <c r="AM328" i="1"/>
  <c r="AM265" i="1"/>
  <c r="AM379" i="1"/>
  <c r="AM78" i="1"/>
  <c r="AM329" i="1"/>
  <c r="AM330" i="1"/>
  <c r="AM446" i="1"/>
  <c r="AM511" i="1"/>
  <c r="AM380" i="1"/>
  <c r="AM114" i="1"/>
  <c r="AM409" i="1"/>
  <c r="AM381" i="1"/>
  <c r="AM230" i="1"/>
  <c r="AM170" i="1"/>
  <c r="AM115" i="1"/>
  <c r="AM410" i="1"/>
  <c r="AM447" i="1"/>
  <c r="AM42" i="1"/>
  <c r="AM231" i="1"/>
  <c r="AM203" i="1"/>
  <c r="AM411" i="1"/>
  <c r="AM293" i="1"/>
  <c r="AM484" i="1"/>
  <c r="AM331" i="1"/>
  <c r="AM204" i="1"/>
  <c r="AM205" i="1"/>
  <c r="AM332" i="1"/>
  <c r="AM145" i="1"/>
  <c r="AM294" i="1"/>
  <c r="AM146" i="1"/>
  <c r="AM266" i="1"/>
  <c r="AM382" i="1"/>
  <c r="AM116" i="1"/>
  <c r="AM79" i="1"/>
  <c r="AM232" i="1"/>
  <c r="AM267" i="1"/>
  <c r="AM43" i="1"/>
  <c r="AM383" i="1"/>
  <c r="AM359" i="1"/>
  <c r="AM412" i="1"/>
  <c r="AM448" i="1"/>
  <c r="AM206" i="1"/>
  <c r="AM147" i="1"/>
  <c r="AM207" i="1"/>
  <c r="AM449" i="1"/>
  <c r="AM171" i="1"/>
  <c r="AM295" i="1"/>
  <c r="AM172" i="1"/>
  <c r="AM80" i="1"/>
  <c r="AM384" i="1"/>
  <c r="AM148" i="1"/>
  <c r="AM117" i="1"/>
  <c r="AM173" i="1"/>
  <c r="AM450" i="1"/>
  <c r="AM485" i="1"/>
  <c r="AM233" i="1"/>
  <c r="AM333" i="1"/>
  <c r="AM81" i="1"/>
  <c r="AM385" i="1"/>
  <c r="AM386" i="1"/>
  <c r="AM118" i="1"/>
  <c r="AM268" i="1"/>
  <c r="AM334" i="1"/>
  <c r="AM387" i="1"/>
  <c r="AM512" i="1"/>
  <c r="AM296" i="1"/>
  <c r="AM513" i="1"/>
  <c r="AM360" i="1"/>
  <c r="AM413" i="1"/>
  <c r="AM361" i="1"/>
  <c r="AM388" i="1"/>
  <c r="AM451" i="1"/>
  <c r="AM297" i="1"/>
  <c r="AM174" i="1"/>
  <c r="AM44" i="1"/>
  <c r="AM414" i="1"/>
  <c r="AM82" i="1"/>
  <c r="AM269" i="1"/>
  <c r="AM415" i="1"/>
  <c r="AM416" i="1"/>
  <c r="AM389" i="1"/>
  <c r="AM514" i="1"/>
  <c r="AM417" i="1"/>
  <c r="AM452" i="1"/>
  <c r="AM486" i="1"/>
  <c r="AM390" i="1"/>
  <c r="AM234" i="1"/>
  <c r="AM149" i="1"/>
  <c r="AM298" i="1"/>
  <c r="AM175" i="1"/>
  <c r="AM270" i="1"/>
  <c r="AM83" i="1"/>
  <c r="AM45" i="1"/>
  <c r="AM176" i="1"/>
  <c r="AM119" i="1"/>
  <c r="AM46" i="1"/>
  <c r="AM453" i="1"/>
  <c r="AM47" i="1"/>
  <c r="AM515" i="1"/>
  <c r="AM48" i="1"/>
  <c r="AM150" i="1"/>
  <c r="AM49" i="1"/>
  <c r="AM208" i="1"/>
  <c r="AM235" i="1"/>
  <c r="AM454" i="1"/>
  <c r="AM362" i="1"/>
  <c r="AM335" i="1"/>
  <c r="AM177" i="1"/>
  <c r="AM178" i="1"/>
  <c r="AM236" i="1"/>
  <c r="AM455" i="1"/>
  <c r="AM336" i="1"/>
  <c r="AM516" i="1"/>
  <c r="AM179" i="1"/>
  <c r="AM84" i="1"/>
  <c r="AM50" i="1"/>
  <c r="AM456" i="1"/>
  <c r="AM418" i="1"/>
  <c r="AM271" i="1"/>
  <c r="AM180" i="1"/>
  <c r="AM272" i="1"/>
  <c r="AM487" i="1"/>
  <c r="AM51" i="1"/>
  <c r="AM85" i="1"/>
  <c r="AM120" i="1"/>
  <c r="AM151" i="1"/>
  <c r="AM52" i="1"/>
  <c r="AM273" i="1"/>
  <c r="AM363" i="1"/>
  <c r="AM53" i="1"/>
  <c r="AM457" i="1"/>
  <c r="AM337" i="1"/>
  <c r="AM86" i="1"/>
  <c r="AM391" i="1"/>
  <c r="AM121" i="1"/>
  <c r="AM87" i="1"/>
  <c r="AM88" i="1"/>
  <c r="AM122" i="1"/>
  <c r="AM237" i="1"/>
  <c r="AM274" i="1"/>
  <c r="AM517" i="1"/>
  <c r="AM89" i="1"/>
  <c r="AM209" i="1"/>
  <c r="AM364" i="1"/>
  <c r="AM210" i="1"/>
  <c r="AM488" i="1"/>
  <c r="AM181" i="1"/>
  <c r="AM489" i="1"/>
  <c r="AM419" i="1"/>
  <c r="AM392" i="1"/>
  <c r="AL458" i="1" a="1"/>
  <c r="AL458" i="1" s="1"/>
  <c r="AL152" i="1" a="1"/>
  <c r="AL152" i="1" s="1"/>
  <c r="AL182" i="1" a="1"/>
  <c r="AL182" i="1" s="1"/>
  <c r="AL238" i="1" a="1"/>
  <c r="AL238" i="1" s="1"/>
  <c r="AL420" i="1" a="1"/>
  <c r="AL420" i="1" s="1"/>
  <c r="AL239" i="1" a="1"/>
  <c r="AL239" i="1" s="1"/>
  <c r="AL299" i="1" a="1"/>
  <c r="AL299" i="1" s="1"/>
  <c r="AL54" i="1" a="1"/>
  <c r="AL54" i="1" s="1"/>
  <c r="AL183" i="1" a="1"/>
  <c r="AL183" i="1" s="1"/>
  <c r="AL153" i="1" a="1"/>
  <c r="AL153" i="1" s="1"/>
  <c r="AL184" i="1" a="1"/>
  <c r="AL184" i="1" s="1"/>
  <c r="AL185" i="1" a="1"/>
  <c r="AL185" i="1" s="1"/>
  <c r="AL459" i="1" a="1"/>
  <c r="AL459" i="1" s="1"/>
  <c r="AL365" i="1" a="1"/>
  <c r="AL365" i="1" s="1"/>
  <c r="AL240" i="1" a="1"/>
  <c r="AL240" i="1" s="1"/>
  <c r="AL460" i="1" a="1"/>
  <c r="AL460" i="1" s="1"/>
  <c r="AL90" i="1" a="1"/>
  <c r="AL90" i="1" s="1"/>
  <c r="AL338" i="1" a="1"/>
  <c r="AL338" i="1" s="1"/>
  <c r="AL55" i="1" a="1"/>
  <c r="AL55" i="1" s="1"/>
  <c r="AL393" i="1" a="1"/>
  <c r="AL393" i="1" s="1"/>
  <c r="AL275" i="1" a="1"/>
  <c r="AL275" i="1" s="1"/>
  <c r="AL421" i="1" a="1"/>
  <c r="AL421" i="1" s="1"/>
  <c r="AL490" i="1" a="1"/>
  <c r="AL490" i="1" s="1"/>
  <c r="AL154" i="1" a="1"/>
  <c r="AL154" i="1" s="1"/>
  <c r="AL339" i="1" a="1"/>
  <c r="AL339" i="1" s="1"/>
  <c r="AL340" i="1" a="1"/>
  <c r="AL340" i="1" s="1"/>
  <c r="AL491" i="1" a="1"/>
  <c r="AL491" i="1" s="1"/>
  <c r="AL123" i="1" a="1"/>
  <c r="AL123" i="1" s="1"/>
  <c r="AL18" i="1" a="1"/>
  <c r="AL18" i="1" s="1"/>
  <c r="AL241" i="1" a="1"/>
  <c r="AL241" i="1" s="1"/>
  <c r="AL366" i="1" a="1"/>
  <c r="AL366" i="1" s="1"/>
  <c r="AL341" i="1" a="1"/>
  <c r="AL341" i="1" s="1"/>
  <c r="AL300" i="1" a="1"/>
  <c r="AL300" i="1" s="1"/>
  <c r="AL56" i="1" a="1"/>
  <c r="AL56" i="1" s="1"/>
  <c r="AL91" i="1" a="1"/>
  <c r="AL91" i="1" s="1"/>
  <c r="AL186" i="1" a="1"/>
  <c r="AL186" i="1" s="1"/>
  <c r="AL422" i="1" a="1"/>
  <c r="AL422" i="1" s="1"/>
  <c r="AL461" i="1" a="1"/>
  <c r="AL461" i="1" s="1"/>
  <c r="AL342" i="1" a="1"/>
  <c r="AL342" i="1" s="1"/>
  <c r="AL19" i="1" a="1"/>
  <c r="AL19" i="1" s="1"/>
  <c r="AL492" i="1" a="1"/>
  <c r="AL492" i="1" s="1"/>
  <c r="AL92" i="1" a="1"/>
  <c r="AL92" i="1" s="1"/>
  <c r="AL57" i="1" a="1"/>
  <c r="AL57" i="1" s="1"/>
  <c r="AL211" i="1" a="1"/>
  <c r="AL211" i="1" s="1"/>
  <c r="AL124" i="1" a="1"/>
  <c r="AL124" i="1" s="1"/>
  <c r="AL343" i="1" a="1"/>
  <c r="AL343" i="1" s="1"/>
  <c r="AL242" i="1" a="1"/>
  <c r="AL242" i="1" s="1"/>
  <c r="AL344" i="1" a="1"/>
  <c r="AL344" i="1" s="1"/>
  <c r="AL301" i="1" a="1"/>
  <c r="AL301" i="1" s="1"/>
  <c r="AL212" i="1" a="1"/>
  <c r="AL212" i="1" s="1"/>
  <c r="AL125" i="1" a="1"/>
  <c r="AL125" i="1" s="1"/>
  <c r="AL126" i="1" a="1"/>
  <c r="AL126" i="1" s="1"/>
  <c r="AL394" i="1" a="1"/>
  <c r="AL394" i="1" s="1"/>
  <c r="AL345" i="1" a="1"/>
  <c r="AL345" i="1" s="1"/>
  <c r="AL127" i="1" a="1"/>
  <c r="AL127" i="1" s="1"/>
  <c r="AL493" i="1" a="1"/>
  <c r="AL493" i="1" s="1"/>
  <c r="AL462" i="1" a="1"/>
  <c r="AL462" i="1" s="1"/>
  <c r="AL302" i="1" a="1"/>
  <c r="AL302" i="1" s="1"/>
  <c r="AL463" i="1" a="1"/>
  <c r="AL463" i="1" s="1"/>
  <c r="AL395" i="1" a="1"/>
  <c r="AL395" i="1" s="1"/>
  <c r="AL93" i="1" a="1"/>
  <c r="AL93" i="1" s="1"/>
  <c r="AL367" i="1" a="1"/>
  <c r="AL367" i="1" s="1"/>
  <c r="AL155" i="1" a="1"/>
  <c r="AL155" i="1" s="1"/>
  <c r="AL58" i="1" a="1"/>
  <c r="AL58" i="1" s="1"/>
  <c r="AL303" i="1" a="1"/>
  <c r="AL303" i="1" s="1"/>
  <c r="AL213" i="1" a="1"/>
  <c r="AL213" i="1" s="1"/>
  <c r="AL20" i="1" a="1"/>
  <c r="AL20" i="1" s="1"/>
  <c r="AL243" i="1" a="1"/>
  <c r="AL243" i="1" s="1"/>
  <c r="AL423" i="1" a="1"/>
  <c r="AL423" i="1" s="1"/>
  <c r="AL94" i="1" a="1"/>
  <c r="AL94" i="1" s="1"/>
  <c r="AL244" i="1" a="1"/>
  <c r="AL244" i="1" s="1"/>
  <c r="AL21" i="1" a="1"/>
  <c r="AL21" i="1" s="1"/>
  <c r="AL22" i="1" a="1"/>
  <c r="AL22" i="1" s="1"/>
  <c r="AL424" i="1" a="1"/>
  <c r="AL424" i="1" s="1"/>
  <c r="AL494" i="1" a="1"/>
  <c r="AL494" i="1" s="1"/>
  <c r="AL276" i="1" a="1"/>
  <c r="AL276" i="1" s="1"/>
  <c r="AL368" i="1" a="1"/>
  <c r="AL368" i="1" s="1"/>
  <c r="AL156" i="1" a="1"/>
  <c r="AL156" i="1" s="1"/>
  <c r="AL157" i="1" a="1"/>
  <c r="AL157" i="1" s="1"/>
  <c r="AL304" i="1" a="1"/>
  <c r="AL304" i="1" s="1"/>
  <c r="AL425" i="1" a="1"/>
  <c r="AL425" i="1" s="1"/>
  <c r="AL495" i="1" a="1"/>
  <c r="AL495" i="1" s="1"/>
  <c r="AL23" i="1" a="1"/>
  <c r="AL23" i="1" s="1"/>
  <c r="AL24" i="1" a="1"/>
  <c r="AL24" i="1" s="1"/>
  <c r="AL245" i="1" a="1"/>
  <c r="AL245" i="1" s="1"/>
  <c r="AL95" i="1" a="1"/>
  <c r="AL95" i="1" s="1"/>
  <c r="AL246" i="1" a="1"/>
  <c r="AL246" i="1" s="1"/>
  <c r="AL369" i="1" a="1"/>
  <c r="AL369" i="1" s="1"/>
  <c r="AL25" i="1" a="1"/>
  <c r="AL25" i="1" s="1"/>
  <c r="AL247" i="1" a="1"/>
  <c r="AL247" i="1" s="1"/>
  <c r="AL26" i="1" a="1"/>
  <c r="AL26" i="1" s="1"/>
  <c r="AL214" i="1" a="1"/>
  <c r="AL214" i="1" s="1"/>
  <c r="AL59" i="1" a="1"/>
  <c r="AL59" i="1" s="1"/>
  <c r="AL187" i="1" a="1"/>
  <c r="AL187" i="1" s="1"/>
  <c r="AL426" i="1" a="1"/>
  <c r="AL426" i="1" s="1"/>
  <c r="AL277" i="1" a="1"/>
  <c r="AL277" i="1" s="1"/>
  <c r="AL464" i="1" a="1"/>
  <c r="AL464" i="1" s="1"/>
  <c r="AL215" i="1" a="1"/>
  <c r="AL215" i="1" s="1"/>
  <c r="AL188" i="1" a="1"/>
  <c r="AL188" i="1" s="1"/>
  <c r="AL396" i="1" a="1"/>
  <c r="AL396" i="1" s="1"/>
  <c r="AL248" i="1" a="1"/>
  <c r="AL248" i="1" s="1"/>
  <c r="AL249" i="1" a="1"/>
  <c r="AL249" i="1" s="1"/>
  <c r="AL278" i="1" a="1"/>
  <c r="AL278" i="1" s="1"/>
  <c r="AL27" i="1" a="1"/>
  <c r="AL27" i="1" s="1"/>
  <c r="AL370" i="1" a="1"/>
  <c r="AL370" i="1" s="1"/>
  <c r="AL279" i="1" a="1"/>
  <c r="AL279" i="1" s="1"/>
  <c r="AL96" i="1" a="1"/>
  <c r="AL96" i="1" s="1"/>
  <c r="AL60" i="1" a="1"/>
  <c r="AL60" i="1" s="1"/>
  <c r="AL61" i="1" a="1"/>
  <c r="AL61" i="1" s="1"/>
  <c r="AL305" i="1" a="1"/>
  <c r="AL305" i="1" s="1"/>
  <c r="AL216" i="1" a="1"/>
  <c r="AL216" i="1" s="1"/>
  <c r="AL250" i="1" a="1"/>
  <c r="AL250" i="1" s="1"/>
  <c r="AL251" i="1" a="1"/>
  <c r="AL251" i="1" s="1"/>
  <c r="AL496" i="1" a="1"/>
  <c r="AL496" i="1" s="1"/>
  <c r="AL252" i="1" a="1"/>
  <c r="AL252" i="1" s="1"/>
  <c r="AL497" i="1" a="1"/>
  <c r="AL497" i="1" s="1"/>
  <c r="AL217" i="1" a="1"/>
  <c r="AL217" i="1" s="1"/>
  <c r="AL218" i="1" a="1"/>
  <c r="AL218" i="1" s="1"/>
  <c r="AL97" i="1" a="1"/>
  <c r="AL97" i="1" s="1"/>
  <c r="AL306" i="1" a="1"/>
  <c r="AL306" i="1" s="1"/>
  <c r="AL253" i="1" a="1"/>
  <c r="AL253" i="1" s="1"/>
  <c r="AL307" i="1" a="1"/>
  <c r="AL307" i="1" s="1"/>
  <c r="AL465" i="1" a="1"/>
  <c r="AL465" i="1" s="1"/>
  <c r="AL427" i="1" a="1"/>
  <c r="AL427" i="1" s="1"/>
  <c r="AL428" i="1" a="1"/>
  <c r="AL428" i="1" s="1"/>
  <c r="AL62" i="1" a="1"/>
  <c r="AL62" i="1" s="1"/>
  <c r="AL498" i="1" a="1"/>
  <c r="AL498" i="1" s="1"/>
  <c r="AL397" i="1" a="1"/>
  <c r="AL397" i="1" s="1"/>
  <c r="AL63" i="1" a="1"/>
  <c r="AL63" i="1" s="1"/>
  <c r="AL28" i="1" a="1"/>
  <c r="AL28" i="1" s="1"/>
  <c r="AL128" i="1" a="1"/>
  <c r="AL128" i="1" s="1"/>
  <c r="AL29" i="1" a="1"/>
  <c r="AL29" i="1" s="1"/>
  <c r="AL189" i="1" a="1"/>
  <c r="AL189" i="1" s="1"/>
  <c r="AL129" i="1" a="1"/>
  <c r="AL129" i="1" s="1"/>
  <c r="AL308" i="1" a="1"/>
  <c r="AL308" i="1" s="1"/>
  <c r="AL280" i="1" a="1"/>
  <c r="AL280" i="1" s="1"/>
  <c r="AL499" i="1" a="1"/>
  <c r="AL499" i="1" s="1"/>
  <c r="AL281" i="1" a="1"/>
  <c r="AL281" i="1" s="1"/>
  <c r="AL466" i="1" a="1"/>
  <c r="AL466" i="1" s="1"/>
  <c r="AL190" i="1" a="1"/>
  <c r="AL190" i="1" s="1"/>
  <c r="AL467" i="1" a="1"/>
  <c r="AL467" i="1" s="1"/>
  <c r="AL398" i="1" a="1"/>
  <c r="AL398" i="1" s="1"/>
  <c r="AL158" i="1" a="1"/>
  <c r="AL158" i="1" s="1"/>
  <c r="AL282" i="1" a="1"/>
  <c r="AL282" i="1" s="1"/>
  <c r="AL191" i="1" a="1"/>
  <c r="AL191" i="1" s="1"/>
  <c r="AL192" i="1" a="1"/>
  <c r="AL192" i="1" s="1"/>
  <c r="AL500" i="1" a="1"/>
  <c r="AL500" i="1" s="1"/>
  <c r="AL130" i="1" a="1"/>
  <c r="AL130" i="1" s="1"/>
  <c r="AL219" i="1" a="1"/>
  <c r="AL219" i="1" s="1"/>
  <c r="AL283" i="1" a="1"/>
  <c r="AL283" i="1" s="1"/>
  <c r="AL131" i="1" a="1"/>
  <c r="AL131" i="1" s="1"/>
  <c r="AL309" i="1" a="1"/>
  <c r="AL309" i="1" s="1"/>
  <c r="AL220" i="1" a="1"/>
  <c r="AL220" i="1" s="1"/>
  <c r="AL30" i="1" a="1"/>
  <c r="AL30" i="1" s="1"/>
  <c r="AL429" i="1" a="1"/>
  <c r="AL429" i="1" s="1"/>
  <c r="AL132" i="1" a="1"/>
  <c r="AL132" i="1" s="1"/>
  <c r="AL159" i="1" a="1"/>
  <c r="AL159" i="1" s="1"/>
  <c r="AL31" i="1" a="1"/>
  <c r="AL31" i="1" s="1"/>
  <c r="AL193" i="1" a="1"/>
  <c r="AL193" i="1" s="1"/>
  <c r="AL501" i="1" a="1"/>
  <c r="AL501" i="1" s="1"/>
  <c r="AL254" i="1" a="1"/>
  <c r="AL254" i="1" s="1"/>
  <c r="AL64" i="1" a="1"/>
  <c r="AL64" i="1" s="1"/>
  <c r="AL371" i="1" a="1"/>
  <c r="AL371" i="1" s="1"/>
  <c r="AL32" i="1" a="1"/>
  <c r="AL32" i="1" s="1"/>
  <c r="AL468" i="1" a="1"/>
  <c r="AL468" i="1" s="1"/>
  <c r="AL502" i="1" a="1"/>
  <c r="AL502" i="1" s="1"/>
  <c r="AL346" i="1" a="1"/>
  <c r="AL346" i="1" s="1"/>
  <c r="AL347" i="1" a="1"/>
  <c r="AL347" i="1" s="1"/>
  <c r="AL65" i="1" a="1"/>
  <c r="AL65" i="1" s="1"/>
  <c r="AL66" i="1" a="1"/>
  <c r="AL66" i="1" s="1"/>
  <c r="AL255" i="1" a="1"/>
  <c r="AL255" i="1" s="1"/>
  <c r="AL372" i="1" a="1"/>
  <c r="AL372" i="1" s="1"/>
  <c r="AL469" i="1" a="1"/>
  <c r="AL469" i="1" s="1"/>
  <c r="AL430" i="1" a="1"/>
  <c r="AL430" i="1" s="1"/>
  <c r="AL221" i="1" a="1"/>
  <c r="AL221" i="1" s="1"/>
  <c r="AL133" i="1" a="1"/>
  <c r="AL133" i="1" s="1"/>
  <c r="AL310" i="1" a="1"/>
  <c r="AL310" i="1" s="1"/>
  <c r="AL470" i="1" a="1"/>
  <c r="AL470" i="1" s="1"/>
  <c r="AL67" i="1" a="1"/>
  <c r="AL67" i="1" s="1"/>
  <c r="AL348" i="1" a="1"/>
  <c r="AL348" i="1" s="1"/>
  <c r="AL284" i="1" a="1"/>
  <c r="AL284" i="1" s="1"/>
  <c r="AL256" i="1" a="1"/>
  <c r="AL256" i="1" s="1"/>
  <c r="AL471" i="1" a="1"/>
  <c r="AL471" i="1" s="1"/>
  <c r="AL33" i="1" a="1"/>
  <c r="AL33" i="1" s="1"/>
  <c r="AL98" i="1" a="1"/>
  <c r="AL98" i="1" s="1"/>
  <c r="AL472" i="1" a="1"/>
  <c r="AL472" i="1" s="1"/>
  <c r="AL160" i="1" a="1"/>
  <c r="AL160" i="1" s="1"/>
  <c r="AL68" i="1" a="1"/>
  <c r="AL68" i="1" s="1"/>
  <c r="AL431" i="1" a="1"/>
  <c r="AL431" i="1" s="1"/>
  <c r="AL161" i="1" a="1"/>
  <c r="AL161" i="1" s="1"/>
  <c r="AL349" i="1" a="1"/>
  <c r="AL349" i="1" s="1"/>
  <c r="AL432" i="1" a="1"/>
  <c r="AL432" i="1" s="1"/>
  <c r="AL69" i="1" a="1"/>
  <c r="AL69" i="1" s="1"/>
  <c r="AL194" i="1" a="1"/>
  <c r="AL194" i="1" s="1"/>
  <c r="AL257" i="1" a="1"/>
  <c r="AL257" i="1" s="1"/>
  <c r="AL285" i="1" a="1"/>
  <c r="AL285" i="1" s="1"/>
  <c r="AL34" i="1" a="1"/>
  <c r="AL34" i="1" s="1"/>
  <c r="AL162" i="1" a="1"/>
  <c r="AL162" i="1" s="1"/>
  <c r="AL99" i="1" a="1"/>
  <c r="AL99" i="1" s="1"/>
  <c r="AL311" i="1" a="1"/>
  <c r="AL311" i="1" s="1"/>
  <c r="AL134" i="1" a="1"/>
  <c r="AL134" i="1" s="1"/>
  <c r="AL195" i="1" a="1"/>
  <c r="AL195" i="1" s="1"/>
  <c r="AL135" i="1" a="1"/>
  <c r="AL135" i="1" s="1"/>
  <c r="AL312" i="1" a="1"/>
  <c r="AL312" i="1" s="1"/>
  <c r="AL196" i="1" a="1"/>
  <c r="AL196" i="1" s="1"/>
  <c r="AL313" i="1" a="1"/>
  <c r="AL313" i="1" s="1"/>
  <c r="AL70" i="1" a="1"/>
  <c r="AL70" i="1" s="1"/>
  <c r="AL35" i="1" a="1"/>
  <c r="AL35" i="1" s="1"/>
  <c r="AL136" i="1" a="1"/>
  <c r="AL136" i="1" s="1"/>
  <c r="AL473" i="1" a="1"/>
  <c r="AL473" i="1" s="1"/>
  <c r="AL503" i="1" a="1"/>
  <c r="AL503" i="1" s="1"/>
  <c r="AL474" i="1" a="1"/>
  <c r="AL474" i="1" s="1"/>
  <c r="AL163" i="1" a="1"/>
  <c r="AL163" i="1" s="1"/>
  <c r="AL314" i="1" a="1"/>
  <c r="AL314" i="1" s="1"/>
  <c r="AL433" i="1" a="1"/>
  <c r="AL433" i="1" s="1"/>
  <c r="AL399" i="1" a="1"/>
  <c r="AL399" i="1" s="1"/>
  <c r="AL373" i="1" a="1"/>
  <c r="AL373" i="1" s="1"/>
  <c r="AL100" i="1" a="1"/>
  <c r="AL100" i="1" s="1"/>
  <c r="AL101" i="1" a="1"/>
  <c r="AL101" i="1" s="1"/>
  <c r="AL137" i="1" a="1"/>
  <c r="AL137" i="1" s="1"/>
  <c r="AL315" i="1" a="1"/>
  <c r="AL315" i="1" s="1"/>
  <c r="AL258" i="1" a="1"/>
  <c r="AL258" i="1" s="1"/>
  <c r="AL71" i="1" a="1"/>
  <c r="AL71" i="1" s="1"/>
  <c r="AL259" i="1" a="1"/>
  <c r="AL259" i="1" s="1"/>
  <c r="AL475" i="1" a="1"/>
  <c r="AL475" i="1" s="1"/>
  <c r="AL504" i="1" a="1"/>
  <c r="AL504" i="1" s="1"/>
  <c r="AL400" i="1" a="1"/>
  <c r="AL400" i="1" s="1"/>
  <c r="AL36" i="1" a="1"/>
  <c r="AL36" i="1" s="1"/>
  <c r="AL316" i="1" a="1"/>
  <c r="AL316" i="1" s="1"/>
  <c r="AL197" i="1" a="1"/>
  <c r="AL197" i="1" s="1"/>
  <c r="AL222" i="1" a="1"/>
  <c r="AL222" i="1" s="1"/>
  <c r="AL37" i="1" a="1"/>
  <c r="AL37" i="1" s="1"/>
  <c r="AL102" i="1" a="1"/>
  <c r="AL102" i="1" s="1"/>
  <c r="AL350" i="1" a="1"/>
  <c r="AL350" i="1" s="1"/>
  <c r="AL401" i="1" a="1"/>
  <c r="AL401" i="1" s="1"/>
  <c r="AL260" i="1" a="1"/>
  <c r="AL260" i="1" s="1"/>
  <c r="AL317" i="1" a="1"/>
  <c r="AL317" i="1" s="1"/>
  <c r="AL351" i="1" a="1"/>
  <c r="AL351" i="1" s="1"/>
  <c r="AL223" i="1" a="1"/>
  <c r="AL223" i="1" s="1"/>
  <c r="AL476" i="1" a="1"/>
  <c r="AL476" i="1" s="1"/>
  <c r="AL374" i="1" a="1"/>
  <c r="AL374" i="1" s="1"/>
  <c r="AL224" i="1" a="1"/>
  <c r="AL224" i="1" s="1"/>
  <c r="AL103" i="1" a="1"/>
  <c r="AL103" i="1" s="1"/>
  <c r="AL477" i="1" a="1"/>
  <c r="AL477" i="1" s="1"/>
  <c r="AL286" i="1" a="1"/>
  <c r="AL286" i="1" s="1"/>
  <c r="AL164" i="1" a="1"/>
  <c r="AL164" i="1" s="1"/>
  <c r="AL138" i="1" a="1"/>
  <c r="AL138" i="1" s="1"/>
  <c r="AL434" i="1" a="1"/>
  <c r="AL434" i="1" s="1"/>
  <c r="AL478" i="1" a="1"/>
  <c r="AL478" i="1" s="1"/>
  <c r="AL505" i="1" a="1"/>
  <c r="AL505" i="1" s="1"/>
  <c r="AL352" i="1" a="1"/>
  <c r="AL352" i="1" s="1"/>
  <c r="AL287" i="1" a="1"/>
  <c r="AL287" i="1" s="1"/>
  <c r="AL435" i="1" a="1"/>
  <c r="AL435" i="1" s="1"/>
  <c r="AL165" i="1" a="1"/>
  <c r="AL165" i="1" s="1"/>
  <c r="AL375" i="1" a="1"/>
  <c r="AL375" i="1" s="1"/>
  <c r="AL436" i="1" a="1"/>
  <c r="AL436" i="1" s="1"/>
  <c r="AL139" i="1" a="1"/>
  <c r="AL139" i="1" s="1"/>
  <c r="AL166" i="1" a="1"/>
  <c r="AL166" i="1" s="1"/>
  <c r="AL72" i="1" a="1"/>
  <c r="AL72" i="1" s="1"/>
  <c r="AL104" i="1" a="1"/>
  <c r="AL104" i="1" s="1"/>
  <c r="AL225" i="1" a="1"/>
  <c r="AL225" i="1" s="1"/>
  <c r="AL105" i="1" a="1"/>
  <c r="AL105" i="1" s="1"/>
  <c r="AL353" i="1" a="1"/>
  <c r="AL353" i="1" s="1"/>
  <c r="AL261" i="1" a="1"/>
  <c r="AL261" i="1" s="1"/>
  <c r="AL437" i="1" a="1"/>
  <c r="AL437" i="1" s="1"/>
  <c r="AL438" i="1" a="1"/>
  <c r="AL438" i="1" s="1"/>
  <c r="AL354" i="1" a="1"/>
  <c r="AL354" i="1" s="1"/>
  <c r="AL106" i="1" a="1"/>
  <c r="AL106" i="1" s="1"/>
  <c r="AL73" i="1" a="1"/>
  <c r="AL73" i="1" s="1"/>
  <c r="AL198" i="1" a="1"/>
  <c r="AL198" i="1" s="1"/>
  <c r="AL107" i="1" a="1"/>
  <c r="AL107" i="1" s="1"/>
  <c r="AL439" i="1" a="1"/>
  <c r="AL439" i="1" s="1"/>
  <c r="AL402" i="1" a="1"/>
  <c r="AL402" i="1" s="1"/>
  <c r="AL479" i="1" a="1"/>
  <c r="AL479" i="1" s="1"/>
  <c r="AL108" i="1" a="1"/>
  <c r="AL108" i="1" s="1"/>
  <c r="AL262" i="1" a="1"/>
  <c r="AL262" i="1" s="1"/>
  <c r="AL38" i="1" a="1"/>
  <c r="AL38" i="1" s="1"/>
  <c r="AL226" i="1" a="1"/>
  <c r="AL226" i="1" s="1"/>
  <c r="AL318" i="1" a="1"/>
  <c r="AL318" i="1" s="1"/>
  <c r="AL319" i="1" a="1"/>
  <c r="AL319" i="1" s="1"/>
  <c r="AL140" i="1" a="1"/>
  <c r="AL140" i="1" s="1"/>
  <c r="AL39" i="1" a="1"/>
  <c r="AL39" i="1" s="1"/>
  <c r="AL506" i="1" a="1"/>
  <c r="AL506" i="1" s="1"/>
  <c r="AL320" i="1" a="1"/>
  <c r="AL320" i="1" s="1"/>
  <c r="AL440" i="1" a="1"/>
  <c r="AL440" i="1" s="1"/>
  <c r="AL321" i="1" a="1"/>
  <c r="AL321" i="1" s="1"/>
  <c r="AL403" i="1" a="1"/>
  <c r="AL403" i="1" s="1"/>
  <c r="AL355" i="1" a="1"/>
  <c r="AL355" i="1" s="1"/>
  <c r="AL480" i="1" a="1"/>
  <c r="AL480" i="1" s="1"/>
  <c r="AL376" i="1" a="1"/>
  <c r="AL376" i="1" s="1"/>
  <c r="AL288" i="1" a="1"/>
  <c r="AL288" i="1" s="1"/>
  <c r="AL141" i="1" a="1"/>
  <c r="AL141" i="1" s="1"/>
  <c r="AL74" i="1" a="1"/>
  <c r="AL74" i="1" s="1"/>
  <c r="AL289" i="1" a="1"/>
  <c r="AL289" i="1" s="1"/>
  <c r="AL109" i="1" a="1"/>
  <c r="AL109" i="1" s="1"/>
  <c r="AL441" i="1" a="1"/>
  <c r="AL441" i="1" s="1"/>
  <c r="AL40" i="1" a="1"/>
  <c r="AL40" i="1" s="1"/>
  <c r="AL75" i="1" a="1"/>
  <c r="AL75" i="1" s="1"/>
  <c r="AL404" i="1" a="1"/>
  <c r="AL404" i="1" s="1"/>
  <c r="AL227" i="1" a="1"/>
  <c r="AL227" i="1" s="1"/>
  <c r="AL110" i="1" a="1"/>
  <c r="AL110" i="1" s="1"/>
  <c r="AL356" i="1" a="1"/>
  <c r="AL356" i="1" s="1"/>
  <c r="AL167" i="1" a="1"/>
  <c r="AL167" i="1" s="1"/>
  <c r="AL263" i="1" a="1"/>
  <c r="AL263" i="1" s="1"/>
  <c r="AL111" i="1" a="1"/>
  <c r="AL111" i="1" s="1"/>
  <c r="AL442" i="1" a="1"/>
  <c r="AL442" i="1" s="1"/>
  <c r="AL405" i="1" a="1"/>
  <c r="AL405" i="1" s="1"/>
  <c r="AL406" i="1" a="1"/>
  <c r="AL406" i="1" s="1"/>
  <c r="AL357" i="1" a="1"/>
  <c r="AL357" i="1" s="1"/>
  <c r="AL290" i="1" a="1"/>
  <c r="AL290" i="1" s="1"/>
  <c r="AL199" i="1" a="1"/>
  <c r="AL199" i="1" s="1"/>
  <c r="AL443" i="1" a="1"/>
  <c r="AL443" i="1" s="1"/>
  <c r="AL112" i="1" a="1"/>
  <c r="AL112" i="1" s="1"/>
  <c r="AL168" i="1" a="1"/>
  <c r="AL168" i="1" s="1"/>
  <c r="AL377" i="1" a="1"/>
  <c r="AL377" i="1" s="1"/>
  <c r="AL291" i="1" a="1"/>
  <c r="AL291" i="1" s="1"/>
  <c r="AL507" i="1" a="1"/>
  <c r="AL507" i="1" s="1"/>
  <c r="AL200" i="1" a="1"/>
  <c r="AL200" i="1" s="1"/>
  <c r="AL76" i="1" a="1"/>
  <c r="AL76" i="1" s="1"/>
  <c r="AL77" i="1" a="1"/>
  <c r="AL77" i="1" s="1"/>
  <c r="AL407" i="1" a="1"/>
  <c r="AL407" i="1" s="1"/>
  <c r="AL408" i="1" a="1"/>
  <c r="AL408" i="1" s="1"/>
  <c r="AL142" i="1" a="1"/>
  <c r="AL142" i="1" s="1"/>
  <c r="AL322" i="1" a="1"/>
  <c r="AL322" i="1" s="1"/>
  <c r="AL323" i="1" a="1"/>
  <c r="AL323" i="1" s="1"/>
  <c r="AL169" i="1" a="1"/>
  <c r="AL169" i="1" s="1"/>
  <c r="AL324" i="1" a="1"/>
  <c r="AL324" i="1" s="1"/>
  <c r="AL508" i="1" a="1"/>
  <c r="AL508" i="1" s="1"/>
  <c r="AL228" i="1" a="1"/>
  <c r="AL228" i="1" s="1"/>
  <c r="AL444" i="1" a="1"/>
  <c r="AL444" i="1" s="1"/>
  <c r="AL325" i="1" a="1"/>
  <c r="AL325" i="1" s="1"/>
  <c r="AL445" i="1" a="1"/>
  <c r="AL445" i="1" s="1"/>
  <c r="AL481" i="1" a="1"/>
  <c r="AL481" i="1" s="1"/>
  <c r="AL229" i="1" a="1"/>
  <c r="AL229" i="1" s="1"/>
  <c r="AL326" i="1" a="1"/>
  <c r="AL326" i="1" s="1"/>
  <c r="AL482" i="1" a="1"/>
  <c r="AL482" i="1" s="1"/>
  <c r="AL358" i="1" a="1"/>
  <c r="AL358" i="1" s="1"/>
  <c r="AL483" i="1" a="1"/>
  <c r="AL483" i="1" s="1"/>
  <c r="AL327" i="1" a="1"/>
  <c r="AL327" i="1" s="1"/>
  <c r="AL201" i="1" a="1"/>
  <c r="AL201" i="1" s="1"/>
  <c r="AL264" i="1" a="1"/>
  <c r="AL264" i="1" s="1"/>
  <c r="AL41" i="1" a="1"/>
  <c r="AL41" i="1" s="1"/>
  <c r="AL143" i="1" a="1"/>
  <c r="AL143" i="1" s="1"/>
  <c r="AL292" i="1" a="1"/>
  <c r="AL292" i="1" s="1"/>
  <c r="AL509" i="1" a="1"/>
  <c r="AL509" i="1" s="1"/>
  <c r="AL144" i="1" a="1"/>
  <c r="AL144" i="1" s="1"/>
  <c r="AL378" i="1" a="1"/>
  <c r="AL378" i="1" s="1"/>
  <c r="AL510" i="1" a="1"/>
  <c r="AL510" i="1" s="1"/>
  <c r="AL113" i="1" a="1"/>
  <c r="AL113" i="1" s="1"/>
  <c r="AL202" i="1" a="1"/>
  <c r="AL202" i="1" s="1"/>
  <c r="AL328" i="1" a="1"/>
  <c r="AL328" i="1" s="1"/>
  <c r="AL265" i="1" a="1"/>
  <c r="AL265" i="1" s="1"/>
  <c r="AL379" i="1" a="1"/>
  <c r="AL379" i="1" s="1"/>
  <c r="AL78" i="1" a="1"/>
  <c r="AL78" i="1" s="1"/>
  <c r="AL329" i="1" a="1"/>
  <c r="AL329" i="1" s="1"/>
  <c r="AL330" i="1" a="1"/>
  <c r="AL330" i="1" s="1"/>
  <c r="AL446" i="1" a="1"/>
  <c r="AL446" i="1" s="1"/>
  <c r="AL511" i="1" a="1"/>
  <c r="AL511" i="1" s="1"/>
  <c r="AL380" i="1" a="1"/>
  <c r="AL380" i="1" s="1"/>
  <c r="AL114" i="1" a="1"/>
  <c r="AL114" i="1" s="1"/>
  <c r="AL409" i="1" a="1"/>
  <c r="AL409" i="1" s="1"/>
  <c r="AL381" i="1" a="1"/>
  <c r="AL381" i="1" s="1"/>
  <c r="AL230" i="1" a="1"/>
  <c r="AL230" i="1" s="1"/>
  <c r="AL170" i="1" a="1"/>
  <c r="AL170" i="1" s="1"/>
  <c r="AL115" i="1" a="1"/>
  <c r="AL115" i="1" s="1"/>
  <c r="AL410" i="1" a="1"/>
  <c r="AL410" i="1" s="1"/>
  <c r="AL447" i="1" a="1"/>
  <c r="AL447" i="1" s="1"/>
  <c r="AL42" i="1" a="1"/>
  <c r="AL42" i="1" s="1"/>
  <c r="AL231" i="1" a="1"/>
  <c r="AL231" i="1" s="1"/>
  <c r="AL203" i="1" a="1"/>
  <c r="AL203" i="1" s="1"/>
  <c r="AL411" i="1" a="1"/>
  <c r="AL411" i="1" s="1"/>
  <c r="AL293" i="1" a="1"/>
  <c r="AL293" i="1" s="1"/>
  <c r="AL484" i="1" a="1"/>
  <c r="AL484" i="1" s="1"/>
  <c r="AL331" i="1" a="1"/>
  <c r="AL331" i="1" s="1"/>
  <c r="AL204" i="1" a="1"/>
  <c r="AL204" i="1" s="1"/>
  <c r="AL205" i="1" a="1"/>
  <c r="AL205" i="1" s="1"/>
  <c r="AL332" i="1" a="1"/>
  <c r="AL332" i="1" s="1"/>
  <c r="AL145" i="1" a="1"/>
  <c r="AL145" i="1" s="1"/>
  <c r="AL294" i="1" a="1"/>
  <c r="AL294" i="1" s="1"/>
  <c r="AL146" i="1" a="1"/>
  <c r="AL146" i="1" s="1"/>
  <c r="AL266" i="1" a="1"/>
  <c r="AL266" i="1" s="1"/>
  <c r="AL382" i="1" a="1"/>
  <c r="AL382" i="1" s="1"/>
  <c r="AL116" i="1" a="1"/>
  <c r="AL116" i="1" s="1"/>
  <c r="AL79" i="1" a="1"/>
  <c r="AL79" i="1" s="1"/>
  <c r="AL232" i="1" a="1"/>
  <c r="AL232" i="1" s="1"/>
  <c r="AL267" i="1" a="1"/>
  <c r="AL267" i="1" s="1"/>
  <c r="AL43" i="1" a="1"/>
  <c r="AL43" i="1" s="1"/>
  <c r="AL383" i="1" a="1"/>
  <c r="AL383" i="1" s="1"/>
  <c r="AL359" i="1" a="1"/>
  <c r="AL359" i="1" s="1"/>
  <c r="AL412" i="1" a="1"/>
  <c r="AL412" i="1" s="1"/>
  <c r="AL448" i="1" a="1"/>
  <c r="AL448" i="1" s="1"/>
  <c r="AL206" i="1" a="1"/>
  <c r="AL206" i="1" s="1"/>
  <c r="AL147" i="1" a="1"/>
  <c r="AL147" i="1" s="1"/>
  <c r="AL207" i="1" a="1"/>
  <c r="AL207" i="1" s="1"/>
  <c r="AL449" i="1" a="1"/>
  <c r="AL449" i="1" s="1"/>
  <c r="AL171" i="1" a="1"/>
  <c r="AL171" i="1" s="1"/>
  <c r="AL295" i="1" a="1"/>
  <c r="AL295" i="1" s="1"/>
  <c r="AL172" i="1" a="1"/>
  <c r="AL172" i="1" s="1"/>
  <c r="AL80" i="1" a="1"/>
  <c r="AL80" i="1" s="1"/>
  <c r="AL384" i="1" a="1"/>
  <c r="AL384" i="1" s="1"/>
  <c r="AL148" i="1" a="1"/>
  <c r="AL148" i="1" s="1"/>
  <c r="AL117" i="1" a="1"/>
  <c r="AL117" i="1" s="1"/>
  <c r="AL173" i="1" a="1"/>
  <c r="AL173" i="1" s="1"/>
  <c r="AL450" i="1" a="1"/>
  <c r="AL450" i="1" s="1"/>
  <c r="AL485" i="1" a="1"/>
  <c r="AL485" i="1" s="1"/>
  <c r="AL233" i="1" a="1"/>
  <c r="AL233" i="1" s="1"/>
  <c r="AL333" i="1" a="1"/>
  <c r="AL333" i="1" s="1"/>
  <c r="AL81" i="1" a="1"/>
  <c r="AL81" i="1" s="1"/>
  <c r="AL385" i="1" a="1"/>
  <c r="AL385" i="1" s="1"/>
  <c r="AL386" i="1" a="1"/>
  <c r="AL386" i="1" s="1"/>
  <c r="AL118" i="1" a="1"/>
  <c r="AL118" i="1" s="1"/>
  <c r="AL268" i="1" a="1"/>
  <c r="AL268" i="1" s="1"/>
  <c r="AL334" i="1" a="1"/>
  <c r="AL334" i="1" s="1"/>
  <c r="AL387" i="1" a="1"/>
  <c r="AL387" i="1" s="1"/>
  <c r="AL512" i="1" a="1"/>
  <c r="AL512" i="1" s="1"/>
  <c r="AL296" i="1" a="1"/>
  <c r="AL296" i="1" s="1"/>
  <c r="AL513" i="1" a="1"/>
  <c r="AL513" i="1" s="1"/>
  <c r="AL360" i="1" a="1"/>
  <c r="AL360" i="1" s="1"/>
  <c r="AL413" i="1" a="1"/>
  <c r="AL413" i="1" s="1"/>
  <c r="AL361" i="1" a="1"/>
  <c r="AL361" i="1" s="1"/>
  <c r="AL388" i="1" a="1"/>
  <c r="AL388" i="1" s="1"/>
  <c r="AL451" i="1" a="1"/>
  <c r="AL451" i="1" s="1"/>
  <c r="AL297" i="1" a="1"/>
  <c r="AL297" i="1" s="1"/>
  <c r="AL174" i="1" a="1"/>
  <c r="AL174" i="1" s="1"/>
  <c r="AL44" i="1" a="1"/>
  <c r="AL44" i="1" s="1"/>
  <c r="AL414" i="1" a="1"/>
  <c r="AL414" i="1" s="1"/>
  <c r="AL82" i="1" a="1"/>
  <c r="AL82" i="1" s="1"/>
  <c r="AL269" i="1" a="1"/>
  <c r="AL269" i="1" s="1"/>
  <c r="AL415" i="1" a="1"/>
  <c r="AL415" i="1" s="1"/>
  <c r="AL416" i="1" a="1"/>
  <c r="AL416" i="1" s="1"/>
  <c r="AL389" i="1" a="1"/>
  <c r="AL389" i="1" s="1"/>
  <c r="AL514" i="1" a="1"/>
  <c r="AL514" i="1" s="1"/>
  <c r="AL417" i="1" a="1"/>
  <c r="AL417" i="1" s="1"/>
  <c r="AL452" i="1" a="1"/>
  <c r="AL452" i="1" s="1"/>
  <c r="AL486" i="1" a="1"/>
  <c r="AL486" i="1" s="1"/>
  <c r="AL390" i="1" a="1"/>
  <c r="AL390" i="1" s="1"/>
  <c r="AL234" i="1" a="1"/>
  <c r="AL234" i="1" s="1"/>
  <c r="AL149" i="1" a="1"/>
  <c r="AL149" i="1" s="1"/>
  <c r="AL298" i="1" a="1"/>
  <c r="AL298" i="1" s="1"/>
  <c r="AL175" i="1" a="1"/>
  <c r="AL175" i="1" s="1"/>
  <c r="AL270" i="1" a="1"/>
  <c r="AL270" i="1" s="1"/>
  <c r="AL83" i="1" a="1"/>
  <c r="AL83" i="1" s="1"/>
  <c r="AL45" i="1" a="1"/>
  <c r="AL45" i="1" s="1"/>
  <c r="AL176" i="1" a="1"/>
  <c r="AL176" i="1" s="1"/>
  <c r="AL119" i="1" a="1"/>
  <c r="AL119" i="1" s="1"/>
  <c r="AL46" i="1" a="1"/>
  <c r="AL46" i="1" s="1"/>
  <c r="AL453" i="1" a="1"/>
  <c r="AL453" i="1" s="1"/>
  <c r="AL47" i="1" a="1"/>
  <c r="AL47" i="1" s="1"/>
  <c r="AL515" i="1" a="1"/>
  <c r="AL515" i="1" s="1"/>
  <c r="AL48" i="1" a="1"/>
  <c r="AL48" i="1" s="1"/>
  <c r="AL150" i="1" a="1"/>
  <c r="AL150" i="1" s="1"/>
  <c r="AL49" i="1" a="1"/>
  <c r="AL49" i="1" s="1"/>
  <c r="AL208" i="1" a="1"/>
  <c r="AL208" i="1" s="1"/>
  <c r="AL235" i="1" a="1"/>
  <c r="AL235" i="1" s="1"/>
  <c r="AL454" i="1" a="1"/>
  <c r="AL454" i="1" s="1"/>
  <c r="AL362" i="1" a="1"/>
  <c r="AL362" i="1" s="1"/>
  <c r="AL335" i="1" a="1"/>
  <c r="AL335" i="1" s="1"/>
  <c r="AL177" i="1" a="1"/>
  <c r="AL177" i="1" s="1"/>
  <c r="AL178" i="1" a="1"/>
  <c r="AL178" i="1" s="1"/>
  <c r="AL236" i="1" a="1"/>
  <c r="AL236" i="1" s="1"/>
  <c r="AL455" i="1" a="1"/>
  <c r="AL455" i="1" s="1"/>
  <c r="AL336" i="1" a="1"/>
  <c r="AL336" i="1" s="1"/>
  <c r="AL516" i="1" a="1"/>
  <c r="AL516" i="1" s="1"/>
  <c r="AL179" i="1" a="1"/>
  <c r="AL179" i="1" s="1"/>
  <c r="AL84" i="1" a="1"/>
  <c r="AL84" i="1" s="1"/>
  <c r="AL50" i="1" a="1"/>
  <c r="AL50" i="1" s="1"/>
  <c r="AL456" i="1" a="1"/>
  <c r="AL456" i="1" s="1"/>
  <c r="AL418" i="1" a="1"/>
  <c r="AL418" i="1" s="1"/>
  <c r="AL271" i="1" a="1"/>
  <c r="AL271" i="1" s="1"/>
  <c r="AL180" i="1" a="1"/>
  <c r="AL180" i="1" s="1"/>
  <c r="AL272" i="1" a="1"/>
  <c r="AL272" i="1" s="1"/>
  <c r="AL487" i="1" a="1"/>
  <c r="AL487" i="1" s="1"/>
  <c r="AL51" i="1" a="1"/>
  <c r="AL51" i="1" s="1"/>
  <c r="AL85" i="1" a="1"/>
  <c r="AL85" i="1" s="1"/>
  <c r="AL120" i="1" a="1"/>
  <c r="AL120" i="1" s="1"/>
  <c r="AL151" i="1" a="1"/>
  <c r="AL151" i="1" s="1"/>
  <c r="AL52" i="1" a="1"/>
  <c r="AL52" i="1" s="1"/>
  <c r="AL273" i="1" a="1"/>
  <c r="AL273" i="1" s="1"/>
  <c r="AL363" i="1" a="1"/>
  <c r="AL363" i="1" s="1"/>
  <c r="AL53" i="1" a="1"/>
  <c r="AL53" i="1" s="1"/>
  <c r="AL457" i="1" a="1"/>
  <c r="AL457" i="1" s="1"/>
  <c r="AL337" i="1" a="1"/>
  <c r="AL337" i="1" s="1"/>
  <c r="AL86" i="1" a="1"/>
  <c r="AL86" i="1" s="1"/>
  <c r="AL391" i="1" a="1"/>
  <c r="AL391" i="1" s="1"/>
  <c r="AL121" i="1" a="1"/>
  <c r="AL121" i="1" s="1"/>
  <c r="AL87" i="1" a="1"/>
  <c r="AL87" i="1" s="1"/>
  <c r="AL88" i="1" a="1"/>
  <c r="AL88" i="1" s="1"/>
  <c r="AL122" i="1" a="1"/>
  <c r="AL122" i="1" s="1"/>
  <c r="AL237" i="1" a="1"/>
  <c r="AL237" i="1" s="1"/>
  <c r="AL274" i="1" a="1"/>
  <c r="AL274" i="1" s="1"/>
  <c r="AL517" i="1" a="1"/>
  <c r="AL517" i="1" s="1"/>
  <c r="AL89" i="1" a="1"/>
  <c r="AL89" i="1" s="1"/>
  <c r="AL209" i="1" a="1"/>
  <c r="AL209" i="1" s="1"/>
  <c r="AL364" i="1" a="1"/>
  <c r="AL364" i="1" s="1"/>
  <c r="AL210" i="1" a="1"/>
  <c r="AL210" i="1" s="1"/>
  <c r="AL488" i="1" a="1"/>
  <c r="AL488" i="1" s="1"/>
  <c r="AL181" i="1" a="1"/>
  <c r="AL181" i="1" s="1"/>
  <c r="AL489" i="1" a="1"/>
  <c r="AL489" i="1" s="1"/>
  <c r="AL419" i="1" a="1"/>
  <c r="AL419" i="1" s="1"/>
  <c r="AL392" i="1" a="1"/>
  <c r="AL392" i="1" s="1"/>
  <c r="J11" i="1"/>
  <c r="J10" i="1"/>
  <c r="J9" i="1"/>
  <c r="J8" i="1"/>
  <c r="J7" i="1"/>
  <c r="J6" i="1"/>
  <c r="J5" i="1"/>
  <c r="J3" i="1"/>
  <c r="J4" i="1"/>
  <c r="J2" i="1"/>
  <c r="AI458" i="1" a="1"/>
  <c r="AI458" i="1" s="1"/>
  <c r="AI152" i="1" a="1"/>
  <c r="AI152" i="1" s="1"/>
  <c r="AI182" i="1" a="1"/>
  <c r="AI182" i="1" s="1"/>
  <c r="AI238" i="1" a="1"/>
  <c r="AI238" i="1" s="1"/>
  <c r="AI420" i="1" a="1"/>
  <c r="AI420" i="1" s="1"/>
  <c r="AI239" i="1" a="1"/>
  <c r="AI239" i="1" s="1"/>
  <c r="AI299" i="1" a="1"/>
  <c r="AI299" i="1" s="1"/>
  <c r="AI54" i="1" a="1"/>
  <c r="AI54" i="1" s="1"/>
  <c r="AI183" i="1" a="1"/>
  <c r="AI183" i="1" s="1"/>
  <c r="AI153" i="1" a="1"/>
  <c r="AI153" i="1" s="1"/>
  <c r="AI184" i="1" a="1"/>
  <c r="AI184" i="1" s="1"/>
  <c r="AI185" i="1" a="1"/>
  <c r="AI185" i="1" s="1"/>
  <c r="AI459" i="1" a="1"/>
  <c r="AI459" i="1" s="1"/>
  <c r="AI365" i="1" a="1"/>
  <c r="AI365" i="1" s="1"/>
  <c r="AI240" i="1" a="1"/>
  <c r="AI240" i="1" s="1"/>
  <c r="AI460" i="1" a="1"/>
  <c r="AI460" i="1" s="1"/>
  <c r="AI90" i="1" a="1"/>
  <c r="AI90" i="1" s="1"/>
  <c r="AI338" i="1" a="1"/>
  <c r="AI338" i="1" s="1"/>
  <c r="AI55" i="1" a="1"/>
  <c r="AI55" i="1" s="1"/>
  <c r="AI393" i="1" a="1"/>
  <c r="AI393" i="1" s="1"/>
  <c r="AI275" i="1" a="1"/>
  <c r="AI275" i="1" s="1"/>
  <c r="AI421" i="1" a="1"/>
  <c r="AI421" i="1" s="1"/>
  <c r="AI490" i="1" a="1"/>
  <c r="AI490" i="1" s="1"/>
  <c r="AI154" i="1" a="1"/>
  <c r="AI154" i="1" s="1"/>
  <c r="AI339" i="1" a="1"/>
  <c r="AI339" i="1" s="1"/>
  <c r="AI340" i="1" a="1"/>
  <c r="AI340" i="1" s="1"/>
  <c r="AI491" i="1" a="1"/>
  <c r="AI491" i="1" s="1"/>
  <c r="AI123" i="1" a="1"/>
  <c r="AI123" i="1" s="1"/>
  <c r="AI18" i="1" a="1"/>
  <c r="AI18" i="1" s="1"/>
  <c r="AI241" i="1" a="1"/>
  <c r="AI241" i="1" s="1"/>
  <c r="AI366" i="1" a="1"/>
  <c r="AI366" i="1" s="1"/>
  <c r="AI341" i="1" a="1"/>
  <c r="AI341" i="1" s="1"/>
  <c r="AI300" i="1" a="1"/>
  <c r="AI300" i="1" s="1"/>
  <c r="AI56" i="1" a="1"/>
  <c r="AI56" i="1" s="1"/>
  <c r="AI91" i="1" a="1"/>
  <c r="AI91" i="1" s="1"/>
  <c r="AI186" i="1" a="1"/>
  <c r="AI186" i="1" s="1"/>
  <c r="AI422" i="1" a="1"/>
  <c r="AI422" i="1" s="1"/>
  <c r="AI461" i="1" a="1"/>
  <c r="AI461" i="1" s="1"/>
  <c r="AI342" i="1" a="1"/>
  <c r="AI342" i="1" s="1"/>
  <c r="AI19" i="1" a="1"/>
  <c r="AI19" i="1" s="1"/>
  <c r="AI492" i="1" a="1"/>
  <c r="AI492" i="1" s="1"/>
  <c r="AI92" i="1" a="1"/>
  <c r="AI92" i="1" s="1"/>
  <c r="AI57" i="1" a="1"/>
  <c r="AI57" i="1" s="1"/>
  <c r="AI211" i="1" a="1"/>
  <c r="AI211" i="1" s="1"/>
  <c r="AI124" i="1" a="1"/>
  <c r="AI124" i="1" s="1"/>
  <c r="AI343" i="1" a="1"/>
  <c r="AI343" i="1" s="1"/>
  <c r="AI242" i="1" a="1"/>
  <c r="AI242" i="1" s="1"/>
  <c r="AI344" i="1" a="1"/>
  <c r="AI344" i="1" s="1"/>
  <c r="AI301" i="1" a="1"/>
  <c r="AI301" i="1" s="1"/>
  <c r="AI212" i="1" a="1"/>
  <c r="AI212" i="1" s="1"/>
  <c r="AI125" i="1" a="1"/>
  <c r="AI125" i="1" s="1"/>
  <c r="AI126" i="1" a="1"/>
  <c r="AI126" i="1" s="1"/>
  <c r="AI394" i="1" a="1"/>
  <c r="AI394" i="1" s="1"/>
  <c r="AI345" i="1" a="1"/>
  <c r="AI345" i="1" s="1"/>
  <c r="AI127" i="1" a="1"/>
  <c r="AI127" i="1" s="1"/>
  <c r="AI493" i="1" a="1"/>
  <c r="AI493" i="1" s="1"/>
  <c r="AI462" i="1" a="1"/>
  <c r="AI462" i="1" s="1"/>
  <c r="AI302" i="1" a="1"/>
  <c r="AI302" i="1" s="1"/>
  <c r="AI463" i="1" a="1"/>
  <c r="AI463" i="1" s="1"/>
  <c r="AI395" i="1" a="1"/>
  <c r="AI395" i="1" s="1"/>
  <c r="AI93" i="1" a="1"/>
  <c r="AI93" i="1" s="1"/>
  <c r="AI367" i="1" a="1"/>
  <c r="AI367" i="1" s="1"/>
  <c r="AI155" i="1" a="1"/>
  <c r="AI155" i="1" s="1"/>
  <c r="AI58" i="1" a="1"/>
  <c r="AI58" i="1" s="1"/>
  <c r="AI303" i="1" a="1"/>
  <c r="AI303" i="1" s="1"/>
  <c r="AI213" i="1" a="1"/>
  <c r="AI213" i="1" s="1"/>
  <c r="AI20" i="1" a="1"/>
  <c r="AI20" i="1" s="1"/>
  <c r="AI243" i="1" a="1"/>
  <c r="AI243" i="1" s="1"/>
  <c r="AI423" i="1" a="1"/>
  <c r="AI423" i="1" s="1"/>
  <c r="AI94" i="1" a="1"/>
  <c r="AI94" i="1" s="1"/>
  <c r="AI244" i="1" a="1"/>
  <c r="AI244" i="1" s="1"/>
  <c r="AI21" i="1" a="1"/>
  <c r="AI21" i="1" s="1"/>
  <c r="AI22" i="1" a="1"/>
  <c r="AI22" i="1" s="1"/>
  <c r="AI424" i="1" a="1"/>
  <c r="AI424" i="1" s="1"/>
  <c r="AI494" i="1" a="1"/>
  <c r="AI494" i="1" s="1"/>
  <c r="AI276" i="1" a="1"/>
  <c r="AI276" i="1" s="1"/>
  <c r="AI368" i="1" a="1"/>
  <c r="AI368" i="1" s="1"/>
  <c r="AI156" i="1" a="1"/>
  <c r="AI156" i="1" s="1"/>
  <c r="AI157" i="1" a="1"/>
  <c r="AI157" i="1" s="1"/>
  <c r="AI304" i="1" a="1"/>
  <c r="AI304" i="1" s="1"/>
  <c r="AI425" i="1" a="1"/>
  <c r="AI425" i="1" s="1"/>
  <c r="AI495" i="1" a="1"/>
  <c r="AI495" i="1" s="1"/>
  <c r="AI23" i="1" a="1"/>
  <c r="AI23" i="1" s="1"/>
  <c r="AI24" i="1" a="1"/>
  <c r="AI24" i="1" s="1"/>
  <c r="AI245" i="1" a="1"/>
  <c r="AI245" i="1" s="1"/>
  <c r="AI95" i="1" a="1"/>
  <c r="AI95" i="1" s="1"/>
  <c r="AI246" i="1" a="1"/>
  <c r="AI246" i="1" s="1"/>
  <c r="AI369" i="1" a="1"/>
  <c r="AI369" i="1" s="1"/>
  <c r="AI25" i="1" a="1"/>
  <c r="AI25" i="1" s="1"/>
  <c r="AI247" i="1" a="1"/>
  <c r="AI247" i="1" s="1"/>
  <c r="AI26" i="1" a="1"/>
  <c r="AI26" i="1" s="1"/>
  <c r="AI214" i="1" a="1"/>
  <c r="AI214" i="1" s="1"/>
  <c r="AI59" i="1" a="1"/>
  <c r="AI59" i="1" s="1"/>
  <c r="AI187" i="1" a="1"/>
  <c r="AI187" i="1" s="1"/>
  <c r="AI426" i="1" a="1"/>
  <c r="AI426" i="1" s="1"/>
  <c r="AI277" i="1" a="1"/>
  <c r="AI277" i="1" s="1"/>
  <c r="AI464" i="1" a="1"/>
  <c r="AI464" i="1" s="1"/>
  <c r="AI215" i="1" a="1"/>
  <c r="AI215" i="1" s="1"/>
  <c r="AI188" i="1" a="1"/>
  <c r="AI188" i="1" s="1"/>
  <c r="AI396" i="1" a="1"/>
  <c r="AI396" i="1" s="1"/>
  <c r="AI248" i="1" a="1"/>
  <c r="AI248" i="1" s="1"/>
  <c r="AI249" i="1" a="1"/>
  <c r="AI249" i="1" s="1"/>
  <c r="AI278" i="1" a="1"/>
  <c r="AI278" i="1" s="1"/>
  <c r="AI27" i="1" a="1"/>
  <c r="AI27" i="1" s="1"/>
  <c r="AI370" i="1" a="1"/>
  <c r="AI370" i="1" s="1"/>
  <c r="AI279" i="1" a="1"/>
  <c r="AI279" i="1" s="1"/>
  <c r="AI96" i="1" a="1"/>
  <c r="AI96" i="1" s="1"/>
  <c r="AI60" i="1" a="1"/>
  <c r="AI60" i="1" s="1"/>
  <c r="AI61" i="1" a="1"/>
  <c r="AI61" i="1" s="1"/>
  <c r="AI305" i="1" a="1"/>
  <c r="AI305" i="1" s="1"/>
  <c r="AI216" i="1" a="1"/>
  <c r="AI216" i="1" s="1"/>
  <c r="AI250" i="1" a="1"/>
  <c r="AI250" i="1" s="1"/>
  <c r="AI251" i="1" a="1"/>
  <c r="AI496" i="1" a="1"/>
  <c r="AI496" i="1" s="1"/>
  <c r="AI252" i="1" a="1"/>
  <c r="AI252" i="1" s="1"/>
  <c r="AI497" i="1" a="1"/>
  <c r="AI497" i="1" s="1"/>
  <c r="AI217" i="1" a="1"/>
  <c r="AI217" i="1" s="1"/>
  <c r="AI218" i="1" a="1"/>
  <c r="AI218" i="1" s="1"/>
  <c r="AI97" i="1" a="1"/>
  <c r="AI97" i="1" s="1"/>
  <c r="AI306" i="1" a="1"/>
  <c r="AI306" i="1" s="1"/>
  <c r="AI253" i="1" a="1"/>
  <c r="AI253" i="1" s="1"/>
  <c r="AI307" i="1" a="1"/>
  <c r="AI307" i="1" s="1"/>
  <c r="AI465" i="1" a="1"/>
  <c r="AI465" i="1" s="1"/>
  <c r="AI427" i="1" a="1"/>
  <c r="AI427" i="1" s="1"/>
  <c r="AI428" i="1" a="1"/>
  <c r="AI428" i="1" s="1"/>
  <c r="AI62" i="1" a="1"/>
  <c r="AI62" i="1" s="1"/>
  <c r="AI498" i="1" a="1"/>
  <c r="AI498" i="1" s="1"/>
  <c r="AI397" i="1" a="1"/>
  <c r="AI397" i="1" s="1"/>
  <c r="AI63" i="1" a="1"/>
  <c r="AI63" i="1" s="1"/>
  <c r="AI28" i="1" a="1"/>
  <c r="AI28" i="1" s="1"/>
  <c r="AI128" i="1" a="1"/>
  <c r="AI128" i="1" s="1"/>
  <c r="AI29" i="1" a="1"/>
  <c r="AI29" i="1" s="1"/>
  <c r="AI189" i="1" a="1"/>
  <c r="AI189" i="1" s="1"/>
  <c r="AI129" i="1" a="1"/>
  <c r="AI129" i="1" s="1"/>
  <c r="AI308" i="1" a="1"/>
  <c r="AI308" i="1" s="1"/>
  <c r="AI280" i="1" a="1"/>
  <c r="AI280" i="1" s="1"/>
  <c r="AI499" i="1" a="1"/>
  <c r="AI499" i="1" s="1"/>
  <c r="AI281" i="1" a="1"/>
  <c r="AI281" i="1" s="1"/>
  <c r="AI466" i="1" a="1"/>
  <c r="AI466" i="1" s="1"/>
  <c r="AI190" i="1" a="1"/>
  <c r="AI190" i="1" s="1"/>
  <c r="AI467" i="1" a="1"/>
  <c r="AI467" i="1" s="1"/>
  <c r="AI398" i="1" a="1"/>
  <c r="AI398" i="1" s="1"/>
  <c r="AI158" i="1" a="1"/>
  <c r="AI158" i="1" s="1"/>
  <c r="AI282" i="1" a="1"/>
  <c r="AI282" i="1" s="1"/>
  <c r="AI191" i="1" a="1"/>
  <c r="AI191" i="1" s="1"/>
  <c r="AI192" i="1" a="1"/>
  <c r="AI192" i="1" s="1"/>
  <c r="AI500" i="1" a="1"/>
  <c r="AI500" i="1" s="1"/>
  <c r="AI130" i="1" a="1"/>
  <c r="AI130" i="1" s="1"/>
  <c r="AI219" i="1" a="1"/>
  <c r="AI219" i="1" s="1"/>
  <c r="AI283" i="1" a="1"/>
  <c r="AI283" i="1" s="1"/>
  <c r="AI131" i="1" a="1"/>
  <c r="AI131" i="1" s="1"/>
  <c r="AI309" i="1" a="1"/>
  <c r="AI309" i="1" s="1"/>
  <c r="AI220" i="1" a="1"/>
  <c r="AI220" i="1" s="1"/>
  <c r="AI30" i="1" a="1"/>
  <c r="AI30" i="1" s="1"/>
  <c r="AI429" i="1" a="1"/>
  <c r="AI429" i="1" s="1"/>
  <c r="AI132" i="1" a="1"/>
  <c r="AI132" i="1" s="1"/>
  <c r="AI159" i="1" a="1"/>
  <c r="AI159" i="1" s="1"/>
  <c r="AI31" i="1" a="1"/>
  <c r="AI31" i="1" s="1"/>
  <c r="AI193" i="1" a="1"/>
  <c r="AI193" i="1" s="1"/>
  <c r="AI501" i="1" a="1"/>
  <c r="AI501" i="1" s="1"/>
  <c r="AI254" i="1" a="1"/>
  <c r="AI254" i="1" s="1"/>
  <c r="AI64" i="1" a="1"/>
  <c r="AI64" i="1" s="1"/>
  <c r="AI371" i="1" a="1"/>
  <c r="AI371" i="1" s="1"/>
  <c r="AI32" i="1" a="1"/>
  <c r="AI32" i="1" s="1"/>
  <c r="AI468" i="1" a="1"/>
  <c r="AI468" i="1" s="1"/>
  <c r="AI502" i="1" a="1"/>
  <c r="AI502" i="1" s="1"/>
  <c r="AI346" i="1" a="1"/>
  <c r="AI346" i="1" s="1"/>
  <c r="AI347" i="1" a="1"/>
  <c r="AI347" i="1" s="1"/>
  <c r="AI65" i="1" a="1"/>
  <c r="AI65" i="1" s="1"/>
  <c r="AI66" i="1" a="1"/>
  <c r="AI66" i="1" s="1"/>
  <c r="AI255" i="1" a="1"/>
  <c r="AI255" i="1" s="1"/>
  <c r="AI372" i="1" a="1"/>
  <c r="AI372" i="1" s="1"/>
  <c r="AI469" i="1" a="1"/>
  <c r="AI469" i="1" s="1"/>
  <c r="AI430" i="1" a="1"/>
  <c r="AI430" i="1" s="1"/>
  <c r="AI221" i="1" a="1"/>
  <c r="AI221" i="1" s="1"/>
  <c r="AI133" i="1" a="1"/>
  <c r="AI133" i="1" s="1"/>
  <c r="AI310" i="1" a="1"/>
  <c r="AI310" i="1" s="1"/>
  <c r="AI470" i="1" a="1"/>
  <c r="AI470" i="1" s="1"/>
  <c r="AI67" i="1" a="1"/>
  <c r="AI67" i="1" s="1"/>
  <c r="AI348" i="1" a="1"/>
  <c r="AI348" i="1" s="1"/>
  <c r="AI284" i="1" a="1"/>
  <c r="AI284" i="1" s="1"/>
  <c r="AI256" i="1" a="1"/>
  <c r="AI256" i="1" s="1"/>
  <c r="AI471" i="1" a="1"/>
  <c r="AI471" i="1" s="1"/>
  <c r="AI33" i="1" a="1"/>
  <c r="AI33" i="1" s="1"/>
  <c r="AI98" i="1" a="1"/>
  <c r="AI98" i="1" s="1"/>
  <c r="AI472" i="1" a="1"/>
  <c r="AI472" i="1" s="1"/>
  <c r="AI160" i="1" a="1"/>
  <c r="AI160" i="1" s="1"/>
  <c r="AI68" i="1" a="1"/>
  <c r="AI68" i="1" s="1"/>
  <c r="AI431" i="1" a="1"/>
  <c r="AI431" i="1" s="1"/>
  <c r="AI161" i="1" a="1"/>
  <c r="AI161" i="1" s="1"/>
  <c r="AI349" i="1" a="1"/>
  <c r="AI349" i="1" s="1"/>
  <c r="AI432" i="1" a="1"/>
  <c r="AI432" i="1" s="1"/>
  <c r="AI69" i="1" a="1"/>
  <c r="AI69" i="1" s="1"/>
  <c r="AI194" i="1" a="1"/>
  <c r="AI194" i="1" s="1"/>
  <c r="AI257" i="1" a="1"/>
  <c r="AI257" i="1" s="1"/>
  <c r="AI285" i="1" a="1"/>
  <c r="AI285" i="1" s="1"/>
  <c r="AI34" i="1" a="1"/>
  <c r="AI34" i="1" s="1"/>
  <c r="AI162" i="1" a="1"/>
  <c r="AI162" i="1" s="1"/>
  <c r="AI99" i="1" a="1"/>
  <c r="AI99" i="1" s="1"/>
  <c r="AI311" i="1" a="1"/>
  <c r="AI311" i="1" s="1"/>
  <c r="AI134" i="1" a="1"/>
  <c r="AI134" i="1" s="1"/>
  <c r="AI195" i="1" a="1"/>
  <c r="AI195" i="1" s="1"/>
  <c r="AI135" i="1" a="1"/>
  <c r="AI135" i="1" s="1"/>
  <c r="AI312" i="1" a="1"/>
  <c r="AI312" i="1" s="1"/>
  <c r="AI196" i="1" a="1"/>
  <c r="AI196" i="1" s="1"/>
  <c r="AI313" i="1" a="1"/>
  <c r="AI313" i="1" s="1"/>
  <c r="AI70" i="1" a="1"/>
  <c r="AI70" i="1" s="1"/>
  <c r="AI35" i="1" a="1"/>
  <c r="AI35" i="1" s="1"/>
  <c r="AI136" i="1" a="1"/>
  <c r="AI136" i="1" s="1"/>
  <c r="AI473" i="1" a="1"/>
  <c r="AI473" i="1" s="1"/>
  <c r="AI503" i="1" a="1"/>
  <c r="AI503" i="1" s="1"/>
  <c r="AI474" i="1" a="1"/>
  <c r="AI474" i="1" s="1"/>
  <c r="AI163" i="1" a="1"/>
  <c r="AI163" i="1" s="1"/>
  <c r="AI314" i="1" a="1"/>
  <c r="AI314" i="1" s="1"/>
  <c r="AI433" i="1" a="1"/>
  <c r="AI433" i="1" s="1"/>
  <c r="AI399" i="1" a="1"/>
  <c r="AI399" i="1" s="1"/>
  <c r="AI373" i="1" a="1"/>
  <c r="AI373" i="1" s="1"/>
  <c r="AI100" i="1" a="1"/>
  <c r="AI100" i="1" s="1"/>
  <c r="AI101" i="1" a="1"/>
  <c r="AI101" i="1" s="1"/>
  <c r="AI137" i="1" a="1"/>
  <c r="AI137" i="1" s="1"/>
  <c r="AI315" i="1" a="1"/>
  <c r="AI315" i="1" s="1"/>
  <c r="AI258" i="1" a="1"/>
  <c r="AI258" i="1" s="1"/>
  <c r="AI71" i="1" a="1"/>
  <c r="AI71" i="1" s="1"/>
  <c r="AI259" i="1" a="1"/>
  <c r="AI259" i="1" s="1"/>
  <c r="AI475" i="1" a="1"/>
  <c r="AI475" i="1" s="1"/>
  <c r="AI504" i="1" a="1"/>
  <c r="AI504" i="1" s="1"/>
  <c r="AI400" i="1" a="1"/>
  <c r="AI400" i="1" s="1"/>
  <c r="AI36" i="1" a="1"/>
  <c r="AI36" i="1" s="1"/>
  <c r="AI316" i="1" a="1"/>
  <c r="AI316" i="1" s="1"/>
  <c r="AI197" i="1" a="1"/>
  <c r="AI197" i="1" s="1"/>
  <c r="AI222" i="1" a="1"/>
  <c r="AI222" i="1" s="1"/>
  <c r="AI37" i="1" a="1"/>
  <c r="AI37" i="1" s="1"/>
  <c r="AI102" i="1" a="1"/>
  <c r="AI102" i="1" s="1"/>
  <c r="AI350" i="1" a="1"/>
  <c r="AI350" i="1" s="1"/>
  <c r="AI401" i="1" a="1"/>
  <c r="AI401" i="1" s="1"/>
  <c r="AI260" i="1" a="1"/>
  <c r="AI260" i="1" s="1"/>
  <c r="AI317" i="1" a="1"/>
  <c r="AI317" i="1" s="1"/>
  <c r="AI351" i="1" a="1"/>
  <c r="AI351" i="1" s="1"/>
  <c r="AI223" i="1" a="1"/>
  <c r="AI223" i="1" s="1"/>
  <c r="AI476" i="1" a="1"/>
  <c r="AI476" i="1" s="1"/>
  <c r="AI374" i="1" a="1"/>
  <c r="AI374" i="1" s="1"/>
  <c r="AI224" i="1" a="1"/>
  <c r="AI224" i="1" s="1"/>
  <c r="AI103" i="1" a="1"/>
  <c r="AI103" i="1" s="1"/>
  <c r="AI477" i="1" a="1"/>
  <c r="AI477" i="1" s="1"/>
  <c r="AI286" i="1" a="1"/>
  <c r="AI286" i="1" s="1"/>
  <c r="AI164" i="1" a="1"/>
  <c r="AI164" i="1" s="1"/>
  <c r="AI138" i="1" a="1"/>
  <c r="AI138" i="1" s="1"/>
  <c r="AI434" i="1" a="1"/>
  <c r="AI434" i="1" s="1"/>
  <c r="AI478" i="1" a="1"/>
  <c r="AI478" i="1" s="1"/>
  <c r="AI505" i="1" a="1"/>
  <c r="AI505" i="1" s="1"/>
  <c r="AI352" i="1" a="1"/>
  <c r="AI352" i="1" s="1"/>
  <c r="AI287" i="1" a="1"/>
  <c r="AI287" i="1" s="1"/>
  <c r="AI435" i="1" a="1"/>
  <c r="AI435" i="1" s="1"/>
  <c r="AI165" i="1" a="1"/>
  <c r="AI165" i="1" s="1"/>
  <c r="AI375" i="1" a="1"/>
  <c r="AI375" i="1" s="1"/>
  <c r="AI436" i="1" a="1"/>
  <c r="AI436" i="1" s="1"/>
  <c r="AI139" i="1" a="1"/>
  <c r="AI139" i="1" s="1"/>
  <c r="AI166" i="1" a="1"/>
  <c r="AI166" i="1" s="1"/>
  <c r="AI72" i="1" a="1"/>
  <c r="AI72" i="1" s="1"/>
  <c r="AI104" i="1" a="1"/>
  <c r="AI104" i="1" s="1"/>
  <c r="AI225" i="1" a="1"/>
  <c r="AI225" i="1" s="1"/>
  <c r="AI105" i="1" a="1"/>
  <c r="AI105" i="1" s="1"/>
  <c r="AI353" i="1" a="1"/>
  <c r="AI353" i="1" s="1"/>
  <c r="AI261" i="1" a="1"/>
  <c r="AI261" i="1" s="1"/>
  <c r="AI437" i="1" a="1"/>
  <c r="AI437" i="1" s="1"/>
  <c r="AI438" i="1" a="1"/>
  <c r="AI438" i="1" s="1"/>
  <c r="AI354" i="1" a="1"/>
  <c r="AI354" i="1" s="1"/>
  <c r="AI106" i="1" a="1"/>
  <c r="AI106" i="1" s="1"/>
  <c r="AI73" i="1" a="1"/>
  <c r="AI73" i="1" s="1"/>
  <c r="AI198" i="1" a="1"/>
  <c r="AI198" i="1" s="1"/>
  <c r="AI107" i="1" a="1"/>
  <c r="AI107" i="1" s="1"/>
  <c r="AI439" i="1" a="1"/>
  <c r="AI439" i="1" s="1"/>
  <c r="AI402" i="1" a="1"/>
  <c r="AI402" i="1" s="1"/>
  <c r="AI479" i="1" a="1"/>
  <c r="AI479" i="1" s="1"/>
  <c r="AI108" i="1" a="1"/>
  <c r="AI108" i="1" s="1"/>
  <c r="AI262" i="1" a="1"/>
  <c r="AI262" i="1" s="1"/>
  <c r="AI38" i="1" a="1"/>
  <c r="AI38" i="1" s="1"/>
  <c r="AI226" i="1" a="1"/>
  <c r="AI226" i="1" s="1"/>
  <c r="AI318" i="1" a="1"/>
  <c r="AI318" i="1" s="1"/>
  <c r="AI319" i="1" a="1"/>
  <c r="AI319" i="1" s="1"/>
  <c r="AI140" i="1" a="1"/>
  <c r="AI140" i="1" s="1"/>
  <c r="AI39" i="1" a="1"/>
  <c r="AI39" i="1" s="1"/>
  <c r="AI506" i="1" a="1"/>
  <c r="AI506" i="1" s="1"/>
  <c r="AI320" i="1" a="1"/>
  <c r="AI320" i="1" s="1"/>
  <c r="AI440" i="1" a="1"/>
  <c r="AI440" i="1" s="1"/>
  <c r="AI321" i="1" a="1"/>
  <c r="AI321" i="1" s="1"/>
  <c r="AI403" i="1" a="1"/>
  <c r="AI403" i="1" s="1"/>
  <c r="AI355" i="1" a="1"/>
  <c r="AI355" i="1" s="1"/>
  <c r="AI480" i="1" a="1"/>
  <c r="AI480" i="1" s="1"/>
  <c r="AI376" i="1" a="1"/>
  <c r="AI376" i="1" s="1"/>
  <c r="AI288" i="1" a="1"/>
  <c r="AI288" i="1" s="1"/>
  <c r="AI141" i="1" a="1"/>
  <c r="AI141" i="1" s="1"/>
  <c r="AI74" i="1" a="1"/>
  <c r="AI74" i="1" s="1"/>
  <c r="AI289" i="1" a="1"/>
  <c r="AI289" i="1" s="1"/>
  <c r="AI109" i="1" a="1"/>
  <c r="AI109" i="1" s="1"/>
  <c r="AI441" i="1" a="1"/>
  <c r="AI441" i="1" s="1"/>
  <c r="AI40" i="1" a="1"/>
  <c r="AI40" i="1" s="1"/>
  <c r="AI75" i="1" a="1"/>
  <c r="AI75" i="1" s="1"/>
  <c r="AI404" i="1" a="1"/>
  <c r="AI404" i="1" s="1"/>
  <c r="AI227" i="1" a="1"/>
  <c r="AI227" i="1" s="1"/>
  <c r="AI110" i="1" a="1"/>
  <c r="AI110" i="1" s="1"/>
  <c r="AI356" i="1" a="1"/>
  <c r="AI356" i="1" s="1"/>
  <c r="AI167" i="1" a="1"/>
  <c r="AI167" i="1" s="1"/>
  <c r="AI263" i="1" a="1"/>
  <c r="AI263" i="1" s="1"/>
  <c r="AI111" i="1" a="1"/>
  <c r="AI111" i="1" s="1"/>
  <c r="AI442" i="1" a="1"/>
  <c r="AI442" i="1" s="1"/>
  <c r="AI405" i="1" a="1"/>
  <c r="AI405" i="1" s="1"/>
  <c r="AI406" i="1" a="1"/>
  <c r="AI406" i="1" s="1"/>
  <c r="AI357" i="1" a="1"/>
  <c r="AI357" i="1" s="1"/>
  <c r="AI290" i="1" a="1"/>
  <c r="AI290" i="1" s="1"/>
  <c r="AI199" i="1" a="1"/>
  <c r="AI199" i="1" s="1"/>
  <c r="AI443" i="1" a="1"/>
  <c r="AI443" i="1" s="1"/>
  <c r="AI112" i="1" a="1"/>
  <c r="AI112" i="1" s="1"/>
  <c r="AI168" i="1" a="1"/>
  <c r="AI168" i="1" s="1"/>
  <c r="AI377" i="1" a="1"/>
  <c r="AI377" i="1" s="1"/>
  <c r="AI291" i="1" a="1"/>
  <c r="AI291" i="1" s="1"/>
  <c r="AI507" i="1" a="1"/>
  <c r="AI507" i="1" s="1"/>
  <c r="AI200" i="1" a="1"/>
  <c r="AI200" i="1" s="1"/>
  <c r="AI76" i="1" a="1"/>
  <c r="AI76" i="1" s="1"/>
  <c r="AI77" i="1" a="1"/>
  <c r="AI77" i="1" s="1"/>
  <c r="AI407" i="1" a="1"/>
  <c r="AI407" i="1" s="1"/>
  <c r="AI408" i="1" a="1"/>
  <c r="AI408" i="1" s="1"/>
  <c r="AI142" i="1" a="1"/>
  <c r="AI142" i="1" s="1"/>
  <c r="AI322" i="1" a="1"/>
  <c r="AI322" i="1" s="1"/>
  <c r="AI323" i="1" a="1"/>
  <c r="AI323" i="1" s="1"/>
  <c r="AI169" i="1" a="1"/>
  <c r="AI169" i="1" s="1"/>
  <c r="AI324" i="1" a="1"/>
  <c r="AI324" i="1" s="1"/>
  <c r="AI508" i="1" a="1"/>
  <c r="AI508" i="1" s="1"/>
  <c r="AI228" i="1" a="1"/>
  <c r="AI228" i="1" s="1"/>
  <c r="AI444" i="1" a="1"/>
  <c r="AI444" i="1" s="1"/>
  <c r="AI325" i="1" a="1"/>
  <c r="AI325" i="1" s="1"/>
  <c r="AI445" i="1" a="1"/>
  <c r="AI445" i="1" s="1"/>
  <c r="AI481" i="1" a="1"/>
  <c r="AI481" i="1" s="1"/>
  <c r="AI229" i="1" a="1"/>
  <c r="AI229" i="1" s="1"/>
  <c r="AI326" i="1" a="1"/>
  <c r="AI326" i="1" s="1"/>
  <c r="AI482" i="1" a="1"/>
  <c r="AI482" i="1" s="1"/>
  <c r="AI358" i="1" a="1"/>
  <c r="AI358" i="1" s="1"/>
  <c r="AI483" i="1" a="1"/>
  <c r="AI483" i="1" s="1"/>
  <c r="AI327" i="1" a="1"/>
  <c r="AI327" i="1" s="1"/>
  <c r="AI201" i="1" a="1"/>
  <c r="AI201" i="1" s="1"/>
  <c r="AI264" i="1" a="1"/>
  <c r="AI264" i="1" s="1"/>
  <c r="AI41" i="1" a="1"/>
  <c r="AI41" i="1" s="1"/>
  <c r="AI143" i="1" a="1"/>
  <c r="AI143" i="1" s="1"/>
  <c r="AI292" i="1" a="1"/>
  <c r="AI292" i="1" s="1"/>
  <c r="AI509" i="1" a="1"/>
  <c r="AI509" i="1" s="1"/>
  <c r="AI144" i="1" a="1"/>
  <c r="AI144" i="1" s="1"/>
  <c r="AI378" i="1" a="1"/>
  <c r="AI378" i="1" s="1"/>
  <c r="AI510" i="1" a="1"/>
  <c r="AI510" i="1" s="1"/>
  <c r="AI113" i="1" a="1"/>
  <c r="AI113" i="1" s="1"/>
  <c r="AI202" i="1" a="1"/>
  <c r="AI202" i="1" s="1"/>
  <c r="AI328" i="1" a="1"/>
  <c r="AI328" i="1" s="1"/>
  <c r="AI265" i="1" a="1"/>
  <c r="AI265" i="1" s="1"/>
  <c r="AI379" i="1" a="1"/>
  <c r="AI379" i="1" s="1"/>
  <c r="AI78" i="1" a="1"/>
  <c r="AI78" i="1" s="1"/>
  <c r="AI329" i="1" a="1"/>
  <c r="AI329" i="1" s="1"/>
  <c r="AI330" i="1" a="1"/>
  <c r="AI330" i="1" s="1"/>
  <c r="AI446" i="1" a="1"/>
  <c r="AI446" i="1" s="1"/>
  <c r="AI511" i="1" a="1"/>
  <c r="AI511" i="1" s="1"/>
  <c r="AI380" i="1" a="1"/>
  <c r="AI380" i="1" s="1"/>
  <c r="AI114" i="1" a="1"/>
  <c r="AI114" i="1" s="1"/>
  <c r="AI409" i="1" a="1"/>
  <c r="AI409" i="1" s="1"/>
  <c r="AI381" i="1" a="1"/>
  <c r="AI381" i="1" s="1"/>
  <c r="AI230" i="1" a="1"/>
  <c r="AI230" i="1" s="1"/>
  <c r="AI170" i="1" a="1"/>
  <c r="AI170" i="1" s="1"/>
  <c r="AI115" i="1" a="1"/>
  <c r="AI115" i="1" s="1"/>
  <c r="AI410" i="1" a="1"/>
  <c r="AI410" i="1" s="1"/>
  <c r="AI447" i="1" a="1"/>
  <c r="AI447" i="1" s="1"/>
  <c r="AI42" i="1" a="1"/>
  <c r="AI42" i="1" s="1"/>
  <c r="AI231" i="1" a="1"/>
  <c r="AI231" i="1" s="1"/>
  <c r="AI203" i="1" a="1"/>
  <c r="AI203" i="1" s="1"/>
  <c r="AI411" i="1" a="1"/>
  <c r="AI411" i="1" s="1"/>
  <c r="AI293" i="1" a="1"/>
  <c r="AI293" i="1" s="1"/>
  <c r="AI484" i="1" a="1"/>
  <c r="AI484" i="1" s="1"/>
  <c r="AI331" i="1" a="1"/>
  <c r="AI331" i="1" s="1"/>
  <c r="AI204" i="1" a="1"/>
  <c r="AI204" i="1" s="1"/>
  <c r="AI205" i="1" a="1"/>
  <c r="AI205" i="1" s="1"/>
  <c r="AI332" i="1" a="1"/>
  <c r="AI332" i="1" s="1"/>
  <c r="AI145" i="1" a="1"/>
  <c r="AI145" i="1" s="1"/>
  <c r="AI294" i="1" a="1"/>
  <c r="AI294" i="1" s="1"/>
  <c r="AI146" i="1" a="1"/>
  <c r="AI146" i="1" s="1"/>
  <c r="AI266" i="1" a="1"/>
  <c r="AI266" i="1" s="1"/>
  <c r="AI382" i="1" a="1"/>
  <c r="AI382" i="1" s="1"/>
  <c r="AI116" i="1" a="1"/>
  <c r="AI116" i="1" s="1"/>
  <c r="AI79" i="1" a="1"/>
  <c r="AI79" i="1" s="1"/>
  <c r="AI232" i="1" a="1"/>
  <c r="AI232" i="1" s="1"/>
  <c r="AI267" i="1" a="1"/>
  <c r="AI267" i="1" s="1"/>
  <c r="AI43" i="1" a="1"/>
  <c r="AI43" i="1" s="1"/>
  <c r="AI383" i="1" a="1"/>
  <c r="AI383" i="1" s="1"/>
  <c r="AI359" i="1" a="1"/>
  <c r="AI359" i="1" s="1"/>
  <c r="AI412" i="1" a="1"/>
  <c r="AI412" i="1" s="1"/>
  <c r="AI448" i="1" a="1"/>
  <c r="AI448" i="1" s="1"/>
  <c r="AI206" i="1" a="1"/>
  <c r="AI206" i="1" s="1"/>
  <c r="AI147" i="1" a="1"/>
  <c r="AI147" i="1" s="1"/>
  <c r="AI207" i="1" a="1"/>
  <c r="AI207" i="1" s="1"/>
  <c r="AI449" i="1" a="1"/>
  <c r="AI449" i="1" s="1"/>
  <c r="AI171" i="1" a="1"/>
  <c r="AI171" i="1" s="1"/>
  <c r="AI295" i="1" a="1"/>
  <c r="AI295" i="1" s="1"/>
  <c r="AI172" i="1" a="1"/>
  <c r="AI172" i="1" s="1"/>
  <c r="AI80" i="1" a="1"/>
  <c r="AI80" i="1" s="1"/>
  <c r="AI384" i="1" a="1"/>
  <c r="AI384" i="1" s="1"/>
  <c r="AI148" i="1" a="1"/>
  <c r="AI148" i="1" s="1"/>
  <c r="AI117" i="1" a="1"/>
  <c r="AI117" i="1" s="1"/>
  <c r="AI173" i="1" a="1"/>
  <c r="AI173" i="1" s="1"/>
  <c r="AI450" i="1" a="1"/>
  <c r="AI450" i="1" s="1"/>
  <c r="AI485" i="1" a="1"/>
  <c r="AI485" i="1" s="1"/>
  <c r="AI233" i="1" a="1"/>
  <c r="AI233" i="1" s="1"/>
  <c r="AI333" i="1" a="1"/>
  <c r="AI333" i="1" s="1"/>
  <c r="AI81" i="1" a="1"/>
  <c r="AI81" i="1" s="1"/>
  <c r="AI385" i="1" a="1"/>
  <c r="AI385" i="1" s="1"/>
  <c r="AI386" i="1" a="1"/>
  <c r="AI386" i="1" s="1"/>
  <c r="AI118" i="1" a="1"/>
  <c r="AI118" i="1" s="1"/>
  <c r="AI268" i="1" a="1"/>
  <c r="AI268" i="1" s="1"/>
  <c r="AI334" i="1" a="1"/>
  <c r="AI334" i="1" s="1"/>
  <c r="AI387" i="1" a="1"/>
  <c r="AI387" i="1" s="1"/>
  <c r="AI512" i="1" a="1"/>
  <c r="AI512" i="1" s="1"/>
  <c r="AI296" i="1" a="1"/>
  <c r="AI296" i="1" s="1"/>
  <c r="AI513" i="1" a="1"/>
  <c r="AI513" i="1" s="1"/>
  <c r="AI360" i="1" a="1"/>
  <c r="AI360" i="1" s="1"/>
  <c r="AI413" i="1" a="1"/>
  <c r="AI413" i="1" s="1"/>
  <c r="AI361" i="1" a="1"/>
  <c r="AI361" i="1" s="1"/>
  <c r="AI388" i="1" a="1"/>
  <c r="AI388" i="1" s="1"/>
  <c r="AI451" i="1" a="1"/>
  <c r="AI451" i="1" s="1"/>
  <c r="AI297" i="1" a="1"/>
  <c r="AI297" i="1" s="1"/>
  <c r="AI174" i="1" a="1"/>
  <c r="AI174" i="1" s="1"/>
  <c r="AI44" i="1" a="1"/>
  <c r="AI44" i="1" s="1"/>
  <c r="AI414" i="1" a="1"/>
  <c r="AI414" i="1" s="1"/>
  <c r="AI82" i="1" a="1"/>
  <c r="AI82" i="1" s="1"/>
  <c r="AI269" i="1" a="1"/>
  <c r="AI269" i="1" s="1"/>
  <c r="AI415" i="1" a="1"/>
  <c r="AI415" i="1" s="1"/>
  <c r="AI416" i="1" a="1"/>
  <c r="AI416" i="1" s="1"/>
  <c r="AI389" i="1" a="1"/>
  <c r="AI389" i="1" s="1"/>
  <c r="AI514" i="1" a="1"/>
  <c r="AI514" i="1" s="1"/>
  <c r="AI417" i="1" a="1"/>
  <c r="AI417" i="1" s="1"/>
  <c r="AI452" i="1" a="1"/>
  <c r="AI452" i="1" s="1"/>
  <c r="AI486" i="1" a="1"/>
  <c r="AI486" i="1" s="1"/>
  <c r="AI390" i="1" a="1"/>
  <c r="AI390" i="1" s="1"/>
  <c r="AI234" i="1" a="1"/>
  <c r="AI234" i="1" s="1"/>
  <c r="AI149" i="1" a="1"/>
  <c r="AI149" i="1" s="1"/>
  <c r="AI298" i="1" a="1"/>
  <c r="AI298" i="1" s="1"/>
  <c r="AI175" i="1" a="1"/>
  <c r="AI175" i="1" s="1"/>
  <c r="AI270" i="1" a="1"/>
  <c r="AI270" i="1" s="1"/>
  <c r="AI83" i="1" a="1"/>
  <c r="AI83" i="1" s="1"/>
  <c r="AI45" i="1" a="1"/>
  <c r="AI45" i="1" s="1"/>
  <c r="AI176" i="1" a="1"/>
  <c r="AI176" i="1" s="1"/>
  <c r="AI119" i="1" a="1"/>
  <c r="AI119" i="1" s="1"/>
  <c r="AI46" i="1" a="1"/>
  <c r="AI46" i="1" s="1"/>
  <c r="AI453" i="1" a="1"/>
  <c r="AI453" i="1" s="1"/>
  <c r="AI47" i="1" a="1"/>
  <c r="AI47" i="1" s="1"/>
  <c r="AI515" i="1" a="1"/>
  <c r="AI515" i="1" s="1"/>
  <c r="AI48" i="1" a="1"/>
  <c r="AI48" i="1" s="1"/>
  <c r="AI150" i="1" a="1"/>
  <c r="AI150" i="1" s="1"/>
  <c r="AI49" i="1" a="1"/>
  <c r="AI49" i="1" s="1"/>
  <c r="AI208" i="1" a="1"/>
  <c r="AI208" i="1" s="1"/>
  <c r="AI235" i="1" a="1"/>
  <c r="AI235" i="1" s="1"/>
  <c r="AI454" i="1" a="1"/>
  <c r="AI454" i="1" s="1"/>
  <c r="AI362" i="1" a="1"/>
  <c r="AI362" i="1" s="1"/>
  <c r="AI335" i="1" a="1"/>
  <c r="AI335" i="1" s="1"/>
  <c r="AI177" i="1" a="1"/>
  <c r="AI177" i="1" s="1"/>
  <c r="AI178" i="1" a="1"/>
  <c r="AI178" i="1" s="1"/>
  <c r="AI236" i="1" a="1"/>
  <c r="AI236" i="1" s="1"/>
  <c r="AI455" i="1" a="1"/>
  <c r="AI455" i="1" s="1"/>
  <c r="AI336" i="1" a="1"/>
  <c r="AI336" i="1" s="1"/>
  <c r="AI516" i="1" a="1"/>
  <c r="AI516" i="1" s="1"/>
  <c r="AI179" i="1" a="1"/>
  <c r="AI179" i="1" s="1"/>
  <c r="AI84" i="1" a="1"/>
  <c r="AI84" i="1" s="1"/>
  <c r="AI50" i="1" a="1"/>
  <c r="AI50" i="1" s="1"/>
  <c r="AI456" i="1" a="1"/>
  <c r="AI456" i="1" s="1"/>
  <c r="AI418" i="1" a="1"/>
  <c r="AI418" i="1" s="1"/>
  <c r="AI271" i="1" a="1"/>
  <c r="AI271" i="1" s="1"/>
  <c r="AI180" i="1" a="1"/>
  <c r="AI180" i="1" s="1"/>
  <c r="AI272" i="1" a="1"/>
  <c r="AI272" i="1" s="1"/>
  <c r="AI487" i="1" a="1"/>
  <c r="AI487" i="1" s="1"/>
  <c r="AI51" i="1" a="1"/>
  <c r="AI51" i="1" s="1"/>
  <c r="AI85" i="1" a="1"/>
  <c r="AI85" i="1" s="1"/>
  <c r="AI120" i="1" a="1"/>
  <c r="AI120" i="1" s="1"/>
  <c r="AI151" i="1" a="1"/>
  <c r="AI151" i="1" s="1"/>
  <c r="AI52" i="1" a="1"/>
  <c r="AI52" i="1" s="1"/>
  <c r="AI273" i="1" a="1"/>
  <c r="AI273" i="1" s="1"/>
  <c r="AI363" i="1" a="1"/>
  <c r="AI363" i="1" s="1"/>
  <c r="AI53" i="1" a="1"/>
  <c r="AI53" i="1" s="1"/>
  <c r="AI457" i="1" a="1"/>
  <c r="AI457" i="1" s="1"/>
  <c r="AI337" i="1" a="1"/>
  <c r="AI337" i="1" s="1"/>
  <c r="AI86" i="1" a="1"/>
  <c r="AI86" i="1" s="1"/>
  <c r="AI391" i="1" a="1"/>
  <c r="AI391" i="1" s="1"/>
  <c r="AI121" i="1" a="1"/>
  <c r="AI121" i="1" s="1"/>
  <c r="AI87" i="1" a="1"/>
  <c r="AI87" i="1" s="1"/>
  <c r="AI88" i="1" a="1"/>
  <c r="AI88" i="1" s="1"/>
  <c r="AI122" i="1" a="1"/>
  <c r="AI122" i="1" s="1"/>
  <c r="AI237" i="1" a="1"/>
  <c r="AI237" i="1" s="1"/>
  <c r="AI274" i="1" a="1"/>
  <c r="AI274" i="1" s="1"/>
  <c r="AI517" i="1" a="1"/>
  <c r="AI517" i="1" s="1"/>
  <c r="AI89" i="1" a="1"/>
  <c r="AI89" i="1" s="1"/>
  <c r="AI209" i="1" a="1"/>
  <c r="AI209" i="1" s="1"/>
  <c r="AI364" i="1" a="1"/>
  <c r="AI364" i="1" s="1"/>
  <c r="AI210" i="1" a="1"/>
  <c r="AI210" i="1" s="1"/>
  <c r="AI488" i="1" a="1"/>
  <c r="AI488" i="1" s="1"/>
  <c r="AI181" i="1" a="1"/>
  <c r="AI181" i="1" s="1"/>
  <c r="AI489" i="1" a="1"/>
  <c r="AI489" i="1" s="1"/>
  <c r="AI419" i="1" a="1"/>
  <c r="AI419" i="1" s="1"/>
  <c r="AI392" i="1" a="1"/>
  <c r="AI392" i="1" s="1"/>
  <c r="Q10" i="1"/>
  <c r="Q9" i="1"/>
  <c r="Q8" i="1"/>
  <c r="Q7" i="1"/>
  <c r="Q4" i="1"/>
  <c r="Q3" i="1"/>
  <c r="Q11" i="1"/>
  <c r="Q6" i="1"/>
  <c r="Q5" i="1"/>
  <c r="Q2" i="1"/>
  <c r="AA182" i="1"/>
  <c r="Y16" i="1"/>
  <c r="X16" i="1"/>
  <c r="W16" i="1"/>
  <c r="T16" i="1"/>
  <c r="U16" i="1"/>
  <c r="V16" i="1"/>
  <c r="N16" i="1"/>
  <c r="O16" i="1"/>
  <c r="P16" i="1"/>
  <c r="Q16" i="1"/>
  <c r="R16" i="1"/>
  <c r="S16" i="1"/>
  <c r="M16" i="1"/>
  <c r="L16" i="1"/>
  <c r="K16" i="1"/>
  <c r="J16" i="1"/>
  <c r="E16" i="1"/>
  <c r="D16" i="1"/>
  <c r="I16" i="1"/>
  <c r="F16" i="1"/>
  <c r="G16" i="1"/>
  <c r="H16" i="1"/>
  <c r="C16" i="1"/>
  <c r="B16" i="1"/>
  <c r="AG458" i="1" a="1"/>
  <c r="AG458" i="1" s="1"/>
  <c r="AG152" i="1" a="1"/>
  <c r="AG152" i="1" s="1"/>
  <c r="AG182" i="1" a="1"/>
  <c r="AG182" i="1" s="1"/>
  <c r="AG238" i="1" a="1"/>
  <c r="AG238" i="1" s="1"/>
  <c r="AG420" i="1" a="1"/>
  <c r="AG420" i="1" s="1"/>
  <c r="AG239" i="1" a="1"/>
  <c r="AG239" i="1" s="1"/>
  <c r="AG299" i="1" a="1"/>
  <c r="AG299" i="1" s="1"/>
  <c r="AG54" i="1" a="1"/>
  <c r="AG54" i="1" s="1"/>
  <c r="AG183" i="1" a="1"/>
  <c r="AG183" i="1" s="1"/>
  <c r="AG153" i="1" a="1"/>
  <c r="AG153" i="1" s="1"/>
  <c r="AG184" i="1" a="1"/>
  <c r="AG184" i="1" s="1"/>
  <c r="AG185" i="1" a="1"/>
  <c r="AG185" i="1" s="1"/>
  <c r="AG459" i="1" a="1"/>
  <c r="AG459" i="1" s="1"/>
  <c r="AG365" i="1" a="1"/>
  <c r="AG365" i="1" s="1"/>
  <c r="AG240" i="1" a="1"/>
  <c r="AG240" i="1" s="1"/>
  <c r="AG460" i="1" a="1"/>
  <c r="AG460" i="1" s="1"/>
  <c r="AG90" i="1" a="1"/>
  <c r="AG90" i="1" s="1"/>
  <c r="AG338" i="1" a="1"/>
  <c r="AG338" i="1" s="1"/>
  <c r="AG55" i="1" a="1"/>
  <c r="AG55" i="1" s="1"/>
  <c r="AG393" i="1" a="1"/>
  <c r="AG393" i="1" s="1"/>
  <c r="AG275" i="1" a="1"/>
  <c r="AG275" i="1" s="1"/>
  <c r="AG421" i="1" a="1"/>
  <c r="AG421" i="1" s="1"/>
  <c r="AG490" i="1" a="1"/>
  <c r="AG490" i="1" s="1"/>
  <c r="AG154" i="1" a="1"/>
  <c r="AG154" i="1" s="1"/>
  <c r="AG339" i="1" a="1"/>
  <c r="AG339" i="1" s="1"/>
  <c r="AG340" i="1" a="1"/>
  <c r="AG340" i="1" s="1"/>
  <c r="AG491" i="1" a="1"/>
  <c r="AG491" i="1" s="1"/>
  <c r="AG123" i="1" a="1"/>
  <c r="AG123" i="1" s="1"/>
  <c r="AG18" i="1" a="1"/>
  <c r="AG18" i="1" s="1"/>
  <c r="AG241" i="1" a="1"/>
  <c r="AG241" i="1" s="1"/>
  <c r="AG366" i="1" a="1"/>
  <c r="AG366" i="1" s="1"/>
  <c r="AG341" i="1" a="1"/>
  <c r="AG341" i="1" s="1"/>
  <c r="AG300" i="1" a="1"/>
  <c r="AG300" i="1" s="1"/>
  <c r="AG56" i="1" a="1"/>
  <c r="AG56" i="1" s="1"/>
  <c r="AG91" i="1" a="1"/>
  <c r="AG91" i="1" s="1"/>
  <c r="AG186" i="1" a="1"/>
  <c r="AG186" i="1" s="1"/>
  <c r="AG422" i="1" a="1"/>
  <c r="AG422" i="1" s="1"/>
  <c r="AG461" i="1" a="1"/>
  <c r="AG461" i="1" s="1"/>
  <c r="AG342" i="1" a="1"/>
  <c r="AG342" i="1" s="1"/>
  <c r="AG19" i="1" a="1"/>
  <c r="AG19" i="1" s="1"/>
  <c r="AG492" i="1" a="1"/>
  <c r="AG492" i="1" s="1"/>
  <c r="AG92" i="1" a="1"/>
  <c r="AG92" i="1" s="1"/>
  <c r="AG57" i="1" a="1"/>
  <c r="AG57" i="1" s="1"/>
  <c r="AG211" i="1" a="1"/>
  <c r="AG211" i="1" s="1"/>
  <c r="AG124" i="1" a="1"/>
  <c r="AG124" i="1" s="1"/>
  <c r="AG343" i="1" a="1"/>
  <c r="AG343" i="1" s="1"/>
  <c r="AG242" i="1" a="1"/>
  <c r="AG242" i="1" s="1"/>
  <c r="AG344" i="1" a="1"/>
  <c r="AG344" i="1" s="1"/>
  <c r="AG301" i="1" a="1"/>
  <c r="AG301" i="1" s="1"/>
  <c r="AG212" i="1" a="1"/>
  <c r="AG212" i="1" s="1"/>
  <c r="AG125" i="1" a="1"/>
  <c r="AG125" i="1" s="1"/>
  <c r="AG126" i="1" a="1"/>
  <c r="AG126" i="1" s="1"/>
  <c r="AG394" i="1" a="1"/>
  <c r="AG394" i="1" s="1"/>
  <c r="AG345" i="1" a="1"/>
  <c r="AG345" i="1" s="1"/>
  <c r="AG127" i="1" a="1"/>
  <c r="AG127" i="1" s="1"/>
  <c r="AG493" i="1" a="1"/>
  <c r="AG493" i="1" s="1"/>
  <c r="AG462" i="1" a="1"/>
  <c r="AG462" i="1" s="1"/>
  <c r="AG302" i="1" a="1"/>
  <c r="AG302" i="1" s="1"/>
  <c r="AG463" i="1" a="1"/>
  <c r="AG463" i="1" s="1"/>
  <c r="AG395" i="1" a="1"/>
  <c r="AG395" i="1" s="1"/>
  <c r="AG93" i="1" a="1"/>
  <c r="AG93" i="1" s="1"/>
  <c r="AG367" i="1" a="1"/>
  <c r="AG367" i="1" s="1"/>
  <c r="AG155" i="1" a="1"/>
  <c r="AG155" i="1" s="1"/>
  <c r="AG58" i="1" a="1"/>
  <c r="AG58" i="1" s="1"/>
  <c r="AG303" i="1" a="1"/>
  <c r="AG303" i="1" s="1"/>
  <c r="AG213" i="1" a="1"/>
  <c r="AG213" i="1" s="1"/>
  <c r="AG20" i="1" a="1"/>
  <c r="AG20" i="1" s="1"/>
  <c r="AG243" i="1" a="1"/>
  <c r="AG243" i="1" s="1"/>
  <c r="AG423" i="1" a="1"/>
  <c r="AG423" i="1" s="1"/>
  <c r="AG94" i="1" a="1"/>
  <c r="AG94" i="1" s="1"/>
  <c r="AG244" i="1" a="1"/>
  <c r="AG244" i="1" s="1"/>
  <c r="AG21" i="1" a="1"/>
  <c r="AG21" i="1" s="1"/>
  <c r="AG22" i="1" a="1"/>
  <c r="AG22" i="1" s="1"/>
  <c r="AG424" i="1" a="1"/>
  <c r="AG424" i="1" s="1"/>
  <c r="AG494" i="1" a="1"/>
  <c r="AG494" i="1" s="1"/>
  <c r="AG276" i="1" a="1"/>
  <c r="AG276" i="1" s="1"/>
  <c r="AG368" i="1" a="1"/>
  <c r="AG368" i="1" s="1"/>
  <c r="AG156" i="1" a="1"/>
  <c r="AG156" i="1" s="1"/>
  <c r="AG157" i="1" a="1"/>
  <c r="AG157" i="1" s="1"/>
  <c r="AG304" i="1" a="1"/>
  <c r="AG304" i="1" s="1"/>
  <c r="AG425" i="1" a="1"/>
  <c r="AG425" i="1" s="1"/>
  <c r="AG495" i="1" a="1"/>
  <c r="AG495" i="1" s="1"/>
  <c r="AG23" i="1" a="1"/>
  <c r="AG23" i="1" s="1"/>
  <c r="AG24" i="1" a="1"/>
  <c r="AG24" i="1" s="1"/>
  <c r="AG245" i="1" a="1"/>
  <c r="AG245" i="1" s="1"/>
  <c r="AG95" i="1" a="1"/>
  <c r="AG95" i="1" s="1"/>
  <c r="AG246" i="1" a="1"/>
  <c r="AG246" i="1" s="1"/>
  <c r="AG369" i="1" a="1"/>
  <c r="AG369" i="1" s="1"/>
  <c r="AG25" i="1" a="1"/>
  <c r="AG25" i="1" s="1"/>
  <c r="AG247" i="1" a="1"/>
  <c r="AG247" i="1" s="1"/>
  <c r="AG26" i="1" a="1"/>
  <c r="AG26" i="1" s="1"/>
  <c r="AG214" i="1" a="1"/>
  <c r="AG214" i="1" s="1"/>
  <c r="AG59" i="1" a="1"/>
  <c r="AG59" i="1" s="1"/>
  <c r="AG187" i="1" a="1"/>
  <c r="AG187" i="1" s="1"/>
  <c r="AG426" i="1" a="1"/>
  <c r="AG426" i="1" s="1"/>
  <c r="AG277" i="1" a="1"/>
  <c r="AG277" i="1" s="1"/>
  <c r="AG464" i="1" a="1"/>
  <c r="AG464" i="1" s="1"/>
  <c r="AG215" i="1" a="1"/>
  <c r="AG215" i="1" s="1"/>
  <c r="AG188" i="1" a="1"/>
  <c r="AG188" i="1" s="1"/>
  <c r="AG396" i="1" a="1"/>
  <c r="AG396" i="1" s="1"/>
  <c r="AG248" i="1" a="1"/>
  <c r="AG248" i="1" s="1"/>
  <c r="AG249" i="1" a="1"/>
  <c r="AG249" i="1" s="1"/>
  <c r="AG278" i="1" a="1"/>
  <c r="AG278" i="1" s="1"/>
  <c r="AG27" i="1" a="1"/>
  <c r="AG27" i="1" s="1"/>
  <c r="AG370" i="1" a="1"/>
  <c r="AG370" i="1" s="1"/>
  <c r="AG279" i="1" a="1"/>
  <c r="AG279" i="1" s="1"/>
  <c r="AG96" i="1" a="1"/>
  <c r="AG96" i="1" s="1"/>
  <c r="AG60" i="1" a="1"/>
  <c r="AG60" i="1" s="1"/>
  <c r="AG61" i="1" a="1"/>
  <c r="AG61" i="1" s="1"/>
  <c r="AG305" i="1" a="1"/>
  <c r="AG305" i="1" s="1"/>
  <c r="AG216" i="1" a="1"/>
  <c r="AG216" i="1" s="1"/>
  <c r="AG250" i="1" a="1"/>
  <c r="AG250" i="1" s="1"/>
  <c r="AG251" i="1" a="1"/>
  <c r="AG251" i="1" s="1"/>
  <c r="AG496" i="1" a="1"/>
  <c r="AG496" i="1" s="1"/>
  <c r="AG252" i="1" a="1"/>
  <c r="AG252" i="1" s="1"/>
  <c r="AG497" i="1" a="1"/>
  <c r="AG497" i="1" s="1"/>
  <c r="AG217" i="1" a="1"/>
  <c r="AG217" i="1" s="1"/>
  <c r="AG218" i="1" a="1"/>
  <c r="AG218" i="1" s="1"/>
  <c r="AG97" i="1" a="1"/>
  <c r="AG97" i="1" s="1"/>
  <c r="AG306" i="1" a="1"/>
  <c r="AG306" i="1" s="1"/>
  <c r="AG253" i="1" a="1"/>
  <c r="AG253" i="1" s="1"/>
  <c r="AG307" i="1" a="1"/>
  <c r="AG307" i="1" s="1"/>
  <c r="AG465" i="1" a="1"/>
  <c r="AG465" i="1" s="1"/>
  <c r="AG427" i="1" a="1"/>
  <c r="AG427" i="1" s="1"/>
  <c r="AG428" i="1" a="1"/>
  <c r="AG428" i="1" s="1"/>
  <c r="AG62" i="1" a="1"/>
  <c r="AG62" i="1" s="1"/>
  <c r="AG498" i="1" a="1"/>
  <c r="AG498" i="1" s="1"/>
  <c r="AG397" i="1" a="1"/>
  <c r="AG397" i="1" s="1"/>
  <c r="AG63" i="1" a="1"/>
  <c r="AG63" i="1" s="1"/>
  <c r="AG28" i="1" a="1"/>
  <c r="AG28" i="1" s="1"/>
  <c r="AG128" i="1" a="1"/>
  <c r="AG128" i="1" s="1"/>
  <c r="AG29" i="1" a="1"/>
  <c r="AG29" i="1" s="1"/>
  <c r="AG189" i="1" a="1"/>
  <c r="AG189" i="1" s="1"/>
  <c r="AG129" i="1" a="1"/>
  <c r="AG129" i="1" s="1"/>
  <c r="AG308" i="1" a="1"/>
  <c r="AG308" i="1" s="1"/>
  <c r="AG280" i="1" a="1"/>
  <c r="AG280" i="1" s="1"/>
  <c r="AG499" i="1" a="1"/>
  <c r="AG499" i="1" s="1"/>
  <c r="AG281" i="1" a="1"/>
  <c r="AG281" i="1" s="1"/>
  <c r="AG466" i="1" a="1"/>
  <c r="AG466" i="1" s="1"/>
  <c r="AG190" i="1" a="1"/>
  <c r="AG190" i="1" s="1"/>
  <c r="AG467" i="1" a="1"/>
  <c r="AG467" i="1" s="1"/>
  <c r="AG398" i="1" a="1"/>
  <c r="AG398" i="1" s="1"/>
  <c r="AG158" i="1" a="1"/>
  <c r="AG158" i="1" s="1"/>
  <c r="AG282" i="1" a="1"/>
  <c r="AG282" i="1" s="1"/>
  <c r="AG191" i="1" a="1"/>
  <c r="AG191" i="1" s="1"/>
  <c r="AG192" i="1" a="1"/>
  <c r="AG192" i="1" s="1"/>
  <c r="AG500" i="1" a="1"/>
  <c r="AG500" i="1" s="1"/>
  <c r="AG130" i="1" a="1"/>
  <c r="AG130" i="1" s="1"/>
  <c r="AG219" i="1" a="1"/>
  <c r="AG219" i="1" s="1"/>
  <c r="AG283" i="1" a="1"/>
  <c r="AG283" i="1" s="1"/>
  <c r="AG131" i="1" a="1"/>
  <c r="AG131" i="1" s="1"/>
  <c r="AG309" i="1" a="1"/>
  <c r="AG309" i="1" s="1"/>
  <c r="AG220" i="1" a="1"/>
  <c r="AG220" i="1" s="1"/>
  <c r="AG30" i="1" a="1"/>
  <c r="AG30" i="1" s="1"/>
  <c r="AG429" i="1" a="1"/>
  <c r="AG429" i="1" s="1"/>
  <c r="AG132" i="1" a="1"/>
  <c r="AG132" i="1" s="1"/>
  <c r="AG159" i="1" a="1"/>
  <c r="AG159" i="1" s="1"/>
  <c r="AG31" i="1" a="1"/>
  <c r="AG31" i="1" s="1"/>
  <c r="AG193" i="1" a="1"/>
  <c r="AG193" i="1" s="1"/>
  <c r="AG501" i="1" a="1"/>
  <c r="AG501" i="1" s="1"/>
  <c r="AG254" i="1" a="1"/>
  <c r="AG254" i="1" s="1"/>
  <c r="AG64" i="1" a="1"/>
  <c r="AG64" i="1" s="1"/>
  <c r="AG371" i="1" a="1"/>
  <c r="AG371" i="1" s="1"/>
  <c r="AG32" i="1" a="1"/>
  <c r="AG32" i="1" s="1"/>
  <c r="AG468" i="1" a="1"/>
  <c r="AG468" i="1" s="1"/>
  <c r="AG502" i="1" a="1"/>
  <c r="AG502" i="1" s="1"/>
  <c r="AG346" i="1" a="1"/>
  <c r="AG346" i="1" s="1"/>
  <c r="AG347" i="1" a="1"/>
  <c r="AG347" i="1" s="1"/>
  <c r="AG65" i="1" a="1"/>
  <c r="AG65" i="1" s="1"/>
  <c r="AG66" i="1" a="1"/>
  <c r="AG66" i="1" s="1"/>
  <c r="AG255" i="1" a="1"/>
  <c r="AG255" i="1" s="1"/>
  <c r="AG372" i="1" a="1"/>
  <c r="AG372" i="1" s="1"/>
  <c r="AG469" i="1" a="1"/>
  <c r="AG469" i="1" s="1"/>
  <c r="AG430" i="1" a="1"/>
  <c r="AG430" i="1" s="1"/>
  <c r="AG221" i="1" a="1"/>
  <c r="AG221" i="1" s="1"/>
  <c r="AG133" i="1" a="1"/>
  <c r="AG133" i="1" s="1"/>
  <c r="AG310" i="1" a="1"/>
  <c r="AG310" i="1" s="1"/>
  <c r="AG470" i="1" a="1"/>
  <c r="AG470" i="1" s="1"/>
  <c r="AG67" i="1" a="1"/>
  <c r="AG67" i="1" s="1"/>
  <c r="AG348" i="1" a="1"/>
  <c r="AG348" i="1" s="1"/>
  <c r="AG284" i="1" a="1"/>
  <c r="AG284" i="1" s="1"/>
  <c r="AG256" i="1" a="1"/>
  <c r="AG256" i="1" s="1"/>
  <c r="AG471" i="1" a="1"/>
  <c r="AG471" i="1" s="1"/>
  <c r="AG33" i="1" a="1"/>
  <c r="AG33" i="1" s="1"/>
  <c r="AG98" i="1" a="1"/>
  <c r="AG98" i="1" s="1"/>
  <c r="AG472" i="1" a="1"/>
  <c r="AG472" i="1" s="1"/>
  <c r="AG160" i="1" a="1"/>
  <c r="AG160" i="1" s="1"/>
  <c r="AG68" i="1" a="1"/>
  <c r="AG68" i="1" s="1"/>
  <c r="AG431" i="1" a="1"/>
  <c r="AG431" i="1" s="1"/>
  <c r="AG161" i="1" a="1"/>
  <c r="AG161" i="1" s="1"/>
  <c r="AG349" i="1" a="1"/>
  <c r="AG349" i="1" s="1"/>
  <c r="AG432" i="1" a="1"/>
  <c r="AG432" i="1" s="1"/>
  <c r="AG69" i="1" a="1"/>
  <c r="AG69" i="1" s="1"/>
  <c r="AG194" i="1" a="1"/>
  <c r="AG194" i="1" s="1"/>
  <c r="AG257" i="1" a="1"/>
  <c r="AG257" i="1" s="1"/>
  <c r="AG285" i="1" a="1"/>
  <c r="AG285" i="1" s="1"/>
  <c r="AG34" i="1" a="1"/>
  <c r="AG34" i="1" s="1"/>
  <c r="AG162" i="1" a="1"/>
  <c r="AG162" i="1" s="1"/>
  <c r="AG99" i="1" a="1"/>
  <c r="AG99" i="1" s="1"/>
  <c r="AG311" i="1" a="1"/>
  <c r="AG311" i="1" s="1"/>
  <c r="AG134" i="1" a="1"/>
  <c r="AG134" i="1" s="1"/>
  <c r="AG195" i="1" a="1"/>
  <c r="AG195" i="1" s="1"/>
  <c r="AG135" i="1" a="1"/>
  <c r="AG135" i="1" s="1"/>
  <c r="AG312" i="1" a="1"/>
  <c r="AG312" i="1" s="1"/>
  <c r="AG196" i="1" a="1"/>
  <c r="AG196" i="1" s="1"/>
  <c r="AG313" i="1" a="1"/>
  <c r="AG313" i="1" s="1"/>
  <c r="AG70" i="1" a="1"/>
  <c r="AG70" i="1" s="1"/>
  <c r="AG35" i="1" a="1"/>
  <c r="AG35" i="1" s="1"/>
  <c r="AG136" i="1" a="1"/>
  <c r="AG136" i="1" s="1"/>
  <c r="AG473" i="1" a="1"/>
  <c r="AG473" i="1" s="1"/>
  <c r="AG503" i="1" a="1"/>
  <c r="AG503" i="1" s="1"/>
  <c r="AG474" i="1" a="1"/>
  <c r="AG474" i="1" s="1"/>
  <c r="AG163" i="1" a="1"/>
  <c r="AG163" i="1" s="1"/>
  <c r="AG314" i="1" a="1"/>
  <c r="AG314" i="1" s="1"/>
  <c r="AG433" i="1" a="1"/>
  <c r="AG433" i="1" s="1"/>
  <c r="AG399" i="1" a="1"/>
  <c r="AG399" i="1" s="1"/>
  <c r="AG373" i="1" a="1"/>
  <c r="AG373" i="1" s="1"/>
  <c r="AG100" i="1" a="1"/>
  <c r="AG100" i="1" s="1"/>
  <c r="AG101" i="1" a="1"/>
  <c r="AG101" i="1" s="1"/>
  <c r="AG137" i="1" a="1"/>
  <c r="AG137" i="1" s="1"/>
  <c r="AG315" i="1" a="1"/>
  <c r="AG315" i="1" s="1"/>
  <c r="AG258" i="1" a="1"/>
  <c r="AG258" i="1" s="1"/>
  <c r="AG71" i="1" a="1"/>
  <c r="AG71" i="1" s="1"/>
  <c r="AG259" i="1" a="1"/>
  <c r="AG259" i="1" s="1"/>
  <c r="AG475" i="1" a="1"/>
  <c r="AG475" i="1" s="1"/>
  <c r="AG504" i="1" a="1"/>
  <c r="AG504" i="1" s="1"/>
  <c r="AG400" i="1" a="1"/>
  <c r="AG400" i="1" s="1"/>
  <c r="AG36" i="1" a="1"/>
  <c r="AG36" i="1" s="1"/>
  <c r="AG316" i="1" a="1"/>
  <c r="AG316" i="1" s="1"/>
  <c r="AG197" i="1" a="1"/>
  <c r="AG197" i="1" s="1"/>
  <c r="AG222" i="1" a="1"/>
  <c r="AG222" i="1" s="1"/>
  <c r="AG37" i="1" a="1"/>
  <c r="AG37" i="1" s="1"/>
  <c r="AG102" i="1" a="1"/>
  <c r="AG102" i="1" s="1"/>
  <c r="AG350" i="1" a="1"/>
  <c r="AG350" i="1" s="1"/>
  <c r="AG401" i="1" a="1"/>
  <c r="AG401" i="1" s="1"/>
  <c r="AG260" i="1" a="1"/>
  <c r="AG260" i="1" s="1"/>
  <c r="AG317" i="1" a="1"/>
  <c r="AG317" i="1" s="1"/>
  <c r="AG351" i="1" a="1"/>
  <c r="AG351" i="1" s="1"/>
  <c r="AG223" i="1" a="1"/>
  <c r="AG223" i="1" s="1"/>
  <c r="AG476" i="1" a="1"/>
  <c r="AG476" i="1" s="1"/>
  <c r="AG374" i="1" a="1"/>
  <c r="AG374" i="1" s="1"/>
  <c r="AG224" i="1" a="1"/>
  <c r="AG224" i="1" s="1"/>
  <c r="AG103" i="1" a="1"/>
  <c r="AG103" i="1" s="1"/>
  <c r="AG477" i="1" a="1"/>
  <c r="AG477" i="1" s="1"/>
  <c r="AG286" i="1" a="1"/>
  <c r="AG286" i="1" s="1"/>
  <c r="AG164" i="1" a="1"/>
  <c r="AG164" i="1" s="1"/>
  <c r="AG138" i="1" a="1"/>
  <c r="AG138" i="1" s="1"/>
  <c r="AG434" i="1" a="1"/>
  <c r="AG434" i="1" s="1"/>
  <c r="AG478" i="1" a="1"/>
  <c r="AG478" i="1" s="1"/>
  <c r="AG505" i="1" a="1"/>
  <c r="AG505" i="1" s="1"/>
  <c r="AG352" i="1" a="1"/>
  <c r="AG352" i="1" s="1"/>
  <c r="AG287" i="1" a="1"/>
  <c r="AG287" i="1" s="1"/>
  <c r="AG435" i="1" a="1"/>
  <c r="AG435" i="1" s="1"/>
  <c r="AG165" i="1" a="1"/>
  <c r="AG165" i="1" s="1"/>
  <c r="AG375" i="1" a="1"/>
  <c r="AG375" i="1" s="1"/>
  <c r="AG436" i="1" a="1"/>
  <c r="AG436" i="1" s="1"/>
  <c r="AG139" i="1" a="1"/>
  <c r="AG139" i="1" s="1"/>
  <c r="AG166" i="1" a="1"/>
  <c r="AG166" i="1" s="1"/>
  <c r="AG72" i="1" a="1"/>
  <c r="AG72" i="1" s="1"/>
  <c r="AG104" i="1" a="1"/>
  <c r="AG104" i="1" s="1"/>
  <c r="AG225" i="1" a="1"/>
  <c r="AG225" i="1" s="1"/>
  <c r="AG105" i="1" a="1"/>
  <c r="AG105" i="1" s="1"/>
  <c r="AG353" i="1" a="1"/>
  <c r="AG353" i="1" s="1"/>
  <c r="AG261" i="1" a="1"/>
  <c r="AG261" i="1" s="1"/>
  <c r="AG437" i="1" a="1"/>
  <c r="AG437" i="1" s="1"/>
  <c r="AG438" i="1" a="1"/>
  <c r="AG438" i="1" s="1"/>
  <c r="AG354" i="1" a="1"/>
  <c r="AG354" i="1" s="1"/>
  <c r="AG106" i="1" a="1"/>
  <c r="AG106" i="1" s="1"/>
  <c r="AG73" i="1" a="1"/>
  <c r="AG73" i="1" s="1"/>
  <c r="AG198" i="1" a="1"/>
  <c r="AG198" i="1" s="1"/>
  <c r="AG107" i="1" a="1"/>
  <c r="AG107" i="1" s="1"/>
  <c r="AG439" i="1" a="1"/>
  <c r="AG439" i="1" s="1"/>
  <c r="AG402" i="1" a="1"/>
  <c r="AG402" i="1" s="1"/>
  <c r="AG479" i="1" a="1"/>
  <c r="AG479" i="1" s="1"/>
  <c r="AG108" i="1" a="1"/>
  <c r="AG108" i="1" s="1"/>
  <c r="AG262" i="1" a="1"/>
  <c r="AG262" i="1" s="1"/>
  <c r="AG38" i="1" a="1"/>
  <c r="AG38" i="1" s="1"/>
  <c r="AG226" i="1" a="1"/>
  <c r="AG226" i="1" s="1"/>
  <c r="AG318" i="1" a="1"/>
  <c r="AG318" i="1" s="1"/>
  <c r="AG319" i="1" a="1"/>
  <c r="AG319" i="1" s="1"/>
  <c r="AG140" i="1" a="1"/>
  <c r="AG140" i="1" s="1"/>
  <c r="AG39" i="1" a="1"/>
  <c r="AG39" i="1" s="1"/>
  <c r="AG506" i="1" a="1"/>
  <c r="AG506" i="1" s="1"/>
  <c r="AG320" i="1" a="1"/>
  <c r="AG320" i="1" s="1"/>
  <c r="AG440" i="1" a="1"/>
  <c r="AG440" i="1" s="1"/>
  <c r="AG321" i="1" a="1"/>
  <c r="AG321" i="1" s="1"/>
  <c r="AG403" i="1" a="1"/>
  <c r="AG403" i="1" s="1"/>
  <c r="AG355" i="1" a="1"/>
  <c r="AG355" i="1" s="1"/>
  <c r="AG480" i="1" a="1"/>
  <c r="AG480" i="1" s="1"/>
  <c r="AG376" i="1" a="1"/>
  <c r="AG376" i="1" s="1"/>
  <c r="AG288" i="1" a="1"/>
  <c r="AG288" i="1" s="1"/>
  <c r="AG141" i="1" a="1"/>
  <c r="AG141" i="1" s="1"/>
  <c r="AG74" i="1" a="1"/>
  <c r="AG74" i="1" s="1"/>
  <c r="AG289" i="1" a="1"/>
  <c r="AG289" i="1" s="1"/>
  <c r="AG109" i="1" a="1"/>
  <c r="AG109" i="1" s="1"/>
  <c r="AG441" i="1" a="1"/>
  <c r="AG441" i="1" s="1"/>
  <c r="AG40" i="1" a="1"/>
  <c r="AG40" i="1" s="1"/>
  <c r="AG75" i="1" a="1"/>
  <c r="AG75" i="1" s="1"/>
  <c r="AG404" i="1" a="1"/>
  <c r="AG404" i="1" s="1"/>
  <c r="AG227" i="1" a="1"/>
  <c r="AG227" i="1" s="1"/>
  <c r="AG110" i="1" a="1"/>
  <c r="AG110" i="1" s="1"/>
  <c r="AG356" i="1" a="1"/>
  <c r="AG356" i="1" s="1"/>
  <c r="AG167" i="1" a="1"/>
  <c r="AG167" i="1" s="1"/>
  <c r="AG263" i="1" a="1"/>
  <c r="AG263" i="1" s="1"/>
  <c r="AG111" i="1" a="1"/>
  <c r="AG111" i="1" s="1"/>
  <c r="AG442" i="1" a="1"/>
  <c r="AG442" i="1" s="1"/>
  <c r="AG405" i="1" a="1"/>
  <c r="AG405" i="1" s="1"/>
  <c r="AG406" i="1" a="1"/>
  <c r="AG406" i="1" s="1"/>
  <c r="AG357" i="1" a="1"/>
  <c r="AG357" i="1" s="1"/>
  <c r="AG290" i="1" a="1"/>
  <c r="AG290" i="1" s="1"/>
  <c r="AG199" i="1" a="1"/>
  <c r="AG199" i="1" s="1"/>
  <c r="AG443" i="1" a="1"/>
  <c r="AG443" i="1" s="1"/>
  <c r="AG112" i="1" a="1"/>
  <c r="AG112" i="1" s="1"/>
  <c r="AG168" i="1" a="1"/>
  <c r="AG168" i="1" s="1"/>
  <c r="AG377" i="1" a="1"/>
  <c r="AG377" i="1" s="1"/>
  <c r="AG291" i="1" a="1"/>
  <c r="AG291" i="1" s="1"/>
  <c r="AG507" i="1" a="1"/>
  <c r="AG507" i="1" s="1"/>
  <c r="AG200" i="1" a="1"/>
  <c r="AG200" i="1" s="1"/>
  <c r="AG76" i="1" a="1"/>
  <c r="AG76" i="1" s="1"/>
  <c r="AG77" i="1" a="1"/>
  <c r="AG77" i="1" s="1"/>
  <c r="AG407" i="1" a="1"/>
  <c r="AG407" i="1" s="1"/>
  <c r="AG408" i="1" a="1"/>
  <c r="AG408" i="1" s="1"/>
  <c r="AG142" i="1" a="1"/>
  <c r="AG142" i="1" s="1"/>
  <c r="AG322" i="1" a="1"/>
  <c r="AG322" i="1" s="1"/>
  <c r="AG323" i="1" a="1"/>
  <c r="AG323" i="1" s="1"/>
  <c r="AG169" i="1" a="1"/>
  <c r="AG169" i="1" s="1"/>
  <c r="AG324" i="1" a="1"/>
  <c r="AG324" i="1" s="1"/>
  <c r="AG508" i="1" a="1"/>
  <c r="AG508" i="1" s="1"/>
  <c r="AG228" i="1" a="1"/>
  <c r="AG228" i="1" s="1"/>
  <c r="AG444" i="1" a="1"/>
  <c r="AG444" i="1" s="1"/>
  <c r="AG325" i="1" a="1"/>
  <c r="AG325" i="1" s="1"/>
  <c r="AG445" i="1" a="1"/>
  <c r="AG445" i="1" s="1"/>
  <c r="AG481" i="1" a="1"/>
  <c r="AG481" i="1" s="1"/>
  <c r="AG229" i="1" a="1"/>
  <c r="AG229" i="1" s="1"/>
  <c r="AG326" i="1" a="1"/>
  <c r="AG326" i="1" s="1"/>
  <c r="AG482" i="1" a="1"/>
  <c r="AG482" i="1" s="1"/>
  <c r="AG358" i="1" a="1"/>
  <c r="AG358" i="1" s="1"/>
  <c r="AG483" i="1" a="1"/>
  <c r="AG483" i="1" s="1"/>
  <c r="AG327" i="1" a="1"/>
  <c r="AG327" i="1" s="1"/>
  <c r="AG201" i="1" a="1"/>
  <c r="AG201" i="1" s="1"/>
  <c r="AG264" i="1" a="1"/>
  <c r="AG264" i="1" s="1"/>
  <c r="AG41" i="1" a="1"/>
  <c r="AG41" i="1" s="1"/>
  <c r="AG143" i="1" a="1"/>
  <c r="AG143" i="1" s="1"/>
  <c r="AG292" i="1" a="1"/>
  <c r="AG292" i="1" s="1"/>
  <c r="AG509" i="1" a="1"/>
  <c r="AG509" i="1" s="1"/>
  <c r="AG144" i="1" a="1"/>
  <c r="AG144" i="1" s="1"/>
  <c r="AG378" i="1" a="1"/>
  <c r="AG378" i="1" s="1"/>
  <c r="AG510" i="1" a="1"/>
  <c r="AG510" i="1" s="1"/>
  <c r="AG113" i="1" a="1"/>
  <c r="AG113" i="1" s="1"/>
  <c r="AG202" i="1" a="1"/>
  <c r="AG202" i="1" s="1"/>
  <c r="AG328" i="1" a="1"/>
  <c r="AG328" i="1" s="1"/>
  <c r="AG265" i="1" a="1"/>
  <c r="AG265" i="1" s="1"/>
  <c r="AG379" i="1" a="1"/>
  <c r="AG379" i="1" s="1"/>
  <c r="AG78" i="1" a="1"/>
  <c r="AG78" i="1" s="1"/>
  <c r="AG329" i="1" a="1"/>
  <c r="AG329" i="1" s="1"/>
  <c r="AG330" i="1" a="1"/>
  <c r="AG330" i="1" s="1"/>
  <c r="AG446" i="1" a="1"/>
  <c r="AG446" i="1" s="1"/>
  <c r="AG511" i="1" a="1"/>
  <c r="AG511" i="1" s="1"/>
  <c r="AG380" i="1" a="1"/>
  <c r="AG380" i="1" s="1"/>
  <c r="AG114" i="1" a="1"/>
  <c r="AG114" i="1" s="1"/>
  <c r="AG409" i="1" a="1"/>
  <c r="AG409" i="1" s="1"/>
  <c r="AG381" i="1" a="1"/>
  <c r="AG381" i="1" s="1"/>
  <c r="AG230" i="1" a="1"/>
  <c r="AG230" i="1" s="1"/>
  <c r="AG170" i="1" a="1"/>
  <c r="AG170" i="1" s="1"/>
  <c r="AG115" i="1" a="1"/>
  <c r="AG115" i="1" s="1"/>
  <c r="AG410" i="1" a="1"/>
  <c r="AG410" i="1" s="1"/>
  <c r="AG447" i="1" a="1"/>
  <c r="AG447" i="1" s="1"/>
  <c r="AG42" i="1" a="1"/>
  <c r="AG42" i="1" s="1"/>
  <c r="AG231" i="1" a="1"/>
  <c r="AG231" i="1" s="1"/>
  <c r="AG203" i="1" a="1"/>
  <c r="AG203" i="1" s="1"/>
  <c r="AG411" i="1" a="1"/>
  <c r="AG411" i="1" s="1"/>
  <c r="AG293" i="1" a="1"/>
  <c r="AG293" i="1" s="1"/>
  <c r="AG484" i="1" a="1"/>
  <c r="AG484" i="1" s="1"/>
  <c r="AG331" i="1" a="1"/>
  <c r="AG331" i="1" s="1"/>
  <c r="AG204" i="1" a="1"/>
  <c r="AG204" i="1" s="1"/>
  <c r="AG205" i="1" a="1"/>
  <c r="AG205" i="1" s="1"/>
  <c r="AG332" i="1" a="1"/>
  <c r="AG332" i="1" s="1"/>
  <c r="AG145" i="1" a="1"/>
  <c r="AG145" i="1" s="1"/>
  <c r="AG294" i="1" a="1"/>
  <c r="AG294" i="1" s="1"/>
  <c r="AG146" i="1" a="1"/>
  <c r="AG146" i="1" s="1"/>
  <c r="AG266" i="1" a="1"/>
  <c r="AG266" i="1" s="1"/>
  <c r="AG382" i="1" a="1"/>
  <c r="AG382" i="1" s="1"/>
  <c r="AG116" i="1" a="1"/>
  <c r="AG116" i="1" s="1"/>
  <c r="AG79" i="1" a="1"/>
  <c r="AG79" i="1" s="1"/>
  <c r="AG232" i="1" a="1"/>
  <c r="AG232" i="1" s="1"/>
  <c r="AG267" i="1" a="1"/>
  <c r="AG267" i="1" s="1"/>
  <c r="AG43" i="1" a="1"/>
  <c r="AG43" i="1" s="1"/>
  <c r="AG383" i="1" a="1"/>
  <c r="AG383" i="1" s="1"/>
  <c r="AG359" i="1" a="1"/>
  <c r="AG359" i="1" s="1"/>
  <c r="AG412" i="1" a="1"/>
  <c r="AG412" i="1" s="1"/>
  <c r="AG448" i="1" a="1"/>
  <c r="AG448" i="1" s="1"/>
  <c r="AG206" i="1" a="1"/>
  <c r="AG206" i="1" s="1"/>
  <c r="AG147" i="1" a="1"/>
  <c r="AG147" i="1" s="1"/>
  <c r="AG207" i="1" a="1"/>
  <c r="AG207" i="1" s="1"/>
  <c r="AG449" i="1" a="1"/>
  <c r="AG449" i="1" s="1"/>
  <c r="AG171" i="1" a="1"/>
  <c r="AG171" i="1" s="1"/>
  <c r="AG295" i="1" a="1"/>
  <c r="AG295" i="1" s="1"/>
  <c r="AG172" i="1" a="1"/>
  <c r="AG172" i="1" s="1"/>
  <c r="AG80" i="1" a="1"/>
  <c r="AG80" i="1" s="1"/>
  <c r="AG384" i="1" a="1"/>
  <c r="AG384" i="1" s="1"/>
  <c r="AG148" i="1" a="1"/>
  <c r="AG148" i="1" s="1"/>
  <c r="AG117" i="1" a="1"/>
  <c r="AG117" i="1" s="1"/>
  <c r="AG173" i="1" a="1"/>
  <c r="AG173" i="1" s="1"/>
  <c r="AG450" i="1" a="1"/>
  <c r="AG450" i="1" s="1"/>
  <c r="AG485" i="1" a="1"/>
  <c r="AG485" i="1" s="1"/>
  <c r="AG233" i="1" a="1"/>
  <c r="AG233" i="1" s="1"/>
  <c r="AG333" i="1" a="1"/>
  <c r="AG333" i="1" s="1"/>
  <c r="AG81" i="1" a="1"/>
  <c r="AG81" i="1" s="1"/>
  <c r="AG385" i="1" a="1"/>
  <c r="AG385" i="1" s="1"/>
  <c r="AG386" i="1" a="1"/>
  <c r="AG386" i="1" s="1"/>
  <c r="AG118" i="1" a="1"/>
  <c r="AG118" i="1" s="1"/>
  <c r="AG268" i="1" a="1"/>
  <c r="AG268" i="1" s="1"/>
  <c r="AG334" i="1" a="1"/>
  <c r="AG334" i="1" s="1"/>
  <c r="AG387" i="1" a="1"/>
  <c r="AG387" i="1" s="1"/>
  <c r="AG512" i="1" a="1"/>
  <c r="AG512" i="1" s="1"/>
  <c r="AG296" i="1" a="1"/>
  <c r="AG296" i="1" s="1"/>
  <c r="AG513" i="1" a="1"/>
  <c r="AG513" i="1" s="1"/>
  <c r="AG360" i="1" a="1"/>
  <c r="AG360" i="1" s="1"/>
  <c r="AG413" i="1" a="1"/>
  <c r="AG413" i="1" s="1"/>
  <c r="AG361" i="1" a="1"/>
  <c r="AG361" i="1" s="1"/>
  <c r="AG388" i="1" a="1"/>
  <c r="AG388" i="1" s="1"/>
  <c r="AG451" i="1" a="1"/>
  <c r="AG451" i="1" s="1"/>
  <c r="AG297" i="1" a="1"/>
  <c r="AG297" i="1" s="1"/>
  <c r="AG174" i="1" a="1"/>
  <c r="AG174" i="1" s="1"/>
  <c r="AG44" i="1" a="1"/>
  <c r="AG44" i="1" s="1"/>
  <c r="AG414" i="1" a="1"/>
  <c r="AG414" i="1" s="1"/>
  <c r="AG82" i="1" a="1"/>
  <c r="AG82" i="1" s="1"/>
  <c r="AG269" i="1" a="1"/>
  <c r="AG269" i="1" s="1"/>
  <c r="AG415" i="1" a="1"/>
  <c r="AG415" i="1" s="1"/>
  <c r="AG416" i="1" a="1"/>
  <c r="AG416" i="1" s="1"/>
  <c r="AG389" i="1" a="1"/>
  <c r="AG389" i="1" s="1"/>
  <c r="AG514" i="1" a="1"/>
  <c r="AG514" i="1" s="1"/>
  <c r="AG417" i="1" a="1"/>
  <c r="AG417" i="1" s="1"/>
  <c r="AG452" i="1" a="1"/>
  <c r="AG452" i="1" s="1"/>
  <c r="AG486" i="1" a="1"/>
  <c r="AG486" i="1" s="1"/>
  <c r="AG390" i="1" a="1"/>
  <c r="AG390" i="1" s="1"/>
  <c r="AG234" i="1" a="1"/>
  <c r="AG234" i="1" s="1"/>
  <c r="AG149" i="1" a="1"/>
  <c r="AG149" i="1" s="1"/>
  <c r="AG298" i="1" a="1"/>
  <c r="AG298" i="1" s="1"/>
  <c r="AG175" i="1" a="1"/>
  <c r="AG175" i="1" s="1"/>
  <c r="AG270" i="1" a="1"/>
  <c r="AG270" i="1" s="1"/>
  <c r="AG83" i="1" a="1"/>
  <c r="AG83" i="1" s="1"/>
  <c r="AG45" i="1" a="1"/>
  <c r="AG45" i="1" s="1"/>
  <c r="AG176" i="1" a="1"/>
  <c r="AG176" i="1" s="1"/>
  <c r="AG119" i="1" a="1"/>
  <c r="AG119" i="1" s="1"/>
  <c r="AG46" i="1" a="1"/>
  <c r="AG46" i="1" s="1"/>
  <c r="AG453" i="1" a="1"/>
  <c r="AG453" i="1" s="1"/>
  <c r="AG47" i="1" a="1"/>
  <c r="AG47" i="1" s="1"/>
  <c r="AG515" i="1" a="1"/>
  <c r="AG515" i="1" s="1"/>
  <c r="AG48" i="1" a="1"/>
  <c r="AG48" i="1" s="1"/>
  <c r="AG150" i="1" a="1"/>
  <c r="AG150" i="1" s="1"/>
  <c r="AG49" i="1" a="1"/>
  <c r="AG49" i="1" s="1"/>
  <c r="AG208" i="1" a="1"/>
  <c r="AG208" i="1" s="1"/>
  <c r="AG235" i="1" a="1"/>
  <c r="AG235" i="1" s="1"/>
  <c r="AG454" i="1" a="1"/>
  <c r="AG454" i="1" s="1"/>
  <c r="AG362" i="1" a="1"/>
  <c r="AG362" i="1" s="1"/>
  <c r="AG335" i="1" a="1"/>
  <c r="AG335" i="1" s="1"/>
  <c r="AG177" i="1" a="1"/>
  <c r="AG177" i="1" s="1"/>
  <c r="AG178" i="1" a="1"/>
  <c r="AG178" i="1" s="1"/>
  <c r="AG236" i="1" a="1"/>
  <c r="AG236" i="1" s="1"/>
  <c r="AG455" i="1" a="1"/>
  <c r="AG455" i="1" s="1"/>
  <c r="AG336" i="1" a="1"/>
  <c r="AG336" i="1" s="1"/>
  <c r="AG516" i="1" a="1"/>
  <c r="AG516" i="1" s="1"/>
  <c r="AG179" i="1" a="1"/>
  <c r="AG179" i="1" s="1"/>
  <c r="AG84" i="1" a="1"/>
  <c r="AG84" i="1" s="1"/>
  <c r="AG50" i="1" a="1"/>
  <c r="AG50" i="1" s="1"/>
  <c r="AG456" i="1" a="1"/>
  <c r="AG456" i="1" s="1"/>
  <c r="AG418" i="1" a="1"/>
  <c r="AG418" i="1" s="1"/>
  <c r="AG271" i="1" a="1"/>
  <c r="AG271" i="1" s="1"/>
  <c r="AG180" i="1" a="1"/>
  <c r="AG180" i="1" s="1"/>
  <c r="AG272" i="1" a="1"/>
  <c r="AG272" i="1" s="1"/>
  <c r="AG487" i="1" a="1"/>
  <c r="AG487" i="1" s="1"/>
  <c r="AG51" i="1" a="1"/>
  <c r="AG51" i="1" s="1"/>
  <c r="AG85" i="1" a="1"/>
  <c r="AG85" i="1" s="1"/>
  <c r="AG120" i="1" a="1"/>
  <c r="AG120" i="1" s="1"/>
  <c r="AG151" i="1" a="1"/>
  <c r="AG151" i="1" s="1"/>
  <c r="AG52" i="1" a="1"/>
  <c r="AG52" i="1" s="1"/>
  <c r="AG273" i="1" a="1"/>
  <c r="AG273" i="1" s="1"/>
  <c r="AG363" i="1" a="1"/>
  <c r="AG363" i="1" s="1"/>
  <c r="AG53" i="1" a="1"/>
  <c r="AG53" i="1" s="1"/>
  <c r="AG457" i="1" a="1"/>
  <c r="AG457" i="1" s="1"/>
  <c r="AG337" i="1" a="1"/>
  <c r="AG337" i="1" s="1"/>
  <c r="AG86" i="1" a="1"/>
  <c r="AG86" i="1" s="1"/>
  <c r="AG391" i="1" a="1"/>
  <c r="AG391" i="1" s="1"/>
  <c r="AG121" i="1" a="1"/>
  <c r="AG121" i="1" s="1"/>
  <c r="AG87" i="1" a="1"/>
  <c r="AG87" i="1" s="1"/>
  <c r="AG88" i="1" a="1"/>
  <c r="AG88" i="1" s="1"/>
  <c r="AG122" i="1" a="1"/>
  <c r="AG122" i="1" s="1"/>
  <c r="AG237" i="1" a="1"/>
  <c r="AG237" i="1" s="1"/>
  <c r="AG274" i="1" a="1"/>
  <c r="AG274" i="1" s="1"/>
  <c r="AG517" i="1" a="1"/>
  <c r="AG517" i="1" s="1"/>
  <c r="AG89" i="1" a="1"/>
  <c r="AG89" i="1" s="1"/>
  <c r="AG209" i="1" a="1"/>
  <c r="AG209" i="1" s="1"/>
  <c r="AG364" i="1" a="1"/>
  <c r="AG364" i="1" s="1"/>
  <c r="AG210" i="1" a="1"/>
  <c r="AG210" i="1" s="1"/>
  <c r="AG488" i="1" a="1"/>
  <c r="AG488" i="1" s="1"/>
  <c r="AG181" i="1" a="1"/>
  <c r="AG181" i="1" s="1"/>
  <c r="AG489" i="1" a="1"/>
  <c r="AG489" i="1" s="1"/>
  <c r="AG419" i="1" a="1"/>
  <c r="AG419" i="1" s="1"/>
  <c r="AG392" i="1" a="1"/>
  <c r="AG392" i="1" s="1"/>
  <c r="K11" i="2"/>
  <c r="K10" i="2"/>
  <c r="K9" i="2"/>
  <c r="K8" i="2"/>
  <c r="K7" i="2"/>
  <c r="AF32" i="1"/>
  <c r="AF286" i="1"/>
  <c r="AF436" i="1"/>
  <c r="AF186" i="1"/>
  <c r="AF368" i="1"/>
  <c r="AF33" i="1"/>
  <c r="AF74" i="1"/>
  <c r="AF98" i="1"/>
  <c r="AF468" i="1"/>
  <c r="AF114" i="1"/>
  <c r="AF80" i="1"/>
  <c r="AF139" i="1"/>
  <c r="AF36" i="1"/>
  <c r="AF343" i="1"/>
  <c r="AF507" i="1"/>
  <c r="AF499" i="1"/>
  <c r="AF253" i="1"/>
  <c r="AF155" i="1"/>
  <c r="AF166" i="1"/>
  <c r="AF414" i="1"/>
  <c r="AF316" i="1"/>
  <c r="AF300" i="1"/>
  <c r="AF312" i="1"/>
  <c r="AF156" i="1"/>
  <c r="AF384" i="1"/>
  <c r="AF179" i="1"/>
  <c r="AF72" i="1"/>
  <c r="AF164" i="1"/>
  <c r="AF281" i="1"/>
  <c r="AF148" i="1"/>
  <c r="AF307" i="1"/>
  <c r="AF90" i="1"/>
  <c r="AF289" i="1"/>
  <c r="AF409" i="1"/>
  <c r="AF271" i="1"/>
  <c r="AF88" i="1"/>
  <c r="AF138" i="1"/>
  <c r="AF434" i="1"/>
  <c r="AF240" i="1"/>
  <c r="AF362" i="1"/>
  <c r="AF262" i="1"/>
  <c r="AF472" i="1"/>
  <c r="AF423" i="1"/>
  <c r="AF38" i="1"/>
  <c r="AF23" i="1"/>
  <c r="AF491" i="1"/>
  <c r="AF292" i="1"/>
  <c r="AF249" i="1"/>
  <c r="AF421" i="1"/>
  <c r="AF180" i="1"/>
  <c r="AF484" i="1"/>
  <c r="AF278" i="1"/>
  <c r="AF45" i="1"/>
  <c r="AF229" i="1"/>
  <c r="AF490" i="1"/>
  <c r="AF82" i="1"/>
  <c r="AF326" i="1"/>
  <c r="AF242" i="1"/>
  <c r="AF59" i="1"/>
  <c r="AF502" i="1"/>
  <c r="AF448" i="1"/>
  <c r="AF30" i="1"/>
  <c r="AF176" i="1"/>
  <c r="AF27" i="1"/>
  <c r="AF119" i="1"/>
  <c r="AF196" i="1"/>
  <c r="AF160" i="1"/>
  <c r="AF422" i="1"/>
  <c r="AF514" i="1"/>
  <c r="AF226" i="1"/>
  <c r="AF200" i="1"/>
  <c r="AF509" i="1"/>
  <c r="AF461" i="1"/>
  <c r="AF381" i="1"/>
  <c r="AF58" i="1"/>
  <c r="AF318" i="1"/>
  <c r="AF370" i="1"/>
  <c r="AF104" i="1"/>
  <c r="AF109" i="1"/>
  <c r="AF46" i="1"/>
  <c r="AF335" i="1"/>
  <c r="AF123" i="1"/>
  <c r="AF24" i="1"/>
  <c r="AF68" i="1"/>
  <c r="AF279" i="1"/>
  <c r="AF187" i="1"/>
  <c r="AF302" i="1"/>
  <c r="AF269" i="1"/>
  <c r="AF482" i="1"/>
  <c r="AF313" i="1"/>
  <c r="AF415" i="1"/>
  <c r="AF431" i="1"/>
  <c r="AF70" i="1"/>
  <c r="AF346" i="1"/>
  <c r="AF161" i="1"/>
  <c r="AF319" i="1"/>
  <c r="AF429" i="1"/>
  <c r="AF272" i="1"/>
  <c r="AF385" i="1"/>
  <c r="AF177" i="1"/>
  <c r="AF140" i="1"/>
  <c r="AF342" i="1"/>
  <c r="AF274" i="1"/>
  <c r="AF358" i="1"/>
  <c r="AF347" i="1"/>
  <c r="AF137" i="1"/>
  <c r="AF344" i="1"/>
  <c r="AF466" i="1"/>
  <c r="AF517" i="1"/>
  <c r="AF465" i="1"/>
  <c r="AF185" i="1"/>
  <c r="AF386" i="1"/>
  <c r="AF301" i="1"/>
  <c r="AF190" i="1"/>
  <c r="AF144" i="1"/>
  <c r="AF35" i="1"/>
  <c r="AF331" i="1"/>
  <c r="AF136" i="1"/>
  <c r="AF154" i="1"/>
  <c r="AF417" i="1"/>
  <c r="AF337" i="1"/>
  <c r="AF225" i="1"/>
  <c r="AF245" i="1"/>
  <c r="AF239" i="1"/>
  <c r="AF197" i="1"/>
  <c r="AF459" i="1"/>
  <c r="AF512" i="1"/>
  <c r="AF473" i="1"/>
  <c r="AF330" i="1"/>
  <c r="AF132" i="1"/>
  <c r="AF478" i="1"/>
  <c r="AF222" i="1"/>
  <c r="AF503" i="1"/>
  <c r="AF474" i="1"/>
  <c r="AF206" i="1"/>
  <c r="AF339" i="1"/>
  <c r="AF487" i="1"/>
  <c r="AF94" i="1"/>
  <c r="AF153" i="1"/>
  <c r="AF37" i="1"/>
  <c r="AF349" i="1"/>
  <c r="AF441" i="1"/>
  <c r="AF178" i="1"/>
  <c r="AF39" i="1"/>
  <c r="AF117" i="1"/>
  <c r="AF204" i="1"/>
  <c r="AF76" i="1"/>
  <c r="AF159" i="1"/>
  <c r="AF40" i="1"/>
  <c r="AF452" i="1"/>
  <c r="AF96" i="1"/>
  <c r="AF19" i="1"/>
  <c r="AF163" i="1"/>
  <c r="AF31" i="1"/>
  <c r="AF212" i="1"/>
  <c r="AF181" i="1"/>
  <c r="AF427" i="1"/>
  <c r="AF505" i="1"/>
  <c r="AF77" i="1"/>
  <c r="AF467" i="1"/>
  <c r="AF398" i="1"/>
  <c r="AF95" i="1"/>
  <c r="AF296" i="1"/>
  <c r="AF75" i="1"/>
  <c r="AF102" i="1"/>
  <c r="AF65" i="1"/>
  <c r="AF453" i="1"/>
  <c r="AF147" i="1"/>
  <c r="AF428" i="1"/>
  <c r="AF404" i="1"/>
  <c r="AF244" i="1"/>
  <c r="AF426" i="1"/>
  <c r="AF193" i="1"/>
  <c r="AF60" i="1"/>
  <c r="AF486" i="1"/>
  <c r="AF21" i="1"/>
  <c r="AF463" i="1"/>
  <c r="AF62" i="1"/>
  <c r="AF338" i="1"/>
  <c r="AF315" i="1"/>
  <c r="AF407" i="1"/>
  <c r="AF230" i="1"/>
  <c r="AF47" i="1"/>
  <c r="AF246" i="1"/>
  <c r="AF84" i="1"/>
  <c r="AF446" i="1"/>
  <c r="AF227" i="1"/>
  <c r="AF408" i="1"/>
  <c r="AF173" i="1"/>
  <c r="AF303" i="1"/>
  <c r="AF142" i="1"/>
  <c r="AF110" i="1"/>
  <c r="AF277" i="1"/>
  <c r="AF350" i="1"/>
  <c r="AF66" i="1"/>
  <c r="AF170" i="1"/>
  <c r="AF255" i="1"/>
  <c r="AF258" i="1"/>
  <c r="AF157" i="1"/>
  <c r="AF205" i="1"/>
  <c r="AF356" i="1"/>
  <c r="AF506" i="1"/>
  <c r="AF515" i="1"/>
  <c r="AF378" i="1"/>
  <c r="AF332" i="1"/>
  <c r="AF483" i="1"/>
  <c r="AF513" i="1"/>
  <c r="AF322" i="1"/>
  <c r="AF61" i="1"/>
  <c r="AF207" i="1"/>
  <c r="AF360" i="1"/>
  <c r="AF416" i="1"/>
  <c r="AF372" i="1"/>
  <c r="AF369" i="1"/>
  <c r="AF145" i="1"/>
  <c r="AF167" i="1"/>
  <c r="AF182" i="1"/>
  <c r="AF89" i="1"/>
  <c r="AF294" i="1"/>
  <c r="AF71" i="1"/>
  <c r="AF118" i="1"/>
  <c r="AF25" i="1"/>
  <c r="AF464" i="1"/>
  <c r="AF263" i="1"/>
  <c r="AF259" i="1"/>
  <c r="AF510" i="1"/>
  <c r="AF209" i="1"/>
  <c r="AF327" i="1"/>
  <c r="AF401" i="1"/>
  <c r="AF469" i="1"/>
  <c r="AF449" i="1"/>
  <c r="AF323" i="1"/>
  <c r="AF146" i="1"/>
  <c r="AF56" i="1"/>
  <c r="AF105" i="1"/>
  <c r="AF50" i="1"/>
  <c r="AF169" i="1"/>
  <c r="AF273" i="1"/>
  <c r="AF86" i="1"/>
  <c r="AF365" i="1"/>
  <c r="AF353" i="1"/>
  <c r="AF115" i="1"/>
  <c r="AF393" i="1"/>
  <c r="AF111" i="1"/>
  <c r="AF314" i="1"/>
  <c r="AF389" i="1"/>
  <c r="AF261" i="1"/>
  <c r="AF305" i="1"/>
  <c r="AF432" i="1"/>
  <c r="AF215" i="1"/>
  <c r="AF410" i="1"/>
  <c r="AF458" i="1"/>
  <c r="AF413" i="1"/>
  <c r="AF492" i="1"/>
  <c r="AF324" i="1"/>
  <c r="AF391" i="1"/>
  <c r="AF201" i="1"/>
  <c r="AF236" i="1"/>
  <c r="AF420" i="1"/>
  <c r="AF51" i="1"/>
  <c r="AF264" i="1"/>
  <c r="AF216" i="1"/>
  <c r="AF437" i="1"/>
  <c r="AF442" i="1"/>
  <c r="AF125" i="1"/>
  <c r="AF430" i="1"/>
  <c r="AF390" i="1"/>
  <c r="AF447" i="1"/>
  <c r="AF122" i="1"/>
  <c r="AF250" i="1"/>
  <c r="AF213" i="1"/>
  <c r="AF92" i="1"/>
  <c r="AF395" i="1"/>
  <c r="AF251" i="1"/>
  <c r="AF363" i="1"/>
  <c r="AF438" i="1"/>
  <c r="AF57" i="1"/>
  <c r="AF55" i="1"/>
  <c r="AF152" i="1"/>
  <c r="AF354" i="1"/>
  <c r="AF405" i="1"/>
  <c r="AF501" i="1"/>
  <c r="AF221" i="1"/>
  <c r="AF361" i="1"/>
  <c r="AF475" i="1"/>
  <c r="AF69" i="1"/>
  <c r="AF18" i="1"/>
  <c r="AF489" i="1"/>
  <c r="AF508" i="1"/>
  <c r="AF113" i="1"/>
  <c r="AF194" i="1"/>
  <c r="AF121" i="1"/>
  <c r="AF260" i="1"/>
  <c r="AF275" i="1"/>
  <c r="AF496" i="1"/>
  <c r="AF450" i="1"/>
  <c r="AF202" i="1"/>
  <c r="AF328" i="1"/>
  <c r="AF433" i="1"/>
  <c r="AF266" i="1"/>
  <c r="AF352" i="1"/>
  <c r="AF158" i="1"/>
  <c r="AF87" i="1"/>
  <c r="AF511" i="1"/>
  <c r="AF257" i="1"/>
  <c r="AF456" i="1"/>
  <c r="AF320" i="1"/>
  <c r="AF42" i="1"/>
  <c r="AF440" i="1"/>
  <c r="AF254" i="1"/>
  <c r="AF388" i="1"/>
  <c r="AF282" i="1"/>
  <c r="AF191" i="1"/>
  <c r="AF419" i="1"/>
  <c r="AF364" i="1"/>
  <c r="AF228" i="1"/>
  <c r="AF133" i="1"/>
  <c r="AF406" i="1"/>
  <c r="AF241" i="1"/>
  <c r="AF192" i="1"/>
  <c r="AF184" i="1"/>
  <c r="AF498" i="1"/>
  <c r="AF357" i="1"/>
  <c r="AF268" i="1"/>
  <c r="AF22" i="1"/>
  <c r="AF397" i="1"/>
  <c r="AF285" i="1"/>
  <c r="AF252" i="1"/>
  <c r="AF321" i="1"/>
  <c r="AF183" i="1"/>
  <c r="AF91" i="1"/>
  <c r="AF317" i="1"/>
  <c r="AF126" i="1"/>
  <c r="AF488" i="1"/>
  <c r="AF34" i="1"/>
  <c r="AF106" i="1"/>
  <c r="AF73" i="1"/>
  <c r="AF265" i="1"/>
  <c r="AF504" i="1"/>
  <c r="AF310" i="1"/>
  <c r="AF500" i="1"/>
  <c r="AF238" i="1"/>
  <c r="AF162" i="1"/>
  <c r="AF188" i="1"/>
  <c r="AF351" i="1"/>
  <c r="AF290" i="1"/>
  <c r="AF394" i="1"/>
  <c r="AF130" i="1"/>
  <c r="AF219" i="1"/>
  <c r="AF382" i="1"/>
  <c r="AF116" i="1"/>
  <c r="AF234" i="1"/>
  <c r="AF460" i="1"/>
  <c r="AF64" i="1"/>
  <c r="AF48" i="1"/>
  <c r="AF79" i="1"/>
  <c r="AF150" i="1"/>
  <c r="AF99" i="1"/>
  <c r="AF470" i="1"/>
  <c r="AF199" i="1"/>
  <c r="AF366" i="1"/>
  <c r="AF85" i="1"/>
  <c r="AF311" i="1"/>
  <c r="AF334" i="1"/>
  <c r="AF198" i="1"/>
  <c r="AF379" i="1"/>
  <c r="AF171" i="1"/>
  <c r="AF485" i="1"/>
  <c r="AF345" i="1"/>
  <c r="AF63" i="1"/>
  <c r="AF283" i="1"/>
  <c r="AF78" i="1"/>
  <c r="AF231" i="1"/>
  <c r="AF403" i="1"/>
  <c r="AF329" i="1"/>
  <c r="AF28" i="1"/>
  <c r="AF149" i="1"/>
  <c r="AF387" i="1"/>
  <c r="AF371" i="1"/>
  <c r="AF107" i="1"/>
  <c r="AF134" i="1"/>
  <c r="AF287" i="1"/>
  <c r="AF399" i="1"/>
  <c r="AF424" i="1"/>
  <c r="AF299" i="1"/>
  <c r="AF203" i="1"/>
  <c r="AF232" i="1"/>
  <c r="AF49" i="1"/>
  <c r="AF223" i="1"/>
  <c r="AF476" i="1"/>
  <c r="AF373" i="1"/>
  <c r="AF444" i="1"/>
  <c r="AF267" i="1"/>
  <c r="AF355" i="1"/>
  <c r="AF128" i="1"/>
  <c r="AF195" i="1"/>
  <c r="AF208" i="1"/>
  <c r="AF298" i="1"/>
  <c r="AF451" i="1"/>
  <c r="AF135" i="1"/>
  <c r="AF435" i="1"/>
  <c r="AF29" i="1"/>
  <c r="AF54" i="1"/>
  <c r="AF175" i="1"/>
  <c r="AF20" i="1"/>
  <c r="AF67" i="1"/>
  <c r="AF411" i="1"/>
  <c r="AF396" i="1"/>
  <c r="AF348" i="1"/>
  <c r="AF374" i="1"/>
  <c r="AF165" i="1"/>
  <c r="AF233" i="1"/>
  <c r="AF120" i="1"/>
  <c r="AF295" i="1"/>
  <c r="AF100" i="1"/>
  <c r="AF270" i="1"/>
  <c r="AF131" i="1"/>
  <c r="AF53" i="1"/>
  <c r="AF127" i="1"/>
  <c r="AF480" i="1"/>
  <c r="AF375" i="1"/>
  <c r="AF43" i="1"/>
  <c r="AF297" i="1"/>
  <c r="AF494" i="1"/>
  <c r="AF340" i="1"/>
  <c r="AF418" i="1"/>
  <c r="AF497" i="1"/>
  <c r="AF304" i="1"/>
  <c r="AF189" i="1"/>
  <c r="AF284" i="1"/>
  <c r="AF243" i="1"/>
  <c r="AF172" i="1"/>
  <c r="AF224" i="1"/>
  <c r="AF325" i="1"/>
  <c r="AF443" i="1"/>
  <c r="AF217" i="1"/>
  <c r="AF376" i="1"/>
  <c r="AF493" i="1"/>
  <c r="AF455" i="1"/>
  <c r="AF309" i="1"/>
  <c r="AF247" i="1"/>
  <c r="AF101" i="1"/>
  <c r="AF129" i="1"/>
  <c r="AF237" i="1"/>
  <c r="AF333" i="1"/>
  <c r="AF103" i="1"/>
  <c r="AF477" i="1"/>
  <c r="AF112" i="1"/>
  <c r="AF336" i="1"/>
  <c r="AF256" i="1"/>
  <c r="AF439" i="1"/>
  <c r="AF308" i="1"/>
  <c r="AF445" i="1"/>
  <c r="AF168" i="1"/>
  <c r="AF151" i="1"/>
  <c r="AF81" i="1"/>
  <c r="AF174" i="1"/>
  <c r="AF462" i="1"/>
  <c r="AF93" i="1"/>
  <c r="AF83" i="1"/>
  <c r="AF293" i="1"/>
  <c r="AF288" i="1"/>
  <c r="AF425" i="1"/>
  <c r="AF481" i="1"/>
  <c r="AF41" i="1"/>
  <c r="AF402" i="1"/>
  <c r="AF26" i="1"/>
  <c r="AF218" i="1"/>
  <c r="AF44" i="1"/>
  <c r="AF97" i="1"/>
  <c r="AF479" i="1"/>
  <c r="AF516" i="1"/>
  <c r="AF235" i="1"/>
  <c r="AF383" i="1"/>
  <c r="AF359" i="1"/>
  <c r="AF306" i="1"/>
  <c r="AF341" i="1"/>
  <c r="AF377" i="1"/>
  <c r="AF141" i="1"/>
  <c r="AF380" i="1"/>
  <c r="AF220" i="1"/>
  <c r="AF211" i="1"/>
  <c r="AF400" i="1"/>
  <c r="AF276" i="1"/>
  <c r="AF495" i="1"/>
  <c r="AF454" i="1"/>
  <c r="AF52" i="1"/>
  <c r="AF108" i="1"/>
  <c r="AF143" i="1"/>
  <c r="AF392" i="1"/>
  <c r="AF248" i="1"/>
  <c r="AF210" i="1"/>
  <c r="AF124" i="1"/>
  <c r="AF291" i="1"/>
  <c r="AF280" i="1"/>
  <c r="AF214" i="1"/>
  <c r="AF471" i="1"/>
  <c r="AF457" i="1"/>
  <c r="AF367" i="1"/>
  <c r="AF412" i="1"/>
  <c r="AE32" i="1"/>
  <c r="AE286" i="1"/>
  <c r="AE436" i="1"/>
  <c r="AE186" i="1"/>
  <c r="AE368" i="1"/>
  <c r="AE33" i="1"/>
  <c r="AE74" i="1"/>
  <c r="AE98" i="1"/>
  <c r="AE468" i="1"/>
  <c r="AE114" i="1"/>
  <c r="AE80" i="1"/>
  <c r="AE139" i="1"/>
  <c r="AE36" i="1"/>
  <c r="AE343" i="1"/>
  <c r="AE507" i="1"/>
  <c r="AE499" i="1"/>
  <c r="AE253" i="1"/>
  <c r="AE155" i="1"/>
  <c r="AE166" i="1"/>
  <c r="AE414" i="1"/>
  <c r="AE316" i="1"/>
  <c r="AE300" i="1"/>
  <c r="AE312" i="1"/>
  <c r="AE156" i="1"/>
  <c r="AE384" i="1"/>
  <c r="AE179" i="1"/>
  <c r="AE72" i="1"/>
  <c r="AE164" i="1"/>
  <c r="AE281" i="1"/>
  <c r="AE148" i="1"/>
  <c r="AE307" i="1"/>
  <c r="AE90" i="1"/>
  <c r="AE289" i="1"/>
  <c r="AE409" i="1"/>
  <c r="AE271" i="1"/>
  <c r="AE88" i="1"/>
  <c r="AE138" i="1"/>
  <c r="AE434" i="1"/>
  <c r="AE240" i="1"/>
  <c r="AE362" i="1"/>
  <c r="AE262" i="1"/>
  <c r="AE472" i="1"/>
  <c r="AE423" i="1"/>
  <c r="AE38" i="1"/>
  <c r="AE23" i="1"/>
  <c r="AE491" i="1"/>
  <c r="AE292" i="1"/>
  <c r="AE249" i="1"/>
  <c r="AE421" i="1"/>
  <c r="AE180" i="1"/>
  <c r="AE484" i="1"/>
  <c r="AE278" i="1"/>
  <c r="AE45" i="1"/>
  <c r="AE229" i="1"/>
  <c r="AE490" i="1"/>
  <c r="AE82" i="1"/>
  <c r="AE326" i="1"/>
  <c r="AE242" i="1"/>
  <c r="AE59" i="1"/>
  <c r="AE502" i="1"/>
  <c r="AE448" i="1"/>
  <c r="AE30" i="1"/>
  <c r="AE176" i="1"/>
  <c r="AE27" i="1"/>
  <c r="AE119" i="1"/>
  <c r="AE196" i="1"/>
  <c r="AE160" i="1"/>
  <c r="AE422" i="1"/>
  <c r="AE514" i="1"/>
  <c r="AE226" i="1"/>
  <c r="AE200" i="1"/>
  <c r="AE509" i="1"/>
  <c r="AE461" i="1"/>
  <c r="AE381" i="1"/>
  <c r="AE58" i="1"/>
  <c r="AE318" i="1"/>
  <c r="AE370" i="1"/>
  <c r="AE104" i="1"/>
  <c r="AE109" i="1"/>
  <c r="AE46" i="1"/>
  <c r="AE335" i="1"/>
  <c r="AE123" i="1"/>
  <c r="AE24" i="1"/>
  <c r="AE68" i="1"/>
  <c r="AE279" i="1"/>
  <c r="AE187" i="1"/>
  <c r="AE302" i="1"/>
  <c r="AE269" i="1"/>
  <c r="AE482" i="1"/>
  <c r="AE313" i="1"/>
  <c r="AE415" i="1"/>
  <c r="AE431" i="1"/>
  <c r="AE70" i="1"/>
  <c r="AE346" i="1"/>
  <c r="AE161" i="1"/>
  <c r="AE319" i="1"/>
  <c r="AE429" i="1"/>
  <c r="AE272" i="1"/>
  <c r="AE385" i="1"/>
  <c r="AE177" i="1"/>
  <c r="AE140" i="1"/>
  <c r="AE342" i="1"/>
  <c r="AE274" i="1"/>
  <c r="AE358" i="1"/>
  <c r="AE347" i="1"/>
  <c r="AE137" i="1"/>
  <c r="AE344" i="1"/>
  <c r="AE466" i="1"/>
  <c r="AE517" i="1"/>
  <c r="AE465" i="1"/>
  <c r="AE185" i="1"/>
  <c r="AE386" i="1"/>
  <c r="AE301" i="1"/>
  <c r="AE190" i="1"/>
  <c r="AE144" i="1"/>
  <c r="AE35" i="1"/>
  <c r="AE331" i="1"/>
  <c r="AE136" i="1"/>
  <c r="AE154" i="1"/>
  <c r="AE417" i="1"/>
  <c r="AE337" i="1"/>
  <c r="AE225" i="1"/>
  <c r="AE245" i="1"/>
  <c r="AE239" i="1"/>
  <c r="AE197" i="1"/>
  <c r="AE459" i="1"/>
  <c r="AE512" i="1"/>
  <c r="AE473" i="1"/>
  <c r="AE330" i="1"/>
  <c r="AE132" i="1"/>
  <c r="AE478" i="1"/>
  <c r="AE222" i="1"/>
  <c r="AE503" i="1"/>
  <c r="AE474" i="1"/>
  <c r="AE206" i="1"/>
  <c r="AE339" i="1"/>
  <c r="AE487" i="1"/>
  <c r="AE94" i="1"/>
  <c r="AE153" i="1"/>
  <c r="AE37" i="1"/>
  <c r="AE349" i="1"/>
  <c r="AE441" i="1"/>
  <c r="AE178" i="1"/>
  <c r="AE39" i="1"/>
  <c r="AE117" i="1"/>
  <c r="AE204" i="1"/>
  <c r="AE76" i="1"/>
  <c r="AE159" i="1"/>
  <c r="AE40" i="1"/>
  <c r="AE452" i="1"/>
  <c r="AE96" i="1"/>
  <c r="AE19" i="1"/>
  <c r="AE163" i="1"/>
  <c r="AE31" i="1"/>
  <c r="AE212" i="1"/>
  <c r="AE181" i="1"/>
  <c r="AE427" i="1"/>
  <c r="AE505" i="1"/>
  <c r="AE77" i="1"/>
  <c r="AE467" i="1"/>
  <c r="AE398" i="1"/>
  <c r="AE95" i="1"/>
  <c r="AE296" i="1"/>
  <c r="AE75" i="1"/>
  <c r="AE102" i="1"/>
  <c r="AE65" i="1"/>
  <c r="AE453" i="1"/>
  <c r="AE147" i="1"/>
  <c r="AE428" i="1"/>
  <c r="AE404" i="1"/>
  <c r="AE244" i="1"/>
  <c r="AE426" i="1"/>
  <c r="AE193" i="1"/>
  <c r="AE60" i="1"/>
  <c r="AE486" i="1"/>
  <c r="AE21" i="1"/>
  <c r="AE463" i="1"/>
  <c r="AE62" i="1"/>
  <c r="AE338" i="1"/>
  <c r="AE315" i="1"/>
  <c r="AE407" i="1"/>
  <c r="AE230" i="1"/>
  <c r="AE47" i="1"/>
  <c r="AE246" i="1"/>
  <c r="AE84" i="1"/>
  <c r="AE446" i="1"/>
  <c r="AE227" i="1"/>
  <c r="AE408" i="1"/>
  <c r="AE173" i="1"/>
  <c r="AE303" i="1"/>
  <c r="AE142" i="1"/>
  <c r="AE110" i="1"/>
  <c r="AE277" i="1"/>
  <c r="AE350" i="1"/>
  <c r="AE66" i="1"/>
  <c r="AE170" i="1"/>
  <c r="AE255" i="1"/>
  <c r="AE258" i="1"/>
  <c r="AE157" i="1"/>
  <c r="AE205" i="1"/>
  <c r="AE356" i="1"/>
  <c r="AE506" i="1"/>
  <c r="AE515" i="1"/>
  <c r="AE378" i="1"/>
  <c r="AE332" i="1"/>
  <c r="AE483" i="1"/>
  <c r="AE513" i="1"/>
  <c r="AE322" i="1"/>
  <c r="AE61" i="1"/>
  <c r="AE207" i="1"/>
  <c r="AE360" i="1"/>
  <c r="AE416" i="1"/>
  <c r="AE372" i="1"/>
  <c r="AE369" i="1"/>
  <c r="AE145" i="1"/>
  <c r="AE167" i="1"/>
  <c r="AE182" i="1"/>
  <c r="AE89" i="1"/>
  <c r="AE294" i="1"/>
  <c r="AE71" i="1"/>
  <c r="AE118" i="1"/>
  <c r="AE25" i="1"/>
  <c r="AE464" i="1"/>
  <c r="AE263" i="1"/>
  <c r="AE259" i="1"/>
  <c r="AE510" i="1"/>
  <c r="AE209" i="1"/>
  <c r="AE327" i="1"/>
  <c r="AE401" i="1"/>
  <c r="AE469" i="1"/>
  <c r="AE449" i="1"/>
  <c r="AE323" i="1"/>
  <c r="AE146" i="1"/>
  <c r="AE56" i="1"/>
  <c r="AE105" i="1"/>
  <c r="AE50" i="1"/>
  <c r="AE169" i="1"/>
  <c r="AE273" i="1"/>
  <c r="AE86" i="1"/>
  <c r="AE365" i="1"/>
  <c r="AE353" i="1"/>
  <c r="AE115" i="1"/>
  <c r="AE393" i="1"/>
  <c r="AE111" i="1"/>
  <c r="AE314" i="1"/>
  <c r="AE389" i="1"/>
  <c r="AE261" i="1"/>
  <c r="AE305" i="1"/>
  <c r="AE432" i="1"/>
  <c r="AE215" i="1"/>
  <c r="AE410" i="1"/>
  <c r="AE458" i="1"/>
  <c r="AE413" i="1"/>
  <c r="AE492" i="1"/>
  <c r="AE324" i="1"/>
  <c r="AE391" i="1"/>
  <c r="AE201" i="1"/>
  <c r="AE236" i="1"/>
  <c r="AE420" i="1"/>
  <c r="AE51" i="1"/>
  <c r="AE264" i="1"/>
  <c r="AE216" i="1"/>
  <c r="AE437" i="1"/>
  <c r="AE442" i="1"/>
  <c r="AE125" i="1"/>
  <c r="AE430" i="1"/>
  <c r="AE390" i="1"/>
  <c r="AE447" i="1"/>
  <c r="AE122" i="1"/>
  <c r="AE250" i="1"/>
  <c r="AE213" i="1"/>
  <c r="AE92" i="1"/>
  <c r="AE395" i="1"/>
  <c r="AE251" i="1"/>
  <c r="AE363" i="1"/>
  <c r="AE438" i="1"/>
  <c r="AE57" i="1"/>
  <c r="AE55" i="1"/>
  <c r="AE152" i="1"/>
  <c r="AE354" i="1"/>
  <c r="AE405" i="1"/>
  <c r="AE501" i="1"/>
  <c r="AE221" i="1"/>
  <c r="AE361" i="1"/>
  <c r="AE475" i="1"/>
  <c r="AE69" i="1"/>
  <c r="AE18" i="1"/>
  <c r="AE489" i="1"/>
  <c r="AE508" i="1"/>
  <c r="AE113" i="1"/>
  <c r="AE194" i="1"/>
  <c r="AE121" i="1"/>
  <c r="AE260" i="1"/>
  <c r="AE275" i="1"/>
  <c r="AE496" i="1"/>
  <c r="AE450" i="1"/>
  <c r="AE202" i="1"/>
  <c r="AE328" i="1"/>
  <c r="AE433" i="1"/>
  <c r="AE266" i="1"/>
  <c r="AE352" i="1"/>
  <c r="AE158" i="1"/>
  <c r="AE87" i="1"/>
  <c r="AE511" i="1"/>
  <c r="AE257" i="1"/>
  <c r="AE456" i="1"/>
  <c r="AE320" i="1"/>
  <c r="AE42" i="1"/>
  <c r="AE440" i="1"/>
  <c r="AE254" i="1"/>
  <c r="AE388" i="1"/>
  <c r="AE282" i="1"/>
  <c r="AE191" i="1"/>
  <c r="AE419" i="1"/>
  <c r="AE364" i="1"/>
  <c r="AE228" i="1"/>
  <c r="AE133" i="1"/>
  <c r="AE406" i="1"/>
  <c r="AE241" i="1"/>
  <c r="AE192" i="1"/>
  <c r="AE184" i="1"/>
  <c r="AE498" i="1"/>
  <c r="AE357" i="1"/>
  <c r="AE268" i="1"/>
  <c r="AE22" i="1"/>
  <c r="AE397" i="1"/>
  <c r="AE285" i="1"/>
  <c r="AE252" i="1"/>
  <c r="AE321" i="1"/>
  <c r="AE183" i="1"/>
  <c r="AE91" i="1"/>
  <c r="AE317" i="1"/>
  <c r="AE126" i="1"/>
  <c r="AE488" i="1"/>
  <c r="AE34" i="1"/>
  <c r="AE106" i="1"/>
  <c r="AE73" i="1"/>
  <c r="AE265" i="1"/>
  <c r="AE504" i="1"/>
  <c r="AE310" i="1"/>
  <c r="AE500" i="1"/>
  <c r="AE238" i="1"/>
  <c r="AE162" i="1"/>
  <c r="AE188" i="1"/>
  <c r="AE351" i="1"/>
  <c r="AE290" i="1"/>
  <c r="AE394" i="1"/>
  <c r="AE130" i="1"/>
  <c r="AE219" i="1"/>
  <c r="AE382" i="1"/>
  <c r="AE116" i="1"/>
  <c r="AE234" i="1"/>
  <c r="AE460" i="1"/>
  <c r="AE64" i="1"/>
  <c r="AE48" i="1"/>
  <c r="AE79" i="1"/>
  <c r="AE150" i="1"/>
  <c r="AE99" i="1"/>
  <c r="AE470" i="1"/>
  <c r="AE199" i="1"/>
  <c r="AE366" i="1"/>
  <c r="AE85" i="1"/>
  <c r="AE311" i="1"/>
  <c r="AE334" i="1"/>
  <c r="AE198" i="1"/>
  <c r="AE379" i="1"/>
  <c r="AE171" i="1"/>
  <c r="AE485" i="1"/>
  <c r="AE345" i="1"/>
  <c r="AE63" i="1"/>
  <c r="AE283" i="1"/>
  <c r="AE78" i="1"/>
  <c r="AE231" i="1"/>
  <c r="AE403" i="1"/>
  <c r="AE329" i="1"/>
  <c r="AE28" i="1"/>
  <c r="AE149" i="1"/>
  <c r="AE387" i="1"/>
  <c r="AE371" i="1"/>
  <c r="AE107" i="1"/>
  <c r="AE134" i="1"/>
  <c r="AE287" i="1"/>
  <c r="AE399" i="1"/>
  <c r="AE424" i="1"/>
  <c r="AE299" i="1"/>
  <c r="AE203" i="1"/>
  <c r="AE232" i="1"/>
  <c r="AE49" i="1"/>
  <c r="AE223" i="1"/>
  <c r="AE476" i="1"/>
  <c r="AE373" i="1"/>
  <c r="AE444" i="1"/>
  <c r="AE267" i="1"/>
  <c r="AE355" i="1"/>
  <c r="AE128" i="1"/>
  <c r="AE195" i="1"/>
  <c r="AE208" i="1"/>
  <c r="AE298" i="1"/>
  <c r="AE451" i="1"/>
  <c r="AE135" i="1"/>
  <c r="AE435" i="1"/>
  <c r="AE29" i="1"/>
  <c r="AE54" i="1"/>
  <c r="AE175" i="1"/>
  <c r="AE20" i="1"/>
  <c r="AE67" i="1"/>
  <c r="AE411" i="1"/>
  <c r="AE396" i="1"/>
  <c r="AE348" i="1"/>
  <c r="AE374" i="1"/>
  <c r="AE165" i="1"/>
  <c r="AE233" i="1"/>
  <c r="AE120" i="1"/>
  <c r="AE295" i="1"/>
  <c r="AE100" i="1"/>
  <c r="AE270" i="1"/>
  <c r="AE131" i="1"/>
  <c r="AE53" i="1"/>
  <c r="AE127" i="1"/>
  <c r="AE480" i="1"/>
  <c r="AE375" i="1"/>
  <c r="AE43" i="1"/>
  <c r="AE297" i="1"/>
  <c r="AE494" i="1"/>
  <c r="AE340" i="1"/>
  <c r="AE418" i="1"/>
  <c r="AE497" i="1"/>
  <c r="AE304" i="1"/>
  <c r="AE189" i="1"/>
  <c r="AE284" i="1"/>
  <c r="AE243" i="1"/>
  <c r="AE172" i="1"/>
  <c r="AE224" i="1"/>
  <c r="AE325" i="1"/>
  <c r="AE443" i="1"/>
  <c r="AE217" i="1"/>
  <c r="AE376" i="1"/>
  <c r="AE493" i="1"/>
  <c r="AE455" i="1"/>
  <c r="AE309" i="1"/>
  <c r="AE247" i="1"/>
  <c r="AE101" i="1"/>
  <c r="AE129" i="1"/>
  <c r="AE237" i="1"/>
  <c r="AE333" i="1"/>
  <c r="AE103" i="1"/>
  <c r="AE477" i="1"/>
  <c r="AE112" i="1"/>
  <c r="AE336" i="1"/>
  <c r="AE256" i="1"/>
  <c r="AE439" i="1"/>
  <c r="AE308" i="1"/>
  <c r="AE445" i="1"/>
  <c r="AE168" i="1"/>
  <c r="AE151" i="1"/>
  <c r="AE81" i="1"/>
  <c r="AE174" i="1"/>
  <c r="AE462" i="1"/>
  <c r="AE93" i="1"/>
  <c r="AE83" i="1"/>
  <c r="AE293" i="1"/>
  <c r="AE288" i="1"/>
  <c r="AE425" i="1"/>
  <c r="AE481" i="1"/>
  <c r="AE41" i="1"/>
  <c r="AE402" i="1"/>
  <c r="AE26" i="1"/>
  <c r="AE218" i="1"/>
  <c r="AE44" i="1"/>
  <c r="AE97" i="1"/>
  <c r="AE479" i="1"/>
  <c r="AE516" i="1"/>
  <c r="AE235" i="1"/>
  <c r="AE383" i="1"/>
  <c r="AE359" i="1"/>
  <c r="AE306" i="1"/>
  <c r="AE341" i="1"/>
  <c r="AE377" i="1"/>
  <c r="AE141" i="1"/>
  <c r="AE380" i="1"/>
  <c r="AE220" i="1"/>
  <c r="AE211" i="1"/>
  <c r="AE400" i="1"/>
  <c r="AE276" i="1"/>
  <c r="AE495" i="1"/>
  <c r="AE454" i="1"/>
  <c r="AE52" i="1"/>
  <c r="AE108" i="1"/>
  <c r="AE143" i="1"/>
  <c r="AE392" i="1"/>
  <c r="AE248" i="1"/>
  <c r="AE210" i="1"/>
  <c r="AE124" i="1"/>
  <c r="AE291" i="1"/>
  <c r="AE280" i="1"/>
  <c r="AE214" i="1"/>
  <c r="AE471" i="1"/>
  <c r="AE457" i="1"/>
  <c r="AE367" i="1"/>
  <c r="AE412" i="1"/>
  <c r="AD286" i="1"/>
  <c r="AD32" i="1"/>
  <c r="AD436" i="1"/>
  <c r="AD186" i="1"/>
  <c r="AD368" i="1"/>
  <c r="AD33" i="1"/>
  <c r="AD74" i="1"/>
  <c r="AD98" i="1"/>
  <c r="AD468" i="1"/>
  <c r="AD114" i="1"/>
  <c r="AD80" i="1"/>
  <c r="AD139" i="1"/>
  <c r="AD36" i="1"/>
  <c r="AD343" i="1"/>
  <c r="AD507" i="1"/>
  <c r="AD499" i="1"/>
  <c r="AD253" i="1"/>
  <c r="AD155" i="1"/>
  <c r="AD166" i="1"/>
  <c r="AD414" i="1"/>
  <c r="AD316" i="1"/>
  <c r="AD300" i="1"/>
  <c r="AD312" i="1"/>
  <c r="AD156" i="1"/>
  <c r="AD384" i="1"/>
  <c r="AD179" i="1"/>
  <c r="AD72" i="1"/>
  <c r="AD164" i="1"/>
  <c r="AD281" i="1"/>
  <c r="AD148" i="1"/>
  <c r="AD307" i="1"/>
  <c r="AD90" i="1"/>
  <c r="AD289" i="1"/>
  <c r="AD409" i="1"/>
  <c r="AD271" i="1"/>
  <c r="AD88" i="1"/>
  <c r="AD138" i="1"/>
  <c r="AD434" i="1"/>
  <c r="AD240" i="1"/>
  <c r="AD362" i="1"/>
  <c r="AD262" i="1"/>
  <c r="AD472" i="1"/>
  <c r="AD423" i="1"/>
  <c r="AD38" i="1"/>
  <c r="AD23" i="1"/>
  <c r="AD491" i="1"/>
  <c r="AD292" i="1"/>
  <c r="AD249" i="1"/>
  <c r="AD421" i="1"/>
  <c r="AD180" i="1"/>
  <c r="AD484" i="1"/>
  <c r="AD278" i="1"/>
  <c r="AD45" i="1"/>
  <c r="AD229" i="1"/>
  <c r="AD490" i="1"/>
  <c r="AD82" i="1"/>
  <c r="AD326" i="1"/>
  <c r="AD242" i="1"/>
  <c r="AD59" i="1"/>
  <c r="AD502" i="1"/>
  <c r="AD448" i="1"/>
  <c r="AD30" i="1"/>
  <c r="AD176" i="1"/>
  <c r="AD27" i="1"/>
  <c r="AD119" i="1"/>
  <c r="AD196" i="1"/>
  <c r="AD160" i="1"/>
  <c r="AD422" i="1"/>
  <c r="AD514" i="1"/>
  <c r="AD226" i="1"/>
  <c r="AD200" i="1"/>
  <c r="AD509" i="1"/>
  <c r="AD461" i="1"/>
  <c r="AD381" i="1"/>
  <c r="AD58" i="1"/>
  <c r="AD318" i="1"/>
  <c r="AD370" i="1"/>
  <c r="AD104" i="1"/>
  <c r="AD109" i="1"/>
  <c r="AD46" i="1"/>
  <c r="AD335" i="1"/>
  <c r="AD123" i="1"/>
  <c r="AD24" i="1"/>
  <c r="AD68" i="1"/>
  <c r="AD279" i="1"/>
  <c r="AD187" i="1"/>
  <c r="AD302" i="1"/>
  <c r="AD269" i="1"/>
  <c r="AD482" i="1"/>
  <c r="AD313" i="1"/>
  <c r="AD415" i="1"/>
  <c r="AD431" i="1"/>
  <c r="AD70" i="1"/>
  <c r="AD346" i="1"/>
  <c r="AD161" i="1"/>
  <c r="AD319" i="1"/>
  <c r="AD429" i="1"/>
  <c r="AD272" i="1"/>
  <c r="AD385" i="1"/>
  <c r="AD177" i="1"/>
  <c r="AD140" i="1"/>
  <c r="AD342" i="1"/>
  <c r="AD274" i="1"/>
  <c r="AD358" i="1"/>
  <c r="AD347" i="1"/>
  <c r="AD137" i="1"/>
  <c r="AD344" i="1"/>
  <c r="AD466" i="1"/>
  <c r="AD517" i="1"/>
  <c r="AD465" i="1"/>
  <c r="AD185" i="1"/>
  <c r="AD386" i="1"/>
  <c r="AD301" i="1"/>
  <c r="AD190" i="1"/>
  <c r="AD144" i="1"/>
  <c r="AD35" i="1"/>
  <c r="AD331" i="1"/>
  <c r="AD136" i="1"/>
  <c r="AD154" i="1"/>
  <c r="AD417" i="1"/>
  <c r="AD337" i="1"/>
  <c r="AD225" i="1"/>
  <c r="AD245" i="1"/>
  <c r="AD239" i="1"/>
  <c r="AD197" i="1"/>
  <c r="AD459" i="1"/>
  <c r="AD512" i="1"/>
  <c r="AD473" i="1"/>
  <c r="AD330" i="1"/>
  <c r="AD132" i="1"/>
  <c r="AD478" i="1"/>
  <c r="AD222" i="1"/>
  <c r="AD503" i="1"/>
  <c r="AD474" i="1"/>
  <c r="AD206" i="1"/>
  <c r="AD339" i="1"/>
  <c r="AD487" i="1"/>
  <c r="AD94" i="1"/>
  <c r="AD153" i="1"/>
  <c r="AD37" i="1"/>
  <c r="AD349" i="1"/>
  <c r="AD441" i="1"/>
  <c r="AD178" i="1"/>
  <c r="AD39" i="1"/>
  <c r="AD117" i="1"/>
  <c r="AD204" i="1"/>
  <c r="AD76" i="1"/>
  <c r="AD159" i="1"/>
  <c r="AD40" i="1"/>
  <c r="AD452" i="1"/>
  <c r="AD96" i="1"/>
  <c r="AD19" i="1"/>
  <c r="AD163" i="1"/>
  <c r="AD31" i="1"/>
  <c r="AD212" i="1"/>
  <c r="AD181" i="1"/>
  <c r="AD427" i="1"/>
  <c r="AD505" i="1"/>
  <c r="AD77" i="1"/>
  <c r="AD467" i="1"/>
  <c r="AD398" i="1"/>
  <c r="AD95" i="1"/>
  <c r="AD296" i="1"/>
  <c r="AD75" i="1"/>
  <c r="AD102" i="1"/>
  <c r="AD65" i="1"/>
  <c r="AD453" i="1"/>
  <c r="AD147" i="1"/>
  <c r="AD428" i="1"/>
  <c r="AD404" i="1"/>
  <c r="AD244" i="1"/>
  <c r="AD426" i="1"/>
  <c r="AD193" i="1"/>
  <c r="AD60" i="1"/>
  <c r="AD486" i="1"/>
  <c r="AD21" i="1"/>
  <c r="AD463" i="1"/>
  <c r="AD62" i="1"/>
  <c r="AD338" i="1"/>
  <c r="AD315" i="1"/>
  <c r="AD407" i="1"/>
  <c r="AD230" i="1"/>
  <c r="AD47" i="1"/>
  <c r="AD246" i="1"/>
  <c r="AD84" i="1"/>
  <c r="AD446" i="1"/>
  <c r="AD227" i="1"/>
  <c r="AD408" i="1"/>
  <c r="AD173" i="1"/>
  <c r="AD303" i="1"/>
  <c r="AD142" i="1"/>
  <c r="AD110" i="1"/>
  <c r="AD277" i="1"/>
  <c r="AD350" i="1"/>
  <c r="AD66" i="1"/>
  <c r="AD170" i="1"/>
  <c r="AD255" i="1"/>
  <c r="AD258" i="1"/>
  <c r="AD157" i="1"/>
  <c r="AD205" i="1"/>
  <c r="AD356" i="1"/>
  <c r="AD506" i="1"/>
  <c r="AD515" i="1"/>
  <c r="AD378" i="1"/>
  <c r="AD332" i="1"/>
  <c r="AD483" i="1"/>
  <c r="AD513" i="1"/>
  <c r="AD322" i="1"/>
  <c r="AD61" i="1"/>
  <c r="AD207" i="1"/>
  <c r="AD360" i="1"/>
  <c r="AD416" i="1"/>
  <c r="AD372" i="1"/>
  <c r="AD369" i="1"/>
  <c r="AD145" i="1"/>
  <c r="AD167" i="1"/>
  <c r="AD182" i="1"/>
  <c r="AD89" i="1"/>
  <c r="AD294" i="1"/>
  <c r="AD71" i="1"/>
  <c r="AD118" i="1"/>
  <c r="AD25" i="1"/>
  <c r="AD464" i="1"/>
  <c r="AD263" i="1"/>
  <c r="AD259" i="1"/>
  <c r="AD510" i="1"/>
  <c r="AD209" i="1"/>
  <c r="AD327" i="1"/>
  <c r="AD401" i="1"/>
  <c r="AD469" i="1"/>
  <c r="AD449" i="1"/>
  <c r="AD323" i="1"/>
  <c r="AD146" i="1"/>
  <c r="AD56" i="1"/>
  <c r="AD105" i="1"/>
  <c r="AD50" i="1"/>
  <c r="AD169" i="1"/>
  <c r="AD273" i="1"/>
  <c r="AD86" i="1"/>
  <c r="AD365" i="1"/>
  <c r="AD353" i="1"/>
  <c r="AD115" i="1"/>
  <c r="AD393" i="1"/>
  <c r="AD111" i="1"/>
  <c r="AD314" i="1"/>
  <c r="AD389" i="1"/>
  <c r="AD261" i="1"/>
  <c r="AD305" i="1"/>
  <c r="AD432" i="1"/>
  <c r="AD215" i="1"/>
  <c r="AD410" i="1"/>
  <c r="AD458" i="1"/>
  <c r="AD413" i="1"/>
  <c r="AD492" i="1"/>
  <c r="AD324" i="1"/>
  <c r="AD391" i="1"/>
  <c r="AD201" i="1"/>
  <c r="AD236" i="1"/>
  <c r="AD420" i="1"/>
  <c r="AD51" i="1"/>
  <c r="AD264" i="1"/>
  <c r="AD216" i="1"/>
  <c r="AD437" i="1"/>
  <c r="AD442" i="1"/>
  <c r="AD125" i="1"/>
  <c r="AD430" i="1"/>
  <c r="AD390" i="1"/>
  <c r="AD447" i="1"/>
  <c r="AD122" i="1"/>
  <c r="AD250" i="1"/>
  <c r="AD213" i="1"/>
  <c r="AD92" i="1"/>
  <c r="AD395" i="1"/>
  <c r="AD251" i="1"/>
  <c r="AD363" i="1"/>
  <c r="AD438" i="1"/>
  <c r="AD57" i="1"/>
  <c r="AD55" i="1"/>
  <c r="AD152" i="1"/>
  <c r="AD354" i="1"/>
  <c r="AD405" i="1"/>
  <c r="AD501" i="1"/>
  <c r="AD221" i="1"/>
  <c r="AD361" i="1"/>
  <c r="AD475" i="1"/>
  <c r="AD69" i="1"/>
  <c r="AD18" i="1"/>
  <c r="AD489" i="1"/>
  <c r="AD508" i="1"/>
  <c r="AD113" i="1"/>
  <c r="AD194" i="1"/>
  <c r="AD121" i="1"/>
  <c r="AD260" i="1"/>
  <c r="AD275" i="1"/>
  <c r="AD496" i="1"/>
  <c r="AD450" i="1"/>
  <c r="AD202" i="1"/>
  <c r="AD328" i="1"/>
  <c r="AD433" i="1"/>
  <c r="AD266" i="1"/>
  <c r="AD352" i="1"/>
  <c r="AD158" i="1"/>
  <c r="AD87" i="1"/>
  <c r="AD511" i="1"/>
  <c r="AD257" i="1"/>
  <c r="AD456" i="1"/>
  <c r="AD320" i="1"/>
  <c r="AD42" i="1"/>
  <c r="AD440" i="1"/>
  <c r="AD254" i="1"/>
  <c r="AD388" i="1"/>
  <c r="AD282" i="1"/>
  <c r="AD191" i="1"/>
  <c r="AD419" i="1"/>
  <c r="AD364" i="1"/>
  <c r="AD228" i="1"/>
  <c r="AD133" i="1"/>
  <c r="AD406" i="1"/>
  <c r="AD241" i="1"/>
  <c r="AD192" i="1"/>
  <c r="AD184" i="1"/>
  <c r="AD498" i="1"/>
  <c r="AD357" i="1"/>
  <c r="AD268" i="1"/>
  <c r="AD22" i="1"/>
  <c r="AD397" i="1"/>
  <c r="AD285" i="1"/>
  <c r="AD252" i="1"/>
  <c r="AD321" i="1"/>
  <c r="AD183" i="1"/>
  <c r="AD91" i="1"/>
  <c r="AD317" i="1"/>
  <c r="AD126" i="1"/>
  <c r="AD488" i="1"/>
  <c r="AD34" i="1"/>
  <c r="AD106" i="1"/>
  <c r="AD73" i="1"/>
  <c r="AD265" i="1"/>
  <c r="AD504" i="1"/>
  <c r="AD310" i="1"/>
  <c r="AD500" i="1"/>
  <c r="AD238" i="1"/>
  <c r="AD162" i="1"/>
  <c r="AD188" i="1"/>
  <c r="AD351" i="1"/>
  <c r="AD290" i="1"/>
  <c r="AD394" i="1"/>
  <c r="AD130" i="1"/>
  <c r="AD219" i="1"/>
  <c r="AD382" i="1"/>
  <c r="AD116" i="1"/>
  <c r="AD234" i="1"/>
  <c r="AD460" i="1"/>
  <c r="AD64" i="1"/>
  <c r="AD48" i="1"/>
  <c r="AD79" i="1"/>
  <c r="AD150" i="1"/>
  <c r="AD99" i="1"/>
  <c r="AD470" i="1"/>
  <c r="AD199" i="1"/>
  <c r="AD366" i="1"/>
  <c r="AD85" i="1"/>
  <c r="AD311" i="1"/>
  <c r="AD334" i="1"/>
  <c r="AD198" i="1"/>
  <c r="AD379" i="1"/>
  <c r="AD171" i="1"/>
  <c r="AD485" i="1"/>
  <c r="AD345" i="1"/>
  <c r="AD63" i="1"/>
  <c r="AD283" i="1"/>
  <c r="AD78" i="1"/>
  <c r="AD231" i="1"/>
  <c r="AD403" i="1"/>
  <c r="AD329" i="1"/>
  <c r="AD28" i="1"/>
  <c r="AD149" i="1"/>
  <c r="AD387" i="1"/>
  <c r="AD371" i="1"/>
  <c r="AD107" i="1"/>
  <c r="AD134" i="1"/>
  <c r="AD287" i="1"/>
  <c r="AD399" i="1"/>
  <c r="AD424" i="1"/>
  <c r="AD299" i="1"/>
  <c r="AD203" i="1"/>
  <c r="AD232" i="1"/>
  <c r="AD49" i="1"/>
  <c r="AD223" i="1"/>
  <c r="AD476" i="1"/>
  <c r="AD373" i="1"/>
  <c r="AD444" i="1"/>
  <c r="AD267" i="1"/>
  <c r="AD355" i="1"/>
  <c r="AD128" i="1"/>
  <c r="AD195" i="1"/>
  <c r="AD208" i="1"/>
  <c r="AD298" i="1"/>
  <c r="AD451" i="1"/>
  <c r="AD135" i="1"/>
  <c r="AD435" i="1"/>
  <c r="AD29" i="1"/>
  <c r="AD54" i="1"/>
  <c r="AD175" i="1"/>
  <c r="AD20" i="1"/>
  <c r="AD67" i="1"/>
  <c r="AD411" i="1"/>
  <c r="AD396" i="1"/>
  <c r="AD348" i="1"/>
  <c r="AD374" i="1"/>
  <c r="AD165" i="1"/>
  <c r="AD233" i="1"/>
  <c r="AD120" i="1"/>
  <c r="AD295" i="1"/>
  <c r="AD100" i="1"/>
  <c r="AD270" i="1"/>
  <c r="AD131" i="1"/>
  <c r="AD53" i="1"/>
  <c r="AD127" i="1"/>
  <c r="AD480" i="1"/>
  <c r="AD375" i="1"/>
  <c r="AD43" i="1"/>
  <c r="AD297" i="1"/>
  <c r="AD494" i="1"/>
  <c r="AD340" i="1"/>
  <c r="AD418" i="1"/>
  <c r="AD497" i="1"/>
  <c r="AD304" i="1"/>
  <c r="AD189" i="1"/>
  <c r="AD284" i="1"/>
  <c r="AD243" i="1"/>
  <c r="AD172" i="1"/>
  <c r="AD224" i="1"/>
  <c r="AD325" i="1"/>
  <c r="AD443" i="1"/>
  <c r="AD217" i="1"/>
  <c r="AD376" i="1"/>
  <c r="AD493" i="1"/>
  <c r="AD455" i="1"/>
  <c r="AD309" i="1"/>
  <c r="AD247" i="1"/>
  <c r="AD101" i="1"/>
  <c r="AD129" i="1"/>
  <c r="AD237" i="1"/>
  <c r="AD333" i="1"/>
  <c r="AD103" i="1"/>
  <c r="AD477" i="1"/>
  <c r="AD112" i="1"/>
  <c r="AD336" i="1"/>
  <c r="AD256" i="1"/>
  <c r="AD439" i="1"/>
  <c r="AD308" i="1"/>
  <c r="AD445" i="1"/>
  <c r="AD168" i="1"/>
  <c r="AD151" i="1"/>
  <c r="AD81" i="1"/>
  <c r="AD174" i="1"/>
  <c r="AD462" i="1"/>
  <c r="AD93" i="1"/>
  <c r="AD83" i="1"/>
  <c r="AD293" i="1"/>
  <c r="AD288" i="1"/>
  <c r="AD425" i="1"/>
  <c r="AD481" i="1"/>
  <c r="AD41" i="1"/>
  <c r="AD402" i="1"/>
  <c r="AD26" i="1"/>
  <c r="AD218" i="1"/>
  <c r="AD44" i="1"/>
  <c r="AD97" i="1"/>
  <c r="AD479" i="1"/>
  <c r="AD516" i="1"/>
  <c r="AD235" i="1"/>
  <c r="AD383" i="1"/>
  <c r="AD359" i="1"/>
  <c r="AD306" i="1"/>
  <c r="AD341" i="1"/>
  <c r="AD377" i="1"/>
  <c r="AD141" i="1"/>
  <c r="AD380" i="1"/>
  <c r="AD220" i="1"/>
  <c r="AD211" i="1"/>
  <c r="AD400" i="1"/>
  <c r="AD276" i="1"/>
  <c r="AD495" i="1"/>
  <c r="AD454" i="1"/>
  <c r="AD52" i="1"/>
  <c r="AD108" i="1"/>
  <c r="AD143" i="1"/>
  <c r="AD392" i="1"/>
  <c r="AD248" i="1"/>
  <c r="AD210" i="1"/>
  <c r="AD124" i="1"/>
  <c r="AD291" i="1"/>
  <c r="AD280" i="1"/>
  <c r="AD214" i="1"/>
  <c r="AD471" i="1"/>
  <c r="AD457" i="1"/>
  <c r="AD367" i="1"/>
  <c r="AD412" i="1"/>
  <c r="AC32" i="1"/>
  <c r="AC286" i="1"/>
  <c r="AC436" i="1"/>
  <c r="AC186" i="1"/>
  <c r="AC368" i="1"/>
  <c r="AC33" i="1"/>
  <c r="AC74" i="1"/>
  <c r="AC98" i="1"/>
  <c r="AC468" i="1"/>
  <c r="AC114" i="1"/>
  <c r="AC80" i="1"/>
  <c r="AC139" i="1"/>
  <c r="AC36" i="1"/>
  <c r="AC343" i="1"/>
  <c r="AC507" i="1"/>
  <c r="AC499" i="1"/>
  <c r="AC253" i="1"/>
  <c r="AC155" i="1"/>
  <c r="AC166" i="1"/>
  <c r="AC414" i="1"/>
  <c r="AC316" i="1"/>
  <c r="AC300" i="1"/>
  <c r="AC312" i="1"/>
  <c r="AC156" i="1"/>
  <c r="AC384" i="1"/>
  <c r="AC179" i="1"/>
  <c r="AC72" i="1"/>
  <c r="AC164" i="1"/>
  <c r="AC281" i="1"/>
  <c r="AC148" i="1"/>
  <c r="AC307" i="1"/>
  <c r="AC90" i="1"/>
  <c r="AC289" i="1"/>
  <c r="AC409" i="1"/>
  <c r="AC271" i="1"/>
  <c r="AC88" i="1"/>
  <c r="AC138" i="1"/>
  <c r="AC434" i="1"/>
  <c r="AC240" i="1"/>
  <c r="AC362" i="1"/>
  <c r="AC262" i="1"/>
  <c r="AC472" i="1"/>
  <c r="AC423" i="1"/>
  <c r="AC38" i="1"/>
  <c r="AC23" i="1"/>
  <c r="AC491" i="1"/>
  <c r="AC292" i="1"/>
  <c r="AC249" i="1"/>
  <c r="AC421" i="1"/>
  <c r="AC180" i="1"/>
  <c r="AC484" i="1"/>
  <c r="AC278" i="1"/>
  <c r="AC45" i="1"/>
  <c r="AC229" i="1"/>
  <c r="AC490" i="1"/>
  <c r="AC82" i="1"/>
  <c r="AC326" i="1"/>
  <c r="AC242" i="1"/>
  <c r="AC59" i="1"/>
  <c r="AC502" i="1"/>
  <c r="AC448" i="1"/>
  <c r="AC30" i="1"/>
  <c r="AC176" i="1"/>
  <c r="AC27" i="1"/>
  <c r="AC119" i="1"/>
  <c r="AC196" i="1"/>
  <c r="AC160" i="1"/>
  <c r="AC422" i="1"/>
  <c r="AC514" i="1"/>
  <c r="AC226" i="1"/>
  <c r="AC200" i="1"/>
  <c r="AC509" i="1"/>
  <c r="AC461" i="1"/>
  <c r="AC381" i="1"/>
  <c r="AC58" i="1"/>
  <c r="AC318" i="1"/>
  <c r="AC370" i="1"/>
  <c r="AC104" i="1"/>
  <c r="AC109" i="1"/>
  <c r="AC46" i="1"/>
  <c r="AC335" i="1"/>
  <c r="AC123" i="1"/>
  <c r="AC24" i="1"/>
  <c r="AC68" i="1"/>
  <c r="AC279" i="1"/>
  <c r="AC187" i="1"/>
  <c r="AC302" i="1"/>
  <c r="AC269" i="1"/>
  <c r="AC482" i="1"/>
  <c r="AC313" i="1"/>
  <c r="AC415" i="1"/>
  <c r="AC431" i="1"/>
  <c r="AC70" i="1"/>
  <c r="AC346" i="1"/>
  <c r="AC161" i="1"/>
  <c r="AC319" i="1"/>
  <c r="AC429" i="1"/>
  <c r="AC272" i="1"/>
  <c r="AC385" i="1"/>
  <c r="AC177" i="1"/>
  <c r="AC140" i="1"/>
  <c r="AC342" i="1"/>
  <c r="AC274" i="1"/>
  <c r="AC358" i="1"/>
  <c r="AC347" i="1"/>
  <c r="AC137" i="1"/>
  <c r="AC344" i="1"/>
  <c r="AC466" i="1"/>
  <c r="AC517" i="1"/>
  <c r="AC465" i="1"/>
  <c r="AC185" i="1"/>
  <c r="AC386" i="1"/>
  <c r="AC301" i="1"/>
  <c r="AC190" i="1"/>
  <c r="AC144" i="1"/>
  <c r="AC35" i="1"/>
  <c r="AC331" i="1"/>
  <c r="AC136" i="1"/>
  <c r="AC154" i="1"/>
  <c r="AC417" i="1"/>
  <c r="AC337" i="1"/>
  <c r="AC225" i="1"/>
  <c r="AC245" i="1"/>
  <c r="AC239" i="1"/>
  <c r="AC197" i="1"/>
  <c r="AC459" i="1"/>
  <c r="AC512" i="1"/>
  <c r="AC473" i="1"/>
  <c r="AC330" i="1"/>
  <c r="AC132" i="1"/>
  <c r="AC478" i="1"/>
  <c r="AC222" i="1"/>
  <c r="AC503" i="1"/>
  <c r="AC474" i="1"/>
  <c r="AC206" i="1"/>
  <c r="AC339" i="1"/>
  <c r="AC487" i="1"/>
  <c r="AC94" i="1"/>
  <c r="AC153" i="1"/>
  <c r="AC37" i="1"/>
  <c r="AC349" i="1"/>
  <c r="AC441" i="1"/>
  <c r="AC178" i="1"/>
  <c r="AC39" i="1"/>
  <c r="AC117" i="1"/>
  <c r="AC204" i="1"/>
  <c r="AC76" i="1"/>
  <c r="AC159" i="1"/>
  <c r="AC40" i="1"/>
  <c r="AC452" i="1"/>
  <c r="AC96" i="1"/>
  <c r="AC19" i="1"/>
  <c r="AC163" i="1"/>
  <c r="AC31" i="1"/>
  <c r="AC212" i="1"/>
  <c r="AC181" i="1"/>
  <c r="AC427" i="1"/>
  <c r="AC505" i="1"/>
  <c r="AC77" i="1"/>
  <c r="AC467" i="1"/>
  <c r="AC398" i="1"/>
  <c r="AC95" i="1"/>
  <c r="AC296" i="1"/>
  <c r="AC75" i="1"/>
  <c r="AC102" i="1"/>
  <c r="AC65" i="1"/>
  <c r="AC453" i="1"/>
  <c r="AC147" i="1"/>
  <c r="AC428" i="1"/>
  <c r="AC404" i="1"/>
  <c r="AC244" i="1"/>
  <c r="AC426" i="1"/>
  <c r="AC193" i="1"/>
  <c r="AC60" i="1"/>
  <c r="AC486" i="1"/>
  <c r="AC21" i="1"/>
  <c r="AC463" i="1"/>
  <c r="AC62" i="1"/>
  <c r="AC338" i="1"/>
  <c r="AC315" i="1"/>
  <c r="AC407" i="1"/>
  <c r="AC230" i="1"/>
  <c r="AC47" i="1"/>
  <c r="AC246" i="1"/>
  <c r="AC84" i="1"/>
  <c r="AC446" i="1"/>
  <c r="AC227" i="1"/>
  <c r="AC408" i="1"/>
  <c r="AC173" i="1"/>
  <c r="AC303" i="1"/>
  <c r="AC142" i="1"/>
  <c r="AC110" i="1"/>
  <c r="AC277" i="1"/>
  <c r="AC350" i="1"/>
  <c r="AC66" i="1"/>
  <c r="AC170" i="1"/>
  <c r="AC255" i="1"/>
  <c r="AC258" i="1"/>
  <c r="AC157" i="1"/>
  <c r="AC205" i="1"/>
  <c r="AC356" i="1"/>
  <c r="AC506" i="1"/>
  <c r="AC515" i="1"/>
  <c r="AC378" i="1"/>
  <c r="AC332" i="1"/>
  <c r="AC483" i="1"/>
  <c r="AC513" i="1"/>
  <c r="AC322" i="1"/>
  <c r="AC61" i="1"/>
  <c r="AC207" i="1"/>
  <c r="AC360" i="1"/>
  <c r="AC416" i="1"/>
  <c r="AC372" i="1"/>
  <c r="AC369" i="1"/>
  <c r="AC145" i="1"/>
  <c r="AC167" i="1"/>
  <c r="AC182" i="1"/>
  <c r="AC89" i="1"/>
  <c r="AC294" i="1"/>
  <c r="AC71" i="1"/>
  <c r="AC118" i="1"/>
  <c r="AC25" i="1"/>
  <c r="AC464" i="1"/>
  <c r="AC263" i="1"/>
  <c r="AC259" i="1"/>
  <c r="AC510" i="1"/>
  <c r="AC209" i="1"/>
  <c r="AC327" i="1"/>
  <c r="AC401" i="1"/>
  <c r="AC469" i="1"/>
  <c r="AC449" i="1"/>
  <c r="AC323" i="1"/>
  <c r="AC146" i="1"/>
  <c r="AC56" i="1"/>
  <c r="AC105" i="1"/>
  <c r="AC50" i="1"/>
  <c r="AC169" i="1"/>
  <c r="AC273" i="1"/>
  <c r="AC86" i="1"/>
  <c r="AC365" i="1"/>
  <c r="AC353" i="1"/>
  <c r="AC115" i="1"/>
  <c r="AC393" i="1"/>
  <c r="AC111" i="1"/>
  <c r="AC314" i="1"/>
  <c r="AC389" i="1"/>
  <c r="AC261" i="1"/>
  <c r="AC305" i="1"/>
  <c r="AC432" i="1"/>
  <c r="AC215" i="1"/>
  <c r="AC410" i="1"/>
  <c r="AC458" i="1"/>
  <c r="AC413" i="1"/>
  <c r="AC492" i="1"/>
  <c r="AC324" i="1"/>
  <c r="AC391" i="1"/>
  <c r="AC201" i="1"/>
  <c r="AC236" i="1"/>
  <c r="AC420" i="1"/>
  <c r="AC51" i="1"/>
  <c r="AC264" i="1"/>
  <c r="AC216" i="1"/>
  <c r="AC437" i="1"/>
  <c r="AC442" i="1"/>
  <c r="AC125" i="1"/>
  <c r="AC430" i="1"/>
  <c r="AC390" i="1"/>
  <c r="AC447" i="1"/>
  <c r="AC122" i="1"/>
  <c r="AC250" i="1"/>
  <c r="AC213" i="1"/>
  <c r="AC92" i="1"/>
  <c r="AC395" i="1"/>
  <c r="AC251" i="1"/>
  <c r="AC363" i="1"/>
  <c r="AC438" i="1"/>
  <c r="AC57" i="1"/>
  <c r="AC55" i="1"/>
  <c r="AC152" i="1"/>
  <c r="AC354" i="1"/>
  <c r="AC405" i="1"/>
  <c r="AC501" i="1"/>
  <c r="AC221" i="1"/>
  <c r="AC361" i="1"/>
  <c r="AC475" i="1"/>
  <c r="AC69" i="1"/>
  <c r="AC18" i="1"/>
  <c r="AC489" i="1"/>
  <c r="AC508" i="1"/>
  <c r="AC113" i="1"/>
  <c r="AC194" i="1"/>
  <c r="AC121" i="1"/>
  <c r="AC260" i="1"/>
  <c r="AC275" i="1"/>
  <c r="AC496" i="1"/>
  <c r="AC450" i="1"/>
  <c r="AC202" i="1"/>
  <c r="AC328" i="1"/>
  <c r="AC433" i="1"/>
  <c r="AC266" i="1"/>
  <c r="AC352" i="1"/>
  <c r="AC158" i="1"/>
  <c r="AC87" i="1"/>
  <c r="AC511" i="1"/>
  <c r="AC257" i="1"/>
  <c r="AC456" i="1"/>
  <c r="AC320" i="1"/>
  <c r="AC42" i="1"/>
  <c r="AC440" i="1"/>
  <c r="AC254" i="1"/>
  <c r="AC388" i="1"/>
  <c r="AC282" i="1"/>
  <c r="AC191" i="1"/>
  <c r="AC419" i="1"/>
  <c r="AC364" i="1"/>
  <c r="AC228" i="1"/>
  <c r="AC133" i="1"/>
  <c r="AC406" i="1"/>
  <c r="AC241" i="1"/>
  <c r="AC192" i="1"/>
  <c r="AC184" i="1"/>
  <c r="AC498" i="1"/>
  <c r="AC357" i="1"/>
  <c r="AC268" i="1"/>
  <c r="AC22" i="1"/>
  <c r="AC397" i="1"/>
  <c r="AC285" i="1"/>
  <c r="AC252" i="1"/>
  <c r="AC321" i="1"/>
  <c r="AC183" i="1"/>
  <c r="AC91" i="1"/>
  <c r="AC317" i="1"/>
  <c r="AC126" i="1"/>
  <c r="AC488" i="1"/>
  <c r="AC34" i="1"/>
  <c r="AC106" i="1"/>
  <c r="AC73" i="1"/>
  <c r="AC265" i="1"/>
  <c r="AC504" i="1"/>
  <c r="AC310" i="1"/>
  <c r="AC500" i="1"/>
  <c r="AC238" i="1"/>
  <c r="AC162" i="1"/>
  <c r="AC188" i="1"/>
  <c r="AC351" i="1"/>
  <c r="AC290" i="1"/>
  <c r="AC394" i="1"/>
  <c r="AC130" i="1"/>
  <c r="AC219" i="1"/>
  <c r="AC382" i="1"/>
  <c r="AC116" i="1"/>
  <c r="AC234" i="1"/>
  <c r="AC460" i="1"/>
  <c r="AC64" i="1"/>
  <c r="AC48" i="1"/>
  <c r="AC79" i="1"/>
  <c r="AC150" i="1"/>
  <c r="AC99" i="1"/>
  <c r="AC470" i="1"/>
  <c r="AC199" i="1"/>
  <c r="AC366" i="1"/>
  <c r="AC85" i="1"/>
  <c r="AC311" i="1"/>
  <c r="AC334" i="1"/>
  <c r="AC198" i="1"/>
  <c r="AC379" i="1"/>
  <c r="AC171" i="1"/>
  <c r="AC485" i="1"/>
  <c r="AC345" i="1"/>
  <c r="AC63" i="1"/>
  <c r="AC283" i="1"/>
  <c r="AC78" i="1"/>
  <c r="AC231" i="1"/>
  <c r="AC403" i="1"/>
  <c r="AC329" i="1"/>
  <c r="AC28" i="1"/>
  <c r="AC149" i="1"/>
  <c r="AC387" i="1"/>
  <c r="AC371" i="1"/>
  <c r="AC107" i="1"/>
  <c r="AC134" i="1"/>
  <c r="AC287" i="1"/>
  <c r="AC399" i="1"/>
  <c r="AC424" i="1"/>
  <c r="AC299" i="1"/>
  <c r="AC203" i="1"/>
  <c r="AC232" i="1"/>
  <c r="AC49" i="1"/>
  <c r="AC223" i="1"/>
  <c r="AC476" i="1"/>
  <c r="AC373" i="1"/>
  <c r="AC444" i="1"/>
  <c r="AC267" i="1"/>
  <c r="AC355" i="1"/>
  <c r="AC128" i="1"/>
  <c r="AC195" i="1"/>
  <c r="AC208" i="1"/>
  <c r="AC298" i="1"/>
  <c r="AC451" i="1"/>
  <c r="AC135" i="1"/>
  <c r="AC435" i="1"/>
  <c r="AC29" i="1"/>
  <c r="AC54" i="1"/>
  <c r="AC175" i="1"/>
  <c r="AC20" i="1"/>
  <c r="AC67" i="1"/>
  <c r="AC411" i="1"/>
  <c r="AC396" i="1"/>
  <c r="AC348" i="1"/>
  <c r="AC374" i="1"/>
  <c r="AC165" i="1"/>
  <c r="AC233" i="1"/>
  <c r="AC120" i="1"/>
  <c r="AC295" i="1"/>
  <c r="AC100" i="1"/>
  <c r="AC270" i="1"/>
  <c r="AC131" i="1"/>
  <c r="AC53" i="1"/>
  <c r="AC127" i="1"/>
  <c r="AC480" i="1"/>
  <c r="AC375" i="1"/>
  <c r="AC43" i="1"/>
  <c r="AC297" i="1"/>
  <c r="AC494" i="1"/>
  <c r="AC340" i="1"/>
  <c r="AC418" i="1"/>
  <c r="AC497" i="1"/>
  <c r="AC304" i="1"/>
  <c r="AC189" i="1"/>
  <c r="AC284" i="1"/>
  <c r="AC243" i="1"/>
  <c r="AC172" i="1"/>
  <c r="AC224" i="1"/>
  <c r="AC325" i="1"/>
  <c r="AC443" i="1"/>
  <c r="AC217" i="1"/>
  <c r="AC376" i="1"/>
  <c r="AC493" i="1"/>
  <c r="AC455" i="1"/>
  <c r="AC309" i="1"/>
  <c r="AC247" i="1"/>
  <c r="AC101" i="1"/>
  <c r="AC129" i="1"/>
  <c r="AC237" i="1"/>
  <c r="AC333" i="1"/>
  <c r="AC103" i="1"/>
  <c r="AC477" i="1"/>
  <c r="AC112" i="1"/>
  <c r="AC336" i="1"/>
  <c r="AC256" i="1"/>
  <c r="AC439" i="1"/>
  <c r="AC308" i="1"/>
  <c r="AC445" i="1"/>
  <c r="AC168" i="1"/>
  <c r="AC151" i="1"/>
  <c r="AC81" i="1"/>
  <c r="AC174" i="1"/>
  <c r="AC462" i="1"/>
  <c r="AC93" i="1"/>
  <c r="AC83" i="1"/>
  <c r="AC293" i="1"/>
  <c r="AC288" i="1"/>
  <c r="AC425" i="1"/>
  <c r="AC481" i="1"/>
  <c r="AC41" i="1"/>
  <c r="AC402" i="1"/>
  <c r="AC26" i="1"/>
  <c r="AC218" i="1"/>
  <c r="AC44" i="1"/>
  <c r="AC97" i="1"/>
  <c r="AC479" i="1"/>
  <c r="AC516" i="1"/>
  <c r="AC235" i="1"/>
  <c r="AC383" i="1"/>
  <c r="AC359" i="1"/>
  <c r="AC306" i="1"/>
  <c r="AC341" i="1"/>
  <c r="AC377" i="1"/>
  <c r="AC141" i="1"/>
  <c r="AC380" i="1"/>
  <c r="AC220" i="1"/>
  <c r="AC211" i="1"/>
  <c r="AC400" i="1"/>
  <c r="AC276" i="1"/>
  <c r="AC495" i="1"/>
  <c r="AC454" i="1"/>
  <c r="AC52" i="1"/>
  <c r="AC108" i="1"/>
  <c r="AC143" i="1"/>
  <c r="AC392" i="1"/>
  <c r="AC248" i="1"/>
  <c r="AC210" i="1"/>
  <c r="AC124" i="1"/>
  <c r="AC291" i="1"/>
  <c r="AC280" i="1"/>
  <c r="AC214" i="1"/>
  <c r="AC471" i="1"/>
  <c r="AC457" i="1"/>
  <c r="AC367" i="1"/>
  <c r="AC412" i="1"/>
  <c r="AB32" i="1"/>
  <c r="AB286" i="1"/>
  <c r="AB436" i="1"/>
  <c r="AB186" i="1"/>
  <c r="AB368" i="1"/>
  <c r="AB33" i="1"/>
  <c r="AB74" i="1"/>
  <c r="AB98" i="1"/>
  <c r="AB468" i="1"/>
  <c r="AB114" i="1"/>
  <c r="AB80" i="1"/>
  <c r="AB139" i="1"/>
  <c r="AB36" i="1"/>
  <c r="AB343" i="1"/>
  <c r="AB507" i="1"/>
  <c r="AB499" i="1"/>
  <c r="AB253" i="1"/>
  <c r="AB155" i="1"/>
  <c r="AB166" i="1"/>
  <c r="AB414" i="1"/>
  <c r="AB316" i="1"/>
  <c r="AB300" i="1"/>
  <c r="AB312" i="1"/>
  <c r="AB156" i="1"/>
  <c r="AB384" i="1"/>
  <c r="AB179" i="1"/>
  <c r="AB72" i="1"/>
  <c r="AB164" i="1"/>
  <c r="AB281" i="1"/>
  <c r="AB148" i="1"/>
  <c r="AB307" i="1"/>
  <c r="AB90" i="1"/>
  <c r="AB289" i="1"/>
  <c r="AB409" i="1"/>
  <c r="AB271" i="1"/>
  <c r="AB88" i="1"/>
  <c r="AB138" i="1"/>
  <c r="AB434" i="1"/>
  <c r="AB240" i="1"/>
  <c r="AB362" i="1"/>
  <c r="AB262" i="1"/>
  <c r="AB472" i="1"/>
  <c r="AB423" i="1"/>
  <c r="AB38" i="1"/>
  <c r="AB23" i="1"/>
  <c r="AB491" i="1"/>
  <c r="AB292" i="1"/>
  <c r="AB249" i="1"/>
  <c r="AB421" i="1"/>
  <c r="AB180" i="1"/>
  <c r="AB484" i="1"/>
  <c r="AB278" i="1"/>
  <c r="AB45" i="1"/>
  <c r="AB229" i="1"/>
  <c r="AB490" i="1"/>
  <c r="AB82" i="1"/>
  <c r="AB326" i="1"/>
  <c r="AB242" i="1"/>
  <c r="AB59" i="1"/>
  <c r="AB502" i="1"/>
  <c r="AB448" i="1"/>
  <c r="AB30" i="1"/>
  <c r="AB176" i="1"/>
  <c r="AB27" i="1"/>
  <c r="AB119" i="1"/>
  <c r="AB196" i="1"/>
  <c r="AB160" i="1"/>
  <c r="AB422" i="1"/>
  <c r="AB514" i="1"/>
  <c r="AB226" i="1"/>
  <c r="AB200" i="1"/>
  <c r="AB509" i="1"/>
  <c r="AB461" i="1"/>
  <c r="AB381" i="1"/>
  <c r="AB58" i="1"/>
  <c r="AB318" i="1"/>
  <c r="AB370" i="1"/>
  <c r="AB104" i="1"/>
  <c r="AB109" i="1"/>
  <c r="AB46" i="1"/>
  <c r="AB335" i="1"/>
  <c r="AB123" i="1"/>
  <c r="AB24" i="1"/>
  <c r="AB68" i="1"/>
  <c r="AB279" i="1"/>
  <c r="AB187" i="1"/>
  <c r="AB302" i="1"/>
  <c r="AB269" i="1"/>
  <c r="AB482" i="1"/>
  <c r="AB313" i="1"/>
  <c r="AB415" i="1"/>
  <c r="AB431" i="1"/>
  <c r="AB70" i="1"/>
  <c r="AB346" i="1"/>
  <c r="AB161" i="1"/>
  <c r="AB319" i="1"/>
  <c r="AB429" i="1"/>
  <c r="AB272" i="1"/>
  <c r="AB385" i="1"/>
  <c r="AB177" i="1"/>
  <c r="AB140" i="1"/>
  <c r="AB342" i="1"/>
  <c r="AB274" i="1"/>
  <c r="AB358" i="1"/>
  <c r="AB347" i="1"/>
  <c r="AB137" i="1"/>
  <c r="AB344" i="1"/>
  <c r="AB466" i="1"/>
  <c r="AB517" i="1"/>
  <c r="AB465" i="1"/>
  <c r="AB185" i="1"/>
  <c r="AB386" i="1"/>
  <c r="AB301" i="1"/>
  <c r="AB190" i="1"/>
  <c r="AB144" i="1"/>
  <c r="AB35" i="1"/>
  <c r="AB331" i="1"/>
  <c r="AB136" i="1"/>
  <c r="AB154" i="1"/>
  <c r="AB417" i="1"/>
  <c r="AB337" i="1"/>
  <c r="AB225" i="1"/>
  <c r="AB245" i="1"/>
  <c r="AB239" i="1"/>
  <c r="AB197" i="1"/>
  <c r="AB459" i="1"/>
  <c r="AB512" i="1"/>
  <c r="AB473" i="1"/>
  <c r="AB330" i="1"/>
  <c r="AB132" i="1"/>
  <c r="AB478" i="1"/>
  <c r="AB222" i="1"/>
  <c r="AB503" i="1"/>
  <c r="AB474" i="1"/>
  <c r="AB206" i="1"/>
  <c r="AB339" i="1"/>
  <c r="AB487" i="1"/>
  <c r="AB94" i="1"/>
  <c r="AB153" i="1"/>
  <c r="AB37" i="1"/>
  <c r="AB349" i="1"/>
  <c r="AB441" i="1"/>
  <c r="AB178" i="1"/>
  <c r="AB39" i="1"/>
  <c r="AB117" i="1"/>
  <c r="AB204" i="1"/>
  <c r="AB76" i="1"/>
  <c r="AB159" i="1"/>
  <c r="AB40" i="1"/>
  <c r="AB452" i="1"/>
  <c r="AB96" i="1"/>
  <c r="AB19" i="1"/>
  <c r="AB163" i="1"/>
  <c r="AB31" i="1"/>
  <c r="AB212" i="1"/>
  <c r="AB181" i="1"/>
  <c r="AB427" i="1"/>
  <c r="AB505" i="1"/>
  <c r="AB77" i="1"/>
  <c r="AB467" i="1"/>
  <c r="AB398" i="1"/>
  <c r="AB95" i="1"/>
  <c r="AB296" i="1"/>
  <c r="AB75" i="1"/>
  <c r="AB102" i="1"/>
  <c r="AB65" i="1"/>
  <c r="AB453" i="1"/>
  <c r="AB147" i="1"/>
  <c r="AB428" i="1"/>
  <c r="AB404" i="1"/>
  <c r="AB244" i="1"/>
  <c r="AB426" i="1"/>
  <c r="AB193" i="1"/>
  <c r="AB60" i="1"/>
  <c r="AB486" i="1"/>
  <c r="AB21" i="1"/>
  <c r="AB463" i="1"/>
  <c r="AB62" i="1"/>
  <c r="AB338" i="1"/>
  <c r="AB315" i="1"/>
  <c r="AB407" i="1"/>
  <c r="AB230" i="1"/>
  <c r="AB47" i="1"/>
  <c r="AB246" i="1"/>
  <c r="AB84" i="1"/>
  <c r="AB446" i="1"/>
  <c r="AB227" i="1"/>
  <c r="AB408" i="1"/>
  <c r="AB173" i="1"/>
  <c r="AB303" i="1"/>
  <c r="AB142" i="1"/>
  <c r="AB110" i="1"/>
  <c r="AB277" i="1"/>
  <c r="AB350" i="1"/>
  <c r="AB66" i="1"/>
  <c r="AB170" i="1"/>
  <c r="AB255" i="1"/>
  <c r="AB258" i="1"/>
  <c r="AB157" i="1"/>
  <c r="AB205" i="1"/>
  <c r="AB356" i="1"/>
  <c r="AB506" i="1"/>
  <c r="AB515" i="1"/>
  <c r="AB378" i="1"/>
  <c r="AB332" i="1"/>
  <c r="AB483" i="1"/>
  <c r="AB513" i="1"/>
  <c r="AB322" i="1"/>
  <c r="AB61" i="1"/>
  <c r="AB207" i="1"/>
  <c r="AB360" i="1"/>
  <c r="AB416" i="1"/>
  <c r="AB372" i="1"/>
  <c r="AB369" i="1"/>
  <c r="AB145" i="1"/>
  <c r="AB167" i="1"/>
  <c r="AB182" i="1"/>
  <c r="AB89" i="1"/>
  <c r="AB294" i="1"/>
  <c r="AB71" i="1"/>
  <c r="AB118" i="1"/>
  <c r="AB25" i="1"/>
  <c r="AB464" i="1"/>
  <c r="AB263" i="1"/>
  <c r="AB259" i="1"/>
  <c r="AB510" i="1"/>
  <c r="AB209" i="1"/>
  <c r="AB327" i="1"/>
  <c r="AB401" i="1"/>
  <c r="AB469" i="1"/>
  <c r="AB449" i="1"/>
  <c r="AB323" i="1"/>
  <c r="AB146" i="1"/>
  <c r="AB56" i="1"/>
  <c r="AB105" i="1"/>
  <c r="AB50" i="1"/>
  <c r="AB169" i="1"/>
  <c r="AB273" i="1"/>
  <c r="AB86" i="1"/>
  <c r="AB365" i="1"/>
  <c r="AB353" i="1"/>
  <c r="AB115" i="1"/>
  <c r="AB393" i="1"/>
  <c r="AB111" i="1"/>
  <c r="AB314" i="1"/>
  <c r="AB389" i="1"/>
  <c r="AB261" i="1"/>
  <c r="AB305" i="1"/>
  <c r="AB432" i="1"/>
  <c r="AB215" i="1"/>
  <c r="AB410" i="1"/>
  <c r="AB458" i="1"/>
  <c r="AB413" i="1"/>
  <c r="AB492" i="1"/>
  <c r="AB324" i="1"/>
  <c r="AB391" i="1"/>
  <c r="AB201" i="1"/>
  <c r="AB236" i="1"/>
  <c r="AB420" i="1"/>
  <c r="AB51" i="1"/>
  <c r="AB264" i="1"/>
  <c r="AB216" i="1"/>
  <c r="AB437" i="1"/>
  <c r="AB442" i="1"/>
  <c r="AB125" i="1"/>
  <c r="AB430" i="1"/>
  <c r="AB390" i="1"/>
  <c r="AB447" i="1"/>
  <c r="AB122" i="1"/>
  <c r="AB250" i="1"/>
  <c r="AB213" i="1"/>
  <c r="AB92" i="1"/>
  <c r="AB395" i="1"/>
  <c r="AB251" i="1"/>
  <c r="AB363" i="1"/>
  <c r="AB438" i="1"/>
  <c r="AB57" i="1"/>
  <c r="AB55" i="1"/>
  <c r="AB152" i="1"/>
  <c r="AB354" i="1"/>
  <c r="AB405" i="1"/>
  <c r="AB501" i="1"/>
  <c r="AB221" i="1"/>
  <c r="AB361" i="1"/>
  <c r="AB475" i="1"/>
  <c r="AB69" i="1"/>
  <c r="AB18" i="1"/>
  <c r="AB489" i="1"/>
  <c r="AB508" i="1"/>
  <c r="AB113" i="1"/>
  <c r="AB194" i="1"/>
  <c r="AB121" i="1"/>
  <c r="AB260" i="1"/>
  <c r="AB275" i="1"/>
  <c r="AB496" i="1"/>
  <c r="AB450" i="1"/>
  <c r="AB202" i="1"/>
  <c r="AB328" i="1"/>
  <c r="AB433" i="1"/>
  <c r="AB266" i="1"/>
  <c r="AB352" i="1"/>
  <c r="AB158" i="1"/>
  <c r="AB87" i="1"/>
  <c r="AB511" i="1"/>
  <c r="AB257" i="1"/>
  <c r="AB456" i="1"/>
  <c r="AB320" i="1"/>
  <c r="AB42" i="1"/>
  <c r="AB440" i="1"/>
  <c r="AB254" i="1"/>
  <c r="AB388" i="1"/>
  <c r="AB282" i="1"/>
  <c r="AB191" i="1"/>
  <c r="AB419" i="1"/>
  <c r="AB364" i="1"/>
  <c r="AB228" i="1"/>
  <c r="AB133" i="1"/>
  <c r="AB406" i="1"/>
  <c r="AB241" i="1"/>
  <c r="AB192" i="1"/>
  <c r="AB184" i="1"/>
  <c r="AB498" i="1"/>
  <c r="AB357" i="1"/>
  <c r="AB268" i="1"/>
  <c r="AB22" i="1"/>
  <c r="AB397" i="1"/>
  <c r="AB285" i="1"/>
  <c r="AB252" i="1"/>
  <c r="AB321" i="1"/>
  <c r="AB183" i="1"/>
  <c r="AB91" i="1"/>
  <c r="AB317" i="1"/>
  <c r="AB126" i="1"/>
  <c r="AB488" i="1"/>
  <c r="AB34" i="1"/>
  <c r="AB106" i="1"/>
  <c r="AB73" i="1"/>
  <c r="AB265" i="1"/>
  <c r="AB504" i="1"/>
  <c r="AB310" i="1"/>
  <c r="AB500" i="1"/>
  <c r="AB238" i="1"/>
  <c r="AB162" i="1"/>
  <c r="AB188" i="1"/>
  <c r="AB351" i="1"/>
  <c r="AB290" i="1"/>
  <c r="AB394" i="1"/>
  <c r="AB130" i="1"/>
  <c r="AB219" i="1"/>
  <c r="AB382" i="1"/>
  <c r="AB116" i="1"/>
  <c r="AB234" i="1"/>
  <c r="AB460" i="1"/>
  <c r="AB64" i="1"/>
  <c r="AB48" i="1"/>
  <c r="AB79" i="1"/>
  <c r="AB150" i="1"/>
  <c r="AB99" i="1"/>
  <c r="AB470" i="1"/>
  <c r="AB199" i="1"/>
  <c r="AB366" i="1"/>
  <c r="AB85" i="1"/>
  <c r="AB311" i="1"/>
  <c r="AB334" i="1"/>
  <c r="AB198" i="1"/>
  <c r="AB379" i="1"/>
  <c r="AB171" i="1"/>
  <c r="AB485" i="1"/>
  <c r="AB345" i="1"/>
  <c r="AB63" i="1"/>
  <c r="AB283" i="1"/>
  <c r="AB78" i="1"/>
  <c r="AB231" i="1"/>
  <c r="AB403" i="1"/>
  <c r="AB329" i="1"/>
  <c r="AB28" i="1"/>
  <c r="AB149" i="1"/>
  <c r="AB387" i="1"/>
  <c r="AB371" i="1"/>
  <c r="AB107" i="1"/>
  <c r="AB134" i="1"/>
  <c r="AB287" i="1"/>
  <c r="AB399" i="1"/>
  <c r="AB424" i="1"/>
  <c r="AB299" i="1"/>
  <c r="AB203" i="1"/>
  <c r="AB232" i="1"/>
  <c r="AB49" i="1"/>
  <c r="AB223" i="1"/>
  <c r="AB476" i="1"/>
  <c r="AB373" i="1"/>
  <c r="AB444" i="1"/>
  <c r="AB267" i="1"/>
  <c r="AB355" i="1"/>
  <c r="AB128" i="1"/>
  <c r="AB195" i="1"/>
  <c r="AB208" i="1"/>
  <c r="AB298" i="1"/>
  <c r="AB451" i="1"/>
  <c r="AB135" i="1"/>
  <c r="AB435" i="1"/>
  <c r="AB29" i="1"/>
  <c r="AB54" i="1"/>
  <c r="AB175" i="1"/>
  <c r="AB20" i="1"/>
  <c r="AB67" i="1"/>
  <c r="AB411" i="1"/>
  <c r="AB396" i="1"/>
  <c r="AB348" i="1"/>
  <c r="AB374" i="1"/>
  <c r="AB165" i="1"/>
  <c r="AB233" i="1"/>
  <c r="AB120" i="1"/>
  <c r="AB295" i="1"/>
  <c r="AB100" i="1"/>
  <c r="AB270" i="1"/>
  <c r="AB131" i="1"/>
  <c r="AB53" i="1"/>
  <c r="AB127" i="1"/>
  <c r="AB480" i="1"/>
  <c r="AB375" i="1"/>
  <c r="AB43" i="1"/>
  <c r="AB297" i="1"/>
  <c r="AB494" i="1"/>
  <c r="AB340" i="1"/>
  <c r="AB418" i="1"/>
  <c r="AB497" i="1"/>
  <c r="AB304" i="1"/>
  <c r="AB189" i="1"/>
  <c r="AB284" i="1"/>
  <c r="AB243" i="1"/>
  <c r="AB172" i="1"/>
  <c r="AB224" i="1"/>
  <c r="AB325" i="1"/>
  <c r="AB443" i="1"/>
  <c r="AB217" i="1"/>
  <c r="AB376" i="1"/>
  <c r="AB493" i="1"/>
  <c r="AB455" i="1"/>
  <c r="AB309" i="1"/>
  <c r="AB247" i="1"/>
  <c r="AB101" i="1"/>
  <c r="AB129" i="1"/>
  <c r="AB237" i="1"/>
  <c r="AB333" i="1"/>
  <c r="AB103" i="1"/>
  <c r="AB477" i="1"/>
  <c r="AB112" i="1"/>
  <c r="AB336" i="1"/>
  <c r="AB256" i="1"/>
  <c r="AB439" i="1"/>
  <c r="AB308" i="1"/>
  <c r="AB445" i="1"/>
  <c r="AB168" i="1"/>
  <c r="AB151" i="1"/>
  <c r="AB81" i="1"/>
  <c r="AB174" i="1"/>
  <c r="AB462" i="1"/>
  <c r="AB93" i="1"/>
  <c r="AB83" i="1"/>
  <c r="AB293" i="1"/>
  <c r="AB288" i="1"/>
  <c r="AB425" i="1"/>
  <c r="AB481" i="1"/>
  <c r="AB41" i="1"/>
  <c r="AB402" i="1"/>
  <c r="AB26" i="1"/>
  <c r="AB218" i="1"/>
  <c r="AB44" i="1"/>
  <c r="AB97" i="1"/>
  <c r="AB479" i="1"/>
  <c r="AB516" i="1"/>
  <c r="AB235" i="1"/>
  <c r="AB383" i="1"/>
  <c r="AB359" i="1"/>
  <c r="AB306" i="1"/>
  <c r="AB341" i="1"/>
  <c r="AB377" i="1"/>
  <c r="AB141" i="1"/>
  <c r="AB380" i="1"/>
  <c r="AB220" i="1"/>
  <c r="AB211" i="1"/>
  <c r="AB400" i="1"/>
  <c r="AB276" i="1"/>
  <c r="AB495" i="1"/>
  <c r="AB454" i="1"/>
  <c r="AB52" i="1"/>
  <c r="AB108" i="1"/>
  <c r="AB143" i="1"/>
  <c r="AB392" i="1"/>
  <c r="AB248" i="1"/>
  <c r="AB210" i="1"/>
  <c r="AB124" i="1"/>
  <c r="AB291" i="1"/>
  <c r="AB280" i="1"/>
  <c r="AB214" i="1"/>
  <c r="AB471" i="1"/>
  <c r="AB457" i="1"/>
  <c r="AB367" i="1"/>
  <c r="AB412" i="1"/>
  <c r="AA32" i="1"/>
  <c r="AA286" i="1"/>
  <c r="AA436" i="1"/>
  <c r="AA186" i="1"/>
  <c r="AA368" i="1"/>
  <c r="AA33" i="1"/>
  <c r="AA74" i="1"/>
  <c r="AA98" i="1"/>
  <c r="AA468" i="1"/>
  <c r="AA114" i="1"/>
  <c r="AA80" i="1"/>
  <c r="AA139" i="1"/>
  <c r="AA36" i="1"/>
  <c r="AA343" i="1"/>
  <c r="AA507" i="1"/>
  <c r="AA499" i="1"/>
  <c r="AA253" i="1"/>
  <c r="AA155" i="1"/>
  <c r="AA166" i="1"/>
  <c r="AA414" i="1"/>
  <c r="AA316" i="1"/>
  <c r="AA300" i="1"/>
  <c r="AA312" i="1"/>
  <c r="AA156" i="1"/>
  <c r="AA384" i="1"/>
  <c r="AA179" i="1"/>
  <c r="AA72" i="1"/>
  <c r="AA164" i="1"/>
  <c r="AA281" i="1"/>
  <c r="AA148" i="1"/>
  <c r="AA307" i="1"/>
  <c r="AA90" i="1"/>
  <c r="AA289" i="1"/>
  <c r="AA409" i="1"/>
  <c r="AA271" i="1"/>
  <c r="AA88" i="1"/>
  <c r="AA138" i="1"/>
  <c r="AA434" i="1"/>
  <c r="AA240" i="1"/>
  <c r="AA362" i="1"/>
  <c r="AA262" i="1"/>
  <c r="AA472" i="1"/>
  <c r="AA423" i="1"/>
  <c r="AA38" i="1"/>
  <c r="AA23" i="1"/>
  <c r="AA491" i="1"/>
  <c r="AA292" i="1"/>
  <c r="AA249" i="1"/>
  <c r="AA421" i="1"/>
  <c r="AA180" i="1"/>
  <c r="AA484" i="1"/>
  <c r="AA278" i="1"/>
  <c r="AA45" i="1"/>
  <c r="AA229" i="1"/>
  <c r="AA490" i="1"/>
  <c r="AA82" i="1"/>
  <c r="AA326" i="1"/>
  <c r="AA242" i="1"/>
  <c r="AA59" i="1"/>
  <c r="AA502" i="1"/>
  <c r="AA448" i="1"/>
  <c r="AA30" i="1"/>
  <c r="AA176" i="1"/>
  <c r="AA27" i="1"/>
  <c r="AA119" i="1"/>
  <c r="AA196" i="1"/>
  <c r="AA160" i="1"/>
  <c r="AA422" i="1"/>
  <c r="AA514" i="1"/>
  <c r="AA226" i="1"/>
  <c r="AA200" i="1"/>
  <c r="AA509" i="1"/>
  <c r="AA461" i="1"/>
  <c r="AA381" i="1"/>
  <c r="AA58" i="1"/>
  <c r="AA318" i="1"/>
  <c r="AA370" i="1"/>
  <c r="AA104" i="1"/>
  <c r="AA109" i="1"/>
  <c r="AA46" i="1"/>
  <c r="AA335" i="1"/>
  <c r="AA123" i="1"/>
  <c r="AA24" i="1"/>
  <c r="AA68" i="1"/>
  <c r="AA279" i="1"/>
  <c r="AA187" i="1"/>
  <c r="AA302" i="1"/>
  <c r="AA269" i="1"/>
  <c r="AA482" i="1"/>
  <c r="AA313" i="1"/>
  <c r="AA415" i="1"/>
  <c r="AA431" i="1"/>
  <c r="AA70" i="1"/>
  <c r="AA346" i="1"/>
  <c r="AA161" i="1"/>
  <c r="AA319" i="1"/>
  <c r="AA429" i="1"/>
  <c r="AA272" i="1"/>
  <c r="AA385" i="1"/>
  <c r="AA177" i="1"/>
  <c r="AA140" i="1"/>
  <c r="AA342" i="1"/>
  <c r="AA274" i="1"/>
  <c r="AA358" i="1"/>
  <c r="AA347" i="1"/>
  <c r="AA137" i="1"/>
  <c r="AA344" i="1"/>
  <c r="AA466" i="1"/>
  <c r="AA517" i="1"/>
  <c r="AA465" i="1"/>
  <c r="AA185" i="1"/>
  <c r="AA386" i="1"/>
  <c r="AA301" i="1"/>
  <c r="AA190" i="1"/>
  <c r="AA144" i="1"/>
  <c r="AA35" i="1"/>
  <c r="AA331" i="1"/>
  <c r="AA136" i="1"/>
  <c r="AA154" i="1"/>
  <c r="AA417" i="1"/>
  <c r="AA337" i="1"/>
  <c r="AA225" i="1"/>
  <c r="AA245" i="1"/>
  <c r="AA239" i="1"/>
  <c r="AA197" i="1"/>
  <c r="AA459" i="1"/>
  <c r="AA512" i="1"/>
  <c r="AA473" i="1"/>
  <c r="AA330" i="1"/>
  <c r="AA132" i="1"/>
  <c r="AA478" i="1"/>
  <c r="AA222" i="1"/>
  <c r="AA503" i="1"/>
  <c r="AA474" i="1"/>
  <c r="AA206" i="1"/>
  <c r="AA339" i="1"/>
  <c r="AA487" i="1"/>
  <c r="AA94" i="1"/>
  <c r="AA153" i="1"/>
  <c r="AA37" i="1"/>
  <c r="AA349" i="1"/>
  <c r="AA441" i="1"/>
  <c r="AA178" i="1"/>
  <c r="AA39" i="1"/>
  <c r="AA117" i="1"/>
  <c r="AA204" i="1"/>
  <c r="AA76" i="1"/>
  <c r="AA159" i="1"/>
  <c r="AA40" i="1"/>
  <c r="AA452" i="1"/>
  <c r="AA96" i="1"/>
  <c r="AA19" i="1"/>
  <c r="AA163" i="1"/>
  <c r="AA31" i="1"/>
  <c r="AA212" i="1"/>
  <c r="AA181" i="1"/>
  <c r="AA427" i="1"/>
  <c r="AA505" i="1"/>
  <c r="AA77" i="1"/>
  <c r="AA467" i="1"/>
  <c r="AA398" i="1"/>
  <c r="AA95" i="1"/>
  <c r="AA296" i="1"/>
  <c r="AA75" i="1"/>
  <c r="AA102" i="1"/>
  <c r="AA65" i="1"/>
  <c r="AA453" i="1"/>
  <c r="AA147" i="1"/>
  <c r="AA428" i="1"/>
  <c r="AA404" i="1"/>
  <c r="AA244" i="1"/>
  <c r="AA426" i="1"/>
  <c r="AA193" i="1"/>
  <c r="AA60" i="1"/>
  <c r="AA486" i="1"/>
  <c r="AA21" i="1"/>
  <c r="AA463" i="1"/>
  <c r="AA62" i="1"/>
  <c r="AA338" i="1"/>
  <c r="AA315" i="1"/>
  <c r="AA407" i="1"/>
  <c r="AA230" i="1"/>
  <c r="AA47" i="1"/>
  <c r="AA246" i="1"/>
  <c r="AA84" i="1"/>
  <c r="AA446" i="1"/>
  <c r="AA227" i="1"/>
  <c r="AA408" i="1"/>
  <c r="AA173" i="1"/>
  <c r="AA303" i="1"/>
  <c r="AA142" i="1"/>
  <c r="AA110" i="1"/>
  <c r="AA277" i="1"/>
  <c r="AA350" i="1"/>
  <c r="AA66" i="1"/>
  <c r="AA170" i="1"/>
  <c r="AA255" i="1"/>
  <c r="AA258" i="1"/>
  <c r="AA157" i="1"/>
  <c r="AA205" i="1"/>
  <c r="AA356" i="1"/>
  <c r="AA506" i="1"/>
  <c r="AA515" i="1"/>
  <c r="AA378" i="1"/>
  <c r="AA332" i="1"/>
  <c r="AA483" i="1"/>
  <c r="AA513" i="1"/>
  <c r="AA322" i="1"/>
  <c r="AA61" i="1"/>
  <c r="AA207" i="1"/>
  <c r="AA360" i="1"/>
  <c r="AA416" i="1"/>
  <c r="AA372" i="1"/>
  <c r="AA369" i="1"/>
  <c r="AA145" i="1"/>
  <c r="AA167" i="1"/>
  <c r="AA89" i="1"/>
  <c r="AA294" i="1"/>
  <c r="AA71" i="1"/>
  <c r="AA118" i="1"/>
  <c r="AA25" i="1"/>
  <c r="AA464" i="1"/>
  <c r="AA263" i="1"/>
  <c r="AA259" i="1"/>
  <c r="AA510" i="1"/>
  <c r="AA209" i="1"/>
  <c r="AA327" i="1"/>
  <c r="AA401" i="1"/>
  <c r="AA469" i="1"/>
  <c r="AA449" i="1"/>
  <c r="AA323" i="1"/>
  <c r="AA146" i="1"/>
  <c r="AA56" i="1"/>
  <c r="AA105" i="1"/>
  <c r="AA50" i="1"/>
  <c r="AA169" i="1"/>
  <c r="AA273" i="1"/>
  <c r="AA86" i="1"/>
  <c r="AA365" i="1"/>
  <c r="AA353" i="1"/>
  <c r="AA115" i="1"/>
  <c r="AA393" i="1"/>
  <c r="AA111" i="1"/>
  <c r="AA314" i="1"/>
  <c r="AA389" i="1"/>
  <c r="AA261" i="1"/>
  <c r="AA305" i="1"/>
  <c r="AA432" i="1"/>
  <c r="AA215" i="1"/>
  <c r="AA410" i="1"/>
  <c r="AA458" i="1"/>
  <c r="AA413" i="1"/>
  <c r="AA492" i="1"/>
  <c r="AA324" i="1"/>
  <c r="AA391" i="1"/>
  <c r="AA201" i="1"/>
  <c r="AA236" i="1"/>
  <c r="AA420" i="1"/>
  <c r="AA51" i="1"/>
  <c r="AA264" i="1"/>
  <c r="AA216" i="1"/>
  <c r="AA437" i="1"/>
  <c r="AA442" i="1"/>
  <c r="AA125" i="1"/>
  <c r="AA430" i="1"/>
  <c r="AA390" i="1"/>
  <c r="AA447" i="1"/>
  <c r="AA122" i="1"/>
  <c r="AA250" i="1"/>
  <c r="AA213" i="1"/>
  <c r="AA92" i="1"/>
  <c r="AA395" i="1"/>
  <c r="AA251" i="1"/>
  <c r="AA363" i="1"/>
  <c r="AA438" i="1"/>
  <c r="AA57" i="1"/>
  <c r="AA55" i="1"/>
  <c r="AA152" i="1"/>
  <c r="AA354" i="1"/>
  <c r="AA405" i="1"/>
  <c r="AA501" i="1"/>
  <c r="AA221" i="1"/>
  <c r="AA361" i="1"/>
  <c r="AA475" i="1"/>
  <c r="AA69" i="1"/>
  <c r="AA18" i="1"/>
  <c r="AA489" i="1"/>
  <c r="AA508" i="1"/>
  <c r="AA113" i="1"/>
  <c r="AA194" i="1"/>
  <c r="AA121" i="1"/>
  <c r="AA260" i="1"/>
  <c r="AA275" i="1"/>
  <c r="AA496" i="1"/>
  <c r="AA450" i="1"/>
  <c r="AA202" i="1"/>
  <c r="AA328" i="1"/>
  <c r="AA433" i="1"/>
  <c r="AA266" i="1"/>
  <c r="AA352" i="1"/>
  <c r="AA158" i="1"/>
  <c r="AA87" i="1"/>
  <c r="AA511" i="1"/>
  <c r="AA257" i="1"/>
  <c r="AA456" i="1"/>
  <c r="AA320" i="1"/>
  <c r="AA42" i="1"/>
  <c r="AA440" i="1"/>
  <c r="AA254" i="1"/>
  <c r="AA388" i="1"/>
  <c r="AA282" i="1"/>
  <c r="AA191" i="1"/>
  <c r="AA419" i="1"/>
  <c r="AA364" i="1"/>
  <c r="AA228" i="1"/>
  <c r="AA133" i="1"/>
  <c r="AA406" i="1"/>
  <c r="AA241" i="1"/>
  <c r="AA192" i="1"/>
  <c r="AA184" i="1"/>
  <c r="AA498" i="1"/>
  <c r="AA357" i="1"/>
  <c r="AA268" i="1"/>
  <c r="AA22" i="1"/>
  <c r="AA397" i="1"/>
  <c r="AA285" i="1"/>
  <c r="AA252" i="1"/>
  <c r="AA321" i="1"/>
  <c r="AA183" i="1"/>
  <c r="AA91" i="1"/>
  <c r="AA317" i="1"/>
  <c r="AA126" i="1"/>
  <c r="AA488" i="1"/>
  <c r="AA34" i="1"/>
  <c r="AA106" i="1"/>
  <c r="AA73" i="1"/>
  <c r="AA265" i="1"/>
  <c r="AA504" i="1"/>
  <c r="AA310" i="1"/>
  <c r="AA500" i="1"/>
  <c r="AA238" i="1"/>
  <c r="AA162" i="1"/>
  <c r="AA188" i="1"/>
  <c r="AA351" i="1"/>
  <c r="AA290" i="1"/>
  <c r="AA394" i="1"/>
  <c r="AA130" i="1"/>
  <c r="AA219" i="1"/>
  <c r="AA382" i="1"/>
  <c r="AA116" i="1"/>
  <c r="AA234" i="1"/>
  <c r="AA460" i="1"/>
  <c r="AA64" i="1"/>
  <c r="AA48" i="1"/>
  <c r="AA79" i="1"/>
  <c r="AA150" i="1"/>
  <c r="AA99" i="1"/>
  <c r="AA470" i="1"/>
  <c r="AA199" i="1"/>
  <c r="AA366" i="1"/>
  <c r="AA85" i="1"/>
  <c r="AA311" i="1"/>
  <c r="AA334" i="1"/>
  <c r="AA198" i="1"/>
  <c r="AA379" i="1"/>
  <c r="AA171" i="1"/>
  <c r="AA485" i="1"/>
  <c r="AA345" i="1"/>
  <c r="AA63" i="1"/>
  <c r="AA283" i="1"/>
  <c r="AA78" i="1"/>
  <c r="AA231" i="1"/>
  <c r="AA403" i="1"/>
  <c r="AA329" i="1"/>
  <c r="AA28" i="1"/>
  <c r="AA149" i="1"/>
  <c r="AA387" i="1"/>
  <c r="AA371" i="1"/>
  <c r="AA107" i="1"/>
  <c r="AA134" i="1"/>
  <c r="AA287" i="1"/>
  <c r="AA399" i="1"/>
  <c r="AA424" i="1"/>
  <c r="AA299" i="1"/>
  <c r="AA203" i="1"/>
  <c r="AA232" i="1"/>
  <c r="AA49" i="1"/>
  <c r="AA223" i="1"/>
  <c r="AA476" i="1"/>
  <c r="AA373" i="1"/>
  <c r="AA444" i="1"/>
  <c r="AA267" i="1"/>
  <c r="AA355" i="1"/>
  <c r="AA128" i="1"/>
  <c r="AA195" i="1"/>
  <c r="AA208" i="1"/>
  <c r="AA298" i="1"/>
  <c r="AA451" i="1"/>
  <c r="AA135" i="1"/>
  <c r="AA435" i="1"/>
  <c r="AA29" i="1"/>
  <c r="AA54" i="1"/>
  <c r="AA175" i="1"/>
  <c r="AA20" i="1"/>
  <c r="AA67" i="1"/>
  <c r="AA411" i="1"/>
  <c r="AA396" i="1"/>
  <c r="AA348" i="1"/>
  <c r="AA374" i="1"/>
  <c r="AA165" i="1"/>
  <c r="AA233" i="1"/>
  <c r="AA120" i="1"/>
  <c r="AA295" i="1"/>
  <c r="AA100" i="1"/>
  <c r="AA270" i="1"/>
  <c r="AA131" i="1"/>
  <c r="AA53" i="1"/>
  <c r="AA127" i="1"/>
  <c r="AA480" i="1"/>
  <c r="AA375" i="1"/>
  <c r="AA43" i="1"/>
  <c r="AA297" i="1"/>
  <c r="AA494" i="1"/>
  <c r="AA340" i="1"/>
  <c r="AA418" i="1"/>
  <c r="AA497" i="1"/>
  <c r="AA304" i="1"/>
  <c r="AA189" i="1"/>
  <c r="AA284" i="1"/>
  <c r="AA243" i="1"/>
  <c r="AA172" i="1"/>
  <c r="AA224" i="1"/>
  <c r="AA325" i="1"/>
  <c r="AA443" i="1"/>
  <c r="AA217" i="1"/>
  <c r="AA376" i="1"/>
  <c r="AA493" i="1"/>
  <c r="AA455" i="1"/>
  <c r="AA309" i="1"/>
  <c r="AA247" i="1"/>
  <c r="AA101" i="1"/>
  <c r="AA129" i="1"/>
  <c r="AA237" i="1"/>
  <c r="AA333" i="1"/>
  <c r="AA103" i="1"/>
  <c r="AA477" i="1"/>
  <c r="AA112" i="1"/>
  <c r="AA336" i="1"/>
  <c r="AA256" i="1"/>
  <c r="AA439" i="1"/>
  <c r="AA308" i="1"/>
  <c r="AA445" i="1"/>
  <c r="AA168" i="1"/>
  <c r="AA151" i="1"/>
  <c r="AA81" i="1"/>
  <c r="AA174" i="1"/>
  <c r="AA462" i="1"/>
  <c r="AA93" i="1"/>
  <c r="AA83" i="1"/>
  <c r="AA293" i="1"/>
  <c r="AA288" i="1"/>
  <c r="AA425" i="1"/>
  <c r="AA481" i="1"/>
  <c r="AA41" i="1"/>
  <c r="AA402" i="1"/>
  <c r="AA26" i="1"/>
  <c r="AA218" i="1"/>
  <c r="AA44" i="1"/>
  <c r="AA97" i="1"/>
  <c r="AA479" i="1"/>
  <c r="AA516" i="1"/>
  <c r="AA235" i="1"/>
  <c r="AA383" i="1"/>
  <c r="AA359" i="1"/>
  <c r="AA306" i="1"/>
  <c r="AA341" i="1"/>
  <c r="AA377" i="1"/>
  <c r="AA141" i="1"/>
  <c r="AA380" i="1"/>
  <c r="AA220" i="1"/>
  <c r="AA211" i="1"/>
  <c r="AA400" i="1"/>
  <c r="AA276" i="1"/>
  <c r="AA495" i="1"/>
  <c r="AA454" i="1"/>
  <c r="AA52" i="1"/>
  <c r="AA108" i="1"/>
  <c r="AA143" i="1"/>
  <c r="AA392" i="1"/>
  <c r="AA248" i="1"/>
  <c r="AA210" i="1"/>
  <c r="AA124" i="1"/>
  <c r="AA291" i="1"/>
  <c r="AA280" i="1"/>
  <c r="AA214" i="1"/>
  <c r="AA471" i="1"/>
  <c r="AA457" i="1"/>
  <c r="AA367" i="1"/>
  <c r="AA412" i="1"/>
  <c r="Z32" i="1"/>
  <c r="Z286" i="1"/>
  <c r="Z436" i="1"/>
  <c r="Z186" i="1"/>
  <c r="Z368" i="1"/>
  <c r="Z33" i="1"/>
  <c r="Z74" i="1"/>
  <c r="Z98" i="1"/>
  <c r="Z468" i="1"/>
  <c r="Z114" i="1"/>
  <c r="Z80" i="1"/>
  <c r="Z139" i="1"/>
  <c r="Z36" i="1"/>
  <c r="Z343" i="1"/>
  <c r="Z507" i="1"/>
  <c r="Z499" i="1"/>
  <c r="Z253" i="1"/>
  <c r="Z155" i="1"/>
  <c r="Z166" i="1"/>
  <c r="Z414" i="1"/>
  <c r="Z316" i="1"/>
  <c r="Z300" i="1"/>
  <c r="Z312" i="1"/>
  <c r="Z156" i="1"/>
  <c r="Z384" i="1"/>
  <c r="Z179" i="1"/>
  <c r="Z72" i="1"/>
  <c r="Z164" i="1"/>
  <c r="Z281" i="1"/>
  <c r="Z148" i="1"/>
  <c r="Z307" i="1"/>
  <c r="Z90" i="1"/>
  <c r="Z289" i="1"/>
  <c r="Z409" i="1"/>
  <c r="Z271" i="1"/>
  <c r="Z88" i="1"/>
  <c r="Z138" i="1"/>
  <c r="Z434" i="1"/>
  <c r="Z240" i="1"/>
  <c r="Z362" i="1"/>
  <c r="Z262" i="1"/>
  <c r="Z472" i="1"/>
  <c r="Z423" i="1"/>
  <c r="Z38" i="1"/>
  <c r="Z23" i="1"/>
  <c r="Z491" i="1"/>
  <c r="Z292" i="1"/>
  <c r="Z249" i="1"/>
  <c r="Z421" i="1"/>
  <c r="Z180" i="1"/>
  <c r="Z484" i="1"/>
  <c r="Z278" i="1"/>
  <c r="Z45" i="1"/>
  <c r="Z229" i="1"/>
  <c r="Z490" i="1"/>
  <c r="Z82" i="1"/>
  <c r="Z326" i="1"/>
  <c r="Z242" i="1"/>
  <c r="Z59" i="1"/>
  <c r="Z502" i="1"/>
  <c r="Z448" i="1"/>
  <c r="Z30" i="1"/>
  <c r="Z176" i="1"/>
  <c r="Z27" i="1"/>
  <c r="Z119" i="1"/>
  <c r="Z196" i="1"/>
  <c r="Z160" i="1"/>
  <c r="Z422" i="1"/>
  <c r="Z514" i="1"/>
  <c r="Z226" i="1"/>
  <c r="Z200" i="1"/>
  <c r="Z509" i="1"/>
  <c r="Z461" i="1"/>
  <c r="Z381" i="1"/>
  <c r="Z58" i="1"/>
  <c r="Z318" i="1"/>
  <c r="Z370" i="1"/>
  <c r="Z104" i="1"/>
  <c r="Z109" i="1"/>
  <c r="Z46" i="1"/>
  <c r="Z335" i="1"/>
  <c r="Z123" i="1"/>
  <c r="Z24" i="1"/>
  <c r="Z68" i="1"/>
  <c r="Z279" i="1"/>
  <c r="Z187" i="1"/>
  <c r="Z302" i="1"/>
  <c r="Z269" i="1"/>
  <c r="Z482" i="1"/>
  <c r="Z313" i="1"/>
  <c r="Z415" i="1"/>
  <c r="Z431" i="1"/>
  <c r="Z70" i="1"/>
  <c r="Z346" i="1"/>
  <c r="Z161" i="1"/>
  <c r="Z319" i="1"/>
  <c r="Z429" i="1"/>
  <c r="Z272" i="1"/>
  <c r="Z385" i="1"/>
  <c r="Z177" i="1"/>
  <c r="Z140" i="1"/>
  <c r="Z342" i="1"/>
  <c r="Z274" i="1"/>
  <c r="Z358" i="1"/>
  <c r="Z347" i="1"/>
  <c r="Z137" i="1"/>
  <c r="Z344" i="1"/>
  <c r="Z466" i="1"/>
  <c r="Z517" i="1"/>
  <c r="Z465" i="1"/>
  <c r="Z185" i="1"/>
  <c r="Z386" i="1"/>
  <c r="Z301" i="1"/>
  <c r="Z190" i="1"/>
  <c r="Z144" i="1"/>
  <c r="Z35" i="1"/>
  <c r="Z331" i="1"/>
  <c r="Z136" i="1"/>
  <c r="Z154" i="1"/>
  <c r="Z417" i="1"/>
  <c r="Z337" i="1"/>
  <c r="Z225" i="1"/>
  <c r="Z245" i="1"/>
  <c r="Z239" i="1"/>
  <c r="Z197" i="1"/>
  <c r="Z459" i="1"/>
  <c r="Z512" i="1"/>
  <c r="Z473" i="1"/>
  <c r="Z330" i="1"/>
  <c r="Z132" i="1"/>
  <c r="Z478" i="1"/>
  <c r="Z222" i="1"/>
  <c r="Z503" i="1"/>
  <c r="Z474" i="1"/>
  <c r="Z206" i="1"/>
  <c r="Z339" i="1"/>
  <c r="Z487" i="1"/>
  <c r="Z94" i="1"/>
  <c r="Z153" i="1"/>
  <c r="Z37" i="1"/>
  <c r="Z349" i="1"/>
  <c r="Z441" i="1"/>
  <c r="Z178" i="1"/>
  <c r="Z39" i="1"/>
  <c r="Z117" i="1"/>
  <c r="Z204" i="1"/>
  <c r="Z76" i="1"/>
  <c r="Z159" i="1"/>
  <c r="Z40" i="1"/>
  <c r="Z452" i="1"/>
  <c r="Z96" i="1"/>
  <c r="Z19" i="1"/>
  <c r="Z163" i="1"/>
  <c r="Z31" i="1"/>
  <c r="Z212" i="1"/>
  <c r="Z181" i="1"/>
  <c r="Z427" i="1"/>
  <c r="Z505" i="1"/>
  <c r="Z77" i="1"/>
  <c r="Z467" i="1"/>
  <c r="Z398" i="1"/>
  <c r="Z95" i="1"/>
  <c r="Z296" i="1"/>
  <c r="Z75" i="1"/>
  <c r="Z102" i="1"/>
  <c r="Z65" i="1"/>
  <c r="Z453" i="1"/>
  <c r="Z147" i="1"/>
  <c r="Z428" i="1"/>
  <c r="Z404" i="1"/>
  <c r="Z244" i="1"/>
  <c r="Z426" i="1"/>
  <c r="Z193" i="1"/>
  <c r="Z60" i="1"/>
  <c r="Z486" i="1"/>
  <c r="Z21" i="1"/>
  <c r="Z463" i="1"/>
  <c r="Z62" i="1"/>
  <c r="Z338" i="1"/>
  <c r="Z315" i="1"/>
  <c r="Z407" i="1"/>
  <c r="Z230" i="1"/>
  <c r="Z47" i="1"/>
  <c r="Z246" i="1"/>
  <c r="Z84" i="1"/>
  <c r="Z446" i="1"/>
  <c r="Z227" i="1"/>
  <c r="Z408" i="1"/>
  <c r="Z173" i="1"/>
  <c r="Z303" i="1"/>
  <c r="Z142" i="1"/>
  <c r="Z110" i="1"/>
  <c r="Z277" i="1"/>
  <c r="Z350" i="1"/>
  <c r="Z66" i="1"/>
  <c r="Z170" i="1"/>
  <c r="Z255" i="1"/>
  <c r="Z258" i="1"/>
  <c r="Z157" i="1"/>
  <c r="Z205" i="1"/>
  <c r="Z356" i="1"/>
  <c r="Z506" i="1"/>
  <c r="Z515" i="1"/>
  <c r="Z378" i="1"/>
  <c r="Z332" i="1"/>
  <c r="Z483" i="1"/>
  <c r="Z513" i="1"/>
  <c r="Z322" i="1"/>
  <c r="Z61" i="1"/>
  <c r="Z207" i="1"/>
  <c r="Z360" i="1"/>
  <c r="Z416" i="1"/>
  <c r="Z372" i="1"/>
  <c r="Z369" i="1"/>
  <c r="Z145" i="1"/>
  <c r="Z167" i="1"/>
  <c r="Z182" i="1"/>
  <c r="Z89" i="1"/>
  <c r="Z294" i="1"/>
  <c r="Z71" i="1"/>
  <c r="Z118" i="1"/>
  <c r="Z25" i="1"/>
  <c r="Z464" i="1"/>
  <c r="Z263" i="1"/>
  <c r="Z259" i="1"/>
  <c r="Z510" i="1"/>
  <c r="Z209" i="1"/>
  <c r="Z327" i="1"/>
  <c r="Z401" i="1"/>
  <c r="Z469" i="1"/>
  <c r="Z449" i="1"/>
  <c r="Z323" i="1"/>
  <c r="Z146" i="1"/>
  <c r="Z56" i="1"/>
  <c r="Z105" i="1"/>
  <c r="Z50" i="1"/>
  <c r="Z169" i="1"/>
  <c r="Z273" i="1"/>
  <c r="Z86" i="1"/>
  <c r="Z365" i="1"/>
  <c r="Z353" i="1"/>
  <c r="Z115" i="1"/>
  <c r="Z393" i="1"/>
  <c r="Z111" i="1"/>
  <c r="Z314" i="1"/>
  <c r="Z389" i="1"/>
  <c r="Z261" i="1"/>
  <c r="Z305" i="1"/>
  <c r="Z432" i="1"/>
  <c r="Z215" i="1"/>
  <c r="Z410" i="1"/>
  <c r="Z458" i="1"/>
  <c r="Z413" i="1"/>
  <c r="Z492" i="1"/>
  <c r="Z324" i="1"/>
  <c r="Z391" i="1"/>
  <c r="Z201" i="1"/>
  <c r="Z236" i="1"/>
  <c r="Z420" i="1"/>
  <c r="Z51" i="1"/>
  <c r="Z264" i="1"/>
  <c r="Z216" i="1"/>
  <c r="Z437" i="1"/>
  <c r="Z442" i="1"/>
  <c r="Z125" i="1"/>
  <c r="Z430" i="1"/>
  <c r="Z390" i="1"/>
  <c r="Z447" i="1"/>
  <c r="Z122" i="1"/>
  <c r="Z250" i="1"/>
  <c r="Z213" i="1"/>
  <c r="Z92" i="1"/>
  <c r="Z395" i="1"/>
  <c r="Z251" i="1"/>
  <c r="Z363" i="1"/>
  <c r="Z438" i="1"/>
  <c r="Z57" i="1"/>
  <c r="Z55" i="1"/>
  <c r="Z152" i="1"/>
  <c r="Z354" i="1"/>
  <c r="Z405" i="1"/>
  <c r="Z501" i="1"/>
  <c r="Z221" i="1"/>
  <c r="Z361" i="1"/>
  <c r="Z475" i="1"/>
  <c r="Z69" i="1"/>
  <c r="Z18" i="1"/>
  <c r="Z489" i="1"/>
  <c r="Z508" i="1"/>
  <c r="Z113" i="1"/>
  <c r="Z194" i="1"/>
  <c r="Z121" i="1"/>
  <c r="Z260" i="1"/>
  <c r="Z275" i="1"/>
  <c r="Z496" i="1"/>
  <c r="Z450" i="1"/>
  <c r="Z202" i="1"/>
  <c r="Z328" i="1"/>
  <c r="Z433" i="1"/>
  <c r="Z266" i="1"/>
  <c r="Z352" i="1"/>
  <c r="Z158" i="1"/>
  <c r="Z87" i="1"/>
  <c r="Z511" i="1"/>
  <c r="Z257" i="1"/>
  <c r="Z456" i="1"/>
  <c r="Z320" i="1"/>
  <c r="Z42" i="1"/>
  <c r="Z440" i="1"/>
  <c r="Z254" i="1"/>
  <c r="Z388" i="1"/>
  <c r="Z282" i="1"/>
  <c r="Z191" i="1"/>
  <c r="Z419" i="1"/>
  <c r="Z364" i="1"/>
  <c r="Z228" i="1"/>
  <c r="Z133" i="1"/>
  <c r="Z406" i="1"/>
  <c r="Z241" i="1"/>
  <c r="Z192" i="1"/>
  <c r="Z184" i="1"/>
  <c r="Z498" i="1"/>
  <c r="Z357" i="1"/>
  <c r="Z268" i="1"/>
  <c r="Z22" i="1"/>
  <c r="Z397" i="1"/>
  <c r="Z285" i="1"/>
  <c r="Z252" i="1"/>
  <c r="Z321" i="1"/>
  <c r="Z183" i="1"/>
  <c r="Z91" i="1"/>
  <c r="Z317" i="1"/>
  <c r="Z126" i="1"/>
  <c r="Z488" i="1"/>
  <c r="Z34" i="1"/>
  <c r="Z106" i="1"/>
  <c r="Z73" i="1"/>
  <c r="Z265" i="1"/>
  <c r="Z504" i="1"/>
  <c r="Z310" i="1"/>
  <c r="Z500" i="1"/>
  <c r="Z238" i="1"/>
  <c r="Z162" i="1"/>
  <c r="Z188" i="1"/>
  <c r="Z351" i="1"/>
  <c r="Z290" i="1"/>
  <c r="Z394" i="1"/>
  <c r="Z130" i="1"/>
  <c r="Z219" i="1"/>
  <c r="Z382" i="1"/>
  <c r="Z116" i="1"/>
  <c r="Z234" i="1"/>
  <c r="Z460" i="1"/>
  <c r="Z64" i="1"/>
  <c r="Z48" i="1"/>
  <c r="Z79" i="1"/>
  <c r="Z150" i="1"/>
  <c r="Z99" i="1"/>
  <c r="Z470" i="1"/>
  <c r="Z199" i="1"/>
  <c r="Z366" i="1"/>
  <c r="Z85" i="1"/>
  <c r="Z311" i="1"/>
  <c r="Z334" i="1"/>
  <c r="Z198" i="1"/>
  <c r="Z379" i="1"/>
  <c r="Z171" i="1"/>
  <c r="Z485" i="1"/>
  <c r="Z345" i="1"/>
  <c r="Z63" i="1"/>
  <c r="Z283" i="1"/>
  <c r="Z78" i="1"/>
  <c r="Z231" i="1"/>
  <c r="Z403" i="1"/>
  <c r="Z329" i="1"/>
  <c r="Z28" i="1"/>
  <c r="Z149" i="1"/>
  <c r="Z387" i="1"/>
  <c r="Z371" i="1"/>
  <c r="Z107" i="1"/>
  <c r="Z134" i="1"/>
  <c r="Z287" i="1"/>
  <c r="Z399" i="1"/>
  <c r="Z424" i="1"/>
  <c r="Z299" i="1"/>
  <c r="Z203" i="1"/>
  <c r="Z232" i="1"/>
  <c r="Z49" i="1"/>
  <c r="Z223" i="1"/>
  <c r="Z476" i="1"/>
  <c r="Z373" i="1"/>
  <c r="Z444" i="1"/>
  <c r="Z267" i="1"/>
  <c r="Z355" i="1"/>
  <c r="Z128" i="1"/>
  <c r="Z195" i="1"/>
  <c r="Z208" i="1"/>
  <c r="Z298" i="1"/>
  <c r="Z451" i="1"/>
  <c r="Z135" i="1"/>
  <c r="Z435" i="1"/>
  <c r="Z29" i="1"/>
  <c r="Z54" i="1"/>
  <c r="Z175" i="1"/>
  <c r="Z20" i="1"/>
  <c r="Z67" i="1"/>
  <c r="Z411" i="1"/>
  <c r="Z396" i="1"/>
  <c r="Z348" i="1"/>
  <c r="Z374" i="1"/>
  <c r="Z165" i="1"/>
  <c r="Z233" i="1"/>
  <c r="Z120" i="1"/>
  <c r="Z295" i="1"/>
  <c r="Z100" i="1"/>
  <c r="Z270" i="1"/>
  <c r="Z131" i="1"/>
  <c r="Z53" i="1"/>
  <c r="Z127" i="1"/>
  <c r="Z480" i="1"/>
  <c r="Z375" i="1"/>
  <c r="Z43" i="1"/>
  <c r="Z297" i="1"/>
  <c r="Z494" i="1"/>
  <c r="Z340" i="1"/>
  <c r="Z418" i="1"/>
  <c r="Z497" i="1"/>
  <c r="Z304" i="1"/>
  <c r="Z189" i="1"/>
  <c r="Z284" i="1"/>
  <c r="Z243" i="1"/>
  <c r="Z172" i="1"/>
  <c r="Z224" i="1"/>
  <c r="Z325" i="1"/>
  <c r="Z443" i="1"/>
  <c r="Z217" i="1"/>
  <c r="Z376" i="1"/>
  <c r="Z493" i="1"/>
  <c r="Z455" i="1"/>
  <c r="Z309" i="1"/>
  <c r="Z247" i="1"/>
  <c r="Z101" i="1"/>
  <c r="Z129" i="1"/>
  <c r="Z237" i="1"/>
  <c r="Z333" i="1"/>
  <c r="Z103" i="1"/>
  <c r="Z477" i="1"/>
  <c r="Z112" i="1"/>
  <c r="Z336" i="1"/>
  <c r="Z256" i="1"/>
  <c r="Z439" i="1"/>
  <c r="Z308" i="1"/>
  <c r="Z445" i="1"/>
  <c r="Z168" i="1"/>
  <c r="Z151" i="1"/>
  <c r="Z81" i="1"/>
  <c r="Z174" i="1"/>
  <c r="Z462" i="1"/>
  <c r="Z93" i="1"/>
  <c r="Z83" i="1"/>
  <c r="Z293" i="1"/>
  <c r="Z288" i="1"/>
  <c r="Z425" i="1"/>
  <c r="Z481" i="1"/>
  <c r="Z41" i="1"/>
  <c r="Z402" i="1"/>
  <c r="Z26" i="1"/>
  <c r="Z218" i="1"/>
  <c r="Z44" i="1"/>
  <c r="Z97" i="1"/>
  <c r="Z479" i="1"/>
  <c r="Z516" i="1"/>
  <c r="Z235" i="1"/>
  <c r="Z383" i="1"/>
  <c r="Z359" i="1"/>
  <c r="Z306" i="1"/>
  <c r="Z341" i="1"/>
  <c r="Z377" i="1"/>
  <c r="Z141" i="1"/>
  <c r="Z380" i="1"/>
  <c r="Z220" i="1"/>
  <c r="Z211" i="1"/>
  <c r="Z400" i="1"/>
  <c r="Z276" i="1"/>
  <c r="Z495" i="1"/>
  <c r="Z454" i="1"/>
  <c r="Z52" i="1"/>
  <c r="Z108" i="1"/>
  <c r="Z143" i="1"/>
  <c r="Z392" i="1"/>
  <c r="Z248" i="1"/>
  <c r="Z210" i="1"/>
  <c r="Z124" i="1"/>
  <c r="Z291" i="1"/>
  <c r="Z280" i="1"/>
  <c r="Z214" i="1"/>
  <c r="Z471" i="1"/>
  <c r="Z457" i="1"/>
  <c r="Z367" i="1"/>
  <c r="Z412" i="1"/>
  <c r="E6" i="6" l="1"/>
  <c r="F12" i="6"/>
  <c r="E7" i="6"/>
  <c r="F11" i="6"/>
  <c r="AY96" i="1"/>
  <c r="AZ96" i="1" s="1"/>
  <c r="AZ97" i="1"/>
  <c r="AZ98" i="1"/>
  <c r="AZ99" i="1"/>
  <c r="AZ100" i="1"/>
  <c r="AY102" i="1"/>
  <c r="AZ102" i="1" s="1"/>
  <c r="AZ103" i="1"/>
  <c r="AZ104" i="1"/>
  <c r="AZ105" i="1"/>
  <c r="AY107" i="1"/>
  <c r="AZ107" i="1" s="1"/>
  <c r="AZ108" i="1"/>
  <c r="AZ109" i="1"/>
  <c r="AZ110" i="1"/>
  <c r="AZ111" i="1"/>
  <c r="BB96" i="1"/>
  <c r="BC96" i="1" s="1"/>
  <c r="BC97" i="1"/>
  <c r="BC98" i="1"/>
  <c r="BC99" i="1"/>
  <c r="E8" i="6"/>
  <c r="BA50" i="1"/>
  <c r="AU36" i="1"/>
  <c r="AU222" i="1"/>
  <c r="AU316" i="1"/>
  <c r="AU37" i="1"/>
  <c r="AU102" i="1"/>
  <c r="AU350" i="1"/>
  <c r="AU401" i="1"/>
  <c r="AU260" i="1"/>
  <c r="AU317" i="1"/>
  <c r="AU351" i="1"/>
  <c r="AU223" i="1"/>
  <c r="AU476" i="1"/>
  <c r="AU374" i="1"/>
  <c r="AU224" i="1"/>
  <c r="AU103" i="1"/>
  <c r="AU477" i="1"/>
  <c r="AU286" i="1"/>
  <c r="AU164" i="1"/>
  <c r="AU138" i="1"/>
  <c r="AU434" i="1"/>
  <c r="AU478" i="1"/>
  <c r="AU505" i="1"/>
  <c r="AU352" i="1"/>
  <c r="AU287" i="1"/>
  <c r="AU435" i="1"/>
  <c r="AU165" i="1"/>
  <c r="AU375" i="1"/>
  <c r="AU436" i="1"/>
  <c r="AU139" i="1"/>
  <c r="AU166" i="1"/>
  <c r="AU72" i="1"/>
  <c r="AU104" i="1"/>
  <c r="AU225" i="1"/>
  <c r="AU105" i="1"/>
  <c r="AU353" i="1"/>
  <c r="AU261" i="1"/>
  <c r="AU437" i="1"/>
  <c r="AU438" i="1"/>
  <c r="AU354" i="1"/>
  <c r="AU106" i="1"/>
  <c r="AU73" i="1"/>
  <c r="AU198" i="1"/>
  <c r="AU107" i="1"/>
  <c r="AU439" i="1"/>
  <c r="AU402" i="1"/>
  <c r="AU479" i="1"/>
  <c r="AU108" i="1"/>
  <c r="AU262" i="1"/>
  <c r="AU38" i="1"/>
  <c r="AU226" i="1"/>
  <c r="AU318" i="1"/>
  <c r="AU319" i="1"/>
  <c r="AU140" i="1"/>
  <c r="AU39" i="1"/>
  <c r="AU506" i="1"/>
  <c r="AU320" i="1"/>
  <c r="AU440" i="1"/>
  <c r="AU321" i="1"/>
  <c r="AU403" i="1"/>
  <c r="AU355" i="1"/>
  <c r="AU480" i="1"/>
  <c r="AU376" i="1"/>
  <c r="AU288" i="1"/>
  <c r="AU141" i="1"/>
  <c r="AU74" i="1"/>
  <c r="AU289" i="1"/>
  <c r="AU109" i="1"/>
  <c r="AU441" i="1"/>
  <c r="AU40" i="1"/>
  <c r="AU75" i="1"/>
  <c r="AU404" i="1"/>
  <c r="AU227" i="1"/>
  <c r="AU110" i="1"/>
  <c r="AU356" i="1"/>
  <c r="AU167" i="1"/>
  <c r="AU263" i="1"/>
  <c r="AU111" i="1"/>
  <c r="AU442" i="1"/>
  <c r="AU405" i="1"/>
  <c r="AU406" i="1"/>
  <c r="AU357" i="1"/>
  <c r="AU290" i="1"/>
  <c r="AU199" i="1"/>
  <c r="AU443" i="1"/>
  <c r="AU112" i="1"/>
  <c r="AU168" i="1"/>
  <c r="AU377" i="1"/>
  <c r="AU291" i="1"/>
  <c r="AU507" i="1"/>
  <c r="AU200" i="1"/>
  <c r="AU76" i="1"/>
  <c r="AU77" i="1"/>
  <c r="AU407" i="1"/>
  <c r="AU408" i="1"/>
  <c r="AU142" i="1"/>
  <c r="AU322" i="1"/>
  <c r="AU323" i="1"/>
  <c r="AU169" i="1"/>
  <c r="AU324" i="1"/>
  <c r="AU508" i="1"/>
  <c r="AU228" i="1"/>
  <c r="AU444" i="1"/>
  <c r="AU325" i="1"/>
  <c r="AU445" i="1"/>
  <c r="AU481" i="1"/>
  <c r="AU229" i="1"/>
  <c r="AU326" i="1"/>
  <c r="AU482" i="1"/>
  <c r="AU358" i="1"/>
  <c r="AU483" i="1"/>
  <c r="AU327" i="1"/>
  <c r="AU201" i="1"/>
  <c r="AU264" i="1"/>
  <c r="AU41" i="1"/>
  <c r="AU143" i="1"/>
  <c r="AU292" i="1"/>
  <c r="AU509" i="1"/>
  <c r="AU144" i="1"/>
  <c r="AU378" i="1"/>
  <c r="AU510" i="1"/>
  <c r="AU113" i="1"/>
  <c r="AU202" i="1"/>
  <c r="AU328" i="1"/>
  <c r="AU265" i="1"/>
  <c r="AU379" i="1"/>
  <c r="AU78" i="1"/>
  <c r="AU329" i="1"/>
  <c r="AU330" i="1"/>
  <c r="AU446" i="1"/>
  <c r="AU511" i="1"/>
  <c r="AU380" i="1"/>
  <c r="AU114" i="1"/>
  <c r="AU409" i="1"/>
  <c r="AU381" i="1"/>
  <c r="AU230" i="1"/>
  <c r="AU170" i="1"/>
  <c r="AU115" i="1"/>
  <c r="AU410" i="1"/>
  <c r="AU447" i="1"/>
  <c r="AU42" i="1"/>
  <c r="AU231" i="1"/>
  <c r="AU203" i="1"/>
  <c r="AU411" i="1"/>
  <c r="AU293" i="1"/>
  <c r="AU484" i="1"/>
  <c r="AU331" i="1"/>
  <c r="AU204" i="1"/>
  <c r="AU205" i="1"/>
  <c r="AU332" i="1"/>
  <c r="AU145" i="1"/>
  <c r="AU294" i="1"/>
  <c r="AU146" i="1"/>
  <c r="AU266" i="1"/>
  <c r="AU382" i="1"/>
  <c r="AU116" i="1"/>
  <c r="AU79" i="1"/>
  <c r="AU232" i="1"/>
  <c r="AU267" i="1"/>
  <c r="AU43" i="1"/>
  <c r="AU383" i="1"/>
  <c r="AU359" i="1"/>
  <c r="AU412" i="1"/>
  <c r="AU448" i="1"/>
  <c r="AU206" i="1"/>
  <c r="AU147" i="1"/>
  <c r="AU207" i="1"/>
  <c r="AU449" i="1"/>
  <c r="AU171" i="1"/>
  <c r="AU295" i="1"/>
  <c r="AU172" i="1"/>
  <c r="AU80" i="1"/>
  <c r="AU384" i="1"/>
  <c r="AU148" i="1"/>
  <c r="AU117" i="1"/>
  <c r="AU173" i="1"/>
  <c r="AU450" i="1"/>
  <c r="AU485" i="1"/>
  <c r="AU233" i="1"/>
  <c r="AU333" i="1"/>
  <c r="AU81" i="1"/>
  <c r="AU385" i="1"/>
  <c r="AU386" i="1"/>
  <c r="AU118" i="1"/>
  <c r="AU268" i="1"/>
  <c r="AU334" i="1"/>
  <c r="AU387" i="1"/>
  <c r="AU512" i="1"/>
  <c r="AU296" i="1"/>
  <c r="AU513" i="1"/>
  <c r="AU360" i="1"/>
  <c r="AU413" i="1"/>
  <c r="AU361" i="1"/>
  <c r="AU388" i="1"/>
  <c r="AU451" i="1"/>
  <c r="AU297" i="1"/>
  <c r="AU174" i="1"/>
  <c r="AU44" i="1"/>
  <c r="AU414" i="1"/>
  <c r="AU82" i="1"/>
  <c r="AU269" i="1"/>
  <c r="AU415" i="1"/>
  <c r="AU416" i="1"/>
  <c r="AU389" i="1"/>
  <c r="AU514" i="1"/>
  <c r="AU417" i="1"/>
  <c r="AU452" i="1"/>
  <c r="AU486" i="1"/>
  <c r="AU390" i="1"/>
  <c r="AU234" i="1"/>
  <c r="AU149" i="1"/>
  <c r="AU298" i="1"/>
  <c r="AU175" i="1"/>
  <c r="AU270" i="1"/>
  <c r="AU83" i="1"/>
  <c r="AU45" i="1"/>
  <c r="AU176" i="1"/>
  <c r="AU119" i="1"/>
  <c r="AU46" i="1"/>
  <c r="AU453" i="1"/>
  <c r="AU47" i="1"/>
  <c r="AU515" i="1"/>
  <c r="AU48" i="1"/>
  <c r="AU150" i="1"/>
  <c r="AU49" i="1"/>
  <c r="AU208" i="1"/>
  <c r="AU235" i="1"/>
  <c r="AU454" i="1"/>
  <c r="AU362" i="1"/>
  <c r="AU335" i="1"/>
  <c r="AU177" i="1"/>
  <c r="AU178" i="1"/>
  <c r="AU236" i="1"/>
  <c r="AU455" i="1"/>
  <c r="AU336" i="1"/>
  <c r="AU516" i="1"/>
  <c r="AU179" i="1"/>
  <c r="AU84" i="1"/>
  <c r="AU50" i="1"/>
  <c r="AU456" i="1"/>
  <c r="AU418" i="1"/>
  <c r="AU271" i="1"/>
  <c r="AU180" i="1"/>
  <c r="AU272" i="1"/>
  <c r="AU487" i="1"/>
  <c r="AU51" i="1"/>
  <c r="AU85" i="1"/>
  <c r="AU120" i="1"/>
  <c r="AU151" i="1"/>
  <c r="AU52" i="1"/>
  <c r="AU273" i="1"/>
  <c r="AU363" i="1"/>
  <c r="AU53" i="1"/>
  <c r="AU457" i="1"/>
  <c r="AU337" i="1"/>
  <c r="AU86" i="1"/>
  <c r="AU391" i="1"/>
  <c r="AU121" i="1"/>
  <c r="AU87" i="1"/>
  <c r="AU88" i="1"/>
  <c r="AU122" i="1"/>
  <c r="AU237" i="1"/>
  <c r="AU274" i="1"/>
  <c r="AU517" i="1"/>
  <c r="AU89" i="1"/>
  <c r="AU209" i="1"/>
  <c r="AU364" i="1"/>
  <c r="AU210" i="1"/>
  <c r="AU488" i="1"/>
  <c r="AU181" i="1"/>
  <c r="AU489" i="1"/>
  <c r="AU419" i="1"/>
  <c r="AU392" i="1"/>
  <c r="BC21" i="1"/>
  <c r="BC34" i="1"/>
  <c r="BC39" i="1"/>
  <c r="BC43" i="1"/>
  <c r="AU182" i="1"/>
  <c r="AU239" i="1"/>
  <c r="AU153" i="1"/>
  <c r="AU459" i="1"/>
  <c r="AU55" i="1"/>
  <c r="AU421" i="1"/>
  <c r="AU491" i="1"/>
  <c r="AU18" i="1"/>
  <c r="AU186" i="1"/>
  <c r="AU342" i="1"/>
  <c r="AU343" i="1"/>
  <c r="AU301" i="1"/>
  <c r="AU493" i="1"/>
  <c r="AU463" i="1"/>
  <c r="AU213" i="1"/>
  <c r="AU21" i="1"/>
  <c r="AU157" i="1"/>
  <c r="AU245" i="1"/>
  <c r="AU26" i="1"/>
  <c r="AU215" i="1"/>
  <c r="AU278" i="1"/>
  <c r="AU305" i="1"/>
  <c r="AU252" i="1"/>
  <c r="AU253" i="1"/>
  <c r="AU498" i="1"/>
  <c r="AU129" i="1"/>
  <c r="AU467" i="1"/>
  <c r="AU192" i="1"/>
  <c r="AU220" i="1"/>
  <c r="AU159" i="1"/>
  <c r="AU32" i="1"/>
  <c r="AU372" i="1"/>
  <c r="AU470" i="1"/>
  <c r="AU98" i="1"/>
  <c r="AU161" i="1"/>
  <c r="AU162" i="1"/>
  <c r="AU195" i="1"/>
  <c r="AU473" i="1"/>
  <c r="AU399" i="1"/>
  <c r="AU315" i="1"/>
  <c r="AU197" i="1"/>
  <c r="BC20" i="1"/>
  <c r="BC26" i="1"/>
  <c r="BC31" i="1"/>
  <c r="BC35" i="1"/>
  <c r="BC40" i="1"/>
  <c r="BC42" i="1"/>
  <c r="AU458" i="1"/>
  <c r="AU299" i="1"/>
  <c r="AU185" i="1"/>
  <c r="AU338" i="1"/>
  <c r="AU275" i="1"/>
  <c r="AU154" i="1"/>
  <c r="AU123" i="1"/>
  <c r="AU300" i="1"/>
  <c r="AU461" i="1"/>
  <c r="AU211" i="1"/>
  <c r="AU344" i="1"/>
  <c r="AU127" i="1"/>
  <c r="AU395" i="1"/>
  <c r="AU20" i="1"/>
  <c r="AU22" i="1"/>
  <c r="AU156" i="1"/>
  <c r="AU24" i="1"/>
  <c r="AU247" i="1"/>
  <c r="AU277" i="1"/>
  <c r="AU249" i="1"/>
  <c r="AU61" i="1"/>
  <c r="AU251" i="1"/>
  <c r="AU306" i="1"/>
  <c r="AU428" i="1"/>
  <c r="AU29" i="1"/>
  <c r="AU466" i="1"/>
  <c r="AU191" i="1"/>
  <c r="AU309" i="1"/>
  <c r="AU31" i="1"/>
  <c r="AU468" i="1"/>
  <c r="AU66" i="1"/>
  <c r="AU310" i="1"/>
  <c r="AU33" i="1"/>
  <c r="AU431" i="1"/>
  <c r="AU285" i="1"/>
  <c r="AU134" i="1"/>
  <c r="AU35" i="1"/>
  <c r="AU433" i="1"/>
  <c r="AU258" i="1"/>
  <c r="AU400" i="1"/>
  <c r="BC28" i="1"/>
  <c r="BC38" i="1"/>
  <c r="AU152" i="1"/>
  <c r="AU240" i="1"/>
  <c r="AU490" i="1"/>
  <c r="AU366" i="1"/>
  <c r="AU492" i="1"/>
  <c r="AU125" i="1"/>
  <c r="AU93" i="1"/>
  <c r="AU244" i="1"/>
  <c r="AU495" i="1"/>
  <c r="AU187" i="1"/>
  <c r="AU279" i="1"/>
  <c r="AU218" i="1"/>
  <c r="AU28" i="1"/>
  <c r="AU158" i="1"/>
  <c r="AU30" i="1"/>
  <c r="AU502" i="1"/>
  <c r="AU133" i="1"/>
  <c r="AU68" i="1"/>
  <c r="AU311" i="1"/>
  <c r="AU503" i="1"/>
  <c r="AU71" i="1"/>
  <c r="BC27" i="1"/>
  <c r="AU183" i="1"/>
  <c r="AU339" i="1"/>
  <c r="AU91" i="1"/>
  <c r="AU124" i="1"/>
  <c r="AU345" i="1"/>
  <c r="AU303" i="1"/>
  <c r="AU494" i="1"/>
  <c r="AU95" i="1"/>
  <c r="AU464" i="1"/>
  <c r="AU370" i="1"/>
  <c r="AU217" i="1"/>
  <c r="AU128" i="1"/>
  <c r="AU190" i="1"/>
  <c r="AU283" i="1"/>
  <c r="AU64" i="1"/>
  <c r="AU469" i="1"/>
  <c r="AU471" i="1"/>
  <c r="AU257" i="1"/>
  <c r="AU313" i="1"/>
  <c r="AU100" i="1"/>
  <c r="BC33" i="1"/>
  <c r="AU365" i="1"/>
  <c r="AU241" i="1"/>
  <c r="AU19" i="1"/>
  <c r="AU126" i="1"/>
  <c r="AU58" i="1"/>
  <c r="AU368" i="1"/>
  <c r="AU369" i="1"/>
  <c r="AU396" i="1"/>
  <c r="AU216" i="1"/>
  <c r="AU465" i="1"/>
  <c r="AU280" i="1"/>
  <c r="AU130" i="1"/>
  <c r="AU501" i="1"/>
  <c r="AU65" i="1"/>
  <c r="AU284" i="1"/>
  <c r="AU349" i="1"/>
  <c r="AU135" i="1"/>
  <c r="AU314" i="1"/>
  <c r="AU504" i="1"/>
  <c r="BC25" i="1"/>
  <c r="AU56" i="1"/>
  <c r="AU57" i="1"/>
  <c r="AU212" i="1"/>
  <c r="AU462" i="1"/>
  <c r="AU367" i="1"/>
  <c r="AU243" i="1"/>
  <c r="AU276" i="1"/>
  <c r="AU304" i="1"/>
  <c r="AU25" i="1"/>
  <c r="AU214" i="1"/>
  <c r="AU248" i="1"/>
  <c r="AU60" i="1"/>
  <c r="AU496" i="1"/>
  <c r="AU307" i="1"/>
  <c r="AU397" i="1"/>
  <c r="AU189" i="1"/>
  <c r="AU398" i="1"/>
  <c r="AU500" i="1"/>
  <c r="AU429" i="1"/>
  <c r="AU254" i="1"/>
  <c r="AU346" i="1"/>
  <c r="AU430" i="1"/>
  <c r="AU67" i="1"/>
  <c r="AU160" i="1"/>
  <c r="AU69" i="1"/>
  <c r="AU99" i="1"/>
  <c r="AU70" i="1"/>
  <c r="AU474" i="1"/>
  <c r="AU101" i="1"/>
  <c r="AU259" i="1"/>
  <c r="BC24" i="1"/>
  <c r="BC36" i="1"/>
  <c r="AU420" i="1"/>
  <c r="AU460" i="1"/>
  <c r="AU340" i="1"/>
  <c r="AU341" i="1"/>
  <c r="AU92" i="1"/>
  <c r="AU394" i="1"/>
  <c r="AU155" i="1"/>
  <c r="AU424" i="1"/>
  <c r="AU23" i="1"/>
  <c r="AU426" i="1"/>
  <c r="AU96" i="1"/>
  <c r="AU97" i="1"/>
  <c r="AU63" i="1"/>
  <c r="AU281" i="1"/>
  <c r="AU131" i="1"/>
  <c r="AU371" i="1"/>
  <c r="AU221" i="1"/>
  <c r="AU472" i="1"/>
  <c r="AU34" i="1"/>
  <c r="AU136" i="1"/>
  <c r="AU137" i="1"/>
  <c r="BC22" i="1"/>
  <c r="BC23" i="1"/>
  <c r="BC29" i="1"/>
  <c r="BC32" i="1"/>
  <c r="BC37" i="1"/>
  <c r="BC41" i="1"/>
  <c r="AU238" i="1"/>
  <c r="AU54" i="1"/>
  <c r="AU184" i="1"/>
  <c r="AU90" i="1"/>
  <c r="AU423" i="1"/>
  <c r="AU246" i="1"/>
  <c r="AU188" i="1"/>
  <c r="AU250" i="1"/>
  <c r="AU427" i="1"/>
  <c r="AU308" i="1"/>
  <c r="AU282" i="1"/>
  <c r="AU132" i="1"/>
  <c r="AU347" i="1"/>
  <c r="AU348" i="1"/>
  <c r="AU194" i="1"/>
  <c r="AU196" i="1"/>
  <c r="AU373" i="1"/>
  <c r="BC30" i="1"/>
  <c r="AU393" i="1"/>
  <c r="AU422" i="1"/>
  <c r="AU242" i="1"/>
  <c r="AU302" i="1"/>
  <c r="AU94" i="1"/>
  <c r="AU425" i="1"/>
  <c r="AU59" i="1"/>
  <c r="AU27" i="1"/>
  <c r="AU497" i="1"/>
  <c r="AU62" i="1"/>
  <c r="AU499" i="1"/>
  <c r="AU219" i="1"/>
  <c r="AU193" i="1"/>
  <c r="AU255" i="1"/>
  <c r="AU256" i="1"/>
  <c r="AU432" i="1"/>
  <c r="AU312" i="1"/>
  <c r="AU163" i="1"/>
  <c r="AU475" i="1"/>
  <c r="AQ285" i="1"/>
  <c r="AQ152" i="1"/>
  <c r="AQ182" i="1"/>
  <c r="AQ238" i="1"/>
  <c r="AQ420" i="1"/>
  <c r="AQ239" i="1"/>
  <c r="AQ299" i="1"/>
  <c r="AQ54" i="1"/>
  <c r="AQ183" i="1"/>
  <c r="AQ153" i="1"/>
  <c r="AQ184" i="1"/>
  <c r="AQ185" i="1"/>
  <c r="AQ459" i="1"/>
  <c r="AQ365" i="1"/>
  <c r="AQ240" i="1"/>
  <c r="AQ460" i="1"/>
  <c r="AQ90" i="1"/>
  <c r="AQ338" i="1"/>
  <c r="AQ55" i="1"/>
  <c r="AQ393" i="1"/>
  <c r="AQ275" i="1"/>
  <c r="AQ421" i="1"/>
  <c r="AQ490" i="1"/>
  <c r="AQ154" i="1"/>
  <c r="AQ339" i="1"/>
  <c r="AQ340" i="1"/>
  <c r="AQ491" i="1"/>
  <c r="AQ123" i="1"/>
  <c r="AQ18" i="1"/>
  <c r="AQ241" i="1"/>
  <c r="AQ366" i="1"/>
  <c r="AQ341" i="1"/>
  <c r="AQ300" i="1"/>
  <c r="AQ56" i="1"/>
  <c r="AQ91" i="1"/>
  <c r="AQ186" i="1"/>
  <c r="AQ422" i="1"/>
  <c r="AQ461" i="1"/>
  <c r="AQ342" i="1"/>
  <c r="AQ19" i="1"/>
  <c r="AQ492" i="1"/>
  <c r="AQ92" i="1"/>
  <c r="AQ57" i="1"/>
  <c r="AQ211" i="1"/>
  <c r="AQ124" i="1"/>
  <c r="AQ343" i="1"/>
  <c r="AQ242" i="1"/>
  <c r="AQ344" i="1"/>
  <c r="AQ301" i="1"/>
  <c r="AQ212" i="1"/>
  <c r="AQ125" i="1"/>
  <c r="AQ126" i="1"/>
  <c r="AQ394" i="1"/>
  <c r="AQ345" i="1"/>
  <c r="AQ127" i="1"/>
  <c r="AQ493" i="1"/>
  <c r="AQ462" i="1"/>
  <c r="AQ302" i="1"/>
  <c r="AQ463" i="1"/>
  <c r="AQ395" i="1"/>
  <c r="AQ93" i="1"/>
  <c r="AQ367" i="1"/>
  <c r="AQ155" i="1"/>
  <c r="AQ58" i="1"/>
  <c r="AQ303" i="1"/>
  <c r="AQ213" i="1"/>
  <c r="AQ20" i="1"/>
  <c r="AQ243" i="1"/>
  <c r="AQ423" i="1"/>
  <c r="AQ94" i="1"/>
  <c r="AQ244" i="1"/>
  <c r="AQ21" i="1"/>
  <c r="AQ22" i="1"/>
  <c r="AQ424" i="1"/>
  <c r="AQ494" i="1"/>
  <c r="AQ276" i="1"/>
  <c r="AQ368" i="1"/>
  <c r="AQ156" i="1"/>
  <c r="AQ157" i="1"/>
  <c r="AQ304" i="1"/>
  <c r="AQ425" i="1"/>
  <c r="AQ495" i="1"/>
  <c r="AQ23" i="1"/>
  <c r="AQ24" i="1"/>
  <c r="AQ245" i="1"/>
  <c r="AQ95" i="1"/>
  <c r="AQ246" i="1"/>
  <c r="AQ369" i="1"/>
  <c r="AQ25" i="1"/>
  <c r="AQ247" i="1"/>
  <c r="AQ26" i="1"/>
  <c r="AQ214" i="1"/>
  <c r="AQ59" i="1"/>
  <c r="AQ187" i="1"/>
  <c r="AQ426" i="1"/>
  <c r="AQ277" i="1"/>
  <c r="AQ464" i="1"/>
  <c r="AQ215" i="1"/>
  <c r="AQ188" i="1"/>
  <c r="AQ396" i="1"/>
  <c r="AQ248" i="1"/>
  <c r="AQ249" i="1"/>
  <c r="AQ278" i="1"/>
  <c r="AQ27" i="1"/>
  <c r="AQ370" i="1"/>
  <c r="AQ279" i="1"/>
  <c r="AQ96" i="1"/>
  <c r="AQ60" i="1"/>
  <c r="AQ61" i="1"/>
  <c r="AQ305" i="1"/>
  <c r="AQ216" i="1"/>
  <c r="AQ250" i="1"/>
  <c r="AQ251" i="1"/>
  <c r="AQ496" i="1"/>
  <c r="AQ252" i="1"/>
  <c r="AQ497" i="1"/>
  <c r="AQ217" i="1"/>
  <c r="AQ218" i="1"/>
  <c r="AQ97" i="1"/>
  <c r="AQ306" i="1"/>
  <c r="AQ253" i="1"/>
  <c r="AQ307" i="1"/>
  <c r="AQ465" i="1"/>
  <c r="AQ427" i="1"/>
  <c r="AQ428" i="1"/>
  <c r="AQ62" i="1"/>
  <c r="AQ498" i="1"/>
  <c r="AQ397" i="1"/>
  <c r="AQ63" i="1"/>
  <c r="AQ28" i="1"/>
  <c r="AQ128" i="1"/>
  <c r="AQ29" i="1"/>
  <c r="AQ189" i="1"/>
  <c r="AQ129" i="1"/>
  <c r="AQ308" i="1"/>
  <c r="AQ280" i="1"/>
  <c r="AQ499" i="1"/>
  <c r="AQ281" i="1"/>
  <c r="AQ466" i="1"/>
  <c r="AQ190" i="1"/>
  <c r="AQ467" i="1"/>
  <c r="AQ398" i="1"/>
  <c r="AQ158" i="1"/>
  <c r="AQ282" i="1"/>
  <c r="AQ191" i="1"/>
  <c r="AQ192" i="1"/>
  <c r="AQ500" i="1"/>
  <c r="AQ130" i="1"/>
  <c r="AQ219" i="1"/>
  <c r="AQ283" i="1"/>
  <c r="AQ131" i="1"/>
  <c r="AQ309" i="1"/>
  <c r="AQ220" i="1"/>
  <c r="AQ30" i="1"/>
  <c r="AQ429" i="1"/>
  <c r="AQ132" i="1"/>
  <c r="AQ159" i="1"/>
  <c r="AQ31" i="1"/>
  <c r="AQ193" i="1"/>
  <c r="AQ501" i="1"/>
  <c r="AQ254" i="1"/>
  <c r="AQ64" i="1"/>
  <c r="AQ371" i="1"/>
  <c r="AQ32" i="1"/>
  <c r="AQ468" i="1"/>
  <c r="AQ502" i="1"/>
  <c r="AQ346" i="1"/>
  <c r="AQ347" i="1"/>
  <c r="AQ65" i="1"/>
  <c r="AQ66" i="1"/>
  <c r="AQ255" i="1"/>
  <c r="AQ372" i="1"/>
  <c r="AQ469" i="1"/>
  <c r="AQ430" i="1"/>
  <c r="AQ221" i="1"/>
  <c r="AQ133" i="1"/>
  <c r="AQ310" i="1"/>
  <c r="AQ470" i="1"/>
  <c r="AQ67" i="1"/>
  <c r="AQ348" i="1"/>
  <c r="AQ284" i="1"/>
  <c r="AQ256" i="1"/>
  <c r="AQ471" i="1"/>
  <c r="AQ33" i="1"/>
  <c r="AQ98" i="1"/>
  <c r="AQ472" i="1"/>
  <c r="AQ160" i="1"/>
  <c r="AQ68" i="1"/>
  <c r="AQ431" i="1"/>
  <c r="AQ161" i="1"/>
  <c r="AQ349" i="1"/>
  <c r="AQ432" i="1"/>
  <c r="AQ69" i="1"/>
  <c r="AQ194" i="1"/>
  <c r="AQ257" i="1"/>
  <c r="AQ34" i="1"/>
  <c r="AQ162" i="1"/>
  <c r="AQ99" i="1"/>
  <c r="AQ311" i="1"/>
  <c r="AQ134" i="1"/>
  <c r="AQ195" i="1"/>
  <c r="AQ135" i="1"/>
  <c r="AQ312" i="1"/>
  <c r="AQ196" i="1"/>
  <c r="AQ313" i="1"/>
  <c r="AQ70" i="1"/>
  <c r="AQ35" i="1"/>
  <c r="AQ136" i="1"/>
  <c r="AQ473" i="1"/>
  <c r="AQ503" i="1"/>
  <c r="AQ474" i="1"/>
  <c r="AQ163" i="1"/>
  <c r="AQ314" i="1"/>
  <c r="AQ433" i="1"/>
  <c r="AQ399" i="1"/>
  <c r="AQ373" i="1"/>
  <c r="AQ100" i="1"/>
  <c r="AQ101" i="1"/>
  <c r="AQ137" i="1"/>
  <c r="AQ315" i="1"/>
  <c r="AQ258" i="1"/>
  <c r="AQ71" i="1"/>
  <c r="AQ259" i="1"/>
  <c r="AQ475" i="1"/>
  <c r="AQ504" i="1"/>
  <c r="AQ400" i="1"/>
  <c r="AQ36" i="1"/>
  <c r="AQ316" i="1"/>
  <c r="AQ197" i="1"/>
  <c r="AQ222" i="1"/>
  <c r="AQ37" i="1"/>
  <c r="AQ102" i="1"/>
  <c r="AQ350" i="1"/>
  <c r="AQ401" i="1"/>
  <c r="AQ260" i="1"/>
  <c r="AQ317" i="1"/>
  <c r="AQ351" i="1"/>
  <c r="AQ223" i="1"/>
  <c r="AQ476" i="1"/>
  <c r="AQ374" i="1"/>
  <c r="AQ224" i="1"/>
  <c r="AQ103" i="1"/>
  <c r="AQ477" i="1"/>
  <c r="AQ286" i="1"/>
  <c r="AQ164" i="1"/>
  <c r="AQ138" i="1"/>
  <c r="AQ434" i="1"/>
  <c r="AQ478" i="1"/>
  <c r="AQ505" i="1"/>
  <c r="AQ352" i="1"/>
  <c r="AQ287" i="1"/>
  <c r="AQ435" i="1"/>
  <c r="AQ165" i="1"/>
  <c r="AQ375" i="1"/>
  <c r="AQ436" i="1"/>
  <c r="AQ139" i="1"/>
  <c r="AQ166" i="1"/>
  <c r="AQ72" i="1"/>
  <c r="AQ104" i="1"/>
  <c r="AQ225" i="1"/>
  <c r="AQ105" i="1"/>
  <c r="AQ353" i="1"/>
  <c r="AQ261" i="1"/>
  <c r="AQ437" i="1"/>
  <c r="AQ438" i="1"/>
  <c r="AQ354" i="1"/>
  <c r="AQ106" i="1"/>
  <c r="AQ73" i="1"/>
  <c r="AQ198" i="1"/>
  <c r="AQ107" i="1"/>
  <c r="AQ439" i="1"/>
  <c r="AQ402" i="1"/>
  <c r="AQ479" i="1"/>
  <c r="AQ108" i="1"/>
  <c r="AQ262" i="1"/>
  <c r="AQ38" i="1"/>
  <c r="AQ226" i="1"/>
  <c r="AQ318" i="1"/>
  <c r="AQ319" i="1"/>
  <c r="AQ140" i="1"/>
  <c r="AQ39" i="1"/>
  <c r="AQ506" i="1"/>
  <c r="AQ320" i="1"/>
  <c r="AQ440" i="1"/>
  <c r="AQ321" i="1"/>
  <c r="AQ403" i="1"/>
  <c r="AQ355" i="1"/>
  <c r="AQ480" i="1"/>
  <c r="AQ376" i="1"/>
  <c r="AQ288" i="1"/>
  <c r="AQ141" i="1"/>
  <c r="AQ74" i="1"/>
  <c r="AQ289" i="1"/>
  <c r="AQ109" i="1"/>
  <c r="AQ441" i="1"/>
  <c r="AQ40" i="1"/>
  <c r="AQ75" i="1"/>
  <c r="AQ404" i="1"/>
  <c r="AQ227" i="1"/>
  <c r="AQ110" i="1"/>
  <c r="AQ356" i="1"/>
  <c r="AQ167" i="1"/>
  <c r="AQ263" i="1"/>
  <c r="AQ111" i="1"/>
  <c r="AQ442" i="1"/>
  <c r="AQ405" i="1"/>
  <c r="AQ406" i="1"/>
  <c r="AQ357" i="1"/>
  <c r="AQ290" i="1"/>
  <c r="AQ199" i="1"/>
  <c r="AQ443" i="1"/>
  <c r="AQ112" i="1"/>
  <c r="AQ168" i="1"/>
  <c r="AQ377" i="1"/>
  <c r="AQ291" i="1"/>
  <c r="AQ507" i="1"/>
  <c r="AQ200" i="1"/>
  <c r="AQ76" i="1"/>
  <c r="AQ77" i="1"/>
  <c r="AQ407" i="1"/>
  <c r="AQ408" i="1"/>
  <c r="AQ142" i="1"/>
  <c r="AQ322" i="1"/>
  <c r="AQ323" i="1"/>
  <c r="AQ169" i="1"/>
  <c r="AQ324" i="1"/>
  <c r="AQ508" i="1"/>
  <c r="AQ228" i="1"/>
  <c r="AQ444" i="1"/>
  <c r="AQ325" i="1"/>
  <c r="AQ445" i="1"/>
  <c r="AQ481" i="1"/>
  <c r="AQ229" i="1"/>
  <c r="AQ326" i="1"/>
  <c r="AQ482" i="1"/>
  <c r="AQ358" i="1"/>
  <c r="AQ483" i="1"/>
  <c r="AQ327" i="1"/>
  <c r="AQ201" i="1"/>
  <c r="AQ264" i="1"/>
  <c r="AQ41" i="1"/>
  <c r="AQ143" i="1"/>
  <c r="AQ292" i="1"/>
  <c r="AQ509" i="1"/>
  <c r="AQ144" i="1"/>
  <c r="AQ378" i="1"/>
  <c r="AQ510" i="1"/>
  <c r="AQ113" i="1"/>
  <c r="AQ202" i="1"/>
  <c r="AQ328" i="1"/>
  <c r="AQ265" i="1"/>
  <c r="AQ379" i="1"/>
  <c r="AQ78" i="1"/>
  <c r="AQ329" i="1"/>
  <c r="AQ82" i="1"/>
  <c r="AQ419" i="1"/>
  <c r="AQ489" i="1"/>
  <c r="AQ181" i="1"/>
  <c r="AQ488" i="1"/>
  <c r="AQ210" i="1"/>
  <c r="AQ364" i="1"/>
  <c r="AQ209" i="1"/>
  <c r="AQ89" i="1"/>
  <c r="AQ517" i="1"/>
  <c r="AQ274" i="1"/>
  <c r="AQ237" i="1"/>
  <c r="AQ122" i="1"/>
  <c r="AQ88" i="1"/>
  <c r="AQ87" i="1"/>
  <c r="AQ121" i="1"/>
  <c r="AQ391" i="1"/>
  <c r="AQ86" i="1"/>
  <c r="AQ337" i="1"/>
  <c r="AQ457" i="1"/>
  <c r="AQ53" i="1"/>
  <c r="AQ363" i="1"/>
  <c r="AQ273" i="1"/>
  <c r="AQ52" i="1"/>
  <c r="AQ151" i="1"/>
  <c r="AQ120" i="1"/>
  <c r="AQ85" i="1"/>
  <c r="AQ51" i="1"/>
  <c r="AQ487" i="1"/>
  <c r="AQ272" i="1"/>
  <c r="AQ180" i="1"/>
  <c r="AQ271" i="1"/>
  <c r="AQ418" i="1"/>
  <c r="AQ456" i="1"/>
  <c r="AQ50" i="1"/>
  <c r="AQ84" i="1"/>
  <c r="AQ179" i="1"/>
  <c r="AQ516" i="1"/>
  <c r="AQ336" i="1"/>
  <c r="AQ455" i="1"/>
  <c r="AQ236" i="1"/>
  <c r="AQ178" i="1"/>
  <c r="AQ177" i="1"/>
  <c r="AQ335" i="1"/>
  <c r="AQ362" i="1"/>
  <c r="AQ454" i="1"/>
  <c r="AQ235" i="1"/>
  <c r="AQ208" i="1"/>
  <c r="AQ49" i="1"/>
  <c r="AQ150" i="1"/>
  <c r="AQ48" i="1"/>
  <c r="AQ515" i="1"/>
  <c r="AQ47" i="1"/>
  <c r="AQ453" i="1"/>
  <c r="AQ46" i="1"/>
  <c r="AQ119" i="1"/>
  <c r="AQ176" i="1"/>
  <c r="AQ45" i="1"/>
  <c r="AQ83" i="1"/>
  <c r="AQ270" i="1"/>
  <c r="AQ175" i="1"/>
  <c r="AQ298" i="1"/>
  <c r="AQ149" i="1"/>
  <c r="AQ234" i="1"/>
  <c r="AQ390" i="1"/>
  <c r="AQ486" i="1"/>
  <c r="AQ452" i="1"/>
  <c r="AQ417" i="1"/>
  <c r="AQ514" i="1"/>
  <c r="AQ389" i="1"/>
  <c r="AQ416" i="1"/>
  <c r="AQ415" i="1"/>
  <c r="AQ269" i="1"/>
  <c r="AQ392" i="1"/>
  <c r="AQ414" i="1"/>
  <c r="AQ44" i="1"/>
  <c r="AQ174" i="1"/>
  <c r="AQ297" i="1"/>
  <c r="AQ451" i="1"/>
  <c r="AQ388" i="1"/>
  <c r="AQ361" i="1"/>
  <c r="AQ413" i="1"/>
  <c r="AQ360" i="1"/>
  <c r="AQ513" i="1"/>
  <c r="AQ296" i="1"/>
  <c r="AQ512" i="1"/>
  <c r="AQ387" i="1"/>
  <c r="AQ334" i="1"/>
  <c r="AQ268" i="1"/>
  <c r="AQ118" i="1"/>
  <c r="AQ386" i="1"/>
  <c r="AQ385" i="1"/>
  <c r="AQ81" i="1"/>
  <c r="AQ333" i="1"/>
  <c r="AQ233" i="1"/>
  <c r="AQ485" i="1"/>
  <c r="AQ450" i="1"/>
  <c r="AQ173" i="1"/>
  <c r="AQ117" i="1"/>
  <c r="AQ148" i="1"/>
  <c r="AQ384" i="1"/>
  <c r="AQ80" i="1"/>
  <c r="AQ172" i="1"/>
  <c r="AQ295" i="1"/>
  <c r="AQ171" i="1"/>
  <c r="AQ449" i="1"/>
  <c r="AQ207" i="1"/>
  <c r="AQ147" i="1"/>
  <c r="AQ206" i="1"/>
  <c r="AQ448" i="1"/>
  <c r="AQ412" i="1"/>
  <c r="AQ359" i="1"/>
  <c r="AQ383" i="1"/>
  <c r="AQ43" i="1"/>
  <c r="AQ267" i="1"/>
  <c r="AQ232" i="1"/>
  <c r="AQ79" i="1"/>
  <c r="AQ116" i="1"/>
  <c r="AQ382" i="1"/>
  <c r="AQ266" i="1"/>
  <c r="AQ146" i="1"/>
  <c r="AQ294" i="1"/>
  <c r="AQ145" i="1"/>
  <c r="AQ332" i="1"/>
  <c r="AQ205" i="1"/>
  <c r="AQ204" i="1"/>
  <c r="AQ331" i="1"/>
  <c r="AQ484" i="1"/>
  <c r="AQ293" i="1"/>
  <c r="AQ411" i="1"/>
  <c r="AQ203" i="1"/>
  <c r="AQ231" i="1"/>
  <c r="AQ42" i="1"/>
  <c r="AQ447" i="1"/>
  <c r="AQ410" i="1"/>
  <c r="AQ115" i="1"/>
  <c r="AQ170" i="1"/>
  <c r="AQ230" i="1"/>
  <c r="AQ381" i="1"/>
  <c r="AQ409" i="1"/>
  <c r="AQ114" i="1"/>
  <c r="AQ380" i="1"/>
  <c r="AQ511" i="1"/>
  <c r="AQ446" i="1"/>
  <c r="AQ330" i="1"/>
  <c r="AQ458" i="1"/>
  <c r="AN458" i="1"/>
  <c r="AN152" i="1"/>
  <c r="AN182" i="1"/>
  <c r="AN238" i="1"/>
  <c r="AN420" i="1"/>
  <c r="AN239" i="1"/>
  <c r="AN299" i="1"/>
  <c r="AN54" i="1"/>
  <c r="AN183" i="1"/>
  <c r="AN153" i="1"/>
  <c r="AN184" i="1"/>
  <c r="AN185" i="1"/>
  <c r="AN459" i="1"/>
  <c r="AN365" i="1"/>
  <c r="AN240" i="1"/>
  <c r="AN460" i="1"/>
  <c r="AN90" i="1"/>
  <c r="AN338" i="1"/>
  <c r="AN55" i="1"/>
  <c r="AN393" i="1"/>
  <c r="AN275" i="1"/>
  <c r="AN421" i="1"/>
  <c r="AN490" i="1"/>
  <c r="AN154" i="1"/>
  <c r="AN339" i="1"/>
  <c r="AN340" i="1"/>
  <c r="AN491" i="1"/>
  <c r="AN123" i="1"/>
  <c r="AN18" i="1"/>
  <c r="AN241" i="1"/>
  <c r="AN366" i="1"/>
  <c r="AN341" i="1"/>
  <c r="AN300" i="1"/>
  <c r="AN56" i="1"/>
  <c r="AN91" i="1"/>
  <c r="AN186" i="1"/>
  <c r="AN422" i="1"/>
  <c r="AN461" i="1"/>
  <c r="AN342" i="1"/>
  <c r="AN19" i="1"/>
  <c r="AN492" i="1"/>
  <c r="AN92" i="1"/>
  <c r="AN57" i="1"/>
  <c r="AN211" i="1"/>
  <c r="AN124" i="1"/>
  <c r="AN343" i="1"/>
  <c r="AN242" i="1"/>
  <c r="AN344" i="1"/>
  <c r="AN301" i="1"/>
  <c r="AN212" i="1"/>
  <c r="AN125" i="1"/>
  <c r="AN126" i="1"/>
  <c r="AN394" i="1"/>
  <c r="AN345" i="1"/>
  <c r="AN127" i="1"/>
  <c r="AN493" i="1"/>
  <c r="AN462" i="1"/>
  <c r="AN302" i="1"/>
  <c r="AN463" i="1"/>
  <c r="AN395" i="1"/>
  <c r="AN93" i="1"/>
  <c r="AN367" i="1"/>
  <c r="AN155" i="1"/>
  <c r="AN58" i="1"/>
  <c r="AN303" i="1"/>
  <c r="AN213" i="1"/>
  <c r="AN20" i="1"/>
  <c r="AN243" i="1"/>
  <c r="AN423" i="1"/>
  <c r="AN94" i="1"/>
  <c r="AN244" i="1"/>
  <c r="AN21" i="1"/>
  <c r="AN22" i="1"/>
  <c r="AN424" i="1"/>
  <c r="AN494" i="1"/>
  <c r="AN276" i="1"/>
  <c r="AN368" i="1"/>
  <c r="AN156" i="1"/>
  <c r="AN157" i="1"/>
  <c r="AN304" i="1"/>
  <c r="AN425" i="1"/>
  <c r="AN495" i="1"/>
  <c r="AN23" i="1"/>
  <c r="AN24" i="1"/>
  <c r="AN245" i="1"/>
  <c r="AN95" i="1"/>
  <c r="AN246" i="1"/>
  <c r="AN369" i="1"/>
  <c r="AN25" i="1"/>
  <c r="AN247" i="1"/>
  <c r="AN26" i="1"/>
  <c r="AN214" i="1"/>
  <c r="AN59" i="1"/>
  <c r="AN187" i="1"/>
  <c r="AN426" i="1"/>
  <c r="AN277" i="1"/>
  <c r="AN464" i="1"/>
  <c r="AN215" i="1"/>
  <c r="AN188" i="1"/>
  <c r="AN396" i="1"/>
  <c r="AN248" i="1"/>
  <c r="AN249" i="1"/>
  <c r="AN278" i="1"/>
  <c r="AN27" i="1"/>
  <c r="AN370" i="1"/>
  <c r="AN279" i="1"/>
  <c r="AN96" i="1"/>
  <c r="AN60" i="1"/>
  <c r="AN61" i="1"/>
  <c r="AN305" i="1"/>
  <c r="AN216" i="1"/>
  <c r="AN250" i="1"/>
  <c r="AN251" i="1"/>
  <c r="AN496" i="1"/>
  <c r="AN252" i="1"/>
  <c r="AN497" i="1"/>
  <c r="AN217" i="1"/>
  <c r="AN218" i="1"/>
  <c r="AN97" i="1"/>
  <c r="AN306" i="1"/>
  <c r="AN253" i="1"/>
  <c r="AN307" i="1"/>
  <c r="AN465" i="1"/>
  <c r="AN427" i="1"/>
  <c r="AN428" i="1"/>
  <c r="AN62" i="1"/>
  <c r="AN498" i="1"/>
  <c r="AN397" i="1"/>
  <c r="AN63" i="1"/>
  <c r="AN28" i="1"/>
  <c r="AN128" i="1"/>
  <c r="AN29" i="1"/>
  <c r="AN189" i="1"/>
  <c r="AN129" i="1"/>
  <c r="AN308" i="1"/>
  <c r="AN280" i="1"/>
  <c r="AN499" i="1"/>
  <c r="AN281" i="1"/>
  <c r="AN466" i="1"/>
  <c r="AN190" i="1"/>
  <c r="AN467" i="1"/>
  <c r="AN398" i="1"/>
  <c r="AN158" i="1"/>
  <c r="AN282" i="1"/>
  <c r="AN191" i="1"/>
  <c r="AN192" i="1"/>
  <c r="AN500" i="1"/>
  <c r="AN130" i="1"/>
  <c r="AN219" i="1"/>
  <c r="AN283" i="1"/>
  <c r="AN131" i="1"/>
  <c r="AN309" i="1"/>
  <c r="AN220" i="1"/>
  <c r="AN30" i="1"/>
  <c r="AN429" i="1"/>
  <c r="AN132" i="1"/>
  <c r="AN159" i="1"/>
  <c r="AN31" i="1"/>
  <c r="AN193" i="1"/>
  <c r="AN501" i="1"/>
  <c r="AN254" i="1"/>
  <c r="AN64" i="1"/>
  <c r="AN371" i="1"/>
  <c r="AN32" i="1"/>
  <c r="AN468" i="1"/>
  <c r="AN502" i="1"/>
  <c r="AN346" i="1"/>
  <c r="AN347" i="1"/>
  <c r="AN65" i="1"/>
  <c r="AN66" i="1"/>
  <c r="AN255" i="1"/>
  <c r="AN372" i="1"/>
  <c r="AN469" i="1"/>
  <c r="AN430" i="1"/>
  <c r="AN221" i="1"/>
  <c r="AN133" i="1"/>
  <c r="AN310" i="1"/>
  <c r="AN470" i="1"/>
  <c r="AN67" i="1"/>
  <c r="AN348" i="1"/>
  <c r="AN284" i="1"/>
  <c r="AN256" i="1"/>
  <c r="AN471" i="1"/>
  <c r="AN33" i="1"/>
  <c r="AN98" i="1"/>
  <c r="AN472" i="1"/>
  <c r="AN160" i="1"/>
  <c r="AN68" i="1"/>
  <c r="AN431" i="1"/>
  <c r="AN161" i="1"/>
  <c r="AN349" i="1"/>
  <c r="AN432" i="1"/>
  <c r="AN69" i="1"/>
  <c r="AN194" i="1"/>
  <c r="AN257" i="1"/>
  <c r="AN285" i="1"/>
  <c r="AN34" i="1"/>
  <c r="AN162" i="1"/>
  <c r="AN99" i="1"/>
  <c r="AN311" i="1"/>
  <c r="AN134" i="1"/>
  <c r="AN195" i="1"/>
  <c r="AN135" i="1"/>
  <c r="AN312" i="1"/>
  <c r="AN196" i="1"/>
  <c r="AN313" i="1"/>
  <c r="AN70" i="1"/>
  <c r="AN35" i="1"/>
  <c r="AN136" i="1"/>
  <c r="AN473" i="1"/>
  <c r="AN503" i="1"/>
  <c r="AN474" i="1"/>
  <c r="AN163" i="1"/>
  <c r="AN314" i="1"/>
  <c r="AN433" i="1"/>
  <c r="AN399" i="1"/>
  <c r="AN373" i="1"/>
  <c r="AN100" i="1"/>
  <c r="AN101" i="1"/>
  <c r="AN137" i="1"/>
  <c r="AN315" i="1"/>
  <c r="AN258" i="1"/>
  <c r="AN71" i="1"/>
  <c r="AN259" i="1"/>
  <c r="AN475" i="1"/>
  <c r="AN504" i="1"/>
  <c r="AN400" i="1"/>
  <c r="AN36" i="1"/>
  <c r="AN316" i="1"/>
  <c r="AN197" i="1"/>
  <c r="AN222" i="1"/>
  <c r="AN37" i="1"/>
  <c r="AN102" i="1"/>
  <c r="AN350" i="1"/>
  <c r="AN401" i="1"/>
  <c r="AN260" i="1"/>
  <c r="AN317" i="1"/>
  <c r="AN351" i="1"/>
  <c r="AN223" i="1"/>
  <c r="AN476" i="1"/>
  <c r="AN374" i="1"/>
  <c r="AN224" i="1"/>
  <c r="AN103" i="1"/>
  <c r="AN477" i="1"/>
  <c r="AN286" i="1"/>
  <c r="AN164" i="1"/>
  <c r="AN138" i="1"/>
  <c r="AN434" i="1"/>
  <c r="AN478" i="1"/>
  <c r="AN505" i="1"/>
  <c r="AN352" i="1"/>
  <c r="AN287" i="1"/>
  <c r="AN435" i="1"/>
  <c r="AN165" i="1"/>
  <c r="AN375" i="1"/>
  <c r="AN72" i="1"/>
  <c r="AN436" i="1"/>
  <c r="AN145" i="1"/>
  <c r="AN294" i="1"/>
  <c r="AN266" i="1"/>
  <c r="AN210" i="1"/>
  <c r="AN517" i="1"/>
  <c r="AN274" i="1"/>
  <c r="AN122" i="1"/>
  <c r="AN88" i="1"/>
  <c r="AN87" i="1"/>
  <c r="AN121" i="1"/>
  <c r="AN391" i="1"/>
  <c r="AN337" i="1"/>
  <c r="AN53" i="1"/>
  <c r="AN363" i="1"/>
  <c r="AN120" i="1"/>
  <c r="AN487" i="1"/>
  <c r="AN180" i="1"/>
  <c r="AN271" i="1"/>
  <c r="AN456" i="1"/>
  <c r="AN50" i="1"/>
  <c r="AN84" i="1"/>
  <c r="AN516" i="1"/>
  <c r="AN104" i="1"/>
  <c r="AN437" i="1"/>
  <c r="AN438" i="1"/>
  <c r="AN73" i="1"/>
  <c r="AN107" i="1"/>
  <c r="AN479" i="1"/>
  <c r="AN108" i="1"/>
  <c r="AN38" i="1"/>
  <c r="AN226" i="1"/>
  <c r="AN320" i="1"/>
  <c r="AN440" i="1"/>
  <c r="AN480" i="1"/>
  <c r="AN376" i="1"/>
  <c r="AN288" i="1"/>
  <c r="AN289" i="1"/>
  <c r="AN109" i="1"/>
  <c r="AN441" i="1"/>
  <c r="AN110" i="1"/>
  <c r="AN455" i="1"/>
  <c r="AN236" i="1"/>
  <c r="AN178" i="1"/>
  <c r="AN356" i="1"/>
  <c r="AN111" i="1"/>
  <c r="AN442" i="1"/>
  <c r="AN454" i="1"/>
  <c r="AN235" i="1"/>
  <c r="AN405" i="1"/>
  <c r="AN49" i="1"/>
  <c r="AN406" i="1"/>
  <c r="AN357" i="1"/>
  <c r="AN290" i="1"/>
  <c r="AN47" i="1"/>
  <c r="AN291" i="1"/>
  <c r="AN507" i="1"/>
  <c r="AN119" i="1"/>
  <c r="AN200" i="1"/>
  <c r="AN76" i="1"/>
  <c r="AN83" i="1"/>
  <c r="AN322" i="1"/>
  <c r="AN175" i="1"/>
  <c r="AN298" i="1"/>
  <c r="AN149" i="1"/>
  <c r="AN169" i="1"/>
  <c r="AN324" i="1"/>
  <c r="AN486" i="1"/>
  <c r="AN508" i="1"/>
  <c r="AN417" i="1"/>
  <c r="AN514" i="1"/>
  <c r="AN389" i="1"/>
  <c r="AN228" i="1"/>
  <c r="AN444" i="1"/>
  <c r="AN325" i="1"/>
  <c r="AN445" i="1"/>
  <c r="AN414" i="1"/>
  <c r="AN481" i="1"/>
  <c r="AN482" i="1"/>
  <c r="AN358" i="1"/>
  <c r="AN264" i="1"/>
  <c r="AN388" i="1"/>
  <c r="AN361" i="1"/>
  <c r="AN413" i="1"/>
  <c r="AN360" i="1"/>
  <c r="AN292" i="1"/>
  <c r="AN144" i="1"/>
  <c r="AN512" i="1"/>
  <c r="AN510" i="1"/>
  <c r="AN334" i="1"/>
  <c r="AN113" i="1"/>
  <c r="AN328" i="1"/>
  <c r="AN446" i="1"/>
  <c r="AN380" i="1"/>
  <c r="AN81" i="1"/>
  <c r="AN114" i="1"/>
  <c r="AN233" i="1"/>
  <c r="AN409" i="1"/>
  <c r="AN381" i="1"/>
  <c r="AN173" i="1"/>
  <c r="AN117" i="1"/>
  <c r="AN148" i="1"/>
  <c r="AN384" i="1"/>
  <c r="AN80" i="1"/>
  <c r="AN115" i="1"/>
  <c r="AN295" i="1"/>
  <c r="AN171" i="1"/>
  <c r="AN449" i="1"/>
  <c r="AN207" i="1"/>
  <c r="AN410" i="1"/>
  <c r="AN206" i="1"/>
  <c r="AN447" i="1"/>
  <c r="AN484" i="1"/>
  <c r="AN359" i="1"/>
  <c r="AN204" i="1"/>
  <c r="AN205" i="1"/>
  <c r="AN488" i="1"/>
  <c r="AN232" i="1"/>
  <c r="AN79" i="1"/>
  <c r="AN489" i="1"/>
  <c r="AN382" i="1"/>
  <c r="AN166" i="1"/>
  <c r="AN139" i="1"/>
  <c r="AN74" i="1"/>
  <c r="AN267" i="1"/>
  <c r="AN332" i="1"/>
  <c r="AN106" i="1"/>
  <c r="AN383" i="1"/>
  <c r="AN198" i="1"/>
  <c r="AN412" i="1"/>
  <c r="AN293" i="1"/>
  <c r="AN411" i="1"/>
  <c r="AN419" i="1"/>
  <c r="AN231" i="1"/>
  <c r="AN225" i="1"/>
  <c r="AN105" i="1"/>
  <c r="AN147" i="1"/>
  <c r="AN353" i="1"/>
  <c r="AN261" i="1"/>
  <c r="AN181" i="1"/>
  <c r="AN364" i="1"/>
  <c r="AN485" i="1"/>
  <c r="AN333" i="1"/>
  <c r="AN385" i="1"/>
  <c r="AN354" i="1"/>
  <c r="AN209" i="1"/>
  <c r="AN89" i="1"/>
  <c r="AN329" i="1"/>
  <c r="AN78" i="1"/>
  <c r="AN402" i="1"/>
  <c r="AN265" i="1"/>
  <c r="AN118" i="1"/>
  <c r="AN202" i="1"/>
  <c r="AN268" i="1"/>
  <c r="AN387" i="1"/>
  <c r="AN378" i="1"/>
  <c r="AN237" i="1"/>
  <c r="AN509" i="1"/>
  <c r="AN513" i="1"/>
  <c r="AN143" i="1"/>
  <c r="AN41" i="1"/>
  <c r="AN451" i="1"/>
  <c r="AN86" i="1"/>
  <c r="AN262" i="1"/>
  <c r="AN483" i="1"/>
  <c r="AN297" i="1"/>
  <c r="AN174" i="1"/>
  <c r="AN326" i="1"/>
  <c r="AN229" i="1"/>
  <c r="AN44" i="1"/>
  <c r="AN273" i="1"/>
  <c r="AN269" i="1"/>
  <c r="AN415" i="1"/>
  <c r="AN416" i="1"/>
  <c r="AN452" i="1"/>
  <c r="AN52" i="1"/>
  <c r="AN234" i="1"/>
  <c r="AN323" i="1"/>
  <c r="AN318" i="1"/>
  <c r="AN319" i="1"/>
  <c r="AN408" i="1"/>
  <c r="AN407" i="1"/>
  <c r="AN77" i="1"/>
  <c r="AN140" i="1"/>
  <c r="AN176" i="1"/>
  <c r="AN46" i="1"/>
  <c r="AN453" i="1"/>
  <c r="AN39" i="1"/>
  <c r="AN168" i="1"/>
  <c r="AN506" i="1"/>
  <c r="AN443" i="1"/>
  <c r="AN199" i="1"/>
  <c r="AN515" i="1"/>
  <c r="AN48" i="1"/>
  <c r="AN150" i="1"/>
  <c r="AN85" i="1"/>
  <c r="AN272" i="1"/>
  <c r="AN335" i="1"/>
  <c r="AN321" i="1"/>
  <c r="AN167" i="1"/>
  <c r="AN177" i="1"/>
  <c r="AN403" i="1"/>
  <c r="AN141" i="1"/>
  <c r="AN404" i="1"/>
  <c r="AN75" i="1"/>
  <c r="AN116" i="1"/>
  <c r="AN179" i="1"/>
  <c r="AN43" i="1"/>
  <c r="AN51" i="1"/>
  <c r="AN40" i="1"/>
  <c r="AN227" i="1"/>
  <c r="AN151" i="1"/>
  <c r="AN457" i="1"/>
  <c r="AN392" i="1"/>
  <c r="AN355" i="1"/>
  <c r="AN336" i="1"/>
  <c r="AN263" i="1"/>
  <c r="AN362" i="1"/>
  <c r="AN208" i="1"/>
  <c r="AN112" i="1"/>
  <c r="AN377" i="1"/>
  <c r="AN45" i="1"/>
  <c r="AN142" i="1"/>
  <c r="AN270" i="1"/>
  <c r="AN390" i="1"/>
  <c r="AN82" i="1"/>
  <c r="AN327" i="1"/>
  <c r="AN201" i="1"/>
  <c r="AN296" i="1"/>
  <c r="AN379" i="1"/>
  <c r="AN439" i="1"/>
  <c r="AN330" i="1"/>
  <c r="AN386" i="1"/>
  <c r="AN511" i="1"/>
  <c r="AN450" i="1"/>
  <c r="AN230" i="1"/>
  <c r="AN170" i="1"/>
  <c r="AN172" i="1"/>
  <c r="AN448" i="1"/>
  <c r="AN42" i="1"/>
  <c r="AN203" i="1"/>
  <c r="AN146" i="1"/>
  <c r="AN331" i="1"/>
  <c r="AN418" i="1"/>
  <c r="J12" i="1"/>
  <c r="J13" i="1"/>
  <c r="AI251" i="1"/>
  <c r="Q12" i="1"/>
  <c r="AH458" i="1"/>
  <c r="AH488" i="1"/>
  <c r="AH122" i="1"/>
  <c r="AH391" i="1"/>
  <c r="AH273" i="1"/>
  <c r="AH51" i="1"/>
  <c r="AH418" i="1"/>
  <c r="AH336" i="1"/>
  <c r="AH453" i="1"/>
  <c r="AH270" i="1"/>
  <c r="AH486" i="1"/>
  <c r="AH414" i="1"/>
  <c r="AH334" i="1"/>
  <c r="AH173" i="1"/>
  <c r="AH147" i="1"/>
  <c r="AH116" i="1"/>
  <c r="AH204" i="1"/>
  <c r="AH115" i="1"/>
  <c r="AH78" i="1"/>
  <c r="AH510" i="1"/>
  <c r="AH264" i="1"/>
  <c r="AH325" i="1"/>
  <c r="AH408" i="1"/>
  <c r="AH443" i="1"/>
  <c r="AH167" i="1"/>
  <c r="AH109" i="1"/>
  <c r="AH321" i="1"/>
  <c r="AH262" i="1"/>
  <c r="AH354" i="1"/>
  <c r="AH225" i="1"/>
  <c r="AH352" i="1"/>
  <c r="AH374" i="1"/>
  <c r="AH197" i="1"/>
  <c r="AH258" i="1"/>
  <c r="AH474" i="1"/>
  <c r="AH195" i="1"/>
  <c r="AH69" i="1"/>
  <c r="AH471" i="1"/>
  <c r="AH469" i="1"/>
  <c r="AH254" i="1"/>
  <c r="AH309" i="1"/>
  <c r="AH158" i="1"/>
  <c r="AH129" i="1"/>
  <c r="AH428" i="1"/>
  <c r="AH252" i="1"/>
  <c r="AH279" i="1"/>
  <c r="AH277" i="1"/>
  <c r="AH245" i="1"/>
  <c r="AH424" i="1"/>
  <c r="AH58" i="1"/>
  <c r="AH461" i="1"/>
  <c r="AH364" i="1"/>
  <c r="AH274" i="1"/>
  <c r="AH87" i="1"/>
  <c r="AH337" i="1"/>
  <c r="AH85" i="1"/>
  <c r="AH50" i="1"/>
  <c r="AH455" i="1"/>
  <c r="AH49" i="1"/>
  <c r="AH46" i="1"/>
  <c r="AH149" i="1"/>
  <c r="AH389" i="1"/>
  <c r="AH297" i="1"/>
  <c r="AH512" i="1"/>
  <c r="AH333" i="1"/>
  <c r="AH295" i="1"/>
  <c r="AH383" i="1"/>
  <c r="AH145" i="1"/>
  <c r="AH42" i="1"/>
  <c r="AH511" i="1"/>
  <c r="AH509" i="1"/>
  <c r="AH482" i="1"/>
  <c r="AH508" i="1"/>
  <c r="AH200" i="1"/>
  <c r="AH357" i="1"/>
  <c r="AH110" i="1"/>
  <c r="AH141" i="1"/>
  <c r="AH39" i="1"/>
  <c r="AH439" i="1"/>
  <c r="AH105" i="1"/>
  <c r="AH287" i="1"/>
  <c r="AH103" i="1"/>
  <c r="AH350" i="1"/>
  <c r="AH259" i="1"/>
  <c r="AH433" i="1"/>
  <c r="AH70" i="1"/>
  <c r="AH162" i="1"/>
  <c r="AH68" i="1"/>
  <c r="AH67" i="1"/>
  <c r="AH66" i="1"/>
  <c r="AH64" i="1"/>
  <c r="AH131" i="1"/>
  <c r="AH467" i="1"/>
  <c r="AH128" i="1"/>
  <c r="AH253" i="1"/>
  <c r="AH216" i="1"/>
  <c r="AH27" i="1"/>
  <c r="AH59" i="1"/>
  <c r="AH495" i="1"/>
  <c r="AH21" i="1"/>
  <c r="AH93" i="1"/>
  <c r="AH422" i="1"/>
  <c r="AH392" i="1"/>
  <c r="AH419" i="1"/>
  <c r="AH517" i="1"/>
  <c r="AH363" i="1"/>
  <c r="AH487" i="1"/>
  <c r="AH456" i="1"/>
  <c r="AH178" i="1"/>
  <c r="AH150" i="1"/>
  <c r="AH176" i="1"/>
  <c r="AH452" i="1"/>
  <c r="AH44" i="1"/>
  <c r="AH360" i="1"/>
  <c r="AH81" i="1"/>
  <c r="AH172" i="1"/>
  <c r="AH359" i="1"/>
  <c r="AH294" i="1"/>
  <c r="AH411" i="1"/>
  <c r="AH409" i="1"/>
  <c r="AH328" i="1"/>
  <c r="AH41" i="1"/>
  <c r="AH445" i="1"/>
  <c r="AH77" i="1"/>
  <c r="AH290" i="1"/>
  <c r="AH227" i="1"/>
  <c r="AH288" i="1"/>
  <c r="AH319" i="1"/>
  <c r="AH107" i="1"/>
  <c r="AH104" i="1"/>
  <c r="AH505" i="1"/>
  <c r="AH476" i="1"/>
  <c r="AH222" i="1"/>
  <c r="AH315" i="1"/>
  <c r="AH503" i="1"/>
  <c r="AH134" i="1"/>
  <c r="AH349" i="1"/>
  <c r="AH33" i="1"/>
  <c r="AH430" i="1"/>
  <c r="AH346" i="1"/>
  <c r="AH132" i="1"/>
  <c r="AH191" i="1"/>
  <c r="AH280" i="1"/>
  <c r="AH498" i="1"/>
  <c r="AH497" i="1"/>
  <c r="AH278" i="1"/>
  <c r="AH214" i="1"/>
  <c r="AH24" i="1"/>
  <c r="AH494" i="1"/>
  <c r="AH395" i="1"/>
  <c r="AH92" i="1"/>
  <c r="AH183" i="1"/>
  <c r="AH210" i="1"/>
  <c r="AH88" i="1"/>
  <c r="AH457" i="1"/>
  <c r="AH120" i="1"/>
  <c r="AH271" i="1"/>
  <c r="AH516" i="1"/>
  <c r="AH177" i="1"/>
  <c r="AH208" i="1"/>
  <c r="AH175" i="1"/>
  <c r="AH269" i="1"/>
  <c r="AH513" i="1"/>
  <c r="AH268" i="1"/>
  <c r="AH117" i="1"/>
  <c r="AH448" i="1"/>
  <c r="AH266" i="1"/>
  <c r="AH293" i="1"/>
  <c r="AH381" i="1"/>
  <c r="AH202" i="1"/>
  <c r="AH201" i="1"/>
  <c r="AH228" i="1"/>
  <c r="AH76" i="1"/>
  <c r="AH406" i="1"/>
  <c r="AH404" i="1"/>
  <c r="AH480" i="1"/>
  <c r="AH140" i="1"/>
  <c r="AH198" i="1"/>
  <c r="AH72" i="1"/>
  <c r="AH478" i="1"/>
  <c r="AH223" i="1"/>
  <c r="AH316" i="1"/>
  <c r="AH101" i="1"/>
  <c r="AH313" i="1"/>
  <c r="AH285" i="1"/>
  <c r="AH472" i="1"/>
  <c r="AH133" i="1"/>
  <c r="AH502" i="1"/>
  <c r="AH159" i="1"/>
  <c r="AH500" i="1"/>
  <c r="AH499" i="1"/>
  <c r="AH427" i="1"/>
  <c r="AH496" i="1"/>
  <c r="AH96" i="1"/>
  <c r="AH464" i="1"/>
  <c r="AH246" i="1"/>
  <c r="AH368" i="1"/>
  <c r="AH367" i="1"/>
  <c r="AH492" i="1"/>
  <c r="AH54" i="1"/>
  <c r="AH362" i="1"/>
  <c r="AH298" i="1"/>
  <c r="AH416" i="1"/>
  <c r="AH361" i="1"/>
  <c r="AH385" i="1"/>
  <c r="AH80" i="1"/>
  <c r="AH43" i="1"/>
  <c r="AH332" i="1"/>
  <c r="AH447" i="1"/>
  <c r="AH446" i="1"/>
  <c r="AH292" i="1"/>
  <c r="AH326" i="1"/>
  <c r="AH323" i="1"/>
  <c r="AH377" i="1"/>
  <c r="AH356" i="1"/>
  <c r="AH376" i="1"/>
  <c r="AH318" i="1"/>
  <c r="AH73" i="1"/>
  <c r="AH139" i="1"/>
  <c r="AH138" i="1"/>
  <c r="AH317" i="1"/>
  <c r="AH400" i="1"/>
  <c r="AH399" i="1"/>
  <c r="AH312" i="1"/>
  <c r="AH432" i="1"/>
  <c r="AH256" i="1"/>
  <c r="AH372" i="1"/>
  <c r="AH501" i="1"/>
  <c r="AH283" i="1"/>
  <c r="AH190" i="1"/>
  <c r="AH397" i="1"/>
  <c r="AH97" i="1"/>
  <c r="AH61" i="1"/>
  <c r="AH188" i="1"/>
  <c r="AH25" i="1"/>
  <c r="AH157" i="1"/>
  <c r="AH423" i="1"/>
  <c r="AH213" i="1"/>
  <c r="AH493" i="1"/>
  <c r="AH126" i="1"/>
  <c r="AH344" i="1"/>
  <c r="AH124" i="1"/>
  <c r="AH91" i="1"/>
  <c r="AH241" i="1"/>
  <c r="AH491" i="1"/>
  <c r="AH90" i="1"/>
  <c r="AH239" i="1"/>
  <c r="AH181" i="1"/>
  <c r="AH119" i="1"/>
  <c r="AH234" i="1"/>
  <c r="AH451" i="1"/>
  <c r="AH233" i="1"/>
  <c r="AH171" i="1"/>
  <c r="AH267" i="1"/>
  <c r="AH205" i="1"/>
  <c r="AH410" i="1"/>
  <c r="AH330" i="1"/>
  <c r="AH144" i="1"/>
  <c r="AH229" i="1"/>
  <c r="AH142" i="1"/>
  <c r="AH199" i="1"/>
  <c r="AH75" i="1"/>
  <c r="AH355" i="1"/>
  <c r="AH226" i="1"/>
  <c r="AH106" i="1"/>
  <c r="AH166" i="1"/>
  <c r="AH434" i="1"/>
  <c r="AH351" i="1"/>
  <c r="AH36" i="1"/>
  <c r="AH100" i="1"/>
  <c r="AH136" i="1"/>
  <c r="AH34" i="1"/>
  <c r="AH160" i="1"/>
  <c r="AH470" i="1"/>
  <c r="AH347" i="1"/>
  <c r="AH31" i="1"/>
  <c r="AH130" i="1"/>
  <c r="AH281" i="1"/>
  <c r="AH28" i="1"/>
  <c r="AH306" i="1"/>
  <c r="AH305" i="1"/>
  <c r="AH396" i="1"/>
  <c r="AH26" i="1"/>
  <c r="AH425" i="1"/>
  <c r="AH244" i="1"/>
  <c r="AH20" i="1"/>
  <c r="AH462" i="1"/>
  <c r="AH394" i="1"/>
  <c r="AH301" i="1"/>
  <c r="AH211" i="1"/>
  <c r="AH56" i="1"/>
  <c r="AH366" i="1"/>
  <c r="AH123" i="1"/>
  <c r="AH339" i="1"/>
  <c r="AH275" i="1"/>
  <c r="AH55" i="1"/>
  <c r="AH460" i="1"/>
  <c r="AH185" i="1"/>
  <c r="AH420" i="1"/>
  <c r="AH209" i="1"/>
  <c r="AH454" i="1"/>
  <c r="AH48" i="1"/>
  <c r="AH83" i="1"/>
  <c r="AH417" i="1"/>
  <c r="AH388" i="1"/>
  <c r="AH485" i="1"/>
  <c r="AH449" i="1"/>
  <c r="AH232" i="1"/>
  <c r="AH231" i="1"/>
  <c r="AH380" i="1"/>
  <c r="AH113" i="1"/>
  <c r="AH358" i="1"/>
  <c r="AH169" i="1"/>
  <c r="AH291" i="1"/>
  <c r="AH442" i="1"/>
  <c r="AH40" i="1"/>
  <c r="AH403" i="1"/>
  <c r="AH38" i="1"/>
  <c r="AH438" i="1"/>
  <c r="AH436" i="1"/>
  <c r="AH286" i="1"/>
  <c r="AH37" i="1"/>
  <c r="AH137" i="1"/>
  <c r="AH473" i="1"/>
  <c r="AH311" i="1"/>
  <c r="AH161" i="1"/>
  <c r="AH310" i="1"/>
  <c r="AH65" i="1"/>
  <c r="AH193" i="1"/>
  <c r="AH219" i="1"/>
  <c r="AH466" i="1"/>
  <c r="AH63" i="1"/>
  <c r="AH218" i="1"/>
  <c r="AH60" i="1"/>
  <c r="AH215" i="1"/>
  <c r="AH369" i="1"/>
  <c r="AH156" i="1"/>
  <c r="AH243" i="1"/>
  <c r="AH302" i="1"/>
  <c r="AH345" i="1"/>
  <c r="AH212" i="1"/>
  <c r="AH343" i="1"/>
  <c r="AH300" i="1"/>
  <c r="AH238" i="1"/>
  <c r="AH489" i="1"/>
  <c r="AH47" i="1"/>
  <c r="AH415" i="1"/>
  <c r="AH413" i="1"/>
  <c r="AH386" i="1"/>
  <c r="AH384" i="1"/>
  <c r="AH412" i="1"/>
  <c r="AH146" i="1"/>
  <c r="AH203" i="1"/>
  <c r="AH114" i="1"/>
  <c r="AH265" i="1"/>
  <c r="AH483" i="1"/>
  <c r="AH324" i="1"/>
  <c r="AH507" i="1"/>
  <c r="AH405" i="1"/>
  <c r="AH441" i="1"/>
  <c r="AH440" i="1"/>
  <c r="AH108" i="1"/>
  <c r="AH437" i="1"/>
  <c r="AH165" i="1"/>
  <c r="AH224" i="1"/>
  <c r="AH102" i="1"/>
  <c r="AH71" i="1"/>
  <c r="AH163" i="1"/>
  <c r="AH135" i="1"/>
  <c r="AH194" i="1"/>
  <c r="AH284" i="1"/>
  <c r="AH32" i="1"/>
  <c r="AH30" i="1"/>
  <c r="AH282" i="1"/>
  <c r="AH189" i="1"/>
  <c r="AH307" i="1"/>
  <c r="AH250" i="1"/>
  <c r="AH248" i="1"/>
  <c r="AH247" i="1"/>
  <c r="AH304" i="1"/>
  <c r="AH94" i="1"/>
  <c r="AH303" i="1"/>
  <c r="AH127" i="1"/>
  <c r="AH125" i="1"/>
  <c r="AH242" i="1"/>
  <c r="AH57" i="1"/>
  <c r="AH186" i="1"/>
  <c r="AH341" i="1"/>
  <c r="AH18" i="1"/>
  <c r="AH340" i="1"/>
  <c r="AH154" i="1"/>
  <c r="AH490" i="1"/>
  <c r="AH421" i="1"/>
  <c r="AH393" i="1"/>
  <c r="AH338" i="1"/>
  <c r="AH240" i="1"/>
  <c r="AH365" i="1"/>
  <c r="AH459" i="1"/>
  <c r="AH184" i="1"/>
  <c r="AH153" i="1"/>
  <c r="AH182" i="1"/>
  <c r="AH89" i="1"/>
  <c r="AH86" i="1"/>
  <c r="AH52" i="1"/>
  <c r="AH272" i="1"/>
  <c r="AH84" i="1"/>
  <c r="AH236" i="1"/>
  <c r="AH235" i="1"/>
  <c r="AH45" i="1"/>
  <c r="AH390" i="1"/>
  <c r="AH82" i="1"/>
  <c r="AH387" i="1"/>
  <c r="AH450" i="1"/>
  <c r="AH207" i="1"/>
  <c r="AH79" i="1"/>
  <c r="AH484" i="1"/>
  <c r="AH230" i="1"/>
  <c r="AH379" i="1"/>
  <c r="AH143" i="1"/>
  <c r="AH481" i="1"/>
  <c r="AH322" i="1"/>
  <c r="AH168" i="1"/>
  <c r="AH263" i="1"/>
  <c r="AH74" i="1"/>
  <c r="AH506" i="1"/>
  <c r="AH402" i="1"/>
  <c r="AH353" i="1"/>
  <c r="AH435" i="1"/>
  <c r="AH477" i="1"/>
  <c r="AH401" i="1"/>
  <c r="AH475" i="1"/>
  <c r="AH314" i="1"/>
  <c r="AH196" i="1"/>
  <c r="AH257" i="1"/>
  <c r="AH98" i="1"/>
  <c r="AH221" i="1"/>
  <c r="AH468" i="1"/>
  <c r="AH429" i="1"/>
  <c r="AH192" i="1"/>
  <c r="AH308" i="1"/>
  <c r="AH62" i="1"/>
  <c r="AH217" i="1"/>
  <c r="AH249" i="1"/>
  <c r="AH187" i="1"/>
  <c r="AH23" i="1"/>
  <c r="AH22" i="1"/>
  <c r="AH463" i="1"/>
  <c r="AH19" i="1"/>
  <c r="AH299" i="1"/>
  <c r="AH237" i="1"/>
  <c r="AH121" i="1"/>
  <c r="AH53" i="1"/>
  <c r="AH151" i="1"/>
  <c r="AH180" i="1"/>
  <c r="AH179" i="1"/>
  <c r="AH335" i="1"/>
  <c r="AH515" i="1"/>
  <c r="AH514" i="1"/>
  <c r="AH174" i="1"/>
  <c r="AH296" i="1"/>
  <c r="AH118" i="1"/>
  <c r="AH148" i="1"/>
  <c r="AH206" i="1"/>
  <c r="AH382" i="1"/>
  <c r="AH331" i="1"/>
  <c r="AH170" i="1"/>
  <c r="AH329" i="1"/>
  <c r="AH378" i="1"/>
  <c r="AH327" i="1"/>
  <c r="AH444" i="1"/>
  <c r="AH407" i="1"/>
  <c r="AH112" i="1"/>
  <c r="AH111" i="1"/>
  <c r="AH289" i="1"/>
  <c r="AH320" i="1"/>
  <c r="AH479" i="1"/>
  <c r="AH261" i="1"/>
  <c r="AH375" i="1"/>
  <c r="AH164" i="1"/>
  <c r="AH260" i="1"/>
  <c r="AH504" i="1"/>
  <c r="AH373" i="1"/>
  <c r="AH35" i="1"/>
  <c r="AH99" i="1"/>
  <c r="AH431" i="1"/>
  <c r="AH348" i="1"/>
  <c r="AH255" i="1"/>
  <c r="AH371" i="1"/>
  <c r="AH220" i="1"/>
  <c r="AH398" i="1"/>
  <c r="AH29" i="1"/>
  <c r="AH465" i="1"/>
  <c r="AH251" i="1"/>
  <c r="AH370" i="1"/>
  <c r="AH426" i="1"/>
  <c r="AH95" i="1"/>
  <c r="AH276" i="1"/>
  <c r="AH155" i="1"/>
  <c r="AH342" i="1"/>
  <c r="AH152" i="1"/>
  <c r="J15" i="1" l="1"/>
  <c r="J14" i="1"/>
  <c r="AJ198" i="1"/>
  <c r="AJ63" i="1"/>
  <c r="AJ439" i="1"/>
  <c r="AJ479" i="1"/>
  <c r="AJ28" i="1"/>
  <c r="AJ262" i="1"/>
  <c r="AJ487" i="1"/>
  <c r="AJ226" i="1"/>
  <c r="AJ128" i="1"/>
  <c r="AJ319" i="1"/>
  <c r="AJ465" i="1"/>
  <c r="AJ39" i="1"/>
  <c r="AJ29" i="1"/>
  <c r="AJ320" i="1"/>
  <c r="AJ425" i="1"/>
  <c r="AJ321" i="1"/>
  <c r="AJ189" i="1"/>
  <c r="AJ355" i="1"/>
  <c r="AJ151" i="1"/>
  <c r="AJ376" i="1"/>
  <c r="AJ129" i="1"/>
  <c r="AJ141" i="1"/>
  <c r="AJ53" i="1"/>
  <c r="AJ289" i="1"/>
  <c r="AJ308" i="1"/>
  <c r="AJ441" i="1"/>
  <c r="AJ478" i="1"/>
  <c r="AJ161" i="1"/>
  <c r="AJ170" i="1"/>
  <c r="AJ220" i="1"/>
  <c r="AJ410" i="1"/>
  <c r="AJ432" i="1"/>
  <c r="AJ42" i="1"/>
  <c r="AJ276" i="1"/>
  <c r="AJ203" i="1"/>
  <c r="AJ194" i="1"/>
  <c r="AJ293" i="1"/>
  <c r="AJ429" i="1"/>
  <c r="AJ331" i="1"/>
  <c r="AJ309" i="1"/>
  <c r="AJ230" i="1"/>
  <c r="AJ349" i="1"/>
  <c r="AJ447" i="1"/>
  <c r="AJ246" i="1"/>
  <c r="AJ411" i="1"/>
  <c r="AJ257" i="1"/>
  <c r="AJ204" i="1"/>
  <c r="AJ132" i="1"/>
  <c r="AJ294" i="1"/>
  <c r="AJ99" i="1"/>
  <c r="AJ116" i="1"/>
  <c r="AJ498" i="1"/>
  <c r="AJ261" i="1"/>
  <c r="AJ179" i="1"/>
  <c r="AJ438" i="1"/>
  <c r="AJ397" i="1"/>
  <c r="AJ106" i="1"/>
  <c r="AJ304" i="1"/>
  <c r="AJ285" i="1"/>
  <c r="AJ205" i="1"/>
  <c r="AJ305" i="1"/>
  <c r="AJ145" i="1"/>
  <c r="AJ162" i="1"/>
  <c r="AJ146" i="1"/>
  <c r="AJ159" i="1"/>
  <c r="AJ382" i="1"/>
  <c r="AJ311" i="1"/>
  <c r="AJ79" i="1"/>
  <c r="AJ369" i="1"/>
  <c r="AJ267" i="1"/>
  <c r="AJ195" i="1"/>
  <c r="AJ383" i="1"/>
  <c r="AJ193" i="1"/>
  <c r="AJ412" i="1"/>
  <c r="AJ312" i="1"/>
  <c r="AJ206" i="1"/>
  <c r="AJ250" i="1"/>
  <c r="AJ306" i="1"/>
  <c r="AJ489" i="1"/>
  <c r="AJ505" i="1"/>
  <c r="AJ435" i="1"/>
  <c r="AJ394" i="1"/>
  <c r="AJ165" i="1"/>
  <c r="AJ127" i="1"/>
  <c r="AJ375" i="1"/>
  <c r="AJ462" i="1"/>
  <c r="AJ436" i="1"/>
  <c r="AJ463" i="1"/>
  <c r="AJ139" i="1"/>
  <c r="AJ93" i="1"/>
  <c r="AJ166" i="1"/>
  <c r="AJ155" i="1"/>
  <c r="AJ72" i="1"/>
  <c r="AJ148" i="1"/>
  <c r="AJ358" i="1"/>
  <c r="AJ136" i="1"/>
  <c r="AJ84" i="1"/>
  <c r="AJ111" i="1"/>
  <c r="AJ94" i="1"/>
  <c r="AJ231" i="1"/>
  <c r="AJ64" i="1"/>
  <c r="AJ417" i="1"/>
  <c r="AJ374" i="1"/>
  <c r="AJ336" i="1"/>
  <c r="AJ480" i="1"/>
  <c r="AJ287" i="1"/>
  <c r="AJ407" i="1"/>
  <c r="AJ20" i="1"/>
  <c r="AJ379" i="1"/>
  <c r="AJ69" i="1"/>
  <c r="AJ232" i="1"/>
  <c r="AJ496" i="1"/>
  <c r="AJ513" i="1"/>
  <c r="AJ475" i="1"/>
  <c r="AJ515" i="1"/>
  <c r="AJ470" i="1"/>
  <c r="AJ457" i="1"/>
  <c r="AJ236" i="1"/>
  <c r="AJ437" i="1"/>
  <c r="AJ140" i="1"/>
  <c r="AJ434" i="1"/>
  <c r="AJ40" i="1"/>
  <c r="AJ87" i="1"/>
  <c r="AJ112" i="1"/>
  <c r="AJ395" i="1"/>
  <c r="AJ228" i="1"/>
  <c r="AJ213" i="1"/>
  <c r="AJ509" i="1"/>
  <c r="AJ98" i="1"/>
  <c r="AJ409" i="1"/>
  <c r="AJ30" i="1"/>
  <c r="AJ332" i="1"/>
  <c r="AJ134" i="1"/>
  <c r="AJ147" i="1"/>
  <c r="AJ25" i="1"/>
  <c r="AJ385" i="1"/>
  <c r="AJ373" i="1"/>
  <c r="AJ44" i="1"/>
  <c r="AJ66" i="1"/>
  <c r="AJ270" i="1"/>
  <c r="AJ102" i="1"/>
  <c r="AJ335" i="1"/>
  <c r="AJ307" i="1"/>
  <c r="AJ51" i="1"/>
  <c r="AJ177" i="1"/>
  <c r="AJ237" i="1"/>
  <c r="AJ351" i="1"/>
  <c r="AJ225" i="1"/>
  <c r="AJ21" i="1"/>
  <c r="AJ73" i="1"/>
  <c r="AJ38" i="1"/>
  <c r="AJ164" i="1"/>
  <c r="AJ440" i="1"/>
  <c r="AJ273" i="1"/>
  <c r="AJ74" i="1"/>
  <c r="AJ22" i="1"/>
  <c r="AJ110" i="1"/>
  <c r="AJ427" i="1"/>
  <c r="AJ357" i="1"/>
  <c r="AJ493" i="1"/>
  <c r="AJ507" i="1"/>
  <c r="AJ364" i="1"/>
  <c r="AJ323" i="1"/>
  <c r="AJ424" i="1"/>
  <c r="AJ481" i="1"/>
  <c r="AJ392" i="1"/>
  <c r="AJ264" i="1"/>
  <c r="AJ130" i="1"/>
  <c r="AJ113" i="1"/>
  <c r="AJ283" i="1"/>
  <c r="AJ446" i="1"/>
  <c r="AJ431" i="1"/>
  <c r="AJ167" i="1"/>
  <c r="AJ391" i="1"/>
  <c r="AJ248" i="1"/>
  <c r="AJ274" i="1"/>
  <c r="AJ377" i="1"/>
  <c r="AJ76" i="1"/>
  <c r="AJ428" i="1"/>
  <c r="AJ278" i="1"/>
  <c r="AJ324" i="1"/>
  <c r="AJ325" i="1"/>
  <c r="AJ326" i="1"/>
  <c r="AJ58" i="1"/>
  <c r="AJ370" i="1"/>
  <c r="AJ143" i="1"/>
  <c r="AJ378" i="1"/>
  <c r="AJ471" i="1"/>
  <c r="AJ96" i="1"/>
  <c r="AJ329" i="1"/>
  <c r="AJ380" i="1"/>
  <c r="AJ115" i="1"/>
  <c r="AJ61" i="1"/>
  <c r="AJ484" i="1"/>
  <c r="AJ34" i="1"/>
  <c r="AJ266" i="1"/>
  <c r="AJ31" i="1"/>
  <c r="AJ359" i="1"/>
  <c r="AJ196" i="1"/>
  <c r="AJ295" i="1"/>
  <c r="AJ368" i="1"/>
  <c r="AJ485" i="1"/>
  <c r="AJ163" i="1"/>
  <c r="AJ334" i="1"/>
  <c r="AJ502" i="1"/>
  <c r="AJ388" i="1"/>
  <c r="AJ315" i="1"/>
  <c r="AJ415" i="1"/>
  <c r="AJ218" i="1"/>
  <c r="AJ234" i="1"/>
  <c r="AJ316" i="1"/>
  <c r="AJ119" i="1"/>
  <c r="AJ430" i="1"/>
  <c r="AJ208" i="1"/>
  <c r="AJ317" i="1"/>
  <c r="AJ455" i="1"/>
  <c r="AJ260" i="1"/>
  <c r="AJ271" i="1"/>
  <c r="AJ286" i="1"/>
  <c r="AJ52" i="1"/>
  <c r="AJ253" i="1"/>
  <c r="AJ121" i="1"/>
  <c r="AJ345" i="1"/>
  <c r="AJ209" i="1"/>
  <c r="AJ235" i="1"/>
  <c r="AJ303" i="1"/>
  <c r="AJ426" i="1"/>
  <c r="AJ353" i="1"/>
  <c r="AJ243" i="1"/>
  <c r="AJ354" i="1"/>
  <c r="AJ277" i="1"/>
  <c r="AJ107" i="1"/>
  <c r="AJ108" i="1"/>
  <c r="AJ464" i="1"/>
  <c r="AJ318" i="1"/>
  <c r="AJ85" i="1"/>
  <c r="AJ506" i="1"/>
  <c r="AJ215" i="1"/>
  <c r="AJ403" i="1"/>
  <c r="AJ284" i="1"/>
  <c r="AJ288" i="1"/>
  <c r="AJ188" i="1"/>
  <c r="AJ109" i="1"/>
  <c r="AJ337" i="1"/>
  <c r="AJ404" i="1"/>
  <c r="AJ396" i="1"/>
  <c r="AJ405" i="1"/>
  <c r="AJ199" i="1"/>
  <c r="AJ249" i="1"/>
  <c r="AJ142" i="1"/>
  <c r="AJ423" i="1"/>
  <c r="AJ27" i="1"/>
  <c r="AJ327" i="1"/>
  <c r="AJ279" i="1"/>
  <c r="AJ328" i="1"/>
  <c r="AJ160" i="1"/>
  <c r="AJ216" i="1"/>
  <c r="AJ43" i="1"/>
  <c r="AJ135" i="1"/>
  <c r="AJ448" i="1"/>
  <c r="AJ501" i="1"/>
  <c r="AJ449" i="1"/>
  <c r="AJ70" i="1"/>
  <c r="AJ80" i="1"/>
  <c r="AJ244" i="1"/>
  <c r="AJ173" i="1"/>
  <c r="AJ503" i="1"/>
  <c r="AJ333" i="1"/>
  <c r="AJ32" i="1"/>
  <c r="AJ118" i="1"/>
  <c r="AJ433" i="1"/>
  <c r="AJ512" i="1"/>
  <c r="AJ497" i="1"/>
  <c r="AJ413" i="1"/>
  <c r="AJ101" i="1"/>
  <c r="AJ297" i="1"/>
  <c r="AJ347" i="1"/>
  <c r="AJ82" i="1"/>
  <c r="AJ71" i="1"/>
  <c r="AJ389" i="1"/>
  <c r="AJ26" i="1"/>
  <c r="AJ486" i="1"/>
  <c r="AJ400" i="1"/>
  <c r="AJ298" i="1"/>
  <c r="AJ372" i="1"/>
  <c r="AJ45" i="1"/>
  <c r="AJ222" i="1"/>
  <c r="AJ453" i="1"/>
  <c r="AJ352" i="1"/>
  <c r="AJ150" i="1"/>
  <c r="AJ401" i="1"/>
  <c r="AJ454" i="1"/>
  <c r="AJ133" i="1"/>
  <c r="AJ178" i="1"/>
  <c r="AJ223" i="1"/>
  <c r="AJ516" i="1"/>
  <c r="AJ49" i="1"/>
  <c r="AJ456" i="1"/>
  <c r="AJ103" i="1"/>
  <c r="AJ272" i="1"/>
  <c r="AJ348" i="1"/>
  <c r="AJ120" i="1"/>
  <c r="AJ138" i="1"/>
  <c r="AJ363" i="1"/>
  <c r="AJ362" i="1"/>
  <c r="AJ86" i="1"/>
  <c r="AJ458" i="1"/>
  <c r="AJ88" i="1"/>
  <c r="AJ187" i="1"/>
  <c r="AJ517" i="1"/>
  <c r="AJ302" i="1"/>
  <c r="AJ210" i="1"/>
  <c r="AJ221" i="1"/>
  <c r="AJ310" i="1"/>
  <c r="AJ62" i="1"/>
  <c r="AJ104" i="1"/>
  <c r="AJ476" i="1"/>
  <c r="AJ105" i="1"/>
  <c r="AJ75" i="1"/>
  <c r="AJ280" i="1"/>
  <c r="AJ227" i="1"/>
  <c r="AJ495" i="1"/>
  <c r="AJ356" i="1"/>
  <c r="AJ499" i="1"/>
  <c r="AJ263" i="1"/>
  <c r="AJ419" i="1"/>
  <c r="AJ442" i="1"/>
  <c r="AJ281" i="1"/>
  <c r="AJ406" i="1"/>
  <c r="AJ122" i="1"/>
  <c r="AJ290" i="1"/>
  <c r="AJ466" i="1"/>
  <c r="AJ443" i="1"/>
  <c r="AJ157" i="1"/>
  <c r="AJ168" i="1"/>
  <c r="AJ190" i="1"/>
  <c r="AJ291" i="1"/>
  <c r="AJ23" i="1"/>
  <c r="AJ200" i="1"/>
  <c r="AJ467" i="1"/>
  <c r="AJ77" i="1"/>
  <c r="AJ89" i="1"/>
  <c r="AJ408" i="1"/>
  <c r="AJ398" i="1"/>
  <c r="AJ322" i="1"/>
  <c r="AJ488" i="1"/>
  <c r="AJ169" i="1"/>
  <c r="AJ158" i="1"/>
  <c r="AJ508" i="1"/>
  <c r="AJ181" i="1"/>
  <c r="AJ444" i="1"/>
  <c r="AJ282" i="1"/>
  <c r="AJ445" i="1"/>
  <c r="AJ24" i="1"/>
  <c r="AJ229" i="1"/>
  <c r="AJ191" i="1"/>
  <c r="AJ482" i="1"/>
  <c r="AJ367" i="1"/>
  <c r="AJ483" i="1"/>
  <c r="AJ192" i="1"/>
  <c r="AJ201" i="1"/>
  <c r="AJ494" i="1"/>
  <c r="AJ41" i="1"/>
  <c r="AJ500" i="1"/>
  <c r="AJ292" i="1"/>
  <c r="AJ245" i="1"/>
  <c r="AJ144" i="1"/>
  <c r="AJ256" i="1"/>
  <c r="AJ510" i="1"/>
  <c r="AJ219" i="1"/>
  <c r="AJ202" i="1"/>
  <c r="AJ33" i="1"/>
  <c r="AJ265" i="1"/>
  <c r="AJ95" i="1"/>
  <c r="AJ78" i="1"/>
  <c r="AJ472" i="1"/>
  <c r="AJ330" i="1"/>
  <c r="AJ131" i="1"/>
  <c r="AJ511" i="1"/>
  <c r="AJ68" i="1"/>
  <c r="AJ114" i="1"/>
  <c r="AJ60" i="1"/>
  <c r="AJ381" i="1"/>
  <c r="AJ207" i="1"/>
  <c r="AJ313" i="1"/>
  <c r="AJ171" i="1"/>
  <c r="AJ254" i="1"/>
  <c r="AJ172" i="1"/>
  <c r="AJ35" i="1"/>
  <c r="AJ384" i="1"/>
  <c r="AJ350" i="1"/>
  <c r="AJ117" i="1"/>
  <c r="AJ473" i="1"/>
  <c r="AJ450" i="1"/>
  <c r="AJ371" i="1"/>
  <c r="AJ233" i="1"/>
  <c r="AJ474" i="1"/>
  <c r="AJ81" i="1"/>
  <c r="AJ252" i="1"/>
  <c r="AJ386" i="1"/>
  <c r="AJ314" i="1"/>
  <c r="AJ268" i="1"/>
  <c r="AJ468" i="1"/>
  <c r="AJ387" i="1"/>
  <c r="AJ399" i="1"/>
  <c r="AJ296" i="1"/>
  <c r="AJ247" i="1"/>
  <c r="AJ360" i="1"/>
  <c r="AJ100" i="1"/>
  <c r="AJ361" i="1"/>
  <c r="AJ346" i="1"/>
  <c r="AJ451" i="1"/>
  <c r="AJ137" i="1"/>
  <c r="AJ174" i="1"/>
  <c r="AJ217" i="1"/>
  <c r="AJ414" i="1"/>
  <c r="AJ258" i="1"/>
  <c r="AJ269" i="1"/>
  <c r="AJ65" i="1"/>
  <c r="AJ416" i="1"/>
  <c r="AJ259" i="1"/>
  <c r="AJ514" i="1"/>
  <c r="AJ156" i="1"/>
  <c r="AJ452" i="1"/>
  <c r="AJ504" i="1"/>
  <c r="AJ390" i="1"/>
  <c r="AJ255" i="1"/>
  <c r="AJ149" i="1"/>
  <c r="AJ36" i="1"/>
  <c r="AJ175" i="1"/>
  <c r="AJ97" i="1"/>
  <c r="AJ83" i="1"/>
  <c r="AJ197" i="1"/>
  <c r="AJ176" i="1"/>
  <c r="AJ469" i="1"/>
  <c r="AJ46" i="1"/>
  <c r="AJ37" i="1"/>
  <c r="AJ47" i="1"/>
  <c r="AJ214" i="1"/>
  <c r="AJ48" i="1"/>
  <c r="AJ59" i="1"/>
  <c r="AJ50" i="1"/>
  <c r="AJ224" i="1"/>
  <c r="AJ418" i="1"/>
  <c r="AJ67" i="1"/>
  <c r="AJ180" i="1"/>
  <c r="AJ477" i="1"/>
  <c r="AJ402" i="1"/>
  <c r="AJ251" i="1"/>
  <c r="AJ182" i="1"/>
  <c r="AJ240" i="1"/>
  <c r="AJ55" i="1"/>
  <c r="AJ18" i="1"/>
  <c r="AJ300" i="1"/>
  <c r="AJ492" i="1"/>
  <c r="AJ242" i="1"/>
  <c r="AJ54" i="1"/>
  <c r="AJ340" i="1"/>
  <c r="AJ461" i="1"/>
  <c r="AJ301" i="1"/>
  <c r="AJ299" i="1"/>
  <c r="AJ339" i="1"/>
  <c r="AJ422" i="1"/>
  <c r="AJ126" i="1"/>
  <c r="AJ153" i="1"/>
  <c r="AJ154" i="1"/>
  <c r="AJ186" i="1"/>
  <c r="AJ125" i="1"/>
  <c r="AJ420" i="1"/>
  <c r="AJ365" i="1"/>
  <c r="AJ338" i="1"/>
  <c r="AJ421" i="1"/>
  <c r="AJ341" i="1"/>
  <c r="AJ19" i="1"/>
  <c r="AJ343" i="1"/>
  <c r="AJ184" i="1"/>
  <c r="AJ123" i="1"/>
  <c r="AJ92" i="1"/>
  <c r="AJ239" i="1"/>
  <c r="AJ490" i="1"/>
  <c r="AJ57" i="1"/>
  <c r="AJ183" i="1"/>
  <c r="AJ491" i="1"/>
  <c r="AJ342" i="1"/>
  <c r="AJ212" i="1"/>
  <c r="AJ238" i="1"/>
  <c r="AJ459" i="1"/>
  <c r="AJ90" i="1"/>
  <c r="AJ275" i="1"/>
  <c r="AJ366" i="1"/>
  <c r="AJ91" i="1"/>
  <c r="AJ124" i="1"/>
  <c r="AJ152" i="1"/>
  <c r="AJ185" i="1"/>
  <c r="AJ460" i="1"/>
  <c r="AJ393" i="1"/>
  <c r="AJ241" i="1"/>
  <c r="AJ56" i="1"/>
  <c r="AJ211" i="1"/>
  <c r="AJ344" i="1"/>
  <c r="AK204" i="1" l="1"/>
  <c r="AK132" i="1"/>
  <c r="AK198" i="1"/>
  <c r="AK63" i="1"/>
  <c r="AK439" i="1"/>
  <c r="AK479" i="1"/>
  <c r="AK28" i="1"/>
  <c r="AK262" i="1"/>
  <c r="AK487" i="1"/>
  <c r="AK226" i="1"/>
  <c r="AK128" i="1"/>
  <c r="AK319" i="1"/>
  <c r="AK465" i="1"/>
  <c r="AK39" i="1"/>
  <c r="AK29" i="1"/>
  <c r="AK320" i="1"/>
  <c r="AK425" i="1"/>
  <c r="AK321" i="1"/>
  <c r="AK189" i="1"/>
  <c r="AK355" i="1"/>
  <c r="AK151" i="1"/>
  <c r="AK376" i="1"/>
  <c r="AK129" i="1"/>
  <c r="AK141" i="1"/>
  <c r="AK53" i="1"/>
  <c r="AK289" i="1"/>
  <c r="AK308" i="1"/>
  <c r="AK441" i="1"/>
  <c r="AK478" i="1"/>
  <c r="AK161" i="1"/>
  <c r="AK170" i="1"/>
  <c r="AK220" i="1"/>
  <c r="AK410" i="1"/>
  <c r="AK432" i="1"/>
  <c r="AK42" i="1"/>
  <c r="AK276" i="1"/>
  <c r="AK203" i="1"/>
  <c r="AK194" i="1"/>
  <c r="AK293" i="1"/>
  <c r="AK429" i="1"/>
  <c r="AK331" i="1"/>
  <c r="AK309" i="1"/>
  <c r="AK230" i="1"/>
  <c r="AK116" i="1"/>
  <c r="AK498" i="1"/>
  <c r="AK261" i="1"/>
  <c r="AK179" i="1"/>
  <c r="AK438" i="1"/>
  <c r="AK397" i="1"/>
  <c r="AK106" i="1"/>
  <c r="AK304" i="1"/>
  <c r="AK285" i="1"/>
  <c r="AK205" i="1"/>
  <c r="AK305" i="1"/>
  <c r="AK145" i="1"/>
  <c r="AK162" i="1"/>
  <c r="AK146" i="1"/>
  <c r="AK159" i="1"/>
  <c r="AK382" i="1"/>
  <c r="AK311" i="1"/>
  <c r="AK79" i="1"/>
  <c r="AK369" i="1"/>
  <c r="AK267" i="1"/>
  <c r="AK195" i="1"/>
  <c r="AK383" i="1"/>
  <c r="AK193" i="1"/>
  <c r="AK412" i="1"/>
  <c r="AK312" i="1"/>
  <c r="AK206" i="1"/>
  <c r="AK250" i="1"/>
  <c r="AK306" i="1"/>
  <c r="AK489" i="1"/>
  <c r="AK505" i="1"/>
  <c r="AK435" i="1"/>
  <c r="AK394" i="1"/>
  <c r="AK165" i="1"/>
  <c r="AK127" i="1"/>
  <c r="AK375" i="1"/>
  <c r="AK462" i="1"/>
  <c r="AK436" i="1"/>
  <c r="AK463" i="1"/>
  <c r="AK139" i="1"/>
  <c r="AK93" i="1"/>
  <c r="AK166" i="1"/>
  <c r="AK155" i="1"/>
  <c r="AK72" i="1"/>
  <c r="AK148" i="1"/>
  <c r="AK358" i="1"/>
  <c r="AK136" i="1"/>
  <c r="AK84" i="1"/>
  <c r="AK111" i="1"/>
  <c r="AK94" i="1"/>
  <c r="AK231" i="1"/>
  <c r="AK58" i="1"/>
  <c r="AK143" i="1"/>
  <c r="AK96" i="1"/>
  <c r="AK115" i="1"/>
  <c r="AK484" i="1"/>
  <c r="AK31" i="1"/>
  <c r="AK196" i="1"/>
  <c r="AK223" i="1"/>
  <c r="AK456" i="1"/>
  <c r="AK398" i="1"/>
  <c r="AK158" i="1"/>
  <c r="AK460" i="1"/>
  <c r="AK447" i="1"/>
  <c r="AK99" i="1"/>
  <c r="AK64" i="1"/>
  <c r="AK417" i="1"/>
  <c r="AK374" i="1"/>
  <c r="AK336" i="1"/>
  <c r="AK480" i="1"/>
  <c r="AK287" i="1"/>
  <c r="AK407" i="1"/>
  <c r="AK20" i="1"/>
  <c r="AK379" i="1"/>
  <c r="AK69" i="1"/>
  <c r="AK232" i="1"/>
  <c r="AK496" i="1"/>
  <c r="AK513" i="1"/>
  <c r="AK475" i="1"/>
  <c r="AK515" i="1"/>
  <c r="AK470" i="1"/>
  <c r="AK457" i="1"/>
  <c r="AK236" i="1"/>
  <c r="AK437" i="1"/>
  <c r="AK140" i="1"/>
  <c r="AK434" i="1"/>
  <c r="AK40" i="1"/>
  <c r="AK87" i="1"/>
  <c r="AK112" i="1"/>
  <c r="AK395" i="1"/>
  <c r="AK228" i="1"/>
  <c r="AK213" i="1"/>
  <c r="AK509" i="1"/>
  <c r="AK98" i="1"/>
  <c r="AK409" i="1"/>
  <c r="AK30" i="1"/>
  <c r="AK332" i="1"/>
  <c r="AK134" i="1"/>
  <c r="AK147" i="1"/>
  <c r="AK25" i="1"/>
  <c r="AK385" i="1"/>
  <c r="AK373" i="1"/>
  <c r="AK44" i="1"/>
  <c r="AK66" i="1"/>
  <c r="AK270" i="1"/>
  <c r="AK102" i="1"/>
  <c r="AK335" i="1"/>
  <c r="AK307" i="1"/>
  <c r="AK51" i="1"/>
  <c r="AK177" i="1"/>
  <c r="AK237" i="1"/>
  <c r="AK351" i="1"/>
  <c r="AK225" i="1"/>
  <c r="AK21" i="1"/>
  <c r="AK73" i="1"/>
  <c r="AK370" i="1"/>
  <c r="AK471" i="1"/>
  <c r="AK329" i="1"/>
  <c r="AK61" i="1"/>
  <c r="AK34" i="1"/>
  <c r="AK359" i="1"/>
  <c r="AK454" i="1"/>
  <c r="AK516" i="1"/>
  <c r="AK77" i="1"/>
  <c r="AK488" i="1"/>
  <c r="AK124" i="1"/>
  <c r="AK246" i="1"/>
  <c r="AK38" i="1"/>
  <c r="AK164" i="1"/>
  <c r="AK440" i="1"/>
  <c r="AK273" i="1"/>
  <c r="AK74" i="1"/>
  <c r="AK22" i="1"/>
  <c r="AK110" i="1"/>
  <c r="AK427" i="1"/>
  <c r="AK357" i="1"/>
  <c r="AK493" i="1"/>
  <c r="AK507" i="1"/>
  <c r="AK364" i="1"/>
  <c r="AK323" i="1"/>
  <c r="AK424" i="1"/>
  <c r="AK481" i="1"/>
  <c r="AK392" i="1"/>
  <c r="AK264" i="1"/>
  <c r="AK130" i="1"/>
  <c r="AK113" i="1"/>
  <c r="AK283" i="1"/>
  <c r="AK446" i="1"/>
  <c r="AK431" i="1"/>
  <c r="AK167" i="1"/>
  <c r="AK391" i="1"/>
  <c r="AK248" i="1"/>
  <c r="AK274" i="1"/>
  <c r="AK377" i="1"/>
  <c r="AK76" i="1"/>
  <c r="AK428" i="1"/>
  <c r="AK278" i="1"/>
  <c r="AK324" i="1"/>
  <c r="AK325" i="1"/>
  <c r="AK326" i="1"/>
  <c r="AK378" i="1"/>
  <c r="AK380" i="1"/>
  <c r="AK266" i="1"/>
  <c r="AK295" i="1"/>
  <c r="AK103" i="1"/>
  <c r="AK322" i="1"/>
  <c r="AK393" i="1"/>
  <c r="AK368" i="1"/>
  <c r="AK485" i="1"/>
  <c r="AK163" i="1"/>
  <c r="AK334" i="1"/>
  <c r="AK502" i="1"/>
  <c r="AK388" i="1"/>
  <c r="AK315" i="1"/>
  <c r="AK415" i="1"/>
  <c r="AK218" i="1"/>
  <c r="AK234" i="1"/>
  <c r="AK316" i="1"/>
  <c r="AK119" i="1"/>
  <c r="AK430" i="1"/>
  <c r="AK208" i="1"/>
  <c r="AK317" i="1"/>
  <c r="AK455" i="1"/>
  <c r="AK260" i="1"/>
  <c r="AK271" i="1"/>
  <c r="AK286" i="1"/>
  <c r="AK52" i="1"/>
  <c r="AK253" i="1"/>
  <c r="AK121" i="1"/>
  <c r="AK345" i="1"/>
  <c r="AK209" i="1"/>
  <c r="AK235" i="1"/>
  <c r="AK303" i="1"/>
  <c r="AK426" i="1"/>
  <c r="AK353" i="1"/>
  <c r="AK243" i="1"/>
  <c r="AK354" i="1"/>
  <c r="AK277" i="1"/>
  <c r="AK107" i="1"/>
  <c r="AK108" i="1"/>
  <c r="AK464" i="1"/>
  <c r="AK318" i="1"/>
  <c r="AK85" i="1"/>
  <c r="AK506" i="1"/>
  <c r="AK215" i="1"/>
  <c r="AK403" i="1"/>
  <c r="AK284" i="1"/>
  <c r="AK288" i="1"/>
  <c r="AK188" i="1"/>
  <c r="AK109" i="1"/>
  <c r="AK337" i="1"/>
  <c r="AK404" i="1"/>
  <c r="AK396" i="1"/>
  <c r="AK405" i="1"/>
  <c r="AK199" i="1"/>
  <c r="AK249" i="1"/>
  <c r="AK142" i="1"/>
  <c r="AK298" i="1"/>
  <c r="AK372" i="1"/>
  <c r="AK222" i="1"/>
  <c r="AK352" i="1"/>
  <c r="AK401" i="1"/>
  <c r="AK178" i="1"/>
  <c r="AK49" i="1"/>
  <c r="AK408" i="1"/>
  <c r="AK169" i="1"/>
  <c r="AK152" i="1"/>
  <c r="AK349" i="1"/>
  <c r="AK294" i="1"/>
  <c r="AK423" i="1"/>
  <c r="AK27" i="1"/>
  <c r="AK327" i="1"/>
  <c r="AK279" i="1"/>
  <c r="AK328" i="1"/>
  <c r="AK160" i="1"/>
  <c r="AK216" i="1"/>
  <c r="AK43" i="1"/>
  <c r="AK135" i="1"/>
  <c r="AK448" i="1"/>
  <c r="AK501" i="1"/>
  <c r="AK449" i="1"/>
  <c r="AK70" i="1"/>
  <c r="AK80" i="1"/>
  <c r="AK244" i="1"/>
  <c r="AK173" i="1"/>
  <c r="AK503" i="1"/>
  <c r="AK333" i="1"/>
  <c r="AK32" i="1"/>
  <c r="AK118" i="1"/>
  <c r="AK433" i="1"/>
  <c r="AK512" i="1"/>
  <c r="AK497" i="1"/>
  <c r="AK413" i="1"/>
  <c r="AK101" i="1"/>
  <c r="AK297" i="1"/>
  <c r="AK347" i="1"/>
  <c r="AK82" i="1"/>
  <c r="AK71" i="1"/>
  <c r="AK389" i="1"/>
  <c r="AK26" i="1"/>
  <c r="AK486" i="1"/>
  <c r="AK400" i="1"/>
  <c r="AK45" i="1"/>
  <c r="AK453" i="1"/>
  <c r="AK150" i="1"/>
  <c r="AK133" i="1"/>
  <c r="AK272" i="1"/>
  <c r="AK181" i="1"/>
  <c r="AK344" i="1"/>
  <c r="AK348" i="1"/>
  <c r="AK120" i="1"/>
  <c r="AK138" i="1"/>
  <c r="AK363" i="1"/>
  <c r="AK362" i="1"/>
  <c r="AK86" i="1"/>
  <c r="AK458" i="1"/>
  <c r="AK88" i="1"/>
  <c r="AK187" i="1"/>
  <c r="AK517" i="1"/>
  <c r="AK302" i="1"/>
  <c r="AK210" i="1"/>
  <c r="AK221" i="1"/>
  <c r="AK310" i="1"/>
  <c r="AK62" i="1"/>
  <c r="AK104" i="1"/>
  <c r="AK476" i="1"/>
  <c r="AK105" i="1"/>
  <c r="AK75" i="1"/>
  <c r="AK280" i="1"/>
  <c r="AK227" i="1"/>
  <c r="AK495" i="1"/>
  <c r="AK356" i="1"/>
  <c r="AK499" i="1"/>
  <c r="AK263" i="1"/>
  <c r="AK419" i="1"/>
  <c r="AK442" i="1"/>
  <c r="AK281" i="1"/>
  <c r="AK406" i="1"/>
  <c r="AK122" i="1"/>
  <c r="AK290" i="1"/>
  <c r="AK466" i="1"/>
  <c r="AK443" i="1"/>
  <c r="AK157" i="1"/>
  <c r="AK168" i="1"/>
  <c r="AK190" i="1"/>
  <c r="AK291" i="1"/>
  <c r="AK23" i="1"/>
  <c r="AK200" i="1"/>
  <c r="AK467" i="1"/>
  <c r="AK89" i="1"/>
  <c r="AK508" i="1"/>
  <c r="AK56" i="1"/>
  <c r="AK444" i="1"/>
  <c r="AK282" i="1"/>
  <c r="AK445" i="1"/>
  <c r="AK24" i="1"/>
  <c r="AK229" i="1"/>
  <c r="AK191" i="1"/>
  <c r="AK482" i="1"/>
  <c r="AK367" i="1"/>
  <c r="AK483" i="1"/>
  <c r="AK192" i="1"/>
  <c r="AK201" i="1"/>
  <c r="AK494" i="1"/>
  <c r="AK41" i="1"/>
  <c r="AK500" i="1"/>
  <c r="AK292" i="1"/>
  <c r="AK245" i="1"/>
  <c r="AK144" i="1"/>
  <c r="AK256" i="1"/>
  <c r="AK510" i="1"/>
  <c r="AK219" i="1"/>
  <c r="AK202" i="1"/>
  <c r="AK33" i="1"/>
  <c r="AK265" i="1"/>
  <c r="AK95" i="1"/>
  <c r="AK78" i="1"/>
  <c r="AK472" i="1"/>
  <c r="AK330" i="1"/>
  <c r="AK131" i="1"/>
  <c r="AK511" i="1"/>
  <c r="AK68" i="1"/>
  <c r="AK114" i="1"/>
  <c r="AK60" i="1"/>
  <c r="AK381" i="1"/>
  <c r="AK207" i="1"/>
  <c r="AK313" i="1"/>
  <c r="AK171" i="1"/>
  <c r="AK254" i="1"/>
  <c r="AK172" i="1"/>
  <c r="AK35" i="1"/>
  <c r="AK384" i="1"/>
  <c r="AK350" i="1"/>
  <c r="AK117" i="1"/>
  <c r="AK473" i="1"/>
  <c r="AK450" i="1"/>
  <c r="AK371" i="1"/>
  <c r="AK233" i="1"/>
  <c r="AK474" i="1"/>
  <c r="AK81" i="1"/>
  <c r="AK252" i="1"/>
  <c r="AK386" i="1"/>
  <c r="AK469" i="1"/>
  <c r="AK37" i="1"/>
  <c r="AK47" i="1"/>
  <c r="AK48" i="1"/>
  <c r="AK50" i="1"/>
  <c r="AK224" i="1"/>
  <c r="AK67" i="1"/>
  <c r="AK477" i="1"/>
  <c r="AK402" i="1"/>
  <c r="AK182" i="1"/>
  <c r="AK211" i="1"/>
  <c r="AK257" i="1"/>
  <c r="AK314" i="1"/>
  <c r="AK268" i="1"/>
  <c r="AK468" i="1"/>
  <c r="AK387" i="1"/>
  <c r="AK399" i="1"/>
  <c r="AK296" i="1"/>
  <c r="AK247" i="1"/>
  <c r="AK360" i="1"/>
  <c r="AK100" i="1"/>
  <c r="AK361" i="1"/>
  <c r="AK346" i="1"/>
  <c r="AK451" i="1"/>
  <c r="AK137" i="1"/>
  <c r="AK174" i="1"/>
  <c r="AK217" i="1"/>
  <c r="AK414" i="1"/>
  <c r="AK258" i="1"/>
  <c r="AK269" i="1"/>
  <c r="AK65" i="1"/>
  <c r="AK416" i="1"/>
  <c r="AK259" i="1"/>
  <c r="AK514" i="1"/>
  <c r="AK156" i="1"/>
  <c r="AK452" i="1"/>
  <c r="AK504" i="1"/>
  <c r="AK390" i="1"/>
  <c r="AK255" i="1"/>
  <c r="AK149" i="1"/>
  <c r="AK36" i="1"/>
  <c r="AK175" i="1"/>
  <c r="AK97" i="1"/>
  <c r="AK83" i="1"/>
  <c r="AK197" i="1"/>
  <c r="AK176" i="1"/>
  <c r="AK46" i="1"/>
  <c r="AK214" i="1"/>
  <c r="AK59" i="1"/>
  <c r="AK418" i="1"/>
  <c r="AK180" i="1"/>
  <c r="AK251" i="1"/>
  <c r="AK241" i="1"/>
  <c r="AK240" i="1"/>
  <c r="AK55" i="1"/>
  <c r="AK18" i="1"/>
  <c r="AK300" i="1"/>
  <c r="AK492" i="1"/>
  <c r="AK242" i="1"/>
  <c r="AK54" i="1"/>
  <c r="AK340" i="1"/>
  <c r="AK461" i="1"/>
  <c r="AK301" i="1"/>
  <c r="AK299" i="1"/>
  <c r="AK339" i="1"/>
  <c r="AK422" i="1"/>
  <c r="AK126" i="1"/>
  <c r="AK153" i="1"/>
  <c r="AK154" i="1"/>
  <c r="AK186" i="1"/>
  <c r="AK125" i="1"/>
  <c r="AK420" i="1"/>
  <c r="AK365" i="1"/>
  <c r="AK338" i="1"/>
  <c r="AK421" i="1"/>
  <c r="AK341" i="1"/>
  <c r="AK19" i="1"/>
  <c r="AK343" i="1"/>
  <c r="AK184" i="1"/>
  <c r="AK123" i="1"/>
  <c r="AK92" i="1"/>
  <c r="AK239" i="1"/>
  <c r="AK490" i="1"/>
  <c r="AK57" i="1"/>
  <c r="AK183" i="1"/>
  <c r="AK491" i="1"/>
  <c r="AK342" i="1"/>
  <c r="AK212" i="1"/>
  <c r="AK238" i="1"/>
  <c r="AK459" i="1"/>
  <c r="AK90" i="1"/>
  <c r="AK275" i="1"/>
  <c r="AK366" i="1"/>
  <c r="AK91" i="1"/>
  <c r="AK185" i="1"/>
  <c r="AK41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<sst xmlns="http://schemas.openxmlformats.org/spreadsheetml/2006/main" count="8511" uniqueCount="1351">
  <si>
    <t>Major Component</t>
  </si>
  <si>
    <t>What It Means</t>
  </si>
  <si>
    <t>Key Metrics / Analysis Included</t>
  </si>
  <si>
    <t>Why It’s Important (Business Purpose)</t>
  </si>
  <si>
    <t>1️⃣ Portfolio Overview</t>
  </si>
  <si>
    <t>High-level snapshot of total portfolio size and health</t>
  </si>
  <si>
    <t>• Total Loan Amount
• Total Outstanding Amount
• Number of Loans
• Average Loan Size
• Overall Default Rate</t>
  </si>
  <si>
    <t>Gives executive summary view. Sets context before deeper analysis. Shows scale + overall health.</t>
  </si>
  <si>
    <t>2️⃣ Portfolio Composition</t>
  </si>
  <si>
    <t>How the portfolio is distributed across segments</t>
  </si>
  <si>
    <r>
      <rPr>
        <sz val="11"/>
        <color rgb="FF000000"/>
        <rFont val="Calibri"/>
        <scheme val="minor"/>
      </rPr>
      <t xml:space="preserve">• </t>
    </r>
    <r>
      <rPr>
        <b/>
        <sz val="11"/>
        <color rgb="FF000000"/>
        <rFont val="Calibri"/>
        <scheme val="minor"/>
      </rPr>
      <t xml:space="preserve">Outstanding by Region
• Outstanding by Channel
• Outstanding by Employment Type
</t>
    </r>
    <r>
      <rPr>
        <sz val="11"/>
        <color rgb="FF000000"/>
        <rFont val="Calibri"/>
        <scheme val="minor"/>
      </rPr>
      <t>• Outstanding by Term (term_month)
• Outstanding by Risk Band
• % Share of each segment</t>
    </r>
  </si>
  <si>
    <t>Identifies concentration risk. Shows where money is allocated. Helps in diversification strategy.</t>
  </si>
  <si>
    <t>3️⃣ Exposure &amp; Concentration Risk</t>
  </si>
  <si>
    <t>Financial risk exposure across segments</t>
  </si>
  <si>
    <t>• High exposure regions
• Risk band exposure mix
• Long-term vs Short-term exposure
• Large-ticket concentration</t>
  </si>
  <si>
    <t>Identifies where maximum financial loss could occur. Important for capital allocation and risk control.</t>
  </si>
  <si>
    <t>4️⃣ Asset Quality (Risk Performance)</t>
  </si>
  <si>
    <t>Credit performance and health of segments</t>
  </si>
  <si>
    <t>• Default Rate by Region
• Default Rate by Risk Band
• Default Rate by Employment
• Default Rate by Term
• Loan Status distribution</t>
  </si>
  <si>
    <t>Identifies weak segments. Supports underwriting improvement and pricing adjustments. Core credit risk analysis.</t>
  </si>
  <si>
    <t>5️⃣ Borrower Segmentation Analysis</t>
  </si>
  <si>
    <t>Behavioral analysis of customers</t>
  </si>
  <si>
    <t>• Prepayment patterns
• Ticket size vs default
• Employment stability vs default
• Risk band validation</t>
  </si>
  <si>
    <t>Helps refine target customer strategy. Supports risk-based pricing and acquisition decisions.</t>
  </si>
  <si>
    <t>6️⃣ Origination &amp; Growth Trend</t>
  </si>
  <si>
    <t>Time-based portfolio development</t>
  </si>
  <si>
    <t>• Loans originated by month/year
• Disbursed amount trend
• Growth rate
• Risk mix over time</t>
  </si>
  <si>
    <t>Detects aggressive growth phases. Identifies risk build-up periods. Useful for forecasting &amp; stress testing.</t>
  </si>
  <si>
    <t>1. Data Context</t>
  </si>
  <si>
    <t>DATASET OVERVIEW</t>
  </si>
  <si>
    <t>Dataset Grain: One row represents one loan.</t>
  </si>
  <si>
    <t>Primary Key: loan_id</t>
  </si>
  <si>
    <t>Time Period Covered: [Insert if known]</t>
  </si>
  <si>
    <t>Total Records: 500</t>
  </si>
  <si>
    <t>Total Variables: 25</t>
  </si>
  <si>
    <t>Business Context:</t>
  </si>
  <si>
    <t>Loan-level dataset used to assess portfolio exposure, credit risk, segmentation, pricing alignment, and delinquency behavior.</t>
  </si>
  <si>
    <t>2. Business Question</t>
  </si>
  <si>
    <t>Sl.No</t>
  </si>
  <si>
    <t>Business Question</t>
  </si>
  <si>
    <t>Category</t>
  </si>
  <si>
    <t>Metric / Output Needed</t>
  </si>
  <si>
    <t>Sheet to Solve</t>
  </si>
  <si>
    <t>Status</t>
  </si>
  <si>
    <t>Insight Summary</t>
  </si>
  <si>
    <t>What is the total loan book (gross exposure)?</t>
  </si>
  <si>
    <t>Exposure</t>
  </si>
  <si>
    <t>Sum(loan_amount)</t>
  </si>
  <si>
    <t>What is the total current outstanding balance?</t>
  </si>
  <si>
    <t>sum(current_balance)</t>
  </si>
  <si>
    <t>How is exposure distributed across product?</t>
  </si>
  <si>
    <t>Exposure by product</t>
  </si>
  <si>
    <t>Which region has highest exposure concentration?</t>
  </si>
  <si>
    <t>Exposure by region</t>
  </si>
  <si>
    <t>What percentage of portfolio is concentrated in top 2 products?</t>
  </si>
  <si>
    <t>Concentration risk</t>
  </si>
  <si>
    <t>% contribution</t>
  </si>
  <si>
    <t xml:space="preserve">What is the overall default rate? </t>
  </si>
  <si>
    <t>Credit risk</t>
  </si>
  <si>
    <t>Default count/ total loans</t>
  </si>
  <si>
    <t>What is default rate by region?</t>
  </si>
  <si>
    <t>Default rate by region</t>
  </si>
  <si>
    <t>What proportio of loans are 30+ DPD?</t>
  </si>
  <si>
    <t>Asset Quality</t>
  </si>
  <si>
    <t>PAR30</t>
  </si>
  <si>
    <t>What is exposure sitting in 30+ DPD bucket?</t>
  </si>
  <si>
    <t>Sum(balance where DPD &gt;= 30)</t>
  </si>
  <si>
    <t>What is loan status distribution</t>
  </si>
  <si>
    <t>Count by loan_status</t>
  </si>
  <si>
    <t xml:space="preserve">Does default increase across risk bands? </t>
  </si>
  <si>
    <t>Risk Stratification</t>
  </si>
  <si>
    <t>Default rate by risk_band</t>
  </si>
  <si>
    <t>Does higher DTI correlate with higher default?</t>
  </si>
  <si>
    <t>Affordability Risk</t>
  </si>
  <si>
    <t>Default rate by DTI band</t>
  </si>
  <si>
    <t>Does higher LTV increase delinquency?</t>
  </si>
  <si>
    <t>Collateral Risk</t>
  </si>
  <si>
    <t>Default rate by LTV band</t>
  </si>
  <si>
    <t>Does credit score predict delinquency?</t>
  </si>
  <si>
    <t>Borrower Risk</t>
  </si>
  <si>
    <t>Default rate by score band</t>
  </si>
  <si>
    <t>Which employment type has highest default?</t>
  </si>
  <si>
    <t>Borrower Segmentation</t>
  </si>
  <si>
    <t>Default rate by employment_type</t>
  </si>
  <si>
    <t>Is pricing aligned with risk band?</t>
  </si>
  <si>
    <t>Risk-Based Pricing</t>
  </si>
  <si>
    <t>Avg interest rate by risk_band</t>
  </si>
  <si>
    <t>Which product generates highest average yield?</t>
  </si>
  <si>
    <t>Yield Analysis</t>
  </si>
  <si>
    <t>Avg interest by product</t>
  </si>
  <si>
    <t>Are high-risk borrowers priced significantly higher/</t>
  </si>
  <si>
    <t>Pricing Efficiency</t>
  </si>
  <si>
    <t>Compare rate vs default</t>
  </si>
  <si>
    <t>How does delinquency vary by Months on Book?</t>
  </si>
  <si>
    <t>Lifecycle Risk</t>
  </si>
  <si>
    <t>Default by MOB</t>
  </si>
  <si>
    <t>What is monthly loan origination trend?</t>
  </si>
  <si>
    <t>Growth Analysis</t>
  </si>
  <si>
    <t>Sum(loan_amount by month)</t>
  </si>
  <si>
    <t>What is prepayment rate by channel?</t>
  </si>
  <si>
    <t>Behavioral risk</t>
  </si>
  <si>
    <t>Prepayment by channel</t>
  </si>
  <si>
    <t>Are recent vintages showing higher delinquency?</t>
  </si>
  <si>
    <t>Vintage Analysis</t>
  </si>
  <si>
    <t>Default by origination period</t>
  </si>
  <si>
    <t>loan_id</t>
  </si>
  <si>
    <t>customer_id</t>
  </si>
  <si>
    <t>origination_date</t>
  </si>
  <si>
    <t>product</t>
  </si>
  <si>
    <t>channel</t>
  </si>
  <si>
    <t>region</t>
  </si>
  <si>
    <t>employment_type</t>
  </si>
  <si>
    <t>term_months</t>
  </si>
  <si>
    <t>loan_amount</t>
  </si>
  <si>
    <t>interest_rate_pct</t>
  </si>
  <si>
    <t>emi</t>
  </si>
  <si>
    <t>annual_income</t>
  </si>
  <si>
    <t>credit_score</t>
  </si>
  <si>
    <t>risk_band</t>
  </si>
  <si>
    <t>dti_ratio</t>
  </si>
  <si>
    <t>ltv_ratio</t>
  </si>
  <si>
    <t>collateral_value</t>
  </si>
  <si>
    <t>months_on_book</t>
  </si>
  <si>
    <t>paid_amount_to_date</t>
  </si>
  <si>
    <t>current_balance</t>
  </si>
  <si>
    <t>dpd</t>
  </si>
  <si>
    <t>prepayment_flag</t>
  </si>
  <si>
    <t>default_flag</t>
  </si>
  <si>
    <t>loan_status</t>
  </si>
  <si>
    <t>L95839557</t>
  </si>
  <si>
    <t>C8428595</t>
  </si>
  <si>
    <t>Personal Loan</t>
  </si>
  <si>
    <t>Online</t>
  </si>
  <si>
    <t>South</t>
  </si>
  <si>
    <t>Salaried</t>
  </si>
  <si>
    <t>B</t>
  </si>
  <si>
    <t>Delinquent</t>
  </si>
  <si>
    <t>L20307706</t>
  </si>
  <si>
    <t>C4902567</t>
  </si>
  <si>
    <t>West</t>
  </si>
  <si>
    <t>C</t>
  </si>
  <si>
    <t>Closed</t>
  </si>
  <si>
    <t>L77801817</t>
  </si>
  <si>
    <t>C2772757</t>
  </si>
  <si>
    <t>Branch</t>
  </si>
  <si>
    <t>Central</t>
  </si>
  <si>
    <t>Contract</t>
  </si>
  <si>
    <t>D</t>
  </si>
  <si>
    <t>Active</t>
  </si>
  <si>
    <t>L91055951</t>
  </si>
  <si>
    <t>C9423458</t>
  </si>
  <si>
    <t>North</t>
  </si>
  <si>
    <t>Self-Employed</t>
  </si>
  <si>
    <t>Default</t>
  </si>
  <si>
    <t>L91498218</t>
  </si>
  <si>
    <t>C6141093</t>
  </si>
  <si>
    <t>L59912630</t>
  </si>
  <si>
    <t>C2039410</t>
  </si>
  <si>
    <t>SME Loan</t>
  </si>
  <si>
    <t>Partner</t>
  </si>
  <si>
    <t>A</t>
  </si>
  <si>
    <t>L84648575</t>
  </si>
  <si>
    <t>C7318019</t>
  </si>
  <si>
    <t>Auto Loan</t>
  </si>
  <si>
    <t>L80446170</t>
  </si>
  <si>
    <t>C3438704</t>
  </si>
  <si>
    <t>E</t>
  </si>
  <si>
    <t>L43371822</t>
  </si>
  <si>
    <t>C3793012</t>
  </si>
  <si>
    <t>Home Loan</t>
  </si>
  <si>
    <t>East</t>
  </si>
  <si>
    <t>L57769263</t>
  </si>
  <si>
    <t>C3845927</t>
  </si>
  <si>
    <t>L83261834</t>
  </si>
  <si>
    <t>C5529744</t>
  </si>
  <si>
    <t>L35610306</t>
  </si>
  <si>
    <t>C4980827</t>
  </si>
  <si>
    <t>Education Loan</t>
  </si>
  <si>
    <t>L62295502</t>
  </si>
  <si>
    <t>C6514082</t>
  </si>
  <si>
    <t>L56190391</t>
  </si>
  <si>
    <t>C4220749</t>
  </si>
  <si>
    <t>L20438281</t>
  </si>
  <si>
    <t>C7283087</t>
  </si>
  <si>
    <t>L35245775</t>
  </si>
  <si>
    <t>C1631811</t>
  </si>
  <si>
    <t>L75012341</t>
  </si>
  <si>
    <t>C6596846</t>
  </si>
  <si>
    <t>L49705126</t>
  </si>
  <si>
    <t>C6294321</t>
  </si>
  <si>
    <t>L25685067</t>
  </si>
  <si>
    <t>C7932278</t>
  </si>
  <si>
    <t>Unemployed</t>
  </si>
  <si>
    <t>L65120672</t>
  </si>
  <si>
    <t>C4387235</t>
  </si>
  <si>
    <t>L31488963</t>
  </si>
  <si>
    <t>C8043616</t>
  </si>
  <si>
    <t>L71424595</t>
  </si>
  <si>
    <t>C6650374</t>
  </si>
  <si>
    <t>L99071532</t>
  </si>
  <si>
    <t>C8022713</t>
  </si>
  <si>
    <t>L37780048</t>
  </si>
  <si>
    <t>C9085298</t>
  </si>
  <si>
    <t>L74751666</t>
  </si>
  <si>
    <t>C7574811</t>
  </si>
  <si>
    <t>L69657779</t>
  </si>
  <si>
    <t>C2072957</t>
  </si>
  <si>
    <t>L47720288</t>
  </si>
  <si>
    <t>C2958656</t>
  </si>
  <si>
    <t>L81542135</t>
  </si>
  <si>
    <t>C7171690</t>
  </si>
  <si>
    <t>L93972089</t>
  </si>
  <si>
    <t>C1324538</t>
  </si>
  <si>
    <t>Call Center</t>
  </si>
  <si>
    <t>L94093523</t>
  </si>
  <si>
    <t>C4340408</t>
  </si>
  <si>
    <t>L54924829</t>
  </si>
  <si>
    <t>C6532282</t>
  </si>
  <si>
    <t>L74572954</t>
  </si>
  <si>
    <t>C5278789</t>
  </si>
  <si>
    <t>L24814703</t>
  </si>
  <si>
    <t>C9820420</t>
  </si>
  <si>
    <t>L93232758</t>
  </si>
  <si>
    <t>C3742341</t>
  </si>
  <si>
    <t>L77394364</t>
  </si>
  <si>
    <t>C8561034</t>
  </si>
  <si>
    <t>L52441042</t>
  </si>
  <si>
    <t>C8718149</t>
  </si>
  <si>
    <t>L22630563</t>
  </si>
  <si>
    <t>C4679047</t>
  </si>
  <si>
    <t>L37929130</t>
  </si>
  <si>
    <t>C6546780</t>
  </si>
  <si>
    <t>L17735107</t>
  </si>
  <si>
    <t>C9951231</t>
  </si>
  <si>
    <t>L77206551</t>
  </si>
  <si>
    <t>C1899823</t>
  </si>
  <si>
    <t>L38861149</t>
  </si>
  <si>
    <t>C6991162</t>
  </si>
  <si>
    <t>L97225873</t>
  </si>
  <si>
    <t>C5283357</t>
  </si>
  <si>
    <t>L70156266</t>
  </si>
  <si>
    <t>C2486086</t>
  </si>
  <si>
    <t>L32546185</t>
  </si>
  <si>
    <t>C5923319</t>
  </si>
  <si>
    <t>L54606328</t>
  </si>
  <si>
    <t>C8207957</t>
  </si>
  <si>
    <t>L96425600</t>
  </si>
  <si>
    <t>C1840683</t>
  </si>
  <si>
    <t>L62888011</t>
  </si>
  <si>
    <t>C2583995</t>
  </si>
  <si>
    <t>L80628710</t>
  </si>
  <si>
    <t>C3030335</t>
  </si>
  <si>
    <t>L60008226</t>
  </si>
  <si>
    <t>C4465805</t>
  </si>
  <si>
    <t>L93990145</t>
  </si>
  <si>
    <t>C4084317</t>
  </si>
  <si>
    <t>L51568950</t>
  </si>
  <si>
    <t>C6227120</t>
  </si>
  <si>
    <t>L47533220</t>
  </si>
  <si>
    <t>C3234605</t>
  </si>
  <si>
    <t>L56697252</t>
  </si>
  <si>
    <t>C8378197</t>
  </si>
  <si>
    <t>L48888373</t>
  </si>
  <si>
    <t>C7644081</t>
  </si>
  <si>
    <t>L68673792</t>
  </si>
  <si>
    <t>C7630351</t>
  </si>
  <si>
    <t>L38837550</t>
  </si>
  <si>
    <t>C2972221</t>
  </si>
  <si>
    <t>L94313183</t>
  </si>
  <si>
    <t>C8660179</t>
  </si>
  <si>
    <t>L49907277</t>
  </si>
  <si>
    <t>C3562480</t>
  </si>
  <si>
    <t>L93408848</t>
  </si>
  <si>
    <t>C2294847</t>
  </si>
  <si>
    <t>L11254265</t>
  </si>
  <si>
    <t>C1825489</t>
  </si>
  <si>
    <t>L12259119</t>
  </si>
  <si>
    <t>C4765314</t>
  </si>
  <si>
    <t>L10662604</t>
  </si>
  <si>
    <t>C8434493</t>
  </si>
  <si>
    <t>L18475961</t>
  </si>
  <si>
    <t>C8349118</t>
  </si>
  <si>
    <t>L24514460</t>
  </si>
  <si>
    <t>C5709047</t>
  </si>
  <si>
    <t>L13942338</t>
  </si>
  <si>
    <t>C8660184</t>
  </si>
  <si>
    <t>L71533059</t>
  </si>
  <si>
    <t>C8156033</t>
  </si>
  <si>
    <t>L85671421</t>
  </si>
  <si>
    <t>C9743163</t>
  </si>
  <si>
    <t>L56860516</t>
  </si>
  <si>
    <t>C9714793</t>
  </si>
  <si>
    <t>L36423438</t>
  </si>
  <si>
    <t>C5977341</t>
  </si>
  <si>
    <t>L31948592</t>
  </si>
  <si>
    <t>C8532069</t>
  </si>
  <si>
    <t>L96689068</t>
  </si>
  <si>
    <t>C2783838</t>
  </si>
  <si>
    <t>L59221654</t>
  </si>
  <si>
    <t>C6920769</t>
  </si>
  <si>
    <t>L95760945</t>
  </si>
  <si>
    <t>C3600175</t>
  </si>
  <si>
    <t>L46826779</t>
  </si>
  <si>
    <t>C2821641</t>
  </si>
  <si>
    <t>L33928296</t>
  </si>
  <si>
    <t>C1070682</t>
  </si>
  <si>
    <t>L20235594</t>
  </si>
  <si>
    <t>C8274703</t>
  </si>
  <si>
    <t>L80341071</t>
  </si>
  <si>
    <t>C9237402</t>
  </si>
  <si>
    <t>L19696685</t>
  </si>
  <si>
    <t>C2228721</t>
  </si>
  <si>
    <t>L87273812</t>
  </si>
  <si>
    <t>C3129961</t>
  </si>
  <si>
    <t>L46574817</t>
  </si>
  <si>
    <t>C6377005</t>
  </si>
  <si>
    <t>L78849897</t>
  </si>
  <si>
    <t>C5545484</t>
  </si>
  <si>
    <t>L21795197</t>
  </si>
  <si>
    <t>C6843098</t>
  </si>
  <si>
    <t>L42563134</t>
  </si>
  <si>
    <t>C1810948</t>
  </si>
  <si>
    <t>L26134147</t>
  </si>
  <si>
    <t>C7389142</t>
  </si>
  <si>
    <t>L37085382</t>
  </si>
  <si>
    <t>C4636309</t>
  </si>
  <si>
    <t>L20700485</t>
  </si>
  <si>
    <t>C5737389</t>
  </si>
  <si>
    <t>L27052422</t>
  </si>
  <si>
    <t>C1443287</t>
  </si>
  <si>
    <t>L90410197</t>
  </si>
  <si>
    <t>C8615151</t>
  </si>
  <si>
    <t>L86806276</t>
  </si>
  <si>
    <t>C5144473</t>
  </si>
  <si>
    <t>L41274928</t>
  </si>
  <si>
    <t>C9539721</t>
  </si>
  <si>
    <t>L84681076</t>
  </si>
  <si>
    <t>C8689119</t>
  </si>
  <si>
    <t>L19530766</t>
  </si>
  <si>
    <t>C4706298</t>
  </si>
  <si>
    <t>L33621446</t>
  </si>
  <si>
    <t>C6670106</t>
  </si>
  <si>
    <t>L57383108</t>
  </si>
  <si>
    <t>C9632291</t>
  </si>
  <si>
    <t>L19771816</t>
  </si>
  <si>
    <t>C1397539</t>
  </si>
  <si>
    <t>L59050403</t>
  </si>
  <si>
    <t>C3658231</t>
  </si>
  <si>
    <t>L63724249</t>
  </si>
  <si>
    <t>C8070223</t>
  </si>
  <si>
    <t>L44291910</t>
  </si>
  <si>
    <t>C5006676</t>
  </si>
  <si>
    <t>L19306267</t>
  </si>
  <si>
    <t>C2151294</t>
  </si>
  <si>
    <t>L70993264</t>
  </si>
  <si>
    <t>C4449878</t>
  </si>
  <si>
    <t>L16087857</t>
  </si>
  <si>
    <t>C1477233</t>
  </si>
  <si>
    <t>L24461934</t>
  </si>
  <si>
    <t>C1467656</t>
  </si>
  <si>
    <t>L21481916</t>
  </si>
  <si>
    <t>C9381126</t>
  </si>
  <si>
    <t>L49502031</t>
  </si>
  <si>
    <t>C3838507</t>
  </si>
  <si>
    <t>L30669042</t>
  </si>
  <si>
    <t>C2651799</t>
  </si>
  <si>
    <t>L73023859</t>
  </si>
  <si>
    <t>C7204450</t>
  </si>
  <si>
    <t>L55031672</t>
  </si>
  <si>
    <t>C3868515</t>
  </si>
  <si>
    <t>L13122366</t>
  </si>
  <si>
    <t>C5818913</t>
  </si>
  <si>
    <t>L15743553</t>
  </si>
  <si>
    <t>C1190332</t>
  </si>
  <si>
    <t>L52004890</t>
  </si>
  <si>
    <t>C8875044</t>
  </si>
  <si>
    <t>L70401163</t>
  </si>
  <si>
    <t>C2097295</t>
  </si>
  <si>
    <t>L52039679</t>
  </si>
  <si>
    <t>C2066307</t>
  </si>
  <si>
    <t>L27979808</t>
  </si>
  <si>
    <t>C9514220</t>
  </si>
  <si>
    <t>L36999351</t>
  </si>
  <si>
    <t>C9425259</t>
  </si>
  <si>
    <t>L37895989</t>
  </si>
  <si>
    <t>C2287196</t>
  </si>
  <si>
    <t>L70989280</t>
  </si>
  <si>
    <t>C5127045</t>
  </si>
  <si>
    <t>L59822146</t>
  </si>
  <si>
    <t>C4905070</t>
  </si>
  <si>
    <t>L33502600</t>
  </si>
  <si>
    <t>C5703685</t>
  </si>
  <si>
    <t>L22620184</t>
  </si>
  <si>
    <t>C7862789</t>
  </si>
  <si>
    <t>L59191255</t>
  </si>
  <si>
    <t>C5828622</t>
  </si>
  <si>
    <t>L21863999</t>
  </si>
  <si>
    <t>C9820244</t>
  </si>
  <si>
    <t>L20620531</t>
  </si>
  <si>
    <t>C1451315</t>
  </si>
  <si>
    <t>L26940265</t>
  </si>
  <si>
    <t>C9425147</t>
  </si>
  <si>
    <t>L70501608</t>
  </si>
  <si>
    <t>C7160460</t>
  </si>
  <si>
    <t>L43676563</t>
  </si>
  <si>
    <t>C4245916</t>
  </si>
  <si>
    <t>L18675186</t>
  </si>
  <si>
    <t>C3121377</t>
  </si>
  <si>
    <t>L26332140</t>
  </si>
  <si>
    <t>C9284113</t>
  </si>
  <si>
    <t>L25766666</t>
  </si>
  <si>
    <t>C7567171</t>
  </si>
  <si>
    <t>L97580846</t>
  </si>
  <si>
    <t>C7217876</t>
  </si>
  <si>
    <t>L72763122</t>
  </si>
  <si>
    <t>C7714128</t>
  </si>
  <si>
    <t>L38542500</t>
  </si>
  <si>
    <t>C1131153</t>
  </si>
  <si>
    <t>L74386641</t>
  </si>
  <si>
    <t>C6202154</t>
  </si>
  <si>
    <t>L25909550</t>
  </si>
  <si>
    <t>C7559297</t>
  </si>
  <si>
    <t>L75099037</t>
  </si>
  <si>
    <t>C2380993</t>
  </si>
  <si>
    <t>L61455524</t>
  </si>
  <si>
    <t>C5900590</t>
  </si>
  <si>
    <t>L21530226</t>
  </si>
  <si>
    <t>C2315559</t>
  </si>
  <si>
    <t>L49565221</t>
  </si>
  <si>
    <t>C5300895</t>
  </si>
  <si>
    <t>L50541359</t>
  </si>
  <si>
    <t>C6196740</t>
  </si>
  <si>
    <t>L77374721</t>
  </si>
  <si>
    <t>C9713765</t>
  </si>
  <si>
    <t>L69572486</t>
  </si>
  <si>
    <t>C7896551</t>
  </si>
  <si>
    <t>L69696821</t>
  </si>
  <si>
    <t>C4002739</t>
  </si>
  <si>
    <t>L37536096</t>
  </si>
  <si>
    <t>C7491026</t>
  </si>
  <si>
    <t>L59967823</t>
  </si>
  <si>
    <t>C6498887</t>
  </si>
  <si>
    <t>L21137842</t>
  </si>
  <si>
    <t>C9465349</t>
  </si>
  <si>
    <t>L78863245</t>
  </si>
  <si>
    <t>C3216559</t>
  </si>
  <si>
    <t>L97362822</t>
  </si>
  <si>
    <t>C7126430</t>
  </si>
  <si>
    <t>L76322763</t>
  </si>
  <si>
    <t>C8193202</t>
  </si>
  <si>
    <t>L47616287</t>
  </si>
  <si>
    <t>C7253183</t>
  </si>
  <si>
    <t>L79178274</t>
  </si>
  <si>
    <t>C1215698</t>
  </si>
  <si>
    <t>L90250953</t>
  </si>
  <si>
    <t>C7022171</t>
  </si>
  <si>
    <t>L78390949</t>
  </si>
  <si>
    <t>C9859804</t>
  </si>
  <si>
    <t>L36182605</t>
  </si>
  <si>
    <t>C9184928</t>
  </si>
  <si>
    <t>L54459173</t>
  </si>
  <si>
    <t>C1776329</t>
  </si>
  <si>
    <t>L36527773</t>
  </si>
  <si>
    <t>C9879683</t>
  </si>
  <si>
    <t>L90827886</t>
  </si>
  <si>
    <t>C8218232</t>
  </si>
  <si>
    <t>L50442535</t>
  </si>
  <si>
    <t>C9281059</t>
  </si>
  <si>
    <t>L35780160</t>
  </si>
  <si>
    <t>C3502679</t>
  </si>
  <si>
    <t>L69453913</t>
  </si>
  <si>
    <t>C4941136</t>
  </si>
  <si>
    <t>L31280989</t>
  </si>
  <si>
    <t>C9073300</t>
  </si>
  <si>
    <t>L80745787</t>
  </si>
  <si>
    <t>C6349902</t>
  </si>
  <si>
    <t>L81713537</t>
  </si>
  <si>
    <t>C6831536</t>
  </si>
  <si>
    <t>L96960872</t>
  </si>
  <si>
    <t>C6294756</t>
  </si>
  <si>
    <t>L26429467</t>
  </si>
  <si>
    <t>C9310256</t>
  </si>
  <si>
    <t>L86107843</t>
  </si>
  <si>
    <t>C9350158</t>
  </si>
  <si>
    <t>L97464378</t>
  </si>
  <si>
    <t>C8957311</t>
  </si>
  <si>
    <t>L84800140</t>
  </si>
  <si>
    <t>C2737373</t>
  </si>
  <si>
    <t>L64255441</t>
  </si>
  <si>
    <t>C3671888</t>
  </si>
  <si>
    <t>L98446455</t>
  </si>
  <si>
    <t>C9247132</t>
  </si>
  <si>
    <t>L55451394</t>
  </si>
  <si>
    <t>C3593400</t>
  </si>
  <si>
    <t>L44873054</t>
  </si>
  <si>
    <t>C3886266</t>
  </si>
  <si>
    <t>L95295831</t>
  </si>
  <si>
    <t>C5039026</t>
  </si>
  <si>
    <t>L50233433</t>
  </si>
  <si>
    <t>C5314326</t>
  </si>
  <si>
    <t>L67947860</t>
  </si>
  <si>
    <t>C9288734</t>
  </si>
  <si>
    <t>L49032896</t>
  </si>
  <si>
    <t>C4704060</t>
  </si>
  <si>
    <t>L22713593</t>
  </si>
  <si>
    <t>C1260995</t>
  </si>
  <si>
    <t>L64279644</t>
  </si>
  <si>
    <t>C4882763</t>
  </si>
  <si>
    <t>L18183594</t>
  </si>
  <si>
    <t>C8208674</t>
  </si>
  <si>
    <t>L17278259</t>
  </si>
  <si>
    <t>C5154926</t>
  </si>
  <si>
    <t>L66849795</t>
  </si>
  <si>
    <t>C2571773</t>
  </si>
  <si>
    <t>L54348615</t>
  </si>
  <si>
    <t>C7041082</t>
  </si>
  <si>
    <t>L90380900</t>
  </si>
  <si>
    <t>C4542674</t>
  </si>
  <si>
    <t>L72709371</t>
  </si>
  <si>
    <t>C7531440</t>
  </si>
  <si>
    <t>L99313800</t>
  </si>
  <si>
    <t>C3203945</t>
  </si>
  <si>
    <t>L15247246</t>
  </si>
  <si>
    <t>C5403276</t>
  </si>
  <si>
    <t>L69938999</t>
  </si>
  <si>
    <t>C8912800</t>
  </si>
  <si>
    <t>L39324282</t>
  </si>
  <si>
    <t>C6783096</t>
  </si>
  <si>
    <t>L63182394</t>
  </si>
  <si>
    <t>C6867262</t>
  </si>
  <si>
    <t>L40202528</t>
  </si>
  <si>
    <t>C2816038</t>
  </si>
  <si>
    <t>L46767577</t>
  </si>
  <si>
    <t>C7932611</t>
  </si>
  <si>
    <t>L90171324</t>
  </si>
  <si>
    <t>C2082075</t>
  </si>
  <si>
    <t>L49045227</t>
  </si>
  <si>
    <t>C4984094</t>
  </si>
  <si>
    <t>L47422666</t>
  </si>
  <si>
    <t>C3817153</t>
  </si>
  <si>
    <t>L88074156</t>
  </si>
  <si>
    <t>C8977625</t>
  </si>
  <si>
    <t>L49088512</t>
  </si>
  <si>
    <t>C5794500</t>
  </si>
  <si>
    <t>L24937334</t>
  </si>
  <si>
    <t>C6414160</t>
  </si>
  <si>
    <t>L24959268</t>
  </si>
  <si>
    <t>C6343138</t>
  </si>
  <si>
    <t>L73464884</t>
  </si>
  <si>
    <t>C8503286</t>
  </si>
  <si>
    <t>L19552832</t>
  </si>
  <si>
    <t>C6529417</t>
  </si>
  <si>
    <t>L17127766</t>
  </si>
  <si>
    <t>C4307606</t>
  </si>
  <si>
    <t>L26263179</t>
  </si>
  <si>
    <t>C6453326</t>
  </si>
  <si>
    <t>L75726602</t>
  </si>
  <si>
    <t>C1957775</t>
  </si>
  <si>
    <t>L80087581</t>
  </si>
  <si>
    <t>C7113486</t>
  </si>
  <si>
    <t>L60328644</t>
  </si>
  <si>
    <t>C2646242</t>
  </si>
  <si>
    <t>L78956931</t>
  </si>
  <si>
    <t>C5018860</t>
  </si>
  <si>
    <t>L13353608</t>
  </si>
  <si>
    <t>C3398169</t>
  </si>
  <si>
    <t>L80550838</t>
  </si>
  <si>
    <t>C2590470</t>
  </si>
  <si>
    <t>L65967399</t>
  </si>
  <si>
    <t>C1325464</t>
  </si>
  <si>
    <t>L55094029</t>
  </si>
  <si>
    <t>C7510748</t>
  </si>
  <si>
    <t>L88710583</t>
  </si>
  <si>
    <t>C6503892</t>
  </si>
  <si>
    <t>L11990275</t>
  </si>
  <si>
    <t>C1361361</t>
  </si>
  <si>
    <t>L58802020</t>
  </si>
  <si>
    <t>C1110724</t>
  </si>
  <si>
    <t>L11616527</t>
  </si>
  <si>
    <t>C6327669</t>
  </si>
  <si>
    <t>L40504942</t>
  </si>
  <si>
    <t>C1855442</t>
  </si>
  <si>
    <t>L78266757</t>
  </si>
  <si>
    <t>C2874382</t>
  </si>
  <si>
    <t>L90654469</t>
  </si>
  <si>
    <t>C7644034</t>
  </si>
  <si>
    <t>L41907337</t>
  </si>
  <si>
    <t>C6320294</t>
  </si>
  <si>
    <t>L97237892</t>
  </si>
  <si>
    <t>C5887114</t>
  </si>
  <si>
    <t>L96372332</t>
  </si>
  <si>
    <t>C3280450</t>
  </si>
  <si>
    <t>L14030635</t>
  </si>
  <si>
    <t>C5583820</t>
  </si>
  <si>
    <t>L12044086</t>
  </si>
  <si>
    <t>C9572599</t>
  </si>
  <si>
    <t>L68486194</t>
  </si>
  <si>
    <t>C8157006</t>
  </si>
  <si>
    <t>L21365266</t>
  </si>
  <si>
    <t>C6696258</t>
  </si>
  <si>
    <t>L81010590</t>
  </si>
  <si>
    <t>C7875310</t>
  </si>
  <si>
    <t>L43629195</t>
  </si>
  <si>
    <t>C7276365</t>
  </si>
  <si>
    <t>L85577340</t>
  </si>
  <si>
    <t>C2730711</t>
  </si>
  <si>
    <t>L79481118</t>
  </si>
  <si>
    <t>C5105749</t>
  </si>
  <si>
    <t>L84486805</t>
  </si>
  <si>
    <t>C1498558</t>
  </si>
  <si>
    <t>L92441066</t>
  </si>
  <si>
    <t>C6609833</t>
  </si>
  <si>
    <t>L15846090</t>
  </si>
  <si>
    <t>C8654803</t>
  </si>
  <si>
    <t>L82428792</t>
  </si>
  <si>
    <t>C3158902</t>
  </si>
  <si>
    <t>L86957200</t>
  </si>
  <si>
    <t>C3093129</t>
  </si>
  <si>
    <t>L97806011</t>
  </si>
  <si>
    <t>C1947502</t>
  </si>
  <si>
    <t>L60871249</t>
  </si>
  <si>
    <t>C4044132</t>
  </si>
  <si>
    <t>L38412295</t>
  </si>
  <si>
    <t>C9973311</t>
  </si>
  <si>
    <t>L17599988</t>
  </si>
  <si>
    <t>C5789771</t>
  </si>
  <si>
    <t>L48329387</t>
  </si>
  <si>
    <t>C5614653</t>
  </si>
  <si>
    <t>L52398658</t>
  </si>
  <si>
    <t>C6437597</t>
  </si>
  <si>
    <t>L83950700</t>
  </si>
  <si>
    <t>C8637044</t>
  </si>
  <si>
    <t>L65317854</t>
  </si>
  <si>
    <t>C6851125</t>
  </si>
  <si>
    <t>L49304565</t>
  </si>
  <si>
    <t>C7037588</t>
  </si>
  <si>
    <t>L35949529</t>
  </si>
  <si>
    <t>C6214280</t>
  </si>
  <si>
    <t>L34889349</t>
  </si>
  <si>
    <t>C5328193</t>
  </si>
  <si>
    <t>L99822507</t>
  </si>
  <si>
    <t>C1039412</t>
  </si>
  <si>
    <t>L66678787</t>
  </si>
  <si>
    <t>C9323576</t>
  </si>
  <si>
    <t>L90272030</t>
  </si>
  <si>
    <t>C1141744</t>
  </si>
  <si>
    <t>L96570789</t>
  </si>
  <si>
    <t>C5684926</t>
  </si>
  <si>
    <t>L82683769</t>
  </si>
  <si>
    <t>C5088861</t>
  </si>
  <si>
    <t>L33036858</t>
  </si>
  <si>
    <t>C2406931</t>
  </si>
  <si>
    <t>L30937666</t>
  </si>
  <si>
    <t>C6871897</t>
  </si>
  <si>
    <t>L22950775</t>
  </si>
  <si>
    <t>C2558150</t>
  </si>
  <si>
    <t>L10585992</t>
  </si>
  <si>
    <t>C9542284</t>
  </si>
  <si>
    <t>L36688168</t>
  </si>
  <si>
    <t>C3290336</t>
  </si>
  <si>
    <t>L20698682</t>
  </si>
  <si>
    <t>C3555175</t>
  </si>
  <si>
    <t>L68911436</t>
  </si>
  <si>
    <t>C5779148</t>
  </si>
  <si>
    <t>L60804990</t>
  </si>
  <si>
    <t>C1915047</t>
  </si>
  <si>
    <t>L69788218</t>
  </si>
  <si>
    <t>C1316324</t>
  </si>
  <si>
    <t>L50534734</t>
  </si>
  <si>
    <t>C8421977</t>
  </si>
  <si>
    <t>L56355141</t>
  </si>
  <si>
    <t>C1049260</t>
  </si>
  <si>
    <t>L82440920</t>
  </si>
  <si>
    <t>C2210969</t>
  </si>
  <si>
    <t>L54937628</t>
  </si>
  <si>
    <t>C5130371</t>
  </si>
  <si>
    <t>L50154064</t>
  </si>
  <si>
    <t>C4660453</t>
  </si>
  <si>
    <t>L97763978</t>
  </si>
  <si>
    <t>C1813966</t>
  </si>
  <si>
    <t>L21692935</t>
  </si>
  <si>
    <t>C4362527</t>
  </si>
  <si>
    <t>L81715832</t>
  </si>
  <si>
    <t>C5824612</t>
  </si>
  <si>
    <t>L62129761</t>
  </si>
  <si>
    <t>C5393740</t>
  </si>
  <si>
    <t>L84048545</t>
  </si>
  <si>
    <t>C2489785</t>
  </si>
  <si>
    <t>L76508560</t>
  </si>
  <si>
    <t>C7297983</t>
  </si>
  <si>
    <t>L79105952</t>
  </si>
  <si>
    <t>C8592174</t>
  </si>
  <si>
    <t>L52813443</t>
  </si>
  <si>
    <t>C5713776</t>
  </si>
  <si>
    <t>L35913858</t>
  </si>
  <si>
    <t>C6307429</t>
  </si>
  <si>
    <t>L76903831</t>
  </si>
  <si>
    <t>C5437751</t>
  </si>
  <si>
    <t>L55753532</t>
  </si>
  <si>
    <t>C2164027</t>
  </si>
  <si>
    <t>L78227896</t>
  </si>
  <si>
    <t>C1480437</t>
  </si>
  <si>
    <t>L66725433</t>
  </si>
  <si>
    <t>C9382342</t>
  </si>
  <si>
    <t>L18032585</t>
  </si>
  <si>
    <t>C3466688</t>
  </si>
  <si>
    <t>L79439717</t>
  </si>
  <si>
    <t>C1855861</t>
  </si>
  <si>
    <t>L23638594</t>
  </si>
  <si>
    <t>C1515087</t>
  </si>
  <si>
    <t>L55066706</t>
  </si>
  <si>
    <t>C7386204</t>
  </si>
  <si>
    <t>L84335846</t>
  </si>
  <si>
    <t>C3317433</t>
  </si>
  <si>
    <t>L40081977</t>
  </si>
  <si>
    <t>C6549795</t>
  </si>
  <si>
    <t>L67134797</t>
  </si>
  <si>
    <t>C6906421</t>
  </si>
  <si>
    <t>L63643829</t>
  </si>
  <si>
    <t>C3853368</t>
  </si>
  <si>
    <t>L47131441</t>
  </si>
  <si>
    <t>C6634112</t>
  </si>
  <si>
    <t>L28246448</t>
  </si>
  <si>
    <t>C9195744</t>
  </si>
  <si>
    <t>L72668833</t>
  </si>
  <si>
    <t>C2524559</t>
  </si>
  <si>
    <t>L18104307</t>
  </si>
  <si>
    <t>C6725972</t>
  </si>
  <si>
    <t>L89910085</t>
  </si>
  <si>
    <t>C5862557</t>
  </si>
  <si>
    <t>L34908372</t>
  </si>
  <si>
    <t>C2753396</t>
  </si>
  <si>
    <t>L20964925</t>
  </si>
  <si>
    <t>C8056728</t>
  </si>
  <si>
    <t>L19822959</t>
  </si>
  <si>
    <t>C6091947</t>
  </si>
  <si>
    <t>L54801238</t>
  </si>
  <si>
    <t>C8133861</t>
  </si>
  <si>
    <t>L94488511</t>
  </si>
  <si>
    <t>C9991942</t>
  </si>
  <si>
    <t>L67308564</t>
  </si>
  <si>
    <t>C6782349</t>
  </si>
  <si>
    <t>L50232134</t>
  </si>
  <si>
    <t>C6396340</t>
  </si>
  <si>
    <t>L54163629</t>
  </si>
  <si>
    <t>C5303549</t>
  </si>
  <si>
    <t>L53799249</t>
  </si>
  <si>
    <t>C2104664</t>
  </si>
  <si>
    <t>L12871994</t>
  </si>
  <si>
    <t>C8319956</t>
  </si>
  <si>
    <t>L46919793</t>
  </si>
  <si>
    <t>C2124313</t>
  </si>
  <si>
    <t>L36087023</t>
  </si>
  <si>
    <t>C5766973</t>
  </si>
  <si>
    <t>L76217713</t>
  </si>
  <si>
    <t>C8934691</t>
  </si>
  <si>
    <t>L59863252</t>
  </si>
  <si>
    <t>C4518338</t>
  </si>
  <si>
    <t>L57984114</t>
  </si>
  <si>
    <t>C8213336</t>
  </si>
  <si>
    <t>L25353367</t>
  </si>
  <si>
    <t>C9541595</t>
  </si>
  <si>
    <t>L37136088</t>
  </si>
  <si>
    <t>C9969938</t>
  </si>
  <si>
    <t>L30421841</t>
  </si>
  <si>
    <t>C9041928</t>
  </si>
  <si>
    <t>L85752268</t>
  </si>
  <si>
    <t>C9816136</t>
  </si>
  <si>
    <t>L42731042</t>
  </si>
  <si>
    <t>C3717346</t>
  </si>
  <si>
    <t>L11605310</t>
  </si>
  <si>
    <t>C6152121</t>
  </si>
  <si>
    <t>L35324550</t>
  </si>
  <si>
    <t>C2821208</t>
  </si>
  <si>
    <t>L53972564</t>
  </si>
  <si>
    <t>C5267518</t>
  </si>
  <si>
    <t>L61055399</t>
  </si>
  <si>
    <t>C2421305</t>
  </si>
  <si>
    <t>L34027809</t>
  </si>
  <si>
    <t>C7503268</t>
  </si>
  <si>
    <t>L67124648</t>
  </si>
  <si>
    <t>C7632501</t>
  </si>
  <si>
    <t>L26151084</t>
  </si>
  <si>
    <t>C2330050</t>
  </si>
  <si>
    <t>L38909415</t>
  </si>
  <si>
    <t>C8746471</t>
  </si>
  <si>
    <t>L43383005</t>
  </si>
  <si>
    <t>C5079630</t>
  </si>
  <si>
    <t>L42997839</t>
  </si>
  <si>
    <t>C3130703</t>
  </si>
  <si>
    <t>L60132893</t>
  </si>
  <si>
    <t>C1652203</t>
  </si>
  <si>
    <t>L51670702</t>
  </si>
  <si>
    <t>C6284350</t>
  </si>
  <si>
    <t>L28212702</t>
  </si>
  <si>
    <t>C8073602</t>
  </si>
  <si>
    <t>L31054553</t>
  </si>
  <si>
    <t>C9644437</t>
  </si>
  <si>
    <t>L23886054</t>
  </si>
  <si>
    <t>C1391275</t>
  </si>
  <si>
    <t>L62300494</t>
  </si>
  <si>
    <t>C2306172</t>
  </si>
  <si>
    <t>L99224452</t>
  </si>
  <si>
    <t>C1464921</t>
  </si>
  <si>
    <t>L93480629</t>
  </si>
  <si>
    <t>C2335950</t>
  </si>
  <si>
    <t>L38112997</t>
  </si>
  <si>
    <t>C8534179</t>
  </si>
  <si>
    <t>L58854438</t>
  </si>
  <si>
    <t>C8031646</t>
  </si>
  <si>
    <t>L72973642</t>
  </si>
  <si>
    <t>C2164061</t>
  </si>
  <si>
    <t>L13367130</t>
  </si>
  <si>
    <t>C8770992</t>
  </si>
  <si>
    <t>L82742632</t>
  </si>
  <si>
    <t>C8275147</t>
  </si>
  <si>
    <t>L23634847</t>
  </si>
  <si>
    <t>C7459842</t>
  </si>
  <si>
    <t>L43341373</t>
  </si>
  <si>
    <t>C9539567</t>
  </si>
  <si>
    <t>L53407309</t>
  </si>
  <si>
    <t>C4814233</t>
  </si>
  <si>
    <t>L23708089</t>
  </si>
  <si>
    <t>C9639446</t>
  </si>
  <si>
    <t>L87788294</t>
  </si>
  <si>
    <t>C5871339</t>
  </si>
  <si>
    <t>L27679119</t>
  </si>
  <si>
    <t>C1490502</t>
  </si>
  <si>
    <t>L61714056</t>
  </si>
  <si>
    <t>C4297532</t>
  </si>
  <si>
    <t>L91234215</t>
  </si>
  <si>
    <t>C2252218</t>
  </si>
  <si>
    <t>L82392482</t>
  </si>
  <si>
    <t>C4765600</t>
  </si>
  <si>
    <t>L16112800</t>
  </si>
  <si>
    <t>C5643959</t>
  </si>
  <si>
    <t>L30719259</t>
  </si>
  <si>
    <t>C7126552</t>
  </si>
  <si>
    <t>L86480010</t>
  </si>
  <si>
    <t>C5126932</t>
  </si>
  <si>
    <t>L39687509</t>
  </si>
  <si>
    <t>C5995118</t>
  </si>
  <si>
    <t>L73362885</t>
  </si>
  <si>
    <t>C2077602</t>
  </si>
  <si>
    <t>L46976531</t>
  </si>
  <si>
    <t>C3244488</t>
  </si>
  <si>
    <t>L84366273</t>
  </si>
  <si>
    <t>C5639990</t>
  </si>
  <si>
    <t>L60883599</t>
  </si>
  <si>
    <t>C3947460</t>
  </si>
  <si>
    <t>L94424625</t>
  </si>
  <si>
    <t>C2236671</t>
  </si>
  <si>
    <t>L27991738</t>
  </si>
  <si>
    <t>C7651386</t>
  </si>
  <si>
    <t>L45782037</t>
  </si>
  <si>
    <t>C5575174</t>
  </si>
  <si>
    <t>L69836577</t>
  </si>
  <si>
    <t>C9702851</t>
  </si>
  <si>
    <t>L10892457</t>
  </si>
  <si>
    <t>C9265977</t>
  </si>
  <si>
    <t>L12052348</t>
  </si>
  <si>
    <t>C1044015</t>
  </si>
  <si>
    <t>L97075875</t>
  </si>
  <si>
    <t>C3052628</t>
  </si>
  <si>
    <t>L35311040</t>
  </si>
  <si>
    <t>C8001898</t>
  </si>
  <si>
    <t>L31687351</t>
  </si>
  <si>
    <t>C2396916</t>
  </si>
  <si>
    <t>L51167573</t>
  </si>
  <si>
    <t>C6084555</t>
  </si>
  <si>
    <t>L79656044</t>
  </si>
  <si>
    <t>C5085071</t>
  </si>
  <si>
    <t>L41218282</t>
  </si>
  <si>
    <t>C2259353</t>
  </si>
  <si>
    <t>L81413491</t>
  </si>
  <si>
    <t>C5976937</t>
  </si>
  <si>
    <t>L40086229</t>
  </si>
  <si>
    <t>C2188925</t>
  </si>
  <si>
    <t>L18292232</t>
  </si>
  <si>
    <t>C5100921</t>
  </si>
  <si>
    <t>L92588691</t>
  </si>
  <si>
    <t>C8239526</t>
  </si>
  <si>
    <t>L39841209</t>
  </si>
  <si>
    <t>C4881714</t>
  </si>
  <si>
    <t>L94404380</t>
  </si>
  <si>
    <t>C1291407</t>
  </si>
  <si>
    <t>L23795588</t>
  </si>
  <si>
    <t>C3436828</t>
  </si>
  <si>
    <t>L70283259</t>
  </si>
  <si>
    <t>C1839889</t>
  </si>
  <si>
    <t>L21899503</t>
  </si>
  <si>
    <t>C9223443</t>
  </si>
  <si>
    <t>L82371207</t>
  </si>
  <si>
    <t>C3712083</t>
  </si>
  <si>
    <t>L29312620</t>
  </si>
  <si>
    <t>C8687715</t>
  </si>
  <si>
    <t>L36891816</t>
  </si>
  <si>
    <t>C3146975</t>
  </si>
  <si>
    <t>L80232788</t>
  </si>
  <si>
    <t>C5628005</t>
  </si>
  <si>
    <t>L38236380</t>
  </si>
  <si>
    <t>C9760652</t>
  </si>
  <si>
    <t>L93475212</t>
  </si>
  <si>
    <t>C8854223</t>
  </si>
  <si>
    <t>L76449298</t>
  </si>
  <si>
    <t>C3688041</t>
  </si>
  <si>
    <t>L12237354</t>
  </si>
  <si>
    <t>C4851128</t>
  </si>
  <si>
    <t>L96635338</t>
  </si>
  <si>
    <t>C6024854</t>
  </si>
  <si>
    <t>L13745275</t>
  </si>
  <si>
    <t>C9651679</t>
  </si>
  <si>
    <t>L49158735</t>
  </si>
  <si>
    <t>C3590196</t>
  </si>
  <si>
    <t>L24491704</t>
  </si>
  <si>
    <t>C7174867</t>
  </si>
  <si>
    <t>L51302419</t>
  </si>
  <si>
    <t>C7175489</t>
  </si>
  <si>
    <t>L28132258</t>
  </si>
  <si>
    <t>C8567707</t>
  </si>
  <si>
    <t>L30107615</t>
  </si>
  <si>
    <t>C7948975</t>
  </si>
  <si>
    <t>L52614046</t>
  </si>
  <si>
    <t>C1861097</t>
  </si>
  <si>
    <t>L23007176</t>
  </si>
  <si>
    <t>C7637422</t>
  </si>
  <si>
    <t>L93260810</t>
  </si>
  <si>
    <t>C4247046</t>
  </si>
  <si>
    <t>L80265612</t>
  </si>
  <si>
    <t>C8057240</t>
  </si>
  <si>
    <t>L22622417</t>
  </si>
  <si>
    <t>C5904115</t>
  </si>
  <si>
    <t>L34940946</t>
  </si>
  <si>
    <t>C5165194</t>
  </si>
  <si>
    <t>L74793411</t>
  </si>
  <si>
    <t>C7744816</t>
  </si>
  <si>
    <t>L16870886</t>
  </si>
  <si>
    <t>C4746361</t>
  </si>
  <si>
    <t>L74535266</t>
  </si>
  <si>
    <t>C1760438</t>
  </si>
  <si>
    <t>L52064344</t>
  </si>
  <si>
    <t>C5267194</t>
  </si>
  <si>
    <t>L37196139</t>
  </si>
  <si>
    <t>C1995295</t>
  </si>
  <si>
    <t>L80823193</t>
  </si>
  <si>
    <t>C3907750</t>
  </si>
  <si>
    <t>L69720523</t>
  </si>
  <si>
    <t>C4157818</t>
  </si>
  <si>
    <t>L35136775</t>
  </si>
  <si>
    <t>C4387391</t>
  </si>
  <si>
    <t>L21048213</t>
  </si>
  <si>
    <t>C7611589</t>
  </si>
  <si>
    <t>L68898597</t>
  </si>
  <si>
    <t>C4752004</t>
  </si>
  <si>
    <t>L73047066</t>
  </si>
  <si>
    <t>C4863336</t>
  </si>
  <si>
    <t>L84941037</t>
  </si>
  <si>
    <t>C4636834</t>
  </si>
  <si>
    <t>L79966435</t>
  </si>
  <si>
    <t>C1381154</t>
  </si>
  <si>
    <t>L87010376</t>
  </si>
  <si>
    <t>C6873286</t>
  </si>
  <si>
    <t>L55569693</t>
  </si>
  <si>
    <t>C6727675</t>
  </si>
  <si>
    <t>L50111873</t>
  </si>
  <si>
    <t>C8227911</t>
  </si>
  <si>
    <t>L64541423</t>
  </si>
  <si>
    <t>C8086889</t>
  </si>
  <si>
    <t>L59936722</t>
  </si>
  <si>
    <t>C3213248</t>
  </si>
  <si>
    <t>L71012711</t>
  </si>
  <si>
    <t>C8453960</t>
  </si>
  <si>
    <t>L99649621</t>
  </si>
  <si>
    <t>C7614038</t>
  </si>
  <si>
    <t>L49499059</t>
  </si>
  <si>
    <t>C3230556</t>
  </si>
  <si>
    <t>L67057760</t>
  </si>
  <si>
    <t>C6711662</t>
  </si>
  <si>
    <t>L84903382</t>
  </si>
  <si>
    <t>C8206268</t>
  </si>
  <si>
    <t>L18522522</t>
  </si>
  <si>
    <t>C3434814</t>
  </si>
  <si>
    <t>L86228159</t>
  </si>
  <si>
    <t>C1857179</t>
  </si>
  <si>
    <t>L75429515</t>
  </si>
  <si>
    <t>C6991746</t>
  </si>
  <si>
    <t>L88096505</t>
  </si>
  <si>
    <t>C5942299</t>
  </si>
  <si>
    <t>L51664651</t>
  </si>
  <si>
    <t>C1063683</t>
  </si>
  <si>
    <t>L34501740</t>
  </si>
  <si>
    <t>C5659355</t>
  </si>
  <si>
    <t>L44199230</t>
  </si>
  <si>
    <t>C5934409</t>
  </si>
  <si>
    <t>L69549513</t>
  </si>
  <si>
    <t>C2023564</t>
  </si>
  <si>
    <t>L97243597</t>
  </si>
  <si>
    <t>C8644679</t>
  </si>
  <si>
    <t>L78173910</t>
  </si>
  <si>
    <t>C3829959</t>
  </si>
  <si>
    <t>L32093304</t>
  </si>
  <si>
    <t>C2257915</t>
  </si>
  <si>
    <t>L74520117</t>
  </si>
  <si>
    <t>C7549738</t>
  </si>
  <si>
    <t>L22577723</t>
  </si>
  <si>
    <t>C6546556</t>
  </si>
  <si>
    <t>L42751542</t>
  </si>
  <si>
    <t>C7624120</t>
  </si>
  <si>
    <t>L48887190</t>
  </si>
  <si>
    <t>C5295478</t>
  </si>
  <si>
    <t>L52259076</t>
  </si>
  <si>
    <t>C8541821</t>
  </si>
  <si>
    <t>L99339905</t>
  </si>
  <si>
    <t>C3955250</t>
  </si>
  <si>
    <t>L84946307</t>
  </si>
  <si>
    <t>C8010967</t>
  </si>
  <si>
    <t>L93382501</t>
  </si>
  <si>
    <t>C9655941</t>
  </si>
  <si>
    <t>L55504562</t>
  </si>
  <si>
    <t>C6756069</t>
  </si>
  <si>
    <t>L54759706</t>
  </si>
  <si>
    <t>C9629922</t>
  </si>
  <si>
    <t>L66457795</t>
  </si>
  <si>
    <t>C8354028</t>
  </si>
  <si>
    <t>L17594929</t>
  </si>
  <si>
    <t>C5837924</t>
  </si>
  <si>
    <t>L46217292</t>
  </si>
  <si>
    <t>C6387036</t>
  </si>
  <si>
    <t>L49169500</t>
  </si>
  <si>
    <t>C9123878</t>
  </si>
  <si>
    <t>L78502573</t>
  </si>
  <si>
    <t>C1599029</t>
  </si>
  <si>
    <t>L42963718</t>
  </si>
  <si>
    <t>C6545491</t>
  </si>
  <si>
    <t>L14041955</t>
  </si>
  <si>
    <t>C9668691</t>
  </si>
  <si>
    <t>L11945087</t>
  </si>
  <si>
    <t>C1108824</t>
  </si>
  <si>
    <t>L51688531</t>
  </si>
  <si>
    <t>C4767474</t>
  </si>
  <si>
    <t>L48971371</t>
  </si>
  <si>
    <t>C3418227</t>
  </si>
  <si>
    <t>L34826252</t>
  </si>
  <si>
    <t>C6733664</t>
  </si>
  <si>
    <t>L64647678</t>
  </si>
  <si>
    <t>C9514243</t>
  </si>
  <si>
    <t>L76295562</t>
  </si>
  <si>
    <t>C7706693</t>
  </si>
  <si>
    <t>L87246216</t>
  </si>
  <si>
    <t>C7381325</t>
  </si>
  <si>
    <t>L37355508</t>
  </si>
  <si>
    <t>C3119015</t>
  </si>
  <si>
    <t>L11757159</t>
  </si>
  <si>
    <t>C7968892</t>
  </si>
  <si>
    <t>L93027505</t>
  </si>
  <si>
    <t>C9002049</t>
  </si>
  <si>
    <t>L81611197</t>
  </si>
  <si>
    <t>C3540503</t>
  </si>
  <si>
    <t>L71474405</t>
  </si>
  <si>
    <t>C2633485</t>
  </si>
  <si>
    <t>L17132816</t>
  </si>
  <si>
    <t>C5429378</t>
  </si>
  <si>
    <t>L96270329</t>
  </si>
  <si>
    <t>C8617031</t>
  </si>
  <si>
    <t>L31560200</t>
  </si>
  <si>
    <t>C8015297</t>
  </si>
  <si>
    <t>L78780650</t>
  </si>
  <si>
    <t>C6151874</t>
  </si>
  <si>
    <t>L47633942</t>
  </si>
  <si>
    <t>C9560751</t>
  </si>
  <si>
    <t>L18150978</t>
  </si>
  <si>
    <t>C4415176</t>
  </si>
  <si>
    <t>L24870617</t>
  </si>
  <si>
    <t>C8478946</t>
  </si>
  <si>
    <t>L12773605</t>
  </si>
  <si>
    <t>C8134767</t>
  </si>
  <si>
    <t>L30451484</t>
  </si>
  <si>
    <t>C2382520</t>
  </si>
  <si>
    <t>L17445699</t>
  </si>
  <si>
    <t>C8901414</t>
  </si>
  <si>
    <t>L63944451</t>
  </si>
  <si>
    <t>C9821843</t>
  </si>
  <si>
    <t>L94243921</t>
  </si>
  <si>
    <t>C8379827</t>
  </si>
  <si>
    <t>L69348037</t>
  </si>
  <si>
    <t>C1388971</t>
  </si>
  <si>
    <t>L54555909</t>
  </si>
  <si>
    <t>C2541621</t>
  </si>
  <si>
    <t>L71783038</t>
  </si>
  <si>
    <t>C9332356</t>
  </si>
  <si>
    <t>L59212295</t>
  </si>
  <si>
    <t>C3167452</t>
  </si>
  <si>
    <t>L22581729</t>
  </si>
  <si>
    <t>C1550198</t>
  </si>
  <si>
    <t>L17888492</t>
  </si>
  <si>
    <t>C7496709</t>
  </si>
  <si>
    <t>L59088620</t>
  </si>
  <si>
    <t>C2402747</t>
  </si>
  <si>
    <t>L56892046</t>
  </si>
  <si>
    <t>C9530660</t>
  </si>
  <si>
    <t>L40833169</t>
  </si>
  <si>
    <t>C6310683</t>
  </si>
  <si>
    <t>L94627548</t>
  </si>
  <si>
    <t>C8501126</t>
  </si>
  <si>
    <t>L91772262</t>
  </si>
  <si>
    <t>C2509474</t>
  </si>
  <si>
    <t>L66587075</t>
  </si>
  <si>
    <t>C4277728</t>
  </si>
  <si>
    <t>L80054514</t>
  </si>
  <si>
    <t>C3861919</t>
  </si>
  <si>
    <t>L18502000</t>
  </si>
  <si>
    <t>C5858548</t>
  </si>
  <si>
    <t>L61186707</t>
  </si>
  <si>
    <t>C3248188</t>
  </si>
  <si>
    <t>L33717237</t>
  </si>
  <si>
    <t>C5193866</t>
  </si>
  <si>
    <t>L23338758</t>
  </si>
  <si>
    <t>C4607055</t>
  </si>
  <si>
    <t>L43048809</t>
  </si>
  <si>
    <t>C5702978</t>
  </si>
  <si>
    <t>L27517483</t>
  </si>
  <si>
    <t>C5540736</t>
  </si>
  <si>
    <t>L82779467</t>
  </si>
  <si>
    <t>C1789381</t>
  </si>
  <si>
    <t>L49343672</t>
  </si>
  <si>
    <t>C1960678</t>
  </si>
  <si>
    <t>L67087105</t>
  </si>
  <si>
    <t>C2331320</t>
  </si>
  <si>
    <t>L74945475</t>
  </si>
  <si>
    <t>C2053932</t>
  </si>
  <si>
    <t>L51019866</t>
  </si>
  <si>
    <t>C8605398</t>
  </si>
  <si>
    <t>L18750397</t>
  </si>
  <si>
    <t>C1892018</t>
  </si>
  <si>
    <t>L89766632</t>
  </si>
  <si>
    <t>C5540778</t>
  </si>
  <si>
    <t>L10477636</t>
  </si>
  <si>
    <t>C1774220</t>
  </si>
  <si>
    <t>L91497897</t>
  </si>
  <si>
    <t>C1048868</t>
  </si>
  <si>
    <t>L38433614</t>
  </si>
  <si>
    <t>C5018951</t>
  </si>
  <si>
    <t>L25027562</t>
  </si>
  <si>
    <t>C9270460</t>
  </si>
  <si>
    <t>L72483619</t>
  </si>
  <si>
    <t>C6151718</t>
  </si>
  <si>
    <t>L87095285</t>
  </si>
  <si>
    <t>C9294611</t>
  </si>
  <si>
    <t>L62568817</t>
  </si>
  <si>
    <t>C6710476</t>
  </si>
  <si>
    <t>L80819781</t>
  </si>
  <si>
    <t>C2418504</t>
  </si>
  <si>
    <t>L96006093</t>
  </si>
  <si>
    <t>C2206851</t>
  </si>
  <si>
    <t>L51403053</t>
  </si>
  <si>
    <t>C7990911</t>
  </si>
  <si>
    <t>min</t>
  </si>
  <si>
    <t>p25</t>
  </si>
  <si>
    <t>p50</t>
  </si>
  <si>
    <t>avg</t>
  </si>
  <si>
    <t>median</t>
  </si>
  <si>
    <t>p75</t>
  </si>
  <si>
    <t>p85</t>
  </si>
  <si>
    <t>Mark “High Risk” if credit_score &lt; 600 OR dti_ratio &gt; 0.5 OR dpd &gt;=30.</t>
  </si>
  <si>
    <t>p95</t>
  </si>
  <si>
    <t>p99</t>
  </si>
  <si>
    <t>max</t>
  </si>
  <si>
    <t>range</t>
  </si>
  <si>
    <t>IQR</t>
  </si>
  <si>
    <t>outp75</t>
  </si>
  <si>
    <t>outp25</t>
  </si>
  <si>
    <t>Validation</t>
  </si>
  <si>
    <t>#unique</t>
  </si>
  <si>
    <t>Calculated Field</t>
  </si>
  <si>
    <t>loan_amt_by_product</t>
  </si>
  <si>
    <t>current_bal_by_region</t>
  </si>
  <si>
    <t>count_loan_by_status</t>
  </si>
  <si>
    <t>Overall default rate</t>
  </si>
  <si>
    <t>Prepayment rate by channel</t>
  </si>
  <si>
    <t>avg_int_tateby_pro_risk_band</t>
  </si>
  <si>
    <t>DTI band</t>
  </si>
  <si>
    <t>Count_loan_per_band</t>
  </si>
  <si>
    <t>LTV band</t>
  </si>
  <si>
    <t>count_loan_perband</t>
  </si>
  <si>
    <t>default_rate_per_band</t>
  </si>
  <si>
    <t>Loan size</t>
  </si>
  <si>
    <t>dpd flag</t>
  </si>
  <si>
    <t>del rate per loan size</t>
  </si>
  <si>
    <t>high risk</t>
  </si>
  <si>
    <t>origination month</t>
  </si>
  <si>
    <t>loan amout by month</t>
  </si>
  <si>
    <t>avg monthonbooks by product</t>
  </si>
  <si>
    <t>new loan</t>
  </si>
  <si>
    <t>quarter</t>
  </si>
  <si>
    <t>idsbyrby quarter</t>
  </si>
  <si>
    <t>fullrowconcat</t>
  </si>
  <si>
    <t>year</t>
  </si>
  <si>
    <t>Fill Rate check</t>
  </si>
  <si>
    <t>Column Name</t>
  </si>
  <si>
    <t>Total Records</t>
  </si>
  <si>
    <t>Non-Null Count</t>
  </si>
  <si>
    <t>Null Count</t>
  </si>
  <si>
    <t>Fill Rate%</t>
  </si>
  <si>
    <t>Duplicate Checks</t>
  </si>
  <si>
    <t>Validation Rule</t>
  </si>
  <si>
    <t>Description</t>
  </si>
  <si>
    <t>Result</t>
  </si>
  <si>
    <t>Duplicate loan_id</t>
  </si>
  <si>
    <t>Count of duplicate primary keys</t>
  </si>
  <si>
    <t>Duplicate customer_id + origination_date</t>
  </si>
  <si>
    <t>Composite duplicate check</t>
  </si>
  <si>
    <t>Duplicate Full Rows</t>
  </si>
  <si>
    <t>Exact row duplication check</t>
  </si>
  <si>
    <t>Business Logic Validation</t>
  </si>
  <si>
    <t>Condition Checked</t>
  </si>
  <si>
    <t>Active Loan with DPD &gt;= 30</t>
  </si>
  <si>
    <t>loan_status = "Active" and dpd &gt;= 30</t>
  </si>
  <si>
    <t>Default_flag mismatch</t>
  </si>
  <si>
    <t>default_flag = 1 but dpd &lt; 90</t>
  </si>
  <si>
    <t>Negative current_balance</t>
  </si>
  <si>
    <t>current_balance &lt; 0</t>
  </si>
  <si>
    <t>EMI &gt; Annual Income</t>
  </si>
  <si>
    <t>emi*12 &gt; annual_income</t>
  </si>
  <si>
    <t>LTV &gt; 100%</t>
  </si>
  <si>
    <t>ltv_ratio &gt; 1</t>
  </si>
  <si>
    <t>DTI &gt; 100%</t>
  </si>
  <si>
    <t>dti_ratio &gt; 1</t>
  </si>
  <si>
    <t>Distribution of Numeric Columns</t>
  </si>
  <si>
    <t>col Name</t>
  </si>
  <si>
    <t>Min</t>
  </si>
  <si>
    <t>mean</t>
  </si>
  <si>
    <t>out75</t>
  </si>
  <si>
    <t>out25</t>
  </si>
  <si>
    <t>Distribution of Categorical Columns</t>
  </si>
  <si>
    <t>Col name</t>
  </si>
  <si>
    <t>#Unique</t>
  </si>
  <si>
    <t>Most Frequent Value</t>
  </si>
  <si>
    <t>Frequency</t>
  </si>
  <si>
    <t>% Share</t>
  </si>
  <si>
    <t>Section 1: Portfolio Overview</t>
  </si>
  <si>
    <t>Metric</t>
  </si>
  <si>
    <t>Value</t>
  </si>
  <si>
    <t>Total Loan Book</t>
  </si>
  <si>
    <t>Total Current Balance</t>
  </si>
  <si>
    <t>Total Loans</t>
  </si>
  <si>
    <t>Annual interest income potential</t>
  </si>
  <si>
    <t>Default Rate</t>
  </si>
  <si>
    <t>30+ DPD %</t>
  </si>
  <si>
    <t>Avg Interest Rate</t>
  </si>
  <si>
    <t>Section 2: Exposure Analysis</t>
  </si>
  <si>
    <t xml:space="preserve">Exposure by Product </t>
  </si>
  <si>
    <t>Product</t>
  </si>
  <si>
    <t>Sum of current_balance</t>
  </si>
  <si>
    <t>Sum of current_balance2</t>
  </si>
  <si>
    <t>Exposure by Region</t>
  </si>
  <si>
    <t>Region</t>
  </si>
  <si>
    <t>Sum of loan_amount</t>
  </si>
  <si>
    <t>Grand Total</t>
  </si>
  <si>
    <t>Section3: Asset Quality Analysis</t>
  </si>
  <si>
    <t>Loan Status Distribution</t>
  </si>
  <si>
    <t>Row Labels</t>
  </si>
  <si>
    <t>Count of loan_status</t>
  </si>
  <si>
    <t>DTI Bucket Distribution</t>
  </si>
  <si>
    <t xml:space="preserve"> less than 0.2</t>
  </si>
  <si>
    <t>0.2 - 0.3</t>
  </si>
  <si>
    <t>0.35 - 0.5</t>
  </si>
  <si>
    <t>greater than 0.5</t>
  </si>
  <si>
    <t>Default Rate by Region</t>
  </si>
  <si>
    <t>Sum of default_flag</t>
  </si>
  <si>
    <t>Count of loan_id</t>
  </si>
  <si>
    <t>Default_Rate</t>
  </si>
  <si>
    <t>Risk Band</t>
  </si>
  <si>
    <t>Section 4: Risk Segmentation</t>
  </si>
  <si>
    <t>Default Rate by Risk Band</t>
  </si>
  <si>
    <t>Default Rate by DTI Band</t>
  </si>
  <si>
    <t>Default Rate by LTV band</t>
  </si>
  <si>
    <t>0.6 - 0.8 -medium risky</t>
  </si>
  <si>
    <t>greater than 0.8 -highly risky</t>
  </si>
  <si>
    <t>less than 0.6 -less risky</t>
  </si>
  <si>
    <t>Credit score vs Default</t>
  </si>
  <si>
    <t>Section 5: Pricing Analysis</t>
  </si>
  <si>
    <t>Avg Interest Rate by Risk Band</t>
  </si>
  <si>
    <t>Average of interest_rate_pct</t>
  </si>
  <si>
    <t>Avg Interest Rate by Product</t>
  </si>
  <si>
    <t>Section 6: Behavioral &amp; Time-Series</t>
  </si>
  <si>
    <t>Loan origginal by Month</t>
  </si>
  <si>
    <t>#VALUE!</t>
  </si>
  <si>
    <t>Prepayment Rate by Channel</t>
  </si>
  <si>
    <t>Sum of prepayment_flag</t>
  </si>
  <si>
    <t>Months on Book vs Default</t>
  </si>
  <si>
    <t>LTV</t>
  </si>
  <si>
    <t>Loan to value, is a ratio of loan amount to value of asset, the lower the ratio means lower the risk if customer defaults, because asset value is more to recover.</t>
  </si>
  <si>
    <t>Descriotive stats</t>
  </si>
  <si>
    <t>Max</t>
  </si>
  <si>
    <t>Average</t>
  </si>
  <si>
    <t>Range</t>
  </si>
  <si>
    <t>Percentile</t>
  </si>
  <si>
    <t>lower tail(min to 25 percentile)</t>
  </si>
  <si>
    <t>middle tail (25 to 75 percentile)</t>
  </si>
  <si>
    <t>upper tail( 75 to max percentile)</t>
  </si>
  <si>
    <t>Business Questions (built for Excel formula practice)</t>
  </si>
  <si>
    <t>A) Basic KPIs (SUM, AVERAGE, COUNT, COUNTIF/S, SUMIF/S)</t>
  </si>
  <si>
    <t>Total loan book (sum of loan_amount) by product.</t>
  </si>
  <si>
    <t>done</t>
  </si>
  <si>
    <t>Total current balance by region.</t>
  </si>
  <si>
    <t>Count of loans by loan_status (Active/Delinquent/Closed/Default).</t>
  </si>
  <si>
    <t>Default rate overall and by region (defaults / total loans).</t>
  </si>
  <si>
    <t>Prepayment rate by channel.</t>
  </si>
  <si>
    <t>Average interest rate by product and risk band.</t>
  </si>
  <si>
    <t>Average credit score by employment type.</t>
  </si>
  <si>
    <t>B) Segmentation &amp; Bucketing (IF, IFS, AND/OR, SWITCH, CHOOSE)</t>
  </si>
  <si>
    <t>Create DTI Band (e.g., &lt;0.2, 0.2–0.35, 0.35–0.5, &gt;0.5) and count loans per band.</t>
  </si>
  <si>
    <t>Create LTV Band and find default rate per band.</t>
  </si>
  <si>
    <t>Create Loan Size Band (Small/Medium/Large) and compare delinquency.</t>
  </si>
  <si>
    <t>C) Delinquency &amp; Collections (MAX/MIN, IFERROR, conditional logic)</t>
  </si>
  <si>
    <t>How many loans are 30+ DPD, 60+, 90+?</t>
  </si>
  <si>
    <t>What is the total balance sitting in 30+ DPD bucket?</t>
  </si>
  <si>
    <t>Rank top 20 loans by dpd and then by balance.</t>
  </si>
  <si>
    <t>Identify loans where status = Active but dpd &gt;= 30 (data quality check).</t>
  </si>
  <si>
    <t>D) Time-Based Analysis (YEAR, MONTH, EOMONTH, DATEDIF, TODAY, NETWORKDAYS)</t>
  </si>
  <si>
    <t>Monthly loan disbursal trend: total loan_amount by origination month.</t>
  </si>
  <si>
    <t>Loans originated in last 90 days from a chosen “as-of date”.</t>
  </si>
  <si>
    <t>Average months_on_book by product.</t>
  </si>
  <si>
    <t>Create a flag: “New Loan” if originated in last 6 months.</t>
  </si>
  <si>
    <t>Seasonal check: which quarter has highest disbursals?</t>
  </si>
  <si>
    <t>E) Lookups &amp; Joins Practice (XLOOKUP/VLOOKUP, INDEX-MATCH, XMATCH)</t>
  </si>
  <si>
    <t>Build a separate table for risk band rules and lookup risk band from credit score.</t>
  </si>
  <si>
    <t>Create a pricing table by product + risk band and lookup the “expected rate”; compare vs actual rate.</t>
  </si>
  <si>
    <t>Create a region manager table and XLOOKUP manager name for each region.</t>
  </si>
  <si>
    <t>F) Text &amp; Data Cleaning (LEFT/RIGHT/MID, TEXT, VALUE, TRIM, SUBSTITUTE)</t>
  </si>
  <si>
    <t>Extract numeric part from loan_id and create a “bucket” using last 2 digits.</t>
  </si>
  <si>
    <t>Create a formatted field: Customer-Loan = customer_id &amp; "-" &amp; loan_id.</t>
  </si>
  <si>
    <t>Convert origination_date into "MMM-YYYY" text format.</t>
  </si>
  <si>
    <t>G) Financial Math (PMT, IPMT, PPMT, RATE, NPV)</t>
  </si>
  <si>
    <t>Recalculate EMI using PMT and compare with given EMI (variance check).</t>
  </si>
  <si>
    <t>Split EMI into interest vs principal for month 1 using IPMT/PPMT.</t>
  </si>
  <si>
    <t>Estimate remaining term based on balance and EMI (simple assumption).</t>
  </si>
  <si>
    <t>Compute total interest paid so far (approx) using paid amounts.</t>
  </si>
  <si>
    <t>H) Pivot + Dashboard Ready Questions</t>
  </si>
  <si>
    <t>“Portfolio snapshot” card metrics:</t>
  </si>
  <si>
    <t>Total disbursed</t>
  </si>
  <si>
    <t>Total balance</t>
  </si>
  <si>
    <t>Avg interest rate</t>
  </si>
  <si>
    <t>Default rate</t>
  </si>
  <si>
    <t>30+ DPD balance</t>
  </si>
  <si>
    <t>Create a pivot showing region × product balances and add slicers for channel and status.</t>
  </si>
  <si>
    <t>Create a delinquency heatmap using conditional formatting.</t>
  </si>
  <si>
    <t>I) Advanced Excel (FILTER, SORT, UNIQUE, LET, LAMBDA optional)</t>
  </si>
  <si>
    <t>Dynamic list of top 10 delinquent loans by balance.</t>
  </si>
  <si>
    <t>Unique list of products, regions, channels.</t>
  </si>
  <si>
    <t>Build a reusable metric formula using LET (e.g., Default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</si>
</sst>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numFmt numFmtId="165" formatCode="_(* #,##0_);_(* \(#,##0\);_(* &quot;-&quot;??_);_(@_)"/>
    <numFmt numFmtId="166" formatCode="&quot;$&quot;#,##0"/>
  </numFmts>
  <fonts count="7">
    <font>
      <sz val="11"/>
      <color theme="1"/>
      <name val="Calibri"/>
      <family val="2"/>
      <scheme val="minor"/>
    </font>
    <font>
      <b/>
      <sz val="11"/>
      <color theme="1"/>
      <name val="Calibri"/>
      <family val="2"/>
      <scheme val="minor"/>
    </font>
    <font>
      <sz val="11"/>
      <color theme="1"/>
      <name val="Calibri"/>
      <family val="2"/>
      <scheme val="minor"/>
    </font>
    <font>
      <b/>
      <sz val="16"/>
      <color theme="1"/>
      <name val="Calibri"/>
      <family val="2"/>
      <scheme val="minor"/>
    </font>
    <font>
      <sz val="11"/>
      <color rgb="FF000000"/>
      <name val="Calibri"/>
      <scheme val="minor"/>
    </font>
    <font>
      <b/>
      <sz val="11"/>
      <color rgb="FF000000"/>
      <name val="Calibri"/>
      <scheme val="minor"/>
    </font>
    <font>
      <sz val="16"/>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3" tint="0.79998168889431442"/>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65">
    <xf numFmtId="0" fontId="0" fillId="0" borderId="0" xfId="0"/>
    <xf numFmtId="0" fontId="1" fillId="0" borderId="1" xfId="0" applyFont="1" applyBorder="1" applyAlignment="1">
      <alignment horizontal="center" vertical="top"/>
    </xf>
    <xf numFmtId="0" fontId="0" fillId="0" borderId="1" xfId="0" applyBorder="1"/>
    <xf numFmtId="164" fontId="0" fillId="0" borderId="1" xfId="0" applyNumberFormat="1" applyBorder="1"/>
    <xf numFmtId="0" fontId="1" fillId="0" borderId="0" xfId="0" applyFont="1"/>
    <xf numFmtId="0" fontId="0" fillId="0" borderId="2"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xf numFmtId="0" fontId="0" fillId="0" borderId="8" xfId="0" applyBorder="1"/>
    <xf numFmtId="164" fontId="0" fillId="0" borderId="8" xfId="0" applyNumberFormat="1" applyBorder="1"/>
    <xf numFmtId="165" fontId="0" fillId="0" borderId="3" xfId="1" applyNumberFormat="1" applyFont="1" applyBorder="1"/>
    <xf numFmtId="165" fontId="0" fillId="0" borderId="9" xfId="1" applyNumberFormat="1" applyFont="1" applyBorder="1"/>
    <xf numFmtId="165" fontId="0" fillId="0" borderId="5" xfId="1" applyNumberFormat="1" applyFont="1" applyBorder="1"/>
    <xf numFmtId="165" fontId="0" fillId="0" borderId="1" xfId="1" applyNumberFormat="1" applyFont="1" applyBorder="1"/>
    <xf numFmtId="165" fontId="0" fillId="0" borderId="8" xfId="1" applyNumberFormat="1" applyFont="1" applyBorder="1"/>
    <xf numFmtId="0" fontId="0" fillId="0" borderId="5" xfId="0" applyBorder="1"/>
    <xf numFmtId="0" fontId="0" fillId="0" borderId="0" xfId="0">
      <extLst>
        <ext xmlns:xfpb="http://schemas.microsoft.com/office/spreadsheetml/2022/featurepropertybag" uri="{C7286773-470A-42A8-94C5-96B5CB345126}">
          <xfpb:xfComplement i="0"/>
        </ext>
      </extLst>
    </xf>
    <xf numFmtId="165" fontId="0" fillId="0" borderId="0" xfId="1" applyNumberFormat="1" applyFont="1"/>
    <xf numFmtId="165" fontId="1" fillId="0" borderId="0" xfId="1" applyNumberFormat="1" applyFont="1"/>
    <xf numFmtId="165" fontId="0" fillId="0" borderId="0" xfId="0" applyNumberFormat="1"/>
    <xf numFmtId="43" fontId="0" fillId="0" borderId="0" xfId="0" applyNumberFormat="1"/>
    <xf numFmtId="14" fontId="0" fillId="0" borderId="0" xfId="0" applyNumberFormat="1"/>
    <xf numFmtId="14" fontId="0" fillId="0" borderId="5" xfId="0" applyNumberFormat="1" applyBorder="1"/>
    <xf numFmtId="14" fontId="1" fillId="0" borderId="5" xfId="0" applyNumberFormat="1" applyFont="1" applyBorder="1" applyAlignment="1">
      <alignment horizontal="center" vertical="top"/>
    </xf>
    <xf numFmtId="14" fontId="0" fillId="0" borderId="1" xfId="0" applyNumberFormat="1" applyBorder="1"/>
    <xf numFmtId="14" fontId="0" fillId="0" borderId="8" xfId="0" applyNumberFormat="1" applyBorder="1"/>
    <xf numFmtId="10" fontId="0" fillId="0" borderId="0" xfId="2" applyNumberFormat="1" applyFont="1"/>
    <xf numFmtId="0" fontId="0" fillId="0" borderId="9" xfId="0" applyBorder="1"/>
    <xf numFmtId="0" fontId="0" fillId="0" borderId="3" xfId="0" applyBorder="1"/>
    <xf numFmtId="0" fontId="1" fillId="0" borderId="1" xfId="0" applyFont="1" applyBorder="1"/>
    <xf numFmtId="0" fontId="0" fillId="0" borderId="0" xfId="0" applyAlignment="1">
      <alignment wrapText="1" shrinkToFit="1"/>
    </xf>
    <xf numFmtId="0" fontId="0" fillId="0" borderId="5" xfId="0" applyNumberFormat="1" applyBorder="1" applyAlignment="1">
      <alignment wrapText="1" shrinkToFit="1"/>
    </xf>
    <xf numFmtId="0" fontId="0" fillId="0" borderId="1" xfId="0" applyNumberFormat="1" applyBorder="1" applyAlignment="1">
      <alignment wrapText="1" shrinkToFit="1"/>
    </xf>
    <xf numFmtId="0" fontId="0" fillId="0" borderId="8" xfId="0" applyNumberFormat="1" applyBorder="1" applyAlignment="1">
      <alignment wrapText="1" shrinkToFit="1"/>
    </xf>
    <xf numFmtId="0" fontId="0" fillId="0" borderId="0" xfId="0" pivotButton="1"/>
    <xf numFmtId="0" fontId="0" fillId="0" borderId="0" xfId="0" applyAlignment="1">
      <alignment horizontal="left"/>
    </xf>
    <xf numFmtId="0" fontId="3" fillId="0" borderId="0" xfId="0" applyFont="1"/>
    <xf numFmtId="0" fontId="0" fillId="0" borderId="0" xfId="0" applyAlignment="1">
      <alignment wrapText="1"/>
    </xf>
    <xf numFmtId="165" fontId="0" fillId="3" borderId="0" xfId="0" applyNumberFormat="1" applyFill="1"/>
    <xf numFmtId="10" fontId="0" fillId="0" borderId="0" xfId="0" applyNumberFormat="1"/>
    <xf numFmtId="0" fontId="0" fillId="0" borderId="1" xfId="0" applyNumberFormat="1" applyBorder="1"/>
    <xf numFmtId="0" fontId="0" fillId="0" borderId="5" xfId="0" applyNumberFormat="1" applyBorder="1"/>
    <xf numFmtId="0" fontId="0" fillId="0" borderId="8" xfId="0" applyNumberFormat="1" applyBorder="1"/>
    <xf numFmtId="0" fontId="1" fillId="0" borderId="10" xfId="0" applyFont="1" applyBorder="1" applyAlignment="1">
      <alignment horizontal="center" vertical="top"/>
    </xf>
    <xf numFmtId="0" fontId="1" fillId="0" borderId="4" xfId="0" applyFont="1" applyBorder="1" applyAlignment="1">
      <alignment horizontal="center" vertical="top" wrapText="1" shrinkToFit="1"/>
    </xf>
    <xf numFmtId="0" fontId="1" fillId="4" borderId="11" xfId="0" applyFont="1" applyFill="1" applyBorder="1"/>
    <xf numFmtId="0" fontId="1" fillId="4" borderId="12" xfId="0" applyFont="1" applyFill="1" applyBorder="1"/>
    <xf numFmtId="0" fontId="0" fillId="0" borderId="13" xfId="0" applyBorder="1"/>
    <xf numFmtId="166" fontId="0" fillId="0" borderId="14" xfId="0" applyNumberFormat="1" applyBorder="1"/>
    <xf numFmtId="165" fontId="0" fillId="0" borderId="14" xfId="0" applyNumberFormat="1" applyBorder="1"/>
    <xf numFmtId="10" fontId="0" fillId="0" borderId="14" xfId="0" applyNumberFormat="1" applyBorder="1"/>
    <xf numFmtId="9" fontId="0" fillId="0" borderId="14" xfId="0" applyNumberFormat="1" applyBorder="1"/>
    <xf numFmtId="0" fontId="0" fillId="0" borderId="15" xfId="0" applyBorder="1"/>
    <xf numFmtId="43" fontId="0" fillId="0" borderId="16" xfId="0" applyNumberFormat="1" applyBorder="1"/>
    <xf numFmtId="0" fontId="1" fillId="2" borderId="0" xfId="0" applyFont="1" applyFill="1" applyAlignment="1">
      <alignment horizontal="center"/>
    </xf>
    <xf numFmtId="166" fontId="0" fillId="0" borderId="0" xfId="0" applyNumberFormat="1"/>
    <xf numFmtId="0" fontId="1" fillId="0" borderId="0" xfId="0" applyFont="1" applyAlignment="1">
      <alignment wrapText="1"/>
    </xf>
    <xf numFmtId="0" fontId="4" fillId="0" borderId="0" xfId="0" applyFont="1" applyAlignment="1">
      <alignment wrapText="1"/>
    </xf>
    <xf numFmtId="9" fontId="0" fillId="0" borderId="0" xfId="0" applyNumberFormat="1"/>
    <xf numFmtId="0" fontId="6" fillId="0" borderId="0" xfId="0" applyFont="1"/>
    <xf numFmtId="0" fontId="0" fillId="0" borderId="10" xfId="0" applyBorder="1" applyAlignment="1">
      <alignment horizontal="left"/>
    </xf>
    <xf numFmtId="165" fontId="0" fillId="0" borderId="10" xfId="0" applyNumberFormat="1" applyBorder="1"/>
    <xf numFmtId="10" fontId="0" fillId="0" borderId="10" xfId="0" applyNumberFormat="1" applyBorder="1"/>
  </cellXfs>
  <cellStyles count="3">
    <cellStyle name="Comma" xfId="1" builtinId="3"/>
    <cellStyle name="Normal" xfId="0" builtinId="0"/>
    <cellStyle name="Percent" xfId="2" builtinId="5"/>
  </cellStyles>
  <dxfs count="101">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textRotation="0" wrapText="1" indent="0" justifyLastLine="0" shrinkToFit="1" readingOrder="0"/>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dd/mm/yy"/>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_(* \(#,##0\);_(* &quot;-&quot;??_);_(@_)"/>
      <border diagonalUp="0" diagonalDown="0" outline="0">
        <left style="thin">
          <color auto="1"/>
        </left>
        <right style="thin">
          <color auto="1"/>
        </right>
        <top style="thin">
          <color auto="1"/>
        </top>
        <bottom style="thin">
          <color auto="1"/>
        </bottom>
      </border>
    </dxf>
    <dxf>
      <numFmt numFmtId="165" formatCode="_(* #,##0_);_(* \(#,##0\);_(* &quot;-&quot;??_);_(@_)"/>
      <border diagonalUp="0" diagonalDown="0" outline="0">
        <left style="thin">
          <color auto="1"/>
        </left>
        <right style="thin">
          <color auto="1"/>
        </right>
        <top style="thin">
          <color auto="1"/>
        </top>
        <bottom style="thin">
          <color auto="1"/>
        </bottom>
      </border>
    </dxf>
    <dxf>
      <border diagonalUp="0" diagonalDown="0" outline="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4" formatCode="yyyy\-mm\-dd"/>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9" formatCode="m/d/yy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_(* #,##0_);_(* \(#,##0\);_(* &quot;-&quot;??_);_(@_)"/>
    </dxf>
    <dxf>
      <numFmt numFmtId="165" formatCode="_(* #,##0_);_(* \(#,##0\);_(* &quot;-&quot;??_);_(@_)"/>
    </dxf>
    <dxf>
      <numFmt numFmtId="165" formatCode="_(* #,##0_);_(* \(#,##0\);_(* &quot;-&quot;??_);_(@_)"/>
    </dxf>
    <dxf>
      <numFmt numFmtId="13" formatCode="0%"/>
    </dxf>
    <dxf>
      <numFmt numFmtId="165" formatCode="_(* #,##0_);_(* \(#,##0\);_(* &quot;-&quot;??_);_(@_)"/>
    </dxf>
    <dxf>
      <fill>
        <patternFill patternType="solid">
          <fgColor indexed="64"/>
          <bgColor rgb="FFFFFF00"/>
        </patternFill>
      </fill>
    </dxf>
    <dxf>
      <numFmt numFmtId="165" formatCode="_(* #,##0_);_(* \(#,##0\);_(* &quot;-&quot;??_);_(@_)"/>
    </dxf>
    <dxf>
      <numFmt numFmtId="14" formatCode="0.00%"/>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65" formatCode="_(* #,##0_);_(* \(#,##0\);_(* &quot;-&quot;??_);_(@_)"/>
    </dxf>
    <dxf>
      <numFmt numFmtId="13" formatCode="0%"/>
    </dxf>
    <dxf>
      <numFmt numFmtId="165" formatCode="_(* #,##0_);_(* \(#,##0\);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[loan_dummy_500.xlsx]04. Analysis!PivotTable1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 Analysis'!$D$18</c:f>
              <c:strCache>
                <c:ptCount val="1"/>
                <c:pt idx="0">
                  <c:v>Sum of current_balance</c:v>
                </c:pt>
              </c:strCache>
            </c:strRef>
          </c:tx>
          <c:spPr>
            <a:solidFill>
              <a:schemeClr val="accent1"/>
            </a:solidFill>
            <a:ln>
              <a:noFill/>
            </a:ln>
            <a:effectLst/>
          </c:spPr>
          <c:invertIfNegative val="0"/>
          <c:cat>
            <c:strRef>
              <c:f>'04. Analysis'!$C$19:$C$24</c:f>
              <c:strCache>
                <c:ptCount val="5"/>
                <c:pt idx="0">
                  <c:v>Home Loan</c:v>
                </c:pt>
                <c:pt idx="1">
                  <c:v>SME Loan</c:v>
                </c:pt>
                <c:pt idx="2">
                  <c:v>Auto Loan</c:v>
                </c:pt>
                <c:pt idx="3">
                  <c:v>Education Loan</c:v>
                </c:pt>
                <c:pt idx="4">
                  <c:v>Personal Loan</c:v>
                </c:pt>
              </c:strCache>
            </c:strRef>
          </c:cat>
          <c:val>
            <c:numRef>
              <c:f>'04. Analysis'!$D$19:$D$24</c:f>
              <c:numCache>
                <c:formatCode>_(* #,##0_);_(* \(#,##0\);_(* "-"??_);_(@_)</c:formatCode>
                <c:ptCount val="5"/>
                <c:pt idx="0">
                  <c:v>240224285</c:v>
                </c:pt>
                <c:pt idx="1">
                  <c:v>99137033</c:v>
                </c:pt>
                <c:pt idx="2">
                  <c:v>52985540</c:v>
                </c:pt>
                <c:pt idx="3">
                  <c:v>37711937</c:v>
                </c:pt>
                <c:pt idx="4">
                  <c:v>36397775</c:v>
                </c:pt>
              </c:numCache>
            </c:numRef>
          </c:val>
          <c:extLst>
            <c:ext xmlns:c16="http://schemas.microsoft.com/office/drawing/2014/chart" uri="{C3380CC4-5D6E-409C-BE32-E72D297353CC}">
              <c16:uniqueId val="{00000000-0D1E-4577-B249-3B344A1C9B98}"/>
            </c:ext>
          </c:extLst>
        </c:ser>
        <c:ser>
          <c:idx val="1"/>
          <c:order val="1"/>
          <c:tx>
            <c:strRef>
              <c:f>'04. Analysis'!$E$18</c:f>
              <c:strCache>
                <c:ptCount val="1"/>
                <c:pt idx="0">
                  <c:v>Sum of current_balance2</c:v>
                </c:pt>
              </c:strCache>
            </c:strRef>
          </c:tx>
          <c:spPr>
            <a:solidFill>
              <a:schemeClr val="accent2"/>
            </a:solidFill>
            <a:ln>
              <a:noFill/>
            </a:ln>
            <a:effectLst/>
          </c:spPr>
          <c:invertIfNegative val="0"/>
          <c:cat>
            <c:strRef>
              <c:f>'04. Analysis'!$C$19:$C$24</c:f>
              <c:strCache>
                <c:ptCount val="5"/>
                <c:pt idx="0">
                  <c:v>Home Loan</c:v>
                </c:pt>
                <c:pt idx="1">
                  <c:v>SME Loan</c:v>
                </c:pt>
                <c:pt idx="2">
                  <c:v>Auto Loan</c:v>
                </c:pt>
                <c:pt idx="3">
                  <c:v>Education Loan</c:v>
                </c:pt>
                <c:pt idx="4">
                  <c:v>Personal Loan</c:v>
                </c:pt>
              </c:strCache>
            </c:strRef>
          </c:cat>
          <c:val>
            <c:numRef>
              <c:f>'04. Analysis'!$E$19:$E$24</c:f>
              <c:numCache>
                <c:formatCode>0%</c:formatCode>
                <c:ptCount val="5"/>
                <c:pt idx="0">
                  <c:v>0.51499818085958138</c:v>
                </c:pt>
                <c:pt idx="1">
                  <c:v>0.21253218279249447</c:v>
                </c:pt>
                <c:pt idx="2">
                  <c:v>0.11359158259899738</c:v>
                </c:pt>
                <c:pt idx="3">
                  <c:v>8.0847691779751332E-2</c:v>
                </c:pt>
                <c:pt idx="4">
                  <c:v>7.8030361969175399E-2</c:v>
                </c:pt>
              </c:numCache>
            </c:numRef>
          </c:val>
          <c:extLst>
            <c:ext xmlns:c16="http://schemas.microsoft.com/office/drawing/2014/chart" uri="{C3380CC4-5D6E-409C-BE32-E72D297353CC}">
              <c16:uniqueId val="{00000001-BEA3-42CF-82A7-434FCC9996C6}"/>
            </c:ext>
          </c:extLst>
        </c:ser>
        <c:dLbls>
          <c:showLegendKey val="0"/>
          <c:showVal val="0"/>
          <c:showCatName val="0"/>
          <c:showSerName val="0"/>
          <c:showPercent val="0"/>
          <c:showBubbleSize val="0"/>
        </c:dLbls>
        <c:gapWidth val="219"/>
        <c:overlap val="-27"/>
        <c:axId val="541448144"/>
        <c:axId val="541889232"/>
      </c:barChart>
      <c:catAx>
        <c:axId val="54144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89232"/>
        <c:crosses val="autoZero"/>
        <c:auto val="1"/>
        <c:lblAlgn val="ctr"/>
        <c:lblOffset val="100"/>
        <c:noMultiLvlLbl val="0"/>
      </c:catAx>
      <c:valAx>
        <c:axId val="54188923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4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[loan_dummy_500.xlsx]04. Analysis!PivotTable2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 Analysis'!$H$19</c:f>
              <c:strCache>
                <c:ptCount val="1"/>
                <c:pt idx="0">
                  <c:v>Sum of current_balance</c:v>
                </c:pt>
              </c:strCache>
            </c:strRef>
          </c:tx>
          <c:spPr>
            <a:solidFill>
              <a:schemeClr val="accent1"/>
            </a:solidFill>
            <a:ln>
              <a:noFill/>
            </a:ln>
            <a:effectLst/>
          </c:spPr>
          <c:invertIfNegative val="0"/>
          <c:cat>
            <c:strRef>
              <c:f>'04. Analysis'!$G$20:$G$25</c:f>
              <c:strCache>
                <c:ptCount val="5"/>
                <c:pt idx="0">
                  <c:v>North</c:v>
                </c:pt>
                <c:pt idx="1">
                  <c:v>Central</c:v>
                </c:pt>
                <c:pt idx="2">
                  <c:v>South</c:v>
                </c:pt>
                <c:pt idx="3">
                  <c:v>West</c:v>
                </c:pt>
                <c:pt idx="4">
                  <c:v>East</c:v>
                </c:pt>
              </c:strCache>
            </c:strRef>
          </c:cat>
          <c:val>
            <c:numRef>
              <c:f>'04. Analysis'!$H$20:$H$25</c:f>
              <c:numCache>
                <c:formatCode>_(* #,##0_);_(* \(#,##0\);_(* "-"??_);_(@_)</c:formatCode>
                <c:ptCount val="5"/>
                <c:pt idx="0">
                  <c:v>105779369</c:v>
                </c:pt>
                <c:pt idx="1">
                  <c:v>98928695</c:v>
                </c:pt>
                <c:pt idx="2">
                  <c:v>94548000</c:v>
                </c:pt>
                <c:pt idx="3">
                  <c:v>83903255</c:v>
                </c:pt>
                <c:pt idx="4">
                  <c:v>83297251</c:v>
                </c:pt>
              </c:numCache>
            </c:numRef>
          </c:val>
          <c:extLst>
            <c:ext xmlns:c16="http://schemas.microsoft.com/office/drawing/2014/chart" uri="{C3380CC4-5D6E-409C-BE32-E72D297353CC}">
              <c16:uniqueId val="{00000000-3D66-41AE-BEE7-1B95A53AECFC}"/>
            </c:ext>
          </c:extLst>
        </c:ser>
        <c:ser>
          <c:idx val="1"/>
          <c:order val="1"/>
          <c:tx>
            <c:strRef>
              <c:f>'04. Analysis'!$I$19</c:f>
              <c:strCache>
                <c:ptCount val="1"/>
                <c:pt idx="0">
                  <c:v>Sum of current_balance2</c:v>
                </c:pt>
              </c:strCache>
            </c:strRef>
          </c:tx>
          <c:spPr>
            <a:solidFill>
              <a:schemeClr val="accent2"/>
            </a:solidFill>
            <a:ln>
              <a:noFill/>
            </a:ln>
            <a:effectLst/>
          </c:spPr>
          <c:invertIfNegative val="0"/>
          <c:cat>
            <c:strRef>
              <c:f>'04. Analysis'!$G$20:$G$25</c:f>
              <c:strCache>
                <c:ptCount val="5"/>
                <c:pt idx="0">
                  <c:v>North</c:v>
                </c:pt>
                <c:pt idx="1">
                  <c:v>Central</c:v>
                </c:pt>
                <c:pt idx="2">
                  <c:v>South</c:v>
                </c:pt>
                <c:pt idx="3">
                  <c:v>West</c:v>
                </c:pt>
                <c:pt idx="4">
                  <c:v>East</c:v>
                </c:pt>
              </c:strCache>
            </c:strRef>
          </c:cat>
          <c:val>
            <c:numRef>
              <c:f>'04. Analysis'!$I$20:$I$25</c:f>
              <c:numCache>
                <c:formatCode>0%</c:formatCode>
                <c:ptCount val="5"/>
                <c:pt idx="0">
                  <c:v>0.22677217087970269</c:v>
                </c:pt>
                <c:pt idx="1">
                  <c:v>0.21208554314070441</c:v>
                </c:pt>
                <c:pt idx="2">
                  <c:v>0.20269411147966038</c:v>
                </c:pt>
                <c:pt idx="3">
                  <c:v>0.17987366969662363</c:v>
                </c:pt>
                <c:pt idx="4">
                  <c:v>0.17857450480330891</c:v>
                </c:pt>
              </c:numCache>
            </c:numRef>
          </c:val>
          <c:extLst>
            <c:ext xmlns:c16="http://schemas.microsoft.com/office/drawing/2014/chart" uri="{C3380CC4-5D6E-409C-BE32-E72D297353CC}">
              <c16:uniqueId val="{00000001-152F-4BDB-B670-6A1F8DA575D9}"/>
            </c:ext>
          </c:extLst>
        </c:ser>
        <c:dLbls>
          <c:showLegendKey val="0"/>
          <c:showVal val="0"/>
          <c:showCatName val="0"/>
          <c:showSerName val="0"/>
          <c:showPercent val="0"/>
          <c:showBubbleSize val="0"/>
        </c:dLbls>
        <c:gapWidth val="219"/>
        <c:overlap val="-27"/>
        <c:axId val="541170736"/>
        <c:axId val="1775478447"/>
      </c:barChart>
      <c:catAx>
        <c:axId val="54117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478447"/>
        <c:crosses val="autoZero"/>
        <c:auto val="1"/>
        <c:lblAlgn val="ctr"/>
        <c:lblOffset val="100"/>
        <c:noMultiLvlLbl val="0"/>
      </c:catAx>
      <c:valAx>
        <c:axId val="177547844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17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600075</xdr:colOff>
      <xdr:row>25</xdr:row>
      <xdr:rowOff>28575</xdr:rowOff>
    </xdr:from>
    <xdr:to>
      <xdr:col>4</xdr:col>
      <xdr:colOff>1390650</xdr:colOff>
      <xdr:row>40</xdr:row>
      <xdr:rowOff>57150</xdr:rowOff>
    </xdr:to>
    <xdr:graphicFrame macro="">
      <xdr:nvGraphicFramePr>
        <xdr:cNvPr id="3" name="Chart 2">
          <a:extLst>
            <a:ext uri="{FF2B5EF4-FFF2-40B4-BE49-F238E27FC236}">
              <a16:creationId xmlns:a16="http://schemas.microsoft.com/office/drawing/2014/main" id="{64E42490-A032-450F-85BB-FDC88CEA3FC7}"/>
            </a:ext>
            <a:ext uri="{147F2762-F138-4A5C-976F-8EAC2B608ADB}">
              <a16:predDERef xmlns:a16="http://schemas.microsoft.com/office/drawing/2014/main" pred="{E514CD4F-C3DF-5489-071A-F2962AC56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66675</xdr:colOff>
      <xdr:row>25</xdr:row>
      <xdr:rowOff>123825</xdr:rowOff>
    </xdr:from>
    <xdr:to>
      <xdr:col>8</xdr:col>
      <xdr:colOff>1504950</xdr:colOff>
      <xdr:row>39</xdr:row>
      <xdr:rowOff>180975</xdr:rowOff>
    </xdr:to>
    <xdr:graphicFrame macro="">
      <xdr:nvGraphicFramePr>
        <xdr:cNvPr id="5" name="Chart 4">
          <a:extLst>
            <a:ext uri="{FF2B5EF4-FFF2-40B4-BE49-F238E27FC236}">
              <a16:creationId xmlns:a16="http://schemas.microsoft.com/office/drawing/2014/main" id="{7ED9D8BF-C6A8-4C97-855A-9B6A4E590FA2}"/>
            </a:ext>
            <a:ext uri="{147F2762-F138-4A5C-976F-8EAC2B608ADB}">
              <a16:predDERef xmlns:a16="http://schemas.microsoft.com/office/drawing/2014/main" pred="{64E42490-A032-450F-85BB-FDC88CEA3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1885950</xdr:colOff>
      <xdr:row>3</xdr:row>
      <xdr:rowOff>0</xdr:rowOff>
    </xdr:from>
    <xdr:to>
      <xdr:col>10</xdr:col>
      <xdr:colOff>552450</xdr:colOff>
      <xdr:row>9</xdr:row>
      <xdr:rowOff>171450</xdr:rowOff>
    </xdr:to>
    <xdr:sp macro="" textlink="">
      <xdr:nvSpPr>
        <xdr:cNvPr id="2" name="TextBox 1">
          <a:extLst>
            <a:ext uri="{FF2B5EF4-FFF2-40B4-BE49-F238E27FC236}">
              <a16:creationId xmlns:a16="http://schemas.microsoft.com/office/drawing/2014/main" id="{518243E9-449D-E9D1-89A8-6E572C3A6D3C}"/>
            </a:ext>
            <a:ext uri="{147F2762-F138-4A5C-976F-8EAC2B608ADB}">
              <a16:predDERef xmlns:a16="http://schemas.microsoft.com/office/drawing/2014/main" pred="{7ED9D8BF-C6A8-4C97-855A-9B6A4E590FA2}"/>
            </a:ext>
          </a:extLst>
        </xdr:cNvPr>
        <xdr:cNvSpPr txBox="1"/>
      </xdr:nvSpPr>
      <xdr:spPr>
        <a:xfrm>
          <a:off x="7381875" y="647700"/>
          <a:ext cx="5895975" cy="16287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The portfolio totals ₹834.8M, with a current outstanding of ₹466.5M across 500 loans, meaning about 56% of the book is still active. The average loan size is ₹1.67M, and the average outstanding per loan is ₹0.93M, indicating a mid-sized, reasonably diversified portfolio that appears healthy in scale and balance mix.</a:t>
          </a:r>
        </a:p>
        <a:p>
          <a:pPr marL="0" indent="0" algn="l"/>
          <a:r>
            <a:rPr lang="en-US" sz="1100">
              <a:latin typeface="+mn-lt"/>
              <a:ea typeface="+mn-lt"/>
              <a:cs typeface="+mn-lt"/>
            </a:rPr>
            <a:t>From a repayment standpoint, 3% of loans have defaulted, and 15% are more than 30 days past due, which signals some early repayment delays but overall controlled risk at this stage. With an average interest rate of 14.36%, the portfolio is generating strong returns while maintaining manageable credit risk.</a:t>
          </a:r>
        </a:p>
      </xdr:txBody>
    </xdr:sp>
    <xdr:clientData/>
  </xdr:twoCellAnchor>
  <xdr:twoCellAnchor>
    <xdr:from>
      <xdr:col>6</xdr:col>
      <xdr:colOff>238125</xdr:colOff>
      <xdr:row>66</xdr:row>
      <xdr:rowOff>133350</xdr:rowOff>
    </xdr:from>
    <xdr:to>
      <xdr:col>8</xdr:col>
      <xdr:colOff>1905000</xdr:colOff>
      <xdr:row>73</xdr:row>
      <xdr:rowOff>0</xdr:rowOff>
    </xdr:to>
    <xdr:sp macro="" textlink="">
      <xdr:nvSpPr>
        <xdr:cNvPr id="4" name="TextBox 3">
          <a:extLst>
            <a:ext uri="{FF2B5EF4-FFF2-40B4-BE49-F238E27FC236}">
              <a16:creationId xmlns:a16="http://schemas.microsoft.com/office/drawing/2014/main" id="{7DDAF67E-7F7F-FEEE-7041-64005D5C0F01}"/>
            </a:ext>
            <a:ext uri="{147F2762-F138-4A5C-976F-8EAC2B608ADB}">
              <a16:predDERef xmlns:a16="http://schemas.microsoft.com/office/drawing/2014/main" pred="{518243E9-449D-E9D1-89A8-6E572C3A6D3C}"/>
            </a:ext>
          </a:extLst>
        </xdr:cNvPr>
        <xdr:cNvSpPr txBox="1"/>
      </xdr:nvSpPr>
      <xdr:spPr>
        <a:xfrm>
          <a:off x="7705725" y="13249275"/>
          <a:ext cx="3724275" cy="12001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“There appears to be ₹43M outstanding under accounts marked as ‘Closed’. We should validate whether this reflects system timing differences or status misclassification, as it impacts risk segmentation accuracy.”</a:t>
          </a:r>
        </a:p>
      </xdr:txBody>
    </xdr:sp>
    <xdr:clientData/>
  </xdr:twoCellAnchor>
  <xdr:twoCellAnchor>
    <xdr:from>
      <xdr:col>6</xdr:col>
      <xdr:colOff>561975</xdr:colOff>
      <xdr:row>77</xdr:row>
      <xdr:rowOff>9525</xdr:rowOff>
    </xdr:from>
    <xdr:to>
      <xdr:col>9</xdr:col>
      <xdr:colOff>276225</xdr:colOff>
      <xdr:row>84</xdr:row>
      <xdr:rowOff>19050</xdr:rowOff>
    </xdr:to>
    <xdr:sp macro="" textlink="">
      <xdr:nvSpPr>
        <xdr:cNvPr id="6" name="TextBox 5">
          <a:extLst>
            <a:ext uri="{FF2B5EF4-FFF2-40B4-BE49-F238E27FC236}">
              <a16:creationId xmlns:a16="http://schemas.microsoft.com/office/drawing/2014/main" id="{96F35D5F-7EAD-CEFF-E737-E6C351714E91}"/>
            </a:ext>
            <a:ext uri="{147F2762-F138-4A5C-976F-8EAC2B608ADB}">
              <a16:predDERef xmlns:a16="http://schemas.microsoft.com/office/drawing/2014/main" pred="{7DDAF67E-7F7F-FEEE-7041-64005D5C0F01}"/>
            </a:ext>
          </a:extLst>
        </xdr:cNvPr>
        <xdr:cNvSpPr txBox="1"/>
      </xdr:nvSpPr>
      <xdr:spPr>
        <a:xfrm>
          <a:off x="7143750" y="15220950"/>
          <a:ext cx="4210050" cy="13430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The portfolio is largely concentrated in borrowers with moderate leverage (DTI 0.35–0.5), representing over half of total exposure. While low-DTI customers form a solid base, a majority of the book sits in mid-risk profiles, making the portfolio sensitive to income disruptions. High-risk borrowers (&gt;0.5 DTI) remain limited at 7% of exposure, which keeps overall underwriting risk controlled.</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a:latin typeface="+mn-lt"/>
            <a:ea typeface="+mn-lt"/>
            <a:cs typeface="+mn-lt"/>
          </a:endParaRPr>
        </a:p>
      </xdr:txBody>
    </xdr:sp>
    <xdr:clientData/>
  </xdr:twoCellAnchor>
  <xdr:twoCellAnchor>
    <xdr:from>
      <xdr:col>5</xdr:col>
      <xdr:colOff>1066800</xdr:colOff>
      <xdr:row>120</xdr:row>
      <xdr:rowOff>95250</xdr:rowOff>
    </xdr:from>
    <xdr:to>
      <xdr:col>8</xdr:col>
      <xdr:colOff>1495425</xdr:colOff>
      <xdr:row>127</xdr:row>
      <xdr:rowOff>142875</xdr:rowOff>
    </xdr:to>
    <xdr:sp macro="" textlink="">
      <xdr:nvSpPr>
        <xdr:cNvPr id="7" name="TextBox 6">
          <a:extLst>
            <a:ext uri="{FF2B5EF4-FFF2-40B4-BE49-F238E27FC236}">
              <a16:creationId xmlns:a16="http://schemas.microsoft.com/office/drawing/2014/main" id="{597825ED-23EE-1349-C4EC-0FB80220C1A4}"/>
            </a:ext>
            <a:ext uri="{147F2762-F138-4A5C-976F-8EAC2B608ADB}">
              <a16:predDERef xmlns:a16="http://schemas.microsoft.com/office/drawing/2014/main" pred="{96F35D5F-7EAD-CEFF-E737-E6C351714E91}"/>
            </a:ext>
          </a:extLst>
        </xdr:cNvPr>
        <xdr:cNvSpPr txBox="1"/>
      </xdr:nvSpPr>
      <xdr:spPr>
        <a:xfrm>
          <a:off x="6172200" y="19764375"/>
          <a:ext cx="3962400" cy="13811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Defaults are primarily concentrated in Risk Band C (4.7% default rate), while higher bands (D and E) are not yet showing proportionately higher defaults. The default trend is not fully aligned with expected risk ranking, suggesting either portfolio seasoning effects or the need to reassess risk band calibration.</a:t>
          </a:r>
        </a:p>
      </xdr:txBody>
    </xdr:sp>
    <xdr:clientData/>
  </xdr:twoCellAnchor>
  <xdr:twoCellAnchor>
    <xdr:from>
      <xdr:col>5</xdr:col>
      <xdr:colOff>1276350</xdr:colOff>
      <xdr:row>157</xdr:row>
      <xdr:rowOff>114300</xdr:rowOff>
    </xdr:from>
    <xdr:to>
      <xdr:col>8</xdr:col>
      <xdr:colOff>1171575</xdr:colOff>
      <xdr:row>171</xdr:row>
      <xdr:rowOff>57150</xdr:rowOff>
    </xdr:to>
    <xdr:sp macro="" textlink="">
      <xdr:nvSpPr>
        <xdr:cNvPr id="8" name="TextBox 7">
          <a:extLst>
            <a:ext uri="{FF2B5EF4-FFF2-40B4-BE49-F238E27FC236}">
              <a16:creationId xmlns:a16="http://schemas.microsoft.com/office/drawing/2014/main" id="{0982BBAD-B1CA-279E-3CA1-4C82D84F31B9}"/>
            </a:ext>
            <a:ext uri="{147F2762-F138-4A5C-976F-8EAC2B608ADB}">
              <a16:predDERef xmlns:a16="http://schemas.microsoft.com/office/drawing/2014/main" pred="{597825ED-23EE-1349-C4EC-0FB80220C1A4}"/>
            </a:ext>
          </a:extLst>
        </xdr:cNvPr>
        <xdr:cNvSpPr txBox="1"/>
      </xdr:nvSpPr>
      <xdr:spPr>
        <a:xfrm>
          <a:off x="6381750" y="26908125"/>
          <a:ext cx="3429000" cy="26098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Interest rates increase consistently across risk bands (10% in A to 20% in E), confirming a structured risk-based pricing model. Product pricing also aligns with expected risk levels, with secured loans priced lower and unsecured products like personal loans priced higher. Overall, the portfolio demonstrates disciplined pricing relative to borrower risk.</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7.921728356479" createdVersion="8" refreshedVersion="8" minRefreshableVersion="3" recordCount="500" xr:uid="{367C3DDB-093B-2448-BD84-317E29C938D8}">
  <cacheSource type="worksheet">
    <worksheetSource name="Table1"/>
  </cacheSource>
  <cacheFields count="48">
    <cacheField name="loan_id" numFmtId="0">
      <sharedItems/>
    </cacheField>
    <cacheField name="customer_id" numFmtId="0">
      <sharedItems/>
    </cacheField>
    <cacheField name="origination_date" numFmtId="164">
      <sharedItems containsSemiMixedTypes="0" containsNonDate="0" containsDate="1" containsString="0" minDate="2022-01-02T00:00:00" maxDate="2025-11-30T00:00:00" count="435">
        <d v="2022-01-07T00:00:00"/>
        <d v="2022-01-20T00:00:00"/>
        <d v="2022-02-11T00:00:00"/>
        <d v="2022-02-05T00:00:00"/>
        <d v="2022-01-16T00:00:00"/>
        <d v="2022-01-21T00:00:00"/>
        <d v="2022-01-03T00:00:00"/>
        <d v="2022-01-12T00:00:00"/>
        <d v="2022-03-21T00:00:00"/>
        <d v="2022-01-02T00:00:00"/>
        <d v="2022-02-01T00:00:00"/>
        <d v="2022-02-12T00:00:00"/>
        <d v="2022-03-20T00:00:00"/>
        <d v="2022-03-22T00:00:00"/>
        <d v="2022-01-26T00:00:00"/>
        <d v="2022-01-13T00:00:00"/>
        <d v="2022-03-12T00:00:00"/>
        <d v="2022-03-28T00:00:00"/>
        <d v="2022-03-11T00:00:00"/>
        <d v="2022-01-11T00:00:00"/>
        <d v="2022-02-28T00:00:00"/>
        <d v="2022-02-22T00:00:00"/>
        <d v="2022-02-21T00:00:00"/>
        <d v="2022-03-14T00:00:00"/>
        <d v="2022-03-25T00:00:00"/>
        <d v="2022-03-15T00:00:00"/>
        <d v="2022-03-01T00:00:00"/>
        <d v="2022-03-09T00:00:00"/>
        <d v="2022-03-05T00:00:00"/>
        <d v="2023-03-23T00:00:00"/>
        <d v="2023-03-05T00:00:00"/>
        <d v="2023-01-20T00:00:00"/>
        <d v="2023-03-14T00:00:00"/>
        <d v="2023-01-28T00:00:00"/>
        <d v="2023-02-12T00:00:00"/>
        <d v="2023-02-19T00:00:00"/>
        <d v="2023-03-16T00:00:00"/>
        <d v="2023-02-24T00:00:00"/>
        <d v="2023-01-16T00:00:00"/>
        <d v="2023-03-08T00:00:00"/>
        <d v="2023-02-22T00:00:00"/>
        <d v="2023-01-29T00:00:00"/>
        <d v="2023-03-29T00:00:00"/>
        <d v="2023-01-01T00:00:00"/>
        <d v="2023-03-02T00:00:00"/>
        <d v="2023-01-08T00:00:00"/>
        <d v="2023-02-11T00:00:00"/>
        <d v="2023-03-25T00:00:00"/>
        <d v="2023-02-06T00:00:00"/>
        <d v="2023-02-10T00:00:00"/>
        <d v="2023-01-17T00:00:00"/>
        <d v="2023-03-15T00:00:00"/>
        <d v="2023-03-26T00:00:00"/>
        <d v="2023-01-06T00:00:00"/>
        <d v="2023-03-21T00:00:00"/>
        <d v="2023-02-02T00:00:00"/>
        <d v="2023-01-13T00:00:00"/>
        <d v="2023-01-12T00:00:00"/>
        <d v="2023-03-13T00:00:00"/>
        <d v="2023-03-04T00:00:00"/>
        <d v="2023-02-28T00:00:00"/>
        <d v="2023-02-17T00:00:00"/>
        <d v="2024-02-03T00:00:00"/>
        <d v="2024-01-30T00:00:00"/>
        <d v="2024-01-07T00:00:00"/>
        <d v="2024-01-28T00:00:00"/>
        <d v="2024-03-19T00:00:00"/>
        <d v="2024-02-26T00:00:00"/>
        <d v="2024-01-14T00:00:00"/>
        <d v="2024-01-10T00:00:00"/>
        <d v="2024-03-06T00:00:00"/>
        <d v="2024-03-14T00:00:00"/>
        <d v="2024-01-22T00:00:00"/>
        <d v="2024-01-04T00:00:00"/>
        <d v="2024-02-28T00:00:00"/>
        <d v="2024-01-21T00:00:00"/>
        <d v="2024-03-04T00:00:00"/>
        <d v="2024-02-11T00:00:00"/>
        <d v="2024-01-09T00:00:00"/>
        <d v="2024-02-13T00:00:00"/>
        <d v="2024-01-13T00:00:00"/>
        <d v="2024-01-20T00:00:00"/>
        <d v="2024-01-06T00:00:00"/>
        <d v="2024-03-29T00:00:00"/>
        <d v="2024-03-21T00:00:00"/>
        <d v="2024-02-12T00:00:00"/>
        <d v="2024-03-05T00:00:00"/>
        <d v="2024-03-12T00:00:00"/>
        <d v="2024-03-01T00:00:00"/>
        <d v="2024-01-29T00:00:00"/>
        <d v="2024-03-13T00:00:00"/>
        <d v="2025-02-20T00:00:00"/>
        <d v="2025-03-21T00:00:00"/>
        <d v="2025-01-04T00:00:00"/>
        <d v="2025-03-28T00:00:00"/>
        <d v="2025-01-09T00:00:00"/>
        <d v="2025-02-19T00:00:00"/>
        <d v="2025-01-11T00:00:00"/>
        <d v="2025-03-10T00:00:00"/>
        <d v="2025-03-22T00:00:00"/>
        <d v="2025-02-28T00:00:00"/>
        <d v="2025-01-25T00:00:00"/>
        <d v="2025-02-10T00:00:00"/>
        <d v="2025-01-23T00:00:00"/>
        <d v="2025-01-16T00:00:00"/>
        <d v="2025-01-06T00:00:00"/>
        <d v="2025-02-06T00:00:00"/>
        <d v="2025-02-21T00:00:00"/>
        <d v="2025-02-08T00:00:00"/>
        <d v="2025-01-19T00:00:00"/>
        <d v="2025-01-21T00:00:00"/>
        <d v="2025-03-03T00:00:00"/>
        <d v="2025-02-17T00:00:00"/>
        <d v="2025-01-13T00:00:00"/>
        <d v="2025-01-31T00:00:00"/>
        <d v="2025-03-20T00:00:00"/>
        <d v="2025-02-03T00:00:00"/>
        <d v="2022-05-26T00:00:00"/>
        <d v="2022-04-14T00:00:00"/>
        <d v="2022-05-01T00:00:00"/>
        <d v="2022-04-06T00:00:00"/>
        <d v="2022-04-28T00:00:00"/>
        <d v="2022-06-21T00:00:00"/>
        <d v="2022-06-27T00:00:00"/>
        <d v="2022-06-03T00:00:00"/>
        <d v="2022-04-04T00:00:00"/>
        <d v="2022-06-08T00:00:00"/>
        <d v="2022-06-13T00:00:00"/>
        <d v="2022-05-31T00:00:00"/>
        <d v="2022-05-28T00:00:00"/>
        <d v="2022-04-20T00:00:00"/>
        <d v="2022-06-20T00:00:00"/>
        <d v="2022-04-16T00:00:00"/>
        <d v="2022-06-06T00:00:00"/>
        <d v="2022-04-25T00:00:00"/>
        <d v="2022-04-17T00:00:00"/>
        <d v="2022-05-02T00:00:00"/>
        <d v="2022-06-15T00:00:00"/>
        <d v="2022-06-10T00:00:00"/>
        <d v="2022-06-09T00:00:00"/>
        <d v="2022-04-22T00:00:00"/>
        <d v="2022-04-07T00:00:00"/>
        <d v="2023-04-07T00:00:00"/>
        <d v="2023-04-11T00:00:00"/>
        <d v="2023-06-09T00:00:00"/>
        <d v="2023-04-29T00:00:00"/>
        <d v="2023-05-03T00:00:00"/>
        <d v="2023-04-15T00:00:00"/>
        <d v="2023-05-11T00:00:00"/>
        <d v="2023-06-17T00:00:00"/>
        <d v="2023-04-23T00:00:00"/>
        <d v="2023-05-12T00:00:00"/>
        <d v="2023-05-04T00:00:00"/>
        <d v="2023-04-22T00:00:00"/>
        <d v="2023-06-07T00:00:00"/>
        <d v="2023-04-02T00:00:00"/>
        <d v="2023-06-06T00:00:00"/>
        <d v="2023-04-30T00:00:00"/>
        <d v="2023-05-08T00:00:00"/>
        <d v="2023-06-13T00:00:00"/>
        <d v="2023-05-13T00:00:00"/>
        <d v="2023-06-12T00:00:00"/>
        <d v="2023-05-06T00:00:00"/>
        <d v="2023-04-19T00:00:00"/>
        <d v="2023-05-17T00:00:00"/>
        <d v="2024-04-19T00:00:00"/>
        <d v="2024-06-27T00:00:00"/>
        <d v="2024-05-05T00:00:00"/>
        <d v="2024-06-22T00:00:00"/>
        <d v="2024-06-21T00:00:00"/>
        <d v="2024-06-30T00:00:00"/>
        <d v="2024-05-01T00:00:00"/>
        <d v="2024-04-24T00:00:00"/>
        <d v="2024-06-10T00:00:00"/>
        <d v="2024-05-27T00:00:00"/>
        <d v="2024-04-22T00:00:00"/>
        <d v="2024-04-18T00:00:00"/>
        <d v="2024-04-13T00:00:00"/>
        <d v="2024-04-02T00:00:00"/>
        <d v="2024-05-19T00:00:00"/>
        <d v="2024-06-26T00:00:00"/>
        <d v="2024-06-08T00:00:00"/>
        <d v="2024-04-16T00:00:00"/>
        <d v="2024-06-06T00:00:00"/>
        <d v="2024-06-29T00:00:00"/>
        <d v="2024-05-23T00:00:00"/>
        <d v="2024-05-09T00:00:00"/>
        <d v="2024-06-25T00:00:00"/>
        <d v="2024-06-05T00:00:00"/>
        <d v="2024-06-18T00:00:00"/>
        <d v="2025-06-05T00:00:00"/>
        <d v="2025-04-30T00:00:00"/>
        <d v="2025-05-24T00:00:00"/>
        <d v="2025-06-22T00:00:00"/>
        <d v="2025-05-26T00:00:00"/>
        <d v="2025-06-13T00:00:00"/>
        <d v="2025-05-09T00:00:00"/>
        <d v="2025-05-23T00:00:00"/>
        <d v="2025-05-22T00:00:00"/>
        <d v="2025-04-20T00:00:00"/>
        <d v="2025-04-21T00:00:00"/>
        <d v="2025-04-12T00:00:00"/>
        <d v="2025-05-06T00:00:00"/>
        <d v="2025-05-04T00:00:00"/>
        <d v="2025-05-14T00:00:00"/>
        <d v="2025-04-17T00:00:00"/>
        <d v="2025-05-03T00:00:00"/>
        <d v="2025-06-21T00:00:00"/>
        <d v="2025-06-14T00:00:00"/>
        <d v="2025-04-09T00:00:00"/>
        <d v="2025-04-22T00:00:00"/>
        <d v="2025-05-07T00:00:00"/>
        <d v="2025-04-14T00:00:00"/>
        <d v="2025-06-27T00:00:00"/>
        <d v="2025-06-11T00:00:00"/>
        <d v="2025-05-12T00:00:00"/>
        <d v="2025-05-08T00:00:00"/>
        <d v="2025-05-18T00:00:00"/>
        <d v="2025-06-04T00:00:00"/>
        <d v="2025-05-16T00:00:00"/>
        <d v="2025-05-05T00:00:00"/>
        <d v="2025-04-10T00:00:00"/>
        <d v="2025-04-27T00:00:00"/>
        <d v="2025-04-19T00:00:00"/>
        <d v="2022-09-24T00:00:00"/>
        <d v="2022-08-04T00:00:00"/>
        <d v="2022-09-11T00:00:00"/>
        <d v="2022-07-23T00:00:00"/>
        <d v="2022-09-26T00:00:00"/>
        <d v="2022-08-23T00:00:00"/>
        <d v="2022-09-16T00:00:00"/>
        <d v="2022-08-09T00:00:00"/>
        <d v="2022-09-05T00:00:00"/>
        <d v="2022-09-22T00:00:00"/>
        <d v="2022-07-22T00:00:00"/>
        <d v="2022-08-26T00:00:00"/>
        <d v="2022-08-05T00:00:00"/>
        <d v="2022-07-26T00:00:00"/>
        <d v="2022-07-19T00:00:00"/>
        <d v="2022-08-08T00:00:00"/>
        <d v="2022-09-01T00:00:00"/>
        <d v="2022-07-03T00:00:00"/>
        <d v="2022-07-12T00:00:00"/>
        <d v="2022-08-11T00:00:00"/>
        <d v="2022-09-02T00:00:00"/>
        <d v="2022-08-21T00:00:00"/>
        <d v="2022-07-15T00:00:00"/>
        <d v="2023-07-04T00:00:00"/>
        <d v="2023-09-09T00:00:00"/>
        <d v="2023-08-07T00:00:00"/>
        <d v="2023-08-24T00:00:00"/>
        <d v="2023-07-14T00:00:00"/>
        <d v="2023-09-17T00:00:00"/>
        <d v="2023-08-17T00:00:00"/>
        <d v="2023-09-19T00:00:00"/>
        <d v="2023-08-19T00:00:00"/>
        <d v="2023-08-30T00:00:00"/>
        <d v="2023-07-22T00:00:00"/>
        <d v="2023-09-13T00:00:00"/>
        <d v="2023-09-22T00:00:00"/>
        <d v="2023-07-01T00:00:00"/>
        <d v="2023-07-17T00:00:00"/>
        <d v="2023-07-07T00:00:00"/>
        <d v="2023-08-25T00:00:00"/>
        <d v="2023-08-10T00:00:00"/>
        <d v="2023-07-16T00:00:00"/>
        <d v="2023-09-28T00:00:00"/>
        <d v="2023-08-18T00:00:00"/>
        <d v="2023-08-21T00:00:00"/>
        <d v="2023-07-28T00:00:00"/>
        <d v="2023-07-18T00:00:00"/>
        <d v="2023-09-12T00:00:00"/>
        <d v="2023-09-03T00:00:00"/>
        <d v="2023-09-27T00:00:00"/>
        <d v="2023-08-05T00:00:00"/>
        <d v="2023-08-12T00:00:00"/>
        <d v="2023-07-24T00:00:00"/>
        <d v="2023-08-31T00:00:00"/>
        <d v="2023-07-09T00:00:00"/>
        <d v="2023-08-20T00:00:00"/>
        <d v="2024-09-12T00:00:00"/>
        <d v="2024-09-10T00:00:00"/>
        <d v="2024-08-22T00:00:00"/>
        <d v="2024-09-29T00:00:00"/>
        <d v="2024-07-22T00:00:00"/>
        <d v="2024-07-19T00:00:00"/>
        <d v="2024-08-18T00:00:00"/>
        <d v="2024-08-23T00:00:00"/>
        <d v="2024-07-01T00:00:00"/>
        <d v="2024-07-28T00:00:00"/>
        <d v="2024-09-14T00:00:00"/>
        <d v="2024-07-23T00:00:00"/>
        <d v="2024-07-17T00:00:00"/>
        <d v="2024-07-18T00:00:00"/>
        <d v="2024-09-25T00:00:00"/>
        <d v="2024-08-13T00:00:00"/>
        <d v="2024-08-29T00:00:00"/>
        <d v="2024-08-26T00:00:00"/>
        <d v="2024-07-24T00:00:00"/>
        <d v="2024-07-05T00:00:00"/>
        <d v="2024-09-27T00:00:00"/>
        <d v="2024-08-16T00:00:00"/>
        <d v="2025-08-19T00:00:00"/>
        <d v="2025-08-07T00:00:00"/>
        <d v="2025-09-28T00:00:00"/>
        <d v="2025-09-07T00:00:00"/>
        <d v="2025-07-04T00:00:00"/>
        <d v="2025-08-25T00:00:00"/>
        <d v="2025-08-16T00:00:00"/>
        <d v="2025-07-14T00:00:00"/>
        <d v="2025-07-06T00:00:00"/>
        <d v="2025-07-15T00:00:00"/>
        <d v="2025-08-10T00:00:00"/>
        <d v="2025-09-25T00:00:00"/>
        <d v="2025-08-15T00:00:00"/>
        <d v="2025-08-04T00:00:00"/>
        <d v="2025-07-24T00:00:00"/>
        <d v="2025-09-22T00:00:00"/>
        <d v="2025-07-22T00:00:00"/>
        <d v="2025-07-23T00:00:00"/>
        <d v="2025-08-09T00:00:00"/>
        <d v="2025-08-29T00:00:00"/>
        <d v="2025-08-24T00:00:00"/>
        <d v="2025-08-01T00:00:00"/>
        <d v="2025-07-21T00:00:00"/>
        <d v="2025-09-03T00:00:00"/>
        <d v="2025-09-20T00:00:00"/>
        <d v="2025-07-07T00:00:00"/>
        <d v="2022-12-18T00:00:00"/>
        <d v="2022-11-24T00:00:00"/>
        <d v="2022-12-12T00:00:00"/>
        <d v="2022-11-10T00:00:00"/>
        <d v="2022-12-02T00:00:00"/>
        <d v="2022-10-05T00:00:00"/>
        <d v="2022-10-16T00:00:00"/>
        <d v="2022-12-01T00:00:00"/>
        <d v="2022-11-14T00:00:00"/>
        <d v="2022-12-07T00:00:00"/>
        <d v="2022-10-03T00:00:00"/>
        <d v="2022-12-31T00:00:00"/>
        <d v="2022-11-29T00:00:00"/>
        <d v="2022-11-05T00:00:00"/>
        <d v="2022-10-26T00:00:00"/>
        <d v="2022-10-01T00:00:00"/>
        <d v="2022-10-24T00:00:00"/>
        <d v="2022-12-06T00:00:00"/>
        <d v="2022-12-16T00:00:00"/>
        <d v="2022-11-26T00:00:00"/>
        <d v="2022-12-25T00:00:00"/>
        <d v="2022-12-03T00:00:00"/>
        <d v="2022-12-15T00:00:00"/>
        <d v="2022-12-09T00:00:00"/>
        <d v="2022-10-14T00:00:00"/>
        <d v="2023-12-23T00:00:00"/>
        <d v="2023-11-13T00:00:00"/>
        <d v="2023-12-28T00:00:00"/>
        <d v="2023-10-06T00:00:00"/>
        <d v="2023-12-19T00:00:00"/>
        <d v="2023-12-15T00:00:00"/>
        <d v="2023-12-22T00:00:00"/>
        <d v="2023-10-13T00:00:00"/>
        <d v="2023-12-21T00:00:00"/>
        <d v="2023-12-02T00:00:00"/>
        <d v="2023-12-03T00:00:00"/>
        <d v="2023-10-05T00:00:00"/>
        <d v="2023-12-01T00:00:00"/>
        <d v="2023-10-30T00:00:00"/>
        <d v="2023-12-27T00:00:00"/>
        <d v="2023-12-12T00:00:00"/>
        <d v="2023-10-27T00:00:00"/>
        <d v="2023-12-07T00:00:00"/>
        <d v="2023-10-21T00:00:00"/>
        <d v="2023-11-17T00:00:00"/>
        <d v="2023-10-11T00:00:00"/>
        <d v="2023-11-22T00:00:00"/>
        <d v="2023-11-03T00:00:00"/>
        <d v="2023-10-31T00:00:00"/>
        <d v="2023-10-03T00:00:00"/>
        <d v="2023-11-04T00:00:00"/>
        <d v="2023-11-29T00:00:00"/>
        <d v="2023-12-08T00:00:00"/>
        <d v="2023-11-14T00:00:00"/>
        <d v="2023-12-10T00:00:00"/>
        <d v="2024-12-22T00:00:00"/>
        <d v="2024-11-15T00:00:00"/>
        <d v="2024-11-14T00:00:00"/>
        <d v="2024-11-23T00:00:00"/>
        <d v="2024-10-02T00:00:00"/>
        <d v="2024-12-11T00:00:00"/>
        <d v="2024-10-06T00:00:00"/>
        <d v="2024-11-02T00:00:00"/>
        <d v="2024-12-08T00:00:00"/>
        <d v="2024-12-12T00:00:00"/>
        <d v="2024-12-17T00:00:00"/>
        <d v="2024-10-05T00:00:00"/>
        <d v="2024-11-13T00:00:00"/>
        <d v="2024-12-26T00:00:00"/>
        <d v="2024-12-16T00:00:00"/>
        <d v="2024-10-27T00:00:00"/>
        <d v="2024-10-16T00:00:00"/>
        <d v="2024-10-11T00:00:00"/>
        <d v="2024-11-29T00:00:00"/>
        <d v="2024-11-28T00:00:00"/>
        <d v="2024-11-24T00:00:00"/>
        <d v="2024-11-27T00:00:00"/>
        <d v="2024-11-16T00:00:00"/>
        <d v="2024-12-24T00:00:00"/>
        <d v="2024-10-14T00:00:00"/>
        <d v="2024-10-23T00:00:00"/>
        <d v="2024-10-31T00:00:00"/>
        <d v="2024-10-17T00:00:00"/>
        <d v="2024-11-11T00:00:00"/>
        <d v="2025-11-04T00:00:00"/>
        <d v="2025-11-15T00:00:00"/>
        <d v="2025-11-09T00:00:00"/>
        <d v="2025-11-10T00:00:00"/>
        <d v="2025-10-02T00:00:00"/>
        <d v="2025-10-08T00:00:00"/>
        <d v="2025-11-24T00:00:00"/>
        <d v="2025-10-09T00:00:00"/>
        <d v="2025-11-08T00:00:00"/>
        <d v="2025-10-01T00:00:00"/>
        <d v="2025-10-29T00:00:00"/>
        <d v="2025-10-18T00:00:00"/>
        <d v="2025-10-06T00:00:00"/>
        <d v="2025-11-17T00:00:00"/>
        <d v="2025-10-03T00:00:00"/>
        <d v="2025-11-03T00:00:00"/>
        <d v="2025-11-27T00:00:00"/>
        <d v="2025-11-28T00:00:00"/>
        <d v="2025-11-23T00:00:00"/>
        <d v="2025-10-19T00:00:00"/>
        <d v="2025-10-30T00:00:00"/>
        <d v="2025-10-04T00:00:00"/>
        <d v="2025-11-29T00:00:00"/>
      </sharedItems>
    </cacheField>
    <cacheField name="product" numFmtId="0">
      <sharedItems count="5">
        <s v="Personal Loan"/>
        <s v="SME Loan"/>
        <s v="Auto Loan"/>
        <s v="Home Loan"/>
        <s v="Education Loan"/>
      </sharedItems>
    </cacheField>
    <cacheField name="channel" numFmtId="0">
      <sharedItems count="4">
        <s v="Online"/>
        <s v="Branch"/>
        <s v="Partner"/>
        <s v="Call Center"/>
      </sharedItems>
    </cacheField>
    <cacheField name="region" numFmtId="0">
      <sharedItems count="5">
        <s v="South"/>
        <s v="West"/>
        <s v="Central"/>
        <s v="North"/>
        <s v="East"/>
      </sharedItems>
    </cacheField>
    <cacheField name="employment_type" numFmtId="0">
      <sharedItems count="4">
        <s v="Salaried"/>
        <s v="Contract"/>
        <s v="Self-Employed"/>
        <s v="Unemployed"/>
      </sharedItems>
    </cacheField>
    <cacheField name="term_months" numFmtId="0">
      <sharedItems containsSemiMixedTypes="0" containsString="0" containsNumber="1" containsInteger="1" minValue="12" maxValue="360"/>
    </cacheField>
    <cacheField name="loan_amount" numFmtId="0">
      <sharedItems containsSemiMixedTypes="0" containsString="0" containsNumber="1" containsInteger="1" minValue="50000" maxValue="8719200"/>
    </cacheField>
    <cacheField name="interest_rate_pct" numFmtId="0">
      <sharedItems containsSemiMixedTypes="0" containsString="0" containsNumber="1" minValue="7" maxValue="26.08"/>
    </cacheField>
    <cacheField name="emi" numFmtId="0">
      <sharedItems containsSemiMixedTypes="0" containsString="0" containsNumber="1" containsInteger="1" minValue="695" maxValue="736745"/>
    </cacheField>
    <cacheField name="annual_income" numFmtId="0">
      <sharedItems containsSemiMixedTypes="0" containsString="0" containsNumber="1" containsInteger="1" minValue="150000" maxValue="1970836"/>
    </cacheField>
    <cacheField name="credit_score" numFmtId="0">
      <sharedItems containsSemiMixedTypes="0" containsString="0" containsNumber="1" containsInteger="1" minValue="511" maxValue="850"/>
    </cacheField>
    <cacheField name="risk_band" numFmtId="0">
      <sharedItems count="5">
        <s v="B"/>
        <s v="C"/>
        <s v="D"/>
        <s v="A"/>
        <s v="E"/>
      </sharedItems>
    </cacheField>
    <cacheField name="dti_ratio" numFmtId="0">
      <sharedItems containsSemiMixedTypes="0" containsString="0" containsNumber="1" minValue="0.05" maxValue="0.66"/>
    </cacheField>
    <cacheField name="ltv_ratio" numFmtId="0">
      <sharedItems containsSemiMixedTypes="0" containsString="0" containsNumber="1" minValue="0.4" maxValue="1.19"/>
    </cacheField>
    <cacheField name="collateral_value" numFmtId="0">
      <sharedItems containsSemiMixedTypes="0" containsString="0" containsNumber="1" containsInteger="1" minValue="0" maxValue="13683000"/>
    </cacheField>
    <cacheField name="months_on_book" numFmtId="0">
      <sharedItems containsSemiMixedTypes="0" containsString="0" containsNumber="1" containsInteger="1" minValue="1" maxValue="47"/>
    </cacheField>
    <cacheField name="paid_amount_to_date" numFmtId="0">
      <sharedItems containsSemiMixedTypes="0" containsString="0" containsNumber="1" containsInteger="1" minValue="11227" maxValue="8717593"/>
    </cacheField>
    <cacheField name="current_balance" numFmtId="0">
      <sharedItems containsSemiMixedTypes="0" containsString="0" containsNumber="1" containsInteger="1" minValue="0" maxValue="6991508"/>
    </cacheField>
    <cacheField name="dpd" numFmtId="0">
      <sharedItems containsSemiMixedTypes="0" containsString="0" containsNumber="1" containsInteger="1" minValue="0" maxValue="120"/>
    </cacheField>
    <cacheField name="prepayment_flag" numFmtId="0">
      <sharedItems containsSemiMixedTypes="0" containsString="0" containsNumber="1" containsInteger="1" minValue="0" maxValue="1"/>
    </cacheField>
    <cacheField name="default_flag" numFmtId="0">
      <sharedItems containsSemiMixedTypes="0" containsString="0" containsNumber="1" containsInteger="1" minValue="0" maxValue="1"/>
    </cacheField>
    <cacheField name="loan_status" numFmtId="0">
      <sharedItems count="4">
        <s v="Delinquent"/>
        <s v="Closed"/>
        <s v="Active"/>
        <s v="Default"/>
      </sharedItems>
    </cacheField>
    <cacheField name="loan_amt_by_product" numFmtId="165">
      <sharedItems containsSemiMixedTypes="0" containsString="0" containsNumber="1" containsInteger="1" minValue="62765800" maxValue="403369500"/>
    </cacheField>
    <cacheField name="current_bal_by_region" numFmtId="165">
      <sharedItems containsSemiMixedTypes="0" containsString="0" containsNumber="1" containsInteger="1" minValue="83297251" maxValue="105779369"/>
    </cacheField>
    <cacheField name="count_loan_by_status" numFmtId="0">
      <sharedItems containsSemiMixedTypes="0" containsString="0" containsNumber="1" containsInteger="1" minValue="13" maxValue="301"/>
    </cacheField>
    <cacheField name="Overall default rate" numFmtId="0">
      <sharedItems containsSemiMixedTypes="0" containsString="0" containsNumber="1" minValue="2.5999999999999999E-2" maxValue="2.5999999999999999E-2"/>
    </cacheField>
    <cacheField name="Default rate by region" numFmtId="0">
      <sharedItems containsSemiMixedTypes="0" containsString="0" containsNumber="1" minValue="0" maxValue="4.2553191489361701E-2"/>
    </cacheField>
    <cacheField name="Prepayment rate by channel" numFmtId="0">
      <sharedItems containsSemiMixedTypes="0" containsString="0" containsNumber="1" minValue="5.8201058201058198E-2" maxValue="0.12"/>
    </cacheField>
    <cacheField name="avg_int_tateby_pro_risk_band" numFmtId="0">
      <sharedItems containsSemiMixedTypes="0" containsString="0" containsNumber="1" minValue="7.1876190476190471" maxValue="23.803750000000001"/>
    </cacheField>
    <cacheField name="DTI band" numFmtId="0">
      <sharedItems count="4">
        <s v="greater than 0.5"/>
        <s v="0.35 - 0.5"/>
        <s v="0.2 - 0.3"/>
        <s v=" less than 0.2"/>
      </sharedItems>
    </cacheField>
    <cacheField name="Count_loan_per_band" numFmtId="0">
      <sharedItems containsSemiMixedTypes="0" containsString="0" containsNumber="1" containsInteger="1" minValue="32" maxValue="260"/>
    </cacheField>
    <cacheField name="LTV band" numFmtId="0">
      <sharedItems count="3">
        <s v="0.6 - 0.8 -medium risky"/>
        <s v="greater than 0.8 -highly risky"/>
        <s v="less than 0.6 -less risky"/>
      </sharedItems>
    </cacheField>
    <cacheField name="count_loan_perband" numFmtId="0">
      <sharedItems containsSemiMixedTypes="0" containsString="0" containsNumber="1" containsInteger="1" minValue="57" maxValue="302"/>
    </cacheField>
    <cacheField name="default_rate_per_band" numFmtId="0">
      <sharedItems containsSemiMixedTypes="0" containsString="0" containsNumber="1" minValue="0" maxValue="3.6423841059602648E-2"/>
    </cacheField>
    <cacheField name="Loan size" numFmtId="0">
      <sharedItems/>
    </cacheField>
    <cacheField name="dpd flag" numFmtId="0">
      <sharedItems containsSemiMixedTypes="0" containsString="0" containsNumber="1" containsInteger="1" minValue="0" maxValue="1"/>
    </cacheField>
    <cacheField name="del rate per loan size" numFmtId="0">
      <sharedItems containsSemiMixedTypes="0" containsString="0" containsNumber="1" minValue="0.13934426229508196" maxValue="0.16250000000000001"/>
    </cacheField>
    <cacheField name="high risk" numFmtId="0">
      <sharedItems/>
    </cacheField>
    <cacheField name="origination month" numFmtId="14">
      <sharedItems containsSemiMixedTypes="0" containsNonDate="0" containsDate="1" containsString="0" minDate="2022-01-31T00:00:00" maxDate="2025-12-01T00:00:00"/>
    </cacheField>
    <cacheField name="loan amout by month" numFmtId="0">
      <sharedItems containsSemiMixedTypes="0" containsString="0" containsNumber="1" containsInteger="1" minValue="4518700" maxValue="38355800"/>
    </cacheField>
    <cacheField name="avg monthonbooks by product" numFmtId="0">
      <sharedItems containsSemiMixedTypes="0" containsString="0" containsNumber="1" minValue="19.091954022988507" maxValue="21.962962962962962"/>
    </cacheField>
    <cacheField name="new loan" numFmtId="0">
      <sharedItems/>
    </cacheField>
    <cacheField name="quarter" numFmtId="0">
      <sharedItems/>
    </cacheField>
    <cacheField name="idsbyrby quarter" numFmtId="0">
      <sharedItems containsSemiMixedTypes="0" containsString="0" containsNumber="1" containsInteger="1" minValue="29441400" maxValue="80205600"/>
    </cacheField>
    <cacheField name="fullrowconcat" numFmtId="0">
      <sharedItems/>
    </cacheField>
    <cacheField name="year" numFmtId="0">
      <sharedItems containsMixedTypes="1" containsNumber="1" containsInteger="1" minValue="2022" maxValue="2025" count="5">
        <n v="2022"/>
        <n v="2023"/>
        <n v="2024"/>
        <n v="2025"/>
        <e v="#VALU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L95839557"/>
    <s v="C8428595"/>
    <x v="0"/>
    <x v="0"/>
    <x v="0"/>
    <x v="0"/>
    <x v="0"/>
    <n v="72"/>
    <n v="649600"/>
    <n v="15.63"/>
    <n v="13959"/>
    <n v="817697"/>
    <n v="738"/>
    <x v="0"/>
    <n v="0.51"/>
    <n v="0.77"/>
    <n v="0"/>
    <n v="47"/>
    <n v="621896"/>
    <n v="186772"/>
    <n v="60"/>
    <n v="0"/>
    <n v="0"/>
    <x v="0"/>
    <n v="74897600"/>
    <n v="94548000"/>
    <n v="47"/>
    <n v="2.5999999999999999E-2"/>
    <n v="0"/>
    <n v="7.1090047393364927E-2"/>
    <n v="16.500166666666669"/>
    <x v="0"/>
    <n v="32"/>
    <x v="0"/>
    <n v="302"/>
    <n v="3.6423841059602648E-2"/>
    <s v="lower size (&lt; 9L)"/>
    <n v="1"/>
    <n v="0.13934426229508196"/>
    <s v="high risk"/>
    <d v="2022-01-31T00:00:00"/>
    <n v="19161700"/>
    <n v="21.092024539877301"/>
    <s v="Old Loan"/>
    <s v="Q12022"/>
    <n v="65393800"/>
    <s v="L95839557|C8428595|44568|Personal Loan|Online|South|Salaried|72|649600|15.63|13959|817697|738|B|0.51|0.77|0|47|621896|186772|60|0|0|Delinquent"/>
    <x v="0"/>
  </r>
  <r>
    <s v="L20307706"/>
    <s v="C4902567"/>
    <x v="1"/>
    <x v="0"/>
    <x v="0"/>
    <x v="1"/>
    <x v="0"/>
    <n v="12"/>
    <n v="826700"/>
    <n v="20.059999999999999"/>
    <n v="76605"/>
    <n v="1296749"/>
    <n v="671"/>
    <x v="1"/>
    <n v="0.49"/>
    <n v="0.76"/>
    <n v="0"/>
    <n v="12"/>
    <n v="915274"/>
    <n v="0"/>
    <n v="0"/>
    <n v="0"/>
    <n v="0"/>
    <x v="1"/>
    <n v="74897600"/>
    <n v="83903255"/>
    <n v="139"/>
    <n v="2.5999999999999999E-2"/>
    <n v="4.2553191489361701E-2"/>
    <n v="7.1090047393364927E-2"/>
    <n v="18.603181818181817"/>
    <x v="1"/>
    <n v="260"/>
    <x v="0"/>
    <n v="302"/>
    <n v="3.6423841059602648E-2"/>
    <s v="lower size (&lt; 9L)"/>
    <n v="0"/>
    <n v="0.13934426229508196"/>
    <s v=" not riskY"/>
    <d v="2022-01-31T00:00:00"/>
    <n v="19161700"/>
    <n v="21.092024539877301"/>
    <s v="Old Loan"/>
    <s v="Q12022"/>
    <n v="65393800"/>
    <s v="L20307706|C4902567|44581|Personal Loan|Online|West|Salaried|12|826700|20.06|76605|1296749|671|C|0.49|0.76|0|12|915274|0|0|0|0|Closed"/>
    <x v="0"/>
  </r>
  <r>
    <s v="L77801817"/>
    <s v="C2772757"/>
    <x v="2"/>
    <x v="0"/>
    <x v="1"/>
    <x v="2"/>
    <x v="1"/>
    <n v="240"/>
    <n v="193300"/>
    <n v="20.86"/>
    <n v="3415"/>
    <n v="281563"/>
    <n v="648"/>
    <x v="2"/>
    <n v="0.46"/>
    <n v="0.69"/>
    <n v="0"/>
    <n v="46"/>
    <n v="152501"/>
    <n v="102627"/>
    <n v="0"/>
    <n v="0"/>
    <n v="0"/>
    <x v="2"/>
    <n v="74897600"/>
    <n v="98928695"/>
    <n v="301"/>
    <n v="2.5999999999999999E-2"/>
    <n v="2.8571428571428571E-2"/>
    <n v="5.8201058201058198E-2"/>
    <n v="20.962592592592593"/>
    <x v="1"/>
    <n v="260"/>
    <x v="0"/>
    <n v="302"/>
    <n v="3.6423841059602648E-2"/>
    <s v="lower size (&lt; 9L)"/>
    <n v="0"/>
    <n v="0.13934426229508196"/>
    <s v=" not riskY"/>
    <d v="2022-02-28T00:00:00"/>
    <n v="20575600"/>
    <n v="21.092024539877301"/>
    <s v="Old Loan"/>
    <s v="Q12022"/>
    <n v="65393800"/>
    <s v="L77801817|C2772757|44603|Personal Loan|Branch|Central|Contract|240|193300|20.86|3415|281563|648|D|0.46|0.69|0|46|152501|102627|0|0|0|Active"/>
    <x v="0"/>
  </r>
  <r>
    <s v="L91055951"/>
    <s v="C9423458"/>
    <x v="3"/>
    <x v="0"/>
    <x v="0"/>
    <x v="3"/>
    <x v="2"/>
    <n v="180"/>
    <n v="551400"/>
    <n v="16.5"/>
    <n v="8291"/>
    <n v="974011"/>
    <n v="725"/>
    <x v="0"/>
    <n v="0.45"/>
    <n v="0.79"/>
    <n v="0"/>
    <n v="46"/>
    <n v="326163"/>
    <n v="364741"/>
    <n v="90"/>
    <n v="0"/>
    <n v="1"/>
    <x v="3"/>
    <n v="74897600"/>
    <n v="105779369"/>
    <n v="13"/>
    <n v="2.5999999999999999E-2"/>
    <n v="2.6548672566371681E-2"/>
    <n v="7.1090047393364927E-2"/>
    <n v="16.500166666666669"/>
    <x v="1"/>
    <n v="260"/>
    <x v="0"/>
    <n v="302"/>
    <n v="3.6423841059602648E-2"/>
    <s v="lower size (&lt; 9L)"/>
    <n v="1"/>
    <n v="0.13934426229508196"/>
    <s v="high risk"/>
    <d v="2022-02-28T00:00:00"/>
    <n v="20575600"/>
    <n v="21.092024539877301"/>
    <s v="Old Loan"/>
    <s v="Q12022"/>
    <n v="65393800"/>
    <s v="L91055951|C9423458|44597|Personal Loan|Online|North|Self-Employed|180|551400|16.5|8291|974011|725|B|0.45|0.79|0|46|326163|364741|90|0|1|Default"/>
    <x v="0"/>
  </r>
  <r>
    <s v="L91498218"/>
    <s v="C6141093"/>
    <x v="4"/>
    <x v="0"/>
    <x v="0"/>
    <x v="0"/>
    <x v="0"/>
    <n v="60"/>
    <n v="461700"/>
    <n v="17.32"/>
    <n v="11554"/>
    <n v="1181708"/>
    <n v="698"/>
    <x v="1"/>
    <n v="0.45"/>
    <n v="0.96"/>
    <n v="0"/>
    <n v="47"/>
    <n v="514908"/>
    <n v="72073"/>
    <n v="0"/>
    <n v="0"/>
    <n v="0"/>
    <x v="2"/>
    <n v="74897600"/>
    <n v="94548000"/>
    <n v="301"/>
    <n v="2.5999999999999999E-2"/>
    <n v="0"/>
    <n v="7.1090047393364927E-2"/>
    <n v="18.603181818181817"/>
    <x v="1"/>
    <n v="260"/>
    <x v="1"/>
    <n v="141"/>
    <n v="1.4184397163120567E-2"/>
    <s v="lower size (&lt; 9L)"/>
    <n v="0"/>
    <n v="0.13934426229508196"/>
    <s v=" not riskY"/>
    <d v="2022-01-31T00:00:00"/>
    <n v="19161700"/>
    <n v="21.092024539877301"/>
    <s v="Old Loan"/>
    <s v="Q12022"/>
    <n v="65393800"/>
    <s v="L91498218|C6141093|44577|Personal Loan|Online|South|Salaried|60|461700|17.32|11554|1181708|698|C|0.45|0.96|0|47|514908|72073|0|0|0|Active"/>
    <x v="0"/>
  </r>
  <r>
    <s v="L59912630"/>
    <s v="C2039410"/>
    <x v="5"/>
    <x v="1"/>
    <x v="2"/>
    <x v="1"/>
    <x v="0"/>
    <n v="36"/>
    <n v="1485500"/>
    <n v="9.61"/>
    <n v="47661"/>
    <n v="591567"/>
    <n v="790"/>
    <x v="3"/>
    <n v="0.43"/>
    <n v="0.71"/>
    <n v="2101800"/>
    <n v="36"/>
    <n v="1565725"/>
    <n v="91083"/>
    <n v="90"/>
    <n v="0"/>
    <n v="1"/>
    <x v="3"/>
    <n v="201475100"/>
    <n v="83903255"/>
    <n v="13"/>
    <n v="2.5999999999999999E-2"/>
    <n v="4.2553191489361701E-2"/>
    <n v="0.1"/>
    <n v="10.537499999999998"/>
    <x v="1"/>
    <n v="260"/>
    <x v="0"/>
    <n v="302"/>
    <n v="3.6423841059602648E-2"/>
    <s v="medium size (&lt;=33L)"/>
    <n v="1"/>
    <n v="0.15909090909090909"/>
    <s v="high risk"/>
    <d v="2022-01-31T00:00:00"/>
    <n v="19161700"/>
    <n v="19.091954022988507"/>
    <s v="Old Loan"/>
    <s v="Q12022"/>
    <n v="65393800"/>
    <s v="L59912630|C2039410|44582|SME Loan|Partner|West|Salaried|36|1485500|9.61|47661|591567|790|A|0.43|0.71|2101800|36|1565725|91083|90|0|1|Default"/>
    <x v="0"/>
  </r>
  <r>
    <s v="L84648575"/>
    <s v="C7318019"/>
    <x v="6"/>
    <x v="2"/>
    <x v="0"/>
    <x v="2"/>
    <x v="2"/>
    <n v="12"/>
    <n v="756000"/>
    <n v="9.7899999999999991"/>
    <n v="66391"/>
    <n v="1214494"/>
    <n v="714"/>
    <x v="0"/>
    <n v="0.43"/>
    <n v="0.83"/>
    <n v="905800"/>
    <n v="12"/>
    <n v="712425"/>
    <n v="73180"/>
    <n v="0"/>
    <n v="0"/>
    <n v="0"/>
    <x v="1"/>
    <n v="92273000"/>
    <n v="98928695"/>
    <n v="139"/>
    <n v="2.5999999999999999E-2"/>
    <n v="2.8571428571428571E-2"/>
    <n v="7.1090047393364927E-2"/>
    <n v="10.611923076923079"/>
    <x v="1"/>
    <n v="260"/>
    <x v="1"/>
    <n v="141"/>
    <n v="1.4184397163120567E-2"/>
    <s v="lower size (&lt; 9L)"/>
    <n v="0"/>
    <n v="0.13934426229508196"/>
    <s v=" not riskY"/>
    <d v="2022-01-31T00:00:00"/>
    <n v="19161700"/>
    <n v="20.262135922330096"/>
    <s v="Old Loan"/>
    <s v="Q12022"/>
    <n v="65393800"/>
    <s v="L84648575|C7318019|44564|Auto Loan|Online|Central|Self-Employed|12|756000|9.79|66391|1214494|714|B|0.43|0.83|905800|12|712425|73180|0|0|0|Closed"/>
    <x v="0"/>
  </r>
  <r>
    <s v="L80446170"/>
    <s v="C3438704"/>
    <x v="7"/>
    <x v="2"/>
    <x v="2"/>
    <x v="3"/>
    <x v="2"/>
    <n v="360"/>
    <n v="927500"/>
    <n v="17.8"/>
    <n v="13827"/>
    <n v="292886"/>
    <n v="582"/>
    <x v="4"/>
    <n v="0.43"/>
    <n v="1.17"/>
    <n v="796000"/>
    <n v="47"/>
    <n v="608625"/>
    <n v="577524"/>
    <n v="30"/>
    <n v="0"/>
    <n v="0"/>
    <x v="0"/>
    <n v="92273000"/>
    <n v="105779369"/>
    <n v="47"/>
    <n v="2.5999999999999999E-2"/>
    <n v="2.6548672566371681E-2"/>
    <n v="0.1"/>
    <n v="17.744166666666668"/>
    <x v="1"/>
    <n v="260"/>
    <x v="1"/>
    <n v="141"/>
    <n v="1.4184397163120567E-2"/>
    <s v="medium size (&lt;=33L)"/>
    <n v="1"/>
    <n v="0.15909090909090909"/>
    <s v="high risk"/>
    <d v="2022-01-31T00:00:00"/>
    <n v="19161700"/>
    <n v="20.262135922330096"/>
    <s v="Old Loan"/>
    <s v="Q12022"/>
    <n v="65393800"/>
    <s v="L80446170|C3438704|44573|Auto Loan|Partner|North|Self-Employed|360|927500|17.8|13827|292886|582|E|0.43|1.17|796000|47|608625|577524|30|0|0|Delinquent"/>
    <x v="0"/>
  </r>
  <r>
    <s v="L43371822"/>
    <s v="C3793012"/>
    <x v="8"/>
    <x v="3"/>
    <x v="2"/>
    <x v="4"/>
    <x v="1"/>
    <n v="180"/>
    <n v="3036000"/>
    <n v="11.56"/>
    <n v="35582"/>
    <n v="905645"/>
    <n v="688"/>
    <x v="1"/>
    <n v="0.43"/>
    <n v="0.61"/>
    <n v="5014200"/>
    <n v="45"/>
    <n v="1568365"/>
    <n v="1994077"/>
    <n v="90"/>
    <n v="0"/>
    <n v="1"/>
    <x v="3"/>
    <n v="403369500"/>
    <n v="83297251"/>
    <n v="13"/>
    <n v="2.5999999999999999E-2"/>
    <n v="3.1914893617021274E-2"/>
    <n v="0.1"/>
    <n v="11.719736842105268"/>
    <x v="1"/>
    <n v="260"/>
    <x v="0"/>
    <n v="302"/>
    <n v="3.6423841059602648E-2"/>
    <s v="medium size (&lt;=33L)"/>
    <n v="1"/>
    <n v="0.15909090909090909"/>
    <s v="high risk"/>
    <d v="2022-03-31T00:00:00"/>
    <n v="25656500"/>
    <n v="20.516129032258064"/>
    <s v="Old Loan"/>
    <s v="Q12022"/>
    <n v="65393800"/>
    <s v="L43371822|C3793012|44641|Home Loan|Partner|East|Contract|180|3036000|11.56|35582|905645|688|C|0.43|0.61|5014200|45|1568365|1994077|90|0|1|Default"/>
    <x v="0"/>
  </r>
  <r>
    <s v="L57769263"/>
    <s v="C3845927"/>
    <x v="9"/>
    <x v="3"/>
    <x v="2"/>
    <x v="2"/>
    <x v="0"/>
    <n v="12"/>
    <n v="3166600"/>
    <n v="7.1"/>
    <n v="274142"/>
    <n v="1204387"/>
    <n v="781"/>
    <x v="3"/>
    <n v="0.41"/>
    <n v="0.52"/>
    <n v="6033900"/>
    <n v="12"/>
    <n v="2982681"/>
    <n v="273850"/>
    <n v="0"/>
    <n v="0"/>
    <n v="0"/>
    <x v="1"/>
    <n v="403369500"/>
    <n v="98928695"/>
    <n v="139"/>
    <n v="2.5999999999999999E-2"/>
    <n v="2.8571428571428571E-2"/>
    <n v="0.1"/>
    <n v="7.1876190476190471"/>
    <x v="1"/>
    <n v="260"/>
    <x v="2"/>
    <n v="57"/>
    <n v="0"/>
    <s v="medium size (&lt;=33L)"/>
    <n v="0"/>
    <n v="0.15909090909090909"/>
    <s v=" not riskY"/>
    <d v="2022-01-31T00:00:00"/>
    <n v="19161700"/>
    <n v="20.516129032258064"/>
    <s v="Old Loan"/>
    <s v="Q12022"/>
    <n v="65393800"/>
    <s v="L57769263|C3845927|44563|Home Loan|Partner|Central|Salaried|12|3166600|7.1|274142|1204387|781|A|0.41|0.52|6033900|12|2982681|273850|0|0|0|Closed"/>
    <x v="0"/>
  </r>
  <r>
    <s v="L83261834"/>
    <s v="C5529744"/>
    <x v="10"/>
    <x v="0"/>
    <x v="1"/>
    <x v="0"/>
    <x v="0"/>
    <n v="360"/>
    <n v="50000"/>
    <n v="16.559999999999999"/>
    <n v="695"/>
    <n v="316188"/>
    <n v="705"/>
    <x v="0"/>
    <n v="0.4"/>
    <n v="0.81"/>
    <n v="0"/>
    <n v="46"/>
    <n v="28496"/>
    <n v="34200"/>
    <n v="0"/>
    <n v="0"/>
    <n v="0"/>
    <x v="2"/>
    <n v="74897600"/>
    <n v="94548000"/>
    <n v="301"/>
    <n v="2.5999999999999999E-2"/>
    <n v="0"/>
    <n v="5.8201058201058198E-2"/>
    <n v="16.500166666666669"/>
    <x v="1"/>
    <n v="260"/>
    <x v="1"/>
    <n v="141"/>
    <n v="1.4184397163120567E-2"/>
    <s v="lower size (&lt; 9L)"/>
    <n v="0"/>
    <n v="0.13934426229508196"/>
    <s v=" not riskY"/>
    <d v="2022-02-28T00:00:00"/>
    <n v="20575600"/>
    <n v="21.092024539877301"/>
    <s v="Old Loan"/>
    <s v="Q12022"/>
    <n v="65393800"/>
    <s v="L83261834|C5529744|44593|Personal Loan|Branch|South|Salaried|360|50000|16.56|695|316188|705|B|0.4|0.81|0|46|28496|34200|0|0|0|Active"/>
    <x v="0"/>
  </r>
  <r>
    <s v="L35610306"/>
    <s v="C4980827"/>
    <x v="11"/>
    <x v="4"/>
    <x v="0"/>
    <x v="4"/>
    <x v="1"/>
    <n v="120"/>
    <n v="1202400"/>
    <n v="10.210000000000001"/>
    <n v="16030"/>
    <n v="278271"/>
    <n v="707"/>
    <x v="0"/>
    <n v="0.4"/>
    <n v="0.64"/>
    <n v="0"/>
    <n v="46"/>
    <n v="713625"/>
    <n v="677015"/>
    <n v="0"/>
    <n v="0"/>
    <n v="0"/>
    <x v="2"/>
    <n v="62765800"/>
    <n v="83297251"/>
    <n v="301"/>
    <n v="2.5999999999999999E-2"/>
    <n v="3.1914893617021274E-2"/>
    <n v="7.1090047393364927E-2"/>
    <n v="10.832666666666663"/>
    <x v="1"/>
    <n v="260"/>
    <x v="0"/>
    <n v="302"/>
    <n v="3.6423841059602648E-2"/>
    <s v="medium size (&lt;=33L)"/>
    <n v="0"/>
    <n v="0.15909090909090909"/>
    <s v=" not riskY"/>
    <d v="2022-02-28T00:00:00"/>
    <n v="20575600"/>
    <n v="21.962962962962962"/>
    <s v="Old Loan"/>
    <s v="Q12022"/>
    <n v="65393800"/>
    <s v="L35610306|C4980827|44604|Education Loan|Online|East|Contract|120|1202400|10.21|16030|278271|707|B|0.4|0.64|0|46|713625|677015|0|0|0|Active"/>
    <x v="0"/>
  </r>
  <r>
    <s v="L62295502"/>
    <s v="C6514082"/>
    <x v="12"/>
    <x v="1"/>
    <x v="0"/>
    <x v="4"/>
    <x v="0"/>
    <n v="36"/>
    <n v="2959800"/>
    <n v="14.64"/>
    <n v="102081"/>
    <n v="882280"/>
    <n v="693"/>
    <x v="1"/>
    <n v="0.38"/>
    <n v="0.74"/>
    <n v="3975900"/>
    <n v="36"/>
    <n v="3488574"/>
    <n v="0"/>
    <n v="0"/>
    <n v="0"/>
    <n v="0"/>
    <x v="1"/>
    <n v="201475100"/>
    <n v="83297251"/>
    <n v="139"/>
    <n v="2.5999999999999999E-2"/>
    <n v="3.1914893617021274E-2"/>
    <n v="7.1090047393364927E-2"/>
    <n v="15.841379310344831"/>
    <x v="1"/>
    <n v="260"/>
    <x v="0"/>
    <n v="302"/>
    <n v="3.6423841059602648E-2"/>
    <s v="medium size (&lt;=33L)"/>
    <n v="0"/>
    <n v="0.15909090909090909"/>
    <s v=" not riskY"/>
    <d v="2022-03-31T00:00:00"/>
    <n v="25656500"/>
    <n v="19.091954022988507"/>
    <s v="Old Loan"/>
    <s v="Q12022"/>
    <n v="65393800"/>
    <s v="L62295502|C6514082|44640|SME Loan|Online|East|Salaried|36|2959800|14.64|102081|882280|693|C|0.38|0.74|3975900|36|3488574|0|0|0|0|Closed"/>
    <x v="0"/>
  </r>
  <r>
    <s v="L56190391"/>
    <s v="C4220749"/>
    <x v="13"/>
    <x v="2"/>
    <x v="1"/>
    <x v="2"/>
    <x v="0"/>
    <n v="18"/>
    <n v="601500"/>
    <n v="12.92"/>
    <n v="36938"/>
    <n v="654036"/>
    <n v="692"/>
    <x v="1"/>
    <n v="0.38"/>
    <n v="0.71"/>
    <n v="848500"/>
    <n v="18"/>
    <n v="657812"/>
    <n v="0"/>
    <n v="0"/>
    <n v="0"/>
    <n v="0"/>
    <x v="1"/>
    <n v="92273000"/>
    <n v="98928695"/>
    <n v="139"/>
    <n v="2.5999999999999999E-2"/>
    <n v="2.8571428571428571E-2"/>
    <n v="5.8201058201058198E-2"/>
    <n v="13.246500000000001"/>
    <x v="1"/>
    <n v="260"/>
    <x v="0"/>
    <n v="302"/>
    <n v="3.6423841059602648E-2"/>
    <s v="lower size (&lt; 9L)"/>
    <n v="0"/>
    <n v="0.13934426229508196"/>
    <s v=" not riskY"/>
    <d v="2022-03-31T00:00:00"/>
    <n v="25656500"/>
    <n v="20.262135922330096"/>
    <s v="Old Loan"/>
    <s v="Q12022"/>
    <n v="65393800"/>
    <s v="L56190391|C4220749|44642|Auto Loan|Branch|Central|Salaried|18|601500|12.92|36938|654036|692|C|0.38|0.71|848500|18|657812|0|0|0|0|Closed"/>
    <x v="0"/>
  </r>
  <r>
    <s v="L20438281"/>
    <s v="C7283087"/>
    <x v="14"/>
    <x v="2"/>
    <x v="0"/>
    <x v="4"/>
    <x v="0"/>
    <n v="360"/>
    <n v="879200"/>
    <n v="13.25"/>
    <n v="9898"/>
    <n v="418385"/>
    <n v="661"/>
    <x v="1"/>
    <n v="0.37"/>
    <n v="0.43"/>
    <n v="2040600"/>
    <n v="47"/>
    <n v="422243"/>
    <n v="639464"/>
    <n v="0"/>
    <n v="1"/>
    <n v="0"/>
    <x v="1"/>
    <n v="92273000"/>
    <n v="83297251"/>
    <n v="139"/>
    <n v="2.5999999999999999E-2"/>
    <n v="3.1914893617021274E-2"/>
    <n v="7.1090047393364927E-2"/>
    <n v="13.246500000000001"/>
    <x v="1"/>
    <n v="260"/>
    <x v="2"/>
    <n v="57"/>
    <n v="0"/>
    <s v="lower size (&lt; 9L)"/>
    <n v="0"/>
    <n v="0.13934426229508196"/>
    <s v=" not riskY"/>
    <d v="2022-01-31T00:00:00"/>
    <n v="19161700"/>
    <n v="20.262135922330096"/>
    <s v="Old Loan"/>
    <s v="Q12022"/>
    <n v="65393800"/>
    <s v="L20438281|C7283087|44587|Auto Loan|Online|East|Salaried|360|879200|13.25|9898|418385|661|C|0.37|0.43|2040600|47|422243|639464|0|1|0|Closed"/>
    <x v="0"/>
  </r>
  <r>
    <s v="L35245775"/>
    <s v="C1631811"/>
    <x v="3"/>
    <x v="0"/>
    <x v="1"/>
    <x v="1"/>
    <x v="2"/>
    <n v="120"/>
    <n v="658700"/>
    <n v="12.36"/>
    <n v="9588"/>
    <n v="1103139"/>
    <n v="800"/>
    <x v="3"/>
    <n v="0.36"/>
    <n v="0.73"/>
    <n v="0"/>
    <n v="46"/>
    <n v="447028"/>
    <n v="336509"/>
    <n v="5"/>
    <n v="0"/>
    <n v="0"/>
    <x v="2"/>
    <n v="74897600"/>
    <n v="83903255"/>
    <n v="301"/>
    <n v="2.5999999999999999E-2"/>
    <n v="4.2553191489361701E-2"/>
    <n v="5.8201058201058198E-2"/>
    <n v="13.328333333333335"/>
    <x v="1"/>
    <n v="260"/>
    <x v="0"/>
    <n v="302"/>
    <n v="3.6423841059602648E-2"/>
    <s v="lower size (&lt; 9L)"/>
    <n v="0"/>
    <n v="0.13934426229508196"/>
    <s v=" not riskY"/>
    <d v="2022-02-28T00:00:00"/>
    <n v="20575600"/>
    <n v="21.092024539877301"/>
    <s v="Old Loan"/>
    <s v="Q12022"/>
    <n v="65393800"/>
    <s v="L35245775|C1631811|44597|Personal Loan|Branch|West|Self-Employed|120|658700|12.36|9588|1103139|800|A|0.36|0.73|0|46|447028|336509|5|0|0|Active"/>
    <x v="0"/>
  </r>
  <r>
    <s v="L75012341"/>
    <s v="C6596846"/>
    <x v="15"/>
    <x v="2"/>
    <x v="0"/>
    <x v="2"/>
    <x v="0"/>
    <n v="60"/>
    <n v="575700"/>
    <n v="14.45"/>
    <n v="13530"/>
    <n v="630069"/>
    <n v="636"/>
    <x v="2"/>
    <n v="0.36"/>
    <n v="0.65"/>
    <n v="888200"/>
    <n v="47"/>
    <n v="564611"/>
    <n v="141418"/>
    <n v="5"/>
    <n v="0"/>
    <n v="0"/>
    <x v="2"/>
    <n v="92273000"/>
    <n v="98928695"/>
    <n v="301"/>
    <n v="2.5999999999999999E-2"/>
    <n v="2.8571428571428571E-2"/>
    <n v="7.1090047393364927E-2"/>
    <n v="15.092000000000001"/>
    <x v="1"/>
    <n v="260"/>
    <x v="0"/>
    <n v="302"/>
    <n v="3.6423841059602648E-2"/>
    <s v="lower size (&lt; 9L)"/>
    <n v="0"/>
    <n v="0.13934426229508196"/>
    <s v=" not riskY"/>
    <d v="2022-01-31T00:00:00"/>
    <n v="19161700"/>
    <n v="20.262135922330096"/>
    <s v="Old Loan"/>
    <s v="Q12022"/>
    <n v="65393800"/>
    <s v="L75012341|C6596846|44574|Auto Loan|Online|Central|Salaried|60|575700|14.45|13530|630069|636|D|0.36|0.65|888200|47|564611|141418|5|0|0|Active"/>
    <x v="0"/>
  </r>
  <r>
    <s v="L49705126"/>
    <s v="C6294321"/>
    <x v="16"/>
    <x v="3"/>
    <x v="0"/>
    <x v="0"/>
    <x v="0"/>
    <n v="240"/>
    <n v="3087000"/>
    <n v="16.04"/>
    <n v="43041"/>
    <n v="457449"/>
    <n v="596"/>
    <x v="4"/>
    <n v="0.35"/>
    <n v="0.86"/>
    <n v="3599400"/>
    <n v="45"/>
    <n v="1969122"/>
    <n v="1860610"/>
    <n v="10"/>
    <n v="0"/>
    <n v="0"/>
    <x v="2"/>
    <n v="403369500"/>
    <n v="94548000"/>
    <n v="301"/>
    <n v="2.5999999999999999E-2"/>
    <n v="0"/>
    <n v="7.1090047393364927E-2"/>
    <n v="15.4275"/>
    <x v="1"/>
    <n v="260"/>
    <x v="1"/>
    <n v="141"/>
    <n v="1.4184397163120567E-2"/>
    <s v="medium size (&lt;=33L)"/>
    <n v="0"/>
    <n v="0.15909090909090909"/>
    <s v="high risk"/>
    <d v="2022-03-31T00:00:00"/>
    <n v="25656500"/>
    <n v="20.516129032258064"/>
    <s v="Old Loan"/>
    <s v="Q12022"/>
    <n v="65393800"/>
    <s v="L49705126|C6294321|44632|Home Loan|Online|South|Salaried|240|3087000|16.04|43041|457449|596|E|0.35|0.86|3599400|45|1969122|1860610|10|0|0|Active"/>
    <x v="0"/>
  </r>
  <r>
    <s v="L25685067"/>
    <s v="C7932278"/>
    <x v="17"/>
    <x v="2"/>
    <x v="0"/>
    <x v="2"/>
    <x v="3"/>
    <n v="48"/>
    <n v="785000"/>
    <n v="13.24"/>
    <n v="21153"/>
    <n v="612338"/>
    <n v="668"/>
    <x v="1"/>
    <n v="0.33"/>
    <n v="0.61"/>
    <n v="1294400"/>
    <n v="45"/>
    <n v="836666"/>
    <n v="104235"/>
    <n v="0"/>
    <n v="0"/>
    <n v="0"/>
    <x v="2"/>
    <n v="92273000"/>
    <n v="98928695"/>
    <n v="301"/>
    <n v="2.5999999999999999E-2"/>
    <n v="2.8571428571428571E-2"/>
    <n v="7.1090047393364927E-2"/>
    <n v="13.246500000000001"/>
    <x v="1"/>
    <n v="260"/>
    <x v="0"/>
    <n v="302"/>
    <n v="3.6423841059602648E-2"/>
    <s v="lower size (&lt; 9L)"/>
    <n v="0"/>
    <n v="0.13934426229508196"/>
    <s v=" not riskY"/>
    <d v="2022-03-31T00:00:00"/>
    <n v="25656500"/>
    <n v="20.262135922330096"/>
    <s v="Old Loan"/>
    <s v="Q12022"/>
    <n v="65393800"/>
    <s v="L25685067|C7932278|44648|Auto Loan|Online|Central|Unemployed|48|785000|13.24|21153|612338|668|C|0.33|0.61|1294400|45|836666|104235|0|0|0|Active"/>
    <x v="0"/>
  </r>
  <r>
    <s v="L65120672"/>
    <s v="C4387235"/>
    <x v="18"/>
    <x v="1"/>
    <x v="1"/>
    <x v="3"/>
    <x v="2"/>
    <n v="180"/>
    <n v="3676500"/>
    <n v="18.059999999999999"/>
    <n v="59366"/>
    <n v="500928"/>
    <n v="623"/>
    <x v="2"/>
    <n v="0.33"/>
    <n v="0.72"/>
    <n v="5087200"/>
    <n v="45"/>
    <n v="2409295"/>
    <n v="2263169"/>
    <n v="10"/>
    <n v="0"/>
    <n v="0"/>
    <x v="2"/>
    <n v="201475100"/>
    <n v="105779369"/>
    <n v="301"/>
    <n v="2.5999999999999999E-2"/>
    <n v="2.6548672566371681E-2"/>
    <n v="5.8201058201058198E-2"/>
    <n v="18.241249999999997"/>
    <x v="1"/>
    <n v="260"/>
    <x v="0"/>
    <n v="302"/>
    <n v="3.6423841059602648E-2"/>
    <s v="larger size (&gt; 33L)"/>
    <n v="0"/>
    <n v="0.16250000000000001"/>
    <s v=" not riskY"/>
    <d v="2022-03-31T00:00:00"/>
    <n v="25656500"/>
    <n v="19.091954022988507"/>
    <s v="Old Loan"/>
    <s v="Q12022"/>
    <n v="65393800"/>
    <s v="L65120672|C4387235|44631|SME Loan|Branch|North|Self-Employed|180|3676500|18.06|59366|500928|623|D|0.33|0.72|5087200|45|2409295|2263169|10|0|0|Active"/>
    <x v="0"/>
  </r>
  <r>
    <s v="L31488963"/>
    <s v="C8043616"/>
    <x v="19"/>
    <x v="2"/>
    <x v="0"/>
    <x v="1"/>
    <x v="0"/>
    <n v="18"/>
    <n v="421800"/>
    <n v="13.75"/>
    <n v="26066"/>
    <n v="901863"/>
    <n v="649"/>
    <x v="2"/>
    <n v="0.3"/>
    <n v="0.73"/>
    <n v="577200"/>
    <n v="18"/>
    <n v="435157"/>
    <n v="21442"/>
    <n v="0"/>
    <n v="0"/>
    <n v="0"/>
    <x v="1"/>
    <n v="92273000"/>
    <n v="83903255"/>
    <n v="139"/>
    <n v="2.5999999999999999E-2"/>
    <n v="4.2553191489361701E-2"/>
    <n v="7.1090047393364927E-2"/>
    <n v="15.092000000000001"/>
    <x v="1"/>
    <n v="260"/>
    <x v="0"/>
    <n v="302"/>
    <n v="3.6423841059602648E-2"/>
    <s v="lower size (&lt; 9L)"/>
    <n v="0"/>
    <n v="0.13934426229508196"/>
    <s v=" not riskY"/>
    <d v="2022-01-31T00:00:00"/>
    <n v="19161700"/>
    <n v="20.262135922330096"/>
    <s v="Old Loan"/>
    <s v="Q12022"/>
    <n v="65393800"/>
    <s v="L31488963|C8043616|44572|Auto Loan|Online|West|Salaried|18|421800|13.75|26066|901863|649|D|0.3|0.73|577200|18|435157|21442|0|0|0|Closed"/>
    <x v="0"/>
  </r>
  <r>
    <s v="L71424595"/>
    <s v="C6650374"/>
    <x v="20"/>
    <x v="2"/>
    <x v="1"/>
    <x v="2"/>
    <x v="2"/>
    <n v="36"/>
    <n v="984700"/>
    <n v="13.39"/>
    <n v="33364"/>
    <n v="787811"/>
    <n v="632"/>
    <x v="2"/>
    <n v="0.3"/>
    <n v="0.74"/>
    <n v="1338000"/>
    <n v="36"/>
    <n v="1143457"/>
    <n v="0"/>
    <n v="45"/>
    <n v="0"/>
    <n v="0"/>
    <x v="1"/>
    <n v="92273000"/>
    <n v="98928695"/>
    <n v="139"/>
    <n v="2.5999999999999999E-2"/>
    <n v="2.8571428571428571E-2"/>
    <n v="5.8201058201058198E-2"/>
    <n v="15.092000000000001"/>
    <x v="1"/>
    <n v="260"/>
    <x v="0"/>
    <n v="302"/>
    <n v="3.6423841059602648E-2"/>
    <s v="medium size (&lt;=33L)"/>
    <n v="1"/>
    <n v="0.15909090909090909"/>
    <s v="high risk"/>
    <d v="2022-02-28T00:00:00"/>
    <n v="20575600"/>
    <n v="20.262135922330096"/>
    <s v="Old Loan"/>
    <s v="Q12022"/>
    <n v="65393800"/>
    <s v="L71424595|C6650374|44620|Auto Loan|Branch|Central|Self-Employed|36|984700|13.39|33364|787811|632|D|0.3|0.74|1338000|36|1143457|0|45|0|0|Closed"/>
    <x v="1"/>
  </r>
  <r>
    <s v="L99071532"/>
    <s v="C8022713"/>
    <x v="21"/>
    <x v="3"/>
    <x v="0"/>
    <x v="3"/>
    <x v="2"/>
    <n v="360"/>
    <n v="5407100"/>
    <n v="12.53"/>
    <n v="57834"/>
    <n v="860326"/>
    <n v="654"/>
    <x v="1"/>
    <n v="0.28999999999999998"/>
    <n v="0.7"/>
    <n v="7776200"/>
    <n v="46"/>
    <n v="2557940"/>
    <n v="3888008"/>
    <n v="0"/>
    <n v="0"/>
    <n v="0"/>
    <x v="2"/>
    <n v="403369500"/>
    <n v="105779369"/>
    <n v="301"/>
    <n v="2.5999999999999999E-2"/>
    <n v="2.6548672566371681E-2"/>
    <n v="7.1090047393364927E-2"/>
    <n v="11.719736842105268"/>
    <x v="2"/>
    <n v="122"/>
    <x v="0"/>
    <n v="302"/>
    <n v="3.6423841059602648E-2"/>
    <s v="larger size (&gt; 33L)"/>
    <n v="0"/>
    <n v="0.16250000000000001"/>
    <s v=" not riskY"/>
    <d v="2022-02-28T00:00:00"/>
    <n v="20575600"/>
    <n v="20.516129032258064"/>
    <s v="Old Loan"/>
    <s v="Q12022"/>
    <n v="65393800"/>
    <s v="L99071532|C8022713|44614|Home Loan|Online|North|Self-Employed|360|5407100|12.53|57834|860326|654|C|0.29|0.7|7776200|46|2557940|3888008|0|0|0|Active"/>
    <x v="1"/>
  </r>
  <r>
    <s v="L37780048"/>
    <s v="C9085298"/>
    <x v="20"/>
    <x v="2"/>
    <x v="0"/>
    <x v="4"/>
    <x v="2"/>
    <n v="12"/>
    <n v="1746800"/>
    <n v="10.33"/>
    <n v="153840"/>
    <n v="658460"/>
    <n v="727"/>
    <x v="0"/>
    <n v="0.27"/>
    <n v="1.05"/>
    <n v="1669600"/>
    <n v="12"/>
    <n v="1787037"/>
    <n v="31941"/>
    <n v="0"/>
    <n v="0"/>
    <n v="0"/>
    <x v="1"/>
    <n v="92273000"/>
    <n v="83297251"/>
    <n v="139"/>
    <n v="2.5999999999999999E-2"/>
    <n v="3.1914893617021274E-2"/>
    <n v="7.1090047393364927E-2"/>
    <n v="10.611923076923079"/>
    <x v="2"/>
    <n v="122"/>
    <x v="1"/>
    <n v="141"/>
    <n v="1.4184397163120567E-2"/>
    <s v="medium size (&lt;=33L)"/>
    <n v="0"/>
    <n v="0.15909090909090909"/>
    <s v=" not riskY"/>
    <d v="2022-02-28T00:00:00"/>
    <n v="20575600"/>
    <n v="20.262135922330096"/>
    <s v="Old Loan"/>
    <s v="Q12022"/>
    <n v="65393800"/>
    <s v="L37780048|C9085298|44620|Auto Loan|Online|East|Self-Employed|12|1746800|10.33|153840|658460|727|B|0.27|1.05|1669600|12|1787037|31941|0|0|0|Closed"/>
    <x v="1"/>
  </r>
  <r>
    <s v="L74751666"/>
    <s v="C7574811"/>
    <x v="0"/>
    <x v="3"/>
    <x v="0"/>
    <x v="3"/>
    <x v="2"/>
    <n v="24"/>
    <n v="8493400"/>
    <n v="13.77"/>
    <n v="406870"/>
    <n v="1331502"/>
    <n v="626"/>
    <x v="2"/>
    <n v="0.24"/>
    <n v="0.9"/>
    <n v="9473000"/>
    <n v="24"/>
    <n v="8328855"/>
    <n v="1100178"/>
    <n v="0"/>
    <n v="0"/>
    <n v="0"/>
    <x v="1"/>
    <n v="403369500"/>
    <n v="105779369"/>
    <n v="139"/>
    <n v="2.5999999999999999E-2"/>
    <n v="2.6548672566371681E-2"/>
    <n v="7.1090047393364927E-2"/>
    <n v="13.406874999999999"/>
    <x v="2"/>
    <n v="122"/>
    <x v="1"/>
    <n v="141"/>
    <n v="1.4184397163120567E-2"/>
    <s v="larger size (&gt; 33L)"/>
    <n v="0"/>
    <n v="0.16250000000000001"/>
    <s v=" not riskY"/>
    <d v="2022-01-31T00:00:00"/>
    <n v="19161700"/>
    <n v="20.516129032258064"/>
    <s v="Old Loan"/>
    <s v="Q12022"/>
    <n v="65393800"/>
    <s v="L74751666|C7574811|44568|Home Loan|Online|North|Self-Employed|24|8493400|13.77|406870|1331502|626|D|0.24|0.9|9473000|24|8328855|1100178|0|0|0|Closed"/>
    <x v="1"/>
  </r>
  <r>
    <s v="L69657779"/>
    <s v="C2072957"/>
    <x v="22"/>
    <x v="3"/>
    <x v="1"/>
    <x v="1"/>
    <x v="0"/>
    <n v="360"/>
    <n v="6309600"/>
    <n v="12.29"/>
    <n v="66313"/>
    <n v="783645"/>
    <n v="657"/>
    <x v="1"/>
    <n v="0.23"/>
    <n v="0.95"/>
    <n v="6658400"/>
    <n v="46"/>
    <n v="2846256"/>
    <n v="4652367"/>
    <n v="0"/>
    <n v="0"/>
    <n v="0"/>
    <x v="2"/>
    <n v="403369500"/>
    <n v="83903255"/>
    <n v="301"/>
    <n v="2.5999999999999999E-2"/>
    <n v="4.2553191489361701E-2"/>
    <n v="5.8201058201058198E-2"/>
    <n v="11.719736842105268"/>
    <x v="2"/>
    <n v="122"/>
    <x v="1"/>
    <n v="141"/>
    <n v="1.4184397163120567E-2"/>
    <s v="larger size (&gt; 33L)"/>
    <n v="0"/>
    <n v="0.16250000000000001"/>
    <s v=" not riskY"/>
    <d v="2022-02-28T00:00:00"/>
    <n v="20575600"/>
    <n v="20.516129032258064"/>
    <s v="Old Loan"/>
    <s v="Q12022"/>
    <n v="65393800"/>
    <s v="L69657779|C2072957|44613|Home Loan|Branch|West|Salaried|360|6309600|12.29|66313|783645|657|C|0.23|0.95|6658400|46|2846256|4652367|0|0|0|Active"/>
    <x v="1"/>
  </r>
  <r>
    <s v="L47720288"/>
    <s v="C2958656"/>
    <x v="23"/>
    <x v="2"/>
    <x v="0"/>
    <x v="0"/>
    <x v="2"/>
    <n v="180"/>
    <n v="913200"/>
    <n v="7"/>
    <n v="8208"/>
    <n v="907013"/>
    <n v="799"/>
    <x v="3"/>
    <n v="0.19"/>
    <n v="0.77"/>
    <n v="1183200"/>
    <n v="45"/>
    <n v="376133"/>
    <n v="632953"/>
    <n v="0"/>
    <n v="0"/>
    <n v="0"/>
    <x v="2"/>
    <n v="92273000"/>
    <n v="94548000"/>
    <n v="301"/>
    <n v="2.5999999999999999E-2"/>
    <n v="0"/>
    <n v="7.1090047393364927E-2"/>
    <n v="7.9444999999999997"/>
    <x v="3"/>
    <n v="86"/>
    <x v="0"/>
    <n v="302"/>
    <n v="3.6423841059602648E-2"/>
    <s v="medium size (&lt;=33L)"/>
    <n v="0"/>
    <n v="0.15909090909090909"/>
    <s v=" not riskY"/>
    <d v="2022-03-31T00:00:00"/>
    <n v="25656500"/>
    <n v="20.262135922330096"/>
    <s v="Old Loan"/>
    <s v="Q12022"/>
    <n v="65393800"/>
    <s v="L47720288|C2958656|44634|Auto Loan|Online|South|Self-Employed|180|913200|7|8208|907013|799|A|0.19|0.77|1183200|45|376133|632953|0|0|0|Active"/>
    <x v="1"/>
  </r>
  <r>
    <s v="L81542135"/>
    <s v="C7171690"/>
    <x v="24"/>
    <x v="1"/>
    <x v="0"/>
    <x v="1"/>
    <x v="2"/>
    <n v="48"/>
    <n v="3628200"/>
    <n v="11.84"/>
    <n v="95260"/>
    <n v="1380320"/>
    <n v="758"/>
    <x v="3"/>
    <n v="0.16"/>
    <n v="0.67"/>
    <n v="5385500"/>
    <n v="45"/>
    <n v="3646511"/>
    <n v="626057"/>
    <n v="60"/>
    <n v="0"/>
    <n v="0"/>
    <x v="0"/>
    <n v="201475100"/>
    <n v="83903255"/>
    <n v="47"/>
    <n v="2.5999999999999999E-2"/>
    <n v="4.2553191489361701E-2"/>
    <n v="7.1090047393364927E-2"/>
    <n v="10.537499999999998"/>
    <x v="3"/>
    <n v="86"/>
    <x v="0"/>
    <n v="302"/>
    <n v="3.6423841059602648E-2"/>
    <s v="larger size (&gt; 33L)"/>
    <n v="1"/>
    <n v="0.16250000000000001"/>
    <s v="high risk"/>
    <d v="2022-03-31T00:00:00"/>
    <n v="25656500"/>
    <n v="19.091954022988507"/>
    <s v="Old Loan"/>
    <s v="Q12022"/>
    <n v="65393800"/>
    <s v="L81542135|C7171690|44645|SME Loan|Online|West|Self-Employed|48|3628200|11.84|95260|1380320|758|A|0.16|0.67|5385500|45|3646511|626057|60|0|0|Delinquent"/>
    <x v="1"/>
  </r>
  <r>
    <s v="L93972089"/>
    <s v="C1324538"/>
    <x v="17"/>
    <x v="3"/>
    <x v="3"/>
    <x v="2"/>
    <x v="0"/>
    <n v="60"/>
    <n v="1357200"/>
    <n v="12.5"/>
    <n v="30534"/>
    <n v="150000"/>
    <n v="667"/>
    <x v="1"/>
    <n v="0.16"/>
    <n v="0.64"/>
    <n v="2113200"/>
    <n v="45"/>
    <n v="1385523"/>
    <n v="226152"/>
    <n v="0"/>
    <n v="1"/>
    <n v="0"/>
    <x v="1"/>
    <n v="403369500"/>
    <n v="98928695"/>
    <n v="139"/>
    <n v="2.5999999999999999E-2"/>
    <n v="2.8571428571428571E-2"/>
    <n v="0.12"/>
    <n v="11.719736842105268"/>
    <x v="3"/>
    <n v="86"/>
    <x v="0"/>
    <n v="302"/>
    <n v="3.6423841059602648E-2"/>
    <s v="medium size (&lt;=33L)"/>
    <n v="0"/>
    <n v="0.15909090909090909"/>
    <s v=" not riskY"/>
    <d v="2022-03-31T00:00:00"/>
    <n v="25656500"/>
    <n v="20.516129032258064"/>
    <s v="Old Loan"/>
    <s v="Q12022"/>
    <n v="65393800"/>
    <s v="L93972089|C1324538|44648|Home Loan|Call Center|Central|Salaried|60|1357200|12.5|30534|150000|667|C|0.16|0.64|2113200|45|1385523|226152|0|1|0|Closed"/>
    <x v="1"/>
  </r>
  <r>
    <s v="L94093523"/>
    <s v="C4340408"/>
    <x v="6"/>
    <x v="0"/>
    <x v="1"/>
    <x v="1"/>
    <x v="2"/>
    <n v="12"/>
    <n v="518000"/>
    <n v="13.81"/>
    <n v="46463"/>
    <n v="1378964"/>
    <n v="744"/>
    <x v="0"/>
    <n v="0.16"/>
    <n v="0.75"/>
    <n v="0"/>
    <n v="12"/>
    <n v="481837"/>
    <n v="64777"/>
    <n v="0"/>
    <n v="0"/>
    <n v="0"/>
    <x v="1"/>
    <n v="74897600"/>
    <n v="83903255"/>
    <n v="139"/>
    <n v="2.5999999999999999E-2"/>
    <n v="4.2553191489361701E-2"/>
    <n v="5.8201058201058198E-2"/>
    <n v="16.500166666666669"/>
    <x v="3"/>
    <n v="86"/>
    <x v="0"/>
    <n v="302"/>
    <n v="3.6423841059602648E-2"/>
    <s v="lower size (&lt; 9L)"/>
    <n v="0"/>
    <n v="0.13934426229508196"/>
    <s v=" not riskY"/>
    <d v="2022-01-31T00:00:00"/>
    <n v="19161700"/>
    <n v="21.092024539877301"/>
    <s v="Old Loan"/>
    <s v="Q12022"/>
    <n v="65393800"/>
    <s v="L94093523|C4340408|44564|Personal Loan|Branch|West|Self-Employed|12|518000|13.81|46463|1378964|744|B|0.16|0.75|0|12|481837|64777|0|0|0|Closed"/>
    <x v="1"/>
  </r>
  <r>
    <s v="L54924829"/>
    <s v="C6532282"/>
    <x v="25"/>
    <x v="1"/>
    <x v="1"/>
    <x v="1"/>
    <x v="0"/>
    <n v="60"/>
    <n v="3043400"/>
    <n v="18.350000000000001"/>
    <n v="77863"/>
    <n v="1242594"/>
    <n v="631"/>
    <x v="2"/>
    <n v="0.16"/>
    <n v="0.75"/>
    <n v="4065600"/>
    <n v="45"/>
    <n v="3024070"/>
    <n v="857026"/>
    <n v="0"/>
    <n v="0"/>
    <n v="0"/>
    <x v="2"/>
    <n v="201475100"/>
    <n v="83903255"/>
    <n v="301"/>
    <n v="2.5999999999999999E-2"/>
    <n v="4.2553191489361701E-2"/>
    <n v="5.8201058201058198E-2"/>
    <n v="18.241249999999997"/>
    <x v="3"/>
    <n v="86"/>
    <x v="0"/>
    <n v="302"/>
    <n v="3.6423841059602648E-2"/>
    <s v="medium size (&lt;=33L)"/>
    <n v="0"/>
    <n v="0.15909090909090909"/>
    <s v=" not riskY"/>
    <d v="2022-03-31T00:00:00"/>
    <n v="25656500"/>
    <n v="19.091954022988507"/>
    <s v="Old Loan"/>
    <s v="Q12022"/>
    <n v="65393800"/>
    <s v="L54924829|C6532282|44635|SME Loan|Branch|West|Salaried|60|3043400|18.35|77863|1242594|631|D|0.16|0.75|4065600|45|3024070|857026|0|0|0|Active"/>
    <x v="1"/>
  </r>
  <r>
    <s v="L74572954"/>
    <s v="C5278789"/>
    <x v="26"/>
    <x v="0"/>
    <x v="3"/>
    <x v="1"/>
    <x v="0"/>
    <n v="24"/>
    <n v="380900"/>
    <n v="16.850000000000001"/>
    <n v="18805"/>
    <n v="845886"/>
    <n v="710"/>
    <x v="0"/>
    <n v="0.16"/>
    <n v="0.81"/>
    <n v="0"/>
    <n v="24"/>
    <n v="407954"/>
    <n v="24291"/>
    <n v="10"/>
    <n v="0"/>
    <n v="0"/>
    <x v="1"/>
    <n v="74897600"/>
    <n v="83903255"/>
    <n v="139"/>
    <n v="2.5999999999999999E-2"/>
    <n v="4.2553191489361701E-2"/>
    <n v="0.12"/>
    <n v="16.500166666666669"/>
    <x v="3"/>
    <n v="86"/>
    <x v="1"/>
    <n v="141"/>
    <n v="1.4184397163120567E-2"/>
    <s v="lower size (&lt; 9L)"/>
    <n v="0"/>
    <n v="0.13934426229508196"/>
    <s v=" not riskY"/>
    <d v="2022-03-31T00:00:00"/>
    <n v="25656500"/>
    <n v="21.092024539877301"/>
    <s v="Old Loan"/>
    <s v="Q12022"/>
    <n v="65393800"/>
    <s v="L74572954|C5278789|44621|Personal Loan|Call Center|West|Salaried|24|380900|16.85|18805|845886|710|B|0.16|0.81|0|24|407954|24291|10|0|0|Closed"/>
    <x v="1"/>
  </r>
  <r>
    <s v="L24814703"/>
    <s v="C9820420"/>
    <x v="17"/>
    <x v="4"/>
    <x v="1"/>
    <x v="2"/>
    <x v="3"/>
    <n v="240"/>
    <n v="710700"/>
    <n v="14"/>
    <n v="8838"/>
    <n v="1285130"/>
    <n v="652"/>
    <x v="1"/>
    <n v="0.14000000000000001"/>
    <n v="0.75"/>
    <n v="0"/>
    <n v="45"/>
    <n v="364986"/>
    <n v="494961"/>
    <n v="0"/>
    <n v="0"/>
    <n v="0"/>
    <x v="2"/>
    <n v="62765800"/>
    <n v="98928695"/>
    <n v="301"/>
    <n v="2.5999999999999999E-2"/>
    <n v="2.8571428571428571E-2"/>
    <n v="5.8201058201058198E-2"/>
    <n v="13.463888888888889"/>
    <x v="3"/>
    <n v="86"/>
    <x v="0"/>
    <n v="302"/>
    <n v="3.6423841059602648E-2"/>
    <s v="lower size (&lt; 9L)"/>
    <n v="0"/>
    <n v="0.13934426229508196"/>
    <s v=" not riskY"/>
    <d v="2022-03-31T00:00:00"/>
    <n v="25656500"/>
    <n v="21.962962962962962"/>
    <s v="Old Loan"/>
    <s v="Q12022"/>
    <n v="65393800"/>
    <s v="L24814703|C9820420|44648|Education Loan|Branch|Central|Unemployed|240|710700|14|8838|1285130|652|C|0.14|0.75|0|45|364986|494961|0|0|0|Active"/>
    <x v="1"/>
  </r>
  <r>
    <s v="L93232758"/>
    <s v="C3742341"/>
    <x v="20"/>
    <x v="3"/>
    <x v="0"/>
    <x v="3"/>
    <x v="0"/>
    <n v="120"/>
    <n v="3471600"/>
    <n v="8.76"/>
    <n v="43527"/>
    <n v="476360"/>
    <n v="729"/>
    <x v="0"/>
    <n v="0.13"/>
    <n v="0.77"/>
    <n v="4493800"/>
    <n v="46"/>
    <n v="1911330"/>
    <n v="2026575"/>
    <n v="0"/>
    <n v="0"/>
    <n v="0"/>
    <x v="2"/>
    <n v="403369500"/>
    <n v="105779369"/>
    <n v="301"/>
    <n v="2.5999999999999999E-2"/>
    <n v="2.6548672566371681E-2"/>
    <n v="7.1090047393364927E-2"/>
    <n v="8.8557142857142868"/>
    <x v="3"/>
    <n v="86"/>
    <x v="0"/>
    <n v="302"/>
    <n v="3.6423841059602648E-2"/>
    <s v="larger size (&gt; 33L)"/>
    <n v="0"/>
    <n v="0.16250000000000001"/>
    <s v=" not riskY"/>
    <d v="2022-02-28T00:00:00"/>
    <n v="20575600"/>
    <n v="20.516129032258064"/>
    <s v="Old Loan"/>
    <s v="Q12022"/>
    <n v="65393800"/>
    <s v="L93232758|C3742341|44620|Home Loan|Online|North|Salaried|120|3471600|8.76|43527|476360|729|B|0.13|0.77|4493800|46|1911330|2026575|0|0|0|Active"/>
    <x v="1"/>
  </r>
  <r>
    <s v="L77394364"/>
    <s v="C8561034"/>
    <x v="27"/>
    <x v="4"/>
    <x v="3"/>
    <x v="2"/>
    <x v="1"/>
    <n v="120"/>
    <n v="1117400"/>
    <n v="9.08"/>
    <n v="14203"/>
    <n v="1299906"/>
    <n v="736"/>
    <x v="0"/>
    <n v="0.13"/>
    <n v="0.67"/>
    <n v="0"/>
    <n v="45"/>
    <n v="572009"/>
    <n v="697581"/>
    <n v="30"/>
    <n v="0"/>
    <n v="0"/>
    <x v="0"/>
    <n v="62765800"/>
    <n v="98928695"/>
    <n v="47"/>
    <n v="2.5999999999999999E-2"/>
    <n v="2.8571428571428571E-2"/>
    <n v="0.12"/>
    <n v="10.832666666666663"/>
    <x v="3"/>
    <n v="86"/>
    <x v="0"/>
    <n v="302"/>
    <n v="3.6423841059602648E-2"/>
    <s v="medium size (&lt;=33L)"/>
    <n v="1"/>
    <n v="0.15909090909090909"/>
    <s v="high risk"/>
    <d v="2022-03-31T00:00:00"/>
    <n v="25656500"/>
    <n v="21.962962962962962"/>
    <s v="Old Loan"/>
    <s v="Q12022"/>
    <n v="65393800"/>
    <s v="L77394364|C8561034|44629|Education Loan|Call Center|Central|Contract|120|1117400|9.08|14203|1299906|736|B|0.13|0.67|0|45|572009|697581|30|0|0|Delinquent"/>
    <x v="1"/>
  </r>
  <r>
    <s v="L52441042"/>
    <s v="C8718149"/>
    <x v="28"/>
    <x v="2"/>
    <x v="1"/>
    <x v="4"/>
    <x v="3"/>
    <n v="240"/>
    <n v="359700"/>
    <n v="13.63"/>
    <n v="4377"/>
    <n v="170240"/>
    <n v="685"/>
    <x v="1"/>
    <n v="0.12"/>
    <n v="0.67"/>
    <n v="537200"/>
    <n v="45"/>
    <n v="182170"/>
    <n v="251071"/>
    <n v="0"/>
    <n v="0"/>
    <n v="0"/>
    <x v="2"/>
    <n v="92273000"/>
    <n v="83297251"/>
    <n v="301"/>
    <n v="2.5999999999999999E-2"/>
    <n v="3.1914893617021274E-2"/>
    <n v="5.8201058201058198E-2"/>
    <n v="13.246500000000001"/>
    <x v="3"/>
    <n v="86"/>
    <x v="0"/>
    <n v="302"/>
    <n v="3.6423841059602648E-2"/>
    <s v="lower size (&lt; 9L)"/>
    <n v="0"/>
    <n v="0.13934426229508196"/>
    <s v=" not riskY"/>
    <d v="2022-03-31T00:00:00"/>
    <n v="25656500"/>
    <n v="20.262135922330096"/>
    <s v="Old Loan"/>
    <s v="Q12022"/>
    <n v="65393800"/>
    <s v="L52441042|C8718149|44625|Auto Loan|Branch|East|Unemployed|240|359700|13.63|4377|170240|685|C|0.12|0.67|537200|45|182170|251071|0|0|0|Active"/>
    <x v="1"/>
  </r>
  <r>
    <s v="L22630563"/>
    <s v="C4679047"/>
    <x v="29"/>
    <x v="0"/>
    <x v="1"/>
    <x v="4"/>
    <x v="0"/>
    <n v="36"/>
    <n v="620500"/>
    <n v="21.86"/>
    <n v="23652"/>
    <n v="914413"/>
    <n v="609"/>
    <x v="2"/>
    <n v="0.61"/>
    <n v="0.91"/>
    <n v="0"/>
    <n v="33"/>
    <n v="672076"/>
    <n v="97629"/>
    <n v="0"/>
    <n v="0"/>
    <n v="0"/>
    <x v="2"/>
    <n v="74897600"/>
    <n v="83297251"/>
    <n v="301"/>
    <n v="2.5999999999999999E-2"/>
    <n v="3.1914893617021274E-2"/>
    <n v="5.8201058201058198E-2"/>
    <n v="20.962592592592593"/>
    <x v="0"/>
    <n v="32"/>
    <x v="1"/>
    <n v="141"/>
    <n v="1.4184397163120567E-2"/>
    <s v="lower size (&lt; 9L)"/>
    <n v="0"/>
    <n v="0.13934426229508196"/>
    <s v="high risk"/>
    <d v="2023-03-31T00:00:00"/>
    <n v="23160200"/>
    <n v="21.092024539877301"/>
    <s v="Old Loan"/>
    <s v="Q12023"/>
    <n v="46066100"/>
    <s v="L22630563|C4679047|45008|Personal Loan|Branch|East|Salaried|36|620500|21.86|23652|914413|609|D|0.61|0.91|0|33|672076|97629|0|0|0|Active"/>
    <x v="1"/>
  </r>
  <r>
    <s v="L37929130"/>
    <s v="C6546780"/>
    <x v="30"/>
    <x v="4"/>
    <x v="3"/>
    <x v="4"/>
    <x v="0"/>
    <n v="180"/>
    <n v="870800"/>
    <n v="10.19"/>
    <n v="9459"/>
    <n v="1156135"/>
    <n v="741"/>
    <x v="0"/>
    <n v="0.54"/>
    <n v="0.68"/>
    <n v="0"/>
    <n v="33"/>
    <n v="296725"/>
    <n v="671683"/>
    <n v="0"/>
    <n v="0"/>
    <n v="0"/>
    <x v="2"/>
    <n v="62765800"/>
    <n v="83297251"/>
    <n v="301"/>
    <n v="2.5999999999999999E-2"/>
    <n v="3.1914893617021274E-2"/>
    <n v="0.12"/>
    <n v="10.832666666666663"/>
    <x v="0"/>
    <n v="32"/>
    <x v="0"/>
    <n v="302"/>
    <n v="3.6423841059602648E-2"/>
    <s v="lower size (&lt; 9L)"/>
    <n v="0"/>
    <n v="0.13934426229508196"/>
    <s v="high risk"/>
    <d v="2023-03-31T00:00:00"/>
    <n v="23160200"/>
    <n v="21.962962962962962"/>
    <s v="Old Loan"/>
    <s v="Q12023"/>
    <n v="46066100"/>
    <s v="L37929130|C6546780|44990|Education Loan|Call Center|East|Salaried|180|870800|10.19|9459|1156135|741|B|0.54|0.68|0|33|296725|671683|0|0|0|Active"/>
    <x v="1"/>
  </r>
  <r>
    <s v="L17735107"/>
    <s v="C9951231"/>
    <x v="31"/>
    <x v="2"/>
    <x v="2"/>
    <x v="0"/>
    <x v="0"/>
    <n v="12"/>
    <n v="1216700"/>
    <n v="18.760000000000002"/>
    <n v="111988"/>
    <n v="756313"/>
    <n v="552"/>
    <x v="4"/>
    <n v="0.5"/>
    <n v="0.74"/>
    <n v="1636700"/>
    <n v="12"/>
    <n v="1149342"/>
    <n v="158659"/>
    <n v="0"/>
    <n v="0"/>
    <n v="0"/>
    <x v="1"/>
    <n v="92273000"/>
    <n v="94548000"/>
    <n v="139"/>
    <n v="2.5999999999999999E-2"/>
    <n v="0"/>
    <n v="0.1"/>
    <n v="17.744166666666668"/>
    <x v="1"/>
    <n v="260"/>
    <x v="0"/>
    <n v="302"/>
    <n v="3.6423841059602648E-2"/>
    <s v="medium size (&lt;=33L)"/>
    <n v="0"/>
    <n v="0.15909090909090909"/>
    <s v="high risk"/>
    <d v="2023-01-31T00:00:00"/>
    <n v="11698400"/>
    <n v="20.262135922330096"/>
    <s v="Old Loan"/>
    <s v="Q12023"/>
    <n v="46066100"/>
    <s v="L17735107|C9951231|44946|Auto Loan|Partner|South|Salaried|12|1216700|18.76|111988|756313|552|E|0.5|0.74|1636700|12|1149342|158659|0|0|0|Closed"/>
    <x v="1"/>
  </r>
  <r>
    <s v="L77206551"/>
    <s v="C1899823"/>
    <x v="32"/>
    <x v="0"/>
    <x v="0"/>
    <x v="2"/>
    <x v="1"/>
    <n v="12"/>
    <n v="572000"/>
    <n v="17.690000000000001"/>
    <n v="52357"/>
    <n v="1072644"/>
    <n v="694"/>
    <x v="1"/>
    <n v="0.49"/>
    <n v="0.82"/>
    <n v="0"/>
    <n v="12"/>
    <n v="554900"/>
    <n v="57575"/>
    <n v="0"/>
    <n v="0"/>
    <n v="0"/>
    <x v="1"/>
    <n v="74897600"/>
    <n v="98928695"/>
    <n v="139"/>
    <n v="2.5999999999999999E-2"/>
    <n v="2.8571428571428571E-2"/>
    <n v="7.1090047393364927E-2"/>
    <n v="18.603181818181817"/>
    <x v="1"/>
    <n v="260"/>
    <x v="1"/>
    <n v="141"/>
    <n v="1.4184397163120567E-2"/>
    <s v="lower size (&lt; 9L)"/>
    <n v="0"/>
    <n v="0.13934426229508196"/>
    <s v=" not riskY"/>
    <d v="2023-03-31T00:00:00"/>
    <n v="23160200"/>
    <n v="21.092024539877301"/>
    <s v="Old Loan"/>
    <s v="Q12023"/>
    <n v="46066100"/>
    <s v="L77206551|C1899823|44999|Personal Loan|Online|Central|Contract|12|572000|17.69|52357|1072644|694|C|0.49|0.82|0|12|554900|57575|0|0|0|Closed"/>
    <x v="1"/>
  </r>
  <r>
    <s v="L38861149"/>
    <s v="C6991162"/>
    <x v="33"/>
    <x v="2"/>
    <x v="0"/>
    <x v="1"/>
    <x v="0"/>
    <n v="36"/>
    <n v="773300"/>
    <n v="10.99"/>
    <n v="25313"/>
    <n v="657085"/>
    <n v="716"/>
    <x v="0"/>
    <n v="0.46"/>
    <n v="0.68"/>
    <n v="1140700"/>
    <n v="35"/>
    <n v="845530"/>
    <n v="26920"/>
    <n v="0"/>
    <n v="0"/>
    <n v="0"/>
    <x v="2"/>
    <n v="92273000"/>
    <n v="83903255"/>
    <n v="301"/>
    <n v="2.5999999999999999E-2"/>
    <n v="4.2553191489361701E-2"/>
    <n v="7.1090047393364927E-2"/>
    <n v="10.611923076923079"/>
    <x v="1"/>
    <n v="260"/>
    <x v="0"/>
    <n v="302"/>
    <n v="3.6423841059602648E-2"/>
    <s v="lower size (&lt; 9L)"/>
    <n v="0"/>
    <n v="0.13934426229508196"/>
    <s v=" not riskY"/>
    <d v="2023-01-31T00:00:00"/>
    <n v="11698400"/>
    <n v="20.262135922330096"/>
    <s v="Old Loan"/>
    <s v="Q12023"/>
    <n v="46066100"/>
    <s v="L38861149|C6991162|44954|Auto Loan|Online|West|Salaried|36|773300|10.99|25313|657085|716|B|0.46|0.68|1140700|35|845530|26920|0|0|0|Active"/>
    <x v="1"/>
  </r>
  <r>
    <s v="L97225873"/>
    <s v="C5283357"/>
    <x v="34"/>
    <x v="0"/>
    <x v="0"/>
    <x v="1"/>
    <x v="0"/>
    <n v="120"/>
    <n v="306400"/>
    <n v="17.5"/>
    <n v="5423"/>
    <n v="1350307"/>
    <n v="717"/>
    <x v="0"/>
    <n v="0.42"/>
    <n v="0.79"/>
    <n v="0"/>
    <n v="34"/>
    <n v="179963"/>
    <n v="187206"/>
    <n v="0"/>
    <n v="0"/>
    <n v="0"/>
    <x v="2"/>
    <n v="74897600"/>
    <n v="83903255"/>
    <n v="301"/>
    <n v="2.5999999999999999E-2"/>
    <n v="4.2553191489361701E-2"/>
    <n v="7.1090047393364927E-2"/>
    <n v="16.500166666666669"/>
    <x v="1"/>
    <n v="260"/>
    <x v="0"/>
    <n v="302"/>
    <n v="3.6423841059602648E-2"/>
    <s v="lower size (&lt; 9L)"/>
    <n v="0"/>
    <n v="0.13934426229508196"/>
    <s v=" not riskY"/>
    <d v="2023-02-28T00:00:00"/>
    <n v="11207500"/>
    <n v="21.092024539877301"/>
    <s v="Old Loan"/>
    <s v="Q12023"/>
    <n v="46066100"/>
    <s v="L97225873|C5283357|44969|Personal Loan|Online|West|Salaried|120|306400|17.5|5423|1350307|717|B|0.42|0.79|0|34|179963|187206|0|0|0|Active"/>
    <x v="1"/>
  </r>
  <r>
    <s v="L70156266"/>
    <s v="C2486086"/>
    <x v="31"/>
    <x v="0"/>
    <x v="1"/>
    <x v="2"/>
    <x v="2"/>
    <n v="120"/>
    <n v="726300"/>
    <n v="17.809999999999999"/>
    <n v="12998"/>
    <n v="970471"/>
    <n v="707"/>
    <x v="0"/>
    <n v="0.41"/>
    <n v="0.63"/>
    <n v="0"/>
    <n v="35"/>
    <n v="456513"/>
    <n v="420700"/>
    <n v="0"/>
    <n v="0"/>
    <n v="0"/>
    <x v="2"/>
    <n v="74897600"/>
    <n v="98928695"/>
    <n v="301"/>
    <n v="2.5999999999999999E-2"/>
    <n v="2.8571428571428571E-2"/>
    <n v="5.8201058201058198E-2"/>
    <n v="16.500166666666669"/>
    <x v="1"/>
    <n v="260"/>
    <x v="0"/>
    <n v="302"/>
    <n v="3.6423841059602648E-2"/>
    <s v="lower size (&lt; 9L)"/>
    <n v="0"/>
    <n v="0.13934426229508196"/>
    <s v=" not riskY"/>
    <d v="2023-01-31T00:00:00"/>
    <n v="11698400"/>
    <n v="21.092024539877301"/>
    <s v="Old Loan"/>
    <s v="Q12023"/>
    <n v="46066100"/>
    <s v="L70156266|C2486086|44946|Personal Loan|Branch|Central|Self-Employed|120|726300|17.81|12998|970471|707|B|0.41|0.63|0|35|456513|420700|0|0|0|Active"/>
    <x v="1"/>
  </r>
  <r>
    <s v="L32546185"/>
    <s v="C5923319"/>
    <x v="35"/>
    <x v="1"/>
    <x v="1"/>
    <x v="3"/>
    <x v="2"/>
    <n v="24"/>
    <n v="2316700"/>
    <n v="14.09"/>
    <n v="111330"/>
    <n v="1180252"/>
    <n v="715"/>
    <x v="0"/>
    <n v="0.41"/>
    <n v="0.76"/>
    <n v="3039600"/>
    <n v="24"/>
    <n v="2701082"/>
    <n v="0"/>
    <n v="0"/>
    <n v="0"/>
    <n v="0"/>
    <x v="1"/>
    <n v="201475100"/>
    <n v="105779369"/>
    <n v="139"/>
    <n v="2.5999999999999999E-2"/>
    <n v="2.6548672566371681E-2"/>
    <n v="5.8201058201058198E-2"/>
    <n v="13.042631578947367"/>
    <x v="1"/>
    <n v="260"/>
    <x v="0"/>
    <n v="302"/>
    <n v="3.6423841059602648E-2"/>
    <s v="medium size (&lt;=33L)"/>
    <n v="0"/>
    <n v="0.15909090909090909"/>
    <s v=" not riskY"/>
    <d v="2023-02-28T00:00:00"/>
    <n v="11207500"/>
    <n v="19.091954022988507"/>
    <s v="Old Loan"/>
    <s v="Q12023"/>
    <n v="46066100"/>
    <s v="L32546185|C5923319|44976|SME Loan|Branch|North|Self-Employed|24|2316700|14.09|111330|1180252|715|B|0.41|0.76|3039600|24|2701082|0|0|0|0|Closed"/>
    <x v="1"/>
  </r>
  <r>
    <s v="L54606328"/>
    <s v="C8207957"/>
    <x v="36"/>
    <x v="0"/>
    <x v="2"/>
    <x v="1"/>
    <x v="1"/>
    <n v="120"/>
    <n v="304300"/>
    <n v="16.420000000000002"/>
    <n v="5177"/>
    <n v="885148"/>
    <n v="714"/>
    <x v="0"/>
    <n v="0.4"/>
    <n v="0.61"/>
    <n v="0"/>
    <n v="33"/>
    <n v="154462"/>
    <n v="204801"/>
    <n v="0"/>
    <n v="0"/>
    <n v="0"/>
    <x v="2"/>
    <n v="74897600"/>
    <n v="83903255"/>
    <n v="301"/>
    <n v="2.5999999999999999E-2"/>
    <n v="4.2553191489361701E-2"/>
    <n v="0.1"/>
    <n v="16.500166666666669"/>
    <x v="1"/>
    <n v="260"/>
    <x v="0"/>
    <n v="302"/>
    <n v="3.6423841059602648E-2"/>
    <s v="lower size (&lt; 9L)"/>
    <n v="0"/>
    <n v="0.13934426229508196"/>
    <s v=" not riskY"/>
    <d v="2023-03-31T00:00:00"/>
    <n v="23160200"/>
    <n v="21.092024539877301"/>
    <s v="Old Loan"/>
    <s v="Q12023"/>
    <n v="46066100"/>
    <s v="L54606328|C8207957|45001|Personal Loan|Partner|West|Contract|120|304300|16.42|5177|885148|714|B|0.4|0.61|0|33|154462|204801|0|0|0|Active"/>
    <x v="1"/>
  </r>
  <r>
    <s v="L96425600"/>
    <s v="C1840683"/>
    <x v="37"/>
    <x v="1"/>
    <x v="1"/>
    <x v="0"/>
    <x v="2"/>
    <n v="36"/>
    <n v="2003100"/>
    <n v="12.16"/>
    <n v="66685"/>
    <n v="668214"/>
    <n v="728"/>
    <x v="0"/>
    <n v="0.4"/>
    <n v="0.59"/>
    <n v="3401100"/>
    <n v="34"/>
    <n v="2008329"/>
    <n v="270825"/>
    <n v="0"/>
    <n v="0"/>
    <n v="0"/>
    <x v="2"/>
    <n v="201475100"/>
    <n v="94548000"/>
    <n v="301"/>
    <n v="2.5999999999999999E-2"/>
    <n v="0"/>
    <n v="5.8201058201058198E-2"/>
    <n v="13.042631578947367"/>
    <x v="1"/>
    <n v="260"/>
    <x v="2"/>
    <n v="57"/>
    <n v="0"/>
    <s v="medium size (&lt;=33L)"/>
    <n v="0"/>
    <n v="0.15909090909090909"/>
    <s v=" not riskY"/>
    <d v="2023-02-28T00:00:00"/>
    <n v="11207500"/>
    <n v="19.091954022988507"/>
    <s v="Old Loan"/>
    <s v="Q12023"/>
    <n v="46066100"/>
    <s v="L96425600|C1840683|44981|SME Loan|Branch|South|Self-Employed|36|2003100|12.16|66685|668214|728|B|0.4|0.59|3401100|34|2008329|270825|0|0|0|Active"/>
    <x v="1"/>
  </r>
  <r>
    <s v="L62888011"/>
    <s v="C2583995"/>
    <x v="38"/>
    <x v="0"/>
    <x v="1"/>
    <x v="2"/>
    <x v="2"/>
    <n v="120"/>
    <n v="232700"/>
    <n v="16.23"/>
    <n v="3931"/>
    <n v="973803"/>
    <n v="718"/>
    <x v="0"/>
    <n v="0.38"/>
    <n v="0.92"/>
    <n v="0"/>
    <n v="35"/>
    <n v="129472"/>
    <n v="147290"/>
    <n v="0"/>
    <n v="0"/>
    <n v="0"/>
    <x v="2"/>
    <n v="74897600"/>
    <n v="98928695"/>
    <n v="301"/>
    <n v="2.5999999999999999E-2"/>
    <n v="2.8571428571428571E-2"/>
    <n v="5.8201058201058198E-2"/>
    <n v="16.500166666666669"/>
    <x v="1"/>
    <n v="260"/>
    <x v="1"/>
    <n v="141"/>
    <n v="1.4184397163120567E-2"/>
    <s v="lower size (&lt; 9L)"/>
    <n v="0"/>
    <n v="0.13934426229508196"/>
    <s v=" not riskY"/>
    <d v="2023-01-31T00:00:00"/>
    <n v="11698400"/>
    <n v="21.092024539877301"/>
    <s v="Old Loan"/>
    <s v="Q12023"/>
    <n v="46066100"/>
    <s v="L62888011|C2583995|44942|Personal Loan|Branch|Central|Self-Employed|120|232700|16.23|3931|973803|718|B|0.38|0.92|0|35|129472|147290|0|0|0|Active"/>
    <x v="1"/>
  </r>
  <r>
    <s v="L80628710"/>
    <s v="C3030335"/>
    <x v="39"/>
    <x v="3"/>
    <x v="1"/>
    <x v="2"/>
    <x v="1"/>
    <n v="72"/>
    <n v="6951800"/>
    <n v="7"/>
    <n v="118521"/>
    <n v="1219253"/>
    <n v="770"/>
    <x v="3"/>
    <n v="0.37"/>
    <n v="0.92"/>
    <n v="7584600"/>
    <n v="33"/>
    <n v="3341886"/>
    <n v="4145203"/>
    <n v="0"/>
    <n v="0"/>
    <n v="0"/>
    <x v="2"/>
    <n v="403369500"/>
    <n v="98928695"/>
    <n v="301"/>
    <n v="2.5999999999999999E-2"/>
    <n v="2.8571428571428571E-2"/>
    <n v="5.8201058201058198E-2"/>
    <n v="7.1876190476190471"/>
    <x v="1"/>
    <n v="260"/>
    <x v="1"/>
    <n v="141"/>
    <n v="1.4184397163120567E-2"/>
    <s v="larger size (&gt; 33L)"/>
    <n v="0"/>
    <n v="0.16250000000000001"/>
    <s v=" not riskY"/>
    <d v="2023-03-31T00:00:00"/>
    <n v="23160200"/>
    <n v="20.516129032258064"/>
    <s v="Old Loan"/>
    <s v="Q12023"/>
    <n v="46066100"/>
    <s v="L80628710|C3030335|44993|Home Loan|Branch|Central|Contract|72|6951800|7|118521|1219253|770|A|0.37|0.92|7584600|33|3341886|4145203|0|0|0|Active"/>
    <x v="1"/>
  </r>
  <r>
    <s v="L60008226"/>
    <s v="C4465805"/>
    <x v="40"/>
    <x v="2"/>
    <x v="3"/>
    <x v="4"/>
    <x v="0"/>
    <n v="120"/>
    <n v="842900"/>
    <n v="13.15"/>
    <n v="12660"/>
    <n v="1193849"/>
    <n v="659"/>
    <x v="1"/>
    <n v="0.37"/>
    <n v="0.83"/>
    <n v="1012200"/>
    <n v="34"/>
    <n v="432525"/>
    <n v="535995"/>
    <n v="0"/>
    <n v="0"/>
    <n v="0"/>
    <x v="2"/>
    <n v="92273000"/>
    <n v="83297251"/>
    <n v="301"/>
    <n v="2.5999999999999999E-2"/>
    <n v="3.1914893617021274E-2"/>
    <n v="0.12"/>
    <n v="13.246500000000001"/>
    <x v="1"/>
    <n v="260"/>
    <x v="1"/>
    <n v="141"/>
    <n v="1.4184397163120567E-2"/>
    <s v="lower size (&lt; 9L)"/>
    <n v="0"/>
    <n v="0.13934426229508196"/>
    <s v=" not riskY"/>
    <d v="2023-02-28T00:00:00"/>
    <n v="11207500"/>
    <n v="20.262135922330096"/>
    <s v="Old Loan"/>
    <s v="Q12023"/>
    <n v="46066100"/>
    <s v="L60008226|C4465805|44979|Auto Loan|Call Center|East|Salaried|120|842900|13.15|12660|1193849|659|C|0.37|0.83|1012200|34|432525|535995|0|0|0|Active"/>
    <x v="1"/>
  </r>
  <r>
    <s v="L93990145"/>
    <s v="C4084317"/>
    <x v="41"/>
    <x v="3"/>
    <x v="0"/>
    <x v="1"/>
    <x v="0"/>
    <n v="24"/>
    <n v="3369400"/>
    <n v="14.16"/>
    <n v="162029"/>
    <n v="635673"/>
    <n v="607"/>
    <x v="2"/>
    <n v="0.37"/>
    <n v="0.99"/>
    <n v="3410200"/>
    <n v="24"/>
    <n v="3554137"/>
    <n v="196949"/>
    <n v="45"/>
    <n v="0"/>
    <n v="0"/>
    <x v="1"/>
    <n v="403369500"/>
    <n v="83903255"/>
    <n v="139"/>
    <n v="2.5999999999999999E-2"/>
    <n v="4.2553191489361701E-2"/>
    <n v="7.1090047393364927E-2"/>
    <n v="13.406874999999999"/>
    <x v="1"/>
    <n v="260"/>
    <x v="1"/>
    <n v="141"/>
    <n v="1.4184397163120567E-2"/>
    <s v="larger size (&gt; 33L)"/>
    <n v="1"/>
    <n v="0.16250000000000001"/>
    <s v="high risk"/>
    <d v="2023-01-31T00:00:00"/>
    <n v="11698400"/>
    <n v="20.516129032258064"/>
    <s v="Old Loan"/>
    <s v="Q12023"/>
    <n v="46066100"/>
    <s v="L93990145|C4084317|44955|Home Loan|Online|West|Salaried|24|3369400|14.16|162029|635673|607|D|0.37|0.99|3410200|24|3554137|196949|45|0|0|Closed"/>
    <x v="1"/>
  </r>
  <r>
    <s v="L51568950"/>
    <s v="C6227120"/>
    <x v="42"/>
    <x v="2"/>
    <x v="1"/>
    <x v="4"/>
    <x v="1"/>
    <n v="24"/>
    <n v="861400"/>
    <n v="11.33"/>
    <n v="40280"/>
    <n v="660405"/>
    <n v="712"/>
    <x v="0"/>
    <n v="0.36"/>
    <n v="0.66"/>
    <n v="1313000"/>
    <n v="24"/>
    <n v="950069"/>
    <n v="0"/>
    <n v="0"/>
    <n v="0"/>
    <n v="0"/>
    <x v="1"/>
    <n v="92273000"/>
    <n v="83297251"/>
    <n v="139"/>
    <n v="2.5999999999999999E-2"/>
    <n v="3.1914893617021274E-2"/>
    <n v="5.8201058201058198E-2"/>
    <n v="10.611923076923079"/>
    <x v="1"/>
    <n v="260"/>
    <x v="0"/>
    <n v="302"/>
    <n v="3.6423841059602648E-2"/>
    <s v="lower size (&lt; 9L)"/>
    <n v="0"/>
    <n v="0.13934426229508196"/>
    <s v=" not riskY"/>
    <d v="2023-03-31T00:00:00"/>
    <n v="23160200"/>
    <n v="20.262135922330096"/>
    <s v="Old Loan"/>
    <s v="Q12023"/>
    <n v="46066100"/>
    <s v="L51568950|C6227120|45014|Auto Loan|Branch|East|Contract|24|861400|11.33|40280|660405|712|B|0.36|0.66|1313000|24|950069|0|0|0|0|Closed"/>
    <x v="1"/>
  </r>
  <r>
    <s v="L47533220"/>
    <s v="C3234605"/>
    <x v="43"/>
    <x v="4"/>
    <x v="0"/>
    <x v="0"/>
    <x v="0"/>
    <n v="24"/>
    <n v="735300"/>
    <n v="12.64"/>
    <n v="34833"/>
    <n v="922606"/>
    <n v="710"/>
    <x v="0"/>
    <n v="0.36"/>
    <n v="0.72"/>
    <n v="0"/>
    <n v="24"/>
    <n v="843606"/>
    <n v="0"/>
    <n v="10"/>
    <n v="0"/>
    <n v="0"/>
    <x v="1"/>
    <n v="62765800"/>
    <n v="94548000"/>
    <n v="139"/>
    <n v="2.5999999999999999E-2"/>
    <n v="0"/>
    <n v="7.1090047393364927E-2"/>
    <n v="10.832666666666663"/>
    <x v="1"/>
    <n v="260"/>
    <x v="0"/>
    <n v="302"/>
    <n v="3.6423841059602648E-2"/>
    <s v="lower size (&lt; 9L)"/>
    <n v="0"/>
    <n v="0.13934426229508196"/>
    <s v=" not riskY"/>
    <d v="2023-01-31T00:00:00"/>
    <n v="11698400"/>
    <n v="21.962962962962962"/>
    <s v="Old Loan"/>
    <s v="Q12023"/>
    <n v="46066100"/>
    <s v="L47533220|C3234605|44927|Education Loan|Online|South|Salaried|24|735300|12.64|34833|922606|710|B|0.36|0.72|0|24|843606|0|10|0|0|Closed"/>
    <x v="1"/>
  </r>
  <r>
    <s v="L56697252"/>
    <s v="C8378197"/>
    <x v="39"/>
    <x v="4"/>
    <x v="1"/>
    <x v="4"/>
    <x v="0"/>
    <n v="360"/>
    <n v="1343300"/>
    <n v="13.75"/>
    <n v="15651"/>
    <n v="677984"/>
    <n v="657"/>
    <x v="1"/>
    <n v="0.35"/>
    <n v="0.78"/>
    <n v="0"/>
    <n v="33"/>
    <n v="450892"/>
    <n v="1095582"/>
    <n v="0"/>
    <n v="0"/>
    <n v="0"/>
    <x v="2"/>
    <n v="62765800"/>
    <n v="83297251"/>
    <n v="301"/>
    <n v="2.5999999999999999E-2"/>
    <n v="3.1914893617021274E-2"/>
    <n v="5.8201058201058198E-2"/>
    <n v="13.463888888888889"/>
    <x v="1"/>
    <n v="260"/>
    <x v="0"/>
    <n v="302"/>
    <n v="3.6423841059602648E-2"/>
    <s v="medium size (&lt;=33L)"/>
    <n v="0"/>
    <n v="0.15909090909090909"/>
    <s v=" not riskY"/>
    <d v="2023-03-31T00:00:00"/>
    <n v="23160200"/>
    <n v="21.962962962962962"/>
    <s v="Old Loan"/>
    <s v="Q12023"/>
    <n v="46066100"/>
    <s v="L56697252|C8378197|44993|Education Loan|Branch|East|Salaried|360|1343300|13.75|15651|677984|657|C|0.35|0.78|0|33|450892|1095582|0|0|0|Active"/>
    <x v="1"/>
  </r>
  <r>
    <s v="L48888373"/>
    <s v="C7644081"/>
    <x v="44"/>
    <x v="1"/>
    <x v="1"/>
    <x v="0"/>
    <x v="2"/>
    <n v="36"/>
    <n v="2083800"/>
    <n v="16.989999999999998"/>
    <n v="74283"/>
    <n v="1248472"/>
    <n v="644"/>
    <x v="2"/>
    <n v="0.34"/>
    <n v="0.56000000000000005"/>
    <n v="3749300"/>
    <n v="33"/>
    <n v="2328994"/>
    <n v="144247"/>
    <n v="0"/>
    <n v="0"/>
    <n v="0"/>
    <x v="2"/>
    <n v="201475100"/>
    <n v="94548000"/>
    <n v="301"/>
    <n v="2.5999999999999999E-2"/>
    <n v="0"/>
    <n v="5.8201058201058198E-2"/>
    <n v="18.241249999999997"/>
    <x v="1"/>
    <n v="260"/>
    <x v="2"/>
    <n v="57"/>
    <n v="0"/>
    <s v="medium size (&lt;=33L)"/>
    <n v="0"/>
    <n v="0.15909090909090909"/>
    <s v=" not riskY"/>
    <d v="2023-03-31T00:00:00"/>
    <n v="23160200"/>
    <n v="19.091954022988507"/>
    <s v="Old Loan"/>
    <s v="Q12023"/>
    <n v="46066100"/>
    <s v="L48888373|C7644081|44987|SME Loan|Branch|South|Self-Employed|36|2083800|16.99|74283|1248472|644|D|0.34|0.56|3749300|33|2328994|144247|0|0|0|Active"/>
    <x v="1"/>
  </r>
  <r>
    <s v="L68673792"/>
    <s v="C7630351"/>
    <x v="45"/>
    <x v="2"/>
    <x v="1"/>
    <x v="3"/>
    <x v="3"/>
    <n v="360"/>
    <n v="671900"/>
    <n v="13.81"/>
    <n v="7860"/>
    <n v="979507"/>
    <n v="669"/>
    <x v="1"/>
    <n v="0.31"/>
    <n v="0.6"/>
    <n v="1120000"/>
    <n v="35"/>
    <n v="276058"/>
    <n v="504096"/>
    <n v="0"/>
    <n v="0"/>
    <n v="0"/>
    <x v="2"/>
    <n v="92273000"/>
    <n v="105779369"/>
    <n v="301"/>
    <n v="2.5999999999999999E-2"/>
    <n v="2.6548672566371681E-2"/>
    <n v="5.8201058201058198E-2"/>
    <n v="13.246500000000001"/>
    <x v="1"/>
    <n v="260"/>
    <x v="0"/>
    <n v="302"/>
    <n v="3.6423841059602648E-2"/>
    <s v="lower size (&lt; 9L)"/>
    <n v="0"/>
    <n v="0.13934426229508196"/>
    <s v=" not riskY"/>
    <d v="2023-01-31T00:00:00"/>
    <n v="11698400"/>
    <n v="20.262135922330096"/>
    <s v="Old Loan"/>
    <s v="Q12023"/>
    <n v="46066100"/>
    <s v="L68673792|C7630351|44934|Auto Loan|Branch|North|Unemployed|360|671900|13.81|7860|979507|669|C|0.31|0.6|1120000|35|276058|504096|0|0|0|Active"/>
    <x v="1"/>
  </r>
  <r>
    <s v="L38837550"/>
    <s v="C2972221"/>
    <x v="30"/>
    <x v="0"/>
    <x v="0"/>
    <x v="1"/>
    <x v="3"/>
    <n v="18"/>
    <n v="352100"/>
    <n v="18.05"/>
    <n v="22474"/>
    <n v="701297"/>
    <n v="707"/>
    <x v="0"/>
    <n v="0.31"/>
    <n v="0.62"/>
    <n v="0"/>
    <n v="18"/>
    <n v="382682"/>
    <n v="7550"/>
    <n v="0"/>
    <n v="0"/>
    <n v="0"/>
    <x v="1"/>
    <n v="74897600"/>
    <n v="83903255"/>
    <n v="139"/>
    <n v="2.5999999999999999E-2"/>
    <n v="4.2553191489361701E-2"/>
    <n v="7.1090047393364927E-2"/>
    <n v="16.500166666666669"/>
    <x v="1"/>
    <n v="260"/>
    <x v="0"/>
    <n v="302"/>
    <n v="3.6423841059602648E-2"/>
    <s v="lower size (&lt; 9L)"/>
    <n v="0"/>
    <n v="0.13934426229508196"/>
    <s v=" not riskY"/>
    <d v="2023-03-31T00:00:00"/>
    <n v="23160200"/>
    <n v="21.092024539877301"/>
    <s v="Old Loan"/>
    <s v="Q12023"/>
    <n v="46066100"/>
    <s v="L38837550|C2972221|44990|Personal Loan|Online|West|Unemployed|18|352100|18.05|22474|701297|707|B|0.31|0.62|0|18|382682|7550|0|0|0|Closed"/>
    <x v="1"/>
  </r>
  <r>
    <s v="L94313183"/>
    <s v="C8660179"/>
    <x v="46"/>
    <x v="2"/>
    <x v="1"/>
    <x v="2"/>
    <x v="0"/>
    <n v="360"/>
    <n v="1446100"/>
    <n v="12.07"/>
    <n v="14953"/>
    <n v="859307"/>
    <n v="708"/>
    <x v="0"/>
    <n v="0.28999999999999998"/>
    <n v="0.68"/>
    <n v="2118900"/>
    <n v="34"/>
    <n v="494345"/>
    <n v="1149572"/>
    <n v="0"/>
    <n v="0"/>
    <n v="0"/>
    <x v="2"/>
    <n v="92273000"/>
    <n v="98928695"/>
    <n v="301"/>
    <n v="2.5999999999999999E-2"/>
    <n v="2.8571428571428571E-2"/>
    <n v="5.8201058201058198E-2"/>
    <n v="10.611923076923079"/>
    <x v="2"/>
    <n v="122"/>
    <x v="0"/>
    <n v="302"/>
    <n v="3.6423841059602648E-2"/>
    <s v="medium size (&lt;=33L)"/>
    <n v="0"/>
    <n v="0.15909090909090909"/>
    <s v=" not riskY"/>
    <d v="2023-02-28T00:00:00"/>
    <n v="11207500"/>
    <n v="20.262135922330096"/>
    <s v="Old Loan"/>
    <s v="Q12023"/>
    <n v="46066100"/>
    <s v="L94313183|C8660179|44968|Auto Loan|Branch|Central|Salaried|360|1446100|12.07|14953|859307|708|B|0.29|0.68|2118900|34|494345|1149572|0|0|0|Active"/>
    <x v="1"/>
  </r>
  <r>
    <s v="L49907277"/>
    <s v="C3562480"/>
    <x v="47"/>
    <x v="2"/>
    <x v="0"/>
    <x v="1"/>
    <x v="0"/>
    <n v="360"/>
    <n v="1127400"/>
    <n v="12.77"/>
    <n v="12269"/>
    <n v="974100"/>
    <n v="682"/>
    <x v="1"/>
    <n v="0.28999999999999998"/>
    <n v="0.71"/>
    <n v="1594600"/>
    <n v="33"/>
    <n v="408515"/>
    <n v="877251"/>
    <n v="0"/>
    <n v="1"/>
    <n v="0"/>
    <x v="1"/>
    <n v="92273000"/>
    <n v="83903255"/>
    <n v="139"/>
    <n v="2.5999999999999999E-2"/>
    <n v="4.2553191489361701E-2"/>
    <n v="7.1090047393364927E-2"/>
    <n v="13.246500000000001"/>
    <x v="2"/>
    <n v="122"/>
    <x v="0"/>
    <n v="302"/>
    <n v="3.6423841059602648E-2"/>
    <s v="medium size (&lt;=33L)"/>
    <n v="0"/>
    <n v="0.15909090909090909"/>
    <s v=" not riskY"/>
    <d v="2023-03-31T00:00:00"/>
    <n v="23160200"/>
    <n v="20.262135922330096"/>
    <s v="Old Loan"/>
    <s v="Q12023"/>
    <n v="46066100"/>
    <s v="L49907277|C3562480|45010|Auto Loan|Online|West|Salaried|360|1127400|12.77|12269|974100|682|C|0.29|0.71|1594600|33|408515|877251|0|1|0|Closed"/>
    <x v="2"/>
  </r>
  <r>
    <s v="L93408848"/>
    <s v="C2294847"/>
    <x v="48"/>
    <x v="0"/>
    <x v="0"/>
    <x v="3"/>
    <x v="0"/>
    <n v="180"/>
    <n v="473200"/>
    <n v="19.149999999999999"/>
    <n v="8015"/>
    <n v="748369"/>
    <n v="687"/>
    <x v="1"/>
    <n v="0.28000000000000003"/>
    <n v="0.77"/>
    <n v="0"/>
    <n v="34"/>
    <n v="267602"/>
    <n v="308298"/>
    <n v="0"/>
    <n v="0"/>
    <n v="0"/>
    <x v="2"/>
    <n v="74897600"/>
    <n v="105779369"/>
    <n v="301"/>
    <n v="2.5999999999999999E-2"/>
    <n v="2.6548672566371681E-2"/>
    <n v="7.1090047393364927E-2"/>
    <n v="18.603181818181817"/>
    <x v="2"/>
    <n v="122"/>
    <x v="0"/>
    <n v="302"/>
    <n v="3.6423841059602648E-2"/>
    <s v="lower size (&lt; 9L)"/>
    <n v="0"/>
    <n v="0.13934426229508196"/>
    <s v=" not riskY"/>
    <d v="2023-02-28T00:00:00"/>
    <n v="11207500"/>
    <n v="21.092024539877301"/>
    <s v="Old Loan"/>
    <s v="Q12023"/>
    <n v="46066100"/>
    <s v="L93408848|C2294847|44963|Personal Loan|Online|North|Salaried|180|473200|19.15|8015|748369|687|C|0.28|0.77|0|34|267602|308298|0|0|0|Active"/>
    <x v="2"/>
  </r>
  <r>
    <s v="L11254265"/>
    <s v="C1825489"/>
    <x v="49"/>
    <x v="4"/>
    <x v="1"/>
    <x v="1"/>
    <x v="0"/>
    <n v="12"/>
    <n v="939500"/>
    <n v="15.34"/>
    <n v="84948"/>
    <n v="985190"/>
    <n v="638"/>
    <x v="2"/>
    <n v="0.28000000000000003"/>
    <n v="0.55000000000000004"/>
    <n v="0"/>
    <n v="12"/>
    <n v="1011536"/>
    <n v="0"/>
    <n v="0"/>
    <n v="0"/>
    <n v="0"/>
    <x v="1"/>
    <n v="62765800"/>
    <n v="83903255"/>
    <n v="139"/>
    <n v="2.5999999999999999E-2"/>
    <n v="4.2553191489361701E-2"/>
    <n v="5.8201058201058198E-2"/>
    <n v="15.810000000000002"/>
    <x v="2"/>
    <n v="122"/>
    <x v="2"/>
    <n v="57"/>
    <n v="0"/>
    <s v="medium size (&lt;=33L)"/>
    <n v="0"/>
    <n v="0.15909090909090909"/>
    <s v=" not riskY"/>
    <d v="2023-02-28T00:00:00"/>
    <n v="11207500"/>
    <n v="21.962962962962962"/>
    <s v="Old Loan"/>
    <s v="Q12023"/>
    <n v="46066100"/>
    <s v="L11254265|C1825489|44967|Education Loan|Branch|West|Salaried|12|939500|15.34|84948|985190|638|D|0.28|0.55|0|12|1011536|0|0|0|0|Closed"/>
    <x v="2"/>
  </r>
  <r>
    <s v="L12259119"/>
    <s v="C4765314"/>
    <x v="50"/>
    <x v="3"/>
    <x v="0"/>
    <x v="3"/>
    <x v="0"/>
    <n v="48"/>
    <n v="1710600"/>
    <n v="14.53"/>
    <n v="47201"/>
    <n v="524234"/>
    <n v="594"/>
    <x v="4"/>
    <n v="0.26"/>
    <n v="0.59"/>
    <n v="2888200"/>
    <n v="35"/>
    <n v="1603526"/>
    <n v="397049"/>
    <n v="0"/>
    <n v="0"/>
    <n v="0"/>
    <x v="2"/>
    <n v="403369500"/>
    <n v="105779369"/>
    <n v="301"/>
    <n v="2.5999999999999999E-2"/>
    <n v="2.6548672566371681E-2"/>
    <n v="7.1090047393364927E-2"/>
    <n v="15.4275"/>
    <x v="2"/>
    <n v="122"/>
    <x v="2"/>
    <n v="57"/>
    <n v="0"/>
    <s v="medium size (&lt;=33L)"/>
    <n v="0"/>
    <n v="0.15909090909090909"/>
    <s v="high risk"/>
    <d v="2023-01-31T00:00:00"/>
    <n v="11698400"/>
    <n v="20.516129032258064"/>
    <s v="Old Loan"/>
    <s v="Q12023"/>
    <n v="46066100"/>
    <s v="L12259119|C4765314|44943|Home Loan|Online|North|Salaried|48|1710600|14.53|47201|524234|594|E|0.26|0.59|2888200|35|1603526|397049|0|0|0|Active"/>
    <x v="2"/>
  </r>
  <r>
    <s v="L10662604"/>
    <s v="C8434493"/>
    <x v="51"/>
    <x v="0"/>
    <x v="0"/>
    <x v="0"/>
    <x v="0"/>
    <n v="180"/>
    <n v="50000"/>
    <n v="15.29"/>
    <n v="710"/>
    <n v="292758"/>
    <n v="748"/>
    <x v="0"/>
    <n v="0.23"/>
    <n v="0.72"/>
    <n v="0"/>
    <n v="33"/>
    <n v="23195"/>
    <n v="35214"/>
    <n v="30"/>
    <n v="0"/>
    <n v="0"/>
    <x v="0"/>
    <n v="74897600"/>
    <n v="94548000"/>
    <n v="47"/>
    <n v="2.5999999999999999E-2"/>
    <n v="0"/>
    <n v="7.1090047393364927E-2"/>
    <n v="16.500166666666669"/>
    <x v="2"/>
    <n v="122"/>
    <x v="0"/>
    <n v="302"/>
    <n v="3.6423841059602648E-2"/>
    <s v="lower size (&lt; 9L)"/>
    <n v="1"/>
    <n v="0.13934426229508196"/>
    <s v="high risk"/>
    <d v="2023-03-31T00:00:00"/>
    <n v="23160200"/>
    <n v="21.092024539877301"/>
    <s v="Old Loan"/>
    <s v="Q12023"/>
    <n v="46066100"/>
    <s v="L10662604|C8434493|45000|Personal Loan|Online|South|Salaried|180|50000|15.29|710|292758|748|B|0.23|0.72|0|33|23195|35214|30|0|0|Delinquent"/>
    <x v="2"/>
  </r>
  <r>
    <s v="L18475961"/>
    <s v="C8349118"/>
    <x v="52"/>
    <x v="2"/>
    <x v="1"/>
    <x v="2"/>
    <x v="2"/>
    <n v="24"/>
    <n v="142300"/>
    <n v="12.08"/>
    <n v="6704"/>
    <n v="688390"/>
    <n v="697"/>
    <x v="1"/>
    <n v="0.21"/>
    <n v="0.87"/>
    <n v="164000"/>
    <n v="24"/>
    <n v="156039"/>
    <n v="13"/>
    <n v="0"/>
    <n v="0"/>
    <n v="0"/>
    <x v="1"/>
    <n v="92273000"/>
    <n v="98928695"/>
    <n v="139"/>
    <n v="2.5999999999999999E-2"/>
    <n v="2.8571428571428571E-2"/>
    <n v="5.8201058201058198E-2"/>
    <n v="13.246500000000001"/>
    <x v="2"/>
    <n v="122"/>
    <x v="1"/>
    <n v="141"/>
    <n v="1.4184397163120567E-2"/>
    <s v="lower size (&lt; 9L)"/>
    <n v="0"/>
    <n v="0.13934426229508196"/>
    <s v=" not riskY"/>
    <d v="2023-03-31T00:00:00"/>
    <n v="23160200"/>
    <n v="20.262135922330096"/>
    <s v="Old Loan"/>
    <s v="Q12023"/>
    <n v="46066100"/>
    <s v="L18475961|C8349118|45011|Auto Loan|Branch|Central|Self-Employed|24|142300|12.08|6704|688390|697|C|0.21|0.87|164000|24|156039|13|0|0|0|Closed"/>
    <x v="2"/>
  </r>
  <r>
    <s v="L24514460"/>
    <s v="C5709047"/>
    <x v="53"/>
    <x v="0"/>
    <x v="0"/>
    <x v="1"/>
    <x v="0"/>
    <n v="24"/>
    <n v="898000"/>
    <n v="14.6"/>
    <n v="43371"/>
    <n v="1438075"/>
    <n v="735"/>
    <x v="0"/>
    <n v="0.21"/>
    <n v="0.61"/>
    <n v="0"/>
    <n v="24"/>
    <n v="1052004"/>
    <n v="0"/>
    <n v="0"/>
    <n v="0"/>
    <n v="0"/>
    <x v="1"/>
    <n v="74897600"/>
    <n v="83903255"/>
    <n v="139"/>
    <n v="2.5999999999999999E-2"/>
    <n v="4.2553191489361701E-2"/>
    <n v="7.1090047393364927E-2"/>
    <n v="16.500166666666669"/>
    <x v="2"/>
    <n v="122"/>
    <x v="0"/>
    <n v="302"/>
    <n v="3.6423841059602648E-2"/>
    <s v="lower size (&lt; 9L)"/>
    <n v="0"/>
    <n v="0.13934426229508196"/>
    <s v=" not riskY"/>
    <d v="2023-01-31T00:00:00"/>
    <n v="11698400"/>
    <n v="21.092024539877301"/>
    <s v="Old Loan"/>
    <s v="Q12023"/>
    <n v="46066100"/>
    <s v="L24514460|C5709047|44932|Personal Loan|Online|West|Salaried|24|898000|14.6|43371|1438075|735|B|0.21|0.61|0|24|1052004|0|0|0|0|Closed"/>
    <x v="2"/>
  </r>
  <r>
    <s v="L13942338"/>
    <s v="C8660184"/>
    <x v="54"/>
    <x v="3"/>
    <x v="0"/>
    <x v="1"/>
    <x v="2"/>
    <n v="24"/>
    <n v="6304100"/>
    <n v="15.6"/>
    <n v="307465"/>
    <n v="1069559"/>
    <n v="589"/>
    <x v="4"/>
    <n v="0.18"/>
    <n v="1.03"/>
    <n v="6114300"/>
    <n v="24"/>
    <n v="6734708"/>
    <n v="356144"/>
    <n v="10"/>
    <n v="0"/>
    <n v="0"/>
    <x v="1"/>
    <n v="403369500"/>
    <n v="83903255"/>
    <n v="139"/>
    <n v="2.5999999999999999E-2"/>
    <n v="4.2553191489361701E-2"/>
    <n v="7.1090047393364927E-2"/>
    <n v="15.4275"/>
    <x v="3"/>
    <n v="86"/>
    <x v="1"/>
    <n v="141"/>
    <n v="1.4184397163120567E-2"/>
    <s v="larger size (&gt; 33L)"/>
    <n v="0"/>
    <n v="0.16250000000000001"/>
    <s v="high risk"/>
    <d v="2023-03-31T00:00:00"/>
    <n v="23160200"/>
    <n v="20.516129032258064"/>
    <s v="Old Loan"/>
    <s v="Q12023"/>
    <n v="46066100"/>
    <s v="L13942338|C8660184|45006|Home Loan|Online|West|Self-Employed|24|6304100|15.6|307465|1069559|589|E|0.18|1.03|6114300|24|6734708|356144|10|0|0|Closed"/>
    <x v="2"/>
  </r>
  <r>
    <s v="L71533059"/>
    <s v="C8156033"/>
    <x v="55"/>
    <x v="1"/>
    <x v="1"/>
    <x v="3"/>
    <x v="0"/>
    <n v="18"/>
    <n v="97300"/>
    <n v="20.41"/>
    <n v="6321"/>
    <n v="1322599"/>
    <n v="617"/>
    <x v="2"/>
    <n v="0.17"/>
    <n v="0.66"/>
    <n v="147200"/>
    <n v="18"/>
    <n v="107892"/>
    <n v="1323"/>
    <n v="0"/>
    <n v="0"/>
    <n v="0"/>
    <x v="1"/>
    <n v="201475100"/>
    <n v="105779369"/>
    <n v="139"/>
    <n v="2.5999999999999999E-2"/>
    <n v="2.6548672566371681E-2"/>
    <n v="5.8201058201058198E-2"/>
    <n v="18.241249999999997"/>
    <x v="3"/>
    <n v="86"/>
    <x v="0"/>
    <n v="302"/>
    <n v="3.6423841059602648E-2"/>
    <s v="lower size (&lt; 9L)"/>
    <n v="0"/>
    <n v="0.13934426229508196"/>
    <s v=" not riskY"/>
    <d v="2023-02-28T00:00:00"/>
    <n v="11207500"/>
    <n v="19.091954022988507"/>
    <s v="Old Loan"/>
    <s v="Q12023"/>
    <n v="46066100"/>
    <s v="L71533059|C8156033|44959|SME Loan|Branch|North|Salaried|18|97300|20.41|6321|1322599|617|D|0.17|0.66|147200|18|107892|1323|0|0|0|Closed"/>
    <x v="2"/>
  </r>
  <r>
    <s v="L85671421"/>
    <s v="C9743163"/>
    <x v="56"/>
    <x v="0"/>
    <x v="0"/>
    <x v="2"/>
    <x v="2"/>
    <n v="60"/>
    <n v="324600"/>
    <n v="19.260000000000002"/>
    <n v="8467"/>
    <n v="1257428"/>
    <n v="644"/>
    <x v="2"/>
    <n v="0.14000000000000001"/>
    <n v="0.65"/>
    <n v="0"/>
    <n v="35"/>
    <n v="275204"/>
    <n v="122334"/>
    <n v="0"/>
    <n v="0"/>
    <n v="0"/>
    <x v="2"/>
    <n v="74897600"/>
    <n v="98928695"/>
    <n v="301"/>
    <n v="2.5999999999999999E-2"/>
    <n v="2.8571428571428571E-2"/>
    <n v="7.1090047393364927E-2"/>
    <n v="20.962592592592593"/>
    <x v="3"/>
    <n v="86"/>
    <x v="0"/>
    <n v="302"/>
    <n v="3.6423841059602648E-2"/>
    <s v="lower size (&lt; 9L)"/>
    <n v="0"/>
    <n v="0.13934426229508196"/>
    <s v=" not riskY"/>
    <d v="2023-01-31T00:00:00"/>
    <n v="11698400"/>
    <n v="21.092024539877301"/>
    <s v="Old Loan"/>
    <s v="Q12023"/>
    <n v="46066100"/>
    <s v="L85671421|C9743163|44939|Personal Loan|Online|Central|Self-Employed|60|324600|19.26|8467|1257428|644|D|0.14|0.65|0|35|275204|122334|0|0|0|Active"/>
    <x v="2"/>
  </r>
  <r>
    <s v="L56860516"/>
    <s v="C9714793"/>
    <x v="57"/>
    <x v="2"/>
    <x v="3"/>
    <x v="4"/>
    <x v="0"/>
    <n v="12"/>
    <n v="1039600"/>
    <n v="9.17"/>
    <n v="90997"/>
    <n v="601472"/>
    <n v="762"/>
    <x v="3"/>
    <n v="0.13"/>
    <n v="0.74"/>
    <n v="1397200"/>
    <n v="12"/>
    <n v="962509"/>
    <n v="115224"/>
    <n v="10"/>
    <n v="0"/>
    <n v="0"/>
    <x v="1"/>
    <n v="92273000"/>
    <n v="83297251"/>
    <n v="139"/>
    <n v="2.5999999999999999E-2"/>
    <n v="3.1914893617021274E-2"/>
    <n v="0.12"/>
    <n v="7.9444999999999997"/>
    <x v="3"/>
    <n v="86"/>
    <x v="0"/>
    <n v="302"/>
    <n v="3.6423841059602648E-2"/>
    <s v="medium size (&lt;=33L)"/>
    <n v="0"/>
    <n v="0.15909090909090909"/>
    <s v=" not riskY"/>
    <d v="2023-01-31T00:00:00"/>
    <n v="11698400"/>
    <n v="20.262135922330096"/>
    <s v="Old Loan"/>
    <s v="Q12023"/>
    <n v="46066100"/>
    <s v="L56860516|C9714793|44938|Auto Loan|Call Center|East|Salaried|12|1039600|9.17|90997|601472|762|A|0.13|0.74|1397200|12|962509|115224|10|0|0|Closed"/>
    <x v="2"/>
  </r>
  <r>
    <s v="L36423438"/>
    <s v="C5977341"/>
    <x v="58"/>
    <x v="1"/>
    <x v="2"/>
    <x v="3"/>
    <x v="0"/>
    <n v="12"/>
    <n v="1526400"/>
    <n v="8.33"/>
    <n v="133012"/>
    <n v="230177"/>
    <n v="821"/>
    <x v="3"/>
    <n v="0.11"/>
    <n v="0.8"/>
    <n v="1915900"/>
    <n v="12"/>
    <n v="1459543"/>
    <n v="117717"/>
    <n v="0"/>
    <n v="0"/>
    <n v="0"/>
    <x v="1"/>
    <n v="201475100"/>
    <n v="105779369"/>
    <n v="139"/>
    <n v="2.5999999999999999E-2"/>
    <n v="2.6548672566371681E-2"/>
    <n v="0.1"/>
    <n v="10.537499999999998"/>
    <x v="3"/>
    <n v="86"/>
    <x v="0"/>
    <n v="302"/>
    <n v="3.6423841059602648E-2"/>
    <s v="medium size (&lt;=33L)"/>
    <n v="0"/>
    <n v="0.15909090909090909"/>
    <s v=" not riskY"/>
    <d v="2023-03-31T00:00:00"/>
    <n v="23160200"/>
    <n v="19.091954022988507"/>
    <s v="Old Loan"/>
    <s v="Q12023"/>
    <n v="46066100"/>
    <s v="L36423438|C5977341|44998|SME Loan|Partner|North|Salaried|12|1526400|8.33|133012|230177|821|A|0.11|0.8|1915900|12|1459543|117717|0|0|0|Closed"/>
    <x v="2"/>
  </r>
  <r>
    <s v="L31948592"/>
    <s v="C8532069"/>
    <x v="59"/>
    <x v="1"/>
    <x v="1"/>
    <x v="0"/>
    <x v="0"/>
    <n v="60"/>
    <n v="50000"/>
    <n v="15.37"/>
    <n v="1199"/>
    <n v="1205191"/>
    <n v="668"/>
    <x v="1"/>
    <n v="0.11"/>
    <n v="0.69"/>
    <n v="72300"/>
    <n v="33"/>
    <n v="35320"/>
    <n v="23134"/>
    <n v="0"/>
    <n v="0"/>
    <n v="0"/>
    <x v="2"/>
    <n v="201475100"/>
    <n v="94548000"/>
    <n v="301"/>
    <n v="2.5999999999999999E-2"/>
    <n v="0"/>
    <n v="5.8201058201058198E-2"/>
    <n v="15.841379310344831"/>
    <x v="3"/>
    <n v="86"/>
    <x v="0"/>
    <n v="302"/>
    <n v="3.6423841059602648E-2"/>
    <s v="lower size (&lt; 9L)"/>
    <n v="0"/>
    <n v="0.13934426229508196"/>
    <s v=" not riskY"/>
    <d v="2023-03-31T00:00:00"/>
    <n v="23160200"/>
    <n v="19.091954022988507"/>
    <s v="Old Loan"/>
    <s v="Q12023"/>
    <n v="46066100"/>
    <s v="L31948592|C8532069|44989|SME Loan|Branch|South|Salaried|60|50000|15.37|1199|1205191|668|C|0.11|0.69|72300|33|35320|23134|0|0|0|Active"/>
    <x v="2"/>
  </r>
  <r>
    <s v="L96689068"/>
    <s v="C2783838"/>
    <x v="60"/>
    <x v="1"/>
    <x v="1"/>
    <x v="3"/>
    <x v="2"/>
    <n v="120"/>
    <n v="735700"/>
    <n v="12.19"/>
    <n v="10636"/>
    <n v="668626"/>
    <n v="740"/>
    <x v="0"/>
    <n v="0.1"/>
    <n v="0.41"/>
    <n v="1794800"/>
    <n v="34"/>
    <n v="359540"/>
    <n v="477799"/>
    <n v="0"/>
    <n v="0"/>
    <n v="0"/>
    <x v="2"/>
    <n v="201475100"/>
    <n v="105779369"/>
    <n v="301"/>
    <n v="2.5999999999999999E-2"/>
    <n v="2.6548672566371681E-2"/>
    <n v="5.8201058201058198E-2"/>
    <n v="13.042631578947367"/>
    <x v="3"/>
    <n v="86"/>
    <x v="2"/>
    <n v="57"/>
    <n v="0"/>
    <s v="lower size (&lt; 9L)"/>
    <n v="0"/>
    <n v="0.13934426229508196"/>
    <s v=" not riskY"/>
    <d v="2023-02-28T00:00:00"/>
    <n v="11207500"/>
    <n v="19.091954022988507"/>
    <s v="Old Loan"/>
    <s v="Q12023"/>
    <n v="46066100"/>
    <s v="L96689068|C2783838|44985|SME Loan|Branch|North|Self-Employed|120|735700|12.19|10636|668626|740|B|0.1|0.41|1794800|34|359540|477799|0|0|0|Active"/>
    <x v="2"/>
  </r>
  <r>
    <s v="L59221654"/>
    <s v="C6920769"/>
    <x v="61"/>
    <x v="1"/>
    <x v="3"/>
    <x v="1"/>
    <x v="0"/>
    <n v="36"/>
    <n v="2046600"/>
    <n v="14.51"/>
    <n v="70456"/>
    <n v="1069819"/>
    <n v="693"/>
    <x v="1"/>
    <n v="0.09"/>
    <n v="0.64"/>
    <n v="3182900"/>
    <n v="34"/>
    <n v="2338018"/>
    <n v="45139"/>
    <n v="0"/>
    <n v="0"/>
    <n v="0"/>
    <x v="2"/>
    <n v="201475100"/>
    <n v="83903255"/>
    <n v="301"/>
    <n v="2.5999999999999999E-2"/>
    <n v="4.2553191489361701E-2"/>
    <n v="0.12"/>
    <n v="15.841379310344831"/>
    <x v="3"/>
    <n v="86"/>
    <x v="0"/>
    <n v="302"/>
    <n v="3.6423841059602648E-2"/>
    <s v="medium size (&lt;=33L)"/>
    <n v="0"/>
    <n v="0.15909090909090909"/>
    <s v=" not riskY"/>
    <d v="2023-02-28T00:00:00"/>
    <n v="11207500"/>
    <n v="19.091954022988507"/>
    <s v="Old Loan"/>
    <s v="Q12023"/>
    <n v="46066100"/>
    <s v="L59221654|C6920769|44974|SME Loan|Call Center|West|Salaried|36|2046600|14.51|70456|1069819|693|C|0.09|0.64|3182900|34|2338018|45139|0|0|0|Active"/>
    <x v="2"/>
  </r>
  <r>
    <s v="L95760945"/>
    <s v="C3600175"/>
    <x v="62"/>
    <x v="0"/>
    <x v="0"/>
    <x v="1"/>
    <x v="2"/>
    <n v="48"/>
    <n v="388000"/>
    <n v="19.309999999999999"/>
    <n v="11665"/>
    <n v="1034669"/>
    <n v="642"/>
    <x v="2"/>
    <n v="0.54"/>
    <n v="0.69"/>
    <n v="0"/>
    <n v="22"/>
    <n v="245926"/>
    <n v="197017"/>
    <n v="0"/>
    <n v="0"/>
    <n v="0"/>
    <x v="2"/>
    <n v="74897600"/>
    <n v="83903255"/>
    <n v="301"/>
    <n v="2.5999999999999999E-2"/>
    <n v="4.2553191489361701E-2"/>
    <n v="7.1090047393364927E-2"/>
    <n v="20.962592592592593"/>
    <x v="0"/>
    <n v="32"/>
    <x v="0"/>
    <n v="302"/>
    <n v="3.6423841059602648E-2"/>
    <s v="lower size (&lt; 9L)"/>
    <n v="0"/>
    <n v="0.13934426229508196"/>
    <s v="high risk"/>
    <d v="2024-02-29T00:00:00"/>
    <n v="10064700"/>
    <n v="21.092024539877301"/>
    <s v="Old Loan"/>
    <s v="Q12024"/>
    <n v="48515800"/>
    <s v="L95760945|C3600175|45325|Personal Loan|Online|West|Self-Employed|48|388000|19.31|11665|1034669|642|D|0.54|0.69|0|22|245926|197017|0|0|0|Active"/>
    <x v="2"/>
  </r>
  <r>
    <s v="L46826779"/>
    <s v="C2821641"/>
    <x v="63"/>
    <x v="1"/>
    <x v="1"/>
    <x v="0"/>
    <x v="0"/>
    <n v="240"/>
    <n v="2228400"/>
    <n v="14.79"/>
    <n v="28998"/>
    <n v="831226"/>
    <n v="699"/>
    <x v="1"/>
    <n v="0.5"/>
    <n v="0.91"/>
    <n v="2459800"/>
    <n v="23"/>
    <n v="613673"/>
    <n v="1867405"/>
    <n v="0"/>
    <n v="0"/>
    <n v="0"/>
    <x v="2"/>
    <n v="201475100"/>
    <n v="94548000"/>
    <n v="301"/>
    <n v="2.5999999999999999E-2"/>
    <n v="0"/>
    <n v="5.8201058201058198E-2"/>
    <n v="15.841379310344831"/>
    <x v="1"/>
    <n v="260"/>
    <x v="1"/>
    <n v="141"/>
    <n v="1.4184397163120567E-2"/>
    <s v="medium size (&lt;=33L)"/>
    <n v="0"/>
    <n v="0.15909090909090909"/>
    <s v=" not riskY"/>
    <d v="2024-01-31T00:00:00"/>
    <n v="24741500"/>
    <n v="19.091954022988507"/>
    <s v="Old Loan"/>
    <s v="Q12024"/>
    <n v="48515800"/>
    <s v="L46826779|C2821641|45321|SME Loan|Branch|South|Salaried|240|2228400|14.79|28998|831226|699|C|0.5|0.91|2459800|23|613673|1867405|0|0|0|Active"/>
    <x v="2"/>
  </r>
  <r>
    <s v="L33928296"/>
    <s v="C1070682"/>
    <x v="64"/>
    <x v="0"/>
    <x v="2"/>
    <x v="4"/>
    <x v="0"/>
    <n v="360"/>
    <n v="523600"/>
    <n v="16.79"/>
    <n v="7376"/>
    <n v="529915"/>
    <n v="708"/>
    <x v="0"/>
    <n v="0.49"/>
    <n v="0.69"/>
    <n v="0"/>
    <n v="23"/>
    <n v="151720"/>
    <n v="439280"/>
    <n v="10"/>
    <n v="0"/>
    <n v="0"/>
    <x v="2"/>
    <n v="74897600"/>
    <n v="83297251"/>
    <n v="301"/>
    <n v="2.5999999999999999E-2"/>
    <n v="3.1914893617021274E-2"/>
    <n v="0.1"/>
    <n v="16.500166666666669"/>
    <x v="1"/>
    <n v="260"/>
    <x v="0"/>
    <n v="302"/>
    <n v="3.6423841059602648E-2"/>
    <s v="lower size (&lt; 9L)"/>
    <n v="0"/>
    <n v="0.13934426229508196"/>
    <s v=" not riskY"/>
    <d v="2024-01-31T00:00:00"/>
    <n v="24741500"/>
    <n v="21.092024539877301"/>
    <s v="Old Loan"/>
    <s v="Q12024"/>
    <n v="48515800"/>
    <s v="L33928296|C1070682|45298|Personal Loan|Partner|East|Salaried|360|523600|16.79|7376|529915|708|B|0.49|0.69|0|23|151720|439280|10|0|0|Active"/>
    <x v="2"/>
  </r>
  <r>
    <s v="L20235594"/>
    <s v="C8274703"/>
    <x v="65"/>
    <x v="2"/>
    <x v="0"/>
    <x v="3"/>
    <x v="2"/>
    <n v="240"/>
    <n v="1282700"/>
    <n v="8.32"/>
    <n v="10986"/>
    <n v="853765"/>
    <n v="762"/>
    <x v="3"/>
    <n v="0.47"/>
    <n v="0.75"/>
    <n v="1703100"/>
    <n v="23"/>
    <n v="242686"/>
    <n v="1121833"/>
    <n v="0"/>
    <n v="0"/>
    <n v="0"/>
    <x v="2"/>
    <n v="92273000"/>
    <n v="105779369"/>
    <n v="301"/>
    <n v="2.5999999999999999E-2"/>
    <n v="2.6548672566371681E-2"/>
    <n v="7.1090047393364927E-2"/>
    <n v="7.9444999999999997"/>
    <x v="1"/>
    <n v="260"/>
    <x v="0"/>
    <n v="302"/>
    <n v="3.6423841059602648E-2"/>
    <s v="medium size (&lt;=33L)"/>
    <n v="0"/>
    <n v="0.15909090909090909"/>
    <s v=" not riskY"/>
    <d v="2024-01-31T00:00:00"/>
    <n v="24741500"/>
    <n v="20.262135922330096"/>
    <s v="Old Loan"/>
    <s v="Q12024"/>
    <n v="48515800"/>
    <s v="L20235594|C8274703|45319|Auto Loan|Online|North|Self-Employed|240|1282700|8.32|10986|853765|762|A|0.47|0.75|1703100|23|242686|1121833|0|0|0|Active"/>
    <x v="2"/>
  </r>
  <r>
    <s v="L80341071"/>
    <s v="C9237402"/>
    <x v="66"/>
    <x v="0"/>
    <x v="0"/>
    <x v="4"/>
    <x v="0"/>
    <n v="60"/>
    <n v="506900"/>
    <n v="17.28"/>
    <n v="12674"/>
    <n v="1014711"/>
    <n v="688"/>
    <x v="1"/>
    <n v="0.45"/>
    <n v="0.77"/>
    <n v="0"/>
    <n v="21"/>
    <n v="232673"/>
    <n v="335542"/>
    <n v="0"/>
    <n v="0"/>
    <n v="0"/>
    <x v="2"/>
    <n v="74897600"/>
    <n v="83297251"/>
    <n v="301"/>
    <n v="2.5999999999999999E-2"/>
    <n v="3.1914893617021274E-2"/>
    <n v="7.1090047393364927E-2"/>
    <n v="18.603181818181817"/>
    <x v="1"/>
    <n v="260"/>
    <x v="0"/>
    <n v="302"/>
    <n v="3.6423841059602648E-2"/>
    <s v="lower size (&lt; 9L)"/>
    <n v="0"/>
    <n v="0.13934426229508196"/>
    <s v=" not riskY"/>
    <d v="2024-03-31T00:00:00"/>
    <n v="13709600"/>
    <n v="21.092024539877301"/>
    <s v="Old Loan"/>
    <s v="Q12024"/>
    <n v="48515800"/>
    <s v="L80341071|C9237402|45370|Personal Loan|Online|East|Salaried|60|506900|17.28|12674|1014711|688|C|0.45|0.77|0|21|232673|335542|0|0|0|Active"/>
    <x v="2"/>
  </r>
  <r>
    <s v="L19696685"/>
    <s v="C2228721"/>
    <x v="67"/>
    <x v="2"/>
    <x v="2"/>
    <x v="2"/>
    <x v="2"/>
    <n v="240"/>
    <n v="242000"/>
    <n v="20.57"/>
    <n v="4220"/>
    <n v="262527"/>
    <n v="511"/>
    <x v="4"/>
    <n v="0.43"/>
    <n v="0.64"/>
    <n v="380500"/>
    <n v="22"/>
    <n v="92909"/>
    <n v="185596"/>
    <n v="0"/>
    <n v="0"/>
    <n v="0"/>
    <x v="2"/>
    <n v="92273000"/>
    <n v="98928695"/>
    <n v="301"/>
    <n v="2.5999999999999999E-2"/>
    <n v="2.8571428571428571E-2"/>
    <n v="0.1"/>
    <n v="17.744166666666668"/>
    <x v="1"/>
    <n v="260"/>
    <x v="0"/>
    <n v="302"/>
    <n v="3.6423841059602648E-2"/>
    <s v="lower size (&lt; 9L)"/>
    <n v="0"/>
    <n v="0.13934426229508196"/>
    <s v="high risk"/>
    <d v="2024-02-29T00:00:00"/>
    <n v="10064700"/>
    <n v="20.262135922330096"/>
    <s v="Old Loan"/>
    <s v="Q12024"/>
    <n v="48515800"/>
    <s v="L19696685|C2228721|45348|Auto Loan|Partner|Central|Self-Employed|240|242000|20.57|4220|262527|511|E|0.43|0.64|380500|22|92909|185596|0|0|0|Active"/>
    <x v="2"/>
  </r>
  <r>
    <s v="L87273812"/>
    <s v="C3129961"/>
    <x v="68"/>
    <x v="4"/>
    <x v="3"/>
    <x v="2"/>
    <x v="0"/>
    <n v="360"/>
    <n v="1233700"/>
    <n v="21.39"/>
    <n v="22029"/>
    <n v="610346"/>
    <n v="526"/>
    <x v="4"/>
    <n v="0.41"/>
    <n v="0.69"/>
    <n v="0"/>
    <n v="23"/>
    <n v="462789"/>
    <n v="973225"/>
    <n v="0"/>
    <n v="0"/>
    <n v="0"/>
    <x v="2"/>
    <n v="62765800"/>
    <n v="98928695"/>
    <n v="301"/>
    <n v="2.5999999999999999E-2"/>
    <n v="2.8571428571428571E-2"/>
    <n v="0.12"/>
    <n v="19.806666666666668"/>
    <x v="1"/>
    <n v="260"/>
    <x v="0"/>
    <n v="302"/>
    <n v="3.6423841059602648E-2"/>
    <s v="medium size (&lt;=33L)"/>
    <n v="0"/>
    <n v="0.15909090909090909"/>
    <s v="high risk"/>
    <d v="2024-01-31T00:00:00"/>
    <n v="24741500"/>
    <n v="21.962962962962962"/>
    <s v="Old Loan"/>
    <s v="Q12024"/>
    <n v="48515800"/>
    <s v="L87273812|C3129961|45305|Education Loan|Call Center|Central|Salaried|360|1233700|21.39|22029|610346|526|E|0.41|0.69|0|23|462789|973225|0|0|0|Active"/>
    <x v="2"/>
  </r>
  <r>
    <s v="L46574817"/>
    <s v="C6377005"/>
    <x v="69"/>
    <x v="4"/>
    <x v="2"/>
    <x v="0"/>
    <x v="0"/>
    <n v="240"/>
    <n v="2042500"/>
    <n v="17.309999999999999"/>
    <n v="30442"/>
    <n v="1189510"/>
    <n v="606"/>
    <x v="2"/>
    <n v="0.41"/>
    <n v="0.93"/>
    <n v="0"/>
    <n v="23"/>
    <n v="670705"/>
    <n v="1642855"/>
    <n v="0"/>
    <n v="0"/>
    <n v="0"/>
    <x v="2"/>
    <n v="62765800"/>
    <n v="94548000"/>
    <n v="301"/>
    <n v="2.5999999999999999E-2"/>
    <n v="0"/>
    <n v="0.1"/>
    <n v="15.810000000000002"/>
    <x v="1"/>
    <n v="260"/>
    <x v="1"/>
    <n v="141"/>
    <n v="1.4184397163120567E-2"/>
    <s v="medium size (&lt;=33L)"/>
    <n v="0"/>
    <n v="0.15909090909090909"/>
    <s v=" not riskY"/>
    <d v="2024-01-31T00:00:00"/>
    <n v="24741500"/>
    <n v="21.962962962962962"/>
    <s v="Old Loan"/>
    <s v="Q12024"/>
    <n v="48515800"/>
    <s v="L46574817|C6377005|45301|Education Loan|Partner|South|Salaried|240|2042500|17.31|30442|1189510|606|D|0.41|0.93|0|23|670705|1642855|0|0|0|Active"/>
    <x v="2"/>
  </r>
  <r>
    <s v="L78849897"/>
    <s v="C5545484"/>
    <x v="70"/>
    <x v="3"/>
    <x v="1"/>
    <x v="1"/>
    <x v="0"/>
    <n v="36"/>
    <n v="5929900"/>
    <n v="15.54"/>
    <n v="207133"/>
    <n v="1415695"/>
    <n v="588"/>
    <x v="4"/>
    <n v="0.36"/>
    <n v="0.72"/>
    <n v="8245600"/>
    <n v="21"/>
    <n v="3954559"/>
    <n v="2620396"/>
    <n v="5"/>
    <n v="0"/>
    <n v="0"/>
    <x v="2"/>
    <n v="403369500"/>
    <n v="83903255"/>
    <n v="301"/>
    <n v="2.5999999999999999E-2"/>
    <n v="4.2553191489361701E-2"/>
    <n v="5.8201058201058198E-2"/>
    <n v="15.4275"/>
    <x v="1"/>
    <n v="260"/>
    <x v="0"/>
    <n v="302"/>
    <n v="3.6423841059602648E-2"/>
    <s v="larger size (&gt; 33L)"/>
    <n v="0"/>
    <n v="0.16250000000000001"/>
    <s v="high risk"/>
    <d v="2024-03-31T00:00:00"/>
    <n v="13709600"/>
    <n v="20.516129032258064"/>
    <s v="Old Loan"/>
    <s v="Q12024"/>
    <n v="48515800"/>
    <s v="L78849897|C5545484|45357|Home Loan|Branch|West|Salaried|36|5929900|15.54|207133|1415695|588|E|0.36|0.72|8245600|21|3954559|2620396|5|0|0|Active"/>
    <x v="2"/>
  </r>
  <r>
    <s v="L21795197"/>
    <s v="C6843098"/>
    <x v="71"/>
    <x v="4"/>
    <x v="3"/>
    <x v="2"/>
    <x v="2"/>
    <n v="18"/>
    <n v="1421000"/>
    <n v="12.29"/>
    <n v="86847"/>
    <n v="711982"/>
    <n v="672"/>
    <x v="1"/>
    <n v="0.36"/>
    <n v="0.72"/>
    <n v="0"/>
    <n v="18"/>
    <n v="1529651"/>
    <n v="0"/>
    <n v="0"/>
    <n v="0"/>
    <n v="0"/>
    <x v="1"/>
    <n v="62765800"/>
    <n v="98928695"/>
    <n v="139"/>
    <n v="2.5999999999999999E-2"/>
    <n v="2.8571428571428571E-2"/>
    <n v="0.12"/>
    <n v="13.463888888888889"/>
    <x v="1"/>
    <n v="260"/>
    <x v="0"/>
    <n v="302"/>
    <n v="3.6423841059602648E-2"/>
    <s v="medium size (&lt;=33L)"/>
    <n v="0"/>
    <n v="0.15909090909090909"/>
    <s v=" not riskY"/>
    <d v="2024-03-31T00:00:00"/>
    <n v="13709600"/>
    <n v="21.962962962962962"/>
    <s v="Old Loan"/>
    <s v="Q12024"/>
    <n v="48515800"/>
    <s v="L21795197|C6843098|45365|Education Loan|Call Center|Central|Self-Employed|18|1421000|12.29|86847|711982|672|C|0.36|0.72|0|18|1529651|0|0|0|0|Closed"/>
    <x v="2"/>
  </r>
  <r>
    <s v="L42563134"/>
    <s v="C1810948"/>
    <x v="72"/>
    <x v="0"/>
    <x v="0"/>
    <x v="1"/>
    <x v="0"/>
    <n v="24"/>
    <n v="666000"/>
    <n v="18.559999999999999"/>
    <n v="33430"/>
    <n v="1132502"/>
    <n v="725"/>
    <x v="0"/>
    <n v="0.35"/>
    <n v="0.61"/>
    <n v="0"/>
    <n v="23"/>
    <n v="782682"/>
    <n v="0"/>
    <n v="30"/>
    <n v="0"/>
    <n v="0"/>
    <x v="1"/>
    <n v="74897600"/>
    <n v="83903255"/>
    <n v="139"/>
    <n v="2.5999999999999999E-2"/>
    <n v="4.2553191489361701E-2"/>
    <n v="7.1090047393364927E-2"/>
    <n v="16.500166666666669"/>
    <x v="1"/>
    <n v="260"/>
    <x v="0"/>
    <n v="302"/>
    <n v="3.6423841059602648E-2"/>
    <s v="lower size (&lt; 9L)"/>
    <n v="1"/>
    <n v="0.13934426229508196"/>
    <s v="high risk"/>
    <d v="2024-01-31T00:00:00"/>
    <n v="24741500"/>
    <n v="21.092024539877301"/>
    <s v="Old Loan"/>
    <s v="Q12024"/>
    <n v="48515800"/>
    <s v="L42563134|C1810948|45313|Personal Loan|Online|West|Salaried|24|666000|18.56|33430|1132502|725|B|0.35|0.61|0|23|782682|0|30|0|0|Closed"/>
    <x v="2"/>
  </r>
  <r>
    <s v="L26134147"/>
    <s v="C7389142"/>
    <x v="65"/>
    <x v="3"/>
    <x v="2"/>
    <x v="4"/>
    <x v="2"/>
    <n v="72"/>
    <n v="3131400"/>
    <n v="12.54"/>
    <n v="62102"/>
    <n v="862363"/>
    <n v="672"/>
    <x v="1"/>
    <n v="0.35"/>
    <n v="0.63"/>
    <n v="4979600"/>
    <n v="23"/>
    <n v="1278108"/>
    <n v="2154345"/>
    <n v="0"/>
    <n v="1"/>
    <n v="0"/>
    <x v="1"/>
    <n v="403369500"/>
    <n v="83297251"/>
    <n v="139"/>
    <n v="2.5999999999999999E-2"/>
    <n v="3.1914893617021274E-2"/>
    <n v="0.1"/>
    <n v="11.719736842105268"/>
    <x v="1"/>
    <n v="260"/>
    <x v="0"/>
    <n v="302"/>
    <n v="3.6423841059602648E-2"/>
    <s v="medium size (&lt;=33L)"/>
    <n v="0"/>
    <n v="0.15909090909090909"/>
    <s v=" not riskY"/>
    <d v="2024-01-31T00:00:00"/>
    <n v="24741500"/>
    <n v="20.516129032258064"/>
    <s v="Old Loan"/>
    <s v="Q12024"/>
    <n v="48515800"/>
    <s v="L26134147|C7389142|45319|Home Loan|Partner|East|Self-Employed|72|3131400|12.54|62102|862363|672|C|0.35|0.63|4979600|23|1278108|2154345|0|1|0|Closed"/>
    <x v="2"/>
  </r>
  <r>
    <s v="L37085382"/>
    <s v="C4636309"/>
    <x v="73"/>
    <x v="2"/>
    <x v="3"/>
    <x v="4"/>
    <x v="2"/>
    <n v="72"/>
    <n v="1352900"/>
    <n v="10.49"/>
    <n v="25399"/>
    <n v="1006213"/>
    <n v="718"/>
    <x v="0"/>
    <n v="0.33"/>
    <n v="0.69"/>
    <n v="1959200"/>
    <n v="23"/>
    <n v="549543"/>
    <n v="912162"/>
    <n v="45"/>
    <n v="0"/>
    <n v="0"/>
    <x v="0"/>
    <n v="92273000"/>
    <n v="83297251"/>
    <n v="47"/>
    <n v="2.5999999999999999E-2"/>
    <n v="3.1914893617021274E-2"/>
    <n v="0.12"/>
    <n v="10.611923076923079"/>
    <x v="1"/>
    <n v="260"/>
    <x v="0"/>
    <n v="302"/>
    <n v="3.6423841059602648E-2"/>
    <s v="medium size (&lt;=33L)"/>
    <n v="1"/>
    <n v="0.15909090909090909"/>
    <s v="high risk"/>
    <d v="2024-01-31T00:00:00"/>
    <n v="24741500"/>
    <n v="20.262135922330096"/>
    <s v="Old Loan"/>
    <s v="Q12024"/>
    <n v="48515800"/>
    <s v="L37085382|C4636309|45295|Auto Loan|Call Center|East|Self-Employed|72|1352900|10.49|25399|1006213|718|B|0.33|0.69|1959200|23|549543|912162|45|0|0|Delinquent"/>
    <x v="2"/>
  </r>
  <r>
    <s v="L20700485"/>
    <s v="C5737389"/>
    <x v="74"/>
    <x v="3"/>
    <x v="0"/>
    <x v="1"/>
    <x v="0"/>
    <n v="36"/>
    <n v="6142300"/>
    <n v="7"/>
    <n v="189656"/>
    <n v="1474931"/>
    <n v="819"/>
    <x v="3"/>
    <n v="0.33"/>
    <n v="0.78"/>
    <n v="7841500"/>
    <n v="22"/>
    <n v="3844035"/>
    <n v="2613570"/>
    <n v="0"/>
    <n v="0"/>
    <n v="0"/>
    <x v="2"/>
    <n v="403369500"/>
    <n v="83903255"/>
    <n v="301"/>
    <n v="2.5999999999999999E-2"/>
    <n v="4.2553191489361701E-2"/>
    <n v="7.1090047393364927E-2"/>
    <n v="7.1876190476190471"/>
    <x v="1"/>
    <n v="260"/>
    <x v="0"/>
    <n v="302"/>
    <n v="3.6423841059602648E-2"/>
    <s v="larger size (&gt; 33L)"/>
    <n v="0"/>
    <n v="0.16250000000000001"/>
    <s v=" not riskY"/>
    <d v="2024-02-29T00:00:00"/>
    <n v="10064700"/>
    <n v="20.516129032258064"/>
    <s v="Old Loan"/>
    <s v="Q12024"/>
    <n v="48515800"/>
    <s v="L20700485|C5737389|45350|Home Loan|Online|West|Salaried|36|6142300|7|189656|1474931|819|A|0.33|0.78|7841500|22|3844035|2613570|0|0|0|Active"/>
    <x v="2"/>
  </r>
  <r>
    <s v="L27052422"/>
    <s v="C1443287"/>
    <x v="75"/>
    <x v="2"/>
    <x v="0"/>
    <x v="2"/>
    <x v="0"/>
    <n v="60"/>
    <n v="842500"/>
    <n v="8.89"/>
    <n v="17444"/>
    <n v="1402598"/>
    <n v="759"/>
    <x v="3"/>
    <n v="0.31"/>
    <n v="0.87"/>
    <n v="973100"/>
    <n v="23"/>
    <n v="384839"/>
    <n v="515083"/>
    <n v="0"/>
    <n v="0"/>
    <n v="0"/>
    <x v="2"/>
    <n v="92273000"/>
    <n v="98928695"/>
    <n v="301"/>
    <n v="2.5999999999999999E-2"/>
    <n v="2.8571428571428571E-2"/>
    <n v="7.1090047393364927E-2"/>
    <n v="7.9444999999999997"/>
    <x v="1"/>
    <n v="260"/>
    <x v="1"/>
    <n v="141"/>
    <n v="1.4184397163120567E-2"/>
    <s v="lower size (&lt; 9L)"/>
    <n v="0"/>
    <n v="0.13934426229508196"/>
    <s v=" not riskY"/>
    <d v="2024-01-31T00:00:00"/>
    <n v="24741500"/>
    <n v="20.262135922330096"/>
    <s v="Old Loan"/>
    <s v="Q12024"/>
    <n v="48515800"/>
    <s v="L27052422|C1443287|45312|Auto Loan|Online|Central|Salaried|60|842500|8.89|17444|1402598|759|A|0.31|0.87|973100|23|384839|515083|0|0|0|Active"/>
    <x v="2"/>
  </r>
  <r>
    <s v="L90410197"/>
    <s v="C8615151"/>
    <x v="76"/>
    <x v="4"/>
    <x v="1"/>
    <x v="2"/>
    <x v="0"/>
    <n v="60"/>
    <n v="1899500"/>
    <n v="15.49"/>
    <n v="45679"/>
    <n v="997417"/>
    <n v="624"/>
    <x v="2"/>
    <n v="0.31"/>
    <n v="0.78"/>
    <n v="0"/>
    <n v="21"/>
    <n v="824421"/>
    <n v="1281042"/>
    <n v="0"/>
    <n v="0"/>
    <n v="0"/>
    <x v="2"/>
    <n v="62765800"/>
    <n v="98928695"/>
    <n v="301"/>
    <n v="2.5999999999999999E-2"/>
    <n v="2.8571428571428571E-2"/>
    <n v="5.8201058201058198E-2"/>
    <n v="15.810000000000002"/>
    <x v="1"/>
    <n v="260"/>
    <x v="0"/>
    <n v="302"/>
    <n v="3.6423841059602648E-2"/>
    <s v="medium size (&lt;=33L)"/>
    <n v="0"/>
    <n v="0.15909090909090909"/>
    <s v=" not riskY"/>
    <d v="2024-03-31T00:00:00"/>
    <n v="13709600"/>
    <n v="21.962962962962962"/>
    <s v="Old Loan"/>
    <s v="Q12024"/>
    <n v="48515800"/>
    <s v="L90410197|C8615151|45355|Education Loan|Branch|Central|Salaried|60|1899500|15.49|45679|997417|624|D|0.31|0.78|0|21|824421|1281042|0|0|0|Active"/>
    <x v="2"/>
  </r>
  <r>
    <s v="L86806276"/>
    <s v="C5144473"/>
    <x v="63"/>
    <x v="4"/>
    <x v="1"/>
    <x v="1"/>
    <x v="1"/>
    <n v="120"/>
    <n v="1141700"/>
    <n v="7.97"/>
    <n v="13834"/>
    <n v="608358"/>
    <n v="770"/>
    <x v="3"/>
    <n v="0.31"/>
    <n v="1.04"/>
    <n v="0"/>
    <n v="23"/>
    <n v="281299"/>
    <n v="930163"/>
    <n v="0"/>
    <n v="0"/>
    <n v="0"/>
    <x v="2"/>
    <n v="62765800"/>
    <n v="83903255"/>
    <n v="301"/>
    <n v="2.5999999999999999E-2"/>
    <n v="4.2553191489361701E-2"/>
    <n v="5.8201058201058198E-2"/>
    <n v="8.5057142857142871"/>
    <x v="1"/>
    <n v="260"/>
    <x v="1"/>
    <n v="141"/>
    <n v="1.4184397163120567E-2"/>
    <s v="medium size (&lt;=33L)"/>
    <n v="0"/>
    <n v="0.15909090909090909"/>
    <s v=" not riskY"/>
    <d v="2024-01-31T00:00:00"/>
    <n v="24741500"/>
    <n v="21.962962962962962"/>
    <s v="Old Loan"/>
    <s v="Q12024"/>
    <n v="48515800"/>
    <s v="L86806276|C5144473|45321|Education Loan|Branch|West|Contract|120|1141700|7.97|13834|608358|770|A|0.31|1.04|0|23|281299|930163|0|0|0|Active"/>
    <x v="2"/>
  </r>
  <r>
    <s v="L41274928"/>
    <s v="C9539721"/>
    <x v="77"/>
    <x v="0"/>
    <x v="1"/>
    <x v="2"/>
    <x v="1"/>
    <n v="18"/>
    <n v="565500"/>
    <n v="20.309999999999999"/>
    <n v="36708"/>
    <n v="1018933"/>
    <n v="656"/>
    <x v="1"/>
    <n v="0.31"/>
    <n v="0.69"/>
    <n v="0"/>
    <n v="18"/>
    <n v="639297"/>
    <n v="0"/>
    <n v="0"/>
    <n v="0"/>
    <n v="0"/>
    <x v="1"/>
    <n v="74897600"/>
    <n v="98928695"/>
    <n v="139"/>
    <n v="2.5999999999999999E-2"/>
    <n v="2.8571428571428571E-2"/>
    <n v="5.8201058201058198E-2"/>
    <n v="18.603181818181817"/>
    <x v="1"/>
    <n v="260"/>
    <x v="0"/>
    <n v="302"/>
    <n v="3.6423841059602648E-2"/>
    <s v="lower size (&lt; 9L)"/>
    <n v="0"/>
    <n v="0.13934426229508196"/>
    <s v=" not riskY"/>
    <d v="2024-02-29T00:00:00"/>
    <n v="10064700"/>
    <n v="21.092024539877301"/>
    <s v="Old Loan"/>
    <s v="Q12024"/>
    <n v="48515800"/>
    <s v="L41274928|C9539721|45333|Personal Loan|Branch|Central|Contract|18|565500|20.31|36708|1018933|656|C|0.31|0.69|0|18|639297|0|0|0|0|Closed"/>
    <x v="2"/>
  </r>
  <r>
    <s v="L84681076"/>
    <s v="C8689119"/>
    <x v="62"/>
    <x v="2"/>
    <x v="0"/>
    <x v="2"/>
    <x v="3"/>
    <n v="360"/>
    <n v="790700"/>
    <n v="13.98"/>
    <n v="9356"/>
    <n v="1062924"/>
    <n v="640"/>
    <x v="2"/>
    <n v="0.31"/>
    <n v="0.69"/>
    <n v="1144600"/>
    <n v="22"/>
    <n v="180583"/>
    <n v="691180"/>
    <n v="0"/>
    <n v="0"/>
    <n v="0"/>
    <x v="2"/>
    <n v="92273000"/>
    <n v="98928695"/>
    <n v="301"/>
    <n v="2.5999999999999999E-2"/>
    <n v="2.8571428571428571E-2"/>
    <n v="7.1090047393364927E-2"/>
    <n v="15.092000000000001"/>
    <x v="1"/>
    <n v="260"/>
    <x v="0"/>
    <n v="302"/>
    <n v="3.6423841059602648E-2"/>
    <s v="lower size (&lt; 9L)"/>
    <n v="0"/>
    <n v="0.13934426229508196"/>
    <s v=" not riskY"/>
    <d v="2024-02-29T00:00:00"/>
    <n v="10064700"/>
    <n v="20.262135922330096"/>
    <s v="Old Loan"/>
    <s v="Q12024"/>
    <n v="48515800"/>
    <s v="L84681076|C8689119|45325|Auto Loan|Online|Central|Unemployed|360|790700|13.98|9356|1062924|640|D|0.31|0.69|1144600|22|180583|691180|0|0|0|Active"/>
    <x v="3"/>
  </r>
  <r>
    <s v="L19530766"/>
    <s v="C4706298"/>
    <x v="78"/>
    <x v="2"/>
    <x v="0"/>
    <x v="2"/>
    <x v="0"/>
    <n v="48"/>
    <n v="830700"/>
    <n v="7.96"/>
    <n v="20264"/>
    <n v="712016"/>
    <n v="758"/>
    <x v="3"/>
    <n v="0.28999999999999998"/>
    <n v="0.94"/>
    <n v="882700"/>
    <n v="23"/>
    <n v="404246"/>
    <n v="477149"/>
    <n v="0"/>
    <n v="0"/>
    <n v="0"/>
    <x v="2"/>
    <n v="92273000"/>
    <n v="98928695"/>
    <n v="301"/>
    <n v="2.5999999999999999E-2"/>
    <n v="2.8571428571428571E-2"/>
    <n v="7.1090047393364927E-2"/>
    <n v="7.9444999999999997"/>
    <x v="2"/>
    <n v="122"/>
    <x v="1"/>
    <n v="141"/>
    <n v="1.4184397163120567E-2"/>
    <s v="lower size (&lt; 9L)"/>
    <n v="0"/>
    <n v="0.13934426229508196"/>
    <s v=" not riskY"/>
    <d v="2024-01-31T00:00:00"/>
    <n v="24741500"/>
    <n v="20.262135922330096"/>
    <s v="Old Loan"/>
    <s v="Q12024"/>
    <n v="48515800"/>
    <s v="L19530766|C4706298|45300|Auto Loan|Online|Central|Salaried|48|830700|7.96|20264|712016|758|A|0.29|0.94|882700|23|404246|477149|0|0|0|Active"/>
    <x v="3"/>
  </r>
  <r>
    <s v="L33621446"/>
    <s v="C6670106"/>
    <x v="79"/>
    <x v="0"/>
    <x v="1"/>
    <x v="1"/>
    <x v="0"/>
    <n v="84"/>
    <n v="570800"/>
    <n v="16.03"/>
    <n v="11347"/>
    <n v="539079"/>
    <n v="741"/>
    <x v="0"/>
    <n v="0.28999999999999998"/>
    <n v="0.76"/>
    <n v="0"/>
    <n v="22"/>
    <n v="237138"/>
    <n v="400761"/>
    <n v="30"/>
    <n v="0"/>
    <n v="0"/>
    <x v="0"/>
    <n v="74897600"/>
    <n v="83903255"/>
    <n v="47"/>
    <n v="2.5999999999999999E-2"/>
    <n v="4.2553191489361701E-2"/>
    <n v="5.8201058201058198E-2"/>
    <n v="16.500166666666669"/>
    <x v="2"/>
    <n v="122"/>
    <x v="0"/>
    <n v="302"/>
    <n v="3.6423841059602648E-2"/>
    <s v="lower size (&lt; 9L)"/>
    <n v="1"/>
    <n v="0.13934426229508196"/>
    <s v="high risk"/>
    <d v="2024-02-29T00:00:00"/>
    <n v="10064700"/>
    <n v="21.092024539877301"/>
    <s v="Old Loan"/>
    <s v="Q12024"/>
    <n v="48515800"/>
    <s v="L33621446|C6670106|45335|Personal Loan|Branch|West|Salaried|84|570800|16.03|11347|539079|741|B|0.29|0.76|0|22|237138|400761|30|0|0|Delinquent"/>
    <x v="3"/>
  </r>
  <r>
    <s v="L57383108"/>
    <s v="C9632291"/>
    <x v="80"/>
    <x v="0"/>
    <x v="1"/>
    <x v="2"/>
    <x v="0"/>
    <n v="12"/>
    <n v="236400"/>
    <n v="16.899999999999999"/>
    <n v="21550"/>
    <n v="255165"/>
    <n v="702"/>
    <x v="0"/>
    <n v="0.28999999999999998"/>
    <n v="0.66"/>
    <n v="0"/>
    <n v="12"/>
    <n v="250330"/>
    <n v="2051"/>
    <n v="0"/>
    <n v="0"/>
    <n v="0"/>
    <x v="1"/>
    <n v="74897600"/>
    <n v="98928695"/>
    <n v="139"/>
    <n v="2.5999999999999999E-2"/>
    <n v="2.8571428571428571E-2"/>
    <n v="5.8201058201058198E-2"/>
    <n v="16.500166666666669"/>
    <x v="2"/>
    <n v="122"/>
    <x v="0"/>
    <n v="302"/>
    <n v="3.6423841059602648E-2"/>
    <s v="lower size (&lt; 9L)"/>
    <n v="0"/>
    <n v="0.13934426229508196"/>
    <s v=" not riskY"/>
    <d v="2024-01-31T00:00:00"/>
    <n v="24741500"/>
    <n v="21.092024539877301"/>
    <s v="Old Loan"/>
    <s v="Q12024"/>
    <n v="48515800"/>
    <s v="L57383108|C9632291|45304|Personal Loan|Branch|Central|Salaried|12|236400|16.9|21550|255165|702|B|0.29|0.66|0|12|250330|2051|0|0|0|Closed"/>
    <x v="3"/>
  </r>
  <r>
    <s v="L19771816"/>
    <s v="C1397539"/>
    <x v="81"/>
    <x v="3"/>
    <x v="1"/>
    <x v="0"/>
    <x v="0"/>
    <n v="60"/>
    <n v="8719200"/>
    <n v="11.97"/>
    <n v="193822"/>
    <n v="1277653"/>
    <n v="666"/>
    <x v="1"/>
    <n v="0.28999999999999998"/>
    <n v="0.64"/>
    <n v="13683000"/>
    <n v="23"/>
    <n v="3916304"/>
    <n v="5603057"/>
    <n v="5"/>
    <n v="0"/>
    <n v="0"/>
    <x v="2"/>
    <n v="403369500"/>
    <n v="94548000"/>
    <n v="301"/>
    <n v="2.5999999999999999E-2"/>
    <n v="0"/>
    <n v="5.8201058201058198E-2"/>
    <n v="11.719736842105268"/>
    <x v="2"/>
    <n v="122"/>
    <x v="0"/>
    <n v="302"/>
    <n v="3.6423841059602648E-2"/>
    <s v="larger size (&gt; 33L)"/>
    <n v="0"/>
    <n v="0.16250000000000001"/>
    <s v=" not riskY"/>
    <d v="2024-01-31T00:00:00"/>
    <n v="24741500"/>
    <n v="20.516129032258064"/>
    <s v="Old Loan"/>
    <s v="Q12024"/>
    <n v="48515800"/>
    <s v="L19771816|C1397539|45311|Home Loan|Branch|South|Salaried|60|8719200|11.97|193822|1277653|666|C|0.29|0.64|13683000|23|3916304|5603057|5|0|0|Active"/>
    <x v="3"/>
  </r>
  <r>
    <s v="L59050403"/>
    <s v="C3658231"/>
    <x v="82"/>
    <x v="0"/>
    <x v="3"/>
    <x v="3"/>
    <x v="2"/>
    <n v="72"/>
    <n v="266600"/>
    <n v="21.55"/>
    <n v="6628"/>
    <n v="1387225"/>
    <n v="615"/>
    <x v="2"/>
    <n v="0.26"/>
    <n v="0.82"/>
    <n v="0"/>
    <n v="23"/>
    <n v="134599"/>
    <n v="176048"/>
    <n v="0"/>
    <n v="0"/>
    <n v="0"/>
    <x v="2"/>
    <n v="74897600"/>
    <n v="105779369"/>
    <n v="301"/>
    <n v="2.5999999999999999E-2"/>
    <n v="2.6548672566371681E-2"/>
    <n v="0.12"/>
    <n v="20.962592592592593"/>
    <x v="2"/>
    <n v="122"/>
    <x v="1"/>
    <n v="141"/>
    <n v="1.4184397163120567E-2"/>
    <s v="lower size (&lt; 9L)"/>
    <n v="0"/>
    <n v="0.13934426229508196"/>
    <s v=" not riskY"/>
    <d v="2024-01-31T00:00:00"/>
    <n v="24741500"/>
    <n v="21.092024539877301"/>
    <s v="Old Loan"/>
    <s v="Q12024"/>
    <n v="48515800"/>
    <s v="L59050403|C3658231|45297|Personal Loan|Call Center|North|Self-Employed|72|266600|21.55|6628|1387225|615|D|0.26|0.82|0|23|134599|176048|0|0|0|Active"/>
    <x v="3"/>
  </r>
  <r>
    <s v="L63724249"/>
    <s v="C8070223"/>
    <x v="83"/>
    <x v="2"/>
    <x v="2"/>
    <x v="0"/>
    <x v="2"/>
    <n v="180"/>
    <n v="245200"/>
    <n v="17.52"/>
    <n v="3864"/>
    <n v="598020"/>
    <n v="569"/>
    <x v="4"/>
    <n v="0.24"/>
    <n v="0.61"/>
    <n v="403200"/>
    <n v="21"/>
    <n v="70709"/>
    <n v="204562"/>
    <n v="15"/>
    <n v="0"/>
    <n v="0"/>
    <x v="2"/>
    <n v="92273000"/>
    <n v="94548000"/>
    <n v="301"/>
    <n v="2.5999999999999999E-2"/>
    <n v="0"/>
    <n v="0.1"/>
    <n v="17.744166666666668"/>
    <x v="2"/>
    <n v="122"/>
    <x v="0"/>
    <n v="302"/>
    <n v="3.6423841059602648E-2"/>
    <s v="lower size (&lt; 9L)"/>
    <n v="0"/>
    <n v="0.13934426229508196"/>
    <s v="high risk"/>
    <d v="2024-03-31T00:00:00"/>
    <n v="13709600"/>
    <n v="20.262135922330096"/>
    <s v="Old Loan"/>
    <s v="Q12024"/>
    <n v="48515800"/>
    <s v="L63724249|C8070223|45380|Auto Loan|Partner|South|Self-Employed|180|245200|17.52|3864|598020|569|E|0.24|0.61|403200|21|70709|204562|15|0|0|Active"/>
    <x v="3"/>
  </r>
  <r>
    <s v="L44291910"/>
    <s v="C5006676"/>
    <x v="84"/>
    <x v="0"/>
    <x v="0"/>
    <x v="3"/>
    <x v="2"/>
    <n v="360"/>
    <n v="347500"/>
    <n v="17.72"/>
    <n v="5158"/>
    <n v="880510"/>
    <n v="693"/>
    <x v="1"/>
    <n v="0.24"/>
    <n v="0.79"/>
    <n v="0"/>
    <n v="21"/>
    <n v="109984"/>
    <n v="280620"/>
    <n v="0"/>
    <n v="0"/>
    <n v="0"/>
    <x v="2"/>
    <n v="74897600"/>
    <n v="105779369"/>
    <n v="301"/>
    <n v="2.5999999999999999E-2"/>
    <n v="2.6548672566371681E-2"/>
    <n v="7.1090047393364927E-2"/>
    <n v="18.603181818181817"/>
    <x v="2"/>
    <n v="122"/>
    <x v="0"/>
    <n v="302"/>
    <n v="3.6423841059602648E-2"/>
    <s v="lower size (&lt; 9L)"/>
    <n v="0"/>
    <n v="0.13934426229508196"/>
    <s v=" not riskY"/>
    <d v="2024-03-31T00:00:00"/>
    <n v="13709600"/>
    <n v="21.092024539877301"/>
    <s v="Old Loan"/>
    <s v="Q12024"/>
    <n v="48515800"/>
    <s v="L44291910|C5006676|45372|Personal Loan|Online|North|Self-Employed|360|347500|17.72|5158|880510|693|C|0.24|0.79|0|21|109984|280620|0|0|0|Active"/>
    <x v="3"/>
  </r>
  <r>
    <s v="L19306267"/>
    <s v="C2151294"/>
    <x v="85"/>
    <x v="3"/>
    <x v="0"/>
    <x v="4"/>
    <x v="0"/>
    <n v="360"/>
    <n v="1365400"/>
    <n v="12.08"/>
    <n v="14129"/>
    <n v="1192382"/>
    <n v="670"/>
    <x v="1"/>
    <n v="0.23"/>
    <n v="0.81"/>
    <n v="1685100"/>
    <n v="22"/>
    <n v="301526"/>
    <n v="1184830"/>
    <n v="0"/>
    <n v="0"/>
    <n v="0"/>
    <x v="2"/>
    <n v="403369500"/>
    <n v="83297251"/>
    <n v="301"/>
    <n v="2.5999999999999999E-2"/>
    <n v="3.1914893617021274E-2"/>
    <n v="7.1090047393364927E-2"/>
    <n v="11.719736842105268"/>
    <x v="2"/>
    <n v="122"/>
    <x v="1"/>
    <n v="141"/>
    <n v="1.4184397163120567E-2"/>
    <s v="medium size (&lt;=33L)"/>
    <n v="0"/>
    <n v="0.15909090909090909"/>
    <s v=" not riskY"/>
    <d v="2024-02-29T00:00:00"/>
    <n v="10064700"/>
    <n v="20.516129032258064"/>
    <s v="Old Loan"/>
    <s v="Q12024"/>
    <n v="48515800"/>
    <s v="L19306267|C2151294|45334|Home Loan|Online|East|Salaried|360|1365400|12.08|14129|1192382|670|C|0.23|0.81|1685100|22|301526|1184830|0|0|0|Active"/>
    <x v="3"/>
  </r>
  <r>
    <s v="L70993264"/>
    <s v="C4449878"/>
    <x v="86"/>
    <x v="2"/>
    <x v="2"/>
    <x v="3"/>
    <x v="2"/>
    <n v="36"/>
    <n v="600800"/>
    <n v="8.7200000000000006"/>
    <n v="19027"/>
    <n v="510785"/>
    <n v="766"/>
    <x v="3"/>
    <n v="0.21"/>
    <n v="0.48"/>
    <n v="1248000"/>
    <n v="21"/>
    <n v="354531"/>
    <n v="282942"/>
    <n v="0"/>
    <n v="0"/>
    <n v="0"/>
    <x v="2"/>
    <n v="92273000"/>
    <n v="105779369"/>
    <n v="301"/>
    <n v="2.5999999999999999E-2"/>
    <n v="2.6548672566371681E-2"/>
    <n v="0.1"/>
    <n v="7.9444999999999997"/>
    <x v="2"/>
    <n v="122"/>
    <x v="2"/>
    <n v="57"/>
    <n v="0"/>
    <s v="lower size (&lt; 9L)"/>
    <n v="0"/>
    <n v="0.13934426229508196"/>
    <s v=" not riskY"/>
    <d v="2024-03-31T00:00:00"/>
    <n v="13709600"/>
    <n v="20.262135922330096"/>
    <s v="Old Loan"/>
    <s v="Q12024"/>
    <n v="48515800"/>
    <s v="L70993264|C4449878|45356|Auto Loan|Partner|North|Self-Employed|36|600800|8.72|19027|510785|766|A|0.21|0.48|1248000|21|354531|282942|0|0|0|Active"/>
    <x v="3"/>
  </r>
  <r>
    <s v="L16087857"/>
    <s v="C1477233"/>
    <x v="87"/>
    <x v="1"/>
    <x v="0"/>
    <x v="1"/>
    <x v="1"/>
    <n v="360"/>
    <n v="1030100"/>
    <n v="15"/>
    <n v="13025"/>
    <n v="579671"/>
    <n v="691"/>
    <x v="1"/>
    <n v="0.2"/>
    <n v="0.98"/>
    <n v="1052400"/>
    <n v="21"/>
    <n v="268018"/>
    <n v="870242"/>
    <n v="45"/>
    <n v="0"/>
    <n v="0"/>
    <x v="0"/>
    <n v="201475100"/>
    <n v="83903255"/>
    <n v="47"/>
    <n v="2.5999999999999999E-2"/>
    <n v="4.2553191489361701E-2"/>
    <n v="7.1090047393364927E-2"/>
    <n v="15.841379310344831"/>
    <x v="2"/>
    <n v="122"/>
    <x v="1"/>
    <n v="141"/>
    <n v="1.4184397163120567E-2"/>
    <s v="medium size (&lt;=33L)"/>
    <n v="1"/>
    <n v="0.15909090909090909"/>
    <s v="high risk"/>
    <d v="2024-03-31T00:00:00"/>
    <n v="13709600"/>
    <n v="19.091954022988507"/>
    <s v="Old Loan"/>
    <s v="Q12024"/>
    <n v="48515800"/>
    <s v="L16087857|C1477233|45363|SME Loan|Online|West|Contract|360|1030100|15|13025|579671|691|C|0.2|0.98|1052400|21|268018|870242|45|0|0|Delinquent"/>
    <x v="3"/>
  </r>
  <r>
    <s v="L24461934"/>
    <s v="C1467656"/>
    <x v="70"/>
    <x v="2"/>
    <x v="3"/>
    <x v="1"/>
    <x v="0"/>
    <n v="60"/>
    <n v="795800"/>
    <n v="16.54"/>
    <n v="19581"/>
    <n v="770004"/>
    <n v="602"/>
    <x v="2"/>
    <n v="0.16"/>
    <n v="0.82"/>
    <n v="967500"/>
    <n v="21"/>
    <n v="366002"/>
    <n v="521936"/>
    <n v="0"/>
    <n v="0"/>
    <n v="0"/>
    <x v="2"/>
    <n v="92273000"/>
    <n v="83903255"/>
    <n v="301"/>
    <n v="2.5999999999999999E-2"/>
    <n v="4.2553191489361701E-2"/>
    <n v="0.12"/>
    <n v="15.092000000000001"/>
    <x v="3"/>
    <n v="86"/>
    <x v="1"/>
    <n v="141"/>
    <n v="1.4184397163120567E-2"/>
    <s v="lower size (&lt; 9L)"/>
    <n v="0"/>
    <n v="0.13934426229508196"/>
    <s v=" not riskY"/>
    <d v="2024-03-31T00:00:00"/>
    <n v="13709600"/>
    <n v="20.262135922330096"/>
    <s v="Old Loan"/>
    <s v="Q12024"/>
    <n v="48515800"/>
    <s v="L24461934|C1467656|45357|Auto Loan|Call Center|West|Salaried|60|795800|16.54|19581|770004|602|D|0.16|0.82|967500|21|366002|521936|0|0|0|Active"/>
    <x v="3"/>
  </r>
  <r>
    <s v="L21481916"/>
    <s v="C9381126"/>
    <x v="88"/>
    <x v="0"/>
    <x v="0"/>
    <x v="2"/>
    <x v="0"/>
    <n v="24"/>
    <n v="398000"/>
    <n v="17.440000000000001"/>
    <n v="19762"/>
    <n v="941579"/>
    <n v="712"/>
    <x v="0"/>
    <n v="0.13"/>
    <n v="0.78"/>
    <n v="0"/>
    <n v="21"/>
    <n v="411997"/>
    <n v="34591"/>
    <n v="30"/>
    <n v="0"/>
    <n v="0"/>
    <x v="0"/>
    <n v="74897600"/>
    <n v="98928695"/>
    <n v="47"/>
    <n v="2.5999999999999999E-2"/>
    <n v="2.8571428571428571E-2"/>
    <n v="7.1090047393364927E-2"/>
    <n v="16.500166666666669"/>
    <x v="3"/>
    <n v="86"/>
    <x v="0"/>
    <n v="302"/>
    <n v="3.6423841059602648E-2"/>
    <s v="lower size (&lt; 9L)"/>
    <n v="1"/>
    <n v="0.13934426229508196"/>
    <s v="high risk"/>
    <d v="2024-03-31T00:00:00"/>
    <n v="13709600"/>
    <n v="21.092024539877301"/>
    <s v="Old Loan"/>
    <s v="Q12024"/>
    <n v="48515800"/>
    <s v="L21481916|C9381126|45352|Personal Loan|Online|Central|Salaried|24|398000|17.44|19762|941579|712|B|0.13|0.78|0|21|411997|34591|30|0|0|Delinquent"/>
    <x v="3"/>
  </r>
  <r>
    <s v="L49502031"/>
    <s v="C3838507"/>
    <x v="89"/>
    <x v="0"/>
    <x v="0"/>
    <x v="0"/>
    <x v="2"/>
    <n v="24"/>
    <n v="243200"/>
    <n v="17.440000000000001"/>
    <n v="12076"/>
    <n v="608967"/>
    <n v="707"/>
    <x v="0"/>
    <n v="0.11"/>
    <n v="0.6"/>
    <n v="0"/>
    <n v="23"/>
    <n v="236310"/>
    <n v="39407"/>
    <n v="60"/>
    <n v="0"/>
    <n v="0"/>
    <x v="0"/>
    <n v="74897600"/>
    <n v="94548000"/>
    <n v="47"/>
    <n v="2.5999999999999999E-2"/>
    <n v="0"/>
    <n v="7.1090047393364927E-2"/>
    <n v="16.500166666666669"/>
    <x v="3"/>
    <n v="86"/>
    <x v="0"/>
    <n v="302"/>
    <n v="3.6423841059602648E-2"/>
    <s v="lower size (&lt; 9L)"/>
    <n v="1"/>
    <n v="0.13934426229508196"/>
    <s v="high risk"/>
    <d v="2024-01-31T00:00:00"/>
    <n v="24741500"/>
    <n v="21.092024539877301"/>
    <s v="Old Loan"/>
    <s v="Q12024"/>
    <n v="48515800"/>
    <s v="L49502031|C3838507|45320|Personal Loan|Online|South|Self-Employed|24|243200|17.44|12076|608967|707|B|0.11|0.6|0|23|236310|39407|60|0|0|Delinquent"/>
    <x v="3"/>
  </r>
  <r>
    <s v="L30669042"/>
    <s v="C2651799"/>
    <x v="90"/>
    <x v="0"/>
    <x v="1"/>
    <x v="4"/>
    <x v="1"/>
    <n v="120"/>
    <n v="534900"/>
    <n v="26.08"/>
    <n v="12578"/>
    <n v="1451382"/>
    <n v="514"/>
    <x v="4"/>
    <n v="0.1"/>
    <n v="0.64"/>
    <n v="0"/>
    <n v="21"/>
    <n v="242956"/>
    <n v="389595"/>
    <n v="0"/>
    <n v="0"/>
    <n v="0"/>
    <x v="2"/>
    <n v="74897600"/>
    <n v="83297251"/>
    <n v="301"/>
    <n v="2.5999999999999999E-2"/>
    <n v="3.1914893617021274E-2"/>
    <n v="5.8201058201058198E-2"/>
    <n v="23.803750000000001"/>
    <x v="3"/>
    <n v="86"/>
    <x v="0"/>
    <n v="302"/>
    <n v="3.6423841059602648E-2"/>
    <s v="lower size (&lt; 9L)"/>
    <n v="0"/>
    <n v="0.13934426229508196"/>
    <s v="high risk"/>
    <d v="2024-03-31T00:00:00"/>
    <n v="13709600"/>
    <n v="21.092024539877301"/>
    <s v="Old Loan"/>
    <s v="Q12024"/>
    <n v="48515800"/>
    <s v="L30669042|C2651799|45364|Personal Loan|Branch|East|Contract|120|534900|26.08|12578|1451382|514|E|0.1|0.64|0|21|242956|389595|0|0|0|Active"/>
    <x v="3"/>
  </r>
  <r>
    <s v="L73023859"/>
    <s v="C7204450"/>
    <x v="91"/>
    <x v="1"/>
    <x v="1"/>
    <x v="0"/>
    <x v="3"/>
    <n v="120"/>
    <n v="1767000"/>
    <n v="15.17"/>
    <n v="28692"/>
    <n v="1301890"/>
    <n v="684"/>
    <x v="1"/>
    <n v="0.51"/>
    <n v="0.57999999999999996"/>
    <n v="3042100"/>
    <n v="10"/>
    <n v="270217"/>
    <n v="1586134"/>
    <n v="15"/>
    <n v="0"/>
    <n v="0"/>
    <x v="2"/>
    <n v="201475100"/>
    <n v="94548000"/>
    <n v="301"/>
    <n v="2.5999999999999999E-2"/>
    <n v="0"/>
    <n v="5.8201058201058198E-2"/>
    <n v="15.841379310344831"/>
    <x v="0"/>
    <n v="32"/>
    <x v="2"/>
    <n v="57"/>
    <n v="0"/>
    <s v="medium size (&lt;=33L)"/>
    <n v="0"/>
    <n v="0.15909090909090909"/>
    <s v="high risk"/>
    <d v="2025-02-28T00:00:00"/>
    <n v="17968200"/>
    <n v="19.091954022988507"/>
    <s v="Old Loan"/>
    <s v="Q12025"/>
    <n v="40328000"/>
    <s v="L73023859|C7204450|45708|SME Loan|Branch|South|Unemployed|120|1767000|15.17|28692|1301890|684|C|0.51|0.58|3042100|10|270217|1586134|15|0|0|Active"/>
    <x v="3"/>
  </r>
  <r>
    <s v="L55031672"/>
    <s v="C3868515"/>
    <x v="92"/>
    <x v="2"/>
    <x v="0"/>
    <x v="2"/>
    <x v="0"/>
    <n v="60"/>
    <n v="849000"/>
    <n v="7.08"/>
    <n v="16843"/>
    <n v="1131682"/>
    <n v="822"/>
    <x v="3"/>
    <n v="0.49"/>
    <n v="0.66"/>
    <n v="1287000"/>
    <n v="9"/>
    <n v="134370"/>
    <n v="732663"/>
    <n v="0"/>
    <n v="0"/>
    <n v="0"/>
    <x v="2"/>
    <n v="92273000"/>
    <n v="98928695"/>
    <n v="301"/>
    <n v="2.5999999999999999E-2"/>
    <n v="2.8571428571428571E-2"/>
    <n v="7.1090047393364927E-2"/>
    <n v="7.9444999999999997"/>
    <x v="1"/>
    <n v="260"/>
    <x v="0"/>
    <n v="302"/>
    <n v="3.6423841059602648E-2"/>
    <s v="lower size (&lt; 9L)"/>
    <n v="0"/>
    <n v="0.13934426229508196"/>
    <s v=" not riskY"/>
    <d v="2025-03-31T00:00:00"/>
    <n v="5573100"/>
    <n v="20.262135922330096"/>
    <s v="Old Loan"/>
    <s v="Q12025"/>
    <n v="40328000"/>
    <s v="L55031672|C3868515|45737|Auto Loan|Online|Central|Salaried|60|849000|7.08|16843|1131682|822|A|0.49|0.66|1287000|9|134370|732663|0|0|0|Active"/>
    <x v="3"/>
  </r>
  <r>
    <s v="L13122366"/>
    <s v="C5818913"/>
    <x v="93"/>
    <x v="0"/>
    <x v="1"/>
    <x v="3"/>
    <x v="0"/>
    <n v="240"/>
    <n v="1024900"/>
    <n v="18.97"/>
    <n v="16586"/>
    <n v="1655531"/>
    <n v="647"/>
    <x v="2"/>
    <n v="0.48"/>
    <n v="0.75"/>
    <n v="0"/>
    <n v="11"/>
    <n v="182176"/>
    <n v="914013"/>
    <n v="5"/>
    <n v="0"/>
    <n v="0"/>
    <x v="2"/>
    <n v="74897600"/>
    <n v="105779369"/>
    <n v="301"/>
    <n v="2.5999999999999999E-2"/>
    <n v="2.6548672566371681E-2"/>
    <n v="5.8201058201058198E-2"/>
    <n v="20.962592592592593"/>
    <x v="1"/>
    <n v="260"/>
    <x v="0"/>
    <n v="302"/>
    <n v="3.6423841059602648E-2"/>
    <s v="medium size (&lt;=33L)"/>
    <n v="0"/>
    <n v="0.15909090909090909"/>
    <s v=" not riskY"/>
    <d v="2025-01-31T00:00:00"/>
    <n v="16786700"/>
    <n v="21.092024539877301"/>
    <s v="Old Loan"/>
    <s v="Q12025"/>
    <n v="40328000"/>
    <s v="L13122366|C5818913|45661|Personal Loan|Branch|North|Salaried|240|1024900|18.97|16586|1655531|647|D|0.48|0.75|0|11|182176|914013|5|0|0|Active"/>
    <x v="3"/>
  </r>
  <r>
    <s v="L15743553"/>
    <s v="C1190332"/>
    <x v="94"/>
    <x v="0"/>
    <x v="0"/>
    <x v="2"/>
    <x v="0"/>
    <n v="36"/>
    <n v="825200"/>
    <n v="16.29"/>
    <n v="29130"/>
    <n v="887461"/>
    <n v="707"/>
    <x v="0"/>
    <n v="0.48"/>
    <n v="0.56000000000000005"/>
    <n v="0"/>
    <n v="9"/>
    <n v="245651"/>
    <n v="619877"/>
    <n v="0"/>
    <n v="0"/>
    <n v="0"/>
    <x v="2"/>
    <n v="74897600"/>
    <n v="98928695"/>
    <n v="301"/>
    <n v="2.5999999999999999E-2"/>
    <n v="2.8571428571428571E-2"/>
    <n v="7.1090047393364927E-2"/>
    <n v="16.500166666666669"/>
    <x v="1"/>
    <n v="260"/>
    <x v="2"/>
    <n v="57"/>
    <n v="0"/>
    <s v="lower size (&lt; 9L)"/>
    <n v="0"/>
    <n v="0.13934426229508196"/>
    <s v=" not riskY"/>
    <d v="2025-03-31T00:00:00"/>
    <n v="5573100"/>
    <n v="21.092024539877301"/>
    <s v="Old Loan"/>
    <s v="Q12025"/>
    <n v="40328000"/>
    <s v="L15743553|C1190332|45744|Personal Loan|Online|Central|Salaried|36|825200|16.29|29130|887461|707|B|0.48|0.56|0|9|245651|619877|0|0|0|Active"/>
    <x v="3"/>
  </r>
  <r>
    <s v="L52004890"/>
    <s v="C8875044"/>
    <x v="95"/>
    <x v="1"/>
    <x v="0"/>
    <x v="2"/>
    <x v="0"/>
    <n v="18"/>
    <n v="203700"/>
    <n v="12.13"/>
    <n v="12434"/>
    <n v="987120"/>
    <n v="735"/>
    <x v="0"/>
    <n v="0.48"/>
    <n v="0.86"/>
    <n v="237900"/>
    <n v="11"/>
    <n v="131911"/>
    <n v="80849"/>
    <n v="0"/>
    <n v="0"/>
    <n v="0"/>
    <x v="2"/>
    <n v="201475100"/>
    <n v="98928695"/>
    <n v="301"/>
    <n v="2.5999999999999999E-2"/>
    <n v="2.8571428571428571E-2"/>
    <n v="7.1090047393364927E-2"/>
    <n v="13.042631578947367"/>
    <x v="1"/>
    <n v="260"/>
    <x v="1"/>
    <n v="141"/>
    <n v="1.4184397163120567E-2"/>
    <s v="lower size (&lt; 9L)"/>
    <n v="0"/>
    <n v="0.13934426229508196"/>
    <s v=" not riskY"/>
    <d v="2025-01-31T00:00:00"/>
    <n v="16786700"/>
    <n v="19.091954022988507"/>
    <s v="Old Loan"/>
    <s v="Q12025"/>
    <n v="40328000"/>
    <s v="L52004890|C8875044|45666|SME Loan|Online|Central|Salaried|18|203700|12.13|12434|987120|735|B|0.48|0.86|237900|11|131911|80849|0|0|0|Active"/>
    <x v="3"/>
  </r>
  <r>
    <s v="L70401163"/>
    <s v="C2097295"/>
    <x v="96"/>
    <x v="0"/>
    <x v="0"/>
    <x v="1"/>
    <x v="3"/>
    <n v="84"/>
    <n v="393500"/>
    <n v="18.579999999999998"/>
    <n v="8405"/>
    <n v="840657"/>
    <n v="686"/>
    <x v="1"/>
    <n v="0.4"/>
    <n v="0.99"/>
    <n v="0"/>
    <n v="10"/>
    <n v="83922"/>
    <n v="333949"/>
    <n v="0"/>
    <n v="0"/>
    <n v="0"/>
    <x v="2"/>
    <n v="74897600"/>
    <n v="83903255"/>
    <n v="301"/>
    <n v="2.5999999999999999E-2"/>
    <n v="4.2553191489361701E-2"/>
    <n v="7.1090047393364927E-2"/>
    <n v="18.603181818181817"/>
    <x v="1"/>
    <n v="260"/>
    <x v="1"/>
    <n v="141"/>
    <n v="1.4184397163120567E-2"/>
    <s v="lower size (&lt; 9L)"/>
    <n v="0"/>
    <n v="0.13934426229508196"/>
    <s v=" not riskY"/>
    <d v="2025-02-28T00:00:00"/>
    <n v="17968200"/>
    <n v="21.092024539877301"/>
    <s v="Old Loan"/>
    <s v="Q12025"/>
    <n v="40328000"/>
    <s v="L70401163|C2097295|45707|Personal Loan|Online|West|Unemployed|84|393500|18.58|8405|840657|686|C|0.4|0.99|0|10|83922|333949|0|0|0|Active"/>
    <x v="3"/>
  </r>
  <r>
    <s v="L52039679"/>
    <s v="C2066307"/>
    <x v="97"/>
    <x v="0"/>
    <x v="0"/>
    <x v="1"/>
    <x v="0"/>
    <n v="36"/>
    <n v="803400"/>
    <n v="17.649999999999999"/>
    <n v="28904"/>
    <n v="1351475"/>
    <n v="696"/>
    <x v="1"/>
    <n v="0.4"/>
    <n v="0.81"/>
    <n v="0"/>
    <n v="11"/>
    <n v="315054"/>
    <n v="540339"/>
    <n v="0"/>
    <n v="0"/>
    <n v="0"/>
    <x v="2"/>
    <n v="74897600"/>
    <n v="83903255"/>
    <n v="301"/>
    <n v="2.5999999999999999E-2"/>
    <n v="4.2553191489361701E-2"/>
    <n v="7.1090047393364927E-2"/>
    <n v="18.603181818181817"/>
    <x v="1"/>
    <n v="260"/>
    <x v="1"/>
    <n v="141"/>
    <n v="1.4184397163120567E-2"/>
    <s v="lower size (&lt; 9L)"/>
    <n v="0"/>
    <n v="0.13934426229508196"/>
    <s v=" not riskY"/>
    <d v="2025-01-31T00:00:00"/>
    <n v="16786700"/>
    <n v="21.092024539877301"/>
    <s v="Old Loan"/>
    <s v="Q12025"/>
    <n v="40328000"/>
    <s v="L52039679|C2066307|45668|Personal Loan|Online|West|Salaried|36|803400|17.65|28904|1351475|696|C|0.4|0.81|0|11|315054|540339|0|0|0|Active"/>
    <x v="3"/>
  </r>
  <r>
    <s v="L27979808"/>
    <s v="C9514220"/>
    <x v="98"/>
    <x v="0"/>
    <x v="1"/>
    <x v="3"/>
    <x v="0"/>
    <n v="120"/>
    <n v="739400"/>
    <n v="18.05"/>
    <n v="13347"/>
    <n v="1100285"/>
    <n v="698"/>
    <x v="1"/>
    <n v="0.39"/>
    <n v="0.84"/>
    <n v="0"/>
    <n v="9"/>
    <n v="114125"/>
    <n v="665314"/>
    <n v="0"/>
    <n v="1"/>
    <n v="0"/>
    <x v="1"/>
    <n v="74897600"/>
    <n v="105779369"/>
    <n v="139"/>
    <n v="2.5999999999999999E-2"/>
    <n v="2.6548672566371681E-2"/>
    <n v="5.8201058201058198E-2"/>
    <n v="18.603181818181817"/>
    <x v="1"/>
    <n v="260"/>
    <x v="1"/>
    <n v="141"/>
    <n v="1.4184397163120567E-2"/>
    <s v="lower size (&lt; 9L)"/>
    <n v="0"/>
    <n v="0.13934426229508196"/>
    <s v=" not riskY"/>
    <d v="2025-03-31T00:00:00"/>
    <n v="5573100"/>
    <n v="21.092024539877301"/>
    <s v="Old Loan"/>
    <s v="Q12025"/>
    <n v="40328000"/>
    <s v="L27979808|C9514220|45726|Personal Loan|Branch|North|Salaried|120|739400|18.05|13347|1100285|698|C|0.39|0.84|0|9|114125|665314|0|1|0|Closed"/>
    <x v="3"/>
  </r>
  <r>
    <s v="L36999351"/>
    <s v="C9425259"/>
    <x v="99"/>
    <x v="0"/>
    <x v="1"/>
    <x v="0"/>
    <x v="0"/>
    <n v="60"/>
    <n v="200000"/>
    <n v="17.489999999999998"/>
    <n v="5023"/>
    <n v="150000"/>
    <n v="711"/>
    <x v="0"/>
    <n v="0.39"/>
    <n v="0.86"/>
    <n v="0"/>
    <n v="9"/>
    <n v="39576"/>
    <n v="170918"/>
    <n v="0"/>
    <n v="0"/>
    <n v="0"/>
    <x v="2"/>
    <n v="74897600"/>
    <n v="94548000"/>
    <n v="301"/>
    <n v="2.5999999999999999E-2"/>
    <n v="0"/>
    <n v="5.8201058201058198E-2"/>
    <n v="16.500166666666669"/>
    <x v="1"/>
    <n v="260"/>
    <x v="1"/>
    <n v="141"/>
    <n v="1.4184397163120567E-2"/>
    <s v="lower size (&lt; 9L)"/>
    <n v="0"/>
    <n v="0.13934426229508196"/>
    <s v=" not riskY"/>
    <d v="2025-03-31T00:00:00"/>
    <n v="5573100"/>
    <n v="21.092024539877301"/>
    <s v="Old Loan"/>
    <s v="Q12025"/>
    <n v="40328000"/>
    <s v="L36999351|C9425259|45738|Personal Loan|Branch|South|Salaried|60|200000|17.49|5023|150000|711|B|0.39|0.86|0|9|39576|170918|0|0|0|Active"/>
    <x v="3"/>
  </r>
  <r>
    <s v="L37895989"/>
    <s v="C2287196"/>
    <x v="100"/>
    <x v="0"/>
    <x v="1"/>
    <x v="0"/>
    <x v="0"/>
    <n v="360"/>
    <n v="400300"/>
    <n v="24.67"/>
    <n v="8235"/>
    <n v="737670"/>
    <n v="553"/>
    <x v="4"/>
    <n v="0.38"/>
    <n v="0.71"/>
    <n v="0"/>
    <n v="10"/>
    <n v="79939"/>
    <n v="353279"/>
    <n v="15"/>
    <n v="0"/>
    <n v="0"/>
    <x v="2"/>
    <n v="74897600"/>
    <n v="94548000"/>
    <n v="301"/>
    <n v="2.5999999999999999E-2"/>
    <n v="0"/>
    <n v="5.8201058201058198E-2"/>
    <n v="23.803750000000001"/>
    <x v="1"/>
    <n v="260"/>
    <x v="0"/>
    <n v="302"/>
    <n v="3.6423841059602648E-2"/>
    <s v="lower size (&lt; 9L)"/>
    <n v="0"/>
    <n v="0.13934426229508196"/>
    <s v="high risk"/>
    <d v="2025-02-28T00:00:00"/>
    <n v="17968200"/>
    <n v="21.092024539877301"/>
    <s v="Old Loan"/>
    <s v="Q12025"/>
    <n v="40328000"/>
    <s v="L37895989|C2287196|45716|Personal Loan|Branch|South|Salaried|360|400300|24.67|8235|737670|553|E|0.38|0.71|0|10|79939|353279|15|0|0|Active"/>
    <x v="3"/>
  </r>
  <r>
    <s v="L70989280"/>
    <s v="C5127045"/>
    <x v="101"/>
    <x v="0"/>
    <x v="0"/>
    <x v="3"/>
    <x v="0"/>
    <n v="24"/>
    <n v="478500"/>
    <n v="17.920000000000002"/>
    <n v="23870"/>
    <n v="588573"/>
    <n v="701"/>
    <x v="0"/>
    <n v="0.37"/>
    <n v="0.99"/>
    <n v="0"/>
    <n v="11"/>
    <n v="232528"/>
    <n v="277413"/>
    <n v="0"/>
    <n v="0"/>
    <n v="0"/>
    <x v="2"/>
    <n v="74897600"/>
    <n v="105779369"/>
    <n v="301"/>
    <n v="2.5999999999999999E-2"/>
    <n v="2.6548672566371681E-2"/>
    <n v="7.1090047393364927E-2"/>
    <n v="16.500166666666669"/>
    <x v="1"/>
    <n v="260"/>
    <x v="1"/>
    <n v="141"/>
    <n v="1.4184397163120567E-2"/>
    <s v="lower size (&lt; 9L)"/>
    <n v="0"/>
    <n v="0.13934426229508196"/>
    <s v=" not riskY"/>
    <d v="2025-01-31T00:00:00"/>
    <n v="16786700"/>
    <n v="21.092024539877301"/>
    <s v="Old Loan"/>
    <s v="Q12025"/>
    <n v="40328000"/>
    <s v="L70989280|C5127045|45682|Personal Loan|Online|North|Salaried|24|478500|17.92|23870|588573|701|B|0.37|0.99|0|11|232528|277413|0|0|0|Active"/>
    <x v="3"/>
  </r>
  <r>
    <s v="L59822146"/>
    <s v="C4905070"/>
    <x v="102"/>
    <x v="2"/>
    <x v="0"/>
    <x v="0"/>
    <x v="2"/>
    <n v="36"/>
    <n v="914700"/>
    <n v="12.46"/>
    <n v="30582"/>
    <n v="614461"/>
    <n v="689"/>
    <x v="1"/>
    <n v="0.36"/>
    <n v="0.4"/>
    <n v="2284400"/>
    <n v="10"/>
    <n v="273189"/>
    <n v="679502"/>
    <n v="10"/>
    <n v="0"/>
    <n v="0"/>
    <x v="2"/>
    <n v="92273000"/>
    <n v="94548000"/>
    <n v="301"/>
    <n v="2.5999999999999999E-2"/>
    <n v="0"/>
    <n v="7.1090047393364927E-2"/>
    <n v="13.246500000000001"/>
    <x v="1"/>
    <n v="260"/>
    <x v="2"/>
    <n v="57"/>
    <n v="0"/>
    <s v="medium size (&lt;=33L)"/>
    <n v="0"/>
    <n v="0.15909090909090909"/>
    <s v=" not riskY"/>
    <d v="2025-02-28T00:00:00"/>
    <n v="17968200"/>
    <n v="20.262135922330096"/>
    <s v="Old Loan"/>
    <s v="Q12025"/>
    <n v="40328000"/>
    <s v="L59822146|C4905070|45698|Auto Loan|Online|South|Self-Employed|36|914700|12.46|30582|614461|689|C|0.36|0.4|2284400|10|273189|679502|10|0|0|Active"/>
    <x v="3"/>
  </r>
  <r>
    <s v="L33502600"/>
    <s v="C5703685"/>
    <x v="103"/>
    <x v="2"/>
    <x v="0"/>
    <x v="1"/>
    <x v="0"/>
    <n v="48"/>
    <n v="542200"/>
    <n v="15.1"/>
    <n v="15117"/>
    <n v="694929"/>
    <n v="640"/>
    <x v="2"/>
    <n v="0.36"/>
    <n v="0.67"/>
    <n v="812600"/>
    <n v="11"/>
    <n v="148943"/>
    <n v="423277"/>
    <n v="0"/>
    <n v="0"/>
    <n v="0"/>
    <x v="2"/>
    <n v="92273000"/>
    <n v="83903255"/>
    <n v="301"/>
    <n v="2.5999999999999999E-2"/>
    <n v="4.2553191489361701E-2"/>
    <n v="7.1090047393364927E-2"/>
    <n v="15.092000000000001"/>
    <x v="1"/>
    <n v="260"/>
    <x v="0"/>
    <n v="302"/>
    <n v="3.6423841059602648E-2"/>
    <s v="lower size (&lt; 9L)"/>
    <n v="0"/>
    <n v="0.13934426229508196"/>
    <s v=" not riskY"/>
    <d v="2025-01-31T00:00:00"/>
    <n v="16786700"/>
    <n v="20.262135922330096"/>
    <s v="Old Loan"/>
    <s v="Q12025"/>
    <n v="40328000"/>
    <s v="L33502600|C5703685|45680|Auto Loan|Online|West|Salaried|48|542200|15.1|15117|694929|640|D|0.36|0.67|812600|11|148943|423277|0|0|0|Active"/>
    <x v="3"/>
  </r>
  <r>
    <s v="L22620184"/>
    <s v="C7862789"/>
    <x v="104"/>
    <x v="2"/>
    <x v="1"/>
    <x v="4"/>
    <x v="0"/>
    <n v="120"/>
    <n v="998600"/>
    <n v="16.87"/>
    <n v="17273"/>
    <n v="949409"/>
    <n v="601"/>
    <x v="2"/>
    <n v="0.35"/>
    <n v="0.79"/>
    <n v="1264100"/>
    <n v="11"/>
    <n v="162902"/>
    <n v="897468"/>
    <n v="0"/>
    <n v="0"/>
    <n v="0"/>
    <x v="2"/>
    <n v="92273000"/>
    <n v="83297251"/>
    <n v="301"/>
    <n v="2.5999999999999999E-2"/>
    <n v="3.1914893617021274E-2"/>
    <n v="5.8201058201058198E-2"/>
    <n v="15.092000000000001"/>
    <x v="1"/>
    <n v="260"/>
    <x v="0"/>
    <n v="302"/>
    <n v="3.6423841059602648E-2"/>
    <s v="medium size (&lt;=33L)"/>
    <n v="0"/>
    <n v="0.15909090909090909"/>
    <s v=" not riskY"/>
    <d v="2025-01-31T00:00:00"/>
    <n v="16786700"/>
    <n v="20.262135922330096"/>
    <s v="Old Loan"/>
    <s v="Q12025"/>
    <n v="40328000"/>
    <s v="L22620184|C7862789|45673|Auto Loan|Branch|East|Salaried|120|998600|16.87|17273|949409|601|D|0.35|0.79|1264100|11|162902|897468|0|0|0|Active"/>
    <x v="3"/>
  </r>
  <r>
    <s v="L59191255"/>
    <s v="C5828622"/>
    <x v="105"/>
    <x v="0"/>
    <x v="0"/>
    <x v="4"/>
    <x v="0"/>
    <n v="48"/>
    <n v="556500"/>
    <n v="18.32"/>
    <n v="16440"/>
    <n v="1326204"/>
    <n v="673"/>
    <x v="1"/>
    <n v="0.34"/>
    <n v="0.93"/>
    <n v="0"/>
    <n v="11"/>
    <n v="154689"/>
    <n v="439193"/>
    <n v="0"/>
    <n v="0"/>
    <n v="0"/>
    <x v="2"/>
    <n v="74897600"/>
    <n v="83297251"/>
    <n v="301"/>
    <n v="2.5999999999999999E-2"/>
    <n v="3.1914893617021274E-2"/>
    <n v="7.1090047393364927E-2"/>
    <n v="18.603181818181817"/>
    <x v="1"/>
    <n v="260"/>
    <x v="1"/>
    <n v="141"/>
    <n v="1.4184397163120567E-2"/>
    <s v="lower size (&lt; 9L)"/>
    <n v="0"/>
    <n v="0.13934426229508196"/>
    <s v=" not riskY"/>
    <d v="2025-01-31T00:00:00"/>
    <n v="16786700"/>
    <n v="21.092024539877301"/>
    <s v="Old Loan"/>
    <s v="Q12025"/>
    <n v="40328000"/>
    <s v="L59191255|C5828622|45663|Personal Loan|Online|East|Salaried|48|556500|18.32|16440|1326204|673|C|0.34|0.93|0|11|154689|439193|0|0|0|Active"/>
    <x v="0"/>
  </r>
  <r>
    <s v="L21863999"/>
    <s v="C9820244"/>
    <x v="106"/>
    <x v="3"/>
    <x v="1"/>
    <x v="1"/>
    <x v="0"/>
    <n v="72"/>
    <n v="3397700"/>
    <n v="12.15"/>
    <n v="66691"/>
    <n v="944158"/>
    <n v="656"/>
    <x v="1"/>
    <n v="0.32"/>
    <n v="0.69"/>
    <n v="4903900"/>
    <n v="10"/>
    <n v="618775"/>
    <n v="2916532"/>
    <n v="90"/>
    <n v="0"/>
    <n v="1"/>
    <x v="3"/>
    <n v="403369500"/>
    <n v="83903255"/>
    <n v="13"/>
    <n v="2.5999999999999999E-2"/>
    <n v="4.2553191489361701E-2"/>
    <n v="5.8201058201058198E-2"/>
    <n v="11.719736842105268"/>
    <x v="1"/>
    <n v="260"/>
    <x v="0"/>
    <n v="302"/>
    <n v="3.6423841059602648E-2"/>
    <s v="larger size (&gt; 33L)"/>
    <n v="1"/>
    <n v="0.16250000000000001"/>
    <s v="high risk"/>
    <d v="2025-02-28T00:00:00"/>
    <n v="17968200"/>
    <n v="20.516129032258064"/>
    <s v="Old Loan"/>
    <s v="Q12025"/>
    <n v="40328000"/>
    <s v="L21863999|C9820244|45694|Home Loan|Branch|West|Salaried|72|3397700|12.15|66691|944158|656|C|0.32|0.69|4903900|10|618775|2916532|90|0|1|Default"/>
    <x v="0"/>
  </r>
  <r>
    <s v="L20620531"/>
    <s v="C1451315"/>
    <x v="107"/>
    <x v="1"/>
    <x v="1"/>
    <x v="0"/>
    <x v="0"/>
    <n v="84"/>
    <n v="2391900"/>
    <n v="15.11"/>
    <n v="46304"/>
    <n v="560710"/>
    <n v="675"/>
    <x v="1"/>
    <n v="0.31"/>
    <n v="0.78"/>
    <n v="3078100"/>
    <n v="10"/>
    <n v="456900"/>
    <n v="2055472"/>
    <n v="10"/>
    <n v="0"/>
    <n v="0"/>
    <x v="2"/>
    <n v="201475100"/>
    <n v="94548000"/>
    <n v="301"/>
    <n v="2.5999999999999999E-2"/>
    <n v="0"/>
    <n v="5.8201058201058198E-2"/>
    <n v="15.841379310344831"/>
    <x v="1"/>
    <n v="260"/>
    <x v="0"/>
    <n v="302"/>
    <n v="3.6423841059602648E-2"/>
    <s v="medium size (&lt;=33L)"/>
    <n v="0"/>
    <n v="0.15909090909090909"/>
    <s v=" not riskY"/>
    <d v="2025-02-28T00:00:00"/>
    <n v="17968200"/>
    <n v="19.091954022988507"/>
    <s v="Old Loan"/>
    <s v="Q12025"/>
    <n v="40328000"/>
    <s v="L20620531|C1451315|45709|SME Loan|Branch|South|Salaried|84|2391900|15.11|46304|560710|675|C|0.31|0.78|3078100|10|456900|2055472|10|0|0|Active"/>
    <x v="0"/>
  </r>
  <r>
    <s v="L26940265"/>
    <s v="C9425147"/>
    <x v="108"/>
    <x v="1"/>
    <x v="0"/>
    <x v="2"/>
    <x v="1"/>
    <n v="48"/>
    <n v="1878500"/>
    <n v="15.52"/>
    <n v="52777"/>
    <n v="950971"/>
    <n v="677"/>
    <x v="1"/>
    <n v="0.3"/>
    <n v="0.53"/>
    <n v="3565300"/>
    <n v="10"/>
    <n v="512170"/>
    <n v="1463511"/>
    <n v="0"/>
    <n v="0"/>
    <n v="0"/>
    <x v="2"/>
    <n v="201475100"/>
    <n v="98928695"/>
    <n v="301"/>
    <n v="2.5999999999999999E-2"/>
    <n v="2.8571428571428571E-2"/>
    <n v="7.1090047393364927E-2"/>
    <n v="15.841379310344831"/>
    <x v="1"/>
    <n v="260"/>
    <x v="2"/>
    <n v="57"/>
    <n v="0"/>
    <s v="medium size (&lt;=33L)"/>
    <n v="0"/>
    <n v="0.15909090909090909"/>
    <s v=" not riskY"/>
    <d v="2025-02-28T00:00:00"/>
    <n v="17968200"/>
    <n v="19.091954022988507"/>
    <s v="Old Loan"/>
    <s v="Q12025"/>
    <n v="40328000"/>
    <s v="L26940265|C9425147|45696|SME Loan|Online|Central|Contract|48|1878500|15.52|52777|950971|677|C|0.3|0.53|3565300|10|512170|1463511|0|0|0|Active"/>
    <x v="0"/>
  </r>
  <r>
    <s v="L70501608"/>
    <s v="C7160460"/>
    <x v="109"/>
    <x v="1"/>
    <x v="3"/>
    <x v="4"/>
    <x v="2"/>
    <n v="360"/>
    <n v="1553000"/>
    <n v="18.27"/>
    <n v="23748"/>
    <n v="1123566"/>
    <n v="648"/>
    <x v="2"/>
    <n v="0.3"/>
    <n v="0.51"/>
    <n v="3020600"/>
    <n v="11"/>
    <n v="252592"/>
    <n v="1404443"/>
    <n v="0"/>
    <n v="0"/>
    <n v="0"/>
    <x v="2"/>
    <n v="201475100"/>
    <n v="83297251"/>
    <n v="301"/>
    <n v="2.5999999999999999E-2"/>
    <n v="3.1914893617021274E-2"/>
    <n v="0.12"/>
    <n v="18.241249999999997"/>
    <x v="1"/>
    <n v="260"/>
    <x v="2"/>
    <n v="57"/>
    <n v="0"/>
    <s v="medium size (&lt;=33L)"/>
    <n v="0"/>
    <n v="0.15909090909090909"/>
    <s v=" not riskY"/>
    <d v="2025-01-31T00:00:00"/>
    <n v="16786700"/>
    <n v="19.091954022988507"/>
    <s v="Old Loan"/>
    <s v="Q12025"/>
    <n v="40328000"/>
    <s v="L70501608|C7160460|45676|SME Loan|Call Center|East|Self-Employed|360|1553000|18.27|23748|1123566|648|D|0.3|0.51|3020600|11|252592|1404443|0|0|0|Active"/>
    <x v="0"/>
  </r>
  <r>
    <s v="L43676563"/>
    <s v="C4245916"/>
    <x v="110"/>
    <x v="3"/>
    <x v="1"/>
    <x v="2"/>
    <x v="0"/>
    <n v="24"/>
    <n v="4096400"/>
    <n v="10.25"/>
    <n v="189501"/>
    <n v="1342806"/>
    <n v="693"/>
    <x v="1"/>
    <n v="0.28000000000000003"/>
    <n v="0.46"/>
    <n v="8916300"/>
    <n v="11"/>
    <n v="2019365"/>
    <n v="2230991"/>
    <n v="30"/>
    <n v="0"/>
    <n v="0"/>
    <x v="0"/>
    <n v="403369500"/>
    <n v="98928695"/>
    <n v="47"/>
    <n v="2.5999999999999999E-2"/>
    <n v="2.8571428571428571E-2"/>
    <n v="5.8201058201058198E-2"/>
    <n v="11.719736842105268"/>
    <x v="2"/>
    <n v="122"/>
    <x v="2"/>
    <n v="57"/>
    <n v="0"/>
    <s v="larger size (&gt; 33L)"/>
    <n v="1"/>
    <n v="0.16250000000000001"/>
    <s v="high risk"/>
    <d v="2025-01-31T00:00:00"/>
    <n v="16786700"/>
    <n v="20.516129032258064"/>
    <s v="Old Loan"/>
    <s v="Q12025"/>
    <n v="40328000"/>
    <s v="L43676563|C4245916|45678|Home Loan|Branch|Central|Salaried|24|4096400|10.25|189501|1342806|693|C|0.28|0.46|8916300|11|2019365|2230991|30|0|0|Delinquent"/>
    <x v="0"/>
  </r>
  <r>
    <s v="L18675186"/>
    <s v="C3121377"/>
    <x v="111"/>
    <x v="2"/>
    <x v="0"/>
    <x v="4"/>
    <x v="2"/>
    <n v="360"/>
    <n v="1393100"/>
    <n v="9.91"/>
    <n v="12133"/>
    <n v="778416"/>
    <n v="726"/>
    <x v="0"/>
    <n v="0.27"/>
    <n v="0.81"/>
    <n v="1721300"/>
    <n v="9"/>
    <n v="96809"/>
    <n v="1337708"/>
    <n v="0"/>
    <n v="0"/>
    <n v="0"/>
    <x v="2"/>
    <n v="92273000"/>
    <n v="83297251"/>
    <n v="301"/>
    <n v="2.5999999999999999E-2"/>
    <n v="3.1914893617021274E-2"/>
    <n v="7.1090047393364927E-2"/>
    <n v="10.611923076923079"/>
    <x v="2"/>
    <n v="122"/>
    <x v="1"/>
    <n v="141"/>
    <n v="1.4184397163120567E-2"/>
    <s v="medium size (&lt;=33L)"/>
    <n v="0"/>
    <n v="0.15909090909090909"/>
    <s v=" not riskY"/>
    <d v="2025-03-31T00:00:00"/>
    <n v="5573100"/>
    <n v="20.262135922330096"/>
    <s v="Old Loan"/>
    <s v="Q12025"/>
    <n v="40328000"/>
    <s v="L18675186|C3121377|45719|Auto Loan|Online|East|Self-Employed|360|1393100|9.91|12133|778416|726|B|0.27|0.81|1721300|9|96809|1337708|0|0|0|Active"/>
    <x v="0"/>
  </r>
  <r>
    <s v="L26332140"/>
    <s v="C9284113"/>
    <x v="104"/>
    <x v="0"/>
    <x v="1"/>
    <x v="3"/>
    <x v="2"/>
    <n v="36"/>
    <n v="600600"/>
    <n v="17.27"/>
    <n v="21494"/>
    <n v="899608"/>
    <n v="698"/>
    <x v="1"/>
    <n v="0.26"/>
    <n v="0.84"/>
    <n v="0"/>
    <n v="11"/>
    <n v="219141"/>
    <n v="419491"/>
    <n v="0"/>
    <n v="0"/>
    <n v="0"/>
    <x v="2"/>
    <n v="74897600"/>
    <n v="105779369"/>
    <n v="301"/>
    <n v="2.5999999999999999E-2"/>
    <n v="2.6548672566371681E-2"/>
    <n v="5.8201058201058198E-2"/>
    <n v="18.603181818181817"/>
    <x v="2"/>
    <n v="122"/>
    <x v="1"/>
    <n v="141"/>
    <n v="1.4184397163120567E-2"/>
    <s v="lower size (&lt; 9L)"/>
    <n v="0"/>
    <n v="0.13934426229508196"/>
    <s v=" not riskY"/>
    <d v="2025-01-31T00:00:00"/>
    <n v="16786700"/>
    <n v="21.092024539877301"/>
    <s v="Old Loan"/>
    <s v="Q12025"/>
    <n v="40328000"/>
    <s v="L26332140|C9284113|45673|Personal Loan|Branch|North|Self-Employed|36|600600|17.27|21494|899608|698|C|0.26|0.84|0|11|219141|419491|0|0|0|Active"/>
    <x v="0"/>
  </r>
  <r>
    <s v="L25766666"/>
    <s v="C7567171"/>
    <x v="91"/>
    <x v="2"/>
    <x v="1"/>
    <x v="1"/>
    <x v="0"/>
    <n v="36"/>
    <n v="552900"/>
    <n v="8.4499999999999993"/>
    <n v="17441"/>
    <n v="1315150"/>
    <n v="762"/>
    <x v="3"/>
    <n v="0.23"/>
    <n v="1.02"/>
    <n v="544400"/>
    <n v="10"/>
    <n v="167791"/>
    <n v="400682"/>
    <n v="0"/>
    <n v="0"/>
    <n v="0"/>
    <x v="2"/>
    <n v="92273000"/>
    <n v="83903255"/>
    <n v="301"/>
    <n v="2.5999999999999999E-2"/>
    <n v="4.2553191489361701E-2"/>
    <n v="5.8201058201058198E-2"/>
    <n v="7.9444999999999997"/>
    <x v="2"/>
    <n v="122"/>
    <x v="1"/>
    <n v="141"/>
    <n v="1.4184397163120567E-2"/>
    <s v="lower size (&lt; 9L)"/>
    <n v="0"/>
    <n v="0.13934426229508196"/>
    <s v=" not riskY"/>
    <d v="2025-02-28T00:00:00"/>
    <n v="17968200"/>
    <n v="20.262135922330096"/>
    <s v="Old Loan"/>
    <s v="Q12025"/>
    <n v="40328000"/>
    <s v="L25766666|C7567171|45708|Auto Loan|Branch|West|Salaried|36|552900|8.45|17441|1315150|762|A|0.23|1.02|544400|10|167791|400682|0|0|0|Active"/>
    <x v="0"/>
  </r>
  <r>
    <s v="L97580846"/>
    <s v="C7217876"/>
    <x v="109"/>
    <x v="3"/>
    <x v="1"/>
    <x v="1"/>
    <x v="0"/>
    <n v="18"/>
    <n v="5293100"/>
    <n v="11.71"/>
    <n v="322071"/>
    <n v="899329"/>
    <n v="685"/>
    <x v="1"/>
    <n v="0.23"/>
    <n v="0.83"/>
    <n v="6347400"/>
    <n v="11"/>
    <n v="3266911"/>
    <n v="2253457"/>
    <n v="0"/>
    <n v="0"/>
    <n v="0"/>
    <x v="2"/>
    <n v="403369500"/>
    <n v="83903255"/>
    <n v="301"/>
    <n v="2.5999999999999999E-2"/>
    <n v="4.2553191489361701E-2"/>
    <n v="5.8201058201058198E-2"/>
    <n v="11.719736842105268"/>
    <x v="2"/>
    <n v="122"/>
    <x v="1"/>
    <n v="141"/>
    <n v="1.4184397163120567E-2"/>
    <s v="larger size (&gt; 33L)"/>
    <n v="0"/>
    <n v="0.16250000000000001"/>
    <s v=" not riskY"/>
    <d v="2025-01-31T00:00:00"/>
    <n v="16786700"/>
    <n v="20.516129032258064"/>
    <s v="Old Loan"/>
    <s v="Q12025"/>
    <n v="40328000"/>
    <s v="L97580846|C7217876|45676|Home Loan|Branch|West|Salaried|18|5293100|11.71|322071|899329|685|C|0.23|0.83|6347400|11|3266911|2253457|0|0|0|Active"/>
    <x v="0"/>
  </r>
  <r>
    <s v="L72763122"/>
    <s v="C7714128"/>
    <x v="112"/>
    <x v="1"/>
    <x v="3"/>
    <x v="4"/>
    <x v="1"/>
    <n v="48"/>
    <n v="2745700"/>
    <n v="18.27"/>
    <n v="81043"/>
    <n v="931357"/>
    <n v="624"/>
    <x v="2"/>
    <n v="0.22"/>
    <n v="0.48"/>
    <n v="5724600"/>
    <n v="10"/>
    <n v="814925"/>
    <n v="2097988"/>
    <n v="0"/>
    <n v="1"/>
    <n v="0"/>
    <x v="1"/>
    <n v="201475100"/>
    <n v="83297251"/>
    <n v="139"/>
    <n v="2.5999999999999999E-2"/>
    <n v="3.1914893617021274E-2"/>
    <n v="0.12"/>
    <n v="18.241249999999997"/>
    <x v="2"/>
    <n v="122"/>
    <x v="2"/>
    <n v="57"/>
    <n v="0"/>
    <s v="medium size (&lt;=33L)"/>
    <n v="0"/>
    <n v="0.15909090909090909"/>
    <s v=" not riskY"/>
    <d v="2025-02-28T00:00:00"/>
    <n v="17968200"/>
    <n v="19.091954022988507"/>
    <s v="Old Loan"/>
    <s v="Q12025"/>
    <n v="40328000"/>
    <s v="L72763122|C7714128|45705|SME Loan|Call Center|East|Contract|48|2745700|18.27|81043|931357|624|D|0.22|0.48|5724600|10|814925|2097988|0|1|0|Closed"/>
    <x v="0"/>
  </r>
  <r>
    <s v="L38542500"/>
    <s v="C1131153"/>
    <x v="113"/>
    <x v="0"/>
    <x v="0"/>
    <x v="2"/>
    <x v="0"/>
    <n v="120"/>
    <n v="208700"/>
    <n v="20.67"/>
    <n v="4126"/>
    <n v="1075380"/>
    <n v="654"/>
    <x v="1"/>
    <n v="0.21"/>
    <n v="0.84"/>
    <n v="0"/>
    <n v="11"/>
    <n v="39252"/>
    <n v="185265"/>
    <n v="0"/>
    <n v="0"/>
    <n v="0"/>
    <x v="2"/>
    <n v="74897600"/>
    <n v="98928695"/>
    <n v="301"/>
    <n v="2.5999999999999999E-2"/>
    <n v="2.8571428571428571E-2"/>
    <n v="7.1090047393364927E-2"/>
    <n v="18.603181818181817"/>
    <x v="2"/>
    <n v="122"/>
    <x v="1"/>
    <n v="141"/>
    <n v="1.4184397163120567E-2"/>
    <s v="lower size (&lt; 9L)"/>
    <n v="0"/>
    <n v="0.13934426229508196"/>
    <s v=" not riskY"/>
    <d v="2025-01-31T00:00:00"/>
    <n v="16786700"/>
    <n v="21.092024539877301"/>
    <s v="Old Loan"/>
    <s v="Q12025"/>
    <n v="40328000"/>
    <s v="L38542500|C1131153|45670|Personal Loan|Online|Central|Salaried|120|208700|20.67|4126|1075380|654|C|0.21|0.84|0|11|39252|185265|0|0|0|Active"/>
    <x v="0"/>
  </r>
  <r>
    <s v="L74386641"/>
    <s v="C6202154"/>
    <x v="114"/>
    <x v="2"/>
    <x v="2"/>
    <x v="0"/>
    <x v="2"/>
    <n v="36"/>
    <n v="427100"/>
    <n v="13.29"/>
    <n v="14450"/>
    <n v="236734"/>
    <n v="652"/>
    <x v="1"/>
    <n v="0.17"/>
    <n v="0.97"/>
    <n v="440200"/>
    <n v="11"/>
    <n v="158939"/>
    <n v="288974"/>
    <n v="30"/>
    <n v="0"/>
    <n v="0"/>
    <x v="0"/>
    <n v="92273000"/>
    <n v="94548000"/>
    <n v="47"/>
    <n v="2.5999999999999999E-2"/>
    <n v="0"/>
    <n v="0.1"/>
    <n v="13.246500000000001"/>
    <x v="3"/>
    <n v="86"/>
    <x v="1"/>
    <n v="141"/>
    <n v="1.4184397163120567E-2"/>
    <s v="lower size (&lt; 9L)"/>
    <n v="1"/>
    <n v="0.13934426229508196"/>
    <s v="high risk"/>
    <d v="2025-01-31T00:00:00"/>
    <n v="16786700"/>
    <n v="20.262135922330096"/>
    <s v="Old Loan"/>
    <s v="Q12025"/>
    <n v="40328000"/>
    <s v="L74386641|C6202154|45688|Auto Loan|Partner|South|Self-Employed|36|427100|13.29|14450|236734|652|C|0.17|0.97|440200|11|158939|288974|30|0|0|Delinquent"/>
    <x v="0"/>
  </r>
  <r>
    <s v="L25909550"/>
    <s v="C7559297"/>
    <x v="115"/>
    <x v="2"/>
    <x v="0"/>
    <x v="2"/>
    <x v="0"/>
    <n v="60"/>
    <n v="1566400"/>
    <n v="10.58"/>
    <n v="33730"/>
    <n v="816134"/>
    <n v="740"/>
    <x v="0"/>
    <n v="0.16"/>
    <n v="0.6"/>
    <n v="2607300"/>
    <n v="9"/>
    <n v="289663"/>
    <n v="1326455"/>
    <n v="0"/>
    <n v="0"/>
    <n v="0"/>
    <x v="2"/>
    <n v="92273000"/>
    <n v="98928695"/>
    <n v="301"/>
    <n v="2.5999999999999999E-2"/>
    <n v="2.8571428571428571E-2"/>
    <n v="7.1090047393364927E-2"/>
    <n v="10.611923076923079"/>
    <x v="3"/>
    <n v="86"/>
    <x v="0"/>
    <n v="302"/>
    <n v="3.6423841059602648E-2"/>
    <s v="medium size (&lt;=33L)"/>
    <n v="0"/>
    <n v="0.15909090909090909"/>
    <s v=" not riskY"/>
    <d v="2025-03-31T00:00:00"/>
    <n v="5573100"/>
    <n v="20.262135922330096"/>
    <s v="Old Loan"/>
    <s v="Q12025"/>
    <n v="40328000"/>
    <s v="L25909550|C7559297|45736|Auto Loan|Online|Central|Salaried|60|1566400|10.58|33730|816134|740|B|0.16|0.6|2607300|9|289663|1326455|0|0|0|Active"/>
    <x v="0"/>
  </r>
  <r>
    <s v="L75099037"/>
    <s v="C2380993"/>
    <x v="116"/>
    <x v="1"/>
    <x v="1"/>
    <x v="0"/>
    <x v="2"/>
    <n v="24"/>
    <n v="3526000"/>
    <n v="21.91"/>
    <n v="182766"/>
    <n v="756885"/>
    <n v="591"/>
    <x v="4"/>
    <n v="0.13"/>
    <n v="0.73"/>
    <n v="4834800"/>
    <n v="10"/>
    <n v="1658883"/>
    <n v="2124633"/>
    <n v="0"/>
    <n v="0"/>
    <n v="0"/>
    <x v="2"/>
    <n v="201475100"/>
    <n v="94548000"/>
    <n v="301"/>
    <n v="2.5999999999999999E-2"/>
    <n v="0"/>
    <n v="5.8201058201058198E-2"/>
    <n v="20.521428571428572"/>
    <x v="3"/>
    <n v="86"/>
    <x v="0"/>
    <n v="302"/>
    <n v="3.6423841059602648E-2"/>
    <s v="larger size (&gt; 33L)"/>
    <n v="0"/>
    <n v="0.16250000000000001"/>
    <s v="high risk"/>
    <d v="2025-02-28T00:00:00"/>
    <n v="17968200"/>
    <n v="19.091954022988507"/>
    <s v="Old Loan"/>
    <s v="Q12025"/>
    <n v="40328000"/>
    <s v="L75099037|C2380993|45691|SME Loan|Branch|South|Self-Employed|24|3526000|21.91|182766|756885|591|E|0.13|0.73|4834800|10|1658883|2124633|0|0|0|Active"/>
    <x v="0"/>
  </r>
  <r>
    <s v="L61455524"/>
    <s v="C5900590"/>
    <x v="117"/>
    <x v="4"/>
    <x v="3"/>
    <x v="0"/>
    <x v="0"/>
    <n v="36"/>
    <n v="1376700"/>
    <n v="15.41"/>
    <n v="48001"/>
    <n v="1504596"/>
    <n v="620"/>
    <x v="2"/>
    <n v="0.66"/>
    <n v="0.62"/>
    <n v="0"/>
    <n v="36"/>
    <n v="1741964"/>
    <n v="0"/>
    <n v="0"/>
    <n v="0"/>
    <n v="0"/>
    <x v="1"/>
    <n v="62765800"/>
    <n v="94548000"/>
    <n v="139"/>
    <n v="2.5999999999999999E-2"/>
    <n v="0"/>
    <n v="0.12"/>
    <n v="15.810000000000002"/>
    <x v="0"/>
    <n v="32"/>
    <x v="0"/>
    <n v="302"/>
    <n v="3.6423841059602648E-2"/>
    <s v="medium size (&lt;=33L)"/>
    <n v="0"/>
    <n v="0.15909090909090909"/>
    <s v="high risk"/>
    <d v="2022-05-31T00:00:00"/>
    <n v="10302800"/>
    <n v="21.962962962962962"/>
    <s v="Old Loan"/>
    <s v="Q22022"/>
    <n v="45395100"/>
    <s v="L61455524|C5900590|44707|Education Loan|Call Center|South|Salaried|36|1376700|15.41|48001|1504596|620|D|0.66|0.62|0|36|1741964|0|0|0|0|Closed"/>
    <x v="0"/>
  </r>
  <r>
    <s v="L21530226"/>
    <s v="C2315559"/>
    <x v="118"/>
    <x v="2"/>
    <x v="2"/>
    <x v="1"/>
    <x v="0"/>
    <n v="60"/>
    <n v="832800"/>
    <n v="17.41"/>
    <n v="20881"/>
    <n v="629070"/>
    <n v="586"/>
    <x v="4"/>
    <n v="0.56999999999999995"/>
    <n v="0.64"/>
    <n v="1310500"/>
    <n v="44"/>
    <n v="815693"/>
    <n v="229760"/>
    <n v="0"/>
    <n v="1"/>
    <n v="0"/>
    <x v="1"/>
    <n v="92273000"/>
    <n v="83903255"/>
    <n v="139"/>
    <n v="2.5999999999999999E-2"/>
    <n v="4.2553191489361701E-2"/>
    <n v="0.1"/>
    <n v="17.744166666666668"/>
    <x v="0"/>
    <n v="32"/>
    <x v="0"/>
    <n v="302"/>
    <n v="3.6423841059602648E-2"/>
    <s v="lower size (&lt; 9L)"/>
    <n v="0"/>
    <n v="0.13934426229508196"/>
    <s v="high risk"/>
    <d v="2022-04-30T00:00:00"/>
    <n v="23903900"/>
    <n v="20.262135922330096"/>
    <s v="Old Loan"/>
    <s v="Q22022"/>
    <n v="45395100"/>
    <s v="L21530226|C2315559|44665|Auto Loan|Partner|West|Salaried|60|832800|17.41|20881|629070|586|E|0.57|0.64|1310500|44|815693|229760|0|1|0|Closed"/>
    <x v="0"/>
  </r>
  <r>
    <s v="L49565221"/>
    <s v="C5300895"/>
    <x v="119"/>
    <x v="0"/>
    <x v="2"/>
    <x v="2"/>
    <x v="0"/>
    <n v="24"/>
    <n v="494500"/>
    <n v="18.309999999999999"/>
    <n v="24762"/>
    <n v="570462"/>
    <n v="690"/>
    <x v="1"/>
    <n v="0.52"/>
    <n v="0.79"/>
    <n v="0"/>
    <n v="24"/>
    <n v="532141"/>
    <n v="34793"/>
    <n v="0"/>
    <n v="0"/>
    <n v="0"/>
    <x v="1"/>
    <n v="74897600"/>
    <n v="98928695"/>
    <n v="139"/>
    <n v="2.5999999999999999E-2"/>
    <n v="2.8571428571428571E-2"/>
    <n v="0.1"/>
    <n v="18.603181818181817"/>
    <x v="0"/>
    <n v="32"/>
    <x v="0"/>
    <n v="302"/>
    <n v="3.6423841059602648E-2"/>
    <s v="lower size (&lt; 9L)"/>
    <n v="0"/>
    <n v="0.13934426229508196"/>
    <s v="high risk"/>
    <d v="2022-05-31T00:00:00"/>
    <n v="10302800"/>
    <n v="21.092024539877301"/>
    <s v="Old Loan"/>
    <s v="Q22022"/>
    <n v="45395100"/>
    <s v="L49565221|C5300895|44682|Personal Loan|Partner|Central|Salaried|24|494500|18.31|24762|570462|690|C|0.52|0.79|0|24|532141|34793|0|0|0|Closed"/>
    <x v="0"/>
  </r>
  <r>
    <s v="L50541359"/>
    <s v="C6196740"/>
    <x v="120"/>
    <x v="2"/>
    <x v="1"/>
    <x v="3"/>
    <x v="0"/>
    <n v="48"/>
    <n v="1417500"/>
    <n v="15.38"/>
    <n v="39724"/>
    <n v="1166752"/>
    <n v="650"/>
    <x v="1"/>
    <n v="0.46"/>
    <n v="0.84"/>
    <n v="1694000"/>
    <n v="44"/>
    <n v="1528866"/>
    <n v="208384"/>
    <n v="0"/>
    <n v="0"/>
    <n v="0"/>
    <x v="2"/>
    <n v="92273000"/>
    <n v="105779369"/>
    <n v="301"/>
    <n v="2.5999999999999999E-2"/>
    <n v="2.6548672566371681E-2"/>
    <n v="5.8201058201058198E-2"/>
    <n v="13.246500000000001"/>
    <x v="1"/>
    <n v="260"/>
    <x v="1"/>
    <n v="141"/>
    <n v="1.4184397163120567E-2"/>
    <s v="medium size (&lt;=33L)"/>
    <n v="0"/>
    <n v="0.15909090909090909"/>
    <s v=" not riskY"/>
    <d v="2022-04-30T00:00:00"/>
    <n v="23903900"/>
    <n v="20.262135922330096"/>
    <s v="Old Loan"/>
    <s v="Q22022"/>
    <n v="45395100"/>
    <s v="L50541359|C6196740|44657|Auto Loan|Branch|North|Salaried|48|1417500|15.38|39724|1166752|650|C|0.46|0.84|1694000|44|1528866|208384|0|0|0|Active"/>
    <x v="0"/>
  </r>
  <r>
    <s v="L77374721"/>
    <s v="C9713765"/>
    <x v="121"/>
    <x v="2"/>
    <x v="1"/>
    <x v="3"/>
    <x v="0"/>
    <n v="360"/>
    <n v="1240600"/>
    <n v="7"/>
    <n v="8254"/>
    <n v="600566"/>
    <n v="850"/>
    <x v="3"/>
    <n v="0.44"/>
    <n v="0.74"/>
    <n v="1673500"/>
    <n v="44"/>
    <n v="343347"/>
    <n v="1024621"/>
    <n v="0"/>
    <n v="0"/>
    <n v="0"/>
    <x v="2"/>
    <n v="92273000"/>
    <n v="105779369"/>
    <n v="301"/>
    <n v="2.5999999999999999E-2"/>
    <n v="2.6548672566371681E-2"/>
    <n v="5.8201058201058198E-2"/>
    <n v="7.9444999999999997"/>
    <x v="1"/>
    <n v="260"/>
    <x v="0"/>
    <n v="302"/>
    <n v="3.6423841059602648E-2"/>
    <s v="medium size (&lt;=33L)"/>
    <n v="0"/>
    <n v="0.15909090909090909"/>
    <s v=" not riskY"/>
    <d v="2022-04-30T00:00:00"/>
    <n v="23903900"/>
    <n v="20.262135922330096"/>
    <s v="Old Loan"/>
    <s v="Q22022"/>
    <n v="45395100"/>
    <s v="L77374721|C9713765|44679|Auto Loan|Branch|North|Salaried|360|1240600|7|8254|600566|850|A|0.44|0.74|1673500|44|343347|1024621|0|0|0|Active"/>
    <x v="0"/>
  </r>
  <r>
    <s v="L69572486"/>
    <s v="C7896551"/>
    <x v="122"/>
    <x v="0"/>
    <x v="0"/>
    <x v="3"/>
    <x v="1"/>
    <n v="360"/>
    <n v="592900"/>
    <n v="22.17"/>
    <n v="10969"/>
    <n v="709676"/>
    <n v="624"/>
    <x v="2"/>
    <n v="0.44"/>
    <n v="0.81"/>
    <n v="0"/>
    <n v="42"/>
    <n v="445879"/>
    <n v="331045"/>
    <n v="0"/>
    <n v="0"/>
    <n v="0"/>
    <x v="2"/>
    <n v="74897600"/>
    <n v="105779369"/>
    <n v="301"/>
    <n v="2.5999999999999999E-2"/>
    <n v="2.6548672566371681E-2"/>
    <n v="7.1090047393364927E-2"/>
    <n v="20.962592592592593"/>
    <x v="1"/>
    <n v="260"/>
    <x v="1"/>
    <n v="141"/>
    <n v="1.4184397163120567E-2"/>
    <s v="lower size (&lt; 9L)"/>
    <n v="0"/>
    <n v="0.13934426229508196"/>
    <s v=" not riskY"/>
    <d v="2022-06-30T00:00:00"/>
    <n v="11188400"/>
    <n v="21.092024539877301"/>
    <s v="Old Loan"/>
    <s v="Q22022"/>
    <n v="45395100"/>
    <s v="L69572486|C7896551|44733|Personal Loan|Online|North|Contract|360|592900|22.17|10969|709676|624|D|0.44|0.81|0|42|445879|331045|0|0|0|Active"/>
    <x v="0"/>
  </r>
  <r>
    <s v="L69696821"/>
    <s v="C4002739"/>
    <x v="123"/>
    <x v="0"/>
    <x v="3"/>
    <x v="0"/>
    <x v="2"/>
    <n v="360"/>
    <n v="112400"/>
    <n v="23.09"/>
    <n v="2165"/>
    <n v="822441"/>
    <n v="593"/>
    <x v="4"/>
    <n v="0.39"/>
    <n v="0.75"/>
    <n v="0"/>
    <n v="42"/>
    <n v="80139"/>
    <n v="68595"/>
    <n v="5"/>
    <n v="0"/>
    <n v="0"/>
    <x v="2"/>
    <n v="74897600"/>
    <n v="94548000"/>
    <n v="301"/>
    <n v="2.5999999999999999E-2"/>
    <n v="0"/>
    <n v="0.12"/>
    <n v="23.803750000000001"/>
    <x v="1"/>
    <n v="260"/>
    <x v="0"/>
    <n v="302"/>
    <n v="3.6423841059602648E-2"/>
    <s v="lower size (&lt; 9L)"/>
    <n v="0"/>
    <n v="0.13934426229508196"/>
    <s v="high risk"/>
    <d v="2022-06-30T00:00:00"/>
    <n v="11188400"/>
    <n v="21.092024539877301"/>
    <s v="Old Loan"/>
    <s v="Q22022"/>
    <n v="45395100"/>
    <s v="L69696821|C4002739|44739|Personal Loan|Call Center|South|Self-Employed|360|112400|23.09|2165|822441|593|E|0.39|0.75|0|42|80139|68595|5|0|0|Active"/>
    <x v="0"/>
  </r>
  <r>
    <s v="L37536096"/>
    <s v="C7491026"/>
    <x v="124"/>
    <x v="2"/>
    <x v="1"/>
    <x v="3"/>
    <x v="3"/>
    <n v="36"/>
    <n v="1254500"/>
    <n v="8.4499999999999993"/>
    <n v="39572"/>
    <n v="1141872"/>
    <n v="759"/>
    <x v="3"/>
    <n v="0.38"/>
    <n v="0.88"/>
    <n v="1428800"/>
    <n v="36"/>
    <n v="1258582"/>
    <n v="123124"/>
    <n v="0"/>
    <n v="0"/>
    <n v="0"/>
    <x v="1"/>
    <n v="92273000"/>
    <n v="105779369"/>
    <n v="139"/>
    <n v="2.5999999999999999E-2"/>
    <n v="2.6548672566371681E-2"/>
    <n v="5.8201058201058198E-2"/>
    <n v="7.9444999999999997"/>
    <x v="1"/>
    <n v="260"/>
    <x v="1"/>
    <n v="141"/>
    <n v="1.4184397163120567E-2"/>
    <s v="medium size (&lt;=33L)"/>
    <n v="0"/>
    <n v="0.15909090909090909"/>
    <s v=" not riskY"/>
    <d v="2022-06-30T00:00:00"/>
    <n v="11188400"/>
    <n v="20.262135922330096"/>
    <s v="Old Loan"/>
    <s v="Q22022"/>
    <n v="45395100"/>
    <s v="L37536096|C7491026|44715|Auto Loan|Branch|North|Unemployed|36|1254500|8.45|39572|1141872|759|A|0.38|0.88|1428800|36|1258582|123124|0|0|0|Closed"/>
    <x v="0"/>
  </r>
  <r>
    <s v="L59967823"/>
    <s v="C6498887"/>
    <x v="125"/>
    <x v="3"/>
    <x v="1"/>
    <x v="3"/>
    <x v="1"/>
    <n v="84"/>
    <n v="4069100"/>
    <n v="12.31"/>
    <n v="72507"/>
    <n v="1182992"/>
    <n v="658"/>
    <x v="1"/>
    <n v="0.36"/>
    <n v="0.57999999999999996"/>
    <n v="7072500"/>
    <n v="44"/>
    <n v="3155765"/>
    <n v="1647997"/>
    <n v="0"/>
    <n v="0"/>
    <n v="0"/>
    <x v="2"/>
    <n v="403369500"/>
    <n v="105779369"/>
    <n v="301"/>
    <n v="2.5999999999999999E-2"/>
    <n v="2.6548672566371681E-2"/>
    <n v="5.8201058201058198E-2"/>
    <n v="11.719736842105268"/>
    <x v="1"/>
    <n v="260"/>
    <x v="2"/>
    <n v="57"/>
    <n v="0"/>
    <s v="larger size (&gt; 33L)"/>
    <n v="0"/>
    <n v="0.16250000000000001"/>
    <s v=" not riskY"/>
    <d v="2022-04-30T00:00:00"/>
    <n v="23903900"/>
    <n v="20.516129032258064"/>
    <s v="Old Loan"/>
    <s v="Q22022"/>
    <n v="45395100"/>
    <s v="L59967823|C6498887|44655|Home Loan|Branch|North|Contract|84|4069100|12.31|72507|1182992|658|C|0.36|0.58|7072500|44|3155765|1647997|0|0|0|Active"/>
    <x v="0"/>
  </r>
  <r>
    <s v="L21137842"/>
    <s v="C9465349"/>
    <x v="117"/>
    <x v="0"/>
    <x v="1"/>
    <x v="4"/>
    <x v="0"/>
    <n v="24"/>
    <n v="501200"/>
    <n v="18.72"/>
    <n v="25197"/>
    <n v="1038743"/>
    <n v="672"/>
    <x v="1"/>
    <n v="0.36"/>
    <n v="0.56999999999999995"/>
    <n v="0"/>
    <n v="24"/>
    <n v="530117"/>
    <n v="46143"/>
    <n v="0"/>
    <n v="0"/>
    <n v="0"/>
    <x v="1"/>
    <n v="74897600"/>
    <n v="83297251"/>
    <n v="139"/>
    <n v="2.5999999999999999E-2"/>
    <n v="3.1914893617021274E-2"/>
    <n v="5.8201058201058198E-2"/>
    <n v="18.603181818181817"/>
    <x v="1"/>
    <n v="260"/>
    <x v="2"/>
    <n v="57"/>
    <n v="0"/>
    <s v="lower size (&lt; 9L)"/>
    <n v="0"/>
    <n v="0.13934426229508196"/>
    <s v=" not riskY"/>
    <d v="2022-05-31T00:00:00"/>
    <n v="10302800"/>
    <n v="21.092024539877301"/>
    <s v="Old Loan"/>
    <s v="Q22022"/>
    <n v="45395100"/>
    <s v="L21137842|C9465349|44707|Personal Loan|Branch|East|Salaried|24|501200|18.72|25197|1038743|672|C|0.36|0.57|0|24|530117|46143|0|0|0|Closed"/>
    <x v="0"/>
  </r>
  <r>
    <s v="L78863245"/>
    <s v="C3216559"/>
    <x v="126"/>
    <x v="1"/>
    <x v="1"/>
    <x v="2"/>
    <x v="0"/>
    <n v="24"/>
    <n v="2259800"/>
    <n v="17.11"/>
    <n v="111849"/>
    <n v="1312365"/>
    <n v="668"/>
    <x v="1"/>
    <n v="0.36"/>
    <n v="0.81"/>
    <n v="2794200"/>
    <n v="24"/>
    <n v="2462952"/>
    <n v="106169"/>
    <n v="0"/>
    <n v="0"/>
    <n v="0"/>
    <x v="1"/>
    <n v="201475100"/>
    <n v="98928695"/>
    <n v="139"/>
    <n v="2.5999999999999999E-2"/>
    <n v="2.8571428571428571E-2"/>
    <n v="5.8201058201058198E-2"/>
    <n v="15.841379310344831"/>
    <x v="1"/>
    <n v="260"/>
    <x v="1"/>
    <n v="141"/>
    <n v="1.4184397163120567E-2"/>
    <s v="medium size (&lt;=33L)"/>
    <n v="0"/>
    <n v="0.15909090909090909"/>
    <s v=" not riskY"/>
    <d v="2022-06-30T00:00:00"/>
    <n v="11188400"/>
    <n v="19.091954022988507"/>
    <s v="Old Loan"/>
    <s v="Q22022"/>
    <n v="45395100"/>
    <s v="L78863245|C3216559|44720|SME Loan|Branch|Central|Salaried|24|2259800|17.11|111849|1312365|668|C|0.36|0.81|2794200|24|2462952|106169|0|0|0|Closed"/>
    <x v="0"/>
  </r>
  <r>
    <s v="L97362822"/>
    <s v="C7126430"/>
    <x v="122"/>
    <x v="0"/>
    <x v="1"/>
    <x v="2"/>
    <x v="0"/>
    <n v="24"/>
    <n v="389500"/>
    <n v="10.27"/>
    <n v="18022"/>
    <n v="633303"/>
    <n v="845"/>
    <x v="3"/>
    <n v="0.35"/>
    <n v="0.65"/>
    <n v="0"/>
    <n v="24"/>
    <n v="439186"/>
    <n v="0"/>
    <n v="0"/>
    <n v="0"/>
    <n v="0"/>
    <x v="1"/>
    <n v="74897600"/>
    <n v="98928695"/>
    <n v="139"/>
    <n v="2.5999999999999999E-2"/>
    <n v="2.8571428571428571E-2"/>
    <n v="5.8201058201058198E-2"/>
    <n v="13.328333333333335"/>
    <x v="1"/>
    <n v="260"/>
    <x v="0"/>
    <n v="302"/>
    <n v="3.6423841059602648E-2"/>
    <s v="lower size (&lt; 9L)"/>
    <n v="0"/>
    <n v="0.13934426229508196"/>
    <s v=" not riskY"/>
    <d v="2022-06-30T00:00:00"/>
    <n v="11188400"/>
    <n v="21.092024539877301"/>
    <s v="Old Loan"/>
    <s v="Q22022"/>
    <n v="45395100"/>
    <s v="L97362822|C7126430|44733|Personal Loan|Branch|Central|Salaried|24|389500|10.27|18022|633303|845|A|0.35|0.65|0|24|439186|0|0|0|0|Closed"/>
    <x v="0"/>
  </r>
  <r>
    <s v="L76322763"/>
    <s v="C8193202"/>
    <x v="127"/>
    <x v="0"/>
    <x v="1"/>
    <x v="4"/>
    <x v="0"/>
    <n v="18"/>
    <n v="54700"/>
    <n v="19.37"/>
    <n v="3526"/>
    <n v="1057435"/>
    <n v="645"/>
    <x v="2"/>
    <n v="0.32"/>
    <n v="0.8"/>
    <n v="0"/>
    <n v="18"/>
    <n v="56933"/>
    <n v="4124"/>
    <n v="0"/>
    <n v="0"/>
    <n v="0"/>
    <x v="1"/>
    <n v="74897600"/>
    <n v="83297251"/>
    <n v="139"/>
    <n v="2.5999999999999999E-2"/>
    <n v="3.1914893617021274E-2"/>
    <n v="5.8201058201058198E-2"/>
    <n v="20.962592592592593"/>
    <x v="1"/>
    <n v="260"/>
    <x v="0"/>
    <n v="302"/>
    <n v="3.6423841059602648E-2"/>
    <s v="lower size (&lt; 9L)"/>
    <n v="0"/>
    <n v="0.13934426229508196"/>
    <s v=" not riskY"/>
    <d v="2022-06-30T00:00:00"/>
    <n v="11188400"/>
    <n v="21.092024539877301"/>
    <s v="Old Loan"/>
    <s v="Q22022"/>
    <n v="45395100"/>
    <s v="L76322763|C8193202|44725|Personal Loan|Branch|East|Salaried|18|54700|19.37|3526|1057435|645|D|0.32|0.8|0|18|56933|4124|0|0|0|Closed"/>
    <x v="0"/>
  </r>
  <r>
    <s v="L47616287"/>
    <s v="C7253183"/>
    <x v="128"/>
    <x v="1"/>
    <x v="0"/>
    <x v="2"/>
    <x v="0"/>
    <n v="360"/>
    <n v="2032000"/>
    <n v="18.04"/>
    <n v="30690"/>
    <n v="434193"/>
    <n v="637"/>
    <x v="2"/>
    <n v="0.32"/>
    <n v="0.74"/>
    <n v="2731600"/>
    <n v="43"/>
    <n v="1286687"/>
    <n v="1270734"/>
    <n v="0"/>
    <n v="0"/>
    <n v="0"/>
    <x v="2"/>
    <n v="201475100"/>
    <n v="98928695"/>
    <n v="301"/>
    <n v="2.5999999999999999E-2"/>
    <n v="2.8571428571428571E-2"/>
    <n v="7.1090047393364927E-2"/>
    <n v="18.241249999999997"/>
    <x v="1"/>
    <n v="260"/>
    <x v="0"/>
    <n v="302"/>
    <n v="3.6423841059602648E-2"/>
    <s v="medium size (&lt;=33L)"/>
    <n v="0"/>
    <n v="0.15909090909090909"/>
    <s v=" not riskY"/>
    <d v="2022-05-31T00:00:00"/>
    <n v="10302800"/>
    <n v="19.091954022988507"/>
    <s v="Old Loan"/>
    <s v="Q22022"/>
    <n v="45395100"/>
    <s v="L47616287|C7253183|44712|SME Loan|Online|Central|Salaried|360|2032000|18.04|30690|434193|637|D|0.32|0.74|2731600|43|1286687|1270734|0|0|0|Active"/>
    <x v="0"/>
  </r>
  <r>
    <s v="L79178274"/>
    <s v="C1215698"/>
    <x v="127"/>
    <x v="2"/>
    <x v="1"/>
    <x v="4"/>
    <x v="1"/>
    <n v="12"/>
    <n v="511200"/>
    <n v="13.99"/>
    <n v="45897"/>
    <n v="710299"/>
    <n v="658"/>
    <x v="1"/>
    <n v="0.31"/>
    <n v="0.65"/>
    <n v="783100"/>
    <n v="12"/>
    <n v="529504"/>
    <n v="10303"/>
    <n v="45"/>
    <n v="0"/>
    <n v="0"/>
    <x v="1"/>
    <n v="92273000"/>
    <n v="83297251"/>
    <n v="139"/>
    <n v="2.5999999999999999E-2"/>
    <n v="3.1914893617021274E-2"/>
    <n v="5.8201058201058198E-2"/>
    <n v="13.246500000000001"/>
    <x v="1"/>
    <n v="260"/>
    <x v="0"/>
    <n v="302"/>
    <n v="3.6423841059602648E-2"/>
    <s v="lower size (&lt; 9L)"/>
    <n v="1"/>
    <n v="0.13934426229508196"/>
    <s v="high risk"/>
    <d v="2022-06-30T00:00:00"/>
    <n v="11188400"/>
    <n v="20.262135922330096"/>
    <s v="Old Loan"/>
    <s v="Q22022"/>
    <n v="45395100"/>
    <s v="L79178274|C1215698|44725|Auto Loan|Branch|East|Contract|12|511200|13.99|45897|710299|658|C|0.31|0.65|783100|12|529504|10303|45|0|0|Closed"/>
    <x v="0"/>
  </r>
  <r>
    <s v="L90250953"/>
    <s v="C7022171"/>
    <x v="129"/>
    <x v="1"/>
    <x v="0"/>
    <x v="0"/>
    <x v="1"/>
    <n v="18"/>
    <n v="3136300"/>
    <n v="11.56"/>
    <n v="190618"/>
    <n v="1205997"/>
    <n v="751"/>
    <x v="3"/>
    <n v="0.28999999999999998"/>
    <n v="0.65"/>
    <n v="4854300"/>
    <n v="18"/>
    <n v="3305004"/>
    <n v="48830"/>
    <n v="10"/>
    <n v="0"/>
    <n v="0"/>
    <x v="1"/>
    <n v="201475100"/>
    <n v="94548000"/>
    <n v="139"/>
    <n v="2.5999999999999999E-2"/>
    <n v="0"/>
    <n v="7.1090047393364927E-2"/>
    <n v="10.537499999999998"/>
    <x v="2"/>
    <n v="122"/>
    <x v="0"/>
    <n v="302"/>
    <n v="3.6423841059602648E-2"/>
    <s v="medium size (&lt;=33L)"/>
    <n v="0"/>
    <n v="0.15909090909090909"/>
    <s v=" not riskY"/>
    <d v="2022-05-31T00:00:00"/>
    <n v="10302800"/>
    <n v="19.091954022988507"/>
    <s v="Old Loan"/>
    <s v="Q22022"/>
    <n v="45395100"/>
    <s v="L90250953|C7022171|44709|SME Loan|Online|South|Contract|18|3136300|11.56|190618|1205997|751|A|0.29|0.65|4854300|18|3305004|48830|10|0|0|Closed"/>
    <x v="1"/>
  </r>
  <r>
    <s v="L78390949"/>
    <s v="C9859804"/>
    <x v="130"/>
    <x v="4"/>
    <x v="1"/>
    <x v="1"/>
    <x v="2"/>
    <n v="240"/>
    <n v="1196800"/>
    <n v="10.1"/>
    <n v="11629"/>
    <n v="708174"/>
    <n v="743"/>
    <x v="0"/>
    <n v="0.28999999999999998"/>
    <n v="0.66"/>
    <n v="0"/>
    <n v="44"/>
    <n v="436995"/>
    <n v="937091"/>
    <n v="0"/>
    <n v="0"/>
    <n v="0"/>
    <x v="2"/>
    <n v="62765800"/>
    <n v="83903255"/>
    <n v="301"/>
    <n v="2.5999999999999999E-2"/>
    <n v="4.2553191489361701E-2"/>
    <n v="5.8201058201058198E-2"/>
    <n v="10.832666666666663"/>
    <x v="2"/>
    <n v="122"/>
    <x v="0"/>
    <n v="302"/>
    <n v="3.6423841059602648E-2"/>
    <s v="medium size (&lt;=33L)"/>
    <n v="0"/>
    <n v="0.15909090909090909"/>
    <s v=" not riskY"/>
    <d v="2022-04-30T00:00:00"/>
    <n v="23903900"/>
    <n v="21.962962962962962"/>
    <s v="Old Loan"/>
    <s v="Q22022"/>
    <n v="45395100"/>
    <s v="L78390949|C9859804|44671|Education Loan|Branch|West|Self-Employed|240|1196800|10.1|11629|708174|743|B|0.29|0.66|0|44|436995|937091|0|0|0|Active"/>
    <x v="1"/>
  </r>
  <r>
    <s v="L36182605"/>
    <s v="C9184928"/>
    <x v="131"/>
    <x v="0"/>
    <x v="0"/>
    <x v="3"/>
    <x v="0"/>
    <n v="24"/>
    <n v="62400"/>
    <n v="22.12"/>
    <n v="3241"/>
    <n v="903781"/>
    <n v="602"/>
    <x v="2"/>
    <n v="0.28000000000000003"/>
    <n v="0.65"/>
    <n v="0"/>
    <n v="24"/>
    <n v="73058"/>
    <n v="384"/>
    <n v="0"/>
    <n v="0"/>
    <n v="0"/>
    <x v="1"/>
    <n v="74897600"/>
    <n v="105779369"/>
    <n v="139"/>
    <n v="2.5999999999999999E-2"/>
    <n v="2.6548672566371681E-2"/>
    <n v="7.1090047393364927E-2"/>
    <n v="20.962592592592593"/>
    <x v="2"/>
    <n v="122"/>
    <x v="0"/>
    <n v="302"/>
    <n v="3.6423841059602648E-2"/>
    <s v="lower size (&lt; 9L)"/>
    <n v="0"/>
    <n v="0.13934426229508196"/>
    <s v=" not riskY"/>
    <d v="2022-06-30T00:00:00"/>
    <n v="11188400"/>
    <n v="21.092024539877301"/>
    <s v="Old Loan"/>
    <s v="Q22022"/>
    <n v="45395100"/>
    <s v="L36182605|C9184928|44732|Personal Loan|Online|North|Salaried|24|62400|22.12|3241|903781|602|D|0.28|0.65|0|24|73058|384|0|0|0|Closed"/>
    <x v="1"/>
  </r>
  <r>
    <s v="L54459173"/>
    <s v="C1776329"/>
    <x v="132"/>
    <x v="3"/>
    <x v="2"/>
    <x v="2"/>
    <x v="0"/>
    <n v="12"/>
    <n v="6157300"/>
    <n v="14.55"/>
    <n v="554441"/>
    <n v="1073346"/>
    <n v="605"/>
    <x v="2"/>
    <n v="0.24"/>
    <n v="0.78"/>
    <n v="7926200"/>
    <n v="12"/>
    <n v="6027883"/>
    <n v="487772"/>
    <n v="0"/>
    <n v="0"/>
    <n v="0"/>
    <x v="1"/>
    <n v="403369500"/>
    <n v="98928695"/>
    <n v="139"/>
    <n v="2.5999999999999999E-2"/>
    <n v="2.8571428571428571E-2"/>
    <n v="0.1"/>
    <n v="13.406874999999999"/>
    <x v="2"/>
    <n v="122"/>
    <x v="0"/>
    <n v="302"/>
    <n v="3.6423841059602648E-2"/>
    <s v="larger size (&gt; 33L)"/>
    <n v="0"/>
    <n v="0.16250000000000001"/>
    <s v=" not riskY"/>
    <d v="2022-04-30T00:00:00"/>
    <n v="23903900"/>
    <n v="20.516129032258064"/>
    <s v="Old Loan"/>
    <s v="Q22022"/>
    <n v="45395100"/>
    <s v="L54459173|C1776329|44667|Home Loan|Partner|Central|Salaried|12|6157300|14.55|554441|1073346|605|D|0.24|0.78|7926200|12|6027883|487772|0|0|0|Closed"/>
    <x v="1"/>
  </r>
  <r>
    <s v="L36527773"/>
    <s v="C9879683"/>
    <x v="133"/>
    <x v="0"/>
    <x v="0"/>
    <x v="1"/>
    <x v="2"/>
    <n v="48"/>
    <n v="199600"/>
    <n v="15.46"/>
    <n v="5602"/>
    <n v="923644"/>
    <n v="720"/>
    <x v="0"/>
    <n v="0.22"/>
    <n v="0.92"/>
    <n v="0"/>
    <n v="42"/>
    <n v="224936"/>
    <n v="17865"/>
    <n v="0"/>
    <n v="0"/>
    <n v="0"/>
    <x v="2"/>
    <n v="74897600"/>
    <n v="83903255"/>
    <n v="301"/>
    <n v="2.5999999999999999E-2"/>
    <n v="4.2553191489361701E-2"/>
    <n v="7.1090047393364927E-2"/>
    <n v="16.500166666666669"/>
    <x v="2"/>
    <n v="122"/>
    <x v="1"/>
    <n v="141"/>
    <n v="1.4184397163120567E-2"/>
    <s v="lower size (&lt; 9L)"/>
    <n v="0"/>
    <n v="0.13934426229508196"/>
    <s v=" not riskY"/>
    <d v="2022-06-30T00:00:00"/>
    <n v="11188400"/>
    <n v="21.092024539877301"/>
    <s v="Old Loan"/>
    <s v="Q22022"/>
    <n v="45395100"/>
    <s v="L36527773|C9879683|44718|Personal Loan|Online|West|Self-Employed|48|199600|15.46|5602|923644|720|B|0.22|0.92|0|42|224936|17865|0|0|0|Active"/>
    <x v="1"/>
  </r>
  <r>
    <s v="L90827886"/>
    <s v="C8218232"/>
    <x v="134"/>
    <x v="3"/>
    <x v="3"/>
    <x v="3"/>
    <x v="1"/>
    <n v="36"/>
    <n v="6201600"/>
    <n v="10.039999999999999"/>
    <n v="200225"/>
    <n v="1120933"/>
    <n v="685"/>
    <x v="1"/>
    <n v="0.22"/>
    <n v="0.72"/>
    <n v="8644400"/>
    <n v="36"/>
    <n v="6608675"/>
    <n v="340094"/>
    <n v="0"/>
    <n v="1"/>
    <n v="0"/>
    <x v="1"/>
    <n v="403369500"/>
    <n v="105779369"/>
    <n v="139"/>
    <n v="2.5999999999999999E-2"/>
    <n v="2.6548672566371681E-2"/>
    <n v="0.12"/>
    <n v="11.719736842105268"/>
    <x v="2"/>
    <n v="122"/>
    <x v="0"/>
    <n v="302"/>
    <n v="3.6423841059602648E-2"/>
    <s v="larger size (&gt; 33L)"/>
    <n v="0"/>
    <n v="0.16250000000000001"/>
    <s v=" not riskY"/>
    <d v="2022-04-30T00:00:00"/>
    <n v="23903900"/>
    <n v="20.516129032258064"/>
    <s v="Old Loan"/>
    <s v="Q22022"/>
    <n v="45395100"/>
    <s v="L90827886|C8218232|44676|Home Loan|Call Center|North|Contract|36|6201600|10.04|200225|1120933|685|C|0.22|0.72|8644400|36|6608675|340094|0|1|0|Closed"/>
    <x v="1"/>
  </r>
  <r>
    <s v="L50442535"/>
    <s v="C9281059"/>
    <x v="135"/>
    <x v="0"/>
    <x v="0"/>
    <x v="3"/>
    <x v="2"/>
    <n v="18"/>
    <n v="668600"/>
    <n v="22.85"/>
    <n v="44222"/>
    <n v="837021"/>
    <n v="595"/>
    <x v="4"/>
    <n v="0.21"/>
    <n v="0.88"/>
    <n v="0"/>
    <n v="18"/>
    <n v="691085"/>
    <n v="69180"/>
    <n v="15"/>
    <n v="0"/>
    <n v="0"/>
    <x v="1"/>
    <n v="74897600"/>
    <n v="105779369"/>
    <n v="139"/>
    <n v="2.5999999999999999E-2"/>
    <n v="2.6548672566371681E-2"/>
    <n v="7.1090047393364927E-2"/>
    <n v="23.803750000000001"/>
    <x v="2"/>
    <n v="122"/>
    <x v="1"/>
    <n v="141"/>
    <n v="1.4184397163120567E-2"/>
    <s v="lower size (&lt; 9L)"/>
    <n v="0"/>
    <n v="0.13934426229508196"/>
    <s v="high risk"/>
    <d v="2022-04-30T00:00:00"/>
    <n v="23903900"/>
    <n v="21.092024539877301"/>
    <s v="Old Loan"/>
    <s v="Q22022"/>
    <n v="45395100"/>
    <s v="L50442535|C9281059|44668|Personal Loan|Online|North|Self-Employed|18|668600|22.85|44222|837021|595|E|0.21|0.88|0|18|691085|69180|15|0|0|Closed"/>
    <x v="1"/>
  </r>
  <r>
    <s v="L35780160"/>
    <s v="C3502679"/>
    <x v="129"/>
    <x v="4"/>
    <x v="0"/>
    <x v="0"/>
    <x v="0"/>
    <n v="72"/>
    <n v="1076500"/>
    <n v="16.37"/>
    <n v="23571"/>
    <n v="667889"/>
    <n v="622"/>
    <x v="2"/>
    <n v="0.19"/>
    <n v="0.62"/>
    <n v="0"/>
    <n v="43"/>
    <n v="1031940"/>
    <n v="297146"/>
    <n v="0"/>
    <n v="0"/>
    <n v="0"/>
    <x v="2"/>
    <n v="62765800"/>
    <n v="94548000"/>
    <n v="301"/>
    <n v="2.5999999999999999E-2"/>
    <n v="0"/>
    <n v="7.1090047393364927E-2"/>
    <n v="15.810000000000002"/>
    <x v="3"/>
    <n v="86"/>
    <x v="0"/>
    <n v="302"/>
    <n v="3.6423841059602648E-2"/>
    <s v="medium size (&lt;=33L)"/>
    <n v="0"/>
    <n v="0.15909090909090909"/>
    <s v=" not riskY"/>
    <d v="2022-05-31T00:00:00"/>
    <n v="10302800"/>
    <n v="21.962962962962962"/>
    <s v="Old Loan"/>
    <s v="Q22022"/>
    <n v="45395100"/>
    <s v="L35780160|C3502679|44709|Education Loan|Online|South|Salaried|72|1076500|16.37|23571|667889|622|D|0.19|0.62|0|43|1031940|297146|0|0|0|Active"/>
    <x v="1"/>
  </r>
  <r>
    <s v="L69453913"/>
    <s v="C4941136"/>
    <x v="136"/>
    <x v="2"/>
    <x v="0"/>
    <x v="1"/>
    <x v="0"/>
    <n v="24"/>
    <n v="713500"/>
    <n v="13.93"/>
    <n v="34234"/>
    <n v="598306"/>
    <n v="663"/>
    <x v="1"/>
    <n v="0.17"/>
    <n v="0.78"/>
    <n v="913100"/>
    <n v="24"/>
    <n v="748616"/>
    <n v="44396"/>
    <n v="0"/>
    <n v="0"/>
    <n v="0"/>
    <x v="1"/>
    <n v="92273000"/>
    <n v="83903255"/>
    <n v="139"/>
    <n v="2.5999999999999999E-2"/>
    <n v="4.2553191489361701E-2"/>
    <n v="7.1090047393364927E-2"/>
    <n v="13.246500000000001"/>
    <x v="3"/>
    <n v="86"/>
    <x v="0"/>
    <n v="302"/>
    <n v="3.6423841059602648E-2"/>
    <s v="lower size (&lt; 9L)"/>
    <n v="0"/>
    <n v="0.13934426229508196"/>
    <s v=" not riskY"/>
    <d v="2022-05-31T00:00:00"/>
    <n v="10302800"/>
    <n v="20.262135922330096"/>
    <s v="Old Loan"/>
    <s v="Q22022"/>
    <n v="45395100"/>
    <s v="L69453913|C4941136|44683|Auto Loan|Online|West|Salaried|24|713500|13.93|34234|598306|663|C|0.17|0.78|913100|24|748616|44396|0|0|0|Closed"/>
    <x v="1"/>
  </r>
  <r>
    <s v="L31280989"/>
    <s v="C9073300"/>
    <x v="136"/>
    <x v="0"/>
    <x v="0"/>
    <x v="4"/>
    <x v="0"/>
    <n v="36"/>
    <n v="972100"/>
    <n v="19.52"/>
    <n v="35889"/>
    <n v="1101848"/>
    <n v="669"/>
    <x v="1"/>
    <n v="0.16"/>
    <n v="0.6"/>
    <n v="0"/>
    <n v="36"/>
    <n v="1154509"/>
    <n v="45296"/>
    <n v="30"/>
    <n v="0"/>
    <n v="0"/>
    <x v="1"/>
    <n v="74897600"/>
    <n v="83297251"/>
    <n v="139"/>
    <n v="2.5999999999999999E-2"/>
    <n v="3.1914893617021274E-2"/>
    <n v="7.1090047393364927E-2"/>
    <n v="18.603181818181817"/>
    <x v="3"/>
    <n v="86"/>
    <x v="0"/>
    <n v="302"/>
    <n v="3.6423841059602648E-2"/>
    <s v="medium size (&lt;=33L)"/>
    <n v="1"/>
    <n v="0.15909090909090909"/>
    <s v="high risk"/>
    <d v="2022-05-31T00:00:00"/>
    <n v="10302800"/>
    <n v="21.092024539877301"/>
    <s v="Old Loan"/>
    <s v="Q22022"/>
    <n v="45395100"/>
    <s v="L31280989|C9073300|44683|Personal Loan|Online|East|Salaried|36|972100|19.52|35889|1101848|669|C|0.16|0.6|0|36|1154509|45296|30|0|0|Closed"/>
    <x v="1"/>
  </r>
  <r>
    <s v="L80745787"/>
    <s v="C6349902"/>
    <x v="137"/>
    <x v="1"/>
    <x v="1"/>
    <x v="4"/>
    <x v="0"/>
    <n v="12"/>
    <n v="1669100"/>
    <n v="17.72"/>
    <n v="152801"/>
    <n v="483892"/>
    <n v="642"/>
    <x v="2"/>
    <n v="0.15"/>
    <n v="0.68"/>
    <n v="2451500"/>
    <n v="12"/>
    <n v="1776850"/>
    <n v="10556"/>
    <n v="0"/>
    <n v="0"/>
    <n v="0"/>
    <x v="1"/>
    <n v="201475100"/>
    <n v="83297251"/>
    <n v="139"/>
    <n v="2.5999999999999999E-2"/>
    <n v="3.1914893617021274E-2"/>
    <n v="5.8201058201058198E-2"/>
    <n v="18.241249999999997"/>
    <x v="3"/>
    <n v="86"/>
    <x v="0"/>
    <n v="302"/>
    <n v="3.6423841059602648E-2"/>
    <s v="medium size (&lt;=33L)"/>
    <n v="0"/>
    <n v="0.15909090909090909"/>
    <s v=" not riskY"/>
    <d v="2022-06-30T00:00:00"/>
    <n v="11188400"/>
    <n v="19.091954022988507"/>
    <s v="Old Loan"/>
    <s v="Q22022"/>
    <n v="45395100"/>
    <s v="L80745787|C6349902|44727|SME Loan|Branch|East|Salaried|12|1669100|17.72|152801|483892|642|D|0.15|0.68|2451500|12|1776850|10556|0|0|0|Closed"/>
    <x v="1"/>
  </r>
  <r>
    <s v="L81713537"/>
    <s v="C6831536"/>
    <x v="138"/>
    <x v="0"/>
    <x v="0"/>
    <x v="4"/>
    <x v="0"/>
    <n v="60"/>
    <n v="414000"/>
    <n v="16.07"/>
    <n v="10083"/>
    <n v="996887"/>
    <n v="724"/>
    <x v="0"/>
    <n v="0.15"/>
    <n v="0.56000000000000005"/>
    <n v="0"/>
    <n v="42"/>
    <n v="412356"/>
    <n v="94786"/>
    <n v="0"/>
    <n v="0"/>
    <n v="0"/>
    <x v="2"/>
    <n v="74897600"/>
    <n v="83297251"/>
    <n v="301"/>
    <n v="2.5999999999999999E-2"/>
    <n v="3.1914893617021274E-2"/>
    <n v="7.1090047393364927E-2"/>
    <n v="16.500166666666669"/>
    <x v="3"/>
    <n v="86"/>
    <x v="2"/>
    <n v="57"/>
    <n v="0"/>
    <s v="lower size (&lt; 9L)"/>
    <n v="0"/>
    <n v="0.13934426229508196"/>
    <s v=" not riskY"/>
    <d v="2022-06-30T00:00:00"/>
    <n v="11188400"/>
    <n v="21.092024539877301"/>
    <s v="Old Loan"/>
    <s v="Q22022"/>
    <n v="45395100"/>
    <s v="L81713537|C6831536|44722|Personal Loan|Online|East|Salaried|60|414000|16.07|10083|996887|724|B|0.15|0.56|0|42|412356|94786|0|0|0|Active"/>
    <x v="1"/>
  </r>
  <r>
    <s v="L96960872"/>
    <s v="C6294756"/>
    <x v="139"/>
    <x v="1"/>
    <x v="0"/>
    <x v="3"/>
    <x v="0"/>
    <n v="36"/>
    <n v="3668300"/>
    <n v="15.32"/>
    <n v="127738"/>
    <n v="1090357"/>
    <n v="687"/>
    <x v="1"/>
    <n v="0.14000000000000001"/>
    <n v="0.52"/>
    <n v="7063800"/>
    <n v="36"/>
    <n v="4580287"/>
    <n v="0"/>
    <n v="5"/>
    <n v="0"/>
    <n v="0"/>
    <x v="1"/>
    <n v="201475100"/>
    <n v="105779369"/>
    <n v="139"/>
    <n v="2.5999999999999999E-2"/>
    <n v="2.6548672566371681E-2"/>
    <n v="7.1090047393364927E-2"/>
    <n v="15.841379310344831"/>
    <x v="3"/>
    <n v="86"/>
    <x v="2"/>
    <n v="57"/>
    <n v="0"/>
    <s v="larger size (&gt; 33L)"/>
    <n v="0"/>
    <n v="0.16250000000000001"/>
    <s v=" not riskY"/>
    <d v="2022-06-30T00:00:00"/>
    <n v="11188400"/>
    <n v="19.091954022988507"/>
    <s v="Old Loan"/>
    <s v="Q22022"/>
    <n v="45395100"/>
    <s v="L96960872|C6294756|44721|SME Loan|Online|North|Salaried|36|3668300|15.32|127738|1090357|687|C|0.14|0.52|7063800|36|4580287|0|5|0|0|Closed"/>
    <x v="1"/>
  </r>
  <r>
    <s v="L26429467"/>
    <s v="C9310256"/>
    <x v="140"/>
    <x v="0"/>
    <x v="0"/>
    <x v="3"/>
    <x v="0"/>
    <n v="12"/>
    <n v="565900"/>
    <n v="14.8"/>
    <n v="51024"/>
    <n v="738641"/>
    <n v="757"/>
    <x v="3"/>
    <n v="0.13"/>
    <n v="0.54"/>
    <n v="0"/>
    <n v="12"/>
    <n v="603029"/>
    <n v="0"/>
    <n v="30"/>
    <n v="0"/>
    <n v="0"/>
    <x v="1"/>
    <n v="74897600"/>
    <n v="105779369"/>
    <n v="139"/>
    <n v="2.5999999999999999E-2"/>
    <n v="2.6548672566371681E-2"/>
    <n v="7.1090047393364927E-2"/>
    <n v="13.328333333333335"/>
    <x v="3"/>
    <n v="86"/>
    <x v="2"/>
    <n v="57"/>
    <n v="0"/>
    <s v="lower size (&lt; 9L)"/>
    <n v="1"/>
    <n v="0.13934426229508196"/>
    <s v="high risk"/>
    <d v="2022-04-30T00:00:00"/>
    <n v="23903900"/>
    <n v="21.092024539877301"/>
    <s v="Old Loan"/>
    <s v="Q22022"/>
    <n v="45395100"/>
    <s v="L26429467|C9310256|44673|Personal Loan|Online|North|Salaried|12|565900|14.8|51024|738641|757|A|0.13|0.54|0|12|603029|0|30|0|0|Closed"/>
    <x v="1"/>
  </r>
  <r>
    <s v="L86107843"/>
    <s v="C9350158"/>
    <x v="141"/>
    <x v="2"/>
    <x v="1"/>
    <x v="2"/>
    <x v="1"/>
    <n v="24"/>
    <n v="1553700"/>
    <n v="9.99"/>
    <n v="71688"/>
    <n v="938046"/>
    <n v="724"/>
    <x v="0"/>
    <n v="0.05"/>
    <n v="0.74"/>
    <n v="2099500"/>
    <n v="24"/>
    <n v="1738580"/>
    <n v="0"/>
    <n v="45"/>
    <n v="0"/>
    <n v="0"/>
    <x v="1"/>
    <n v="92273000"/>
    <n v="98928695"/>
    <n v="139"/>
    <n v="2.5999999999999999E-2"/>
    <n v="2.8571428571428571E-2"/>
    <n v="5.8201058201058198E-2"/>
    <n v="10.611923076923079"/>
    <x v="3"/>
    <n v="86"/>
    <x v="0"/>
    <n v="302"/>
    <n v="3.6423841059602648E-2"/>
    <s v="medium size (&lt;=33L)"/>
    <n v="1"/>
    <n v="0.15909090909090909"/>
    <s v="high risk"/>
    <d v="2022-04-30T00:00:00"/>
    <n v="23903900"/>
    <n v="20.262135922330096"/>
    <s v="Old Loan"/>
    <s v="Q22022"/>
    <n v="45395100"/>
    <s v="L86107843|C9350158|44658|Auto Loan|Branch|Central|Contract|24|1553700|9.99|71688|938046|724|B|0.05|0.74|2099500|24|1738580|0|45|0|0|Closed"/>
    <x v="1"/>
  </r>
  <r>
    <s v="L97464378"/>
    <s v="C8957311"/>
    <x v="142"/>
    <x v="0"/>
    <x v="1"/>
    <x v="1"/>
    <x v="0"/>
    <n v="240"/>
    <n v="50000"/>
    <n v="17.16"/>
    <n v="739"/>
    <n v="682713"/>
    <n v="702"/>
    <x v="0"/>
    <n v="0.65"/>
    <n v="0.45"/>
    <n v="0"/>
    <n v="32"/>
    <n v="21385"/>
    <n v="37767"/>
    <n v="45"/>
    <n v="0"/>
    <n v="0"/>
    <x v="0"/>
    <n v="74897600"/>
    <n v="83903255"/>
    <n v="47"/>
    <n v="2.5999999999999999E-2"/>
    <n v="4.2553191489361701E-2"/>
    <n v="5.8201058201058198E-2"/>
    <n v="16.500166666666669"/>
    <x v="0"/>
    <n v="32"/>
    <x v="2"/>
    <n v="57"/>
    <n v="0"/>
    <s v="lower size (&lt; 9L)"/>
    <n v="1"/>
    <n v="0.13934426229508196"/>
    <s v="high risk"/>
    <d v="2023-04-30T00:00:00"/>
    <n v="19321000"/>
    <n v="21.092024539877301"/>
    <s v="Old Loan"/>
    <s v="Q22023"/>
    <n v="42051000"/>
    <s v="L97464378|C8957311|45023|Personal Loan|Branch|West|Salaried|240|50000|17.16|739|682713|702|B|0.65|0.45|0|32|21385|37767|45|0|0|Delinquent"/>
    <x v="1"/>
  </r>
  <r>
    <s v="L84800140"/>
    <s v="C2737373"/>
    <x v="143"/>
    <x v="2"/>
    <x v="0"/>
    <x v="4"/>
    <x v="0"/>
    <n v="36"/>
    <n v="1164100"/>
    <n v="13.85"/>
    <n v="39701"/>
    <n v="1243236"/>
    <n v="688"/>
    <x v="1"/>
    <n v="0.57999999999999996"/>
    <n v="0.59"/>
    <n v="1989700"/>
    <n v="32"/>
    <n v="1233181"/>
    <n v="102895"/>
    <n v="0"/>
    <n v="0"/>
    <n v="0"/>
    <x v="2"/>
    <n v="92273000"/>
    <n v="83297251"/>
    <n v="301"/>
    <n v="2.5999999999999999E-2"/>
    <n v="3.1914893617021274E-2"/>
    <n v="7.1090047393364927E-2"/>
    <n v="13.246500000000001"/>
    <x v="0"/>
    <n v="32"/>
    <x v="2"/>
    <n v="57"/>
    <n v="0"/>
    <s v="medium size (&lt;=33L)"/>
    <n v="0"/>
    <n v="0.15909090909090909"/>
    <s v="high risk"/>
    <d v="2023-04-30T00:00:00"/>
    <n v="19321000"/>
    <n v="20.262135922330096"/>
    <s v="Old Loan"/>
    <s v="Q22023"/>
    <n v="42051000"/>
    <s v="L84800140|C2737373|45027|Auto Loan|Online|East|Salaried|36|1164100|13.85|39701|1243236|688|C|0.58|0.59|1989700|32|1233181|102895|0|0|0|Active"/>
    <x v="1"/>
  </r>
  <r>
    <s v="L64255441"/>
    <s v="C3671888"/>
    <x v="144"/>
    <x v="0"/>
    <x v="1"/>
    <x v="4"/>
    <x v="1"/>
    <n v="36"/>
    <n v="393300"/>
    <n v="22.33"/>
    <n v="15088"/>
    <n v="1238800"/>
    <n v="618"/>
    <x v="2"/>
    <n v="0.56999999999999995"/>
    <n v="0.85"/>
    <n v="0"/>
    <n v="30"/>
    <n v="413790"/>
    <n v="67334"/>
    <n v="0"/>
    <n v="1"/>
    <n v="0"/>
    <x v="1"/>
    <n v="74897600"/>
    <n v="83297251"/>
    <n v="139"/>
    <n v="2.5999999999999999E-2"/>
    <n v="3.1914893617021274E-2"/>
    <n v="5.8201058201058198E-2"/>
    <n v="20.962592592592593"/>
    <x v="0"/>
    <n v="32"/>
    <x v="1"/>
    <n v="141"/>
    <n v="1.4184397163120567E-2"/>
    <s v="lower size (&lt; 9L)"/>
    <n v="0"/>
    <n v="0.13934426229508196"/>
    <s v="high risk"/>
    <d v="2023-06-30T00:00:00"/>
    <n v="10134900"/>
    <n v="21.092024539877301"/>
    <s v="Old Loan"/>
    <s v="Q22023"/>
    <n v="42051000"/>
    <s v="L64255441|C3671888|45086|Personal Loan|Branch|East|Contract|36|393300|22.33|15088|1238800|618|D|0.57|0.85|0|30|413790|67334|0|1|0|Closed"/>
    <x v="1"/>
  </r>
  <r>
    <s v="L98446455"/>
    <s v="C9247132"/>
    <x v="145"/>
    <x v="0"/>
    <x v="0"/>
    <x v="3"/>
    <x v="2"/>
    <n v="84"/>
    <n v="414300"/>
    <n v="15.54"/>
    <n v="8121"/>
    <n v="1248023"/>
    <n v="738"/>
    <x v="0"/>
    <n v="0.56000000000000005"/>
    <n v="0.74"/>
    <n v="0"/>
    <n v="32"/>
    <n v="224983"/>
    <n v="257991"/>
    <n v="0"/>
    <n v="1"/>
    <n v="0"/>
    <x v="1"/>
    <n v="74897600"/>
    <n v="105779369"/>
    <n v="139"/>
    <n v="2.5999999999999999E-2"/>
    <n v="2.6548672566371681E-2"/>
    <n v="7.1090047393364927E-2"/>
    <n v="16.500166666666669"/>
    <x v="0"/>
    <n v="32"/>
    <x v="0"/>
    <n v="302"/>
    <n v="3.6423841059602648E-2"/>
    <s v="lower size (&lt; 9L)"/>
    <n v="0"/>
    <n v="0.13934426229508196"/>
    <s v="high risk"/>
    <d v="2023-04-30T00:00:00"/>
    <n v="19321000"/>
    <n v="21.092024539877301"/>
    <s v="Old Loan"/>
    <s v="Q22023"/>
    <n v="42051000"/>
    <s v="L98446455|C9247132|45045|Personal Loan|Online|North|Self-Employed|84|414300|15.54|8121|1248023|738|B|0.56|0.74|0|32|224983|257991|0|1|0|Closed"/>
    <x v="1"/>
  </r>
  <r>
    <s v="L55451394"/>
    <s v="C3593400"/>
    <x v="146"/>
    <x v="0"/>
    <x v="1"/>
    <x v="4"/>
    <x v="0"/>
    <n v="18"/>
    <n v="512600"/>
    <n v="15.32"/>
    <n v="32056"/>
    <n v="971647"/>
    <n v="758"/>
    <x v="3"/>
    <n v="0.49"/>
    <n v="0.98"/>
    <n v="0"/>
    <n v="18"/>
    <n v="513905"/>
    <n v="45813"/>
    <n v="0"/>
    <n v="0"/>
    <n v="0"/>
    <x v="1"/>
    <n v="74897600"/>
    <n v="83297251"/>
    <n v="139"/>
    <n v="2.5999999999999999E-2"/>
    <n v="3.1914893617021274E-2"/>
    <n v="5.8201058201058198E-2"/>
    <n v="13.328333333333335"/>
    <x v="1"/>
    <n v="260"/>
    <x v="1"/>
    <n v="141"/>
    <n v="1.4184397163120567E-2"/>
    <s v="lower size (&lt; 9L)"/>
    <n v="0"/>
    <n v="0.13934426229508196"/>
    <s v=" not riskY"/>
    <d v="2023-05-31T00:00:00"/>
    <n v="12595100"/>
    <n v="21.092024539877301"/>
    <s v="Old Loan"/>
    <s v="Q22023"/>
    <n v="42051000"/>
    <s v="L55451394|C3593400|45049|Personal Loan|Branch|East|Salaried|18|512600|15.32|32056|971647|758|A|0.49|0.98|0|18|513905|45813|0|0|0|Closed"/>
    <x v="1"/>
  </r>
  <r>
    <s v="L44873054"/>
    <s v="C3886266"/>
    <x v="147"/>
    <x v="2"/>
    <x v="1"/>
    <x v="1"/>
    <x v="0"/>
    <n v="48"/>
    <n v="347100"/>
    <n v="15.47"/>
    <n v="9743"/>
    <n v="1115054"/>
    <n v="636"/>
    <x v="2"/>
    <n v="0.42"/>
    <n v="0.65"/>
    <n v="534100"/>
    <n v="32"/>
    <n v="310412"/>
    <n v="93964"/>
    <n v="0"/>
    <n v="0"/>
    <n v="0"/>
    <x v="2"/>
    <n v="92273000"/>
    <n v="83903255"/>
    <n v="301"/>
    <n v="2.5999999999999999E-2"/>
    <n v="4.2553191489361701E-2"/>
    <n v="5.8201058201058198E-2"/>
    <n v="15.092000000000001"/>
    <x v="1"/>
    <n v="260"/>
    <x v="0"/>
    <n v="302"/>
    <n v="3.6423841059602648E-2"/>
    <s v="lower size (&lt; 9L)"/>
    <n v="0"/>
    <n v="0.13934426229508196"/>
    <s v=" not riskY"/>
    <d v="2023-04-30T00:00:00"/>
    <n v="19321000"/>
    <n v="20.262135922330096"/>
    <s v="Old Loan"/>
    <s v="Q22023"/>
    <n v="42051000"/>
    <s v="L44873054|C3886266|45031|Auto Loan|Branch|West|Salaried|48|347100|15.47|9743|1115054|636|D|0.42|0.65|534100|32|310412|93964|0|0|0|Active"/>
    <x v="1"/>
  </r>
  <r>
    <s v="L95295831"/>
    <s v="C5039026"/>
    <x v="148"/>
    <x v="2"/>
    <x v="1"/>
    <x v="4"/>
    <x v="0"/>
    <n v="360"/>
    <n v="1942600"/>
    <n v="10.57"/>
    <n v="17871"/>
    <n v="1544753"/>
    <n v="728"/>
    <x v="0"/>
    <n v="0.42"/>
    <n v="0.88"/>
    <n v="2217900"/>
    <n v="31"/>
    <n v="534649"/>
    <n v="1620128"/>
    <n v="0"/>
    <n v="0"/>
    <n v="0"/>
    <x v="2"/>
    <n v="92273000"/>
    <n v="83297251"/>
    <n v="301"/>
    <n v="2.5999999999999999E-2"/>
    <n v="3.1914893617021274E-2"/>
    <n v="5.8201058201058198E-2"/>
    <n v="10.611923076923079"/>
    <x v="1"/>
    <n v="260"/>
    <x v="1"/>
    <n v="141"/>
    <n v="1.4184397163120567E-2"/>
    <s v="medium size (&lt;=33L)"/>
    <n v="0"/>
    <n v="0.15909090909090909"/>
    <s v=" not riskY"/>
    <d v="2023-05-31T00:00:00"/>
    <n v="12595100"/>
    <n v="20.262135922330096"/>
    <s v="Old Loan"/>
    <s v="Q22023"/>
    <n v="42051000"/>
    <s v="L95295831|C5039026|45057|Auto Loan|Branch|East|Salaried|360|1942600|10.57|17871|1544753|728|B|0.42|0.88|2217900|31|534649|1620128|0|0|0|Active"/>
    <x v="1"/>
  </r>
  <r>
    <s v="L50233433"/>
    <s v="C5314326"/>
    <x v="149"/>
    <x v="0"/>
    <x v="0"/>
    <x v="3"/>
    <x v="1"/>
    <n v="24"/>
    <n v="392900"/>
    <n v="17.41"/>
    <n v="19503"/>
    <n v="1147286"/>
    <n v="686"/>
    <x v="1"/>
    <n v="0.4"/>
    <n v="0.78"/>
    <n v="0"/>
    <n v="24"/>
    <n v="403753"/>
    <n v="43870"/>
    <n v="5"/>
    <n v="0"/>
    <n v="0"/>
    <x v="1"/>
    <n v="74897600"/>
    <n v="105779369"/>
    <n v="139"/>
    <n v="2.5999999999999999E-2"/>
    <n v="2.6548672566371681E-2"/>
    <n v="7.1090047393364927E-2"/>
    <n v="18.603181818181817"/>
    <x v="1"/>
    <n v="260"/>
    <x v="0"/>
    <n v="302"/>
    <n v="3.6423841059602648E-2"/>
    <s v="lower size (&lt; 9L)"/>
    <n v="0"/>
    <n v="0.13934426229508196"/>
    <s v=" not riskY"/>
    <d v="2023-06-30T00:00:00"/>
    <n v="10134900"/>
    <n v="21.092024539877301"/>
    <s v="Old Loan"/>
    <s v="Q22023"/>
    <n v="42051000"/>
    <s v="L50233433|C5314326|45094|Personal Loan|Online|North|Contract|24|392900|17.41|19503|1147286|686|C|0.4|0.78|0|24|403753|43870|5|0|0|Closed"/>
    <x v="1"/>
  </r>
  <r>
    <s v="L67947860"/>
    <s v="C9288734"/>
    <x v="150"/>
    <x v="0"/>
    <x v="0"/>
    <x v="4"/>
    <x v="0"/>
    <n v="24"/>
    <n v="246200"/>
    <n v="19.7"/>
    <n v="12494"/>
    <n v="1104459"/>
    <n v="652"/>
    <x v="1"/>
    <n v="0.39"/>
    <n v="0.96"/>
    <n v="0"/>
    <n v="24"/>
    <n v="282967"/>
    <n v="2034"/>
    <n v="0"/>
    <n v="0"/>
    <n v="0"/>
    <x v="1"/>
    <n v="74897600"/>
    <n v="83297251"/>
    <n v="139"/>
    <n v="2.5999999999999999E-2"/>
    <n v="3.1914893617021274E-2"/>
    <n v="7.1090047393364927E-2"/>
    <n v="18.603181818181817"/>
    <x v="1"/>
    <n v="260"/>
    <x v="1"/>
    <n v="141"/>
    <n v="1.4184397163120567E-2"/>
    <s v="lower size (&lt; 9L)"/>
    <n v="0"/>
    <n v="0.13934426229508196"/>
    <s v=" not riskY"/>
    <d v="2023-04-30T00:00:00"/>
    <n v="19321000"/>
    <n v="21.092024539877301"/>
    <s v="Old Loan"/>
    <s v="Q22023"/>
    <n v="42051000"/>
    <s v="L67947860|C9288734|45039|Personal Loan|Online|East|Salaried|24|246200|19.7|12494|1104459|652|C|0.39|0.96|0|24|282967|2034|0|0|0|Closed"/>
    <x v="1"/>
  </r>
  <r>
    <s v="L49032896"/>
    <s v="C4704060"/>
    <x v="151"/>
    <x v="1"/>
    <x v="0"/>
    <x v="0"/>
    <x v="1"/>
    <n v="60"/>
    <n v="3041200"/>
    <n v="15.76"/>
    <n v="73569"/>
    <n v="845704"/>
    <n v="694"/>
    <x v="1"/>
    <n v="0.39"/>
    <n v="0.71"/>
    <n v="4259100"/>
    <n v="31"/>
    <n v="2105042"/>
    <n v="1431428"/>
    <n v="0"/>
    <n v="0"/>
    <n v="0"/>
    <x v="2"/>
    <n v="201475100"/>
    <n v="94548000"/>
    <n v="301"/>
    <n v="2.5999999999999999E-2"/>
    <n v="0"/>
    <n v="7.1090047393364927E-2"/>
    <n v="15.841379310344831"/>
    <x v="1"/>
    <n v="260"/>
    <x v="0"/>
    <n v="302"/>
    <n v="3.6423841059602648E-2"/>
    <s v="medium size (&lt;=33L)"/>
    <n v="0"/>
    <n v="0.15909090909090909"/>
    <s v=" not riskY"/>
    <d v="2023-05-31T00:00:00"/>
    <n v="12595100"/>
    <n v="19.091954022988507"/>
    <s v="Old Loan"/>
    <s v="Q22023"/>
    <n v="42051000"/>
    <s v="L49032896|C4704060|45058|SME Loan|Online|South|Contract|60|3041200|15.76|73569|845704|694|C|0.39|0.71|4259100|31|2105042|1431428|0|0|0|Active"/>
    <x v="1"/>
  </r>
  <r>
    <s v="L22713593"/>
    <s v="C1260995"/>
    <x v="152"/>
    <x v="4"/>
    <x v="1"/>
    <x v="4"/>
    <x v="3"/>
    <n v="48"/>
    <n v="2688300"/>
    <n v="14.27"/>
    <n v="73826"/>
    <n v="842683"/>
    <n v="665"/>
    <x v="1"/>
    <n v="0.39"/>
    <n v="0.98"/>
    <n v="0"/>
    <n v="31"/>
    <n v="2311452"/>
    <n v="773256"/>
    <n v="0"/>
    <n v="0"/>
    <n v="0"/>
    <x v="2"/>
    <n v="62765800"/>
    <n v="83297251"/>
    <n v="301"/>
    <n v="2.5999999999999999E-2"/>
    <n v="3.1914893617021274E-2"/>
    <n v="5.8201058201058198E-2"/>
    <n v="13.463888888888889"/>
    <x v="1"/>
    <n v="260"/>
    <x v="1"/>
    <n v="141"/>
    <n v="1.4184397163120567E-2"/>
    <s v="medium size (&lt;=33L)"/>
    <n v="0"/>
    <n v="0.15909090909090909"/>
    <s v=" not riskY"/>
    <d v="2023-05-31T00:00:00"/>
    <n v="12595100"/>
    <n v="21.962962962962962"/>
    <s v="Old Loan"/>
    <s v="Q22023"/>
    <n v="42051000"/>
    <s v="L22713593|C1260995|45050|Education Loan|Branch|East|Unemployed|48|2688300|14.27|73826|842683|665|C|0.39|0.98|0|31|2311452|773256|0|0|0|Active"/>
    <x v="1"/>
  </r>
  <r>
    <s v="L64279644"/>
    <s v="C4882763"/>
    <x v="153"/>
    <x v="0"/>
    <x v="1"/>
    <x v="4"/>
    <x v="2"/>
    <n v="36"/>
    <n v="384400"/>
    <n v="17.73"/>
    <n v="13845"/>
    <n v="1397569"/>
    <n v="697"/>
    <x v="1"/>
    <n v="0.38"/>
    <n v="0.85"/>
    <n v="0"/>
    <n v="32"/>
    <n v="391299"/>
    <n v="65799"/>
    <n v="0"/>
    <n v="0"/>
    <n v="0"/>
    <x v="2"/>
    <n v="74897600"/>
    <n v="83297251"/>
    <n v="301"/>
    <n v="2.5999999999999999E-2"/>
    <n v="3.1914893617021274E-2"/>
    <n v="5.8201058201058198E-2"/>
    <n v="18.603181818181817"/>
    <x v="1"/>
    <n v="260"/>
    <x v="1"/>
    <n v="141"/>
    <n v="1.4184397163120567E-2"/>
    <s v="lower size (&lt; 9L)"/>
    <n v="0"/>
    <n v="0.13934426229508196"/>
    <s v=" not riskY"/>
    <d v="2023-04-30T00:00:00"/>
    <n v="19321000"/>
    <n v="21.092024539877301"/>
    <s v="Old Loan"/>
    <s v="Q22023"/>
    <n v="42051000"/>
    <s v="L64279644|C4882763|45038|Personal Loan|Branch|East|Self-Employed|36|384400|17.73|13845|1397569|697|C|0.38|0.85|0|32|391299|65799|0|0|0|Active"/>
    <x v="1"/>
  </r>
  <r>
    <s v="L18183594"/>
    <s v="C8208674"/>
    <x v="154"/>
    <x v="0"/>
    <x v="3"/>
    <x v="1"/>
    <x v="1"/>
    <n v="36"/>
    <n v="494000"/>
    <n v="14.77"/>
    <n v="17069"/>
    <n v="556332"/>
    <n v="753"/>
    <x v="3"/>
    <n v="0.36"/>
    <n v="0.66"/>
    <n v="0"/>
    <n v="30"/>
    <n v="509887"/>
    <n v="57077"/>
    <n v="0"/>
    <n v="0"/>
    <n v="0"/>
    <x v="2"/>
    <n v="74897600"/>
    <n v="83903255"/>
    <n v="301"/>
    <n v="2.5999999999999999E-2"/>
    <n v="4.2553191489361701E-2"/>
    <n v="0.12"/>
    <n v="13.328333333333335"/>
    <x v="1"/>
    <n v="260"/>
    <x v="0"/>
    <n v="302"/>
    <n v="3.6423841059602648E-2"/>
    <s v="lower size (&lt; 9L)"/>
    <n v="0"/>
    <n v="0.13934426229508196"/>
    <s v=" not riskY"/>
    <d v="2023-06-30T00:00:00"/>
    <n v="10134900"/>
    <n v="21.092024539877301"/>
    <s v="Old Loan"/>
    <s v="Q22023"/>
    <n v="42051000"/>
    <s v="L18183594|C8208674|45084|Personal Loan|Call Center|West|Contract|36|494000|14.77|17069|556332|753|A|0.36|0.66|0|30|509887|57077|0|0|0|Active"/>
    <x v="1"/>
  </r>
  <r>
    <s v="L17278259"/>
    <s v="C5154926"/>
    <x v="155"/>
    <x v="2"/>
    <x v="2"/>
    <x v="0"/>
    <x v="0"/>
    <n v="36"/>
    <n v="728600"/>
    <n v="7"/>
    <n v="22497"/>
    <n v="1163334"/>
    <n v="812"/>
    <x v="3"/>
    <n v="0.36"/>
    <n v="0.8"/>
    <n v="908800"/>
    <n v="32"/>
    <n v="627291"/>
    <n v="155711"/>
    <n v="0"/>
    <n v="0"/>
    <n v="0"/>
    <x v="2"/>
    <n v="92273000"/>
    <n v="94548000"/>
    <n v="301"/>
    <n v="2.5999999999999999E-2"/>
    <n v="0"/>
    <n v="0.1"/>
    <n v="7.9444999999999997"/>
    <x v="1"/>
    <n v="260"/>
    <x v="0"/>
    <n v="302"/>
    <n v="3.6423841059602648E-2"/>
    <s v="lower size (&lt; 9L)"/>
    <n v="0"/>
    <n v="0.13934426229508196"/>
    <s v=" not riskY"/>
    <d v="2023-04-30T00:00:00"/>
    <n v="19321000"/>
    <n v="20.262135922330096"/>
    <s v="Old Loan"/>
    <s v="Q22023"/>
    <n v="42051000"/>
    <s v="L17278259|C5154926|45018|Auto Loan|Partner|South|Salaried|36|728600|7|22497|1163334|812|A|0.36|0.8|908800|32|627291|155711|0|0|0|Active"/>
    <x v="1"/>
  </r>
  <r>
    <s v="L66849795"/>
    <s v="C2571773"/>
    <x v="149"/>
    <x v="3"/>
    <x v="1"/>
    <x v="1"/>
    <x v="0"/>
    <n v="36"/>
    <n v="2882900"/>
    <n v="7"/>
    <n v="89016"/>
    <n v="1196786"/>
    <n v="793"/>
    <x v="3"/>
    <n v="0.35"/>
    <n v="0.8"/>
    <n v="3616300"/>
    <n v="30"/>
    <n v="2452214"/>
    <n v="632489"/>
    <n v="0"/>
    <n v="0"/>
    <n v="0"/>
    <x v="2"/>
    <n v="403369500"/>
    <n v="83903255"/>
    <n v="301"/>
    <n v="2.5999999999999999E-2"/>
    <n v="4.2553191489361701E-2"/>
    <n v="5.8201058201058198E-2"/>
    <n v="7.1876190476190471"/>
    <x v="1"/>
    <n v="260"/>
    <x v="0"/>
    <n v="302"/>
    <n v="3.6423841059602648E-2"/>
    <s v="medium size (&lt;=33L)"/>
    <n v="0"/>
    <n v="0.15909090909090909"/>
    <s v=" not riskY"/>
    <d v="2023-06-30T00:00:00"/>
    <n v="10134900"/>
    <n v="20.516129032258064"/>
    <s v="Old Loan"/>
    <s v="Q22023"/>
    <n v="42051000"/>
    <s v="L66849795|C2571773|45094|Home Loan|Branch|West|Salaried|36|2882900|7|89016|1196786|793|A|0.35|0.8|3616300|30|2452214|632489|0|0|0|Active"/>
    <x v="2"/>
  </r>
  <r>
    <s v="L54348615"/>
    <s v="C7041082"/>
    <x v="148"/>
    <x v="0"/>
    <x v="1"/>
    <x v="4"/>
    <x v="0"/>
    <n v="48"/>
    <n v="889200"/>
    <n v="16.8"/>
    <n v="25566"/>
    <n v="1058898"/>
    <n v="715"/>
    <x v="0"/>
    <n v="0.33"/>
    <n v="0.64"/>
    <n v="0"/>
    <n v="31"/>
    <n v="736194"/>
    <n v="307371"/>
    <n v="90"/>
    <n v="0"/>
    <n v="1"/>
    <x v="3"/>
    <n v="74897600"/>
    <n v="83297251"/>
    <n v="13"/>
    <n v="2.5999999999999999E-2"/>
    <n v="3.1914893617021274E-2"/>
    <n v="5.8201058201058198E-2"/>
    <n v="16.500166666666669"/>
    <x v="1"/>
    <n v="260"/>
    <x v="0"/>
    <n v="302"/>
    <n v="3.6423841059602648E-2"/>
    <s v="lower size (&lt; 9L)"/>
    <n v="1"/>
    <n v="0.13934426229508196"/>
    <s v="high risk"/>
    <d v="2023-05-31T00:00:00"/>
    <n v="12595100"/>
    <n v="21.092024539877301"/>
    <s v="Old Loan"/>
    <s v="Q22023"/>
    <n v="42051000"/>
    <s v="L54348615|C7041082|45057|Personal Loan|Branch|East|Salaried|48|889200|16.8|25566|1058898|715|B|0.33|0.64|0|31|736194|307371|90|0|1|Default"/>
    <x v="2"/>
  </r>
  <r>
    <s v="L90380900"/>
    <s v="C4542674"/>
    <x v="156"/>
    <x v="2"/>
    <x v="0"/>
    <x v="3"/>
    <x v="0"/>
    <n v="84"/>
    <n v="1586800"/>
    <n v="15.26"/>
    <n v="30852"/>
    <n v="1673724"/>
    <n v="640"/>
    <x v="2"/>
    <n v="0.31"/>
    <n v="0.65"/>
    <n v="2434600"/>
    <n v="30"/>
    <n v="892116"/>
    <n v="936830"/>
    <n v="5"/>
    <n v="0"/>
    <n v="0"/>
    <x v="2"/>
    <n v="92273000"/>
    <n v="105779369"/>
    <n v="301"/>
    <n v="2.5999999999999999E-2"/>
    <n v="2.6548672566371681E-2"/>
    <n v="7.1090047393364927E-2"/>
    <n v="15.092000000000001"/>
    <x v="1"/>
    <n v="260"/>
    <x v="0"/>
    <n v="302"/>
    <n v="3.6423841059602648E-2"/>
    <s v="medium size (&lt;=33L)"/>
    <n v="0"/>
    <n v="0.15909090909090909"/>
    <s v=" not riskY"/>
    <d v="2023-06-30T00:00:00"/>
    <n v="10134900"/>
    <n v="20.262135922330096"/>
    <s v="Old Loan"/>
    <s v="Q22023"/>
    <n v="42051000"/>
    <s v="L90380900|C4542674|45083|Auto Loan|Online|North|Salaried|84|1586800|15.26|30852|1673724|640|D|0.31|0.65|2434600|30|892116|936830|5|0|0|Active"/>
    <x v="2"/>
  </r>
  <r>
    <s v="L72709371"/>
    <s v="C7531440"/>
    <x v="157"/>
    <x v="2"/>
    <x v="0"/>
    <x v="0"/>
    <x v="0"/>
    <n v="60"/>
    <n v="1343600"/>
    <n v="15.06"/>
    <n v="32006"/>
    <n v="1480082"/>
    <n v="609"/>
    <x v="2"/>
    <n v="0.28999999999999998"/>
    <n v="0.64"/>
    <n v="2084300"/>
    <n v="32"/>
    <n v="990020"/>
    <n v="569416"/>
    <n v="0"/>
    <n v="0"/>
    <n v="0"/>
    <x v="2"/>
    <n v="92273000"/>
    <n v="94548000"/>
    <n v="301"/>
    <n v="2.5999999999999999E-2"/>
    <n v="0"/>
    <n v="7.1090047393364927E-2"/>
    <n v="15.092000000000001"/>
    <x v="2"/>
    <n v="122"/>
    <x v="0"/>
    <n v="302"/>
    <n v="3.6423841059602648E-2"/>
    <s v="medium size (&lt;=33L)"/>
    <n v="0"/>
    <n v="0.15909090909090909"/>
    <s v=" not riskY"/>
    <d v="2023-04-30T00:00:00"/>
    <n v="19321000"/>
    <n v="20.262135922330096"/>
    <s v="Old Loan"/>
    <s v="Q22023"/>
    <n v="42051000"/>
    <s v="L72709371|C7531440|45046|Auto Loan|Online|South|Salaried|60|1343600|15.06|32006|1480082|609|D|0.29|0.64|2084300|32|990020|569416|0|0|0|Active"/>
    <x v="2"/>
  </r>
  <r>
    <s v="L99313800"/>
    <s v="C3203945"/>
    <x v="158"/>
    <x v="0"/>
    <x v="0"/>
    <x v="2"/>
    <x v="2"/>
    <n v="18"/>
    <n v="332400"/>
    <n v="16.309999999999999"/>
    <n v="20942"/>
    <n v="809135"/>
    <n v="726"/>
    <x v="0"/>
    <n v="0.28000000000000003"/>
    <n v="0.68"/>
    <n v="0"/>
    <n v="18"/>
    <n v="380968"/>
    <n v="0"/>
    <n v="45"/>
    <n v="0"/>
    <n v="0"/>
    <x v="1"/>
    <n v="74897600"/>
    <n v="98928695"/>
    <n v="139"/>
    <n v="2.5999999999999999E-2"/>
    <n v="2.8571428571428571E-2"/>
    <n v="7.1090047393364927E-2"/>
    <n v="16.500166666666669"/>
    <x v="2"/>
    <n v="122"/>
    <x v="0"/>
    <n v="302"/>
    <n v="3.6423841059602648E-2"/>
    <s v="lower size (&lt; 9L)"/>
    <n v="1"/>
    <n v="0.13934426229508196"/>
    <s v="high risk"/>
    <d v="2023-05-31T00:00:00"/>
    <n v="12595100"/>
    <n v="21.092024539877301"/>
    <s v="Old Loan"/>
    <s v="Q22023"/>
    <n v="42051000"/>
    <s v="L99313800|C3203945|45054|Personal Loan|Online|Central|Self-Employed|18|332400|16.31|20942|809135|726|B|0.28|0.68|0|18|380968|0|45|0|0|Closed"/>
    <x v="2"/>
  </r>
  <r>
    <s v="L15247246"/>
    <s v="C5403276"/>
    <x v="159"/>
    <x v="3"/>
    <x v="1"/>
    <x v="0"/>
    <x v="1"/>
    <n v="24"/>
    <n v="4157700"/>
    <n v="7"/>
    <n v="186151"/>
    <n v="337135"/>
    <n v="809"/>
    <x v="3"/>
    <n v="0.27"/>
    <n v="0.81"/>
    <n v="5121900"/>
    <n v="24"/>
    <n v="4377222"/>
    <n v="13309"/>
    <n v="0"/>
    <n v="0"/>
    <n v="0"/>
    <x v="1"/>
    <n v="403369500"/>
    <n v="94548000"/>
    <n v="139"/>
    <n v="2.5999999999999999E-2"/>
    <n v="0"/>
    <n v="5.8201058201058198E-2"/>
    <n v="7.1876190476190471"/>
    <x v="2"/>
    <n v="122"/>
    <x v="1"/>
    <n v="141"/>
    <n v="1.4184397163120567E-2"/>
    <s v="larger size (&gt; 33L)"/>
    <n v="0"/>
    <n v="0.16250000000000001"/>
    <s v=" not riskY"/>
    <d v="2023-06-30T00:00:00"/>
    <n v="10134900"/>
    <n v="20.516129032258064"/>
    <s v="Old Loan"/>
    <s v="Q22023"/>
    <n v="42051000"/>
    <s v="L15247246|C5403276|45090|Home Loan|Branch|South|Contract|24|4157700|7|186151|337135|809|A|0.27|0.81|5121900|24|4377222|13309|0|0|0|Closed"/>
    <x v="2"/>
  </r>
  <r>
    <s v="L69938999"/>
    <s v="C8912800"/>
    <x v="160"/>
    <x v="1"/>
    <x v="1"/>
    <x v="0"/>
    <x v="1"/>
    <n v="84"/>
    <n v="1939000"/>
    <n v="13.69"/>
    <n v="36006"/>
    <n v="480844"/>
    <n v="712"/>
    <x v="0"/>
    <n v="0.26"/>
    <n v="0.87"/>
    <n v="2235100"/>
    <n v="31"/>
    <n v="1017582"/>
    <n v="1195715"/>
    <n v="0"/>
    <n v="0"/>
    <n v="0"/>
    <x v="2"/>
    <n v="201475100"/>
    <n v="94548000"/>
    <n v="301"/>
    <n v="2.5999999999999999E-2"/>
    <n v="0"/>
    <n v="5.8201058201058198E-2"/>
    <n v="13.042631578947367"/>
    <x v="2"/>
    <n v="122"/>
    <x v="1"/>
    <n v="141"/>
    <n v="1.4184397163120567E-2"/>
    <s v="medium size (&lt;=33L)"/>
    <n v="0"/>
    <n v="0.15909090909090909"/>
    <s v=" not riskY"/>
    <d v="2023-05-31T00:00:00"/>
    <n v="12595100"/>
    <n v="19.091954022988507"/>
    <s v="Old Loan"/>
    <s v="Q22023"/>
    <n v="42051000"/>
    <s v="L69938999|C8912800|45059|SME Loan|Branch|South|Contract|84|1939000|13.69|36006|480844|712|B|0.26|0.87|2235100|31|1017582|1195715|0|0|0|Active"/>
    <x v="2"/>
  </r>
  <r>
    <s v="L39324282"/>
    <s v="C6783096"/>
    <x v="150"/>
    <x v="3"/>
    <x v="0"/>
    <x v="0"/>
    <x v="0"/>
    <n v="240"/>
    <n v="6984600"/>
    <n v="11.77"/>
    <n v="75789"/>
    <n v="975672"/>
    <n v="663"/>
    <x v="1"/>
    <n v="0.24"/>
    <n v="0.83"/>
    <n v="8422200"/>
    <n v="32"/>
    <n v="2107384"/>
    <n v="5754109"/>
    <n v="0"/>
    <n v="0"/>
    <n v="0"/>
    <x v="2"/>
    <n v="403369500"/>
    <n v="94548000"/>
    <n v="301"/>
    <n v="2.5999999999999999E-2"/>
    <n v="0"/>
    <n v="7.1090047393364927E-2"/>
    <n v="11.719736842105268"/>
    <x v="2"/>
    <n v="122"/>
    <x v="1"/>
    <n v="141"/>
    <n v="1.4184397163120567E-2"/>
    <s v="larger size (&gt; 33L)"/>
    <n v="0"/>
    <n v="0.16250000000000001"/>
    <s v=" not riskY"/>
    <d v="2023-04-30T00:00:00"/>
    <n v="19321000"/>
    <n v="20.516129032258064"/>
    <s v="Old Loan"/>
    <s v="Q22023"/>
    <n v="42051000"/>
    <s v="L39324282|C6783096|45039|Home Loan|Online|South|Salaried|240|6984600|11.77|75789|975672|663|C|0.24|0.83|8422200|32|2107384|5754109|0|0|0|Active"/>
    <x v="2"/>
  </r>
  <r>
    <s v="L63182394"/>
    <s v="C6867262"/>
    <x v="161"/>
    <x v="0"/>
    <x v="0"/>
    <x v="0"/>
    <x v="2"/>
    <n v="12"/>
    <n v="227300"/>
    <n v="14.03"/>
    <n v="20412"/>
    <n v="850509"/>
    <n v="756"/>
    <x v="3"/>
    <n v="0.23"/>
    <n v="0.72"/>
    <n v="0"/>
    <n v="12"/>
    <n v="223150"/>
    <n v="16906"/>
    <n v="0"/>
    <n v="0"/>
    <n v="0"/>
    <x v="1"/>
    <n v="74897600"/>
    <n v="94548000"/>
    <n v="139"/>
    <n v="2.5999999999999999E-2"/>
    <n v="0"/>
    <n v="7.1090047393364927E-2"/>
    <n v="13.328333333333335"/>
    <x v="2"/>
    <n v="122"/>
    <x v="0"/>
    <n v="302"/>
    <n v="3.6423841059602648E-2"/>
    <s v="lower size (&lt; 9L)"/>
    <n v="0"/>
    <n v="0.13934426229508196"/>
    <s v=" not riskY"/>
    <d v="2023-06-30T00:00:00"/>
    <n v="10134900"/>
    <n v="21.092024539877301"/>
    <s v="Old Loan"/>
    <s v="Q22023"/>
    <n v="42051000"/>
    <s v="L63182394|C6867262|45089|Personal Loan|Online|South|Self-Employed|12|227300|14.03|20412|850509|756|A|0.23|0.72|0|12|223150|16906|0|0|0|Closed"/>
    <x v="2"/>
  </r>
  <r>
    <s v="L40202528"/>
    <s v="C2816038"/>
    <x v="162"/>
    <x v="0"/>
    <x v="1"/>
    <x v="2"/>
    <x v="2"/>
    <n v="240"/>
    <n v="423700"/>
    <n v="15.19"/>
    <n v="5639"/>
    <n v="712661"/>
    <n v="746"/>
    <x v="0"/>
    <n v="0.23"/>
    <n v="0.73"/>
    <n v="0"/>
    <n v="31"/>
    <n v="175266"/>
    <n v="314939"/>
    <n v="5"/>
    <n v="0"/>
    <n v="0"/>
    <x v="2"/>
    <n v="74897600"/>
    <n v="98928695"/>
    <n v="301"/>
    <n v="2.5999999999999999E-2"/>
    <n v="2.8571428571428571E-2"/>
    <n v="5.8201058201058198E-2"/>
    <n v="16.500166666666669"/>
    <x v="2"/>
    <n v="122"/>
    <x v="0"/>
    <n v="302"/>
    <n v="3.6423841059602648E-2"/>
    <s v="lower size (&lt; 9L)"/>
    <n v="0"/>
    <n v="0.13934426229508196"/>
    <s v=" not riskY"/>
    <d v="2023-05-31T00:00:00"/>
    <n v="12595100"/>
    <n v="21.092024539877301"/>
    <s v="Old Loan"/>
    <s v="Q22023"/>
    <n v="42051000"/>
    <s v="L40202528|C2816038|45052|Personal Loan|Branch|Central|Self-Employed|240|423700|15.19|5639|712661|746|B|0.23|0.73|0|31|175266|314939|5|0|0|Active"/>
    <x v="2"/>
  </r>
  <r>
    <s v="L46767577"/>
    <s v="C7932611"/>
    <x v="163"/>
    <x v="0"/>
    <x v="0"/>
    <x v="3"/>
    <x v="0"/>
    <n v="24"/>
    <n v="320100"/>
    <n v="18.09"/>
    <n v="15995"/>
    <n v="1008294"/>
    <n v="700"/>
    <x v="0"/>
    <n v="0.22"/>
    <n v="0.68"/>
    <n v="0"/>
    <n v="24"/>
    <n v="370939"/>
    <n v="0"/>
    <n v="0"/>
    <n v="0"/>
    <n v="0"/>
    <x v="1"/>
    <n v="74897600"/>
    <n v="105779369"/>
    <n v="139"/>
    <n v="2.5999999999999999E-2"/>
    <n v="2.6548672566371681E-2"/>
    <n v="7.1090047393364927E-2"/>
    <n v="16.500166666666669"/>
    <x v="2"/>
    <n v="122"/>
    <x v="0"/>
    <n v="302"/>
    <n v="3.6423841059602648E-2"/>
    <s v="lower size (&lt; 9L)"/>
    <n v="0"/>
    <n v="0.13934426229508196"/>
    <s v=" not riskY"/>
    <d v="2023-04-30T00:00:00"/>
    <n v="19321000"/>
    <n v="21.092024539877301"/>
    <s v="Old Loan"/>
    <s v="Q22023"/>
    <n v="42051000"/>
    <s v="L46767577|C7932611|45035|Personal Loan|Online|North|Salaried|24|320100|18.09|15995|1008294|700|B|0.22|0.68|0|24|370939|0|0|0|0|Closed"/>
    <x v="2"/>
  </r>
  <r>
    <s v="L90171324"/>
    <s v="C2082075"/>
    <x v="164"/>
    <x v="0"/>
    <x v="0"/>
    <x v="2"/>
    <x v="1"/>
    <n v="24"/>
    <n v="826100"/>
    <n v="16.63"/>
    <n v="40698"/>
    <n v="1504146"/>
    <n v="722"/>
    <x v="0"/>
    <n v="0.22"/>
    <n v="0.77"/>
    <n v="0"/>
    <n v="24"/>
    <n v="845837"/>
    <n v="90167"/>
    <n v="0"/>
    <n v="0"/>
    <n v="0"/>
    <x v="1"/>
    <n v="74897600"/>
    <n v="98928695"/>
    <n v="139"/>
    <n v="2.5999999999999999E-2"/>
    <n v="2.8571428571428571E-2"/>
    <n v="7.1090047393364927E-2"/>
    <n v="16.500166666666669"/>
    <x v="2"/>
    <n v="122"/>
    <x v="0"/>
    <n v="302"/>
    <n v="3.6423841059602648E-2"/>
    <s v="lower size (&lt; 9L)"/>
    <n v="0"/>
    <n v="0.13934426229508196"/>
    <s v=" not riskY"/>
    <d v="2023-05-31T00:00:00"/>
    <n v="12595100"/>
    <n v="21.092024539877301"/>
    <s v="Old Loan"/>
    <s v="Q22023"/>
    <n v="42051000"/>
    <s v="L90171324|C2082075|45063|Personal Loan|Online|Central|Contract|24|826100|16.63|40698|1504146|722|B|0.22|0.77|0|24|845837|90167|0|0|0|Closed"/>
    <x v="2"/>
  </r>
  <r>
    <s v="L49045227"/>
    <s v="C4984094"/>
    <x v="155"/>
    <x v="3"/>
    <x v="2"/>
    <x v="0"/>
    <x v="2"/>
    <n v="12"/>
    <n v="4746300"/>
    <n v="12.91"/>
    <n v="423726"/>
    <n v="609050"/>
    <n v="627"/>
    <x v="2"/>
    <n v="0.16"/>
    <n v="0.68"/>
    <n v="6994400"/>
    <n v="12"/>
    <n v="5133992"/>
    <n v="0"/>
    <n v="0"/>
    <n v="0"/>
    <n v="0"/>
    <x v="1"/>
    <n v="403369500"/>
    <n v="94548000"/>
    <n v="139"/>
    <n v="2.5999999999999999E-2"/>
    <n v="0"/>
    <n v="0.1"/>
    <n v="13.406874999999999"/>
    <x v="3"/>
    <n v="86"/>
    <x v="0"/>
    <n v="302"/>
    <n v="3.6423841059602648E-2"/>
    <s v="larger size (&gt; 33L)"/>
    <n v="0"/>
    <n v="0.16250000000000001"/>
    <s v=" not riskY"/>
    <d v="2023-04-30T00:00:00"/>
    <n v="19321000"/>
    <n v="20.516129032258064"/>
    <s v="Old Loan"/>
    <s v="Q22023"/>
    <n v="42051000"/>
    <s v="L49045227|C4984094|45018|Home Loan|Partner|South|Self-Employed|12|4746300|12.91|423726|609050|627|D|0.16|0.68|6994400|12|5133992|0|0|0|0|Closed"/>
    <x v="2"/>
  </r>
  <r>
    <s v="L47422666"/>
    <s v="C3817153"/>
    <x v="143"/>
    <x v="1"/>
    <x v="1"/>
    <x v="2"/>
    <x v="0"/>
    <n v="72"/>
    <n v="1940900"/>
    <n v="15.41"/>
    <n v="41474"/>
    <n v="877838"/>
    <n v="696"/>
    <x v="1"/>
    <n v="0.09"/>
    <n v="0.81"/>
    <n v="2381700"/>
    <n v="32"/>
    <n v="1347059"/>
    <n v="912873"/>
    <n v="0"/>
    <n v="0"/>
    <n v="0"/>
    <x v="2"/>
    <n v="201475100"/>
    <n v="98928695"/>
    <n v="301"/>
    <n v="2.5999999999999999E-2"/>
    <n v="2.8571428571428571E-2"/>
    <n v="5.8201058201058198E-2"/>
    <n v="15.841379310344831"/>
    <x v="3"/>
    <n v="86"/>
    <x v="1"/>
    <n v="141"/>
    <n v="1.4184397163120567E-2"/>
    <s v="medium size (&lt;=33L)"/>
    <n v="0"/>
    <n v="0.15909090909090909"/>
    <s v=" not riskY"/>
    <d v="2023-04-30T00:00:00"/>
    <n v="19321000"/>
    <n v="19.091954022988507"/>
    <s v="Old Loan"/>
    <s v="Q22023"/>
    <n v="42051000"/>
    <s v="L47422666|C3817153|45027|SME Loan|Branch|Central|Salaried|72|1940900|15.41|41474|877838|696|C|0.09|0.81|2381700|32|1347059|912873|0|0|0|Active"/>
    <x v="2"/>
  </r>
  <r>
    <s v="L88074156"/>
    <s v="C8977625"/>
    <x v="142"/>
    <x v="0"/>
    <x v="0"/>
    <x v="1"/>
    <x v="0"/>
    <n v="18"/>
    <n v="650800"/>
    <n v="15.67"/>
    <n v="40806"/>
    <n v="1047864"/>
    <n v="754"/>
    <x v="3"/>
    <n v="0.08"/>
    <n v="0.74"/>
    <n v="0"/>
    <n v="18"/>
    <n v="727254"/>
    <n v="0"/>
    <n v="0"/>
    <n v="0"/>
    <n v="0"/>
    <x v="1"/>
    <n v="74897600"/>
    <n v="83903255"/>
    <n v="139"/>
    <n v="2.5999999999999999E-2"/>
    <n v="4.2553191489361701E-2"/>
    <n v="7.1090047393364927E-2"/>
    <n v="13.328333333333335"/>
    <x v="3"/>
    <n v="86"/>
    <x v="0"/>
    <n v="302"/>
    <n v="3.6423841059602648E-2"/>
    <s v="lower size (&lt; 9L)"/>
    <n v="0"/>
    <n v="0.13934426229508196"/>
    <s v=" not riskY"/>
    <d v="2023-04-30T00:00:00"/>
    <n v="19321000"/>
    <n v="21.092024539877301"/>
    <s v="Old Loan"/>
    <s v="Q22023"/>
    <n v="42051000"/>
    <s v="L88074156|C8977625|45023|Personal Loan|Online|West|Salaried|18|650800|15.67|40806|1047864|754|A|0.08|0.74|0|18|727254|0|0|0|0|Closed"/>
    <x v="2"/>
  </r>
  <r>
    <s v="L49088512"/>
    <s v="C5794500"/>
    <x v="165"/>
    <x v="0"/>
    <x v="1"/>
    <x v="3"/>
    <x v="0"/>
    <n v="48"/>
    <n v="820300"/>
    <n v="16.37"/>
    <n v="23403"/>
    <n v="1263401"/>
    <n v="728"/>
    <x v="0"/>
    <n v="0.49"/>
    <n v="0.71"/>
    <n v="0"/>
    <n v="20"/>
    <n v="474647"/>
    <n v="435175"/>
    <n v="0"/>
    <n v="0"/>
    <n v="0"/>
    <x v="2"/>
    <n v="74897600"/>
    <n v="105779369"/>
    <n v="301"/>
    <n v="2.5999999999999999E-2"/>
    <n v="2.6548672566371681E-2"/>
    <n v="5.8201058201058198E-2"/>
    <n v="16.500166666666669"/>
    <x v="1"/>
    <n v="260"/>
    <x v="0"/>
    <n v="302"/>
    <n v="3.6423841059602648E-2"/>
    <s v="lower size (&lt; 9L)"/>
    <n v="0"/>
    <n v="0.13934426229508196"/>
    <s v=" not riskY"/>
    <d v="2024-04-30T00:00:00"/>
    <n v="8055200"/>
    <n v="21.092024539877301"/>
    <s v="Old Loan"/>
    <s v="Q22024"/>
    <n v="46342100"/>
    <s v="L49088512|C5794500|45401|Personal Loan|Branch|North|Salaried|48|820300|16.37|23403|1263401|728|B|0.49|0.71|0|20|474647|435175|0|0|0|Active"/>
    <x v="2"/>
  </r>
  <r>
    <s v="L24937334"/>
    <s v="C6414160"/>
    <x v="166"/>
    <x v="0"/>
    <x v="3"/>
    <x v="0"/>
    <x v="0"/>
    <n v="36"/>
    <n v="547200"/>
    <n v="25.72"/>
    <n v="21965"/>
    <n v="730254"/>
    <n v="547"/>
    <x v="4"/>
    <n v="0.48"/>
    <n v="0.93"/>
    <n v="0"/>
    <n v="18"/>
    <n v="341270"/>
    <n v="290374"/>
    <n v="0"/>
    <n v="0"/>
    <n v="0"/>
    <x v="2"/>
    <n v="74897600"/>
    <n v="94548000"/>
    <n v="301"/>
    <n v="2.5999999999999999E-2"/>
    <n v="0"/>
    <n v="0.12"/>
    <n v="23.803750000000001"/>
    <x v="1"/>
    <n v="260"/>
    <x v="1"/>
    <n v="141"/>
    <n v="1.4184397163120567E-2"/>
    <s v="lower size (&lt; 9L)"/>
    <n v="0"/>
    <n v="0.13934426229508196"/>
    <s v="high risk"/>
    <d v="2024-06-30T00:00:00"/>
    <n v="28625500"/>
    <n v="21.092024539877301"/>
    <s v="Old Loan"/>
    <s v="Q22024"/>
    <n v="46342100"/>
    <s v="L24937334|C6414160|45470|Personal Loan|Call Center|South|Salaried|36|547200|25.72|21965|730254|547|E|0.48|0.93|0|18|341270|290374|0|0|0|Active"/>
    <x v="2"/>
  </r>
  <r>
    <s v="L24959268"/>
    <s v="C6343138"/>
    <x v="167"/>
    <x v="1"/>
    <x v="1"/>
    <x v="0"/>
    <x v="0"/>
    <n v="24"/>
    <n v="3011800"/>
    <n v="17.3"/>
    <n v="149345"/>
    <n v="554816"/>
    <n v="646"/>
    <x v="2"/>
    <n v="0.46"/>
    <n v="0.64"/>
    <n v="4703300"/>
    <n v="19"/>
    <n v="2729971"/>
    <n v="611822"/>
    <n v="30"/>
    <n v="0"/>
    <n v="0"/>
    <x v="0"/>
    <n v="201475100"/>
    <n v="94548000"/>
    <n v="47"/>
    <n v="2.5999999999999999E-2"/>
    <n v="0"/>
    <n v="5.8201058201058198E-2"/>
    <n v="18.241249999999997"/>
    <x v="1"/>
    <n v="260"/>
    <x v="0"/>
    <n v="302"/>
    <n v="3.6423841059602648E-2"/>
    <s v="medium size (&lt;=33L)"/>
    <n v="1"/>
    <n v="0.15909090909090909"/>
    <s v="high risk"/>
    <d v="2024-05-31T00:00:00"/>
    <n v="9661400"/>
    <n v="19.091954022988507"/>
    <s v="Old Loan"/>
    <s v="Q22024"/>
    <n v="46342100"/>
    <s v="L24959268|C6343138|45417|SME Loan|Branch|South|Salaried|24|3011800|17.3|149345|554816|646|D|0.46|0.64|4703300|19|2729971|611822|30|0|0|Delinquent"/>
    <x v="2"/>
  </r>
  <r>
    <s v="L73464884"/>
    <s v="C8503286"/>
    <x v="168"/>
    <x v="3"/>
    <x v="1"/>
    <x v="3"/>
    <x v="0"/>
    <n v="36"/>
    <n v="8095400"/>
    <n v="12.78"/>
    <n v="271909"/>
    <n v="1036163"/>
    <n v="661"/>
    <x v="1"/>
    <n v="0.43"/>
    <n v="0.81"/>
    <n v="9940700"/>
    <n v="18"/>
    <n v="4582625"/>
    <n v="4133530"/>
    <n v="0"/>
    <n v="0"/>
    <n v="0"/>
    <x v="2"/>
    <n v="403369500"/>
    <n v="105779369"/>
    <n v="301"/>
    <n v="2.5999999999999999E-2"/>
    <n v="2.6548672566371681E-2"/>
    <n v="5.8201058201058198E-2"/>
    <n v="11.719736842105268"/>
    <x v="1"/>
    <n v="260"/>
    <x v="1"/>
    <n v="141"/>
    <n v="1.4184397163120567E-2"/>
    <s v="larger size (&gt; 33L)"/>
    <n v="0"/>
    <n v="0.16250000000000001"/>
    <s v=" not riskY"/>
    <d v="2024-06-30T00:00:00"/>
    <n v="28625500"/>
    <n v="20.516129032258064"/>
    <s v="Old Loan"/>
    <s v="Q22024"/>
    <n v="46342100"/>
    <s v="L73464884|C8503286|45465|Home Loan|Branch|North|Salaried|36|8095400|12.78|271909|1036163|661|C|0.43|0.81|9940700|18|4582625|4133530|0|0|0|Active"/>
    <x v="2"/>
  </r>
  <r>
    <s v="L19552832"/>
    <s v="C6529417"/>
    <x v="169"/>
    <x v="1"/>
    <x v="3"/>
    <x v="1"/>
    <x v="0"/>
    <n v="60"/>
    <n v="1660200"/>
    <n v="12.47"/>
    <n v="37326"/>
    <n v="662357"/>
    <n v="739"/>
    <x v="0"/>
    <n v="0.42"/>
    <n v="0.66"/>
    <n v="2512200"/>
    <n v="18"/>
    <n v="662938"/>
    <n v="1121478"/>
    <n v="0"/>
    <n v="0"/>
    <n v="0"/>
    <x v="2"/>
    <n v="201475100"/>
    <n v="83903255"/>
    <n v="301"/>
    <n v="2.5999999999999999E-2"/>
    <n v="4.2553191489361701E-2"/>
    <n v="0.12"/>
    <n v="13.042631578947367"/>
    <x v="1"/>
    <n v="260"/>
    <x v="0"/>
    <n v="302"/>
    <n v="3.6423841059602648E-2"/>
    <s v="medium size (&lt;=33L)"/>
    <n v="0"/>
    <n v="0.15909090909090909"/>
    <s v=" not riskY"/>
    <d v="2024-06-30T00:00:00"/>
    <n v="28625500"/>
    <n v="19.091954022988507"/>
    <s v="Old Loan"/>
    <s v="Q22024"/>
    <n v="46342100"/>
    <s v="L19552832|C6529417|45464|SME Loan|Call Center|West|Salaried|60|1660200|12.47|37326|662357|739|B|0.42|0.66|2512200|18|662938|1121478|0|0|0|Active"/>
    <x v="2"/>
  </r>
  <r>
    <s v="L17127766"/>
    <s v="C4307606"/>
    <x v="170"/>
    <x v="0"/>
    <x v="0"/>
    <x v="3"/>
    <x v="1"/>
    <n v="240"/>
    <n v="784100"/>
    <n v="17.97"/>
    <n v="12083"/>
    <n v="1123978"/>
    <n v="704"/>
    <x v="0"/>
    <n v="0.41"/>
    <n v="0.72"/>
    <n v="0"/>
    <n v="18"/>
    <n v="185905"/>
    <n v="682737"/>
    <n v="0"/>
    <n v="0"/>
    <n v="0"/>
    <x v="2"/>
    <n v="74897600"/>
    <n v="105779369"/>
    <n v="301"/>
    <n v="2.5999999999999999E-2"/>
    <n v="2.6548672566371681E-2"/>
    <n v="7.1090047393364927E-2"/>
    <n v="16.500166666666669"/>
    <x v="1"/>
    <n v="260"/>
    <x v="0"/>
    <n v="302"/>
    <n v="3.6423841059602648E-2"/>
    <s v="lower size (&lt; 9L)"/>
    <n v="0"/>
    <n v="0.13934426229508196"/>
    <s v=" not riskY"/>
    <d v="2024-06-30T00:00:00"/>
    <n v="28625500"/>
    <n v="21.092024539877301"/>
    <s v="Old Loan"/>
    <s v="Q22024"/>
    <n v="46342100"/>
    <s v="L17127766|C4307606|45473|Personal Loan|Online|North|Contract|240|784100|17.97|12083|1123978|704|B|0.41|0.72|0|18|185905|682737|0|0|0|Active"/>
    <x v="2"/>
  </r>
  <r>
    <s v="L26263179"/>
    <s v="C6453326"/>
    <x v="171"/>
    <x v="0"/>
    <x v="0"/>
    <x v="2"/>
    <x v="2"/>
    <n v="180"/>
    <n v="268900"/>
    <n v="16.47"/>
    <n v="4038"/>
    <n v="719296"/>
    <n v="726"/>
    <x v="0"/>
    <n v="0.41"/>
    <n v="0.91"/>
    <n v="0"/>
    <n v="19"/>
    <n v="71005"/>
    <n v="225944"/>
    <n v="10"/>
    <n v="0"/>
    <n v="0"/>
    <x v="2"/>
    <n v="74897600"/>
    <n v="98928695"/>
    <n v="301"/>
    <n v="2.5999999999999999E-2"/>
    <n v="2.8571428571428571E-2"/>
    <n v="7.1090047393364927E-2"/>
    <n v="16.500166666666669"/>
    <x v="1"/>
    <n v="260"/>
    <x v="1"/>
    <n v="141"/>
    <n v="1.4184397163120567E-2"/>
    <s v="lower size (&lt; 9L)"/>
    <n v="0"/>
    <n v="0.13934426229508196"/>
    <s v=" not riskY"/>
    <d v="2024-05-31T00:00:00"/>
    <n v="9661400"/>
    <n v="21.092024539877301"/>
    <s v="Old Loan"/>
    <s v="Q22024"/>
    <n v="46342100"/>
    <s v="L26263179|C6453326|45413|Personal Loan|Online|Central|Self-Employed|180|268900|16.47|4038|719296|726|B|0.41|0.91|0|19|71005|225944|10|0|0|Active"/>
    <x v="2"/>
  </r>
  <r>
    <s v="L75726602"/>
    <s v="C1957775"/>
    <x v="172"/>
    <x v="2"/>
    <x v="3"/>
    <x v="0"/>
    <x v="0"/>
    <n v="360"/>
    <n v="859700"/>
    <n v="16.38"/>
    <n v="11825"/>
    <n v="334064"/>
    <n v="619"/>
    <x v="2"/>
    <n v="0.41"/>
    <n v="0.89"/>
    <n v="970900"/>
    <n v="20"/>
    <n v="217665"/>
    <n v="735914"/>
    <n v="0"/>
    <n v="0"/>
    <n v="0"/>
    <x v="2"/>
    <n v="92273000"/>
    <n v="94548000"/>
    <n v="301"/>
    <n v="2.5999999999999999E-2"/>
    <n v="0"/>
    <n v="0.12"/>
    <n v="15.092000000000001"/>
    <x v="1"/>
    <n v="260"/>
    <x v="1"/>
    <n v="141"/>
    <n v="1.4184397163120567E-2"/>
    <s v="lower size (&lt; 9L)"/>
    <n v="0"/>
    <n v="0.13934426229508196"/>
    <s v=" not riskY"/>
    <d v="2024-04-30T00:00:00"/>
    <n v="8055200"/>
    <n v="20.262135922330096"/>
    <s v="Old Loan"/>
    <s v="Q22024"/>
    <n v="46342100"/>
    <s v="L75726602|C1957775|45406|Auto Loan|Call Center|South|Salaried|360|859700|16.38|11825|334064|619|D|0.41|0.89|970900|20|217665|735914|0|0|0|Active"/>
    <x v="2"/>
  </r>
  <r>
    <s v="L80087581"/>
    <s v="C7113486"/>
    <x v="173"/>
    <x v="1"/>
    <x v="2"/>
    <x v="0"/>
    <x v="0"/>
    <n v="48"/>
    <n v="1701800"/>
    <n v="18.260000000000002"/>
    <n v="50222"/>
    <n v="892753"/>
    <n v="650"/>
    <x v="1"/>
    <n v="0.39"/>
    <n v="0.65"/>
    <n v="2614500"/>
    <n v="18"/>
    <n v="903055"/>
    <n v="985194"/>
    <n v="0"/>
    <n v="0"/>
    <n v="0"/>
    <x v="2"/>
    <n v="201475100"/>
    <n v="94548000"/>
    <n v="301"/>
    <n v="2.5999999999999999E-2"/>
    <n v="0"/>
    <n v="0.1"/>
    <n v="15.841379310344831"/>
    <x v="1"/>
    <n v="260"/>
    <x v="0"/>
    <n v="302"/>
    <n v="3.6423841059602648E-2"/>
    <s v="medium size (&lt;=33L)"/>
    <n v="0"/>
    <n v="0.15909090909090909"/>
    <s v=" not riskY"/>
    <d v="2024-06-30T00:00:00"/>
    <n v="28625500"/>
    <n v="19.091954022988507"/>
    <s v="Old Loan"/>
    <s v="Q22024"/>
    <n v="46342100"/>
    <s v="L80087581|C7113486|45453|SME Loan|Partner|South|Salaried|48|1701800|18.26|50222|892753|650|C|0.39|0.65|2614500|18|903055|985194|0|0|0|Active"/>
    <x v="2"/>
  </r>
  <r>
    <s v="L60328644"/>
    <s v="C2646242"/>
    <x v="174"/>
    <x v="3"/>
    <x v="0"/>
    <x v="3"/>
    <x v="0"/>
    <n v="360"/>
    <n v="4189000"/>
    <n v="14.16"/>
    <n v="50165"/>
    <n v="1343207"/>
    <n v="608"/>
    <x v="2"/>
    <n v="0.39"/>
    <n v="0.69"/>
    <n v="6083700"/>
    <n v="19"/>
    <n v="913028"/>
    <n v="3651642"/>
    <n v="0"/>
    <n v="0"/>
    <n v="0"/>
    <x v="2"/>
    <n v="403369500"/>
    <n v="105779369"/>
    <n v="301"/>
    <n v="2.5999999999999999E-2"/>
    <n v="2.6548672566371681E-2"/>
    <n v="7.1090047393364927E-2"/>
    <n v="13.406874999999999"/>
    <x v="1"/>
    <n v="260"/>
    <x v="0"/>
    <n v="302"/>
    <n v="3.6423841059602648E-2"/>
    <s v="larger size (&gt; 33L)"/>
    <n v="0"/>
    <n v="0.16250000000000001"/>
    <s v=" not riskY"/>
    <d v="2024-05-31T00:00:00"/>
    <n v="9661400"/>
    <n v="20.516129032258064"/>
    <s v="Old Loan"/>
    <s v="Q22024"/>
    <n v="46342100"/>
    <s v="L60328644|C2646242|45439|Home Loan|Online|North|Salaried|360|4189000|14.16|50165|1343207|608|D|0.39|0.69|6083700|19|913028|3651642|0|0|0|Active"/>
    <x v="2"/>
  </r>
  <r>
    <s v="L78956931"/>
    <s v="C5018860"/>
    <x v="175"/>
    <x v="0"/>
    <x v="0"/>
    <x v="4"/>
    <x v="2"/>
    <n v="36"/>
    <n v="342100"/>
    <n v="17.59"/>
    <n v="12297"/>
    <n v="1078549"/>
    <n v="692"/>
    <x v="1"/>
    <n v="0.37"/>
    <n v="0.8"/>
    <n v="0"/>
    <n v="20"/>
    <n v="247049"/>
    <n v="135168"/>
    <n v="10"/>
    <n v="0"/>
    <n v="0"/>
    <x v="2"/>
    <n v="74897600"/>
    <n v="83297251"/>
    <n v="301"/>
    <n v="2.5999999999999999E-2"/>
    <n v="3.1914893617021274E-2"/>
    <n v="7.1090047393364927E-2"/>
    <n v="18.603181818181817"/>
    <x v="1"/>
    <n v="260"/>
    <x v="0"/>
    <n v="302"/>
    <n v="3.6423841059602648E-2"/>
    <s v="lower size (&lt; 9L)"/>
    <n v="0"/>
    <n v="0.13934426229508196"/>
    <s v=" not riskY"/>
    <d v="2024-04-30T00:00:00"/>
    <n v="8055200"/>
    <n v="21.092024539877301"/>
    <s v="Old Loan"/>
    <s v="Q22024"/>
    <n v="46342100"/>
    <s v="L78956931|C5018860|45404|Personal Loan|Online|East|Self-Employed|36|342100|17.59|12297|1078549|692|C|0.37|0.8|0|20|247049|135168|10|0|0|Active"/>
    <x v="2"/>
  </r>
  <r>
    <s v="L13353608"/>
    <s v="C3398169"/>
    <x v="176"/>
    <x v="2"/>
    <x v="2"/>
    <x v="4"/>
    <x v="0"/>
    <n v="240"/>
    <n v="1188000"/>
    <n v="10.87"/>
    <n v="12157"/>
    <n v="916120"/>
    <n v="703"/>
    <x v="0"/>
    <n v="0.33"/>
    <n v="0.88"/>
    <n v="1352700"/>
    <n v="20"/>
    <n v="233313"/>
    <n v="1040777"/>
    <n v="0"/>
    <n v="0"/>
    <n v="0"/>
    <x v="2"/>
    <n v="92273000"/>
    <n v="83297251"/>
    <n v="301"/>
    <n v="2.5999999999999999E-2"/>
    <n v="3.1914893617021274E-2"/>
    <n v="0.1"/>
    <n v="10.611923076923079"/>
    <x v="1"/>
    <n v="260"/>
    <x v="1"/>
    <n v="141"/>
    <n v="1.4184397163120567E-2"/>
    <s v="medium size (&lt;=33L)"/>
    <n v="0"/>
    <n v="0.15909090909090909"/>
    <s v=" not riskY"/>
    <d v="2024-04-30T00:00:00"/>
    <n v="8055200"/>
    <n v="20.262135922330096"/>
    <s v="Old Loan"/>
    <s v="Q22024"/>
    <n v="46342100"/>
    <s v="L13353608|C3398169|45400|Auto Loan|Partner|East|Salaried|240|1188000|10.87|12157|916120|703|B|0.33|0.88|1352700|20|233313|1040777|0|0|0|Active"/>
    <x v="2"/>
  </r>
  <r>
    <s v="L80550838"/>
    <s v="C2590470"/>
    <x v="177"/>
    <x v="1"/>
    <x v="2"/>
    <x v="2"/>
    <x v="0"/>
    <n v="24"/>
    <n v="2420300"/>
    <n v="15.12"/>
    <n v="117490"/>
    <n v="1312634"/>
    <n v="685"/>
    <x v="1"/>
    <n v="0.33"/>
    <n v="0.69"/>
    <n v="3486000"/>
    <n v="20"/>
    <n v="2282101"/>
    <n v="382165"/>
    <n v="5"/>
    <n v="0"/>
    <n v="0"/>
    <x v="2"/>
    <n v="201475100"/>
    <n v="98928695"/>
    <n v="301"/>
    <n v="2.5999999999999999E-2"/>
    <n v="2.8571428571428571E-2"/>
    <n v="0.1"/>
    <n v="15.841379310344831"/>
    <x v="1"/>
    <n v="260"/>
    <x v="0"/>
    <n v="302"/>
    <n v="3.6423841059602648E-2"/>
    <s v="medium size (&lt;=33L)"/>
    <n v="0"/>
    <n v="0.15909090909090909"/>
    <s v=" not riskY"/>
    <d v="2024-04-30T00:00:00"/>
    <n v="8055200"/>
    <n v="19.091954022988507"/>
    <s v="Old Loan"/>
    <s v="Q22024"/>
    <n v="46342100"/>
    <s v="L80550838|C2590470|45395|SME Loan|Partner|Central|Salaried|24|2420300|15.12|117490|1312634|685|C|0.33|0.69|3486000|20|2282101|382165|5|0|0|Active"/>
    <x v="3"/>
  </r>
  <r>
    <s v="L65967399"/>
    <s v="C1325464"/>
    <x v="178"/>
    <x v="0"/>
    <x v="2"/>
    <x v="3"/>
    <x v="0"/>
    <n v="72"/>
    <n v="305500"/>
    <n v="15.58"/>
    <n v="6556"/>
    <n v="880246"/>
    <n v="760"/>
    <x v="3"/>
    <n v="0.33"/>
    <n v="0.65"/>
    <n v="0"/>
    <n v="20"/>
    <n v="111766"/>
    <n v="225465"/>
    <n v="0"/>
    <n v="0"/>
    <n v="0"/>
    <x v="2"/>
    <n v="74897600"/>
    <n v="105779369"/>
    <n v="301"/>
    <n v="2.5999999999999999E-2"/>
    <n v="2.6548672566371681E-2"/>
    <n v="0.1"/>
    <n v="13.328333333333335"/>
    <x v="1"/>
    <n v="260"/>
    <x v="0"/>
    <n v="302"/>
    <n v="3.6423841059602648E-2"/>
    <s v="lower size (&lt; 9L)"/>
    <n v="0"/>
    <n v="0.13934426229508196"/>
    <s v=" not riskY"/>
    <d v="2024-04-30T00:00:00"/>
    <n v="8055200"/>
    <n v="21.092024539877301"/>
    <s v="Old Loan"/>
    <s v="Q22024"/>
    <n v="46342100"/>
    <s v="L65967399|C1325464|45384|Personal Loan|Partner|North|Salaried|72|305500|15.58|6556|880246|760|A|0.33|0.65|0|20|111766|225465|0|0|0|Active"/>
    <x v="3"/>
  </r>
  <r>
    <s v="L55094029"/>
    <s v="C7510748"/>
    <x v="179"/>
    <x v="4"/>
    <x v="1"/>
    <x v="0"/>
    <x v="0"/>
    <n v="60"/>
    <n v="971100"/>
    <n v="11.86"/>
    <n v="21533"/>
    <n v="706791"/>
    <n v="706"/>
    <x v="0"/>
    <n v="0.31"/>
    <n v="0.84"/>
    <n v="0"/>
    <n v="19"/>
    <n v="357004"/>
    <n v="687039"/>
    <n v="30"/>
    <n v="0"/>
    <n v="0"/>
    <x v="0"/>
    <n v="62765800"/>
    <n v="94548000"/>
    <n v="47"/>
    <n v="2.5999999999999999E-2"/>
    <n v="0"/>
    <n v="5.8201058201058198E-2"/>
    <n v="10.832666666666663"/>
    <x v="1"/>
    <n v="260"/>
    <x v="1"/>
    <n v="141"/>
    <n v="1.4184397163120567E-2"/>
    <s v="medium size (&lt;=33L)"/>
    <n v="1"/>
    <n v="0.15909090909090909"/>
    <s v="high risk"/>
    <d v="2024-05-31T00:00:00"/>
    <n v="9661400"/>
    <n v="21.962962962962962"/>
    <s v="Old Loan"/>
    <s v="Q22024"/>
    <n v="46342100"/>
    <s v="L55094029|C7510748|45431|Education Loan|Branch|South|Salaried|60|971100|11.86|21533|706791|706|B|0.31|0.84|0|19|357004|687039|30|0|0|Delinquent"/>
    <x v="3"/>
  </r>
  <r>
    <s v="L88710583"/>
    <s v="C6503892"/>
    <x v="172"/>
    <x v="0"/>
    <x v="2"/>
    <x v="4"/>
    <x v="0"/>
    <n v="180"/>
    <n v="431600"/>
    <n v="22.58"/>
    <n v="8415"/>
    <n v="926390"/>
    <n v="584"/>
    <x v="4"/>
    <n v="0.3"/>
    <n v="0.71"/>
    <n v="0"/>
    <n v="20"/>
    <n v="156992"/>
    <n v="339578"/>
    <n v="15"/>
    <n v="0"/>
    <n v="0"/>
    <x v="2"/>
    <n v="74897600"/>
    <n v="83297251"/>
    <n v="301"/>
    <n v="2.5999999999999999E-2"/>
    <n v="3.1914893617021274E-2"/>
    <n v="0.1"/>
    <n v="23.803750000000001"/>
    <x v="1"/>
    <n v="260"/>
    <x v="0"/>
    <n v="302"/>
    <n v="3.6423841059602648E-2"/>
    <s v="lower size (&lt; 9L)"/>
    <n v="0"/>
    <n v="0.13934426229508196"/>
    <s v="high risk"/>
    <d v="2024-04-30T00:00:00"/>
    <n v="8055200"/>
    <n v="21.092024539877301"/>
    <s v="Old Loan"/>
    <s v="Q22024"/>
    <n v="46342100"/>
    <s v="L88710583|C6503892|45406|Personal Loan|Partner|East|Salaried|180|431600|22.58|8415|926390|584|E|0.3|0.71|0|20|156992|339578|15|0|0|Active"/>
    <x v="3"/>
  </r>
  <r>
    <s v="L11990275"/>
    <s v="C1361361"/>
    <x v="180"/>
    <x v="3"/>
    <x v="1"/>
    <x v="1"/>
    <x v="0"/>
    <n v="120"/>
    <n v="4082100"/>
    <n v="10.37"/>
    <n v="54785"/>
    <n v="713171"/>
    <n v="699"/>
    <x v="1"/>
    <n v="0.28999999999999998"/>
    <n v="0.77"/>
    <n v="5287900"/>
    <n v="18"/>
    <n v="997818"/>
    <n v="3338270"/>
    <n v="0"/>
    <n v="0"/>
    <n v="0"/>
    <x v="2"/>
    <n v="403369500"/>
    <n v="83903255"/>
    <n v="301"/>
    <n v="2.5999999999999999E-2"/>
    <n v="4.2553191489361701E-2"/>
    <n v="5.8201058201058198E-2"/>
    <n v="11.719736842105268"/>
    <x v="2"/>
    <n v="122"/>
    <x v="0"/>
    <n v="302"/>
    <n v="3.6423841059602648E-2"/>
    <s v="larger size (&gt; 33L)"/>
    <n v="0"/>
    <n v="0.16250000000000001"/>
    <s v=" not riskY"/>
    <d v="2024-06-30T00:00:00"/>
    <n v="28625500"/>
    <n v="20.516129032258064"/>
    <s v="Old Loan"/>
    <s v="Q22024"/>
    <n v="46342100"/>
    <s v="L11990275|C1361361|45469|Home Loan|Branch|West|Salaried|120|4082100|10.37|54785|713171|699|C|0.29|0.77|5287900|18|997818|3338270|0|0|0|Active"/>
    <x v="3"/>
  </r>
  <r>
    <s v="L58802020"/>
    <s v="C1110724"/>
    <x v="181"/>
    <x v="3"/>
    <x v="1"/>
    <x v="4"/>
    <x v="3"/>
    <n v="36"/>
    <n v="435500"/>
    <n v="7.38"/>
    <n v="13523"/>
    <n v="738181"/>
    <n v="747"/>
    <x v="0"/>
    <n v="0.28000000000000003"/>
    <n v="0.92"/>
    <n v="471800"/>
    <n v="18"/>
    <n v="224620"/>
    <n v="230164"/>
    <n v="0"/>
    <n v="0"/>
    <n v="0"/>
    <x v="2"/>
    <n v="403369500"/>
    <n v="83297251"/>
    <n v="301"/>
    <n v="2.5999999999999999E-2"/>
    <n v="3.1914893617021274E-2"/>
    <n v="5.8201058201058198E-2"/>
    <n v="8.8557142857142868"/>
    <x v="2"/>
    <n v="122"/>
    <x v="1"/>
    <n v="141"/>
    <n v="1.4184397163120567E-2"/>
    <s v="lower size (&lt; 9L)"/>
    <n v="0"/>
    <n v="0.13934426229508196"/>
    <s v=" not riskY"/>
    <d v="2024-06-30T00:00:00"/>
    <n v="28625500"/>
    <n v="20.516129032258064"/>
    <s v="Old Loan"/>
    <s v="Q22024"/>
    <n v="46342100"/>
    <s v="L58802020|C1110724|45451|Home Loan|Branch|East|Unemployed|36|435500|7.38|13523|738181|747|B|0.28|0.92|471800|18|224620|230164|0|0|0|Active"/>
    <x v="3"/>
  </r>
  <r>
    <s v="L11616527"/>
    <s v="C6327669"/>
    <x v="182"/>
    <x v="4"/>
    <x v="0"/>
    <x v="1"/>
    <x v="0"/>
    <n v="180"/>
    <n v="1687700"/>
    <n v="15.06"/>
    <n v="23690"/>
    <n v="781138"/>
    <n v="624"/>
    <x v="2"/>
    <n v="0.27"/>
    <n v="0.68"/>
    <n v="0"/>
    <n v="20"/>
    <n v="477731"/>
    <n v="1379414"/>
    <n v="0"/>
    <n v="0"/>
    <n v="0"/>
    <x v="2"/>
    <n v="62765800"/>
    <n v="83903255"/>
    <n v="301"/>
    <n v="2.5999999999999999E-2"/>
    <n v="4.2553191489361701E-2"/>
    <n v="7.1090047393364927E-2"/>
    <n v="15.810000000000002"/>
    <x v="2"/>
    <n v="122"/>
    <x v="0"/>
    <n v="302"/>
    <n v="3.6423841059602648E-2"/>
    <s v="medium size (&lt;=33L)"/>
    <n v="0"/>
    <n v="0.15909090909090909"/>
    <s v=" not riskY"/>
    <d v="2024-04-30T00:00:00"/>
    <n v="8055200"/>
    <n v="21.962962962962962"/>
    <s v="Old Loan"/>
    <s v="Q22024"/>
    <n v="46342100"/>
    <s v="L11616527|C6327669|45398|Education Loan|Online|West|Salaried|180|1687700|15.06|23690|781138|624|D|0.27|0.68|0|20|477731|1379414|0|0|0|Active"/>
    <x v="3"/>
  </r>
  <r>
    <s v="L40504942"/>
    <s v="C1855442"/>
    <x v="183"/>
    <x v="3"/>
    <x v="3"/>
    <x v="3"/>
    <x v="0"/>
    <n v="180"/>
    <n v="3794600"/>
    <n v="10.49"/>
    <n v="41922"/>
    <n v="565107"/>
    <n v="707"/>
    <x v="0"/>
    <n v="0.24"/>
    <n v="0.69"/>
    <n v="5495300"/>
    <n v="18"/>
    <n v="665232"/>
    <n v="3368200"/>
    <n v="0"/>
    <n v="1"/>
    <n v="0"/>
    <x v="1"/>
    <n v="403369500"/>
    <n v="105779369"/>
    <n v="139"/>
    <n v="2.5999999999999999E-2"/>
    <n v="2.6548672566371681E-2"/>
    <n v="0.12"/>
    <n v="8.8557142857142868"/>
    <x v="2"/>
    <n v="122"/>
    <x v="0"/>
    <n v="302"/>
    <n v="3.6423841059602648E-2"/>
    <s v="larger size (&gt; 33L)"/>
    <n v="0"/>
    <n v="0.16250000000000001"/>
    <s v=" not riskY"/>
    <d v="2024-06-30T00:00:00"/>
    <n v="28625500"/>
    <n v="20.516129032258064"/>
    <s v="Old Loan"/>
    <s v="Q22024"/>
    <n v="46342100"/>
    <s v="L40504942|C1855442|45449|Home Loan|Call Center|North|Salaried|180|3794600|10.49|41922|565107|707|B|0.24|0.69|5495300|18|665232|3368200|0|1|0|Closed"/>
    <x v="3"/>
  </r>
  <r>
    <s v="L78266757"/>
    <s v="C2874382"/>
    <x v="184"/>
    <x v="3"/>
    <x v="2"/>
    <x v="2"/>
    <x v="2"/>
    <n v="120"/>
    <n v="1864900"/>
    <n v="9.08"/>
    <n v="23705"/>
    <n v="279305"/>
    <n v="731"/>
    <x v="0"/>
    <n v="0.24"/>
    <n v="0.47"/>
    <n v="3993300"/>
    <n v="18"/>
    <n v="416824"/>
    <n v="1549676"/>
    <n v="0"/>
    <n v="0"/>
    <n v="0"/>
    <x v="2"/>
    <n v="403369500"/>
    <n v="98928695"/>
    <n v="301"/>
    <n v="2.5999999999999999E-2"/>
    <n v="2.8571428571428571E-2"/>
    <n v="0.1"/>
    <n v="8.8557142857142868"/>
    <x v="2"/>
    <n v="122"/>
    <x v="2"/>
    <n v="57"/>
    <n v="0"/>
    <s v="medium size (&lt;=33L)"/>
    <n v="0"/>
    <n v="0.15909090909090909"/>
    <s v=" not riskY"/>
    <d v="2024-06-30T00:00:00"/>
    <n v="28625500"/>
    <n v="20.516129032258064"/>
    <s v="Old Loan"/>
    <s v="Q22024"/>
    <n v="46342100"/>
    <s v="L78266757|C2874382|45472|Home Loan|Partner|Central|Self-Employed|120|1864900|9.08|23705|279305|731|B|0.24|0.47|3993300|18|416824|1549676|0|0|0|Active"/>
    <x v="3"/>
  </r>
  <r>
    <s v="L90654469"/>
    <s v="C7644034"/>
    <x v="185"/>
    <x v="0"/>
    <x v="0"/>
    <x v="1"/>
    <x v="2"/>
    <n v="36"/>
    <n v="436200"/>
    <n v="15.78"/>
    <n v="15288"/>
    <n v="841628"/>
    <n v="747"/>
    <x v="0"/>
    <n v="0.23"/>
    <n v="0.66"/>
    <n v="0"/>
    <n v="19"/>
    <n v="277658"/>
    <n v="202136"/>
    <n v="5"/>
    <n v="0"/>
    <n v="0"/>
    <x v="2"/>
    <n v="74897600"/>
    <n v="83903255"/>
    <n v="301"/>
    <n v="2.5999999999999999E-2"/>
    <n v="4.2553191489361701E-2"/>
    <n v="7.1090047393364927E-2"/>
    <n v="16.500166666666669"/>
    <x v="2"/>
    <n v="122"/>
    <x v="0"/>
    <n v="302"/>
    <n v="3.6423841059602648E-2"/>
    <s v="lower size (&lt; 9L)"/>
    <n v="0"/>
    <n v="0.13934426229508196"/>
    <s v=" not riskY"/>
    <d v="2024-05-31T00:00:00"/>
    <n v="9661400"/>
    <n v="21.092024539877301"/>
    <s v="Old Loan"/>
    <s v="Q22024"/>
    <n v="46342100"/>
    <s v="L90654469|C7644034|45435|Personal Loan|Online|West|Self-Employed|36|436200|15.78|15288|841628|747|B|0.23|0.66|0|19|277658|202136|5|0|0|Active"/>
    <x v="3"/>
  </r>
  <r>
    <s v="L41907337"/>
    <s v="C6320294"/>
    <x v="186"/>
    <x v="2"/>
    <x v="1"/>
    <x v="2"/>
    <x v="0"/>
    <n v="36"/>
    <n v="784400"/>
    <n v="7"/>
    <n v="24220"/>
    <n v="654382"/>
    <n v="796"/>
    <x v="3"/>
    <n v="0.21"/>
    <n v="0.61"/>
    <n v="1295300"/>
    <n v="19"/>
    <n v="466540"/>
    <n v="352635"/>
    <n v="0"/>
    <n v="0"/>
    <n v="0"/>
    <x v="2"/>
    <n v="92273000"/>
    <n v="98928695"/>
    <n v="301"/>
    <n v="2.5999999999999999E-2"/>
    <n v="2.8571428571428571E-2"/>
    <n v="5.8201058201058198E-2"/>
    <n v="7.9444999999999997"/>
    <x v="2"/>
    <n v="122"/>
    <x v="0"/>
    <n v="302"/>
    <n v="3.6423841059602648E-2"/>
    <s v="lower size (&lt; 9L)"/>
    <n v="0"/>
    <n v="0.13934426229508196"/>
    <s v=" not riskY"/>
    <d v="2024-05-31T00:00:00"/>
    <n v="9661400"/>
    <n v="20.262135922330096"/>
    <s v="Old Loan"/>
    <s v="Q22024"/>
    <n v="46342100"/>
    <s v="L41907337|C6320294|45421|Auto Loan|Branch|Central|Salaried|36|784400|7|24220|654382|796|A|0.21|0.61|1295300|19|466540|352635|0|0|0|Active"/>
    <x v="3"/>
  </r>
  <r>
    <s v="L97237892"/>
    <s v="C5887114"/>
    <x v="180"/>
    <x v="1"/>
    <x v="2"/>
    <x v="3"/>
    <x v="2"/>
    <n v="18"/>
    <n v="2438300"/>
    <n v="14.81"/>
    <n v="151895"/>
    <n v="385976"/>
    <n v="686"/>
    <x v="1"/>
    <n v="0.17"/>
    <n v="0.79"/>
    <n v="3102900"/>
    <n v="18"/>
    <n v="2656433"/>
    <n v="0"/>
    <n v="5"/>
    <n v="0"/>
    <n v="0"/>
    <x v="1"/>
    <n v="201475100"/>
    <n v="105779369"/>
    <n v="139"/>
    <n v="2.5999999999999999E-2"/>
    <n v="2.6548672566371681E-2"/>
    <n v="0.1"/>
    <n v="15.841379310344831"/>
    <x v="3"/>
    <n v="86"/>
    <x v="0"/>
    <n v="302"/>
    <n v="3.6423841059602648E-2"/>
    <s v="medium size (&lt;=33L)"/>
    <n v="0"/>
    <n v="0.15909090909090909"/>
    <s v=" not riskY"/>
    <d v="2024-06-30T00:00:00"/>
    <n v="28625500"/>
    <n v="19.091954022988507"/>
    <s v="Old Loan"/>
    <s v="Q22024"/>
    <n v="46342100"/>
    <s v="L97237892|C5887114|45469|SME Loan|Partner|North|Self-Employed|18|2438300|14.81|151895|385976|686|C|0.17|0.79|3102900|18|2656433|0|5|0|0|Closed"/>
    <x v="3"/>
  </r>
  <r>
    <s v="L96372332"/>
    <s v="C3280450"/>
    <x v="187"/>
    <x v="0"/>
    <x v="1"/>
    <x v="2"/>
    <x v="0"/>
    <n v="36"/>
    <n v="552100"/>
    <n v="11.89"/>
    <n v="18309"/>
    <n v="695184"/>
    <n v="818"/>
    <x v="3"/>
    <n v="0.16"/>
    <n v="0.78"/>
    <n v="0"/>
    <n v="18"/>
    <n v="291717"/>
    <n v="299770"/>
    <n v="0"/>
    <n v="0"/>
    <n v="0"/>
    <x v="2"/>
    <n v="74897600"/>
    <n v="98928695"/>
    <n v="301"/>
    <n v="2.5999999999999999E-2"/>
    <n v="2.8571428571428571E-2"/>
    <n v="5.8201058201058198E-2"/>
    <n v="13.328333333333335"/>
    <x v="3"/>
    <n v="86"/>
    <x v="0"/>
    <n v="302"/>
    <n v="3.6423841059602648E-2"/>
    <s v="lower size (&lt; 9L)"/>
    <n v="0"/>
    <n v="0.13934426229508196"/>
    <s v=" not riskY"/>
    <d v="2024-06-30T00:00:00"/>
    <n v="28625500"/>
    <n v="21.092024539877301"/>
    <s v="Old Loan"/>
    <s v="Q22024"/>
    <n v="46342100"/>
    <s v="L96372332|C3280450|45468|Personal Loan|Branch|Central|Salaried|36|552100|11.89|18309|695184|818|A|0.16|0.78|0|18|291717|299770|0|0|0|Active"/>
    <x v="3"/>
  </r>
  <r>
    <s v="L14030635"/>
    <s v="C5583820"/>
    <x v="188"/>
    <x v="0"/>
    <x v="1"/>
    <x v="2"/>
    <x v="0"/>
    <n v="36"/>
    <n v="820700"/>
    <n v="18.29"/>
    <n v="29790"/>
    <n v="841244"/>
    <n v="667"/>
    <x v="1"/>
    <n v="0.15"/>
    <n v="0.47"/>
    <n v="0"/>
    <n v="18"/>
    <n v="491066"/>
    <n v="419698"/>
    <n v="10"/>
    <n v="0"/>
    <n v="0"/>
    <x v="2"/>
    <n v="74897600"/>
    <n v="98928695"/>
    <n v="301"/>
    <n v="2.5999999999999999E-2"/>
    <n v="2.8571428571428571E-2"/>
    <n v="5.8201058201058198E-2"/>
    <n v="18.603181818181817"/>
    <x v="3"/>
    <n v="86"/>
    <x v="2"/>
    <n v="57"/>
    <n v="0"/>
    <s v="lower size (&lt; 9L)"/>
    <n v="0"/>
    <n v="0.13934426229508196"/>
    <s v=" not riskY"/>
    <d v="2024-06-30T00:00:00"/>
    <n v="28625500"/>
    <n v="21.092024539877301"/>
    <s v="Old Loan"/>
    <s v="Q22024"/>
    <n v="46342100"/>
    <s v="L14030635|C5583820|45448|Personal Loan|Branch|Central|Salaried|36|820700|18.29|29790|841244|667|C|0.15|0.47|0|18|491066|419698|10|0|0|Active"/>
    <x v="3"/>
  </r>
  <r>
    <s v="L12044086"/>
    <s v="C9572599"/>
    <x v="189"/>
    <x v="1"/>
    <x v="0"/>
    <x v="3"/>
    <x v="2"/>
    <n v="36"/>
    <n v="1848600"/>
    <n v="13"/>
    <n v="62287"/>
    <n v="250116"/>
    <n v="709"/>
    <x v="0"/>
    <n v="0.1"/>
    <n v="0.63"/>
    <n v="2911700"/>
    <n v="18"/>
    <n v="990181"/>
    <n v="1002610"/>
    <n v="0"/>
    <n v="0"/>
    <n v="0"/>
    <x v="2"/>
    <n v="201475100"/>
    <n v="105779369"/>
    <n v="301"/>
    <n v="2.5999999999999999E-2"/>
    <n v="2.6548672566371681E-2"/>
    <n v="7.1090047393364927E-2"/>
    <n v="13.042631578947367"/>
    <x v="3"/>
    <n v="86"/>
    <x v="0"/>
    <n v="302"/>
    <n v="3.6423841059602648E-2"/>
    <s v="medium size (&lt;=33L)"/>
    <n v="0"/>
    <n v="0.15909090909090909"/>
    <s v=" not riskY"/>
    <d v="2024-06-30T00:00:00"/>
    <n v="28625500"/>
    <n v="19.091954022988507"/>
    <s v="Old Loan"/>
    <s v="Q22024"/>
    <n v="46342100"/>
    <s v="L12044086|C9572599|45461|SME Loan|Online|North|Self-Employed|36|1848600|13|62287|250116|709|B|0.1|0.63|2911700|18|990181|1002610|0|0|0|Active"/>
    <x v="3"/>
  </r>
  <r>
    <s v="L68486194"/>
    <s v="C8157006"/>
    <x v="190"/>
    <x v="3"/>
    <x v="1"/>
    <x v="1"/>
    <x v="0"/>
    <n v="120"/>
    <n v="4782100"/>
    <n v="11.22"/>
    <n v="66470"/>
    <n v="1350395"/>
    <n v="667"/>
    <x v="1"/>
    <n v="0.64"/>
    <n v="0.65"/>
    <n v="7409300"/>
    <n v="6"/>
    <n v="375741"/>
    <n v="4513669"/>
    <n v="0"/>
    <n v="0"/>
    <n v="0"/>
    <x v="2"/>
    <n v="403369500"/>
    <n v="83903255"/>
    <n v="301"/>
    <n v="2.5999999999999999E-2"/>
    <n v="4.2553191489361701E-2"/>
    <n v="5.8201058201058198E-2"/>
    <n v="11.719736842105268"/>
    <x v="0"/>
    <n v="32"/>
    <x v="0"/>
    <n v="302"/>
    <n v="3.6423841059602648E-2"/>
    <s v="larger size (&gt; 33L)"/>
    <n v="0"/>
    <n v="0.16250000000000001"/>
    <s v="high risk"/>
    <d v="2025-06-30T00:00:00"/>
    <n v="25448100"/>
    <n v="20.516129032258064"/>
    <s v="Old Loan"/>
    <s v="Q22025"/>
    <n v="80205600"/>
    <s v="L68486194|C8157006|45813|Home Loan|Branch|West|Salaried|120|4782100|11.22|66470|1350395|667|C|0.64|0.65|7409300|6|375741|4513669|0|0|0|Active"/>
    <x v="3"/>
  </r>
  <r>
    <s v="L21365266"/>
    <s v="C6696258"/>
    <x v="191"/>
    <x v="0"/>
    <x v="0"/>
    <x v="4"/>
    <x v="0"/>
    <n v="72"/>
    <n v="446100"/>
    <n v="18.77"/>
    <n v="10370"/>
    <n v="1393961"/>
    <n v="656"/>
    <x v="1"/>
    <n v="0.61"/>
    <n v="0.76"/>
    <n v="0"/>
    <n v="8"/>
    <n v="82456"/>
    <n v="385973"/>
    <n v="30"/>
    <n v="0"/>
    <n v="0"/>
    <x v="0"/>
    <n v="74897600"/>
    <n v="83297251"/>
    <n v="47"/>
    <n v="2.5999999999999999E-2"/>
    <n v="3.1914893617021274E-2"/>
    <n v="7.1090047393364927E-2"/>
    <n v="18.603181818181817"/>
    <x v="0"/>
    <n v="32"/>
    <x v="0"/>
    <n v="302"/>
    <n v="3.6423841059602648E-2"/>
    <s v="lower size (&lt; 9L)"/>
    <n v="1"/>
    <n v="0.13934426229508196"/>
    <s v="high risk"/>
    <d v="2025-04-30T00:00:00"/>
    <n v="18059300"/>
    <n v="21.092024539877301"/>
    <s v="Old Loan"/>
    <s v="Q22025"/>
    <n v="80205600"/>
    <s v="L21365266|C6696258|45777|Personal Loan|Online|East|Salaried|72|446100|18.77|10370|1393961|656|C|0.61|0.76|0|8|82456|385973|30|0|0|Delinquent"/>
    <x v="3"/>
  </r>
  <r>
    <s v="L81010590"/>
    <s v="C7875310"/>
    <x v="192"/>
    <x v="3"/>
    <x v="0"/>
    <x v="4"/>
    <x v="0"/>
    <n v="48"/>
    <n v="3936800"/>
    <n v="11.73"/>
    <n v="103150"/>
    <n v="567312"/>
    <n v="673"/>
    <x v="1"/>
    <n v="0.55000000000000004"/>
    <n v="0.91"/>
    <n v="4307400"/>
    <n v="7"/>
    <n v="687375"/>
    <n v="3357175"/>
    <n v="0"/>
    <n v="0"/>
    <n v="0"/>
    <x v="2"/>
    <n v="403369500"/>
    <n v="83297251"/>
    <n v="301"/>
    <n v="2.5999999999999999E-2"/>
    <n v="3.1914893617021274E-2"/>
    <n v="7.1090047393364927E-2"/>
    <n v="11.719736842105268"/>
    <x v="0"/>
    <n v="32"/>
    <x v="1"/>
    <n v="141"/>
    <n v="1.4184397163120567E-2"/>
    <s v="larger size (&gt; 33L)"/>
    <n v="0"/>
    <n v="0.16250000000000001"/>
    <s v="high risk"/>
    <d v="2025-05-31T00:00:00"/>
    <n v="36698200"/>
    <n v="20.516129032258064"/>
    <s v="Old Loan"/>
    <s v="Q22025"/>
    <n v="80205600"/>
    <s v="L81010590|C7875310|45801|Home Loan|Online|East|Salaried|48|3936800|11.73|103150|567312|673|C|0.55|0.91|4307400|7|687375|3357175|0|0|0|Active"/>
    <x v="3"/>
  </r>
  <r>
    <s v="L43629195"/>
    <s v="C7276365"/>
    <x v="193"/>
    <x v="4"/>
    <x v="1"/>
    <x v="3"/>
    <x v="0"/>
    <n v="180"/>
    <n v="809600"/>
    <n v="8.34"/>
    <n v="7897"/>
    <n v="1163505"/>
    <n v="764"/>
    <x v="3"/>
    <n v="0.51"/>
    <n v="0.62"/>
    <n v="0"/>
    <n v="6"/>
    <n v="46523"/>
    <n v="776581"/>
    <n v="0"/>
    <n v="0"/>
    <n v="0"/>
    <x v="2"/>
    <n v="62765800"/>
    <n v="105779369"/>
    <n v="301"/>
    <n v="2.5999999999999999E-2"/>
    <n v="2.6548672566371681E-2"/>
    <n v="5.8201058201058198E-2"/>
    <n v="8.5057142857142871"/>
    <x v="0"/>
    <n v="32"/>
    <x v="0"/>
    <n v="302"/>
    <n v="3.6423841059602648E-2"/>
    <s v="lower size (&lt; 9L)"/>
    <n v="0"/>
    <n v="0.13934426229508196"/>
    <s v="high risk"/>
    <d v="2025-06-30T00:00:00"/>
    <n v="25448100"/>
    <n v="21.962962962962962"/>
    <s v="Old Loan"/>
    <s v="Q22025"/>
    <n v="80205600"/>
    <s v="L43629195|C7276365|45830|Education Loan|Branch|North|Salaried|180|809600|8.34|7897|1163505|764|A|0.51|0.62|0|6|46523|776581|0|0|0|Active"/>
    <x v="3"/>
  </r>
  <r>
    <s v="L85577340"/>
    <s v="C2730711"/>
    <x v="194"/>
    <x v="1"/>
    <x v="0"/>
    <x v="4"/>
    <x v="0"/>
    <n v="24"/>
    <n v="2739900"/>
    <n v="11.41"/>
    <n v="128223"/>
    <n v="745822"/>
    <n v="782"/>
    <x v="3"/>
    <n v="0.48"/>
    <n v="0.61"/>
    <n v="4486600"/>
    <n v="7"/>
    <n v="843527"/>
    <n v="1969318"/>
    <n v="0"/>
    <n v="1"/>
    <n v="0"/>
    <x v="1"/>
    <n v="201475100"/>
    <n v="83297251"/>
    <n v="139"/>
    <n v="2.5999999999999999E-2"/>
    <n v="3.1914893617021274E-2"/>
    <n v="7.1090047393364927E-2"/>
    <n v="10.537499999999998"/>
    <x v="1"/>
    <n v="260"/>
    <x v="0"/>
    <n v="302"/>
    <n v="3.6423841059602648E-2"/>
    <s v="medium size (&lt;=33L)"/>
    <n v="0"/>
    <n v="0.15909090909090909"/>
    <s v=" not riskY"/>
    <d v="2025-05-31T00:00:00"/>
    <n v="36698200"/>
    <n v="19.091954022988507"/>
    <s v="Old Loan"/>
    <s v="Q22025"/>
    <n v="80205600"/>
    <s v="L85577340|C2730711|45803|SME Loan|Online|East|Salaried|24|2739900|11.41|128223|745822|782|A|0.48|0.61|4486600|7|843527|1969318|0|1|0|Closed"/>
    <x v="3"/>
  </r>
  <r>
    <s v="L79481118"/>
    <s v="C5105749"/>
    <x v="195"/>
    <x v="1"/>
    <x v="1"/>
    <x v="3"/>
    <x v="2"/>
    <n v="36"/>
    <n v="2896800"/>
    <n v="11.11"/>
    <n v="94988"/>
    <n v="902522"/>
    <n v="761"/>
    <x v="3"/>
    <n v="0.46"/>
    <n v="0.74"/>
    <n v="3934400"/>
    <n v="6"/>
    <n v="538630"/>
    <n v="2422537"/>
    <n v="0"/>
    <n v="0"/>
    <n v="0"/>
    <x v="2"/>
    <n v="201475100"/>
    <n v="105779369"/>
    <n v="301"/>
    <n v="2.5999999999999999E-2"/>
    <n v="2.6548672566371681E-2"/>
    <n v="5.8201058201058198E-2"/>
    <n v="10.537499999999998"/>
    <x v="1"/>
    <n v="260"/>
    <x v="0"/>
    <n v="302"/>
    <n v="3.6423841059602648E-2"/>
    <s v="medium size (&lt;=33L)"/>
    <n v="0"/>
    <n v="0.15909090909090909"/>
    <s v=" not riskY"/>
    <d v="2025-06-30T00:00:00"/>
    <n v="25448100"/>
    <n v="19.091954022988507"/>
    <s v="Old Loan"/>
    <s v="Q22025"/>
    <n v="80205600"/>
    <s v="L79481118|C5105749|45821|SME Loan|Branch|North|Self-Employed|36|2896800|11.11|94988|902522|761|A|0.46|0.74|3934400|6|538630|2422537|0|0|0|Active"/>
    <x v="3"/>
  </r>
  <r>
    <s v="L84486805"/>
    <s v="C1498558"/>
    <x v="196"/>
    <x v="3"/>
    <x v="1"/>
    <x v="1"/>
    <x v="2"/>
    <n v="60"/>
    <n v="3293300"/>
    <n v="12.43"/>
    <n v="73975"/>
    <n v="859987"/>
    <n v="661"/>
    <x v="1"/>
    <n v="0.45"/>
    <n v="0.66"/>
    <n v="4996400"/>
    <n v="7"/>
    <n v="455457"/>
    <n v="2933360"/>
    <n v="0"/>
    <n v="0"/>
    <n v="0"/>
    <x v="2"/>
    <n v="403369500"/>
    <n v="83903255"/>
    <n v="301"/>
    <n v="2.5999999999999999E-2"/>
    <n v="4.2553191489361701E-2"/>
    <n v="5.8201058201058198E-2"/>
    <n v="11.719736842105268"/>
    <x v="1"/>
    <n v="260"/>
    <x v="0"/>
    <n v="302"/>
    <n v="3.6423841059602648E-2"/>
    <s v="medium size (&lt;=33L)"/>
    <n v="0"/>
    <n v="0.15909090909090909"/>
    <s v=" not riskY"/>
    <d v="2025-05-31T00:00:00"/>
    <n v="36698200"/>
    <n v="20.516129032258064"/>
    <s v="Old Loan"/>
    <s v="Q22025"/>
    <n v="80205600"/>
    <s v="L84486805|C1498558|45786|Home Loan|Branch|West|Self-Employed|60|3293300|12.43|73975|859987|661|C|0.45|0.66|4996400|7|455457|2933360|0|0|0|Active"/>
    <x v="3"/>
  </r>
  <r>
    <s v="L92441066"/>
    <s v="C6609833"/>
    <x v="197"/>
    <x v="3"/>
    <x v="1"/>
    <x v="4"/>
    <x v="0"/>
    <n v="48"/>
    <n v="1988000"/>
    <n v="13"/>
    <n v="53333"/>
    <n v="1189000"/>
    <n v="670"/>
    <x v="1"/>
    <n v="0.43"/>
    <n v="0.89"/>
    <n v="2232400"/>
    <n v="7"/>
    <n v="370496"/>
    <n v="1677807"/>
    <n v="0"/>
    <n v="0"/>
    <n v="0"/>
    <x v="2"/>
    <n v="403369500"/>
    <n v="83297251"/>
    <n v="301"/>
    <n v="2.5999999999999999E-2"/>
    <n v="3.1914893617021274E-2"/>
    <n v="5.8201058201058198E-2"/>
    <n v="11.719736842105268"/>
    <x v="1"/>
    <n v="260"/>
    <x v="1"/>
    <n v="141"/>
    <n v="1.4184397163120567E-2"/>
    <s v="medium size (&lt;=33L)"/>
    <n v="0"/>
    <n v="0.15909090909090909"/>
    <s v=" not riskY"/>
    <d v="2025-05-31T00:00:00"/>
    <n v="36698200"/>
    <n v="20.516129032258064"/>
    <s v="Old Loan"/>
    <s v="Q22025"/>
    <n v="80205600"/>
    <s v="L92441066|C6609833|45800|Home Loan|Branch|East|Salaried|48|1988000|13|53333|1189000|670|C|0.43|0.89|2232400|7|370496|1677807|0|0|0|Active"/>
    <x v="3"/>
  </r>
  <r>
    <s v="L15846090"/>
    <s v="C8654803"/>
    <x v="198"/>
    <x v="2"/>
    <x v="0"/>
    <x v="3"/>
    <x v="2"/>
    <n v="36"/>
    <n v="1062000"/>
    <n v="17.87"/>
    <n v="38325"/>
    <n v="962876"/>
    <n v="570"/>
    <x v="4"/>
    <n v="0.43"/>
    <n v="0.57999999999999996"/>
    <n v="1815500"/>
    <n v="7"/>
    <n v="244551"/>
    <n v="861731"/>
    <n v="0"/>
    <n v="0"/>
    <n v="0"/>
    <x v="2"/>
    <n v="92273000"/>
    <n v="105779369"/>
    <n v="301"/>
    <n v="2.5999999999999999E-2"/>
    <n v="2.6548672566371681E-2"/>
    <n v="7.1090047393364927E-2"/>
    <n v="17.744166666666668"/>
    <x v="1"/>
    <n v="260"/>
    <x v="2"/>
    <n v="57"/>
    <n v="0"/>
    <s v="medium size (&lt;=33L)"/>
    <n v="0"/>
    <n v="0.15909090909090909"/>
    <s v="high risk"/>
    <d v="2025-05-31T00:00:00"/>
    <n v="36698200"/>
    <n v="20.262135922330096"/>
    <s v="Old Loan"/>
    <s v="Q22025"/>
    <n v="80205600"/>
    <s v="L15846090|C8654803|45799|Auto Loan|Online|North|Self-Employed|36|1062000|17.87|38325|962876|570|E|0.43|0.58|1815500|7|244551|861731|0|0|0|Active"/>
    <x v="3"/>
  </r>
  <r>
    <s v="L82428792"/>
    <s v="C3158902"/>
    <x v="199"/>
    <x v="0"/>
    <x v="1"/>
    <x v="3"/>
    <x v="0"/>
    <n v="12"/>
    <n v="166600"/>
    <n v="17.940000000000001"/>
    <n v="15269"/>
    <n v="597130"/>
    <n v="699"/>
    <x v="1"/>
    <n v="0.43"/>
    <n v="1.03"/>
    <n v="0"/>
    <n v="8"/>
    <n v="105008"/>
    <n v="69562"/>
    <n v="0"/>
    <n v="0"/>
    <n v="0"/>
    <x v="2"/>
    <n v="74897600"/>
    <n v="105779369"/>
    <n v="301"/>
    <n v="2.5999999999999999E-2"/>
    <n v="2.6548672566371681E-2"/>
    <n v="5.8201058201058198E-2"/>
    <n v="18.603181818181817"/>
    <x v="1"/>
    <n v="260"/>
    <x v="1"/>
    <n v="141"/>
    <n v="1.4184397163120567E-2"/>
    <s v="lower size (&lt; 9L)"/>
    <n v="0"/>
    <n v="0.13934426229508196"/>
    <s v=" not riskY"/>
    <d v="2025-04-30T00:00:00"/>
    <n v="18059300"/>
    <n v="21.092024539877301"/>
    <s v="Old Loan"/>
    <s v="Q22025"/>
    <n v="80205600"/>
    <s v="L82428792|C3158902|45767|Personal Loan|Branch|North|Salaried|12|166600|17.94|15269|597130|699|C|0.43|1.03|0|8|105008|69562|0|0|0|Active"/>
    <x v="3"/>
  </r>
  <r>
    <s v="L86957200"/>
    <s v="C3093129"/>
    <x v="200"/>
    <x v="4"/>
    <x v="3"/>
    <x v="0"/>
    <x v="0"/>
    <n v="36"/>
    <n v="761700"/>
    <n v="15.74"/>
    <n v="26681"/>
    <n v="1064276"/>
    <n v="635"/>
    <x v="2"/>
    <n v="0.42"/>
    <n v="0.45"/>
    <n v="0"/>
    <n v="8"/>
    <n v="214415"/>
    <n v="579256"/>
    <n v="0"/>
    <n v="0"/>
    <n v="0"/>
    <x v="2"/>
    <n v="62765800"/>
    <n v="94548000"/>
    <n v="301"/>
    <n v="2.5999999999999999E-2"/>
    <n v="0"/>
    <n v="0.12"/>
    <n v="15.810000000000002"/>
    <x v="1"/>
    <n v="260"/>
    <x v="2"/>
    <n v="57"/>
    <n v="0"/>
    <s v="lower size (&lt; 9L)"/>
    <n v="0"/>
    <n v="0.13934426229508196"/>
    <s v=" not riskY"/>
    <d v="2025-04-30T00:00:00"/>
    <n v="18059300"/>
    <n v="21.962962962962962"/>
    <s v="Old Loan"/>
    <s v="Q22025"/>
    <n v="80205600"/>
    <s v="L86957200|C3093129|45768|Education Loan|Call Center|South|Salaried|36|761700|15.74|26681|1064276|635|D|0.42|0.45|0|8|214415|579256|0|0|0|Active"/>
    <x v="3"/>
  </r>
  <r>
    <s v="L97806011"/>
    <s v="C1947502"/>
    <x v="201"/>
    <x v="1"/>
    <x v="1"/>
    <x v="1"/>
    <x v="2"/>
    <n v="18"/>
    <n v="1864500"/>
    <n v="8.52"/>
    <n v="110710"/>
    <n v="229191"/>
    <n v="817"/>
    <x v="3"/>
    <n v="0.41"/>
    <n v="0.63"/>
    <n v="2949000"/>
    <n v="8"/>
    <n v="791054"/>
    <n v="1115807"/>
    <n v="0"/>
    <n v="0"/>
    <n v="0"/>
    <x v="2"/>
    <n v="201475100"/>
    <n v="83903255"/>
    <n v="301"/>
    <n v="2.5999999999999999E-2"/>
    <n v="4.2553191489361701E-2"/>
    <n v="5.8201058201058198E-2"/>
    <n v="10.537499999999998"/>
    <x v="1"/>
    <n v="260"/>
    <x v="0"/>
    <n v="302"/>
    <n v="3.6423841059602648E-2"/>
    <s v="medium size (&lt;=33L)"/>
    <n v="0"/>
    <n v="0.15909090909090909"/>
    <s v=" not riskY"/>
    <d v="2025-04-30T00:00:00"/>
    <n v="18059300"/>
    <n v="19.091954022988507"/>
    <s v="Old Loan"/>
    <s v="Q22025"/>
    <n v="80205600"/>
    <s v="L97806011|C1947502|45759|SME Loan|Branch|West|Self-Employed|18|1864500|8.52|110710|229191|817|A|0.41|0.63|2949000|8|791054|1115807|0|0|0|Active"/>
    <x v="3"/>
  </r>
  <r>
    <s v="L60871249"/>
    <s v="C4044132"/>
    <x v="202"/>
    <x v="1"/>
    <x v="2"/>
    <x v="3"/>
    <x v="0"/>
    <n v="84"/>
    <n v="3717200"/>
    <n v="12.36"/>
    <n v="66337"/>
    <n v="1695547"/>
    <n v="746"/>
    <x v="0"/>
    <n v="0.41"/>
    <n v="0.71"/>
    <n v="5224800"/>
    <n v="7"/>
    <n v="404213"/>
    <n v="3420191"/>
    <n v="5"/>
    <n v="0"/>
    <n v="0"/>
    <x v="2"/>
    <n v="201475100"/>
    <n v="105779369"/>
    <n v="301"/>
    <n v="2.5999999999999999E-2"/>
    <n v="2.6548672566371681E-2"/>
    <n v="0.1"/>
    <n v="13.042631578947367"/>
    <x v="1"/>
    <n v="260"/>
    <x v="0"/>
    <n v="302"/>
    <n v="3.6423841059602648E-2"/>
    <s v="larger size (&gt; 33L)"/>
    <n v="0"/>
    <n v="0.16250000000000001"/>
    <s v=" not riskY"/>
    <d v="2025-05-31T00:00:00"/>
    <n v="36698200"/>
    <n v="19.091954022988507"/>
    <s v="Old Loan"/>
    <s v="Q22025"/>
    <n v="80205600"/>
    <s v="L60871249|C4044132|45783|SME Loan|Partner|North|Salaried|84|3717200|12.36|66337|1695547|746|B|0.41|0.71|5224800|7|404213|3420191|5|0|0|Active"/>
    <x v="3"/>
  </r>
  <r>
    <s v="L38412295"/>
    <s v="C9973311"/>
    <x v="203"/>
    <x v="2"/>
    <x v="0"/>
    <x v="2"/>
    <x v="0"/>
    <n v="24"/>
    <n v="1439100"/>
    <n v="8.7799999999999994"/>
    <n v="65600"/>
    <n v="939856"/>
    <n v="753"/>
    <x v="3"/>
    <n v="0.41"/>
    <n v="0.5"/>
    <n v="2871000"/>
    <n v="7"/>
    <n v="438942"/>
    <n v="1029640"/>
    <n v="0"/>
    <n v="1"/>
    <n v="0"/>
    <x v="1"/>
    <n v="92273000"/>
    <n v="98928695"/>
    <n v="139"/>
    <n v="2.5999999999999999E-2"/>
    <n v="2.8571428571428571E-2"/>
    <n v="7.1090047393364927E-2"/>
    <n v="7.9444999999999997"/>
    <x v="1"/>
    <n v="260"/>
    <x v="2"/>
    <n v="57"/>
    <n v="0"/>
    <s v="medium size (&lt;=33L)"/>
    <n v="0"/>
    <n v="0.15909090909090909"/>
    <s v=" not riskY"/>
    <d v="2025-05-31T00:00:00"/>
    <n v="36698200"/>
    <n v="20.262135922330096"/>
    <s v="Old Loan"/>
    <s v="Q22025"/>
    <n v="80205600"/>
    <s v="L38412295|C9973311|45781|Auto Loan|Online|Central|Salaried|24|1439100|8.78|65600|939856|753|A|0.41|0.5|2871000|7|438942|1029640|0|1|0|Closed"/>
    <x v="3"/>
  </r>
  <r>
    <s v="L17599988"/>
    <s v="C5789771"/>
    <x v="204"/>
    <x v="2"/>
    <x v="0"/>
    <x v="1"/>
    <x v="3"/>
    <n v="360"/>
    <n v="736600"/>
    <n v="16.23"/>
    <n v="10042"/>
    <n v="452176"/>
    <n v="598"/>
    <x v="4"/>
    <n v="0.41"/>
    <n v="0.87"/>
    <n v="846300"/>
    <n v="7"/>
    <n v="67496"/>
    <n v="696999"/>
    <n v="0"/>
    <n v="0"/>
    <n v="0"/>
    <x v="2"/>
    <n v="92273000"/>
    <n v="83903255"/>
    <n v="301"/>
    <n v="2.5999999999999999E-2"/>
    <n v="4.2553191489361701E-2"/>
    <n v="7.1090047393364927E-2"/>
    <n v="17.744166666666668"/>
    <x v="1"/>
    <n v="260"/>
    <x v="1"/>
    <n v="141"/>
    <n v="1.4184397163120567E-2"/>
    <s v="lower size (&lt; 9L)"/>
    <n v="0"/>
    <n v="0.13934426229508196"/>
    <s v="high risk"/>
    <d v="2025-05-31T00:00:00"/>
    <n v="36698200"/>
    <n v="20.262135922330096"/>
    <s v="Old Loan"/>
    <s v="Q22025"/>
    <n v="80205600"/>
    <s v="L17599988|C5789771|45791|Auto Loan|Online|West|Unemployed|360|736600|16.23|10042|452176|598|E|0.41|0.87|846300|7|67496|696999|0|0|0|Active"/>
    <x v="3"/>
  </r>
  <r>
    <s v="L48329387"/>
    <s v="C5614653"/>
    <x v="205"/>
    <x v="3"/>
    <x v="0"/>
    <x v="4"/>
    <x v="2"/>
    <n v="24"/>
    <n v="3007300"/>
    <n v="11.12"/>
    <n v="140331"/>
    <n v="797309"/>
    <n v="666"/>
    <x v="1"/>
    <n v="0.4"/>
    <n v="0.61"/>
    <n v="4951400"/>
    <n v="8"/>
    <n v="1038248"/>
    <n v="2058228"/>
    <n v="30"/>
    <n v="0"/>
    <n v="0"/>
    <x v="0"/>
    <n v="403369500"/>
    <n v="83297251"/>
    <n v="47"/>
    <n v="2.5999999999999999E-2"/>
    <n v="3.1914893617021274E-2"/>
    <n v="7.1090047393364927E-2"/>
    <n v="11.719736842105268"/>
    <x v="1"/>
    <n v="260"/>
    <x v="0"/>
    <n v="302"/>
    <n v="3.6423841059602648E-2"/>
    <s v="medium size (&lt;=33L)"/>
    <n v="1"/>
    <n v="0.15909090909090909"/>
    <s v="high risk"/>
    <d v="2025-04-30T00:00:00"/>
    <n v="18059300"/>
    <n v="20.516129032258064"/>
    <s v="Old Loan"/>
    <s v="Q22025"/>
    <n v="80205600"/>
    <s v="L48329387|C5614653|45764|Home Loan|Online|East|Self-Employed|24|3007300|11.12|140331|797309|666|C|0.4|0.61|4951400|8|1038248|2058228|30|0|0|Delinquent"/>
    <x v="3"/>
  </r>
  <r>
    <s v="L52398658"/>
    <s v="C6437597"/>
    <x v="205"/>
    <x v="2"/>
    <x v="3"/>
    <x v="0"/>
    <x v="1"/>
    <n v="360"/>
    <n v="433100"/>
    <n v="7"/>
    <n v="2881"/>
    <n v="266634"/>
    <n v="825"/>
    <x v="3"/>
    <n v="0.38"/>
    <n v="0.73"/>
    <n v="595100"/>
    <n v="8"/>
    <n v="21254"/>
    <n v="419931"/>
    <n v="0"/>
    <n v="0"/>
    <n v="0"/>
    <x v="2"/>
    <n v="92273000"/>
    <n v="94548000"/>
    <n v="301"/>
    <n v="2.5999999999999999E-2"/>
    <n v="0"/>
    <n v="0.12"/>
    <n v="7.9444999999999997"/>
    <x v="1"/>
    <n v="260"/>
    <x v="0"/>
    <n v="302"/>
    <n v="3.6423841059602648E-2"/>
    <s v="lower size (&lt; 9L)"/>
    <n v="0"/>
    <n v="0.13934426229508196"/>
    <s v=" not riskY"/>
    <d v="2025-04-30T00:00:00"/>
    <n v="18059300"/>
    <n v="20.262135922330096"/>
    <s v="Old Loan"/>
    <s v="Q22025"/>
    <n v="80205600"/>
    <s v="L52398658|C6437597|45764|Auto Loan|Call Center|South|Contract|360|433100|7|2881|266634|825|A|0.38|0.73|595100|8|21254|419931|0|0|0|Active"/>
    <x v="3"/>
  </r>
  <r>
    <s v="L83950700"/>
    <s v="C8637044"/>
    <x v="206"/>
    <x v="1"/>
    <x v="1"/>
    <x v="0"/>
    <x v="1"/>
    <n v="24"/>
    <n v="2782200"/>
    <n v="17.170000000000002"/>
    <n v="137786"/>
    <n v="1149549"/>
    <n v="639"/>
    <x v="2"/>
    <n v="0.37"/>
    <n v="0.59"/>
    <n v="4748200"/>
    <n v="7"/>
    <n v="935698"/>
    <n v="1957966"/>
    <n v="0"/>
    <n v="0"/>
    <n v="0"/>
    <x v="2"/>
    <n v="201475100"/>
    <n v="94548000"/>
    <n v="301"/>
    <n v="2.5999999999999999E-2"/>
    <n v="0"/>
    <n v="5.8201058201058198E-2"/>
    <n v="18.241249999999997"/>
    <x v="1"/>
    <n v="260"/>
    <x v="2"/>
    <n v="57"/>
    <n v="0"/>
    <s v="medium size (&lt;=33L)"/>
    <n v="0"/>
    <n v="0.15909090909090909"/>
    <s v=" not riskY"/>
    <d v="2025-05-31T00:00:00"/>
    <n v="36698200"/>
    <n v="19.091954022988507"/>
    <s v="Old Loan"/>
    <s v="Q22025"/>
    <n v="80205600"/>
    <s v="L83950700|C8637044|45780|SME Loan|Branch|South|Contract|24|2782200|17.17|137786|1149549|639|D|0.37|0.59|4748200|7|935698|1957966|0|0|0|Active"/>
    <x v="3"/>
  </r>
  <r>
    <s v="L65317854"/>
    <s v="C6851125"/>
    <x v="207"/>
    <x v="3"/>
    <x v="0"/>
    <x v="2"/>
    <x v="2"/>
    <n v="60"/>
    <n v="7685900"/>
    <n v="11.28"/>
    <n v="168185"/>
    <n v="1513427"/>
    <n v="687"/>
    <x v="1"/>
    <n v="0.37"/>
    <n v="0.78"/>
    <n v="9796600"/>
    <n v="6"/>
    <n v="867786"/>
    <n v="6991508"/>
    <n v="90"/>
    <n v="1"/>
    <n v="1"/>
    <x v="3"/>
    <n v="403369500"/>
    <n v="98928695"/>
    <n v="13"/>
    <n v="2.5999999999999999E-2"/>
    <n v="2.8571428571428571E-2"/>
    <n v="7.1090047393364927E-2"/>
    <n v="11.719736842105268"/>
    <x v="1"/>
    <n v="260"/>
    <x v="0"/>
    <n v="302"/>
    <n v="3.6423841059602648E-2"/>
    <s v="larger size (&gt; 33L)"/>
    <n v="1"/>
    <n v="0.16250000000000001"/>
    <s v="high risk"/>
    <d v="2025-06-30T00:00:00"/>
    <n v="25448100"/>
    <n v="20.516129032258064"/>
    <s v="Old Loan"/>
    <s v="Q22025"/>
    <n v="80205600"/>
    <s v="L65317854|C6851125|45829|Home Loan|Online|Central|Self-Employed|60|7685900|11.28|168185|1513427|687|C|0.37|0.78|9796600|6|867786|6991508|90|1|1|Default"/>
    <x v="3"/>
  </r>
  <r>
    <s v="L49304565"/>
    <s v="C7037588"/>
    <x v="208"/>
    <x v="1"/>
    <x v="2"/>
    <x v="2"/>
    <x v="0"/>
    <n v="24"/>
    <n v="1804200"/>
    <n v="17.16"/>
    <n v="89343"/>
    <n v="1061077"/>
    <n v="659"/>
    <x v="1"/>
    <n v="0.36"/>
    <n v="0.87"/>
    <n v="2065700"/>
    <n v="6"/>
    <n v="460408"/>
    <n v="1405712"/>
    <n v="0"/>
    <n v="0"/>
    <n v="0"/>
    <x v="2"/>
    <n v="201475100"/>
    <n v="98928695"/>
    <n v="301"/>
    <n v="2.5999999999999999E-2"/>
    <n v="2.8571428571428571E-2"/>
    <n v="0.1"/>
    <n v="15.841379310344831"/>
    <x v="1"/>
    <n v="260"/>
    <x v="1"/>
    <n v="141"/>
    <n v="1.4184397163120567E-2"/>
    <s v="medium size (&lt;=33L)"/>
    <n v="0"/>
    <n v="0.15909090909090909"/>
    <s v=" not riskY"/>
    <d v="2025-06-30T00:00:00"/>
    <n v="25448100"/>
    <n v="19.091954022988507"/>
    <s v="Old Loan"/>
    <s v="Q22025"/>
    <n v="80205600"/>
    <s v="L49304565|C7037588|45822|SME Loan|Partner|Central|Salaried|24|1804200|17.16|89343|1061077|659|C|0.36|0.87|2065700|6|460408|1405712|0|0|0|Active"/>
    <x v="3"/>
  </r>
  <r>
    <s v="L35949529"/>
    <s v="C6214280"/>
    <x v="209"/>
    <x v="1"/>
    <x v="1"/>
    <x v="2"/>
    <x v="3"/>
    <n v="12"/>
    <n v="2462600"/>
    <n v="10.99"/>
    <n v="217637"/>
    <n v="1068084"/>
    <n v="772"/>
    <x v="3"/>
    <n v="0.34"/>
    <n v="0.75"/>
    <n v="3274800"/>
    <n v="8"/>
    <n v="1514821"/>
    <n v="1019950"/>
    <n v="0"/>
    <n v="1"/>
    <n v="0"/>
    <x v="1"/>
    <n v="201475100"/>
    <n v="98928695"/>
    <n v="139"/>
    <n v="2.5999999999999999E-2"/>
    <n v="2.8571428571428571E-2"/>
    <n v="5.8201058201058198E-2"/>
    <n v="10.537499999999998"/>
    <x v="1"/>
    <n v="260"/>
    <x v="0"/>
    <n v="302"/>
    <n v="3.6423841059602648E-2"/>
    <s v="medium size (&lt;=33L)"/>
    <n v="0"/>
    <n v="0.15909090909090909"/>
    <s v=" not riskY"/>
    <d v="2025-04-30T00:00:00"/>
    <n v="18059300"/>
    <n v="19.091954022988507"/>
    <s v="Old Loan"/>
    <s v="Q22025"/>
    <n v="80205600"/>
    <s v="L35949529|C6214280|45756|SME Loan|Branch|Central|Unemployed|12|2462600|10.99|217637|1068084|772|A|0.34|0.75|3274800|8|1514821|1019950|0|1|0|Closed"/>
    <x v="3"/>
  </r>
  <r>
    <s v="L34889349"/>
    <s v="C5328193"/>
    <x v="210"/>
    <x v="4"/>
    <x v="0"/>
    <x v="3"/>
    <x v="2"/>
    <n v="360"/>
    <n v="1813000"/>
    <n v="15.21"/>
    <n v="23229"/>
    <n v="1393557"/>
    <n v="631"/>
    <x v="2"/>
    <n v="0.34"/>
    <n v="0.52"/>
    <n v="0"/>
    <n v="8"/>
    <n v="188052"/>
    <n v="1698483"/>
    <n v="0"/>
    <n v="0"/>
    <n v="0"/>
    <x v="2"/>
    <n v="62765800"/>
    <n v="105779369"/>
    <n v="301"/>
    <n v="2.5999999999999999E-2"/>
    <n v="2.6548672566371681E-2"/>
    <n v="7.1090047393364927E-2"/>
    <n v="15.810000000000002"/>
    <x v="1"/>
    <n v="260"/>
    <x v="2"/>
    <n v="57"/>
    <n v="0"/>
    <s v="medium size (&lt;=33L)"/>
    <n v="0"/>
    <n v="0.15909090909090909"/>
    <s v=" not riskY"/>
    <d v="2025-04-30T00:00:00"/>
    <n v="18059300"/>
    <n v="21.962962962962962"/>
    <s v="Old Loan"/>
    <s v="Q22025"/>
    <n v="80205600"/>
    <s v="L34889349|C5328193|45769|Education Loan|Online|North|Self-Employed|360|1813000|15.21|23229|1393557|631|D|0.34|0.52|0|8|188052|1698483|0|0|0|Active"/>
    <x v="3"/>
  </r>
  <r>
    <s v="L99822507"/>
    <s v="C1039412"/>
    <x v="211"/>
    <x v="1"/>
    <x v="0"/>
    <x v="0"/>
    <x v="0"/>
    <n v="48"/>
    <n v="3147900"/>
    <n v="20.14"/>
    <n v="96027"/>
    <n v="667395"/>
    <n v="595"/>
    <x v="4"/>
    <n v="0.33"/>
    <n v="0.67"/>
    <n v="4718400"/>
    <n v="7"/>
    <n v="638912"/>
    <n v="2656918"/>
    <n v="0"/>
    <n v="0"/>
    <n v="0"/>
    <x v="2"/>
    <n v="201475100"/>
    <n v="94548000"/>
    <n v="301"/>
    <n v="2.5999999999999999E-2"/>
    <n v="0"/>
    <n v="7.1090047393364927E-2"/>
    <n v="20.521428571428572"/>
    <x v="1"/>
    <n v="260"/>
    <x v="0"/>
    <n v="302"/>
    <n v="3.6423841059602648E-2"/>
    <s v="medium size (&lt;=33L)"/>
    <n v="0"/>
    <n v="0.15909090909090909"/>
    <s v="high risk"/>
    <d v="2025-05-31T00:00:00"/>
    <n v="36698200"/>
    <n v="19.091954022988507"/>
    <s v="Old Loan"/>
    <s v="Q22025"/>
    <n v="80205600"/>
    <s v="L99822507|C1039412|45784|SME Loan|Online|South|Salaried|48|3147900|20.14|96027|667395|595|E|0.33|0.67|4718400|7|638912|2656918|0|0|0|Active"/>
    <x v="0"/>
  </r>
  <r>
    <s v="L66678787"/>
    <s v="C9323576"/>
    <x v="212"/>
    <x v="1"/>
    <x v="1"/>
    <x v="1"/>
    <x v="2"/>
    <n v="72"/>
    <n v="1994100"/>
    <n v="14.45"/>
    <n v="41572"/>
    <n v="710306"/>
    <n v="708"/>
    <x v="0"/>
    <n v="0.31"/>
    <n v="0.77"/>
    <n v="2604900"/>
    <n v="8"/>
    <n v="285250"/>
    <n v="1785689"/>
    <n v="0"/>
    <n v="0"/>
    <n v="0"/>
    <x v="2"/>
    <n v="201475100"/>
    <n v="83903255"/>
    <n v="301"/>
    <n v="2.5999999999999999E-2"/>
    <n v="4.2553191489361701E-2"/>
    <n v="5.8201058201058198E-2"/>
    <n v="13.042631578947367"/>
    <x v="1"/>
    <n v="260"/>
    <x v="0"/>
    <n v="302"/>
    <n v="3.6423841059602648E-2"/>
    <s v="medium size (&lt;=33L)"/>
    <n v="0"/>
    <n v="0.15909090909090909"/>
    <s v=" not riskY"/>
    <d v="2025-04-30T00:00:00"/>
    <n v="18059300"/>
    <n v="19.091954022988507"/>
    <s v="Old Loan"/>
    <s v="Q22025"/>
    <n v="80205600"/>
    <s v="L66678787|C9323576|45761|SME Loan|Branch|West|Self-Employed|72|1994100|14.45|41572|710306|708|B|0.31|0.77|2604900|8|285250|1785689|0|0|0|Active"/>
    <x v="0"/>
  </r>
  <r>
    <s v="L90272030"/>
    <s v="C1141744"/>
    <x v="213"/>
    <x v="2"/>
    <x v="1"/>
    <x v="0"/>
    <x v="0"/>
    <n v="48"/>
    <n v="1125700"/>
    <n v="17.89"/>
    <n v="33003"/>
    <n v="1239674"/>
    <n v="567"/>
    <x v="4"/>
    <n v="0.3"/>
    <n v="0.94"/>
    <n v="1199200"/>
    <n v="6"/>
    <n v="179459"/>
    <n v="986519"/>
    <n v="0"/>
    <n v="0"/>
    <n v="0"/>
    <x v="2"/>
    <n v="92273000"/>
    <n v="94548000"/>
    <n v="301"/>
    <n v="2.5999999999999999E-2"/>
    <n v="0"/>
    <n v="5.8201058201058198E-2"/>
    <n v="17.744166666666668"/>
    <x v="1"/>
    <n v="260"/>
    <x v="1"/>
    <n v="141"/>
    <n v="1.4184397163120567E-2"/>
    <s v="medium size (&lt;=33L)"/>
    <n v="0"/>
    <n v="0.15909090909090909"/>
    <s v="high risk"/>
    <d v="2025-06-30T00:00:00"/>
    <n v="25448100"/>
    <n v="20.262135922330096"/>
    <s v="Old Loan"/>
    <s v="Q22025"/>
    <n v="80205600"/>
    <s v="L90272030|C1141744|45835|Auto Loan|Branch|South|Salaried|48|1125700|17.89|33003|1239674|567|E|0.3|0.94|1199200|6|179459|986519|0|0|0|Active"/>
    <x v="0"/>
  </r>
  <r>
    <s v="L96570789"/>
    <s v="C5684926"/>
    <x v="214"/>
    <x v="3"/>
    <x v="1"/>
    <x v="2"/>
    <x v="2"/>
    <n v="240"/>
    <n v="5172000"/>
    <n v="11.85"/>
    <n v="56408"/>
    <n v="1406471"/>
    <n v="664"/>
    <x v="1"/>
    <n v="0.28999999999999998"/>
    <n v="0.92"/>
    <n v="5593700"/>
    <n v="6"/>
    <n v="343327"/>
    <n v="4951249"/>
    <n v="0"/>
    <n v="0"/>
    <n v="0"/>
    <x v="2"/>
    <n v="403369500"/>
    <n v="98928695"/>
    <n v="301"/>
    <n v="2.5999999999999999E-2"/>
    <n v="2.8571428571428571E-2"/>
    <n v="5.8201058201058198E-2"/>
    <n v="11.719736842105268"/>
    <x v="2"/>
    <n v="122"/>
    <x v="1"/>
    <n v="141"/>
    <n v="1.4184397163120567E-2"/>
    <s v="larger size (&gt; 33L)"/>
    <n v="0"/>
    <n v="0.16250000000000001"/>
    <s v=" not riskY"/>
    <d v="2025-06-30T00:00:00"/>
    <n v="25448100"/>
    <n v="20.516129032258064"/>
    <s v="Old Loan"/>
    <s v="Q22025"/>
    <n v="80205600"/>
    <s v="L96570789|C5684926|45819|Home Loan|Branch|Central|Self-Employed|240|5172000|11.85|56408|1406471|664|C|0.29|0.92|5593700|6|343327|4951249|0|0|0|Active"/>
    <x v="0"/>
  </r>
  <r>
    <s v="L82683769"/>
    <s v="C5088861"/>
    <x v="215"/>
    <x v="2"/>
    <x v="0"/>
    <x v="2"/>
    <x v="0"/>
    <n v="18"/>
    <n v="769200"/>
    <n v="11.07"/>
    <n v="46576"/>
    <n v="759026"/>
    <n v="725"/>
    <x v="0"/>
    <n v="0.27"/>
    <n v="0.82"/>
    <n v="940400"/>
    <n v="7"/>
    <n v="298980"/>
    <n v="490088"/>
    <n v="15"/>
    <n v="0"/>
    <n v="0"/>
    <x v="2"/>
    <n v="92273000"/>
    <n v="98928695"/>
    <n v="301"/>
    <n v="2.5999999999999999E-2"/>
    <n v="2.8571428571428571E-2"/>
    <n v="7.1090047393364927E-2"/>
    <n v="10.611923076923079"/>
    <x v="2"/>
    <n v="122"/>
    <x v="1"/>
    <n v="141"/>
    <n v="1.4184397163120567E-2"/>
    <s v="lower size (&lt; 9L)"/>
    <n v="0"/>
    <n v="0.13934426229508196"/>
    <s v=" not riskY"/>
    <d v="2025-05-31T00:00:00"/>
    <n v="36698200"/>
    <n v="20.262135922330096"/>
    <s v="Old Loan"/>
    <s v="Q22025"/>
    <n v="80205600"/>
    <s v="L82683769|C5088861|45789|Auto Loan|Online|Central|Salaried|18|769200|11.07|46576|759026|725|B|0.27|0.82|940400|7|298980|490088|15|0|0|Active"/>
    <x v="0"/>
  </r>
  <r>
    <s v="L33036858"/>
    <s v="C2406931"/>
    <x v="216"/>
    <x v="4"/>
    <x v="2"/>
    <x v="2"/>
    <x v="0"/>
    <n v="60"/>
    <n v="1086600"/>
    <n v="14.64"/>
    <n v="25645"/>
    <n v="1417857"/>
    <n v="676"/>
    <x v="1"/>
    <n v="0.26"/>
    <n v="0.68"/>
    <n v="0"/>
    <n v="7"/>
    <n v="178188"/>
    <n v="945530"/>
    <n v="10"/>
    <n v="0"/>
    <n v="0"/>
    <x v="2"/>
    <n v="62765800"/>
    <n v="98928695"/>
    <n v="301"/>
    <n v="2.5999999999999999E-2"/>
    <n v="2.8571428571428571E-2"/>
    <n v="0.1"/>
    <n v="13.463888888888889"/>
    <x v="2"/>
    <n v="122"/>
    <x v="0"/>
    <n v="302"/>
    <n v="3.6423841059602648E-2"/>
    <s v="medium size (&lt;=33L)"/>
    <n v="0"/>
    <n v="0.15909090909090909"/>
    <s v=" not riskY"/>
    <d v="2025-05-31T00:00:00"/>
    <n v="36698200"/>
    <n v="21.962962962962962"/>
    <s v="Old Loan"/>
    <s v="Q22025"/>
    <n v="80205600"/>
    <s v="L33036858|C2406931|45785|Education Loan|Partner|Central|Salaried|60|1086600|14.64|25645|1417857|676|C|0.26|0.68|0|7|178188|945530|10|0|0|Active"/>
    <x v="0"/>
  </r>
  <r>
    <s v="L30937666"/>
    <s v="C6871897"/>
    <x v="217"/>
    <x v="0"/>
    <x v="3"/>
    <x v="3"/>
    <x v="0"/>
    <n v="72"/>
    <n v="473300"/>
    <n v="16.13"/>
    <n v="10301"/>
    <n v="790926"/>
    <n v="742"/>
    <x v="0"/>
    <n v="0.23"/>
    <n v="0.55000000000000004"/>
    <n v="0"/>
    <n v="7"/>
    <n v="72786"/>
    <n v="418327"/>
    <n v="0"/>
    <n v="0"/>
    <n v="0"/>
    <x v="2"/>
    <n v="74897600"/>
    <n v="105779369"/>
    <n v="301"/>
    <n v="2.5999999999999999E-2"/>
    <n v="2.6548672566371681E-2"/>
    <n v="0.12"/>
    <n v="16.500166666666669"/>
    <x v="2"/>
    <n v="122"/>
    <x v="2"/>
    <n v="57"/>
    <n v="0"/>
    <s v="lower size (&lt; 9L)"/>
    <n v="0"/>
    <n v="0.13934426229508196"/>
    <s v=" not riskY"/>
    <d v="2025-05-31T00:00:00"/>
    <n v="36698200"/>
    <n v="21.092024539877301"/>
    <s v="Old Loan"/>
    <s v="Q22025"/>
    <n v="80205600"/>
    <s v="L30937666|C6871897|45795|Personal Loan|Call Center|North|Salaried|72|473300|16.13|10301|790926|742|B|0.23|0.55|0|7|72786|418327|0|0|0|Active"/>
    <x v="0"/>
  </r>
  <r>
    <s v="L22950775"/>
    <s v="C2558150"/>
    <x v="218"/>
    <x v="2"/>
    <x v="2"/>
    <x v="1"/>
    <x v="0"/>
    <n v="12"/>
    <n v="1171800"/>
    <n v="10.58"/>
    <n v="103336"/>
    <n v="1400822"/>
    <n v="717"/>
    <x v="0"/>
    <n v="0.23"/>
    <n v="0.59"/>
    <n v="1983500"/>
    <n v="6"/>
    <n v="578881"/>
    <n v="617714"/>
    <n v="45"/>
    <n v="0"/>
    <n v="0"/>
    <x v="0"/>
    <n v="92273000"/>
    <n v="83903255"/>
    <n v="47"/>
    <n v="2.5999999999999999E-2"/>
    <n v="4.2553191489361701E-2"/>
    <n v="0.1"/>
    <n v="10.611923076923079"/>
    <x v="2"/>
    <n v="122"/>
    <x v="2"/>
    <n v="57"/>
    <n v="0"/>
    <s v="medium size (&lt;=33L)"/>
    <n v="1"/>
    <n v="0.15909090909090909"/>
    <s v="high risk"/>
    <d v="2025-06-30T00:00:00"/>
    <n v="25448100"/>
    <n v="20.262135922330096"/>
    <s v="Old Loan"/>
    <s v="Q22025"/>
    <n v="80205600"/>
    <s v="L22950775|C2558150|45812|Auto Loan|Partner|West|Salaried|12|1171800|10.58|103336|1400822|717|B|0.23|0.59|1983500|6|578881|617714|45|0|0|Delinquent"/>
    <x v="0"/>
  </r>
  <r>
    <s v="L10585992"/>
    <s v="C9542284"/>
    <x v="206"/>
    <x v="1"/>
    <x v="2"/>
    <x v="2"/>
    <x v="0"/>
    <n v="60"/>
    <n v="2283600"/>
    <n v="11.46"/>
    <n v="50176"/>
    <n v="480309"/>
    <n v="722"/>
    <x v="0"/>
    <n v="0.2"/>
    <n v="0.73"/>
    <n v="3116300"/>
    <n v="7"/>
    <n v="301210"/>
    <n v="2043453"/>
    <n v="0"/>
    <n v="0"/>
    <n v="0"/>
    <x v="2"/>
    <n v="201475100"/>
    <n v="98928695"/>
    <n v="301"/>
    <n v="2.5999999999999999E-2"/>
    <n v="2.8571428571428571E-2"/>
    <n v="0.1"/>
    <n v="13.042631578947367"/>
    <x v="2"/>
    <n v="122"/>
    <x v="0"/>
    <n v="302"/>
    <n v="3.6423841059602648E-2"/>
    <s v="medium size (&lt;=33L)"/>
    <n v="0"/>
    <n v="0.15909090909090909"/>
    <s v=" not riskY"/>
    <d v="2025-05-31T00:00:00"/>
    <n v="36698200"/>
    <n v="19.091954022988507"/>
    <s v="Old Loan"/>
    <s v="Q22025"/>
    <n v="80205600"/>
    <s v="L10585992|C9542284|45780|SME Loan|Partner|Central|Salaried|60|2283600|11.46|50176|480309|722|B|0.2|0.73|3116300|7|301210|2043453|0|0|0|Active"/>
    <x v="0"/>
  </r>
  <r>
    <s v="L36688168"/>
    <s v="C3290336"/>
    <x v="219"/>
    <x v="4"/>
    <x v="2"/>
    <x v="2"/>
    <x v="0"/>
    <n v="180"/>
    <n v="942800"/>
    <n v="11.68"/>
    <n v="11122"/>
    <n v="625810"/>
    <n v="704"/>
    <x v="0"/>
    <n v="0.18"/>
    <n v="0.69"/>
    <n v="0"/>
    <n v="7"/>
    <n v="73450"/>
    <n v="895044"/>
    <n v="5"/>
    <n v="1"/>
    <n v="0"/>
    <x v="1"/>
    <n v="62765800"/>
    <n v="98928695"/>
    <n v="139"/>
    <n v="2.5999999999999999E-2"/>
    <n v="2.8571428571428571E-2"/>
    <n v="0.1"/>
    <n v="10.832666666666663"/>
    <x v="3"/>
    <n v="86"/>
    <x v="0"/>
    <n v="302"/>
    <n v="3.6423841059602648E-2"/>
    <s v="medium size (&lt;=33L)"/>
    <n v="0"/>
    <n v="0.15909090909090909"/>
    <s v=" not riskY"/>
    <d v="2025-05-31T00:00:00"/>
    <n v="36698200"/>
    <n v="21.962962962962962"/>
    <s v="Old Loan"/>
    <s v="Q22025"/>
    <n v="80205600"/>
    <s v="L36688168|C3290336|45793|Education Loan|Partner|Central|Salaried|180|942800|11.68|11122|625810|704|B|0.18|0.69|0|7|73450|895044|5|1|0|Closed"/>
    <x v="0"/>
  </r>
  <r>
    <s v="L20698682"/>
    <s v="C3555175"/>
    <x v="220"/>
    <x v="3"/>
    <x v="1"/>
    <x v="4"/>
    <x v="0"/>
    <n v="60"/>
    <n v="6299700"/>
    <n v="7"/>
    <n v="124742"/>
    <n v="1016040"/>
    <n v="797"/>
    <x v="3"/>
    <n v="0.17"/>
    <n v="0.89"/>
    <n v="7116000"/>
    <n v="7"/>
    <n v="818466"/>
    <n v="5584129"/>
    <n v="0"/>
    <n v="0"/>
    <n v="0"/>
    <x v="2"/>
    <n v="403369500"/>
    <n v="83297251"/>
    <n v="301"/>
    <n v="2.5999999999999999E-2"/>
    <n v="3.1914893617021274E-2"/>
    <n v="5.8201058201058198E-2"/>
    <n v="7.1876190476190471"/>
    <x v="3"/>
    <n v="86"/>
    <x v="1"/>
    <n v="141"/>
    <n v="1.4184397163120567E-2"/>
    <s v="larger size (&gt; 33L)"/>
    <n v="0"/>
    <n v="0.16250000000000001"/>
    <s v=" not riskY"/>
    <d v="2025-05-31T00:00:00"/>
    <n v="36698200"/>
    <n v="20.516129032258064"/>
    <s v="Old Loan"/>
    <s v="Q22025"/>
    <n v="80205600"/>
    <s v="L20698682|C3555175|45782|Home Loan|Branch|East|Salaried|60|6299700|7|124742|1016040|797|A|0.17|0.89|7116000|7|818466|5584129|0|0|0|Active"/>
    <x v="0"/>
  </r>
  <r>
    <s v="L68911436"/>
    <s v="C5779148"/>
    <x v="191"/>
    <x v="0"/>
    <x v="1"/>
    <x v="0"/>
    <x v="0"/>
    <n v="84"/>
    <n v="577000"/>
    <n v="23"/>
    <n v="13875"/>
    <n v="712719"/>
    <n v="614"/>
    <x v="2"/>
    <n v="0.13"/>
    <n v="0.65"/>
    <n v="0"/>
    <n v="8"/>
    <n v="103727"/>
    <n v="508662"/>
    <n v="0"/>
    <n v="0"/>
    <n v="0"/>
    <x v="2"/>
    <n v="74897600"/>
    <n v="94548000"/>
    <n v="301"/>
    <n v="2.5999999999999999E-2"/>
    <n v="0"/>
    <n v="5.8201058201058198E-2"/>
    <n v="20.962592592592593"/>
    <x v="3"/>
    <n v="86"/>
    <x v="0"/>
    <n v="302"/>
    <n v="3.6423841059602648E-2"/>
    <s v="lower size (&lt; 9L)"/>
    <n v="0"/>
    <n v="0.13934426229508196"/>
    <s v=" not riskY"/>
    <d v="2025-04-30T00:00:00"/>
    <n v="18059300"/>
    <n v="21.092024539877301"/>
    <s v="Old Loan"/>
    <s v="Q22025"/>
    <n v="80205600"/>
    <s v="L68911436|C5779148|45777|Personal Loan|Branch|South|Salaried|84|577000|23|13875|712719|614|D|0.13|0.65|0|8|103727|508662|0|0|0|Active"/>
    <x v="0"/>
  </r>
  <r>
    <s v="L60804990"/>
    <s v="C1915047"/>
    <x v="221"/>
    <x v="3"/>
    <x v="0"/>
    <x v="0"/>
    <x v="2"/>
    <n v="24"/>
    <n v="3040400"/>
    <n v="13.74"/>
    <n v="145605"/>
    <n v="269832"/>
    <n v="640"/>
    <x v="2"/>
    <n v="0.13"/>
    <n v="0.54"/>
    <n v="5635800"/>
    <n v="8"/>
    <n v="1122023"/>
    <n v="2029777"/>
    <n v="60"/>
    <n v="0"/>
    <n v="0"/>
    <x v="0"/>
    <n v="403369500"/>
    <n v="94548000"/>
    <n v="47"/>
    <n v="2.5999999999999999E-2"/>
    <n v="0"/>
    <n v="7.1090047393364927E-2"/>
    <n v="13.406874999999999"/>
    <x v="3"/>
    <n v="86"/>
    <x v="2"/>
    <n v="57"/>
    <n v="0"/>
    <s v="medium size (&lt;=33L)"/>
    <n v="1"/>
    <n v="0.15909090909090909"/>
    <s v="high risk"/>
    <d v="2025-04-30T00:00:00"/>
    <n v="18059300"/>
    <n v="20.516129032258064"/>
    <s v="Old Loan"/>
    <s v="Q22025"/>
    <n v="80205600"/>
    <s v="L60804990|C1915047|45757|Home Loan|Online|South|Self-Employed|24|3040400|13.74|145605|269832|640|D|0.13|0.54|5635800|8|1122023|2029777|60|0|0|Delinquent"/>
    <x v="0"/>
  </r>
  <r>
    <s v="L69788218"/>
    <s v="C1316324"/>
    <x v="222"/>
    <x v="4"/>
    <x v="1"/>
    <x v="3"/>
    <x v="2"/>
    <n v="120"/>
    <n v="901100"/>
    <n v="10.54"/>
    <n v="12179"/>
    <n v="552504"/>
    <n v="739"/>
    <x v="0"/>
    <n v="0.12"/>
    <n v="0.43"/>
    <n v="0"/>
    <n v="8"/>
    <n v="85746"/>
    <n v="840681"/>
    <n v="0"/>
    <n v="0"/>
    <n v="0"/>
    <x v="2"/>
    <n v="62765800"/>
    <n v="105779369"/>
    <n v="301"/>
    <n v="2.5999999999999999E-2"/>
    <n v="2.6548672566371681E-2"/>
    <n v="5.8201058201058198E-2"/>
    <n v="10.832666666666663"/>
    <x v="3"/>
    <n v="86"/>
    <x v="2"/>
    <n v="57"/>
    <n v="0"/>
    <s v="medium size (&lt;=33L)"/>
    <n v="0"/>
    <n v="0.15909090909090909"/>
    <s v=" not riskY"/>
    <d v="2025-04-30T00:00:00"/>
    <n v="18059300"/>
    <n v="21.962962962962962"/>
    <s v="Old Loan"/>
    <s v="Q22025"/>
    <n v="80205600"/>
    <s v="L69788218|C1316324|45774|Education Loan|Branch|North|Self-Employed|120|901100|10.54|12179|552504|739|B|0.12|0.43|0|8|85746|840681|0|0|0|Active"/>
    <x v="0"/>
  </r>
  <r>
    <s v="L50534734"/>
    <s v="C8421977"/>
    <x v="223"/>
    <x v="2"/>
    <x v="0"/>
    <x v="2"/>
    <x v="3"/>
    <n v="60"/>
    <n v="591800"/>
    <n v="13.33"/>
    <n v="13565"/>
    <n v="1362877"/>
    <n v="646"/>
    <x v="2"/>
    <n v="0.09"/>
    <n v="0.6"/>
    <n v="979400"/>
    <n v="8"/>
    <n v="92991"/>
    <n v="519846"/>
    <n v="30"/>
    <n v="0"/>
    <n v="0"/>
    <x v="0"/>
    <n v="92273000"/>
    <n v="98928695"/>
    <n v="47"/>
    <n v="2.5999999999999999E-2"/>
    <n v="2.8571428571428571E-2"/>
    <n v="7.1090047393364927E-2"/>
    <n v="15.092000000000001"/>
    <x v="3"/>
    <n v="86"/>
    <x v="0"/>
    <n v="302"/>
    <n v="3.6423841059602648E-2"/>
    <s v="lower size (&lt; 9L)"/>
    <n v="1"/>
    <n v="0.13934426229508196"/>
    <s v="high risk"/>
    <d v="2025-04-30T00:00:00"/>
    <n v="18059300"/>
    <n v="20.262135922330096"/>
    <s v="Old Loan"/>
    <s v="Q22025"/>
    <n v="80205600"/>
    <s v="L50534734|C8421977|45766|Auto Loan|Online|Central|Unemployed|60|591800|13.33|13565|1362877|646|D|0.09|0.6|979400|8|92991|519846|30|0|0|Delinquent"/>
    <x v="0"/>
  </r>
  <r>
    <s v="L56355141"/>
    <s v="C1049260"/>
    <x v="224"/>
    <x v="1"/>
    <x v="0"/>
    <x v="1"/>
    <x v="0"/>
    <n v="36"/>
    <n v="1413400"/>
    <n v="15.88"/>
    <n v="49607"/>
    <n v="698156"/>
    <n v="664"/>
    <x v="1"/>
    <n v="0.53"/>
    <n v="0.72"/>
    <n v="1954800"/>
    <n v="36"/>
    <n v="1754757"/>
    <n v="0"/>
    <n v="0"/>
    <n v="0"/>
    <n v="0"/>
    <x v="1"/>
    <n v="201475100"/>
    <n v="83903255"/>
    <n v="139"/>
    <n v="2.5999999999999999E-2"/>
    <n v="4.2553191489361701E-2"/>
    <n v="7.1090047393364927E-2"/>
    <n v="15.841379310344831"/>
    <x v="0"/>
    <n v="32"/>
    <x v="0"/>
    <n v="302"/>
    <n v="3.6423841059602648E-2"/>
    <s v="medium size (&lt;=33L)"/>
    <n v="0"/>
    <n v="0.15909090909090909"/>
    <s v="high risk"/>
    <d v="2022-09-30T00:00:00"/>
    <n v="15111800"/>
    <n v="19.091954022988507"/>
    <s v="Old Loan"/>
    <s v="Q32022"/>
    <n v="29441400"/>
    <s v="L56355141|C1049260|44828|SME Loan|Online|West|Salaried|36|1413400|15.88|49607|698156|664|C|0.53|0.72|1954800|36|1754757|0|0|0|0|Closed"/>
    <x v="0"/>
  </r>
  <r>
    <s v="L82440920"/>
    <s v="C2210969"/>
    <x v="225"/>
    <x v="4"/>
    <x v="2"/>
    <x v="1"/>
    <x v="1"/>
    <n v="24"/>
    <n v="1143200"/>
    <n v="11.51"/>
    <n v="53553"/>
    <n v="1607224"/>
    <n v="724"/>
    <x v="0"/>
    <n v="0.45"/>
    <n v="0.67"/>
    <n v="0"/>
    <n v="24"/>
    <n v="1145123"/>
    <n v="103343"/>
    <n v="0"/>
    <n v="0"/>
    <n v="0"/>
    <x v="1"/>
    <n v="62765800"/>
    <n v="83903255"/>
    <n v="139"/>
    <n v="2.5999999999999999E-2"/>
    <n v="4.2553191489361701E-2"/>
    <n v="0.1"/>
    <n v="10.832666666666663"/>
    <x v="1"/>
    <n v="260"/>
    <x v="0"/>
    <n v="302"/>
    <n v="3.6423841059602648E-2"/>
    <s v="medium size (&lt;=33L)"/>
    <n v="0"/>
    <n v="0.15909090909090909"/>
    <s v=" not riskY"/>
    <d v="2022-08-31T00:00:00"/>
    <n v="9810900"/>
    <n v="21.962962962962962"/>
    <s v="Old Loan"/>
    <s v="Q32022"/>
    <n v="29441400"/>
    <s v="L82440920|C2210969|44777|Education Loan|Partner|West|Contract|24|1143200|11.51|53553|1607224|724|B|0.45|0.67|0|24|1145123|103343|0|0|0|Closed"/>
    <x v="0"/>
  </r>
  <r>
    <s v="L54937628"/>
    <s v="C5130371"/>
    <x v="226"/>
    <x v="0"/>
    <x v="0"/>
    <x v="3"/>
    <x v="1"/>
    <n v="12"/>
    <n v="50000"/>
    <n v="16.62"/>
    <n v="4551"/>
    <n v="1175170"/>
    <n v="725"/>
    <x v="0"/>
    <n v="0.42"/>
    <n v="0.79"/>
    <n v="0"/>
    <n v="12"/>
    <n v="46430"/>
    <n v="6894"/>
    <n v="0"/>
    <n v="0"/>
    <n v="0"/>
    <x v="1"/>
    <n v="74897600"/>
    <n v="105779369"/>
    <n v="139"/>
    <n v="2.5999999999999999E-2"/>
    <n v="2.6548672566371681E-2"/>
    <n v="7.1090047393364927E-2"/>
    <n v="16.500166666666669"/>
    <x v="1"/>
    <n v="260"/>
    <x v="0"/>
    <n v="302"/>
    <n v="3.6423841059602648E-2"/>
    <s v="lower size (&lt; 9L)"/>
    <n v="0"/>
    <n v="0.13934426229508196"/>
    <s v=" not riskY"/>
    <d v="2022-09-30T00:00:00"/>
    <n v="15111800"/>
    <n v="21.092024539877301"/>
    <s v="Old Loan"/>
    <s v="Q32022"/>
    <n v="29441400"/>
    <s v="L54937628|C5130371|44815|Personal Loan|Online|North|Contract|12|50000|16.62|4551|1175170|725|B|0.42|0.79|0|12|46430|6894|0|0|0|Closed"/>
    <x v="0"/>
  </r>
  <r>
    <s v="L50154064"/>
    <s v="C4660453"/>
    <x v="227"/>
    <x v="0"/>
    <x v="0"/>
    <x v="2"/>
    <x v="1"/>
    <n v="120"/>
    <n v="530900"/>
    <n v="15.86"/>
    <n v="8847"/>
    <n v="931555"/>
    <n v="733"/>
    <x v="0"/>
    <n v="0.41"/>
    <n v="0.87"/>
    <n v="0"/>
    <n v="41"/>
    <n v="342485"/>
    <n v="303489"/>
    <n v="30"/>
    <n v="0"/>
    <n v="0"/>
    <x v="0"/>
    <n v="74897600"/>
    <n v="98928695"/>
    <n v="47"/>
    <n v="2.5999999999999999E-2"/>
    <n v="2.8571428571428571E-2"/>
    <n v="7.1090047393364927E-2"/>
    <n v="16.500166666666669"/>
    <x v="1"/>
    <n v="260"/>
    <x v="1"/>
    <n v="141"/>
    <n v="1.4184397163120567E-2"/>
    <s v="lower size (&lt; 9L)"/>
    <n v="1"/>
    <n v="0.13934426229508196"/>
    <s v="high risk"/>
    <d v="2022-07-31T00:00:00"/>
    <n v="4518700"/>
    <n v="21.092024539877301"/>
    <s v="Old Loan"/>
    <s v="Q32022"/>
    <n v="29441400"/>
    <s v="L50154064|C4660453|44765|Personal Loan|Online|Central|Contract|120|530900|15.86|8847|931555|733|B|0.41|0.87|0|41|342485|303489|30|0|0|Delinquent"/>
    <x v="0"/>
  </r>
  <r>
    <s v="L97763978"/>
    <s v="C1813966"/>
    <x v="228"/>
    <x v="4"/>
    <x v="2"/>
    <x v="4"/>
    <x v="0"/>
    <n v="360"/>
    <n v="1204100"/>
    <n v="15.68"/>
    <n v="15882"/>
    <n v="1169464"/>
    <n v="637"/>
    <x v="2"/>
    <n v="0.41"/>
    <n v="0.72"/>
    <n v="0"/>
    <n v="39"/>
    <n v="597866"/>
    <n v="851678"/>
    <n v="0"/>
    <n v="0"/>
    <n v="0"/>
    <x v="2"/>
    <n v="62765800"/>
    <n v="83297251"/>
    <n v="301"/>
    <n v="2.5999999999999999E-2"/>
    <n v="3.1914893617021274E-2"/>
    <n v="0.1"/>
    <n v="15.810000000000002"/>
    <x v="1"/>
    <n v="260"/>
    <x v="0"/>
    <n v="302"/>
    <n v="3.6423841059602648E-2"/>
    <s v="medium size (&lt;=33L)"/>
    <n v="0"/>
    <n v="0.15909090909090909"/>
    <s v=" not riskY"/>
    <d v="2022-09-30T00:00:00"/>
    <n v="15111800"/>
    <n v="21.962962962962962"/>
    <s v="Old Loan"/>
    <s v="Q32022"/>
    <n v="29441400"/>
    <s v="L97763978|C1813966|44830|Education Loan|Partner|East|Salaried|360|1204100|15.68|15882|1169464|637|D|0.41|0.72|0|39|597866|851678|0|0|0|Active"/>
    <x v="0"/>
  </r>
  <r>
    <s v="L21692935"/>
    <s v="C4362527"/>
    <x v="229"/>
    <x v="4"/>
    <x v="0"/>
    <x v="1"/>
    <x v="1"/>
    <n v="72"/>
    <n v="761600"/>
    <n v="19.420000000000002"/>
    <n v="17987"/>
    <n v="300984"/>
    <n v="557"/>
    <x v="4"/>
    <n v="0.4"/>
    <n v="0.74"/>
    <n v="0"/>
    <n v="40"/>
    <n v="673873"/>
    <n v="284931"/>
    <n v="0"/>
    <n v="0"/>
    <n v="0"/>
    <x v="2"/>
    <n v="62765800"/>
    <n v="83903255"/>
    <n v="301"/>
    <n v="2.5999999999999999E-2"/>
    <n v="4.2553191489361701E-2"/>
    <n v="7.1090047393364927E-2"/>
    <n v="19.806666666666668"/>
    <x v="1"/>
    <n v="260"/>
    <x v="0"/>
    <n v="302"/>
    <n v="3.6423841059602648E-2"/>
    <s v="lower size (&lt; 9L)"/>
    <n v="0"/>
    <n v="0.13934426229508196"/>
    <s v="high risk"/>
    <d v="2022-08-31T00:00:00"/>
    <n v="9810900"/>
    <n v="21.962962962962962"/>
    <s v="Old Loan"/>
    <s v="Q32022"/>
    <n v="29441400"/>
    <s v="L21692935|C4362527|44796|Education Loan|Online|West|Contract|72|761600|19.42|17987|300984|557|E|0.4|0.74|0|40|673873|284931|0|0|0|Active"/>
    <x v="0"/>
  </r>
  <r>
    <s v="L81715832"/>
    <s v="C5824612"/>
    <x v="230"/>
    <x v="0"/>
    <x v="0"/>
    <x v="4"/>
    <x v="0"/>
    <n v="360"/>
    <n v="254800"/>
    <n v="14.05"/>
    <n v="3029"/>
    <n v="1074926"/>
    <n v="783"/>
    <x v="3"/>
    <n v="0.39"/>
    <n v="0.75"/>
    <n v="0"/>
    <n v="39"/>
    <n v="108377"/>
    <n v="192962"/>
    <n v="0"/>
    <n v="0"/>
    <n v="0"/>
    <x v="2"/>
    <n v="74897600"/>
    <n v="83297251"/>
    <n v="301"/>
    <n v="2.5999999999999999E-2"/>
    <n v="3.1914893617021274E-2"/>
    <n v="7.1090047393364927E-2"/>
    <n v="13.328333333333335"/>
    <x v="1"/>
    <n v="260"/>
    <x v="0"/>
    <n v="302"/>
    <n v="3.6423841059602648E-2"/>
    <s v="lower size (&lt; 9L)"/>
    <n v="0"/>
    <n v="0.13934426229508196"/>
    <s v=" not riskY"/>
    <d v="2022-09-30T00:00:00"/>
    <n v="15111800"/>
    <n v="21.092024539877301"/>
    <s v="Old Loan"/>
    <s v="Q32022"/>
    <n v="29441400"/>
    <s v="L81715832|C5824612|44820|Personal Loan|Online|East|Salaried|360|254800|14.05|3029|1074926|783|A|0.39|0.75|0|39|108377|192962|0|0|0|Active"/>
    <x v="0"/>
  </r>
  <r>
    <s v="L62129761"/>
    <s v="C5393740"/>
    <x v="231"/>
    <x v="2"/>
    <x v="0"/>
    <x v="3"/>
    <x v="0"/>
    <n v="48"/>
    <n v="698400"/>
    <n v="8.61"/>
    <n v="17251"/>
    <n v="737467"/>
    <n v="753"/>
    <x v="3"/>
    <n v="0.39"/>
    <n v="0.75"/>
    <n v="931700"/>
    <n v="40"/>
    <n v="685258"/>
    <n v="93318"/>
    <n v="30"/>
    <n v="0"/>
    <n v="0"/>
    <x v="0"/>
    <n v="92273000"/>
    <n v="105779369"/>
    <n v="47"/>
    <n v="2.5999999999999999E-2"/>
    <n v="2.6548672566371681E-2"/>
    <n v="7.1090047393364927E-2"/>
    <n v="7.9444999999999997"/>
    <x v="1"/>
    <n v="260"/>
    <x v="0"/>
    <n v="302"/>
    <n v="3.6423841059602648E-2"/>
    <s v="lower size (&lt; 9L)"/>
    <n v="1"/>
    <n v="0.13934426229508196"/>
    <s v="high risk"/>
    <d v="2022-08-31T00:00:00"/>
    <n v="9810900"/>
    <n v="20.262135922330096"/>
    <s v="Old Loan"/>
    <s v="Q32022"/>
    <n v="29441400"/>
    <s v="L62129761|C5393740|44782|Auto Loan|Online|North|Salaried|48|698400|8.61|17251|737467|753|A|0.39|0.75|931700|40|685258|93318|30|0|0|Delinquent"/>
    <x v="0"/>
  </r>
  <r>
    <s v="L84048545"/>
    <s v="C2489785"/>
    <x v="232"/>
    <x v="3"/>
    <x v="0"/>
    <x v="3"/>
    <x v="1"/>
    <n v="180"/>
    <n v="5449500"/>
    <n v="8.34"/>
    <n v="53154"/>
    <n v="912768"/>
    <n v="711"/>
    <x v="0"/>
    <n v="0.39"/>
    <n v="0.78"/>
    <n v="7000100"/>
    <n v="39"/>
    <n v="2111466"/>
    <n v="3928869"/>
    <n v="0"/>
    <n v="0"/>
    <n v="0"/>
    <x v="2"/>
    <n v="403369500"/>
    <n v="105779369"/>
    <n v="301"/>
    <n v="2.5999999999999999E-2"/>
    <n v="2.6548672566371681E-2"/>
    <n v="7.1090047393364927E-2"/>
    <n v="8.8557142857142868"/>
    <x v="1"/>
    <n v="260"/>
    <x v="0"/>
    <n v="302"/>
    <n v="3.6423841059602648E-2"/>
    <s v="larger size (&gt; 33L)"/>
    <n v="0"/>
    <n v="0.16250000000000001"/>
    <s v=" not riskY"/>
    <d v="2022-09-30T00:00:00"/>
    <n v="15111800"/>
    <n v="20.516129032258064"/>
    <s v="Old Loan"/>
    <s v="Q32022"/>
    <n v="29441400"/>
    <s v="L84048545|C2489785|44809|Home Loan|Online|North|Contract|180|5449500|8.34|53154|912768|711|B|0.39|0.78|7000100|39|2111466|3928869|0|0|0|Active"/>
    <x v="0"/>
  </r>
  <r>
    <s v="L76508560"/>
    <s v="C7297983"/>
    <x v="233"/>
    <x v="2"/>
    <x v="3"/>
    <x v="1"/>
    <x v="0"/>
    <n v="24"/>
    <n v="648500"/>
    <n v="13.49"/>
    <n v="30980"/>
    <n v="150000"/>
    <n v="650"/>
    <x v="1"/>
    <n v="0.37"/>
    <n v="0.45"/>
    <n v="1429500"/>
    <n v="24"/>
    <n v="661448"/>
    <n v="57038"/>
    <n v="0"/>
    <n v="0"/>
    <n v="0"/>
    <x v="1"/>
    <n v="92273000"/>
    <n v="83903255"/>
    <n v="139"/>
    <n v="2.5999999999999999E-2"/>
    <n v="4.2553191489361701E-2"/>
    <n v="0.12"/>
    <n v="13.246500000000001"/>
    <x v="1"/>
    <n v="260"/>
    <x v="2"/>
    <n v="57"/>
    <n v="0"/>
    <s v="lower size (&lt; 9L)"/>
    <n v="0"/>
    <n v="0.13934426229508196"/>
    <s v=" not riskY"/>
    <d v="2022-09-30T00:00:00"/>
    <n v="15111800"/>
    <n v="20.262135922330096"/>
    <s v="Old Loan"/>
    <s v="Q32022"/>
    <n v="29441400"/>
    <s v="L76508560|C7297983|44826|Auto Loan|Call Center|West|Salaried|24|648500|13.49|30980|150000|650|C|0.37|0.45|1429500|24|661448|57038|0|0|0|Closed"/>
    <x v="1"/>
  </r>
  <r>
    <s v="L79105952"/>
    <s v="C8592174"/>
    <x v="234"/>
    <x v="3"/>
    <x v="0"/>
    <x v="0"/>
    <x v="0"/>
    <n v="360"/>
    <n v="1837000"/>
    <n v="9.27"/>
    <n v="15139"/>
    <n v="950930"/>
    <n v="713"/>
    <x v="0"/>
    <n v="0.36"/>
    <n v="0.82"/>
    <n v="2247500"/>
    <n v="41"/>
    <n v="573789"/>
    <n v="1495941"/>
    <n v="10"/>
    <n v="0"/>
    <n v="0"/>
    <x v="2"/>
    <n v="403369500"/>
    <n v="94548000"/>
    <n v="301"/>
    <n v="2.5999999999999999E-2"/>
    <n v="0"/>
    <n v="7.1090047393364927E-2"/>
    <n v="8.8557142857142868"/>
    <x v="1"/>
    <n v="260"/>
    <x v="1"/>
    <n v="141"/>
    <n v="1.4184397163120567E-2"/>
    <s v="medium size (&lt;=33L)"/>
    <n v="0"/>
    <n v="0.15909090909090909"/>
    <s v=" not riskY"/>
    <d v="2022-07-31T00:00:00"/>
    <n v="4518700"/>
    <n v="20.516129032258064"/>
    <s v="Old Loan"/>
    <s v="Q32022"/>
    <n v="29441400"/>
    <s v="L79105952|C8592174|44764|Home Loan|Online|South|Salaried|360|1837000|9.27|15139|950930|713|B|0.36|0.82|2247500|41|573789|1495941|10|0|0|Active"/>
    <x v="1"/>
  </r>
  <r>
    <s v="L52813443"/>
    <s v="C5713776"/>
    <x v="235"/>
    <x v="1"/>
    <x v="1"/>
    <x v="3"/>
    <x v="0"/>
    <n v="12"/>
    <n v="3338100"/>
    <n v="10.95"/>
    <n v="294949"/>
    <n v="1523803"/>
    <n v="788"/>
    <x v="3"/>
    <n v="0.32"/>
    <n v="0.79"/>
    <n v="4241400"/>
    <n v="12"/>
    <n v="3287074"/>
    <n v="197235"/>
    <n v="0"/>
    <n v="0"/>
    <n v="0"/>
    <x v="1"/>
    <n v="201475100"/>
    <n v="105779369"/>
    <n v="139"/>
    <n v="2.5999999999999999E-2"/>
    <n v="2.6548672566371681E-2"/>
    <n v="5.8201058201058198E-2"/>
    <n v="10.537499999999998"/>
    <x v="1"/>
    <n v="260"/>
    <x v="0"/>
    <n v="302"/>
    <n v="3.6423841059602648E-2"/>
    <s v="larger size (&gt; 33L)"/>
    <n v="0"/>
    <n v="0.16250000000000001"/>
    <s v=" not riskY"/>
    <d v="2022-08-31T00:00:00"/>
    <n v="9810900"/>
    <n v="19.091954022988507"/>
    <s v="Old Loan"/>
    <s v="Q32022"/>
    <n v="29441400"/>
    <s v="L52813443|C5713776|44799|SME Loan|Branch|North|Salaried|12|3338100|10.95|294949|1523803|788|A|0.32|0.79|4241400|12|3287074|197235|0|0|0|Closed"/>
    <x v="1"/>
  </r>
  <r>
    <s v="L35913858"/>
    <s v="C6307429"/>
    <x v="236"/>
    <x v="0"/>
    <x v="1"/>
    <x v="2"/>
    <x v="1"/>
    <n v="360"/>
    <n v="398400"/>
    <n v="10.14"/>
    <n v="3538"/>
    <n v="663314"/>
    <n v="850"/>
    <x v="3"/>
    <n v="0.32"/>
    <n v="0.61"/>
    <n v="0"/>
    <n v="40"/>
    <n v="127411"/>
    <n v="324853"/>
    <n v="0"/>
    <n v="1"/>
    <n v="0"/>
    <x v="1"/>
    <n v="74897600"/>
    <n v="98928695"/>
    <n v="139"/>
    <n v="2.5999999999999999E-2"/>
    <n v="2.8571428571428571E-2"/>
    <n v="5.8201058201058198E-2"/>
    <n v="13.328333333333335"/>
    <x v="1"/>
    <n v="260"/>
    <x v="0"/>
    <n v="302"/>
    <n v="3.6423841059602648E-2"/>
    <s v="lower size (&lt; 9L)"/>
    <n v="0"/>
    <n v="0.13934426229508196"/>
    <s v=" not riskY"/>
    <d v="2022-08-31T00:00:00"/>
    <n v="9810900"/>
    <n v="21.092024539877301"/>
    <s v="Old Loan"/>
    <s v="Q32022"/>
    <n v="29441400"/>
    <s v="L35913858|C6307429|44778|Personal Loan|Branch|Central|Contract|360|398400|10.14|3538|663314|850|A|0.32|0.61|0|40|127411|324853|0|1|0|Closed"/>
    <x v="1"/>
  </r>
  <r>
    <s v="L76903831"/>
    <s v="C5437751"/>
    <x v="237"/>
    <x v="2"/>
    <x v="1"/>
    <x v="3"/>
    <x v="0"/>
    <n v="12"/>
    <n v="378900"/>
    <n v="17.28"/>
    <n v="34608"/>
    <n v="1432595"/>
    <n v="562"/>
    <x v="4"/>
    <n v="0.3"/>
    <n v="0.7"/>
    <n v="542300"/>
    <n v="12"/>
    <n v="381832"/>
    <n v="23258"/>
    <n v="0"/>
    <n v="0"/>
    <n v="0"/>
    <x v="1"/>
    <n v="92273000"/>
    <n v="105779369"/>
    <n v="139"/>
    <n v="2.5999999999999999E-2"/>
    <n v="2.6548672566371681E-2"/>
    <n v="5.8201058201058198E-2"/>
    <n v="17.744166666666668"/>
    <x v="1"/>
    <n v="260"/>
    <x v="0"/>
    <n v="302"/>
    <n v="3.6423841059602648E-2"/>
    <s v="lower size (&lt; 9L)"/>
    <n v="0"/>
    <n v="0.13934426229508196"/>
    <s v="high risk"/>
    <d v="2022-07-31T00:00:00"/>
    <n v="4518700"/>
    <n v="20.262135922330096"/>
    <s v="Old Loan"/>
    <s v="Q32022"/>
    <n v="29441400"/>
    <s v="L76903831|C5437751|44768|Auto Loan|Branch|North|Salaried|12|378900|17.28|34608|1432595|562|E|0.3|0.7|542300|12|381832|23258|0|0|0|Closed"/>
    <x v="1"/>
  </r>
  <r>
    <s v="L55753532"/>
    <s v="C2164027"/>
    <x v="238"/>
    <x v="0"/>
    <x v="0"/>
    <x v="3"/>
    <x v="0"/>
    <n v="240"/>
    <n v="416800"/>
    <n v="22.07"/>
    <n v="7763"/>
    <n v="760982"/>
    <n v="589"/>
    <x v="4"/>
    <n v="0.28999999999999998"/>
    <n v="0.53"/>
    <n v="0"/>
    <n v="41"/>
    <n v="323820"/>
    <n v="218697"/>
    <n v="60"/>
    <n v="0"/>
    <n v="0"/>
    <x v="0"/>
    <n v="74897600"/>
    <n v="105779369"/>
    <n v="47"/>
    <n v="2.5999999999999999E-2"/>
    <n v="2.6548672566371681E-2"/>
    <n v="7.1090047393364927E-2"/>
    <n v="23.803750000000001"/>
    <x v="2"/>
    <n v="122"/>
    <x v="2"/>
    <n v="57"/>
    <n v="0"/>
    <s v="lower size (&lt; 9L)"/>
    <n v="1"/>
    <n v="0.13934426229508196"/>
    <s v="high risk"/>
    <d v="2022-07-31T00:00:00"/>
    <n v="4518700"/>
    <n v="21.092024539877301"/>
    <s v="Old Loan"/>
    <s v="Q32022"/>
    <n v="29441400"/>
    <s v="L55753532|C2164027|44761|Personal Loan|Online|North|Salaried|240|416800|22.07|7763|760982|589|E|0.29|0.53|0|41|323820|218697|60|0|0|Delinquent"/>
    <x v="1"/>
  </r>
  <r>
    <s v="L78227896"/>
    <s v="C1480437"/>
    <x v="239"/>
    <x v="0"/>
    <x v="0"/>
    <x v="1"/>
    <x v="3"/>
    <n v="12"/>
    <n v="280700"/>
    <n v="12.65"/>
    <n v="25025"/>
    <n v="899212"/>
    <n v="780"/>
    <x v="3"/>
    <n v="0.28999999999999998"/>
    <n v="0.62"/>
    <n v="0"/>
    <n v="12"/>
    <n v="282241"/>
    <n v="12662"/>
    <n v="30"/>
    <n v="0"/>
    <n v="0"/>
    <x v="1"/>
    <n v="74897600"/>
    <n v="83903255"/>
    <n v="139"/>
    <n v="2.5999999999999999E-2"/>
    <n v="4.2553191489361701E-2"/>
    <n v="7.1090047393364927E-2"/>
    <n v="13.328333333333335"/>
    <x v="2"/>
    <n v="122"/>
    <x v="0"/>
    <n v="302"/>
    <n v="3.6423841059602648E-2"/>
    <s v="lower size (&lt; 9L)"/>
    <n v="1"/>
    <n v="0.13934426229508196"/>
    <s v="high risk"/>
    <d v="2022-08-31T00:00:00"/>
    <n v="9810900"/>
    <n v="21.092024539877301"/>
    <s v="Old Loan"/>
    <s v="Q32022"/>
    <n v="29441400"/>
    <s v="L78227896|C1480437|44781|Personal Loan|Online|West|Unemployed|12|280700|12.65|25025|899212|780|A|0.29|0.62|0|12|282241|12662|30|0|0|Closed"/>
    <x v="1"/>
  </r>
  <r>
    <s v="L66725433"/>
    <s v="C9382342"/>
    <x v="240"/>
    <x v="0"/>
    <x v="1"/>
    <x v="2"/>
    <x v="0"/>
    <n v="24"/>
    <n v="361500"/>
    <n v="13.36"/>
    <n v="17248"/>
    <n v="784777"/>
    <n v="772"/>
    <x v="3"/>
    <n v="0.28999999999999998"/>
    <n v="0.92"/>
    <n v="0"/>
    <n v="24"/>
    <n v="374206"/>
    <n v="25931"/>
    <n v="0"/>
    <n v="0"/>
    <n v="0"/>
    <x v="1"/>
    <n v="74897600"/>
    <n v="98928695"/>
    <n v="139"/>
    <n v="2.5999999999999999E-2"/>
    <n v="2.8571428571428571E-2"/>
    <n v="5.8201058201058198E-2"/>
    <n v="13.328333333333335"/>
    <x v="2"/>
    <n v="122"/>
    <x v="1"/>
    <n v="141"/>
    <n v="1.4184397163120567E-2"/>
    <s v="lower size (&lt; 9L)"/>
    <n v="0"/>
    <n v="0.13934426229508196"/>
    <s v=" not riskY"/>
    <d v="2022-09-30T00:00:00"/>
    <n v="15111800"/>
    <n v="21.092024539877301"/>
    <s v="Old Loan"/>
    <s v="Q32022"/>
    <n v="29441400"/>
    <s v="L66725433|C9382342|44805|Personal Loan|Branch|Central|Salaried|24|361500|13.36|17248|784777|772|A|0.29|0.92|0|24|374206|25931|0|0|0|Closed"/>
    <x v="1"/>
  </r>
  <r>
    <s v="L18032585"/>
    <s v="C3466688"/>
    <x v="241"/>
    <x v="0"/>
    <x v="2"/>
    <x v="3"/>
    <x v="0"/>
    <n v="24"/>
    <n v="383800"/>
    <n v="16.62"/>
    <n v="18906"/>
    <n v="1169138"/>
    <n v="737"/>
    <x v="0"/>
    <n v="0.26"/>
    <n v="0.73"/>
    <n v="0"/>
    <n v="24"/>
    <n v="394655"/>
    <n v="40175"/>
    <n v="0"/>
    <n v="0"/>
    <n v="0"/>
    <x v="1"/>
    <n v="74897600"/>
    <n v="105779369"/>
    <n v="139"/>
    <n v="2.5999999999999999E-2"/>
    <n v="2.6548672566371681E-2"/>
    <n v="0.1"/>
    <n v="16.500166666666669"/>
    <x v="2"/>
    <n v="122"/>
    <x v="0"/>
    <n v="302"/>
    <n v="3.6423841059602648E-2"/>
    <s v="lower size (&lt; 9L)"/>
    <n v="0"/>
    <n v="0.13934426229508196"/>
    <s v=" not riskY"/>
    <d v="2022-07-31T00:00:00"/>
    <n v="4518700"/>
    <n v="21.092024539877301"/>
    <s v="Old Loan"/>
    <s v="Q32022"/>
    <n v="29441400"/>
    <s v="L18032585|C3466688|44745|Personal Loan|Partner|North|Salaried|24|383800|16.62|18906|1169138|737|B|0.26|0.73|0|24|394655|40175|0|0|0|Closed"/>
    <x v="1"/>
  </r>
  <r>
    <s v="L79439717"/>
    <s v="C1855861"/>
    <x v="226"/>
    <x v="2"/>
    <x v="1"/>
    <x v="2"/>
    <x v="0"/>
    <n v="180"/>
    <n v="924800"/>
    <n v="11.7"/>
    <n v="10921"/>
    <n v="1225632"/>
    <n v="680"/>
    <x v="1"/>
    <n v="0.24"/>
    <n v="0.87"/>
    <n v="1067000"/>
    <n v="39"/>
    <n v="397032"/>
    <n v="668430"/>
    <n v="0"/>
    <n v="0"/>
    <n v="0"/>
    <x v="2"/>
    <n v="92273000"/>
    <n v="98928695"/>
    <n v="301"/>
    <n v="2.5999999999999999E-2"/>
    <n v="2.8571428571428571E-2"/>
    <n v="5.8201058201058198E-2"/>
    <n v="13.246500000000001"/>
    <x v="2"/>
    <n v="122"/>
    <x v="1"/>
    <n v="141"/>
    <n v="1.4184397163120567E-2"/>
    <s v="medium size (&lt;=33L)"/>
    <n v="0"/>
    <n v="0.15909090909090909"/>
    <s v=" not riskY"/>
    <d v="2022-09-30T00:00:00"/>
    <n v="15111800"/>
    <n v="20.262135922330096"/>
    <s v="Old Loan"/>
    <s v="Q32022"/>
    <n v="29441400"/>
    <s v="L79439717|C1855861|44815|Auto Loan|Branch|Central|Salaried|180|924800|11.7|10921|1225632|680|C|0.24|0.87|1067000|39|397032|668430|0|0|0|Active"/>
    <x v="1"/>
  </r>
  <r>
    <s v="L23638594"/>
    <s v="C1515087"/>
    <x v="242"/>
    <x v="0"/>
    <x v="0"/>
    <x v="1"/>
    <x v="0"/>
    <n v="120"/>
    <n v="761800"/>
    <n v="10.88"/>
    <n v="10442"/>
    <n v="1239432"/>
    <n v="824"/>
    <x v="3"/>
    <n v="0.23"/>
    <n v="0.88"/>
    <n v="0"/>
    <n v="41"/>
    <n v="432837"/>
    <n v="442238"/>
    <n v="0"/>
    <n v="1"/>
    <n v="0"/>
    <x v="1"/>
    <n v="74897600"/>
    <n v="83903255"/>
    <n v="139"/>
    <n v="2.5999999999999999E-2"/>
    <n v="4.2553191489361701E-2"/>
    <n v="7.1090047393364927E-2"/>
    <n v="13.328333333333335"/>
    <x v="2"/>
    <n v="122"/>
    <x v="1"/>
    <n v="141"/>
    <n v="1.4184397163120567E-2"/>
    <s v="lower size (&lt; 9L)"/>
    <n v="0"/>
    <n v="0.13934426229508196"/>
    <s v=" not riskY"/>
    <d v="2022-07-31T00:00:00"/>
    <n v="4518700"/>
    <n v="21.092024539877301"/>
    <s v="Old Loan"/>
    <s v="Q32022"/>
    <n v="29441400"/>
    <s v="L23638594|C1515087|44754|Personal Loan|Online|West|Salaried|120|761800|10.88|10442|1239432|824|A|0.23|0.88|0|41|432837|442238|0|1|0|Closed"/>
    <x v="1"/>
  </r>
  <r>
    <s v="L55066706"/>
    <s v="C7386204"/>
    <x v="243"/>
    <x v="0"/>
    <x v="0"/>
    <x v="1"/>
    <x v="0"/>
    <n v="24"/>
    <n v="816900"/>
    <n v="21.43"/>
    <n v="42150"/>
    <n v="1241594"/>
    <n v="630"/>
    <x v="2"/>
    <n v="0.22"/>
    <n v="0.81"/>
    <n v="0"/>
    <n v="24"/>
    <n v="1008804"/>
    <n v="0"/>
    <n v="0"/>
    <n v="0"/>
    <n v="0"/>
    <x v="1"/>
    <n v="74897600"/>
    <n v="83903255"/>
    <n v="139"/>
    <n v="2.5999999999999999E-2"/>
    <n v="4.2553191489361701E-2"/>
    <n v="7.1090047393364927E-2"/>
    <n v="20.962592592592593"/>
    <x v="2"/>
    <n v="122"/>
    <x v="1"/>
    <n v="141"/>
    <n v="1.4184397163120567E-2"/>
    <s v="lower size (&lt; 9L)"/>
    <n v="0"/>
    <n v="0.13934426229508196"/>
    <s v=" not riskY"/>
    <d v="2022-08-31T00:00:00"/>
    <n v="9810900"/>
    <n v="21.092024539877301"/>
    <s v="Old Loan"/>
    <s v="Q32022"/>
    <n v="29441400"/>
    <s v="L55066706|C7386204|44784|Personal Loan|Online|West|Salaried|24|816900|21.43|42150|1241594|630|D|0.22|0.81|0|24|1008804|0|0|0|0|Closed"/>
    <x v="1"/>
  </r>
  <r>
    <s v="L84335846"/>
    <s v="C3317433"/>
    <x v="244"/>
    <x v="3"/>
    <x v="0"/>
    <x v="2"/>
    <x v="0"/>
    <n v="120"/>
    <n v="4805200"/>
    <n v="7.9"/>
    <n v="58047"/>
    <n v="437231"/>
    <n v="731"/>
    <x v="0"/>
    <n v="0.19"/>
    <n v="0.54"/>
    <n v="8845900"/>
    <n v="39"/>
    <n v="2133659"/>
    <n v="3165035"/>
    <n v="30"/>
    <n v="0"/>
    <n v="0"/>
    <x v="0"/>
    <n v="403369500"/>
    <n v="98928695"/>
    <n v="47"/>
    <n v="2.5999999999999999E-2"/>
    <n v="2.8571428571428571E-2"/>
    <n v="7.1090047393364927E-2"/>
    <n v="8.8557142857142868"/>
    <x v="3"/>
    <n v="86"/>
    <x v="2"/>
    <n v="57"/>
    <n v="0"/>
    <s v="larger size (&gt; 33L)"/>
    <n v="1"/>
    <n v="0.16250000000000001"/>
    <s v="high risk"/>
    <d v="2022-09-30T00:00:00"/>
    <n v="15111800"/>
    <n v="20.516129032258064"/>
    <s v="Old Loan"/>
    <s v="Q32022"/>
    <n v="29441400"/>
    <s v="L84335846|C3317433|44806|Home Loan|Online|Central|Salaried|120|4805200|7.9|58047|437231|731|B|0.19|0.54|8845900|39|2133659|3165035|30|0|0|Delinquent"/>
    <x v="1"/>
  </r>
  <r>
    <s v="L40081977"/>
    <s v="C6549795"/>
    <x v="245"/>
    <x v="1"/>
    <x v="0"/>
    <x v="2"/>
    <x v="0"/>
    <n v="24"/>
    <n v="2373600"/>
    <n v="19.7"/>
    <n v="120459"/>
    <n v="638859"/>
    <n v="586"/>
    <x v="4"/>
    <n v="0.19"/>
    <n v="0.73"/>
    <n v="3237800"/>
    <n v="24"/>
    <n v="2743583"/>
    <n v="4096"/>
    <n v="0"/>
    <n v="0"/>
    <n v="0"/>
    <x v="1"/>
    <n v="201475100"/>
    <n v="98928695"/>
    <n v="139"/>
    <n v="2.5999999999999999E-2"/>
    <n v="2.8571428571428571E-2"/>
    <n v="7.1090047393364927E-2"/>
    <n v="20.521428571428572"/>
    <x v="3"/>
    <n v="86"/>
    <x v="0"/>
    <n v="302"/>
    <n v="3.6423841059602648E-2"/>
    <s v="medium size (&lt;=33L)"/>
    <n v="0"/>
    <n v="0.15909090909090909"/>
    <s v="high risk"/>
    <d v="2022-08-31T00:00:00"/>
    <n v="9810900"/>
    <n v="19.091954022988507"/>
    <s v="Old Loan"/>
    <s v="Q32022"/>
    <n v="29441400"/>
    <s v="L40081977|C6549795|44794|SME Loan|Online|Central|Salaried|24|2373600|19.7|120459|638859|586|E|0.19|0.73|3237800|24|2743583|4096|0|0|0|Closed"/>
    <x v="1"/>
  </r>
  <r>
    <s v="L67134797"/>
    <s v="C6906421"/>
    <x v="246"/>
    <x v="0"/>
    <x v="0"/>
    <x v="3"/>
    <x v="0"/>
    <n v="48"/>
    <n v="209500"/>
    <n v="15.08"/>
    <n v="5839"/>
    <n v="933064"/>
    <n v="756"/>
    <x v="3"/>
    <n v="0.17"/>
    <n v="0.96"/>
    <n v="0"/>
    <n v="41"/>
    <n v="209595"/>
    <n v="43082"/>
    <n v="10"/>
    <n v="0"/>
    <n v="0"/>
    <x v="2"/>
    <n v="74897600"/>
    <n v="105779369"/>
    <n v="301"/>
    <n v="2.5999999999999999E-2"/>
    <n v="2.6548672566371681E-2"/>
    <n v="7.1090047393364927E-2"/>
    <n v="13.328333333333335"/>
    <x v="3"/>
    <n v="86"/>
    <x v="1"/>
    <n v="141"/>
    <n v="1.4184397163120567E-2"/>
    <s v="lower size (&lt; 9L)"/>
    <n v="0"/>
    <n v="0.13934426229508196"/>
    <s v=" not riskY"/>
    <d v="2022-07-31T00:00:00"/>
    <n v="4518700"/>
    <n v="21.092024539877301"/>
    <s v="Old Loan"/>
    <s v="Q32022"/>
    <n v="29441400"/>
    <s v="L67134797|C6906421|44757|Personal Loan|Online|North|Salaried|48|209500|15.08|5839|933064|756|A|0.17|0.96|0|41|209595|43082|10|0|0|Active"/>
    <x v="1"/>
  </r>
  <r>
    <s v="L63643829"/>
    <s v="C3853368"/>
    <x v="247"/>
    <x v="4"/>
    <x v="1"/>
    <x v="0"/>
    <x v="0"/>
    <n v="48"/>
    <n v="1499200"/>
    <n v="18.61"/>
    <n v="44518"/>
    <n v="1560773"/>
    <n v="559"/>
    <x v="4"/>
    <n v="0.61"/>
    <n v="0.72"/>
    <n v="0"/>
    <n v="29"/>
    <n v="1213470"/>
    <n v="555431"/>
    <n v="0"/>
    <n v="0"/>
    <n v="0"/>
    <x v="2"/>
    <n v="62765800"/>
    <n v="94548000"/>
    <n v="301"/>
    <n v="2.5999999999999999E-2"/>
    <n v="0"/>
    <n v="5.8201058201058198E-2"/>
    <n v="19.806666666666668"/>
    <x v="0"/>
    <n v="32"/>
    <x v="0"/>
    <n v="302"/>
    <n v="3.6423841059602648E-2"/>
    <s v="medium size (&lt;=33L)"/>
    <n v="0"/>
    <n v="0.15909090909090909"/>
    <s v="high risk"/>
    <d v="2023-07-31T00:00:00"/>
    <n v="25129700"/>
    <n v="21.962962962962962"/>
    <s v="Old Loan"/>
    <s v="Q32023"/>
    <n v="77300600"/>
    <s v="L63643829|C3853368|45111|Education Loan|Branch|South|Salaried|48|1499200|18.61|44518|1560773|559|E|0.61|0.72|0|29|1213470|555431|0|0|0|Active"/>
    <x v="1"/>
  </r>
  <r>
    <s v="L47131441"/>
    <s v="C6634112"/>
    <x v="248"/>
    <x v="1"/>
    <x v="1"/>
    <x v="0"/>
    <x v="2"/>
    <n v="12"/>
    <n v="2437000"/>
    <n v="9.57"/>
    <n v="213764"/>
    <n v="637246"/>
    <n v="815"/>
    <x v="3"/>
    <n v="0.5"/>
    <n v="0.61"/>
    <n v="3963400"/>
    <n v="12"/>
    <n v="2335712"/>
    <n v="194576"/>
    <n v="0"/>
    <n v="1"/>
    <n v="0"/>
    <x v="1"/>
    <n v="201475100"/>
    <n v="94548000"/>
    <n v="139"/>
    <n v="2.5999999999999999E-2"/>
    <n v="0"/>
    <n v="5.8201058201058198E-2"/>
    <n v="10.537499999999998"/>
    <x v="1"/>
    <n v="260"/>
    <x v="0"/>
    <n v="302"/>
    <n v="3.6423841059602648E-2"/>
    <s v="medium size (&lt;=33L)"/>
    <n v="0"/>
    <n v="0.15909090909090909"/>
    <s v=" not riskY"/>
    <d v="2023-09-30T00:00:00"/>
    <n v="13815100"/>
    <n v="19.091954022988507"/>
    <s v="Old Loan"/>
    <s v="Q32023"/>
    <n v="77300600"/>
    <s v="L47131441|C6634112|45178|SME Loan|Branch|South|Self-Employed|12|2437000|9.57|213764|637246|815|A|0.5|0.61|3963400|12|2335712|194576|0|1|0|Closed"/>
    <x v="1"/>
  </r>
  <r>
    <s v="L28246448"/>
    <s v="C9195744"/>
    <x v="249"/>
    <x v="3"/>
    <x v="1"/>
    <x v="2"/>
    <x v="0"/>
    <n v="120"/>
    <n v="5717200"/>
    <n v="7"/>
    <n v="66382"/>
    <n v="1273092"/>
    <n v="775"/>
    <x v="3"/>
    <n v="0.48"/>
    <n v="0.68"/>
    <n v="8411200"/>
    <n v="28"/>
    <n v="1593425"/>
    <n v="4497299"/>
    <n v="0"/>
    <n v="0"/>
    <n v="0"/>
    <x v="2"/>
    <n v="403369500"/>
    <n v="98928695"/>
    <n v="301"/>
    <n v="2.5999999999999999E-2"/>
    <n v="2.8571428571428571E-2"/>
    <n v="5.8201058201058198E-2"/>
    <n v="7.1876190476190471"/>
    <x v="1"/>
    <n v="260"/>
    <x v="0"/>
    <n v="302"/>
    <n v="3.6423841059602648E-2"/>
    <s v="larger size (&gt; 33L)"/>
    <n v="0"/>
    <n v="0.16250000000000001"/>
    <s v=" not riskY"/>
    <d v="2023-08-31T00:00:00"/>
    <n v="38355800"/>
    <n v="20.516129032258064"/>
    <s v="Old Loan"/>
    <s v="Q32023"/>
    <n v="77300600"/>
    <s v="L28246448|C9195744|45145|Home Loan|Branch|Central|Salaried|120|5717200|7|66382|1273092|775|A|0.48|0.68|8411200|28|1593425|4497299|0|0|0|Active"/>
    <x v="1"/>
  </r>
  <r>
    <s v="L72668833"/>
    <s v="C2524559"/>
    <x v="250"/>
    <x v="0"/>
    <x v="0"/>
    <x v="4"/>
    <x v="0"/>
    <n v="36"/>
    <n v="290800"/>
    <n v="19.809999999999999"/>
    <n v="10779"/>
    <n v="614122"/>
    <n v="643"/>
    <x v="2"/>
    <n v="0.47"/>
    <n v="0.71"/>
    <n v="0"/>
    <n v="28"/>
    <n v="284969"/>
    <n v="59598"/>
    <n v="0"/>
    <n v="1"/>
    <n v="0"/>
    <x v="1"/>
    <n v="74897600"/>
    <n v="83297251"/>
    <n v="139"/>
    <n v="2.5999999999999999E-2"/>
    <n v="3.1914893617021274E-2"/>
    <n v="7.1090047393364927E-2"/>
    <n v="20.962592592592593"/>
    <x v="1"/>
    <n v="260"/>
    <x v="0"/>
    <n v="302"/>
    <n v="3.6423841059602648E-2"/>
    <s v="lower size (&lt; 9L)"/>
    <n v="0"/>
    <n v="0.13934426229508196"/>
    <s v=" not riskY"/>
    <d v="2023-08-31T00:00:00"/>
    <n v="38355800"/>
    <n v="21.092024539877301"/>
    <s v="Old Loan"/>
    <s v="Q32023"/>
    <n v="77300600"/>
    <s v="L72668833|C2524559|45162|Personal Loan|Online|East|Salaried|36|290800|19.81|10779|614122|643|D|0.47|0.71|0|28|284969|59598|0|1|0|Closed"/>
    <x v="1"/>
  </r>
  <r>
    <s v="L18104307"/>
    <s v="C6725972"/>
    <x v="251"/>
    <x v="3"/>
    <x v="0"/>
    <x v="0"/>
    <x v="0"/>
    <n v="12"/>
    <n v="50000"/>
    <n v="12.99"/>
    <n v="4466"/>
    <n v="897351"/>
    <n v="647"/>
    <x v="2"/>
    <n v="0.46"/>
    <n v="0.89"/>
    <n v="56400"/>
    <n v="12"/>
    <n v="48780"/>
    <n v="3818"/>
    <n v="0"/>
    <n v="0"/>
    <n v="0"/>
    <x v="1"/>
    <n v="403369500"/>
    <n v="94548000"/>
    <n v="139"/>
    <n v="2.5999999999999999E-2"/>
    <n v="0"/>
    <n v="7.1090047393364927E-2"/>
    <n v="13.406874999999999"/>
    <x v="1"/>
    <n v="260"/>
    <x v="1"/>
    <n v="141"/>
    <n v="1.4184397163120567E-2"/>
    <s v="lower size (&lt; 9L)"/>
    <n v="0"/>
    <n v="0.13934426229508196"/>
    <s v=" not riskY"/>
    <d v="2023-07-31T00:00:00"/>
    <n v="25129700"/>
    <n v="20.516129032258064"/>
    <s v="Old Loan"/>
    <s v="Q32023"/>
    <n v="77300600"/>
    <s v="L18104307|C6725972|45121|Home Loan|Online|South|Salaried|12|50000|12.99|4466|897351|647|D|0.46|0.89|56400|12|48780|3818|0|0|0|Closed"/>
    <x v="1"/>
  </r>
  <r>
    <s v="L89910085"/>
    <s v="C5862557"/>
    <x v="252"/>
    <x v="2"/>
    <x v="1"/>
    <x v="2"/>
    <x v="0"/>
    <n v="180"/>
    <n v="309600"/>
    <n v="12.34"/>
    <n v="3784"/>
    <n v="976104"/>
    <n v="677"/>
    <x v="1"/>
    <n v="0.44"/>
    <n v="0.69"/>
    <n v="446400"/>
    <n v="27"/>
    <n v="97829"/>
    <n v="246155"/>
    <n v="0"/>
    <n v="0"/>
    <n v="0"/>
    <x v="2"/>
    <n v="92273000"/>
    <n v="98928695"/>
    <n v="301"/>
    <n v="2.5999999999999999E-2"/>
    <n v="2.8571428571428571E-2"/>
    <n v="5.8201058201058198E-2"/>
    <n v="13.246500000000001"/>
    <x v="1"/>
    <n v="260"/>
    <x v="0"/>
    <n v="302"/>
    <n v="3.6423841059602648E-2"/>
    <s v="lower size (&lt; 9L)"/>
    <n v="0"/>
    <n v="0.13934426229508196"/>
    <s v=" not riskY"/>
    <d v="2023-09-30T00:00:00"/>
    <n v="13815100"/>
    <n v="20.262135922330096"/>
    <s v="Old Loan"/>
    <s v="Q32023"/>
    <n v="77300600"/>
    <s v="L89910085|C5862557|45186|Auto Loan|Branch|Central|Salaried|180|309600|12.34|3784|976104|677|C|0.44|0.69|446400|27|97829|246155|0|0|0|Active"/>
    <x v="1"/>
  </r>
  <r>
    <s v="L34908372"/>
    <s v="C2753396"/>
    <x v="253"/>
    <x v="2"/>
    <x v="0"/>
    <x v="2"/>
    <x v="0"/>
    <n v="24"/>
    <n v="1051400"/>
    <n v="10.52"/>
    <n v="48770"/>
    <n v="937487"/>
    <n v="704"/>
    <x v="0"/>
    <n v="0.41"/>
    <n v="0.59"/>
    <n v="1770400"/>
    <n v="24"/>
    <n v="1181025"/>
    <n v="0"/>
    <n v="0"/>
    <n v="1"/>
    <n v="0"/>
    <x v="1"/>
    <n v="92273000"/>
    <n v="98928695"/>
    <n v="139"/>
    <n v="2.5999999999999999E-2"/>
    <n v="2.8571428571428571E-2"/>
    <n v="7.1090047393364927E-2"/>
    <n v="10.611923076923079"/>
    <x v="1"/>
    <n v="260"/>
    <x v="2"/>
    <n v="57"/>
    <n v="0"/>
    <s v="medium size (&lt;=33L)"/>
    <n v="0"/>
    <n v="0.15909090909090909"/>
    <s v=" not riskY"/>
    <d v="2023-08-31T00:00:00"/>
    <n v="38355800"/>
    <n v="20.262135922330096"/>
    <s v="Old Loan"/>
    <s v="Q32023"/>
    <n v="77300600"/>
    <s v="L34908372|C2753396|45155|Auto Loan|Online|Central|Salaried|24|1051400|10.52|48770|937487|704|B|0.41|0.59|1770400|24|1181025|0|0|1|0|Closed"/>
    <x v="1"/>
  </r>
  <r>
    <s v="L20964925"/>
    <s v="C8056728"/>
    <x v="254"/>
    <x v="1"/>
    <x v="1"/>
    <x v="0"/>
    <x v="2"/>
    <n v="240"/>
    <n v="3548000"/>
    <n v="22.07"/>
    <n v="66086"/>
    <n v="1121504"/>
    <n v="543"/>
    <x v="4"/>
    <n v="0.41"/>
    <n v="0.78"/>
    <n v="4525100"/>
    <n v="27"/>
    <n v="1813335"/>
    <n v="2439404"/>
    <n v="0"/>
    <n v="0"/>
    <n v="0"/>
    <x v="2"/>
    <n v="201475100"/>
    <n v="94548000"/>
    <n v="301"/>
    <n v="2.5999999999999999E-2"/>
    <n v="0"/>
    <n v="5.8201058201058198E-2"/>
    <n v="20.521428571428572"/>
    <x v="1"/>
    <n v="260"/>
    <x v="0"/>
    <n v="302"/>
    <n v="3.6423841059602648E-2"/>
    <s v="larger size (&gt; 33L)"/>
    <n v="0"/>
    <n v="0.16250000000000001"/>
    <s v="high risk"/>
    <d v="2023-09-30T00:00:00"/>
    <n v="13815100"/>
    <n v="19.091954022988507"/>
    <s v="Old Loan"/>
    <s v="Q32023"/>
    <n v="77300600"/>
    <s v="L20964925|C8056728|45188|SME Loan|Branch|South|Self-Employed|240|3548000|22.07|66086|1121504|543|E|0.41|0.78|4525100|27|1813335|2439404|0|0|0|Active"/>
    <x v="1"/>
  </r>
  <r>
    <s v="L19822959"/>
    <s v="C6091947"/>
    <x v="255"/>
    <x v="1"/>
    <x v="1"/>
    <x v="1"/>
    <x v="0"/>
    <n v="48"/>
    <n v="1008900"/>
    <n v="18.34"/>
    <n v="29816"/>
    <n v="674440"/>
    <n v="626"/>
    <x v="2"/>
    <n v="0.4"/>
    <n v="0.65"/>
    <n v="1553200"/>
    <n v="28"/>
    <n v="795087"/>
    <n v="386510"/>
    <n v="0"/>
    <n v="0"/>
    <n v="0"/>
    <x v="2"/>
    <n v="201475100"/>
    <n v="83903255"/>
    <n v="301"/>
    <n v="2.5999999999999999E-2"/>
    <n v="4.2553191489361701E-2"/>
    <n v="5.8201058201058198E-2"/>
    <n v="18.241249999999997"/>
    <x v="1"/>
    <n v="260"/>
    <x v="0"/>
    <n v="302"/>
    <n v="3.6423841059602648E-2"/>
    <s v="medium size (&lt;=33L)"/>
    <n v="0"/>
    <n v="0.15909090909090909"/>
    <s v=" not riskY"/>
    <d v="2023-08-31T00:00:00"/>
    <n v="38355800"/>
    <n v="19.091954022988507"/>
    <s v="Old Loan"/>
    <s v="Q32023"/>
    <n v="77300600"/>
    <s v="L19822959|C6091947|45157|SME Loan|Branch|West|Salaried|48|1008900|18.34|29816|674440|626|D|0.4|0.65|1553200|28|795087|386510|0|0|0|Active"/>
    <x v="1"/>
  </r>
  <r>
    <s v="L54801238"/>
    <s v="C8133861"/>
    <x v="256"/>
    <x v="3"/>
    <x v="1"/>
    <x v="1"/>
    <x v="2"/>
    <n v="84"/>
    <n v="2409800"/>
    <n v="7"/>
    <n v="36370"/>
    <n v="1253034"/>
    <n v="818"/>
    <x v="3"/>
    <n v="0.4"/>
    <n v="0.78"/>
    <n v="3107300"/>
    <n v="28"/>
    <n v="930361"/>
    <n v="1636879"/>
    <n v="0"/>
    <n v="0"/>
    <n v="0"/>
    <x v="2"/>
    <n v="403369500"/>
    <n v="83903255"/>
    <n v="301"/>
    <n v="2.5999999999999999E-2"/>
    <n v="4.2553191489361701E-2"/>
    <n v="5.8201058201058198E-2"/>
    <n v="7.1876190476190471"/>
    <x v="1"/>
    <n v="260"/>
    <x v="0"/>
    <n v="302"/>
    <n v="3.6423841059602648E-2"/>
    <s v="medium size (&lt;=33L)"/>
    <n v="0"/>
    <n v="0.15909090909090909"/>
    <s v=" not riskY"/>
    <d v="2023-08-31T00:00:00"/>
    <n v="38355800"/>
    <n v="20.516129032258064"/>
    <s v="Old Loan"/>
    <s v="Q32023"/>
    <n v="77300600"/>
    <s v="L54801238|C8133861|45168|Home Loan|Branch|West|Self-Employed|84|2409800|7|36370|1253034|818|A|0.4|0.78|3107300|28|930361|1636879|0|0|0|Active"/>
    <x v="1"/>
  </r>
  <r>
    <s v="L94488511"/>
    <s v="C9991942"/>
    <x v="257"/>
    <x v="0"/>
    <x v="3"/>
    <x v="2"/>
    <x v="0"/>
    <n v="84"/>
    <n v="836700"/>
    <n v="12.46"/>
    <n v="14977"/>
    <n v="1211195"/>
    <n v="795"/>
    <x v="3"/>
    <n v="0.39"/>
    <n v="0.85"/>
    <n v="0"/>
    <n v="29"/>
    <n v="435955"/>
    <n v="501523"/>
    <n v="10"/>
    <n v="0"/>
    <n v="0"/>
    <x v="2"/>
    <n v="74897600"/>
    <n v="98928695"/>
    <n v="301"/>
    <n v="2.5999999999999999E-2"/>
    <n v="2.8571428571428571E-2"/>
    <n v="0.12"/>
    <n v="13.328333333333335"/>
    <x v="1"/>
    <n v="260"/>
    <x v="1"/>
    <n v="141"/>
    <n v="1.4184397163120567E-2"/>
    <s v="lower size (&lt; 9L)"/>
    <n v="0"/>
    <n v="0.13934426229508196"/>
    <s v=" not riskY"/>
    <d v="2023-07-31T00:00:00"/>
    <n v="25129700"/>
    <n v="21.092024539877301"/>
    <s v="Old Loan"/>
    <s v="Q32023"/>
    <n v="77300600"/>
    <s v="L94488511|C9991942|45129|Personal Loan|Call Center|Central|Salaried|84|836700|12.46|14977|1211195|795|A|0.39|0.85|0|29|435955|501523|10|0|0|Active"/>
    <x v="1"/>
  </r>
  <r>
    <s v="L67308564"/>
    <s v="C6782349"/>
    <x v="258"/>
    <x v="2"/>
    <x v="0"/>
    <x v="1"/>
    <x v="0"/>
    <n v="84"/>
    <n v="293300"/>
    <n v="15.01"/>
    <n v="5661"/>
    <n v="1175619"/>
    <n v="658"/>
    <x v="1"/>
    <n v="0.37"/>
    <n v="0.55000000000000004"/>
    <n v="531000"/>
    <n v="27"/>
    <n v="133870"/>
    <n v="199052"/>
    <n v="0"/>
    <n v="0"/>
    <n v="0"/>
    <x v="2"/>
    <n v="92273000"/>
    <n v="83903255"/>
    <n v="301"/>
    <n v="2.5999999999999999E-2"/>
    <n v="4.2553191489361701E-2"/>
    <n v="7.1090047393364927E-2"/>
    <n v="13.246500000000001"/>
    <x v="1"/>
    <n v="260"/>
    <x v="2"/>
    <n v="57"/>
    <n v="0"/>
    <s v="lower size (&lt; 9L)"/>
    <n v="0"/>
    <n v="0.13934426229508196"/>
    <s v=" not riskY"/>
    <d v="2023-09-30T00:00:00"/>
    <n v="13815100"/>
    <n v="20.262135922330096"/>
    <s v="Old Loan"/>
    <s v="Q32023"/>
    <n v="77300600"/>
    <s v="L67308564|C6782349|45182|Auto Loan|Online|West|Salaried|84|293300|15.01|5661|1175619|658|C|0.37|0.55|531000|27|133870|199052|0|0|0|Active"/>
    <x v="1"/>
  </r>
  <r>
    <s v="L50232134"/>
    <s v="C6396340"/>
    <x v="259"/>
    <x v="0"/>
    <x v="2"/>
    <x v="3"/>
    <x v="0"/>
    <n v="24"/>
    <n v="322600"/>
    <n v="16.04"/>
    <n v="15802"/>
    <n v="399915"/>
    <n v="734"/>
    <x v="0"/>
    <n v="0.36"/>
    <n v="0.56999999999999995"/>
    <n v="0"/>
    <n v="24"/>
    <n v="367697"/>
    <n v="0"/>
    <n v="0"/>
    <n v="1"/>
    <n v="0"/>
    <x v="1"/>
    <n v="74897600"/>
    <n v="105779369"/>
    <n v="139"/>
    <n v="2.5999999999999999E-2"/>
    <n v="2.6548672566371681E-2"/>
    <n v="0.1"/>
    <n v="16.500166666666669"/>
    <x v="1"/>
    <n v="260"/>
    <x v="2"/>
    <n v="57"/>
    <n v="0"/>
    <s v="lower size (&lt; 9L)"/>
    <n v="0"/>
    <n v="0.13934426229508196"/>
    <s v=" not riskY"/>
    <d v="2023-09-30T00:00:00"/>
    <n v="13815100"/>
    <n v="21.092024539877301"/>
    <s v="Old Loan"/>
    <s v="Q32023"/>
    <n v="77300600"/>
    <s v="L50232134|C6396340|45191|Personal Loan|Partner|North|Salaried|24|322600|16.04|15802|399915|734|B|0.36|0.57|0|24|367697|0|0|1|0|Closed"/>
    <x v="1"/>
  </r>
  <r>
    <s v="L54163629"/>
    <s v="C5303549"/>
    <x v="260"/>
    <x v="3"/>
    <x v="1"/>
    <x v="2"/>
    <x v="1"/>
    <n v="48"/>
    <n v="6142600"/>
    <n v="8.0399999999999991"/>
    <n v="150074"/>
    <n v="1544439"/>
    <n v="730"/>
    <x v="0"/>
    <n v="0.35"/>
    <n v="0.65"/>
    <n v="9405100"/>
    <n v="29"/>
    <n v="4365558"/>
    <n v="2254445"/>
    <n v="0"/>
    <n v="0"/>
    <n v="0"/>
    <x v="2"/>
    <n v="403369500"/>
    <n v="98928695"/>
    <n v="301"/>
    <n v="2.5999999999999999E-2"/>
    <n v="2.8571428571428571E-2"/>
    <n v="5.8201058201058198E-2"/>
    <n v="8.8557142857142868"/>
    <x v="1"/>
    <n v="260"/>
    <x v="0"/>
    <n v="302"/>
    <n v="3.6423841059602648E-2"/>
    <s v="larger size (&gt; 33L)"/>
    <n v="0"/>
    <n v="0.16250000000000001"/>
    <s v=" not riskY"/>
    <d v="2023-07-31T00:00:00"/>
    <n v="25129700"/>
    <n v="20.516129032258064"/>
    <s v="Old Loan"/>
    <s v="Q32023"/>
    <n v="77300600"/>
    <s v="L54163629|C5303549|45108|Home Loan|Branch|Central|Contract|48|6142600|8.04|150074|1544439|730|B|0.35|0.65|9405100|29|4365558|2254445|0|0|0|Active"/>
    <x v="1"/>
  </r>
  <r>
    <s v="L53799249"/>
    <s v="C2104664"/>
    <x v="261"/>
    <x v="0"/>
    <x v="1"/>
    <x v="0"/>
    <x v="0"/>
    <n v="60"/>
    <n v="596500"/>
    <n v="20.07"/>
    <n v="15827"/>
    <n v="583317"/>
    <n v="631"/>
    <x v="2"/>
    <n v="0.35"/>
    <n v="0.79"/>
    <n v="0"/>
    <n v="29"/>
    <n v="422199"/>
    <n v="290028"/>
    <n v="0"/>
    <n v="0"/>
    <n v="0"/>
    <x v="2"/>
    <n v="74897600"/>
    <n v="94548000"/>
    <n v="301"/>
    <n v="2.5999999999999999E-2"/>
    <n v="0"/>
    <n v="5.8201058201058198E-2"/>
    <n v="20.962592592592593"/>
    <x v="1"/>
    <n v="260"/>
    <x v="0"/>
    <n v="302"/>
    <n v="3.6423841059602648E-2"/>
    <s v="lower size (&lt; 9L)"/>
    <n v="0"/>
    <n v="0.13934426229508196"/>
    <s v=" not riskY"/>
    <d v="2023-07-31T00:00:00"/>
    <n v="25129700"/>
    <n v="21.092024539877301"/>
    <s v="Old Loan"/>
    <s v="Q32023"/>
    <n v="77300600"/>
    <s v="L53799249|C2104664|45124|Personal Loan|Branch|South|Salaried|60|596500|20.07|15827|583317|631|D|0.35|0.79|0|29|422199|290028|0|0|0|Active"/>
    <x v="1"/>
  </r>
  <r>
    <s v="L12871994"/>
    <s v="C8319956"/>
    <x v="262"/>
    <x v="3"/>
    <x v="3"/>
    <x v="3"/>
    <x v="0"/>
    <n v="12"/>
    <n v="4729500"/>
    <n v="12.17"/>
    <n v="420587"/>
    <n v="317475"/>
    <n v="646"/>
    <x v="2"/>
    <n v="0.35"/>
    <n v="0.81"/>
    <n v="5811000"/>
    <n v="12"/>
    <n v="4291925"/>
    <n v="667807"/>
    <n v="0"/>
    <n v="1"/>
    <n v="0"/>
    <x v="1"/>
    <n v="403369500"/>
    <n v="105779369"/>
    <n v="139"/>
    <n v="2.5999999999999999E-2"/>
    <n v="2.6548672566371681E-2"/>
    <n v="0.12"/>
    <n v="13.406874999999999"/>
    <x v="1"/>
    <n v="260"/>
    <x v="1"/>
    <n v="141"/>
    <n v="1.4184397163120567E-2"/>
    <s v="larger size (&gt; 33L)"/>
    <n v="0"/>
    <n v="0.16250000000000001"/>
    <s v=" not riskY"/>
    <d v="2023-07-31T00:00:00"/>
    <n v="25129700"/>
    <n v="20.516129032258064"/>
    <s v="Old Loan"/>
    <s v="Q32023"/>
    <n v="77300600"/>
    <s v="L12871994|C8319956|45114|Home Loan|Call Center|North|Salaried|12|4729500|12.17|420587|317475|646|D|0.35|0.81|5811000|12|4291925|667807|0|1|0|Closed"/>
    <x v="1"/>
  </r>
  <r>
    <s v="L46919793"/>
    <s v="C2124313"/>
    <x v="263"/>
    <x v="2"/>
    <x v="1"/>
    <x v="4"/>
    <x v="0"/>
    <n v="18"/>
    <n v="1498100"/>
    <n v="14.08"/>
    <n v="92811"/>
    <n v="1172954"/>
    <n v="646"/>
    <x v="2"/>
    <n v="0.34"/>
    <n v="0.67"/>
    <n v="2237500"/>
    <n v="18"/>
    <n v="1427386"/>
    <n v="197273"/>
    <n v="0"/>
    <n v="0"/>
    <n v="0"/>
    <x v="1"/>
    <n v="92273000"/>
    <n v="83297251"/>
    <n v="139"/>
    <n v="2.5999999999999999E-2"/>
    <n v="3.1914893617021274E-2"/>
    <n v="5.8201058201058198E-2"/>
    <n v="15.092000000000001"/>
    <x v="1"/>
    <n v="260"/>
    <x v="0"/>
    <n v="302"/>
    <n v="3.6423841059602648E-2"/>
    <s v="medium size (&lt;=33L)"/>
    <n v="0"/>
    <n v="0.15909090909090909"/>
    <s v=" not riskY"/>
    <d v="2023-08-31T00:00:00"/>
    <n v="38355800"/>
    <n v="20.262135922330096"/>
    <s v="Old Loan"/>
    <s v="Q32023"/>
    <n v="77300600"/>
    <s v="L46919793|C2124313|45163|Auto Loan|Branch|East|Salaried|18|1498100|14.08|92811|1172954|646|D|0.34|0.67|2237500|18|1427386|197273|0|0|0|Closed"/>
    <x v="1"/>
  </r>
  <r>
    <s v="L36087023"/>
    <s v="C5766973"/>
    <x v="264"/>
    <x v="0"/>
    <x v="0"/>
    <x v="1"/>
    <x v="2"/>
    <n v="36"/>
    <n v="384100"/>
    <n v="18.38"/>
    <n v="13959"/>
    <n v="759561"/>
    <n v="672"/>
    <x v="1"/>
    <n v="0.33"/>
    <n v="0.56000000000000005"/>
    <n v="0"/>
    <n v="28"/>
    <n v="394964"/>
    <n v="55027"/>
    <n v="0"/>
    <n v="0"/>
    <n v="0"/>
    <x v="2"/>
    <n v="74897600"/>
    <n v="83903255"/>
    <n v="301"/>
    <n v="2.5999999999999999E-2"/>
    <n v="4.2553191489361701E-2"/>
    <n v="7.1090047393364927E-2"/>
    <n v="18.603181818181817"/>
    <x v="1"/>
    <n v="260"/>
    <x v="2"/>
    <n v="57"/>
    <n v="0"/>
    <s v="lower size (&lt; 9L)"/>
    <n v="0"/>
    <n v="0.13934426229508196"/>
    <s v=" not riskY"/>
    <d v="2023-08-31T00:00:00"/>
    <n v="38355800"/>
    <n v="21.092024539877301"/>
    <s v="Old Loan"/>
    <s v="Q32023"/>
    <n v="77300600"/>
    <s v="L36087023|C5766973|45148|Personal Loan|Online|West|Self-Employed|36|384100|18.38|13959|759561|672|C|0.33|0.56|0|28|394964|55027|0|0|0|Active"/>
    <x v="1"/>
  </r>
  <r>
    <s v="L76217713"/>
    <s v="C8934691"/>
    <x v="247"/>
    <x v="3"/>
    <x v="1"/>
    <x v="0"/>
    <x v="0"/>
    <n v="360"/>
    <n v="4098600"/>
    <n v="13.15"/>
    <n v="45820"/>
    <n v="459205"/>
    <n v="608"/>
    <x v="2"/>
    <n v="0.33"/>
    <n v="0.91"/>
    <n v="4502800"/>
    <n v="29"/>
    <n v="1143870"/>
    <n v="3475730"/>
    <n v="0"/>
    <n v="0"/>
    <n v="0"/>
    <x v="2"/>
    <n v="403369500"/>
    <n v="94548000"/>
    <n v="301"/>
    <n v="2.5999999999999999E-2"/>
    <n v="0"/>
    <n v="5.8201058201058198E-2"/>
    <n v="13.406874999999999"/>
    <x v="1"/>
    <n v="260"/>
    <x v="1"/>
    <n v="141"/>
    <n v="1.4184397163120567E-2"/>
    <s v="larger size (&gt; 33L)"/>
    <n v="0"/>
    <n v="0.16250000000000001"/>
    <s v=" not riskY"/>
    <d v="2023-07-31T00:00:00"/>
    <n v="25129700"/>
    <n v="20.516129032258064"/>
    <s v="Old Loan"/>
    <s v="Q32023"/>
    <n v="77300600"/>
    <s v="L76217713|C8934691|45111|Home Loan|Branch|South|Salaried|360|4098600|13.15|45820|459205|608|D|0.33|0.91|4502800|29|1143870|3475730|0|0|0|Active"/>
    <x v="1"/>
  </r>
  <r>
    <s v="L59863252"/>
    <s v="C4518338"/>
    <x v="253"/>
    <x v="1"/>
    <x v="3"/>
    <x v="0"/>
    <x v="0"/>
    <n v="360"/>
    <n v="2264100"/>
    <n v="18.87"/>
    <n v="35733"/>
    <n v="333325"/>
    <n v="599"/>
    <x v="4"/>
    <n v="0.3"/>
    <n v="0.8"/>
    <n v="2820600"/>
    <n v="28"/>
    <n v="886984"/>
    <n v="1775869"/>
    <n v="45"/>
    <n v="0"/>
    <n v="0"/>
    <x v="0"/>
    <n v="201475100"/>
    <n v="94548000"/>
    <n v="47"/>
    <n v="2.5999999999999999E-2"/>
    <n v="0"/>
    <n v="0.12"/>
    <n v="20.521428571428572"/>
    <x v="1"/>
    <n v="260"/>
    <x v="0"/>
    <n v="302"/>
    <n v="3.6423841059602648E-2"/>
    <s v="medium size (&lt;=33L)"/>
    <n v="1"/>
    <n v="0.15909090909090909"/>
    <s v="high risk"/>
    <d v="2023-08-31T00:00:00"/>
    <n v="38355800"/>
    <n v="19.091954022988507"/>
    <s v="Old Loan"/>
    <s v="Q32023"/>
    <n v="77300600"/>
    <s v="L59863252|C4518338|45155|SME Loan|Call Center|South|Salaried|360|2264100|18.87|35733|333325|599|E|0.3|0.8|2820600|28|886984|1775869|45|0|0|Delinquent"/>
    <x v="1"/>
  </r>
  <r>
    <s v="L57984114"/>
    <s v="C8213336"/>
    <x v="265"/>
    <x v="0"/>
    <x v="1"/>
    <x v="1"/>
    <x v="0"/>
    <n v="24"/>
    <n v="946800"/>
    <n v="16.190000000000001"/>
    <n v="46444"/>
    <n v="1136462"/>
    <n v="730"/>
    <x v="0"/>
    <n v="0.3"/>
    <n v="0.8"/>
    <n v="0"/>
    <n v="24"/>
    <n v="1117277"/>
    <n v="0"/>
    <n v="0"/>
    <n v="0"/>
    <n v="0"/>
    <x v="1"/>
    <n v="74897600"/>
    <n v="83903255"/>
    <n v="139"/>
    <n v="2.5999999999999999E-2"/>
    <n v="4.2553191489361701E-2"/>
    <n v="5.8201058201058198E-2"/>
    <n v="16.500166666666669"/>
    <x v="1"/>
    <n v="260"/>
    <x v="0"/>
    <n v="302"/>
    <n v="3.6423841059602648E-2"/>
    <s v="medium size (&lt;=33L)"/>
    <n v="0"/>
    <n v="0.15909090909090909"/>
    <s v=" not riskY"/>
    <d v="2023-07-31T00:00:00"/>
    <n v="25129700"/>
    <n v="21.092024539877301"/>
    <s v="Old Loan"/>
    <s v="Q32023"/>
    <n v="77300600"/>
    <s v="L57984114|C8213336|45123|Personal Loan|Branch|West|Salaried|24|946800|16.19|46444|1136462|730|B|0.3|0.8|0|24|1117277|0|0|0|0|Closed"/>
    <x v="1"/>
  </r>
  <r>
    <s v="L25353367"/>
    <s v="C9541595"/>
    <x v="266"/>
    <x v="0"/>
    <x v="1"/>
    <x v="3"/>
    <x v="0"/>
    <n v="72"/>
    <n v="359900"/>
    <n v="17.350000000000001"/>
    <n v="8077"/>
    <n v="1040108"/>
    <n v="721"/>
    <x v="0"/>
    <n v="0.3"/>
    <n v="0.74"/>
    <n v="0"/>
    <n v="27"/>
    <n v="189191"/>
    <n v="226907"/>
    <n v="0"/>
    <n v="0"/>
    <n v="0"/>
    <x v="2"/>
    <n v="74897600"/>
    <n v="105779369"/>
    <n v="301"/>
    <n v="2.5999999999999999E-2"/>
    <n v="2.6548672566371681E-2"/>
    <n v="5.8201058201058198E-2"/>
    <n v="16.500166666666669"/>
    <x v="1"/>
    <n v="260"/>
    <x v="0"/>
    <n v="302"/>
    <n v="3.6423841059602648E-2"/>
    <s v="lower size (&lt; 9L)"/>
    <n v="0"/>
    <n v="0.13934426229508196"/>
    <s v=" not riskY"/>
    <d v="2023-09-30T00:00:00"/>
    <n v="13815100"/>
    <n v="21.092024539877301"/>
    <s v="Old Loan"/>
    <s v="Q32023"/>
    <n v="77300600"/>
    <s v="L25353367|C9541595|45197|Personal Loan|Branch|North|Salaried|72|359900|17.35|8077|1040108|721|B|0.3|0.74|0|27|189191|226907|0|0|0|Active"/>
    <x v="1"/>
  </r>
  <r>
    <s v="L37136088"/>
    <s v="C9969938"/>
    <x v="267"/>
    <x v="1"/>
    <x v="1"/>
    <x v="3"/>
    <x v="2"/>
    <n v="240"/>
    <n v="2492700"/>
    <n v="16.45"/>
    <n v="35524"/>
    <n v="1299073"/>
    <n v="656"/>
    <x v="1"/>
    <n v="0.3"/>
    <n v="0.6"/>
    <n v="4132900"/>
    <n v="28"/>
    <n v="955081"/>
    <n v="1920332"/>
    <n v="0"/>
    <n v="0"/>
    <n v="0"/>
    <x v="2"/>
    <n v="201475100"/>
    <n v="105779369"/>
    <n v="301"/>
    <n v="2.5999999999999999E-2"/>
    <n v="2.6548672566371681E-2"/>
    <n v="5.8201058201058198E-2"/>
    <n v="15.841379310344831"/>
    <x v="1"/>
    <n v="260"/>
    <x v="0"/>
    <n v="302"/>
    <n v="3.6423841059602648E-2"/>
    <s v="medium size (&lt;=33L)"/>
    <n v="0"/>
    <n v="0.15909090909090909"/>
    <s v=" not riskY"/>
    <d v="2023-08-31T00:00:00"/>
    <n v="38355800"/>
    <n v="19.091954022988507"/>
    <s v="Old Loan"/>
    <s v="Q32023"/>
    <n v="77300600"/>
    <s v="L37136088|C9969938|45156|SME Loan|Branch|North|Self-Employed|240|2492700|16.45|35524|1299073|656|C|0.3|0.6|4132900|28|955081|1920332|0|0|0|Active"/>
    <x v="1"/>
  </r>
  <r>
    <s v="L30421841"/>
    <s v="C9041928"/>
    <x v="268"/>
    <x v="2"/>
    <x v="0"/>
    <x v="0"/>
    <x v="0"/>
    <n v="60"/>
    <n v="737000"/>
    <n v="10.28"/>
    <n v="15761"/>
    <n v="825171"/>
    <n v="716"/>
    <x v="0"/>
    <n v="0.28000000000000003"/>
    <n v="0.56000000000000005"/>
    <n v="1307600"/>
    <n v="28"/>
    <n v="403097"/>
    <n v="404616"/>
    <n v="0"/>
    <n v="0"/>
    <n v="0"/>
    <x v="2"/>
    <n v="92273000"/>
    <n v="94548000"/>
    <n v="301"/>
    <n v="2.5999999999999999E-2"/>
    <n v="0"/>
    <n v="7.1090047393364927E-2"/>
    <n v="10.611923076923079"/>
    <x v="2"/>
    <n v="122"/>
    <x v="2"/>
    <n v="57"/>
    <n v="0"/>
    <s v="lower size (&lt; 9L)"/>
    <n v="0"/>
    <n v="0.13934426229508196"/>
    <s v=" not riskY"/>
    <d v="2023-08-31T00:00:00"/>
    <n v="38355800"/>
    <n v="20.262135922330096"/>
    <s v="Old Loan"/>
    <s v="Q32023"/>
    <n v="77300600"/>
    <s v="L30421841|C9041928|45159|Auto Loan|Online|South|Salaried|60|737000|10.28|15761|825171|716|B|0.28|0.56|1307600|28|403097|404616|0|0|0|Active"/>
    <x v="1"/>
  </r>
  <r>
    <s v="L85752268"/>
    <s v="C9816136"/>
    <x v="265"/>
    <x v="4"/>
    <x v="0"/>
    <x v="1"/>
    <x v="2"/>
    <n v="120"/>
    <n v="1038600"/>
    <n v="12.43"/>
    <n v="15160"/>
    <n v="332326"/>
    <n v="684"/>
    <x v="1"/>
    <n v="0.28000000000000003"/>
    <n v="0.74"/>
    <n v="0"/>
    <n v="29"/>
    <n v="403531"/>
    <n v="759864"/>
    <n v="45"/>
    <n v="0"/>
    <n v="0"/>
    <x v="0"/>
    <n v="62765800"/>
    <n v="83903255"/>
    <n v="47"/>
    <n v="2.5999999999999999E-2"/>
    <n v="4.2553191489361701E-2"/>
    <n v="7.1090047393364927E-2"/>
    <n v="13.463888888888889"/>
    <x v="2"/>
    <n v="122"/>
    <x v="0"/>
    <n v="302"/>
    <n v="3.6423841059602648E-2"/>
    <s v="medium size (&lt;=33L)"/>
    <n v="1"/>
    <n v="0.15909090909090909"/>
    <s v="high risk"/>
    <d v="2023-07-31T00:00:00"/>
    <n v="25129700"/>
    <n v="21.962962962962962"/>
    <s v="Old Loan"/>
    <s v="Q32023"/>
    <n v="77300600"/>
    <s v="L85752268|C9816136|45123|Education Loan|Online|West|Self-Employed|120|1038600|12.43|15160|332326|684|C|0.28|0.74|0|29|403531|759864|45|0|0|Delinquent"/>
    <x v="2"/>
  </r>
  <r>
    <s v="L42731042"/>
    <s v="C3717346"/>
    <x v="269"/>
    <x v="0"/>
    <x v="1"/>
    <x v="4"/>
    <x v="0"/>
    <n v="24"/>
    <n v="595300"/>
    <n v="17.23"/>
    <n v="29499"/>
    <n v="1306032"/>
    <n v="712"/>
    <x v="0"/>
    <n v="0.28000000000000003"/>
    <n v="0.74"/>
    <n v="0"/>
    <n v="24"/>
    <n v="668854"/>
    <n v="8502"/>
    <n v="0"/>
    <n v="0"/>
    <n v="0"/>
    <x v="1"/>
    <n v="74897600"/>
    <n v="83297251"/>
    <n v="139"/>
    <n v="2.5999999999999999E-2"/>
    <n v="3.1914893617021274E-2"/>
    <n v="5.8201058201058198E-2"/>
    <n v="16.500166666666669"/>
    <x v="2"/>
    <n v="122"/>
    <x v="0"/>
    <n v="302"/>
    <n v="3.6423841059602648E-2"/>
    <s v="lower size (&lt; 9L)"/>
    <n v="0"/>
    <n v="0.13934426229508196"/>
    <s v=" not riskY"/>
    <d v="2023-07-31T00:00:00"/>
    <n v="25129700"/>
    <n v="21.092024539877301"/>
    <s v="Old Loan"/>
    <s v="Q32023"/>
    <n v="77300600"/>
    <s v="L42731042|C3717346|45135|Personal Loan|Branch|East|Salaried|24|595300|17.23|29499|1306032|712|B|0.28|0.74|0|24|668854|8502|0|0|0|Closed"/>
    <x v="2"/>
  </r>
  <r>
    <s v="L11605310"/>
    <s v="C6152121"/>
    <x v="270"/>
    <x v="0"/>
    <x v="1"/>
    <x v="3"/>
    <x v="0"/>
    <n v="240"/>
    <n v="141100"/>
    <n v="18.25"/>
    <n v="2205"/>
    <n v="978501"/>
    <n v="683"/>
    <x v="1"/>
    <n v="0.28000000000000003"/>
    <n v="0.84"/>
    <n v="0"/>
    <n v="29"/>
    <n v="63483"/>
    <n v="102509"/>
    <n v="5"/>
    <n v="0"/>
    <n v="0"/>
    <x v="2"/>
    <n v="74897600"/>
    <n v="105779369"/>
    <n v="301"/>
    <n v="2.5999999999999999E-2"/>
    <n v="2.6548672566371681E-2"/>
    <n v="5.8201058201058198E-2"/>
    <n v="18.603181818181817"/>
    <x v="2"/>
    <n v="122"/>
    <x v="1"/>
    <n v="141"/>
    <n v="1.4184397163120567E-2"/>
    <s v="lower size (&lt; 9L)"/>
    <n v="0"/>
    <n v="0.13934426229508196"/>
    <s v=" not riskY"/>
    <d v="2023-07-31T00:00:00"/>
    <n v="25129700"/>
    <n v="21.092024539877301"/>
    <s v="Old Loan"/>
    <s v="Q32023"/>
    <n v="77300600"/>
    <s v="L11605310|C6152121|45125|Personal Loan|Branch|North|Salaried|240|141100|18.25|2205|978501|683|C|0.28|0.84|0|29|63483|102509|5|0|0|Active"/>
    <x v="2"/>
  </r>
  <r>
    <s v="L35324550"/>
    <s v="C2821208"/>
    <x v="248"/>
    <x v="2"/>
    <x v="0"/>
    <x v="0"/>
    <x v="0"/>
    <n v="48"/>
    <n v="1464700"/>
    <n v="7"/>
    <n v="35074"/>
    <n v="1333259"/>
    <n v="776"/>
    <x v="3"/>
    <n v="0.27"/>
    <n v="0.81"/>
    <n v="1804800"/>
    <n v="27"/>
    <n v="886234"/>
    <n v="670742"/>
    <n v="0"/>
    <n v="1"/>
    <n v="0"/>
    <x v="1"/>
    <n v="92273000"/>
    <n v="94548000"/>
    <n v="139"/>
    <n v="2.5999999999999999E-2"/>
    <n v="0"/>
    <n v="7.1090047393364927E-2"/>
    <n v="7.9444999999999997"/>
    <x v="2"/>
    <n v="122"/>
    <x v="1"/>
    <n v="141"/>
    <n v="1.4184397163120567E-2"/>
    <s v="medium size (&lt;=33L)"/>
    <n v="0"/>
    <n v="0.15909090909090909"/>
    <s v=" not riskY"/>
    <d v="2023-09-30T00:00:00"/>
    <n v="13815100"/>
    <n v="20.262135922330096"/>
    <s v="Old Loan"/>
    <s v="Q32023"/>
    <n v="77300600"/>
    <s v="L35324550|C2821208|45178|Auto Loan|Online|South|Salaried|48|1464700|7|35074|1333259|776|A|0.27|0.81|1804800|27|886234|670742|0|1|0|Closed"/>
    <x v="2"/>
  </r>
  <r>
    <s v="L53972564"/>
    <s v="C5267518"/>
    <x v="271"/>
    <x v="1"/>
    <x v="0"/>
    <x v="2"/>
    <x v="2"/>
    <n v="36"/>
    <n v="4052800"/>
    <n v="16.79"/>
    <n v="144070"/>
    <n v="949580"/>
    <n v="657"/>
    <x v="1"/>
    <n v="0.27"/>
    <n v="0.82"/>
    <n v="4945900"/>
    <n v="27"/>
    <n v="3603405"/>
    <n v="1061814"/>
    <n v="0"/>
    <n v="0"/>
    <n v="0"/>
    <x v="2"/>
    <n v="201475100"/>
    <n v="98928695"/>
    <n v="301"/>
    <n v="2.5999999999999999E-2"/>
    <n v="2.8571428571428571E-2"/>
    <n v="7.1090047393364927E-2"/>
    <n v="15.841379310344831"/>
    <x v="2"/>
    <n v="122"/>
    <x v="1"/>
    <n v="141"/>
    <n v="1.4184397163120567E-2"/>
    <s v="larger size (&gt; 33L)"/>
    <n v="0"/>
    <n v="0.16250000000000001"/>
    <s v=" not riskY"/>
    <d v="2023-09-30T00:00:00"/>
    <n v="13815100"/>
    <n v="19.091954022988507"/>
    <s v="Old Loan"/>
    <s v="Q32023"/>
    <n v="77300600"/>
    <s v="L53972564|C5267518|45181|SME Loan|Online|Central|Self-Employed|36|4052800|16.79|144070|949580|657|C|0.27|0.82|4945900|27|3603405|1061814|0|0|0|Active"/>
    <x v="2"/>
  </r>
  <r>
    <s v="L61055399"/>
    <s v="C2421305"/>
    <x v="272"/>
    <x v="0"/>
    <x v="0"/>
    <x v="2"/>
    <x v="0"/>
    <n v="24"/>
    <n v="77700"/>
    <n v="17.2"/>
    <n v="3849"/>
    <n v="1006953"/>
    <n v="705"/>
    <x v="0"/>
    <n v="0.26"/>
    <n v="0.99"/>
    <n v="0"/>
    <n v="24"/>
    <n v="80522"/>
    <n v="7870"/>
    <n v="30"/>
    <n v="0"/>
    <n v="0"/>
    <x v="1"/>
    <n v="74897600"/>
    <n v="98928695"/>
    <n v="139"/>
    <n v="2.5999999999999999E-2"/>
    <n v="2.8571428571428571E-2"/>
    <n v="7.1090047393364927E-2"/>
    <n v="16.500166666666669"/>
    <x v="2"/>
    <n v="122"/>
    <x v="1"/>
    <n v="141"/>
    <n v="1.4184397163120567E-2"/>
    <s v="lower size (&lt; 9L)"/>
    <n v="1"/>
    <n v="0.13934426229508196"/>
    <s v="high risk"/>
    <d v="2023-09-30T00:00:00"/>
    <n v="13815100"/>
    <n v="21.092024539877301"/>
    <s v="Old Loan"/>
    <s v="Q32023"/>
    <n v="77300600"/>
    <s v="L61055399|C2421305|45172|Personal Loan|Online|Central|Salaried|24|77700|17.2|3849|1006953|705|B|0.26|0.99|0|24|80522|7870|30|0|0|Closed"/>
    <x v="2"/>
  </r>
  <r>
    <s v="L34027809"/>
    <s v="C7503268"/>
    <x v="273"/>
    <x v="4"/>
    <x v="1"/>
    <x v="2"/>
    <x v="0"/>
    <n v="12"/>
    <n v="949500"/>
    <n v="10.32"/>
    <n v="83618"/>
    <n v="569452"/>
    <n v="761"/>
    <x v="3"/>
    <n v="0.26"/>
    <n v="0.77"/>
    <n v="0"/>
    <n v="12"/>
    <n v="991700"/>
    <n v="0"/>
    <n v="0"/>
    <n v="0"/>
    <n v="0"/>
    <x v="1"/>
    <n v="62765800"/>
    <n v="98928695"/>
    <n v="139"/>
    <n v="2.5999999999999999E-2"/>
    <n v="2.8571428571428571E-2"/>
    <n v="5.8201058201058198E-2"/>
    <n v="8.5057142857142871"/>
    <x v="2"/>
    <n v="122"/>
    <x v="0"/>
    <n v="302"/>
    <n v="3.6423841059602648E-2"/>
    <s v="medium size (&lt;=33L)"/>
    <n v="0"/>
    <n v="0.15909090909090909"/>
    <s v=" not riskY"/>
    <d v="2023-09-30T00:00:00"/>
    <n v="13815100"/>
    <n v="21.962962962962962"/>
    <s v="Old Loan"/>
    <s v="Q32023"/>
    <n v="77300600"/>
    <s v="L34027809|C7503268|45196|Education Loan|Branch|Central|Salaried|12|949500|10.32|83618|569452|761|A|0.26|0.77|0|12|991700|0|0|0|0|Closed"/>
    <x v="2"/>
  </r>
  <r>
    <s v="L67124648"/>
    <s v="C7632501"/>
    <x v="274"/>
    <x v="3"/>
    <x v="0"/>
    <x v="3"/>
    <x v="3"/>
    <n v="60"/>
    <n v="6315900"/>
    <n v="7.43"/>
    <n v="126348"/>
    <n v="874374"/>
    <n v="772"/>
    <x v="3"/>
    <n v="0.25"/>
    <n v="0.57999999999999996"/>
    <n v="10853100"/>
    <n v="28"/>
    <n v="3218446"/>
    <n v="3535441"/>
    <n v="0"/>
    <n v="0"/>
    <n v="0"/>
    <x v="2"/>
    <n v="403369500"/>
    <n v="105779369"/>
    <n v="301"/>
    <n v="2.5999999999999999E-2"/>
    <n v="2.6548672566371681E-2"/>
    <n v="7.1090047393364927E-2"/>
    <n v="7.1876190476190471"/>
    <x v="2"/>
    <n v="122"/>
    <x v="2"/>
    <n v="57"/>
    <n v="0"/>
    <s v="larger size (&gt; 33L)"/>
    <n v="0"/>
    <n v="0.16250000000000001"/>
    <s v=" not riskY"/>
    <d v="2023-08-31T00:00:00"/>
    <n v="38355800"/>
    <n v="20.516129032258064"/>
    <s v="Old Loan"/>
    <s v="Q32023"/>
    <n v="77300600"/>
    <s v="L67124648|C7632501|45143|Home Loan|Online|North|Unemployed|60|6315900|7.43|126348|874374|772|A|0.25|0.58|10853100|28|3218446|3535441|0|0|0|Active"/>
    <x v="2"/>
  </r>
  <r>
    <s v="L26151084"/>
    <s v="C2330050"/>
    <x v="275"/>
    <x v="3"/>
    <x v="0"/>
    <x v="3"/>
    <x v="0"/>
    <n v="36"/>
    <n v="5751300"/>
    <n v="8.1300000000000008"/>
    <n v="180570"/>
    <n v="1234022"/>
    <n v="759"/>
    <x v="3"/>
    <n v="0.23"/>
    <n v="0.63"/>
    <n v="9123400"/>
    <n v="28"/>
    <n v="4322844"/>
    <n v="1864865"/>
    <n v="0"/>
    <n v="1"/>
    <n v="0"/>
    <x v="1"/>
    <n v="403369500"/>
    <n v="105779369"/>
    <n v="139"/>
    <n v="2.5999999999999999E-2"/>
    <n v="2.6548672566371681E-2"/>
    <n v="7.1090047393364927E-2"/>
    <n v="7.1876190476190471"/>
    <x v="2"/>
    <n v="122"/>
    <x v="0"/>
    <n v="302"/>
    <n v="3.6423841059602648E-2"/>
    <s v="larger size (&gt; 33L)"/>
    <n v="0"/>
    <n v="0.16250000000000001"/>
    <s v=" not riskY"/>
    <d v="2023-08-31T00:00:00"/>
    <n v="38355800"/>
    <n v="20.516129032258064"/>
    <s v="Old Loan"/>
    <s v="Q32023"/>
    <n v="77300600"/>
    <s v="L26151084|C2330050|45150|Home Loan|Online|North|Salaried|36|5751300|8.13|180570|1234022|759|A|0.23|0.63|9123400|28|4322844|1864865|0|1|0|Closed"/>
    <x v="2"/>
  </r>
  <r>
    <s v="L38909415"/>
    <s v="C8746471"/>
    <x v="276"/>
    <x v="4"/>
    <x v="1"/>
    <x v="3"/>
    <x v="1"/>
    <n v="360"/>
    <n v="1204500"/>
    <n v="9.44"/>
    <n v="10075"/>
    <n v="1188302"/>
    <n v="769"/>
    <x v="3"/>
    <n v="0.23"/>
    <n v="0.81"/>
    <n v="0"/>
    <n v="29"/>
    <n v="291859"/>
    <n v="1022556"/>
    <n v="0"/>
    <n v="0"/>
    <n v="0"/>
    <x v="2"/>
    <n v="62765800"/>
    <n v="105779369"/>
    <n v="301"/>
    <n v="2.5999999999999999E-2"/>
    <n v="2.6548672566371681E-2"/>
    <n v="5.8201058201058198E-2"/>
    <n v="8.5057142857142871"/>
    <x v="2"/>
    <n v="122"/>
    <x v="1"/>
    <n v="141"/>
    <n v="1.4184397163120567E-2"/>
    <s v="medium size (&lt;=33L)"/>
    <n v="0"/>
    <n v="0.15909090909090909"/>
    <s v=" not riskY"/>
    <d v="2023-07-31T00:00:00"/>
    <n v="25129700"/>
    <n v="21.962962962962962"/>
    <s v="Old Loan"/>
    <s v="Q32023"/>
    <n v="77300600"/>
    <s v="L38909415|C8746471|45131|Education Loan|Branch|North|Contract|360|1204500|9.44|10075|1188302|769|A|0.23|0.81|0|29|291859|1022556|0|0|0|Active"/>
    <x v="2"/>
  </r>
  <r>
    <s v="L43383005"/>
    <s v="C5079630"/>
    <x v="277"/>
    <x v="1"/>
    <x v="0"/>
    <x v="0"/>
    <x v="0"/>
    <n v="24"/>
    <n v="2468500"/>
    <n v="13.41"/>
    <n v="117833"/>
    <n v="1094569"/>
    <n v="752"/>
    <x v="3"/>
    <n v="0.21"/>
    <n v="0.84"/>
    <n v="2940100"/>
    <n v="24"/>
    <n v="2736049"/>
    <n v="0"/>
    <n v="0"/>
    <n v="0"/>
    <n v="0"/>
    <x v="1"/>
    <n v="201475100"/>
    <n v="94548000"/>
    <n v="139"/>
    <n v="2.5999999999999999E-2"/>
    <n v="0"/>
    <n v="7.1090047393364927E-2"/>
    <n v="10.537499999999998"/>
    <x v="2"/>
    <n v="122"/>
    <x v="1"/>
    <n v="141"/>
    <n v="1.4184397163120567E-2"/>
    <s v="medium size (&lt;=33L)"/>
    <n v="0"/>
    <n v="0.15909090909090909"/>
    <s v=" not riskY"/>
    <d v="2023-08-31T00:00:00"/>
    <n v="38355800"/>
    <n v="19.091954022988507"/>
    <s v="Old Loan"/>
    <s v="Q32023"/>
    <n v="77300600"/>
    <s v="L43383005|C5079630|45169|SME Loan|Online|South|Salaried|24|2468500|13.41|117833|1094569|752|A|0.21|0.84|2940100|24|2736049|0|0|0|0|Closed"/>
    <x v="2"/>
  </r>
  <r>
    <s v="L42997839"/>
    <s v="C3130703"/>
    <x v="278"/>
    <x v="0"/>
    <x v="1"/>
    <x v="0"/>
    <x v="0"/>
    <n v="60"/>
    <n v="514200"/>
    <n v="15.48"/>
    <n v="12363"/>
    <n v="792506"/>
    <n v="738"/>
    <x v="0"/>
    <n v="0.2"/>
    <n v="0.89"/>
    <n v="0"/>
    <n v="29"/>
    <n v="340351"/>
    <n v="250794"/>
    <n v="0"/>
    <n v="0"/>
    <n v="0"/>
    <x v="2"/>
    <n v="74897600"/>
    <n v="94548000"/>
    <n v="301"/>
    <n v="2.5999999999999999E-2"/>
    <n v="0"/>
    <n v="5.8201058201058198E-2"/>
    <n v="16.500166666666669"/>
    <x v="2"/>
    <n v="122"/>
    <x v="1"/>
    <n v="141"/>
    <n v="1.4184397163120567E-2"/>
    <s v="lower size (&lt; 9L)"/>
    <n v="0"/>
    <n v="0.13934426229508196"/>
    <s v=" not riskY"/>
    <d v="2023-07-31T00:00:00"/>
    <n v="25129700"/>
    <n v="21.092024539877301"/>
    <s v="Old Loan"/>
    <s v="Q32023"/>
    <n v="77300600"/>
    <s v="L42997839|C3130703|45116|Personal Loan|Branch|South|Salaried|60|514200|15.48|12363|792506|738|B|0.2|0.89|0|29|340351|250794|0|0|0|Active"/>
    <x v="2"/>
  </r>
  <r>
    <s v="L60132893"/>
    <s v="C1652203"/>
    <x v="247"/>
    <x v="1"/>
    <x v="0"/>
    <x v="4"/>
    <x v="0"/>
    <n v="48"/>
    <n v="2736100"/>
    <n v="12.85"/>
    <n v="73199"/>
    <n v="869258"/>
    <n v="741"/>
    <x v="0"/>
    <n v="0.15"/>
    <n v="0.64"/>
    <n v="4282900"/>
    <n v="29"/>
    <n v="1999442"/>
    <n v="1076527"/>
    <n v="0"/>
    <n v="0"/>
    <n v="0"/>
    <x v="2"/>
    <n v="201475100"/>
    <n v="83297251"/>
    <n v="301"/>
    <n v="2.5999999999999999E-2"/>
    <n v="3.1914893617021274E-2"/>
    <n v="7.1090047393364927E-2"/>
    <n v="13.042631578947367"/>
    <x v="3"/>
    <n v="86"/>
    <x v="0"/>
    <n v="302"/>
    <n v="3.6423841059602648E-2"/>
    <s v="medium size (&lt;=33L)"/>
    <n v="0"/>
    <n v="0.15909090909090909"/>
    <s v=" not riskY"/>
    <d v="2023-07-31T00:00:00"/>
    <n v="25129700"/>
    <n v="19.091954022988507"/>
    <s v="Old Loan"/>
    <s v="Q32023"/>
    <n v="77300600"/>
    <s v="L60132893|C1652203|45111|SME Loan|Online|East|Salaried|48|2736100|12.85|73199|869258|741|B|0.15|0.64|4282900|29|1999442|1076527|0|0|0|Active"/>
    <x v="2"/>
  </r>
  <r>
    <s v="L51670702"/>
    <s v="C6284350"/>
    <x v="253"/>
    <x v="3"/>
    <x v="1"/>
    <x v="3"/>
    <x v="0"/>
    <n v="24"/>
    <n v="5541900"/>
    <n v="7"/>
    <n v="248125"/>
    <n v="427353"/>
    <n v="812"/>
    <x v="3"/>
    <n v="0.15"/>
    <n v="0.72"/>
    <n v="7745900"/>
    <n v="24"/>
    <n v="5190183"/>
    <n v="662063"/>
    <n v="0"/>
    <n v="0"/>
    <n v="0"/>
    <x v="1"/>
    <n v="403369500"/>
    <n v="105779369"/>
    <n v="139"/>
    <n v="2.5999999999999999E-2"/>
    <n v="2.6548672566371681E-2"/>
    <n v="5.8201058201058198E-2"/>
    <n v="7.1876190476190471"/>
    <x v="3"/>
    <n v="86"/>
    <x v="0"/>
    <n v="302"/>
    <n v="3.6423841059602648E-2"/>
    <s v="larger size (&gt; 33L)"/>
    <n v="0"/>
    <n v="0.16250000000000001"/>
    <s v=" not riskY"/>
    <d v="2023-08-31T00:00:00"/>
    <n v="38355800"/>
    <n v="20.516129032258064"/>
    <s v="Old Loan"/>
    <s v="Q32023"/>
    <n v="77300600"/>
    <s v="L51670702|C6284350|45155|Home Loan|Branch|North|Salaried|24|5541900|7|248125|427353|812|A|0.15|0.72|7745900|24|5190183|662063|0|0|0|Closed"/>
    <x v="2"/>
  </r>
  <r>
    <s v="L28212702"/>
    <s v="C8073602"/>
    <x v="279"/>
    <x v="0"/>
    <x v="0"/>
    <x v="0"/>
    <x v="2"/>
    <n v="18"/>
    <n v="424100"/>
    <n v="20.04"/>
    <n v="27474"/>
    <n v="893034"/>
    <n v="630"/>
    <x v="2"/>
    <n v="0.11"/>
    <n v="0.73"/>
    <n v="0"/>
    <n v="18"/>
    <n v="442316"/>
    <n v="32778"/>
    <n v="0"/>
    <n v="0"/>
    <n v="0"/>
    <x v="1"/>
    <n v="74897600"/>
    <n v="94548000"/>
    <n v="139"/>
    <n v="2.5999999999999999E-2"/>
    <n v="0"/>
    <n v="7.1090047393364927E-2"/>
    <n v="20.962592592592593"/>
    <x v="3"/>
    <n v="86"/>
    <x v="0"/>
    <n v="302"/>
    <n v="3.6423841059602648E-2"/>
    <s v="lower size (&lt; 9L)"/>
    <n v="0"/>
    <n v="0.13934426229508196"/>
    <s v=" not riskY"/>
    <d v="2023-08-31T00:00:00"/>
    <n v="38355800"/>
    <n v="21.092024539877301"/>
    <s v="Old Loan"/>
    <s v="Q32023"/>
    <n v="77300600"/>
    <s v="L28212702|C8073602|45158|Personal Loan|Online|South|Self-Employed|18|424100|20.04|27474|893034|630|D|0.11|0.73|0|18|442316|32778|0|0|0|Closed"/>
    <x v="2"/>
  </r>
  <r>
    <s v="L31054553"/>
    <s v="C9644437"/>
    <x v="280"/>
    <x v="3"/>
    <x v="0"/>
    <x v="0"/>
    <x v="0"/>
    <n v="36"/>
    <n v="5230500"/>
    <n v="8.23"/>
    <n v="164460"/>
    <n v="1064439"/>
    <n v="751"/>
    <x v="3"/>
    <n v="0.54"/>
    <n v="0.64"/>
    <n v="8166200"/>
    <n v="15"/>
    <n v="2181392"/>
    <n v="3264343"/>
    <n v="45"/>
    <n v="0"/>
    <n v="0"/>
    <x v="0"/>
    <n v="403369500"/>
    <n v="94548000"/>
    <n v="47"/>
    <n v="2.5999999999999999E-2"/>
    <n v="0"/>
    <n v="7.1090047393364927E-2"/>
    <n v="7.1876190476190471"/>
    <x v="0"/>
    <n v="32"/>
    <x v="0"/>
    <n v="302"/>
    <n v="3.6423841059602648E-2"/>
    <s v="larger size (&gt; 33L)"/>
    <n v="1"/>
    <n v="0.16250000000000001"/>
    <s v="high risk"/>
    <d v="2024-09-30T00:00:00"/>
    <n v="11027600"/>
    <n v="20.516129032258064"/>
    <s v="Old Loan"/>
    <s v="Q32024"/>
    <n v="52597700"/>
    <s v="L31054553|C9644437|45547|Home Loan|Online|South|Salaried|36|5230500|8.23|164460|1064439|751|A|0.54|0.64|8166200|15|2181392|3264343|45|0|0|Delinquent"/>
    <x v="2"/>
  </r>
  <r>
    <s v="L23886054"/>
    <s v="C1391275"/>
    <x v="281"/>
    <x v="1"/>
    <x v="1"/>
    <x v="4"/>
    <x v="0"/>
    <n v="360"/>
    <n v="1501500"/>
    <n v="16.989999999999998"/>
    <n v="21394"/>
    <n v="1221798"/>
    <n v="660"/>
    <x v="1"/>
    <n v="0.52"/>
    <n v="0.7"/>
    <n v="2144900"/>
    <n v="15"/>
    <n v="295893"/>
    <n v="1333159"/>
    <n v="15"/>
    <n v="0"/>
    <n v="0"/>
    <x v="2"/>
    <n v="201475100"/>
    <n v="83297251"/>
    <n v="301"/>
    <n v="2.5999999999999999E-2"/>
    <n v="3.1914893617021274E-2"/>
    <n v="5.8201058201058198E-2"/>
    <n v="15.841379310344831"/>
    <x v="0"/>
    <n v="32"/>
    <x v="0"/>
    <n v="302"/>
    <n v="3.6423841059602648E-2"/>
    <s v="medium size (&lt;=33L)"/>
    <n v="0"/>
    <n v="0.15909090909090909"/>
    <s v="high risk"/>
    <d v="2024-09-30T00:00:00"/>
    <n v="11027600"/>
    <n v="19.091954022988507"/>
    <s v="Old Loan"/>
    <s v="Q32024"/>
    <n v="52597700"/>
    <s v="L23886054|C1391275|45545|SME Loan|Branch|East|Salaried|360|1501500|16.99|21394|1221798|660|C|0.52|0.7|2144900|15|295893|1333159|15|0|0|Active"/>
    <x v="2"/>
  </r>
  <r>
    <s v="L62300494"/>
    <s v="C2306172"/>
    <x v="282"/>
    <x v="3"/>
    <x v="1"/>
    <x v="1"/>
    <x v="0"/>
    <n v="120"/>
    <n v="4593600"/>
    <n v="11.92"/>
    <n v="65693"/>
    <n v="1435260"/>
    <n v="672"/>
    <x v="1"/>
    <n v="0.52"/>
    <n v="0.72"/>
    <n v="6409300"/>
    <n v="16"/>
    <n v="1019050"/>
    <n v="3866580"/>
    <n v="0"/>
    <n v="0"/>
    <n v="0"/>
    <x v="2"/>
    <n v="403369500"/>
    <n v="83903255"/>
    <n v="301"/>
    <n v="2.5999999999999999E-2"/>
    <n v="4.2553191489361701E-2"/>
    <n v="5.8201058201058198E-2"/>
    <n v="11.719736842105268"/>
    <x v="0"/>
    <n v="32"/>
    <x v="0"/>
    <n v="302"/>
    <n v="3.6423841059602648E-2"/>
    <s v="larger size (&gt; 33L)"/>
    <n v="0"/>
    <n v="0.16250000000000001"/>
    <s v="high risk"/>
    <d v="2024-08-31T00:00:00"/>
    <n v="16249800"/>
    <n v="20.516129032258064"/>
    <s v="Old Loan"/>
    <s v="Q32024"/>
    <n v="52597700"/>
    <s v="L62300494|C2306172|45526|Home Loan|Branch|West|Salaried|120|4593600|11.92|65693|1435260|672|C|0.52|0.72|6409300|16|1019050|3866580|0|0|0|Active"/>
    <x v="2"/>
  </r>
  <r>
    <s v="L99224452"/>
    <s v="C1464921"/>
    <x v="283"/>
    <x v="3"/>
    <x v="1"/>
    <x v="3"/>
    <x v="2"/>
    <n v="36"/>
    <n v="50000"/>
    <n v="9.1999999999999993"/>
    <n v="1595"/>
    <n v="862012"/>
    <n v="708"/>
    <x v="0"/>
    <n v="0.51"/>
    <n v="0.54"/>
    <n v="93400"/>
    <n v="15"/>
    <n v="24234"/>
    <n v="28066"/>
    <n v="0"/>
    <n v="0"/>
    <n v="0"/>
    <x v="2"/>
    <n v="403369500"/>
    <n v="105779369"/>
    <n v="301"/>
    <n v="2.5999999999999999E-2"/>
    <n v="2.6548672566371681E-2"/>
    <n v="5.8201058201058198E-2"/>
    <n v="8.8557142857142868"/>
    <x v="0"/>
    <n v="32"/>
    <x v="2"/>
    <n v="57"/>
    <n v="0"/>
    <s v="lower size (&lt; 9L)"/>
    <n v="0"/>
    <n v="0.13934426229508196"/>
    <s v="high risk"/>
    <d v="2024-09-30T00:00:00"/>
    <n v="11027600"/>
    <n v="20.516129032258064"/>
    <s v="Old Loan"/>
    <s v="Q32024"/>
    <n v="52597700"/>
    <s v="L99224452|C1464921|45564|Home Loan|Branch|North|Self-Employed|36|50000|9.2|1595|862012|708|B|0.51|0.54|93400|15|24234|28066|0|0|0|Active"/>
    <x v="2"/>
  </r>
  <r>
    <s v="L93480629"/>
    <s v="C2335950"/>
    <x v="284"/>
    <x v="0"/>
    <x v="1"/>
    <x v="4"/>
    <x v="2"/>
    <n v="180"/>
    <n v="443200"/>
    <n v="16.39"/>
    <n v="6630"/>
    <n v="1212830"/>
    <n v="711"/>
    <x v="0"/>
    <n v="0.49"/>
    <n v="0.78"/>
    <n v="0"/>
    <n v="17"/>
    <n v="103716"/>
    <n v="380647"/>
    <n v="0"/>
    <n v="0"/>
    <n v="0"/>
    <x v="2"/>
    <n v="74897600"/>
    <n v="83297251"/>
    <n v="301"/>
    <n v="2.5999999999999999E-2"/>
    <n v="3.1914893617021274E-2"/>
    <n v="5.8201058201058198E-2"/>
    <n v="16.500166666666669"/>
    <x v="1"/>
    <n v="260"/>
    <x v="0"/>
    <n v="302"/>
    <n v="3.6423841059602648E-2"/>
    <s v="lower size (&lt; 9L)"/>
    <n v="0"/>
    <n v="0.13934426229508196"/>
    <s v=" not riskY"/>
    <d v="2024-07-31T00:00:00"/>
    <n v="25320300"/>
    <n v="21.092024539877301"/>
    <s v="Old Loan"/>
    <s v="Q32024"/>
    <n v="52597700"/>
    <s v="L93480629|C2335950|45495|Personal Loan|Branch|East|Self-Employed|180|443200|16.39|6630|1212830|711|B|0.49|0.78|0|17|103716|380647|0|0|0|Active"/>
    <x v="2"/>
  </r>
  <r>
    <s v="L38112997"/>
    <s v="C8534179"/>
    <x v="285"/>
    <x v="0"/>
    <x v="1"/>
    <x v="1"/>
    <x v="2"/>
    <n v="120"/>
    <n v="726300"/>
    <n v="22.05"/>
    <n v="15037"/>
    <n v="985639"/>
    <n v="610"/>
    <x v="2"/>
    <n v="0.48"/>
    <n v="0.82"/>
    <n v="0"/>
    <n v="17"/>
    <n v="250708"/>
    <n v="566343"/>
    <n v="0"/>
    <n v="0"/>
    <n v="0"/>
    <x v="2"/>
    <n v="74897600"/>
    <n v="83903255"/>
    <n v="301"/>
    <n v="2.5999999999999999E-2"/>
    <n v="4.2553191489361701E-2"/>
    <n v="5.8201058201058198E-2"/>
    <n v="20.962592592592593"/>
    <x v="1"/>
    <n v="260"/>
    <x v="1"/>
    <n v="141"/>
    <n v="1.4184397163120567E-2"/>
    <s v="lower size (&lt; 9L)"/>
    <n v="0"/>
    <n v="0.13934426229508196"/>
    <s v=" not riskY"/>
    <d v="2024-07-31T00:00:00"/>
    <n v="25320300"/>
    <n v="21.092024539877301"/>
    <s v="Old Loan"/>
    <s v="Q32024"/>
    <n v="52597700"/>
    <s v="L38112997|C8534179|45492|Personal Loan|Branch|West|Self-Employed|120|726300|22.05|15037|985639|610|D|0.48|0.82|0|17|250708|566343|0|0|0|Active"/>
    <x v="2"/>
  </r>
  <r>
    <s v="L58854438"/>
    <s v="C8031646"/>
    <x v="286"/>
    <x v="2"/>
    <x v="2"/>
    <x v="1"/>
    <x v="0"/>
    <n v="18"/>
    <n v="649000"/>
    <n v="11.05"/>
    <n v="39292"/>
    <n v="1162418"/>
    <n v="702"/>
    <x v="0"/>
    <n v="0.48"/>
    <n v="0.93"/>
    <n v="697400"/>
    <n v="16"/>
    <n v="567039"/>
    <n v="120209"/>
    <n v="5"/>
    <n v="1"/>
    <n v="0"/>
    <x v="1"/>
    <n v="92273000"/>
    <n v="83903255"/>
    <n v="139"/>
    <n v="2.5999999999999999E-2"/>
    <n v="4.2553191489361701E-2"/>
    <n v="0.1"/>
    <n v="10.611923076923079"/>
    <x v="1"/>
    <n v="260"/>
    <x v="1"/>
    <n v="141"/>
    <n v="1.4184397163120567E-2"/>
    <s v="lower size (&lt; 9L)"/>
    <n v="0"/>
    <n v="0.13934426229508196"/>
    <s v=" not riskY"/>
    <d v="2024-08-31T00:00:00"/>
    <n v="16249800"/>
    <n v="20.262135922330096"/>
    <s v="Old Loan"/>
    <s v="Q32024"/>
    <n v="52597700"/>
    <s v="L58854438|C8031646|45522|Auto Loan|Partner|West|Salaried|18|649000|11.05|39292|1162418|702|B|0.48|0.93|697400|16|567039|120209|5|1|0|Closed"/>
    <x v="2"/>
  </r>
  <r>
    <s v="L72973642"/>
    <s v="C2164061"/>
    <x v="285"/>
    <x v="1"/>
    <x v="0"/>
    <x v="1"/>
    <x v="2"/>
    <n v="24"/>
    <n v="795600"/>
    <n v="9.93"/>
    <n v="36687"/>
    <n v="1001922"/>
    <n v="805"/>
    <x v="3"/>
    <n v="0.48"/>
    <n v="0.72"/>
    <n v="1097500"/>
    <n v="17"/>
    <n v="594126"/>
    <n v="246242"/>
    <n v="0"/>
    <n v="0"/>
    <n v="0"/>
    <x v="2"/>
    <n v="201475100"/>
    <n v="83903255"/>
    <n v="301"/>
    <n v="2.5999999999999999E-2"/>
    <n v="4.2553191489361701E-2"/>
    <n v="7.1090047393364927E-2"/>
    <n v="10.537499999999998"/>
    <x v="1"/>
    <n v="260"/>
    <x v="0"/>
    <n v="302"/>
    <n v="3.6423841059602648E-2"/>
    <s v="lower size (&lt; 9L)"/>
    <n v="0"/>
    <n v="0.13934426229508196"/>
    <s v=" not riskY"/>
    <d v="2024-07-31T00:00:00"/>
    <n v="25320300"/>
    <n v="19.091954022988507"/>
    <s v="Old Loan"/>
    <s v="Q32024"/>
    <n v="52597700"/>
    <s v="L72973642|C2164061|45492|SME Loan|Online|West|Self-Employed|24|795600|9.93|36687|1001922|805|A|0.48|0.72|1097500|17|594126|246242|0|0|0|Active"/>
    <x v="2"/>
  </r>
  <r>
    <s v="L13367130"/>
    <s v="C8770992"/>
    <x v="287"/>
    <x v="4"/>
    <x v="3"/>
    <x v="2"/>
    <x v="0"/>
    <n v="60"/>
    <n v="1418000"/>
    <n v="12.28"/>
    <n v="31744"/>
    <n v="814485"/>
    <n v="678"/>
    <x v="1"/>
    <n v="0.37"/>
    <n v="0.79"/>
    <n v="0"/>
    <n v="16"/>
    <n v="440768"/>
    <n v="1070102"/>
    <n v="0"/>
    <n v="0"/>
    <n v="0"/>
    <x v="2"/>
    <n v="62765800"/>
    <n v="98928695"/>
    <n v="301"/>
    <n v="2.5999999999999999E-2"/>
    <n v="2.8571428571428571E-2"/>
    <n v="0.12"/>
    <n v="13.463888888888889"/>
    <x v="1"/>
    <n v="260"/>
    <x v="0"/>
    <n v="302"/>
    <n v="3.6423841059602648E-2"/>
    <s v="medium size (&lt;=33L)"/>
    <n v="0"/>
    <n v="0.15909090909090909"/>
    <s v=" not riskY"/>
    <d v="2024-08-31T00:00:00"/>
    <n v="16249800"/>
    <n v="21.962962962962962"/>
    <s v="Old Loan"/>
    <s v="Q32024"/>
    <n v="52597700"/>
    <s v="L13367130|C8770992|45527|Education Loan|Call Center|Central|Salaried|60|1418000|12.28|31744|814485|678|C|0.37|0.79|0|16|440768|1070102|0|0|0|Active"/>
    <x v="2"/>
  </r>
  <r>
    <s v="L82742632"/>
    <s v="C8275147"/>
    <x v="288"/>
    <x v="3"/>
    <x v="0"/>
    <x v="3"/>
    <x v="0"/>
    <n v="360"/>
    <n v="4550500"/>
    <n v="7"/>
    <n v="30275"/>
    <n v="1426577"/>
    <n v="803"/>
    <x v="3"/>
    <n v="0.37"/>
    <n v="0.92"/>
    <n v="4929600"/>
    <n v="17"/>
    <n v="482121"/>
    <n v="4248882"/>
    <n v="0"/>
    <n v="0"/>
    <n v="0"/>
    <x v="2"/>
    <n v="403369500"/>
    <n v="105779369"/>
    <n v="301"/>
    <n v="2.5999999999999999E-2"/>
    <n v="2.6548672566371681E-2"/>
    <n v="7.1090047393364927E-2"/>
    <n v="7.1876190476190471"/>
    <x v="1"/>
    <n v="260"/>
    <x v="1"/>
    <n v="141"/>
    <n v="1.4184397163120567E-2"/>
    <s v="larger size (&gt; 33L)"/>
    <n v="0"/>
    <n v="0.16250000000000001"/>
    <s v=" not riskY"/>
    <d v="2024-07-31T00:00:00"/>
    <n v="25320300"/>
    <n v="20.516129032258064"/>
    <s v="Old Loan"/>
    <s v="Q32024"/>
    <n v="52597700"/>
    <s v="L82742632|C8275147|45474|Home Loan|Online|North|Salaried|360|4550500|7|30275|1426577|803|A|0.37|0.92|4929600|17|482121|4248882|0|0|0|Active"/>
    <x v="2"/>
  </r>
  <r>
    <s v="L23634847"/>
    <s v="C7459842"/>
    <x v="287"/>
    <x v="2"/>
    <x v="1"/>
    <x v="2"/>
    <x v="0"/>
    <n v="120"/>
    <n v="1347300"/>
    <n v="7.79"/>
    <n v="16197"/>
    <n v="956672"/>
    <n v="769"/>
    <x v="3"/>
    <n v="0.37"/>
    <n v="0.8"/>
    <n v="1679800"/>
    <n v="16"/>
    <n v="249474"/>
    <n v="1153802"/>
    <n v="15"/>
    <n v="0"/>
    <n v="0"/>
    <x v="2"/>
    <n v="92273000"/>
    <n v="98928695"/>
    <n v="301"/>
    <n v="2.5999999999999999E-2"/>
    <n v="2.8571428571428571E-2"/>
    <n v="5.8201058201058198E-2"/>
    <n v="7.9444999999999997"/>
    <x v="1"/>
    <n v="260"/>
    <x v="0"/>
    <n v="302"/>
    <n v="3.6423841059602648E-2"/>
    <s v="medium size (&lt;=33L)"/>
    <n v="0"/>
    <n v="0.15909090909090909"/>
    <s v=" not riskY"/>
    <d v="2024-08-31T00:00:00"/>
    <n v="16249800"/>
    <n v="20.262135922330096"/>
    <s v="Old Loan"/>
    <s v="Q32024"/>
    <n v="52597700"/>
    <s v="L23634847|C7459842|45527|Auto Loan|Branch|Central|Salaried|120|1347300|7.79|16197|956672|769|A|0.37|0.8|1679800|16|249474|1153802|15|0|0|Active"/>
    <x v="2"/>
  </r>
  <r>
    <s v="L43341373"/>
    <s v="C9539567"/>
    <x v="287"/>
    <x v="3"/>
    <x v="0"/>
    <x v="1"/>
    <x v="0"/>
    <n v="60"/>
    <n v="4741700"/>
    <n v="7.61"/>
    <n v="95262"/>
    <n v="943309"/>
    <n v="754"/>
    <x v="3"/>
    <n v="0.36"/>
    <n v="0.76"/>
    <n v="6220900"/>
    <n v="16"/>
    <n v="1337033"/>
    <n v="3597117"/>
    <n v="0"/>
    <n v="0"/>
    <n v="0"/>
    <x v="2"/>
    <n v="403369500"/>
    <n v="83903255"/>
    <n v="301"/>
    <n v="2.5999999999999999E-2"/>
    <n v="4.2553191489361701E-2"/>
    <n v="7.1090047393364927E-2"/>
    <n v="7.1876190476190471"/>
    <x v="1"/>
    <n v="260"/>
    <x v="0"/>
    <n v="302"/>
    <n v="3.6423841059602648E-2"/>
    <s v="larger size (&gt; 33L)"/>
    <n v="0"/>
    <n v="0.16250000000000001"/>
    <s v=" not riskY"/>
    <d v="2024-08-31T00:00:00"/>
    <n v="16249800"/>
    <n v="20.516129032258064"/>
    <s v="Old Loan"/>
    <s v="Q32024"/>
    <n v="52597700"/>
    <s v="L43341373|C9539567|45527|Home Loan|Online|West|Salaried|60|4741700|7.61|95262|943309|754|A|0.36|0.76|6220900|16|1337033|3597117|0|0|0|Active"/>
    <x v="2"/>
  </r>
  <r>
    <s v="L53407309"/>
    <s v="C4814233"/>
    <x v="289"/>
    <x v="3"/>
    <x v="0"/>
    <x v="0"/>
    <x v="0"/>
    <n v="72"/>
    <n v="50000"/>
    <n v="7"/>
    <n v="852"/>
    <n v="961495"/>
    <n v="783"/>
    <x v="3"/>
    <n v="0.33"/>
    <n v="0.95"/>
    <n v="52600"/>
    <n v="17"/>
    <n v="13835"/>
    <n v="38148"/>
    <n v="0"/>
    <n v="0"/>
    <n v="0"/>
    <x v="2"/>
    <n v="403369500"/>
    <n v="94548000"/>
    <n v="301"/>
    <n v="2.5999999999999999E-2"/>
    <n v="0"/>
    <n v="7.1090047393364927E-2"/>
    <n v="7.1876190476190471"/>
    <x v="1"/>
    <n v="260"/>
    <x v="1"/>
    <n v="141"/>
    <n v="1.4184397163120567E-2"/>
    <s v="lower size (&lt; 9L)"/>
    <n v="0"/>
    <n v="0.13934426229508196"/>
    <s v=" not riskY"/>
    <d v="2024-07-31T00:00:00"/>
    <n v="25320300"/>
    <n v="20.516129032258064"/>
    <s v="Old Loan"/>
    <s v="Q32024"/>
    <n v="52597700"/>
    <s v="L53407309|C4814233|45501|Home Loan|Online|South|Salaried|72|50000|7|852|961495|783|A|0.33|0.95|52600|17|13835|38148|0|0|0|Active"/>
    <x v="3"/>
  </r>
  <r>
    <s v="L23708089"/>
    <s v="C9639446"/>
    <x v="290"/>
    <x v="1"/>
    <x v="0"/>
    <x v="1"/>
    <x v="0"/>
    <n v="36"/>
    <n v="2970700"/>
    <n v="14.88"/>
    <n v="102806"/>
    <n v="1373576"/>
    <n v="687"/>
    <x v="1"/>
    <n v="0.33"/>
    <n v="0.87"/>
    <n v="3409500"/>
    <n v="15"/>
    <n v="1494654"/>
    <n v="1697066"/>
    <n v="0"/>
    <n v="0"/>
    <n v="0"/>
    <x v="2"/>
    <n v="201475100"/>
    <n v="83903255"/>
    <n v="301"/>
    <n v="2.5999999999999999E-2"/>
    <n v="4.2553191489361701E-2"/>
    <n v="7.1090047393364927E-2"/>
    <n v="15.841379310344831"/>
    <x v="1"/>
    <n v="260"/>
    <x v="1"/>
    <n v="141"/>
    <n v="1.4184397163120567E-2"/>
    <s v="medium size (&lt;=33L)"/>
    <n v="0"/>
    <n v="0.15909090909090909"/>
    <s v=" not riskY"/>
    <d v="2024-09-30T00:00:00"/>
    <n v="11027600"/>
    <n v="19.091954022988507"/>
    <s v="Old Loan"/>
    <s v="Q32024"/>
    <n v="52597700"/>
    <s v="L23708089|C9639446|45549|SME Loan|Online|West|Salaried|36|2970700|14.88|102806|1373576|687|C|0.33|0.87|3409500|15|1494654|1697066|0|0|0|Active"/>
    <x v="3"/>
  </r>
  <r>
    <s v="L87788294"/>
    <s v="C5871339"/>
    <x v="286"/>
    <x v="4"/>
    <x v="0"/>
    <x v="0"/>
    <x v="0"/>
    <n v="48"/>
    <n v="972300"/>
    <n v="14.03"/>
    <n v="26584"/>
    <n v="254758"/>
    <n v="673"/>
    <x v="1"/>
    <n v="0.32"/>
    <n v="0.54"/>
    <n v="0"/>
    <n v="16"/>
    <n v="403274"/>
    <n v="641780"/>
    <n v="0"/>
    <n v="0"/>
    <n v="0"/>
    <x v="2"/>
    <n v="62765800"/>
    <n v="94548000"/>
    <n v="301"/>
    <n v="2.5999999999999999E-2"/>
    <n v="0"/>
    <n v="7.1090047393364927E-2"/>
    <n v="13.463888888888889"/>
    <x v="1"/>
    <n v="260"/>
    <x v="2"/>
    <n v="57"/>
    <n v="0"/>
    <s v="medium size (&lt;=33L)"/>
    <n v="0"/>
    <n v="0.15909090909090909"/>
    <s v=" not riskY"/>
    <d v="2024-08-31T00:00:00"/>
    <n v="16249800"/>
    <n v="21.962962962962962"/>
    <s v="Old Loan"/>
    <s v="Q32024"/>
    <n v="52597700"/>
    <s v="L87788294|C5871339|45522|Education Loan|Online|South|Salaried|48|972300|14.03|26584|254758|673|C|0.32|0.54|0|16|403274|641780|0|0|0|Active"/>
    <x v="3"/>
  </r>
  <r>
    <s v="L27679119"/>
    <s v="C1490502"/>
    <x v="291"/>
    <x v="2"/>
    <x v="3"/>
    <x v="4"/>
    <x v="0"/>
    <n v="36"/>
    <n v="1098500"/>
    <n v="9.9700000000000006"/>
    <n v="35430"/>
    <n v="1283622"/>
    <n v="740"/>
    <x v="0"/>
    <n v="0.31"/>
    <n v="0.89"/>
    <n v="1240100"/>
    <n v="17"/>
    <n v="586662"/>
    <n v="573900"/>
    <n v="0"/>
    <n v="0"/>
    <n v="0"/>
    <x v="2"/>
    <n v="92273000"/>
    <n v="83297251"/>
    <n v="301"/>
    <n v="2.5999999999999999E-2"/>
    <n v="3.1914893617021274E-2"/>
    <n v="0.12"/>
    <n v="10.611923076923079"/>
    <x v="1"/>
    <n v="260"/>
    <x v="1"/>
    <n v="141"/>
    <n v="1.4184397163120567E-2"/>
    <s v="medium size (&lt;=33L)"/>
    <n v="0"/>
    <n v="0.15909090909090909"/>
    <s v=" not riskY"/>
    <d v="2024-07-31T00:00:00"/>
    <n v="25320300"/>
    <n v="20.262135922330096"/>
    <s v="Old Loan"/>
    <s v="Q32024"/>
    <n v="52597700"/>
    <s v="L27679119|C1490502|45496|Auto Loan|Call Center|East|Salaried|36|1098500|9.97|35430|1283622|740|B|0.31|0.89|1240100|17|586662|573900|0|0|0|Active"/>
    <x v="3"/>
  </r>
  <r>
    <s v="L61714056"/>
    <s v="C4297532"/>
    <x v="292"/>
    <x v="1"/>
    <x v="1"/>
    <x v="0"/>
    <x v="0"/>
    <n v="36"/>
    <n v="2826200"/>
    <n v="12.53"/>
    <n v="94587"/>
    <n v="964020"/>
    <n v="740"/>
    <x v="0"/>
    <n v="0.31"/>
    <n v="0.92"/>
    <n v="3058400"/>
    <n v="17"/>
    <n v="1521348"/>
    <n v="1505522"/>
    <n v="0"/>
    <n v="0"/>
    <n v="0"/>
    <x v="2"/>
    <n v="201475100"/>
    <n v="94548000"/>
    <n v="301"/>
    <n v="2.5999999999999999E-2"/>
    <n v="0"/>
    <n v="5.8201058201058198E-2"/>
    <n v="13.042631578947367"/>
    <x v="1"/>
    <n v="260"/>
    <x v="1"/>
    <n v="141"/>
    <n v="1.4184397163120567E-2"/>
    <s v="medium size (&lt;=33L)"/>
    <n v="0"/>
    <n v="0.15909090909090909"/>
    <s v=" not riskY"/>
    <d v="2024-07-31T00:00:00"/>
    <n v="25320300"/>
    <n v="19.091954022988507"/>
    <s v="Old Loan"/>
    <s v="Q32024"/>
    <n v="52597700"/>
    <s v="L61714056|C4297532|45490|SME Loan|Branch|South|Salaried|36|2826200|12.53|94587|964020|740|B|0.31|0.92|3058400|17|1521348|1505522|0|0|0|Active"/>
    <x v="3"/>
  </r>
  <r>
    <s v="L91234215"/>
    <s v="C2252218"/>
    <x v="293"/>
    <x v="3"/>
    <x v="0"/>
    <x v="4"/>
    <x v="2"/>
    <n v="60"/>
    <n v="8486900"/>
    <n v="12.81"/>
    <n v="192279"/>
    <n v="752104"/>
    <n v="648"/>
    <x v="2"/>
    <n v="0.3"/>
    <n v="0.71"/>
    <n v="11942000"/>
    <n v="17"/>
    <n v="3082392"/>
    <n v="6020572"/>
    <n v="30"/>
    <n v="0"/>
    <n v="0"/>
    <x v="0"/>
    <n v="403369500"/>
    <n v="83297251"/>
    <n v="47"/>
    <n v="2.5999999999999999E-2"/>
    <n v="3.1914893617021274E-2"/>
    <n v="7.1090047393364927E-2"/>
    <n v="13.406874999999999"/>
    <x v="1"/>
    <n v="260"/>
    <x v="0"/>
    <n v="302"/>
    <n v="3.6423841059602648E-2"/>
    <s v="larger size (&gt; 33L)"/>
    <n v="1"/>
    <n v="0.16250000000000001"/>
    <s v="high risk"/>
    <d v="2024-07-31T00:00:00"/>
    <n v="25320300"/>
    <n v="20.516129032258064"/>
    <s v="Old Loan"/>
    <s v="Q32024"/>
    <n v="52597700"/>
    <s v="L91234215|C2252218|45491|Home Loan|Online|East|Self-Employed|60|8486900|12.81|192279|752104|648|D|0.3|0.71|11942000|17|3082392|6020572|30|0|0|Delinquent"/>
    <x v="3"/>
  </r>
  <r>
    <s v="L82392482"/>
    <s v="C4765600"/>
    <x v="294"/>
    <x v="4"/>
    <x v="1"/>
    <x v="0"/>
    <x v="0"/>
    <n v="12"/>
    <n v="843900"/>
    <n v="11.57"/>
    <n v="74810"/>
    <n v="1580609"/>
    <n v="694"/>
    <x v="1"/>
    <n v="0.28999999999999998"/>
    <n v="0.63"/>
    <n v="0"/>
    <n v="12"/>
    <n v="790484"/>
    <n v="92472"/>
    <n v="0"/>
    <n v="0"/>
    <n v="0"/>
    <x v="1"/>
    <n v="62765800"/>
    <n v="94548000"/>
    <n v="139"/>
    <n v="2.5999999999999999E-2"/>
    <n v="0"/>
    <n v="5.8201058201058198E-2"/>
    <n v="13.463888888888889"/>
    <x v="2"/>
    <n v="122"/>
    <x v="0"/>
    <n v="302"/>
    <n v="3.6423841059602648E-2"/>
    <s v="lower size (&lt; 9L)"/>
    <n v="0"/>
    <n v="0.13934426229508196"/>
    <s v=" not riskY"/>
    <d v="2024-09-30T00:00:00"/>
    <n v="11027600"/>
    <n v="21.962962962962962"/>
    <s v="Old Loan"/>
    <s v="Q32024"/>
    <n v="52597700"/>
    <s v="L82392482|C4765600|45560|Education Loan|Branch|South|Salaried|12|843900|11.57|74810|1580609|694|C|0.29|0.63|0|12|790484|92472|0|0|0|Closed"/>
    <x v="3"/>
  </r>
  <r>
    <s v="L16112800"/>
    <s v="C5643959"/>
    <x v="295"/>
    <x v="0"/>
    <x v="0"/>
    <x v="4"/>
    <x v="2"/>
    <n v="12"/>
    <n v="229200"/>
    <n v="18.010000000000002"/>
    <n v="21014"/>
    <n v="1168084"/>
    <n v="686"/>
    <x v="1"/>
    <n v="0.28999999999999998"/>
    <n v="0.7"/>
    <n v="0"/>
    <n v="12"/>
    <n v="253417"/>
    <n v="0"/>
    <n v="0"/>
    <n v="0"/>
    <n v="0"/>
    <x v="1"/>
    <n v="74897600"/>
    <n v="83297251"/>
    <n v="139"/>
    <n v="2.5999999999999999E-2"/>
    <n v="3.1914893617021274E-2"/>
    <n v="7.1090047393364927E-2"/>
    <n v="18.603181818181817"/>
    <x v="2"/>
    <n v="122"/>
    <x v="0"/>
    <n v="302"/>
    <n v="3.6423841059602648E-2"/>
    <s v="lower size (&lt; 9L)"/>
    <n v="0"/>
    <n v="0.13934426229508196"/>
    <s v=" not riskY"/>
    <d v="2024-08-31T00:00:00"/>
    <n v="16249800"/>
    <n v="21.092024539877301"/>
    <s v="Old Loan"/>
    <s v="Q32024"/>
    <n v="52597700"/>
    <s v="L16112800|C5643959|45517|Personal Loan|Online|East|Self-Employed|12|229200|18.01|21014|1168084|686|C|0.29|0.7|0|12|253417|0|0|0|0|Closed"/>
    <x v="3"/>
  </r>
  <r>
    <s v="L30719259"/>
    <s v="C7126552"/>
    <x v="296"/>
    <x v="0"/>
    <x v="0"/>
    <x v="3"/>
    <x v="0"/>
    <n v="180"/>
    <n v="630700"/>
    <n v="14.9"/>
    <n v="8784"/>
    <n v="1238704"/>
    <n v="760"/>
    <x v="3"/>
    <n v="0.27"/>
    <n v="0.56999999999999995"/>
    <n v="0"/>
    <n v="16"/>
    <n v="128064"/>
    <n v="552756"/>
    <n v="60"/>
    <n v="0"/>
    <n v="0"/>
    <x v="0"/>
    <n v="74897600"/>
    <n v="105779369"/>
    <n v="47"/>
    <n v="2.5999999999999999E-2"/>
    <n v="2.6548672566371681E-2"/>
    <n v="7.1090047393364927E-2"/>
    <n v="13.328333333333335"/>
    <x v="2"/>
    <n v="122"/>
    <x v="2"/>
    <n v="57"/>
    <n v="0"/>
    <s v="lower size (&lt; 9L)"/>
    <n v="1"/>
    <n v="0.13934426229508196"/>
    <s v="high risk"/>
    <d v="2024-08-31T00:00:00"/>
    <n v="16249800"/>
    <n v="21.092024539877301"/>
    <s v="Old Loan"/>
    <s v="Q32024"/>
    <n v="52597700"/>
    <s v="L30719259|C7126552|45533|Personal Loan|Online|North|Salaried|180|630700|14.9|8784|1238704|760|A|0.27|0.57|0|16|128064|552756|60|0|0|Delinquent"/>
    <x v="3"/>
  </r>
  <r>
    <s v="L86480010"/>
    <s v="C5126932"/>
    <x v="297"/>
    <x v="2"/>
    <x v="1"/>
    <x v="3"/>
    <x v="0"/>
    <n v="36"/>
    <n v="709000"/>
    <n v="14.09"/>
    <n v="24263"/>
    <n v="1126651"/>
    <n v="635"/>
    <x v="2"/>
    <n v="0.23"/>
    <n v="0.63"/>
    <n v="1125900"/>
    <n v="16"/>
    <n v="359040"/>
    <n v="403239"/>
    <n v="0"/>
    <n v="1"/>
    <n v="0"/>
    <x v="1"/>
    <n v="92273000"/>
    <n v="105779369"/>
    <n v="139"/>
    <n v="2.5999999999999999E-2"/>
    <n v="2.6548672566371681E-2"/>
    <n v="5.8201058201058198E-2"/>
    <n v="15.092000000000001"/>
    <x v="2"/>
    <n v="122"/>
    <x v="0"/>
    <n v="302"/>
    <n v="3.6423841059602648E-2"/>
    <s v="lower size (&lt; 9L)"/>
    <n v="0"/>
    <n v="0.13934426229508196"/>
    <s v=" not riskY"/>
    <d v="2024-08-31T00:00:00"/>
    <n v="16249800"/>
    <n v="20.262135922330096"/>
    <s v="Old Loan"/>
    <s v="Q32024"/>
    <n v="52597700"/>
    <s v="L86480010|C5126932|45530|Auto Loan|Branch|North|Salaried|36|709000|14.09|24263|1126651|635|D|0.23|0.63|1125900|16|359040|403239|0|1|0|Closed"/>
    <x v="3"/>
  </r>
  <r>
    <s v="L39687509"/>
    <s v="C5995118"/>
    <x v="293"/>
    <x v="2"/>
    <x v="3"/>
    <x v="0"/>
    <x v="0"/>
    <n v="18"/>
    <n v="725200"/>
    <n v="7.94"/>
    <n v="42869"/>
    <n v="1037630"/>
    <n v="757"/>
    <x v="3"/>
    <n v="0.19"/>
    <n v="0.47"/>
    <n v="1527700"/>
    <n v="17"/>
    <n v="626866"/>
    <n v="130963"/>
    <n v="0"/>
    <n v="0"/>
    <n v="0"/>
    <x v="2"/>
    <n v="92273000"/>
    <n v="94548000"/>
    <n v="301"/>
    <n v="2.5999999999999999E-2"/>
    <n v="0"/>
    <n v="0.12"/>
    <n v="7.9444999999999997"/>
    <x v="3"/>
    <n v="86"/>
    <x v="2"/>
    <n v="57"/>
    <n v="0"/>
    <s v="lower size (&lt; 9L)"/>
    <n v="0"/>
    <n v="0.13934426229508196"/>
    <s v=" not riskY"/>
    <d v="2024-07-31T00:00:00"/>
    <n v="25320300"/>
    <n v="20.262135922330096"/>
    <s v="Old Loan"/>
    <s v="Q32024"/>
    <n v="52597700"/>
    <s v="L39687509|C5995118|45491|Auto Loan|Call Center|South|Salaried|18|725200|7.94|42869|1037630|757|A|0.19|0.47|1527700|17|626866|130963|0|0|0|Active"/>
    <x v="3"/>
  </r>
  <r>
    <s v="L73362885"/>
    <s v="C2077602"/>
    <x v="298"/>
    <x v="0"/>
    <x v="3"/>
    <x v="3"/>
    <x v="2"/>
    <n v="12"/>
    <n v="604500"/>
    <n v="20.12"/>
    <n v="56032"/>
    <n v="805018"/>
    <n v="650"/>
    <x v="1"/>
    <n v="0.19"/>
    <n v="0.61"/>
    <n v="0"/>
    <n v="12"/>
    <n v="626787"/>
    <n v="26363"/>
    <n v="0"/>
    <n v="0"/>
    <n v="0"/>
    <x v="1"/>
    <n v="74897600"/>
    <n v="105779369"/>
    <n v="139"/>
    <n v="2.5999999999999999E-2"/>
    <n v="2.6548672566371681E-2"/>
    <n v="0.12"/>
    <n v="18.603181818181817"/>
    <x v="3"/>
    <n v="86"/>
    <x v="0"/>
    <n v="302"/>
    <n v="3.6423841059602648E-2"/>
    <s v="lower size (&lt; 9L)"/>
    <n v="0"/>
    <n v="0.13934426229508196"/>
    <s v=" not riskY"/>
    <d v="2024-07-31T00:00:00"/>
    <n v="25320300"/>
    <n v="21.092024539877301"/>
    <s v="Old Loan"/>
    <s v="Q32024"/>
    <n v="52597700"/>
    <s v="L73362885|C2077602|45497|Personal Loan|Call Center|North|Self-Employed|12|604500|20.12|56032|805018|650|C|0.19|0.61|0|12|626787|26363|0|0|0|Closed"/>
    <x v="3"/>
  </r>
  <r>
    <s v="L46976531"/>
    <s v="C3244488"/>
    <x v="299"/>
    <x v="3"/>
    <x v="0"/>
    <x v="1"/>
    <x v="0"/>
    <n v="240"/>
    <n v="5013400"/>
    <n v="11.43"/>
    <n v="53223"/>
    <n v="1497369"/>
    <n v="667"/>
    <x v="1"/>
    <n v="0.15"/>
    <n v="0.77"/>
    <n v="6482800"/>
    <n v="17"/>
    <n v="896777"/>
    <n v="4441341"/>
    <n v="0"/>
    <n v="0"/>
    <n v="0"/>
    <x v="2"/>
    <n v="403369500"/>
    <n v="83903255"/>
    <n v="301"/>
    <n v="2.5999999999999999E-2"/>
    <n v="4.2553191489361701E-2"/>
    <n v="7.1090047393364927E-2"/>
    <n v="11.719736842105268"/>
    <x v="3"/>
    <n v="86"/>
    <x v="0"/>
    <n v="302"/>
    <n v="3.6423841059602648E-2"/>
    <s v="larger size (&gt; 33L)"/>
    <n v="0"/>
    <n v="0.16250000000000001"/>
    <s v=" not riskY"/>
    <d v="2024-07-31T00:00:00"/>
    <n v="25320300"/>
    <n v="20.516129032258064"/>
    <s v="Old Loan"/>
    <s v="Q32024"/>
    <n v="52597700"/>
    <s v="L46976531|C3244488|45478|Home Loan|Online|West|Salaried|240|5013400|11.43|53223|1497369|667|C|0.15|0.77|6482800|17|896777|4441341|0|0|0|Active"/>
    <x v="3"/>
  </r>
  <r>
    <s v="L84366273"/>
    <s v="C5639990"/>
    <x v="300"/>
    <x v="0"/>
    <x v="3"/>
    <x v="0"/>
    <x v="0"/>
    <n v="72"/>
    <n v="431000"/>
    <n v="19.829999999999998"/>
    <n v="10281"/>
    <n v="1266118"/>
    <n v="635"/>
    <x v="2"/>
    <n v="0.12"/>
    <n v="0.77"/>
    <n v="0"/>
    <n v="15"/>
    <n v="132918"/>
    <n v="340816"/>
    <n v="30"/>
    <n v="0"/>
    <n v="0"/>
    <x v="0"/>
    <n v="74897600"/>
    <n v="94548000"/>
    <n v="47"/>
    <n v="2.5999999999999999E-2"/>
    <n v="0"/>
    <n v="0.12"/>
    <n v="20.962592592592593"/>
    <x v="3"/>
    <n v="86"/>
    <x v="0"/>
    <n v="302"/>
    <n v="3.6423841059602648E-2"/>
    <s v="lower size (&lt; 9L)"/>
    <n v="1"/>
    <n v="0.13934426229508196"/>
    <s v="high risk"/>
    <d v="2024-09-30T00:00:00"/>
    <n v="11027600"/>
    <n v="21.092024539877301"/>
    <s v="Old Loan"/>
    <s v="Q32024"/>
    <n v="52597700"/>
    <s v="L84366273|C5639990|45562|Personal Loan|Call Center|South|Salaried|72|431000|19.83|10281|1266118|635|D|0.12|0.77|0|15|132918|340816|30|0|0|Delinquent"/>
    <x v="3"/>
  </r>
  <r>
    <s v="L60883599"/>
    <s v="C3947460"/>
    <x v="301"/>
    <x v="2"/>
    <x v="0"/>
    <x v="0"/>
    <x v="0"/>
    <n v="60"/>
    <n v="959000"/>
    <n v="13.2"/>
    <n v="21919"/>
    <n v="1033445"/>
    <n v="634"/>
    <x v="2"/>
    <n v="0.09"/>
    <n v="0.63"/>
    <n v="1515500"/>
    <n v="16"/>
    <n v="354264"/>
    <n v="672250"/>
    <n v="0"/>
    <n v="0"/>
    <n v="0"/>
    <x v="2"/>
    <n v="92273000"/>
    <n v="94548000"/>
    <n v="301"/>
    <n v="2.5999999999999999E-2"/>
    <n v="0"/>
    <n v="7.1090047393364927E-2"/>
    <n v="15.092000000000001"/>
    <x v="3"/>
    <n v="86"/>
    <x v="0"/>
    <n v="302"/>
    <n v="3.6423841059602648E-2"/>
    <s v="medium size (&lt;=33L)"/>
    <n v="0"/>
    <n v="0.15909090909090909"/>
    <s v=" not riskY"/>
    <d v="2024-08-31T00:00:00"/>
    <n v="16249800"/>
    <n v="20.262135922330096"/>
    <s v="Old Loan"/>
    <s v="Q32024"/>
    <n v="52597700"/>
    <s v="L60883599|C3947460|45520|Auto Loan|Online|South|Salaried|60|959000|13.2|21919|1033445|634|D|0.09|0.63|1515500|16|354264|672250|0|0|0|Active"/>
    <x v="3"/>
  </r>
  <r>
    <s v="L94424625"/>
    <s v="C2236671"/>
    <x v="302"/>
    <x v="2"/>
    <x v="0"/>
    <x v="3"/>
    <x v="0"/>
    <n v="120"/>
    <n v="1388000"/>
    <n v="10.56"/>
    <n v="18776"/>
    <n v="845703"/>
    <n v="726"/>
    <x v="0"/>
    <n v="0.56000000000000005"/>
    <n v="0.73"/>
    <n v="1905200"/>
    <n v="4"/>
    <n v="71356"/>
    <n v="1336187"/>
    <n v="0"/>
    <n v="1"/>
    <n v="0"/>
    <x v="1"/>
    <n v="92273000"/>
    <n v="105779369"/>
    <n v="139"/>
    <n v="2.5999999999999999E-2"/>
    <n v="2.6548672566371681E-2"/>
    <n v="7.1090047393364927E-2"/>
    <n v="10.611923076923079"/>
    <x v="0"/>
    <n v="32"/>
    <x v="0"/>
    <n v="302"/>
    <n v="3.6423841059602648E-2"/>
    <s v="medium size (&lt;=33L)"/>
    <n v="0"/>
    <n v="0.15909090909090909"/>
    <s v="high risk"/>
    <d v="2025-08-31T00:00:00"/>
    <n v="21976400"/>
    <n v="20.262135922330096"/>
    <s v="Old Loan"/>
    <s v="Q32025"/>
    <n v="59662800"/>
    <s v="L94424625|C2236671|45888|Auto Loan|Online|North|Salaried|120|1388000|10.56|18776|845703|726|B|0.56|0.73|1905200|4|71356|1336187|0|1|0|Closed"/>
    <x v="3"/>
  </r>
  <r>
    <s v="L27991738"/>
    <s v="C7651386"/>
    <x v="303"/>
    <x v="4"/>
    <x v="1"/>
    <x v="0"/>
    <x v="0"/>
    <n v="24"/>
    <n v="1565900"/>
    <n v="11.5"/>
    <n v="73347"/>
    <n v="790838"/>
    <n v="722"/>
    <x v="0"/>
    <n v="0.51"/>
    <n v="0.72"/>
    <n v="0"/>
    <n v="4"/>
    <n v="266058"/>
    <n v="1323852"/>
    <n v="45"/>
    <n v="0"/>
    <n v="0"/>
    <x v="0"/>
    <n v="62765800"/>
    <n v="94548000"/>
    <n v="47"/>
    <n v="2.5999999999999999E-2"/>
    <n v="0"/>
    <n v="5.8201058201058198E-2"/>
    <n v="10.832666666666663"/>
    <x v="0"/>
    <n v="32"/>
    <x v="0"/>
    <n v="302"/>
    <n v="3.6423841059602648E-2"/>
    <s v="medium size (&lt;=33L)"/>
    <n v="1"/>
    <n v="0.15909090909090909"/>
    <s v="high risk"/>
    <d v="2025-08-31T00:00:00"/>
    <n v="21976400"/>
    <n v="21.962962962962962"/>
    <s v="Old Loan"/>
    <s v="Q32025"/>
    <n v="59662800"/>
    <s v="L27991738|C7651386|45876|Education Loan|Branch|South|Salaried|24|1565900|11.5|73347|790838|722|B|0.51|0.72|0|4|266058|1323852|45|0|0|Delinquent"/>
    <x v="3"/>
  </r>
  <r>
    <s v="L45782037"/>
    <s v="C5575174"/>
    <x v="304"/>
    <x v="2"/>
    <x v="0"/>
    <x v="0"/>
    <x v="2"/>
    <n v="360"/>
    <n v="1174400"/>
    <n v="13.85"/>
    <n v="13776"/>
    <n v="1299284"/>
    <n v="647"/>
    <x v="2"/>
    <n v="0.47"/>
    <n v="0.65"/>
    <n v="1806700"/>
    <n v="3"/>
    <n v="42017"/>
    <n v="1148648"/>
    <n v="10"/>
    <n v="0"/>
    <n v="0"/>
    <x v="2"/>
    <n v="92273000"/>
    <n v="94548000"/>
    <n v="301"/>
    <n v="2.5999999999999999E-2"/>
    <n v="0"/>
    <n v="7.1090047393364927E-2"/>
    <n v="15.092000000000001"/>
    <x v="1"/>
    <n v="260"/>
    <x v="0"/>
    <n v="302"/>
    <n v="3.6423841059602648E-2"/>
    <s v="medium size (&lt;=33L)"/>
    <n v="0"/>
    <n v="0.15909090909090909"/>
    <s v=" not riskY"/>
    <d v="2025-09-30T00:00:00"/>
    <n v="8810700"/>
    <n v="20.262135922330096"/>
    <s v="New Loan"/>
    <s v="Q32025"/>
    <n v="59662800"/>
    <s v="L45782037|C5575174|45928|Auto Loan|Online|South|Self-Employed|360|1174400|13.85|13776|1299284|647|D|0.47|0.65|1806700|3|42017|1148648|10|0|0|Active"/>
    <x v="3"/>
  </r>
  <r>
    <s v="L69836577"/>
    <s v="C9702851"/>
    <x v="305"/>
    <x v="2"/>
    <x v="1"/>
    <x v="2"/>
    <x v="2"/>
    <n v="120"/>
    <n v="1203000"/>
    <n v="15.32"/>
    <n v="19645"/>
    <n v="748230"/>
    <n v="631"/>
    <x v="2"/>
    <n v="0.44"/>
    <n v="0.79"/>
    <n v="1519200"/>
    <n v="3"/>
    <n v="51015"/>
    <n v="1170415"/>
    <n v="0"/>
    <n v="0"/>
    <n v="0"/>
    <x v="2"/>
    <n v="92273000"/>
    <n v="98928695"/>
    <n v="301"/>
    <n v="2.5999999999999999E-2"/>
    <n v="2.8571428571428571E-2"/>
    <n v="5.8201058201058198E-2"/>
    <n v="15.092000000000001"/>
    <x v="1"/>
    <n v="260"/>
    <x v="0"/>
    <n v="302"/>
    <n v="3.6423841059602648E-2"/>
    <s v="medium size (&lt;=33L)"/>
    <n v="0"/>
    <n v="0.15909090909090909"/>
    <s v=" not riskY"/>
    <d v="2025-09-30T00:00:00"/>
    <n v="8810700"/>
    <n v="20.262135922330096"/>
    <s v="New Loan"/>
    <s v="Q32025"/>
    <n v="59662800"/>
    <s v="L69836577|C9702851|45907|Auto Loan|Branch|Central|Self-Employed|120|1203000|15.32|19645|748230|631|D|0.44|0.79|1519200|3|51015|1170415|0|0|0|Active"/>
    <x v="3"/>
  </r>
  <r>
    <s v="L10892457"/>
    <s v="C9265977"/>
    <x v="306"/>
    <x v="2"/>
    <x v="1"/>
    <x v="1"/>
    <x v="0"/>
    <n v="18"/>
    <n v="1182600"/>
    <n v="16.7"/>
    <n v="74726"/>
    <n v="735547"/>
    <n v="602"/>
    <x v="2"/>
    <n v="0.43"/>
    <n v="0.81"/>
    <n v="1468900"/>
    <n v="5"/>
    <n v="328424"/>
    <n v="887092"/>
    <n v="0"/>
    <n v="1"/>
    <n v="0"/>
    <x v="1"/>
    <n v="92273000"/>
    <n v="83903255"/>
    <n v="139"/>
    <n v="2.5999999999999999E-2"/>
    <n v="4.2553191489361701E-2"/>
    <n v="5.8201058201058198E-2"/>
    <n v="15.092000000000001"/>
    <x v="1"/>
    <n v="260"/>
    <x v="1"/>
    <n v="141"/>
    <n v="1.4184397163120567E-2"/>
    <s v="medium size (&lt;=33L)"/>
    <n v="0"/>
    <n v="0.15909090909090909"/>
    <s v=" not riskY"/>
    <d v="2025-07-31T00:00:00"/>
    <n v="28875700"/>
    <n v="20.262135922330096"/>
    <s v="Old Loan"/>
    <s v="Q32025"/>
    <n v="59662800"/>
    <s v="L10892457|C9265977|45842|Auto Loan|Branch|West|Salaried|18|1182600|16.7|74726|735547|602|D|0.43|0.81|1468900|5|328424|887092|0|1|0|Closed"/>
    <x v="3"/>
  </r>
  <r>
    <s v="L12052348"/>
    <s v="C1044015"/>
    <x v="307"/>
    <x v="0"/>
    <x v="0"/>
    <x v="3"/>
    <x v="0"/>
    <n v="240"/>
    <n v="359200"/>
    <n v="21.21"/>
    <n v="6445"/>
    <n v="940227"/>
    <n v="604"/>
    <x v="2"/>
    <n v="0.41"/>
    <n v="0.9"/>
    <n v="0"/>
    <n v="4"/>
    <n v="26055"/>
    <n v="343303"/>
    <n v="0"/>
    <n v="0"/>
    <n v="0"/>
    <x v="2"/>
    <n v="74897600"/>
    <n v="105779369"/>
    <n v="301"/>
    <n v="2.5999999999999999E-2"/>
    <n v="2.6548672566371681E-2"/>
    <n v="7.1090047393364927E-2"/>
    <n v="20.962592592592593"/>
    <x v="1"/>
    <n v="260"/>
    <x v="1"/>
    <n v="141"/>
    <n v="1.4184397163120567E-2"/>
    <s v="lower size (&lt; 9L)"/>
    <n v="0"/>
    <n v="0.13934426229508196"/>
    <s v=" not riskY"/>
    <d v="2025-08-31T00:00:00"/>
    <n v="21976400"/>
    <n v="21.092024539877301"/>
    <s v="New Loan"/>
    <s v="Q32025"/>
    <n v="59662800"/>
    <s v="L12052348|C1044015|45894|Personal Loan|Online|North|Salaried|240|359200|21.21|6445|940227|604|D|0.41|0.9|0|4|26055|343303|0|0|0|Active"/>
    <x v="3"/>
  </r>
  <r>
    <s v="L97075875"/>
    <s v="C3052628"/>
    <x v="308"/>
    <x v="0"/>
    <x v="2"/>
    <x v="1"/>
    <x v="0"/>
    <n v="18"/>
    <n v="279300"/>
    <n v="9.33"/>
    <n v="16688"/>
    <n v="689489"/>
    <n v="843"/>
    <x v="3"/>
    <n v="0.38"/>
    <n v="0.79"/>
    <n v="0"/>
    <n v="4"/>
    <n v="60345"/>
    <n v="222429"/>
    <n v="0"/>
    <n v="0"/>
    <n v="0"/>
    <x v="2"/>
    <n v="74897600"/>
    <n v="83903255"/>
    <n v="301"/>
    <n v="2.5999999999999999E-2"/>
    <n v="4.2553191489361701E-2"/>
    <n v="0.1"/>
    <n v="13.328333333333335"/>
    <x v="1"/>
    <n v="260"/>
    <x v="0"/>
    <n v="302"/>
    <n v="3.6423841059602648E-2"/>
    <s v="lower size (&lt; 9L)"/>
    <n v="0"/>
    <n v="0.13934426229508196"/>
    <s v=" not riskY"/>
    <d v="2025-08-31T00:00:00"/>
    <n v="21976400"/>
    <n v="21.092024539877301"/>
    <s v="Old Loan"/>
    <s v="Q32025"/>
    <n v="59662800"/>
    <s v="L97075875|C3052628|45885|Personal Loan|Partner|West|Salaried|18|279300|9.33|16688|689489|843|A|0.38|0.79|0|4|60345|222429|0|0|0|Active"/>
    <x v="3"/>
  </r>
  <r>
    <s v="L35311040"/>
    <s v="C8001898"/>
    <x v="309"/>
    <x v="1"/>
    <x v="0"/>
    <x v="1"/>
    <x v="2"/>
    <n v="24"/>
    <n v="2723000"/>
    <n v="18.82"/>
    <n v="137025"/>
    <n v="1162552"/>
    <n v="633"/>
    <x v="2"/>
    <n v="0.37"/>
    <n v="0.94"/>
    <n v="2907800"/>
    <n v="5"/>
    <n v="651922"/>
    <n v="2156489"/>
    <n v="30"/>
    <n v="0"/>
    <n v="0"/>
    <x v="0"/>
    <n v="201475100"/>
    <n v="83903255"/>
    <n v="47"/>
    <n v="2.5999999999999999E-2"/>
    <n v="4.2553191489361701E-2"/>
    <n v="7.1090047393364927E-2"/>
    <n v="18.241249999999997"/>
    <x v="1"/>
    <n v="260"/>
    <x v="1"/>
    <n v="141"/>
    <n v="1.4184397163120567E-2"/>
    <s v="medium size (&lt;=33L)"/>
    <n v="1"/>
    <n v="0.15909090909090909"/>
    <s v="high risk"/>
    <d v="2025-07-31T00:00:00"/>
    <n v="28875700"/>
    <n v="19.091954022988507"/>
    <s v="Old Loan"/>
    <s v="Q32025"/>
    <n v="59662800"/>
    <s v="L35311040|C8001898|45852|SME Loan|Online|West|Self-Employed|24|2723000|18.82|137025|1162552|633|D|0.37|0.94|2907800|5|651922|2156489|30|0|0|Delinquent"/>
    <x v="3"/>
  </r>
  <r>
    <s v="L31687351"/>
    <s v="C2396916"/>
    <x v="310"/>
    <x v="1"/>
    <x v="0"/>
    <x v="3"/>
    <x v="2"/>
    <n v="48"/>
    <n v="5442100"/>
    <n v="14.48"/>
    <n v="150027"/>
    <n v="1573574"/>
    <n v="694"/>
    <x v="1"/>
    <n v="0.35"/>
    <n v="0.8"/>
    <n v="6791100"/>
    <n v="5"/>
    <n v="683704"/>
    <n v="4889732"/>
    <n v="60"/>
    <n v="0"/>
    <n v="0"/>
    <x v="0"/>
    <n v="201475100"/>
    <n v="105779369"/>
    <n v="47"/>
    <n v="2.5999999999999999E-2"/>
    <n v="2.6548672566371681E-2"/>
    <n v="7.1090047393364927E-2"/>
    <n v="15.841379310344831"/>
    <x v="1"/>
    <n v="260"/>
    <x v="0"/>
    <n v="302"/>
    <n v="3.6423841059602648E-2"/>
    <s v="larger size (&gt; 33L)"/>
    <n v="1"/>
    <n v="0.16250000000000001"/>
    <s v="high risk"/>
    <d v="2025-07-31T00:00:00"/>
    <n v="28875700"/>
    <n v="19.091954022988507"/>
    <s v="Old Loan"/>
    <s v="Q32025"/>
    <n v="59662800"/>
    <s v="L31687351|C2396916|45844|SME Loan|Online|North|Self-Employed|48|5442100|14.48|150027|1573574|694|C|0.35|0.8|6791100|5|683704|4889732|60|0|0|Delinquent"/>
    <x v="3"/>
  </r>
  <r>
    <s v="L51167573"/>
    <s v="C6084555"/>
    <x v="311"/>
    <x v="1"/>
    <x v="3"/>
    <x v="0"/>
    <x v="1"/>
    <n v="24"/>
    <n v="2819600"/>
    <n v="14.5"/>
    <n v="136044"/>
    <n v="1737437"/>
    <n v="706"/>
    <x v="0"/>
    <n v="0.33"/>
    <n v="0.51"/>
    <n v="5478500"/>
    <n v="5"/>
    <n v="617220"/>
    <n v="2270520"/>
    <n v="0"/>
    <n v="0"/>
    <n v="0"/>
    <x v="2"/>
    <n v="201475100"/>
    <n v="94548000"/>
    <n v="301"/>
    <n v="2.5999999999999999E-2"/>
    <n v="0"/>
    <n v="0.12"/>
    <n v="13.042631578947367"/>
    <x v="1"/>
    <n v="260"/>
    <x v="2"/>
    <n v="57"/>
    <n v="0"/>
    <s v="medium size (&lt;=33L)"/>
    <n v="0"/>
    <n v="0.15909090909090909"/>
    <s v=" not riskY"/>
    <d v="2025-07-31T00:00:00"/>
    <n v="28875700"/>
    <n v="19.091954022988507"/>
    <s v="Old Loan"/>
    <s v="Q32025"/>
    <n v="59662800"/>
    <s v="L51167573|C6084555|45853|SME Loan|Call Center|South|Contract|24|2819600|14.5|136044|1737437|706|B|0.33|0.51|5478500|5|617220|2270520|0|0|0|Active"/>
    <x v="3"/>
  </r>
  <r>
    <s v="L79656044"/>
    <s v="C5085071"/>
    <x v="312"/>
    <x v="3"/>
    <x v="2"/>
    <x v="0"/>
    <x v="2"/>
    <n v="48"/>
    <n v="4970700"/>
    <n v="7.44"/>
    <n v="120047"/>
    <n v="1186686"/>
    <n v="766"/>
    <x v="3"/>
    <n v="0.32"/>
    <n v="0.73"/>
    <n v="6764800"/>
    <n v="4"/>
    <n v="408370"/>
    <n v="4611639"/>
    <n v="0"/>
    <n v="0"/>
    <n v="0"/>
    <x v="2"/>
    <n v="403369500"/>
    <n v="94548000"/>
    <n v="301"/>
    <n v="2.5999999999999999E-2"/>
    <n v="0"/>
    <n v="0.1"/>
    <n v="7.1876190476190471"/>
    <x v="1"/>
    <n v="260"/>
    <x v="0"/>
    <n v="302"/>
    <n v="3.6423841059602648E-2"/>
    <s v="larger size (&gt; 33L)"/>
    <n v="0"/>
    <n v="0.16250000000000001"/>
    <s v=" not riskY"/>
    <d v="2025-08-31T00:00:00"/>
    <n v="21976400"/>
    <n v="20.516129032258064"/>
    <s v="Old Loan"/>
    <s v="Q32025"/>
    <n v="59662800"/>
    <s v="L79656044|C5085071|45879|Home Loan|Partner|South|Self-Employed|48|4970700|7.44|120047|1186686|766|A|0.32|0.73|6764800|4|408370|4611639|0|0|0|Active"/>
    <x v="3"/>
  </r>
  <r>
    <s v="L41218282"/>
    <s v="C2259353"/>
    <x v="313"/>
    <x v="0"/>
    <x v="1"/>
    <x v="3"/>
    <x v="2"/>
    <n v="72"/>
    <n v="485500"/>
    <n v="15.82"/>
    <n v="10483"/>
    <n v="873831"/>
    <n v="736"/>
    <x v="0"/>
    <n v="0.3"/>
    <n v="0.81"/>
    <n v="0"/>
    <n v="3"/>
    <n v="31856"/>
    <n v="461325"/>
    <n v="90"/>
    <n v="0"/>
    <n v="1"/>
    <x v="3"/>
    <n v="74897600"/>
    <n v="105779369"/>
    <n v="13"/>
    <n v="2.5999999999999999E-2"/>
    <n v="2.6548672566371681E-2"/>
    <n v="5.8201058201058198E-2"/>
    <n v="16.500166666666669"/>
    <x v="1"/>
    <n v="260"/>
    <x v="1"/>
    <n v="141"/>
    <n v="1.4184397163120567E-2"/>
    <s v="lower size (&lt; 9L)"/>
    <n v="1"/>
    <n v="0.13934426229508196"/>
    <s v="high risk"/>
    <d v="2025-09-30T00:00:00"/>
    <n v="8810700"/>
    <n v="21.092024539877301"/>
    <s v="New Loan"/>
    <s v="Q32025"/>
    <n v="59662800"/>
    <s v="L41218282|C2259353|45925|Personal Loan|Branch|North|Self-Employed|72|485500|15.82|10483|873831|736|B|0.3|0.81|0|3|31856|461325|90|0|1|Default"/>
    <x v="3"/>
  </r>
  <r>
    <s v="L81413491"/>
    <s v="C5976937"/>
    <x v="314"/>
    <x v="3"/>
    <x v="0"/>
    <x v="2"/>
    <x v="1"/>
    <n v="48"/>
    <n v="5399800"/>
    <n v="11.23"/>
    <n v="140165"/>
    <n v="838325"/>
    <n v="668"/>
    <x v="1"/>
    <n v="0.28999999999999998"/>
    <n v="0.71"/>
    <n v="7642500"/>
    <n v="4"/>
    <n v="563369"/>
    <n v="4917284"/>
    <n v="0"/>
    <n v="0"/>
    <n v="0"/>
    <x v="2"/>
    <n v="403369500"/>
    <n v="98928695"/>
    <n v="301"/>
    <n v="2.5999999999999999E-2"/>
    <n v="2.8571428571428571E-2"/>
    <n v="7.1090047393364927E-2"/>
    <n v="11.719736842105268"/>
    <x v="2"/>
    <n v="122"/>
    <x v="0"/>
    <n v="302"/>
    <n v="3.6423841059602648E-2"/>
    <s v="larger size (&gt; 33L)"/>
    <n v="0"/>
    <n v="0.16250000000000001"/>
    <s v=" not riskY"/>
    <d v="2025-08-31T00:00:00"/>
    <n v="21976400"/>
    <n v="20.516129032258064"/>
    <s v="Old Loan"/>
    <s v="Q32025"/>
    <n v="59662800"/>
    <s v="L81413491|C5976937|45884|Home Loan|Online|Central|Contract|48|5399800|11.23|140165|838325|668|C|0.29|0.71|7642500|4|563369|4917284|0|0|0|Active"/>
    <x v="3"/>
  </r>
  <r>
    <s v="L40086229"/>
    <s v="C2188925"/>
    <x v="315"/>
    <x v="3"/>
    <x v="0"/>
    <x v="4"/>
    <x v="0"/>
    <n v="18"/>
    <n v="3115400"/>
    <n v="8.2799999999999994"/>
    <n v="184644"/>
    <n v="762721"/>
    <n v="741"/>
    <x v="0"/>
    <n v="0.26"/>
    <n v="0.81"/>
    <n v="3840800"/>
    <n v="4"/>
    <n v="661833"/>
    <n v="2487961"/>
    <n v="0"/>
    <n v="0"/>
    <n v="0"/>
    <x v="2"/>
    <n v="403369500"/>
    <n v="83297251"/>
    <n v="301"/>
    <n v="2.5999999999999999E-2"/>
    <n v="3.1914893617021274E-2"/>
    <n v="7.1090047393364927E-2"/>
    <n v="8.8557142857142868"/>
    <x v="2"/>
    <n v="122"/>
    <x v="1"/>
    <n v="141"/>
    <n v="1.4184397163120567E-2"/>
    <s v="medium size (&lt;=33L)"/>
    <n v="0"/>
    <n v="0.15909090909090909"/>
    <s v=" not riskY"/>
    <d v="2025-08-31T00:00:00"/>
    <n v="21976400"/>
    <n v="20.516129032258064"/>
    <s v="Old Loan"/>
    <s v="Q32025"/>
    <n v="59662800"/>
    <s v="L40086229|C2188925|45873|Home Loan|Online|East|Salaried|18|3115400|8.28|184644|762721|741|B|0.26|0.81|3840800|4|661833|2487961|0|0|0|Active"/>
    <x v="0"/>
  </r>
  <r>
    <s v="L18292232"/>
    <s v="C5100921"/>
    <x v="309"/>
    <x v="1"/>
    <x v="1"/>
    <x v="3"/>
    <x v="0"/>
    <n v="360"/>
    <n v="3380200"/>
    <n v="16.43"/>
    <n v="46629"/>
    <n v="1535784"/>
    <n v="684"/>
    <x v="1"/>
    <n v="0.26"/>
    <n v="0.78"/>
    <n v="4319400"/>
    <n v="5"/>
    <n v="228756"/>
    <n v="3244005"/>
    <n v="0"/>
    <n v="0"/>
    <n v="0"/>
    <x v="2"/>
    <n v="201475100"/>
    <n v="105779369"/>
    <n v="301"/>
    <n v="2.5999999999999999E-2"/>
    <n v="2.6548672566371681E-2"/>
    <n v="5.8201058201058198E-2"/>
    <n v="15.841379310344831"/>
    <x v="2"/>
    <n v="122"/>
    <x v="0"/>
    <n v="302"/>
    <n v="3.6423841059602648E-2"/>
    <s v="larger size (&gt; 33L)"/>
    <n v="0"/>
    <n v="0.16250000000000001"/>
    <s v=" not riskY"/>
    <d v="2025-07-31T00:00:00"/>
    <n v="28875700"/>
    <n v="19.091954022988507"/>
    <s v="Old Loan"/>
    <s v="Q32025"/>
    <n v="59662800"/>
    <s v="L18292232|C5100921|45852|SME Loan|Branch|North|Salaried|360|3380200|16.43|46629|1535784|684|C|0.26|0.78|4319400|5|228756|3244005|0|0|0|Active"/>
    <x v="0"/>
  </r>
  <r>
    <s v="L92588691"/>
    <s v="C8239526"/>
    <x v="316"/>
    <x v="0"/>
    <x v="1"/>
    <x v="0"/>
    <x v="0"/>
    <n v="24"/>
    <n v="434200"/>
    <n v="20.12"/>
    <n v="22124"/>
    <n v="1000412"/>
    <n v="647"/>
    <x v="2"/>
    <n v="0.25"/>
    <n v="0.85"/>
    <n v="0"/>
    <n v="5"/>
    <n v="98220"/>
    <n v="350540"/>
    <n v="0"/>
    <n v="0"/>
    <n v="0"/>
    <x v="2"/>
    <n v="74897600"/>
    <n v="94548000"/>
    <n v="301"/>
    <n v="2.5999999999999999E-2"/>
    <n v="0"/>
    <n v="5.8201058201058198E-2"/>
    <n v="20.962592592592593"/>
    <x v="2"/>
    <n v="122"/>
    <x v="1"/>
    <n v="141"/>
    <n v="1.4184397163120567E-2"/>
    <s v="lower size (&lt; 9L)"/>
    <n v="0"/>
    <n v="0.13934426229508196"/>
    <s v=" not riskY"/>
    <d v="2025-07-31T00:00:00"/>
    <n v="28875700"/>
    <n v="21.092024539877301"/>
    <s v="Old Loan"/>
    <s v="Q32025"/>
    <n v="59662800"/>
    <s v="L92588691|C8239526|45862|Personal Loan|Branch|South|Salaried|24|434200|20.12|22124|1000412|647|D|0.25|0.85|0|5|98220|350540|0|0|0|Active"/>
    <x v="0"/>
  </r>
  <r>
    <s v="L39841209"/>
    <s v="C4881714"/>
    <x v="317"/>
    <x v="2"/>
    <x v="0"/>
    <x v="0"/>
    <x v="0"/>
    <n v="72"/>
    <n v="812300"/>
    <n v="10.34"/>
    <n v="15188"/>
    <n v="1760385"/>
    <n v="749"/>
    <x v="0"/>
    <n v="0.24"/>
    <n v="0.73"/>
    <n v="1113100"/>
    <n v="3"/>
    <n v="45279"/>
    <n v="775420"/>
    <n v="0"/>
    <n v="0"/>
    <n v="0"/>
    <x v="2"/>
    <n v="92273000"/>
    <n v="94548000"/>
    <n v="301"/>
    <n v="2.5999999999999999E-2"/>
    <n v="0"/>
    <n v="7.1090047393364927E-2"/>
    <n v="10.611923076923079"/>
    <x v="2"/>
    <n v="122"/>
    <x v="0"/>
    <n v="302"/>
    <n v="3.6423841059602648E-2"/>
    <s v="lower size (&lt; 9L)"/>
    <n v="0"/>
    <n v="0.13934426229508196"/>
    <s v=" not riskY"/>
    <d v="2025-09-30T00:00:00"/>
    <n v="8810700"/>
    <n v="20.262135922330096"/>
    <s v="New Loan"/>
    <s v="Q32025"/>
    <n v="59662800"/>
    <s v="L39841209|C4881714|45922|Auto Loan|Online|South|Salaried|72|812300|10.34|15188|1760385|749|B|0.24|0.73|1113100|3|45279|775420|0|0|0|Active"/>
    <x v="0"/>
  </r>
  <r>
    <s v="L94404380"/>
    <s v="C1291407"/>
    <x v="318"/>
    <x v="0"/>
    <x v="1"/>
    <x v="4"/>
    <x v="0"/>
    <n v="36"/>
    <n v="527300"/>
    <n v="19.21"/>
    <n v="19385"/>
    <n v="490636"/>
    <n v="661"/>
    <x v="1"/>
    <n v="0.23"/>
    <n v="0.89"/>
    <n v="0"/>
    <n v="5"/>
    <n v="96966"/>
    <n v="447216"/>
    <n v="45"/>
    <n v="0"/>
    <n v="0"/>
    <x v="0"/>
    <n v="74897600"/>
    <n v="83297251"/>
    <n v="47"/>
    <n v="2.5999999999999999E-2"/>
    <n v="3.1914893617021274E-2"/>
    <n v="5.8201058201058198E-2"/>
    <n v="18.603181818181817"/>
    <x v="2"/>
    <n v="122"/>
    <x v="1"/>
    <n v="141"/>
    <n v="1.4184397163120567E-2"/>
    <s v="lower size (&lt; 9L)"/>
    <n v="1"/>
    <n v="0.13934426229508196"/>
    <s v="high risk"/>
    <d v="2025-07-31T00:00:00"/>
    <n v="28875700"/>
    <n v="21.092024539877301"/>
    <s v="Old Loan"/>
    <s v="Q32025"/>
    <n v="59662800"/>
    <s v="L94404380|C1291407|45860|Personal Loan|Branch|East|Salaried|36|527300|19.21|19385|490636|661|C|0.23|0.89|0|5|96966|447216|45|0|0|Delinquent"/>
    <x v="0"/>
  </r>
  <r>
    <s v="L23795588"/>
    <s v="C3436828"/>
    <x v="319"/>
    <x v="1"/>
    <x v="0"/>
    <x v="4"/>
    <x v="0"/>
    <n v="36"/>
    <n v="1238300"/>
    <n v="17.68"/>
    <n v="44569"/>
    <n v="551508"/>
    <n v="664"/>
    <x v="1"/>
    <n v="0.23"/>
    <n v="0.87"/>
    <n v="1418800"/>
    <n v="5"/>
    <n v="213118"/>
    <n v="1061671"/>
    <n v="0"/>
    <n v="0"/>
    <n v="0"/>
    <x v="2"/>
    <n v="201475100"/>
    <n v="83297251"/>
    <n v="301"/>
    <n v="2.5999999999999999E-2"/>
    <n v="3.1914893617021274E-2"/>
    <n v="7.1090047393364927E-2"/>
    <n v="15.841379310344831"/>
    <x v="2"/>
    <n v="122"/>
    <x v="1"/>
    <n v="141"/>
    <n v="1.4184397163120567E-2"/>
    <s v="medium size (&lt;=33L)"/>
    <n v="0"/>
    <n v="0.15909090909090909"/>
    <s v=" not riskY"/>
    <d v="2025-07-31T00:00:00"/>
    <n v="28875700"/>
    <n v="19.091954022988507"/>
    <s v="Old Loan"/>
    <s v="Q32025"/>
    <n v="59662800"/>
    <s v="L23795588|C3436828|45861|SME Loan|Online|East|Salaried|36|1238300|17.68|44569|551508|664|C|0.23|0.87|1418800|5|213118|1061671|0|0|0|Active"/>
    <x v="0"/>
  </r>
  <r>
    <s v="L70283259"/>
    <s v="C1839889"/>
    <x v="320"/>
    <x v="0"/>
    <x v="3"/>
    <x v="3"/>
    <x v="1"/>
    <n v="240"/>
    <n v="601800"/>
    <n v="18.579999999999998"/>
    <n v="9557"/>
    <n v="1562567"/>
    <n v="679"/>
    <x v="1"/>
    <n v="0.21"/>
    <n v="0.62"/>
    <n v="0"/>
    <n v="4"/>
    <n v="35320"/>
    <n v="581389"/>
    <n v="0"/>
    <n v="0"/>
    <n v="0"/>
    <x v="2"/>
    <n v="74897600"/>
    <n v="105779369"/>
    <n v="301"/>
    <n v="2.5999999999999999E-2"/>
    <n v="2.6548672566371681E-2"/>
    <n v="0.12"/>
    <n v="18.603181818181817"/>
    <x v="2"/>
    <n v="122"/>
    <x v="0"/>
    <n v="302"/>
    <n v="3.6423841059602648E-2"/>
    <s v="lower size (&lt; 9L)"/>
    <n v="0"/>
    <n v="0.13934426229508196"/>
    <s v=" not riskY"/>
    <d v="2025-08-31T00:00:00"/>
    <n v="21976400"/>
    <n v="21.092024539877301"/>
    <s v="Old Loan"/>
    <s v="Q32025"/>
    <n v="59662800"/>
    <s v="L70283259|C1839889|45878|Personal Loan|Call Center|North|Contract|240|601800|18.58|9557|1562567|679|C|0.21|0.62|0|4|35320|581389|0|0|0|Active"/>
    <x v="0"/>
  </r>
  <r>
    <s v="L21899503"/>
    <s v="C9223443"/>
    <x v="321"/>
    <x v="4"/>
    <x v="1"/>
    <x v="2"/>
    <x v="0"/>
    <n v="48"/>
    <n v="2070100"/>
    <n v="13.29"/>
    <n v="55834"/>
    <n v="1079030"/>
    <n v="688"/>
    <x v="1"/>
    <n v="0.2"/>
    <n v="0.7"/>
    <n v="0"/>
    <n v="4"/>
    <n v="198457"/>
    <n v="1908325"/>
    <n v="10"/>
    <n v="0"/>
    <n v="0"/>
    <x v="2"/>
    <n v="62765800"/>
    <n v="98928695"/>
    <n v="301"/>
    <n v="2.5999999999999999E-2"/>
    <n v="2.8571428571428571E-2"/>
    <n v="5.8201058201058198E-2"/>
    <n v="13.463888888888889"/>
    <x v="2"/>
    <n v="122"/>
    <x v="0"/>
    <n v="302"/>
    <n v="3.6423841059602648E-2"/>
    <s v="medium size (&lt;=33L)"/>
    <n v="0"/>
    <n v="0.15909090909090909"/>
    <s v=" not riskY"/>
    <d v="2025-08-31T00:00:00"/>
    <n v="21976400"/>
    <n v="21.962962962962962"/>
    <s v="New Loan"/>
    <s v="Q32025"/>
    <n v="59662800"/>
    <s v="L21899503|C9223443|45898|Education Loan|Branch|Central|Salaried|48|2070100|13.29|55834|1079030|688|C|0.2|0.7|0|4|198457|1908325|10|0|0|Active"/>
    <x v="0"/>
  </r>
  <r>
    <s v="L82371207"/>
    <s v="C3712083"/>
    <x v="309"/>
    <x v="1"/>
    <x v="0"/>
    <x v="4"/>
    <x v="2"/>
    <n v="120"/>
    <n v="3956100"/>
    <n v="20.420000000000002"/>
    <n v="77559"/>
    <n v="662871"/>
    <n v="590"/>
    <x v="4"/>
    <n v="0.2"/>
    <n v="0.66"/>
    <n v="5964100"/>
    <n v="5"/>
    <n v="349708"/>
    <n v="3741031"/>
    <n v="0"/>
    <n v="1"/>
    <n v="0"/>
    <x v="1"/>
    <n v="201475100"/>
    <n v="83297251"/>
    <n v="139"/>
    <n v="2.5999999999999999E-2"/>
    <n v="3.1914893617021274E-2"/>
    <n v="7.1090047393364927E-2"/>
    <n v="20.521428571428572"/>
    <x v="2"/>
    <n v="122"/>
    <x v="0"/>
    <n v="302"/>
    <n v="3.6423841059602648E-2"/>
    <s v="larger size (&gt; 33L)"/>
    <n v="0"/>
    <n v="0.16250000000000001"/>
    <s v="high risk"/>
    <d v="2025-07-31T00:00:00"/>
    <n v="28875700"/>
    <n v="19.091954022988507"/>
    <s v="Old Loan"/>
    <s v="Q32025"/>
    <n v="59662800"/>
    <s v="L82371207|C3712083|45852|SME Loan|Online|East|Self-Employed|120|3956100|20.42|77559|662871|590|E|0.2|0.66|5964100|5|349708|3741031|0|1|0|Closed"/>
    <x v="0"/>
  </r>
  <r>
    <s v="L29312620"/>
    <s v="C8687715"/>
    <x v="322"/>
    <x v="1"/>
    <x v="1"/>
    <x v="2"/>
    <x v="1"/>
    <n v="36"/>
    <n v="1711000"/>
    <n v="18.309999999999999"/>
    <n v="62123"/>
    <n v="928951"/>
    <n v="614"/>
    <x v="2"/>
    <n v="0.2"/>
    <n v="0.63"/>
    <n v="2700300"/>
    <n v="4"/>
    <n v="214943"/>
    <n v="1537828"/>
    <n v="90"/>
    <n v="0"/>
    <n v="1"/>
    <x v="3"/>
    <n v="201475100"/>
    <n v="98928695"/>
    <n v="13"/>
    <n v="2.5999999999999999E-2"/>
    <n v="2.8571428571428571E-2"/>
    <n v="5.8201058201058198E-2"/>
    <n v="18.241249999999997"/>
    <x v="2"/>
    <n v="122"/>
    <x v="0"/>
    <n v="302"/>
    <n v="3.6423841059602648E-2"/>
    <s v="medium size (&lt;=33L)"/>
    <n v="1"/>
    <n v="0.15909090909090909"/>
    <s v="high risk"/>
    <d v="2025-08-31T00:00:00"/>
    <n v="21976400"/>
    <n v="19.091954022988507"/>
    <s v="New Loan"/>
    <s v="Q32025"/>
    <n v="59662800"/>
    <s v="L29312620|C8687715|45893|SME Loan|Branch|Central|Contract|36|1711000|18.31|62123|928951|614|D|0.2|0.63|2700300|4|214943|1537828|90|0|1|Default"/>
    <x v="0"/>
  </r>
  <r>
    <s v="L36891816"/>
    <s v="C3146975"/>
    <x v="323"/>
    <x v="0"/>
    <x v="1"/>
    <x v="3"/>
    <x v="2"/>
    <n v="36"/>
    <n v="515200"/>
    <n v="18.03"/>
    <n v="18633"/>
    <n v="809868"/>
    <n v="686"/>
    <x v="1"/>
    <n v="0.19"/>
    <n v="0.65"/>
    <n v="0"/>
    <n v="4"/>
    <n v="75678"/>
    <n v="451907"/>
    <n v="0"/>
    <n v="0"/>
    <n v="0"/>
    <x v="2"/>
    <n v="74897600"/>
    <n v="105779369"/>
    <n v="301"/>
    <n v="2.5999999999999999E-2"/>
    <n v="2.6548672566371681E-2"/>
    <n v="5.8201058201058198E-2"/>
    <n v="18.603181818181817"/>
    <x v="3"/>
    <n v="86"/>
    <x v="0"/>
    <n v="302"/>
    <n v="3.6423841059602648E-2"/>
    <s v="lower size (&lt; 9L)"/>
    <n v="0"/>
    <n v="0.13934426229508196"/>
    <s v=" not riskY"/>
    <d v="2025-08-31T00:00:00"/>
    <n v="21976400"/>
    <n v="21.092024539877301"/>
    <s v="Old Loan"/>
    <s v="Q32025"/>
    <n v="59662800"/>
    <s v="L36891816|C3146975|45870|Personal Loan|Branch|North|Self-Employed|36|515200|18.03|18633|809868|686|C|0.19|0.65|0|4|75678|451907|0|0|0|Active"/>
    <x v="0"/>
  </r>
  <r>
    <s v="L80232788"/>
    <s v="C5628005"/>
    <x v="324"/>
    <x v="0"/>
    <x v="3"/>
    <x v="4"/>
    <x v="2"/>
    <n v="48"/>
    <n v="208000"/>
    <n v="22.28"/>
    <n v="6585"/>
    <n v="862118"/>
    <n v="629"/>
    <x v="2"/>
    <n v="0.18"/>
    <n v="0.73"/>
    <n v="0"/>
    <n v="5"/>
    <n v="30451"/>
    <n v="185273"/>
    <n v="0"/>
    <n v="0"/>
    <n v="0"/>
    <x v="2"/>
    <n v="74897600"/>
    <n v="83297251"/>
    <n v="301"/>
    <n v="2.5999999999999999E-2"/>
    <n v="3.1914893617021274E-2"/>
    <n v="0.12"/>
    <n v="20.962592592592593"/>
    <x v="3"/>
    <n v="86"/>
    <x v="0"/>
    <n v="302"/>
    <n v="3.6423841059602648E-2"/>
    <s v="lower size (&lt; 9L)"/>
    <n v="0"/>
    <n v="0.13934426229508196"/>
    <s v=" not riskY"/>
    <d v="2025-07-31T00:00:00"/>
    <n v="28875700"/>
    <n v="21.092024539877301"/>
    <s v="Old Loan"/>
    <s v="Q32025"/>
    <n v="59662800"/>
    <s v="L80232788|C5628005|45859|Personal Loan|Call Center|East|Self-Employed|48|208000|22.28|6585|862118|629|D|0.18|0.73|0|5|30451|185273|0|0|0|Active"/>
    <x v="0"/>
  </r>
  <r>
    <s v="L38236380"/>
    <s v="C9760652"/>
    <x v="325"/>
    <x v="3"/>
    <x v="0"/>
    <x v="0"/>
    <x v="0"/>
    <n v="240"/>
    <n v="4816600"/>
    <n v="13.34"/>
    <n v="57601"/>
    <n v="613855"/>
    <n v="620"/>
    <x v="2"/>
    <n v="0.17"/>
    <n v="0.76"/>
    <n v="6306800"/>
    <n v="3"/>
    <n v="147142"/>
    <n v="4733711"/>
    <n v="0"/>
    <n v="0"/>
    <n v="0"/>
    <x v="2"/>
    <n v="403369500"/>
    <n v="94548000"/>
    <n v="301"/>
    <n v="2.5999999999999999E-2"/>
    <n v="0"/>
    <n v="7.1090047393364927E-2"/>
    <n v="13.406874999999999"/>
    <x v="3"/>
    <n v="86"/>
    <x v="0"/>
    <n v="302"/>
    <n v="3.6423841059602648E-2"/>
    <s v="larger size (&gt; 33L)"/>
    <n v="0"/>
    <n v="0.16250000000000001"/>
    <s v=" not riskY"/>
    <d v="2025-09-30T00:00:00"/>
    <n v="8810700"/>
    <n v="20.516129032258064"/>
    <s v="New Loan"/>
    <s v="Q32025"/>
    <n v="59662800"/>
    <s v="L38236380|C9760652|45903|Home Loan|Online|South|Salaried|240|4816600|13.34|57601|613855|620|D|0.17|0.76|6306800|3|147142|4733711|0|0|0|Active"/>
    <x v="0"/>
  </r>
  <r>
    <s v="L93475212"/>
    <s v="C8854223"/>
    <x v="326"/>
    <x v="0"/>
    <x v="1"/>
    <x v="2"/>
    <x v="1"/>
    <n v="180"/>
    <n v="318900"/>
    <n v="16.37"/>
    <n v="4766"/>
    <n v="519874"/>
    <n v="722"/>
    <x v="0"/>
    <n v="0.11"/>
    <n v="0.46"/>
    <n v="0"/>
    <n v="3"/>
    <n v="13109"/>
    <n v="311011"/>
    <n v="0"/>
    <n v="0"/>
    <n v="0"/>
    <x v="2"/>
    <n v="74897600"/>
    <n v="98928695"/>
    <n v="301"/>
    <n v="2.5999999999999999E-2"/>
    <n v="2.8571428571428571E-2"/>
    <n v="5.8201058201058198E-2"/>
    <n v="16.500166666666669"/>
    <x v="3"/>
    <n v="86"/>
    <x v="2"/>
    <n v="57"/>
    <n v="0"/>
    <s v="lower size (&lt; 9L)"/>
    <n v="0"/>
    <n v="0.13934426229508196"/>
    <s v=" not riskY"/>
    <d v="2025-09-30T00:00:00"/>
    <n v="8810700"/>
    <n v="21.092024539877301"/>
    <s v="New Loan"/>
    <s v="Q32025"/>
    <n v="59662800"/>
    <s v="L93475212|C8854223|45920|Personal Loan|Branch|Central|Contract|180|318900|16.37|4766|519874|722|B|0.11|0.46|0|3|13109|311011|0|0|0|Active"/>
    <x v="0"/>
  </r>
  <r>
    <s v="L76449298"/>
    <s v="C3688041"/>
    <x v="327"/>
    <x v="3"/>
    <x v="3"/>
    <x v="2"/>
    <x v="0"/>
    <n v="72"/>
    <n v="6964300"/>
    <n v="13.07"/>
    <n v="140060"/>
    <n v="1025078"/>
    <n v="618"/>
    <x v="2"/>
    <n v="0.05"/>
    <n v="0.72"/>
    <n v="9691900"/>
    <n v="5"/>
    <n v="618952"/>
    <n v="6497054"/>
    <n v="0"/>
    <n v="0"/>
    <n v="0"/>
    <x v="2"/>
    <n v="403369500"/>
    <n v="98928695"/>
    <n v="301"/>
    <n v="2.5999999999999999E-2"/>
    <n v="2.8571428571428571E-2"/>
    <n v="0.12"/>
    <n v="13.406874999999999"/>
    <x v="3"/>
    <n v="86"/>
    <x v="0"/>
    <n v="302"/>
    <n v="3.6423841059602648E-2"/>
    <s v="larger size (&gt; 33L)"/>
    <n v="0"/>
    <n v="0.16250000000000001"/>
    <s v=" not riskY"/>
    <d v="2025-07-31T00:00:00"/>
    <n v="28875700"/>
    <n v="20.516129032258064"/>
    <s v="Old Loan"/>
    <s v="Q32025"/>
    <n v="59662800"/>
    <s v="L76449298|C3688041|45845|Home Loan|Call Center|Central|Salaried|72|6964300|13.07|140060|1025078|618|D|0.05|0.72|9691900|5|618952|6497054|0|0|0|Active"/>
    <x v="0"/>
  </r>
  <r>
    <s v="L12237354"/>
    <s v="C4851128"/>
    <x v="328"/>
    <x v="1"/>
    <x v="3"/>
    <x v="3"/>
    <x v="1"/>
    <n v="60"/>
    <n v="3745900"/>
    <n v="16.489999999999998"/>
    <n v="92071"/>
    <n v="927516"/>
    <n v="673"/>
    <x v="1"/>
    <n v="0.53"/>
    <n v="0.68"/>
    <n v="5511700"/>
    <n v="36"/>
    <n v="3142746"/>
    <n v="1344393"/>
    <n v="0"/>
    <n v="0"/>
    <n v="0"/>
    <x v="2"/>
    <n v="201475100"/>
    <n v="105779369"/>
    <n v="301"/>
    <n v="2.5999999999999999E-2"/>
    <n v="2.6548672566371681E-2"/>
    <n v="0.12"/>
    <n v="15.841379310344831"/>
    <x v="0"/>
    <n v="32"/>
    <x v="0"/>
    <n v="302"/>
    <n v="3.6423841059602648E-2"/>
    <s v="larger size (&gt; 33L)"/>
    <n v="0"/>
    <n v="0.16250000000000001"/>
    <s v="high risk"/>
    <d v="2022-12-31T00:00:00"/>
    <n v="18330100"/>
    <n v="19.091954022988507"/>
    <s v="Old Loan"/>
    <s v="Q42022"/>
    <n v="51169300"/>
    <s v="L12237354|C4851128|44913|SME Loan|Call Center|North|Contract|60|3745900|16.49|92071|927516|673|C|0.53|0.68|5511700|36|3142746|1344393|0|0|0|Active"/>
    <x v="0"/>
  </r>
  <r>
    <s v="L96635338"/>
    <s v="C6024854"/>
    <x v="329"/>
    <x v="3"/>
    <x v="0"/>
    <x v="1"/>
    <x v="0"/>
    <n v="12"/>
    <n v="8283400"/>
    <n v="12.2"/>
    <n v="736745"/>
    <n v="1460017"/>
    <n v="663"/>
    <x v="1"/>
    <n v="0.48"/>
    <n v="0.8"/>
    <n v="10417400"/>
    <n v="12"/>
    <n v="8717593"/>
    <n v="0"/>
    <n v="0"/>
    <n v="0"/>
    <n v="0"/>
    <x v="1"/>
    <n v="403369500"/>
    <n v="83903255"/>
    <n v="139"/>
    <n v="2.5999999999999999E-2"/>
    <n v="4.2553191489361701E-2"/>
    <n v="7.1090047393364927E-2"/>
    <n v="11.719736842105268"/>
    <x v="1"/>
    <n v="260"/>
    <x v="0"/>
    <n v="302"/>
    <n v="3.6423841059602648E-2"/>
    <s v="larger size (&gt; 33L)"/>
    <n v="0"/>
    <n v="0.16250000000000001"/>
    <s v=" not riskY"/>
    <d v="2022-11-30T00:00:00"/>
    <n v="16312200"/>
    <n v="20.516129032258064"/>
    <s v="Old Loan"/>
    <s v="Q42022"/>
    <n v="51169300"/>
    <s v="L96635338|C6024854|44889|Home Loan|Online|West|Salaried|12|8283400|12.2|736745|1460017|663|C|0.48|0.8|10417400|12|8717593|0|0|0|0|Closed"/>
    <x v="0"/>
  </r>
  <r>
    <s v="L13745275"/>
    <s v="C9651679"/>
    <x v="330"/>
    <x v="0"/>
    <x v="2"/>
    <x v="3"/>
    <x v="0"/>
    <n v="360"/>
    <n v="396300"/>
    <n v="17.91"/>
    <n v="5943"/>
    <n v="1389698"/>
    <n v="682"/>
    <x v="1"/>
    <n v="0.47"/>
    <n v="0.91"/>
    <n v="0"/>
    <n v="36"/>
    <n v="191798"/>
    <n v="289675"/>
    <n v="0"/>
    <n v="0"/>
    <n v="0"/>
    <x v="2"/>
    <n v="74897600"/>
    <n v="105779369"/>
    <n v="301"/>
    <n v="2.5999999999999999E-2"/>
    <n v="2.6548672566371681E-2"/>
    <n v="0.1"/>
    <n v="18.603181818181817"/>
    <x v="1"/>
    <n v="260"/>
    <x v="1"/>
    <n v="141"/>
    <n v="1.4184397163120567E-2"/>
    <s v="lower size (&lt; 9L)"/>
    <n v="0"/>
    <n v="0.13934426229508196"/>
    <s v=" not riskY"/>
    <d v="2022-12-31T00:00:00"/>
    <n v="18330100"/>
    <n v="21.092024539877301"/>
    <s v="Old Loan"/>
    <s v="Q42022"/>
    <n v="51169300"/>
    <s v="L13745275|C9651679|44907|Personal Loan|Partner|North|Salaried|360|396300|17.91|5943|1389698|682|C|0.47|0.91|0|36|191798|289675|0|0|0|Active"/>
    <x v="0"/>
  </r>
  <r>
    <s v="L49158735"/>
    <s v="C3590196"/>
    <x v="331"/>
    <x v="3"/>
    <x v="2"/>
    <x v="3"/>
    <x v="2"/>
    <n v="120"/>
    <n v="3964200"/>
    <n v="12.18"/>
    <n v="57288"/>
    <n v="1100677"/>
    <n v="661"/>
    <x v="1"/>
    <n v="0.42"/>
    <n v="0.96"/>
    <n v="4137600"/>
    <n v="37"/>
    <n v="2078564"/>
    <n v="2481138"/>
    <n v="5"/>
    <n v="0"/>
    <n v="0"/>
    <x v="2"/>
    <n v="403369500"/>
    <n v="105779369"/>
    <n v="301"/>
    <n v="2.5999999999999999E-2"/>
    <n v="2.6548672566371681E-2"/>
    <n v="0.1"/>
    <n v="11.719736842105268"/>
    <x v="1"/>
    <n v="260"/>
    <x v="1"/>
    <n v="141"/>
    <n v="1.4184397163120567E-2"/>
    <s v="larger size (&gt; 33L)"/>
    <n v="0"/>
    <n v="0.16250000000000001"/>
    <s v=" not riskY"/>
    <d v="2022-11-30T00:00:00"/>
    <n v="16312200"/>
    <n v="20.516129032258064"/>
    <s v="Old Loan"/>
    <s v="Q42022"/>
    <n v="51169300"/>
    <s v="L49158735|C3590196|44875|Home Loan|Partner|North|Self-Employed|120|3964200|12.18|57288|1100677|661|C|0.42|0.96|4137600|37|2078564|2481138|5|0|0|Active"/>
    <x v="0"/>
  </r>
  <r>
    <s v="L24491704"/>
    <s v="C7174867"/>
    <x v="332"/>
    <x v="2"/>
    <x v="0"/>
    <x v="3"/>
    <x v="2"/>
    <n v="72"/>
    <n v="269300"/>
    <n v="7.84"/>
    <n v="4701"/>
    <n v="444323"/>
    <n v="788"/>
    <x v="3"/>
    <n v="0.4"/>
    <n v="0.83"/>
    <n v="323800"/>
    <n v="36"/>
    <n v="145317"/>
    <n v="149319"/>
    <n v="15"/>
    <n v="0"/>
    <n v="0"/>
    <x v="2"/>
    <n v="92273000"/>
    <n v="105779369"/>
    <n v="301"/>
    <n v="2.5999999999999999E-2"/>
    <n v="2.6548672566371681E-2"/>
    <n v="7.1090047393364927E-2"/>
    <n v="7.9444999999999997"/>
    <x v="1"/>
    <n v="260"/>
    <x v="1"/>
    <n v="141"/>
    <n v="1.4184397163120567E-2"/>
    <s v="lower size (&lt; 9L)"/>
    <n v="0"/>
    <n v="0.13934426229508196"/>
    <s v=" not riskY"/>
    <d v="2022-12-31T00:00:00"/>
    <n v="18330100"/>
    <n v="20.262135922330096"/>
    <s v="Old Loan"/>
    <s v="Q42022"/>
    <n v="51169300"/>
    <s v="L24491704|C7174867|44897|Auto Loan|Online|North|Self-Employed|72|269300|7.84|4701|444323|788|A|0.4|0.83|323800|36|145317|149319|15|0|0|Active"/>
    <x v="0"/>
  </r>
  <r>
    <s v="L51302419"/>
    <s v="C7175489"/>
    <x v="333"/>
    <x v="3"/>
    <x v="3"/>
    <x v="4"/>
    <x v="0"/>
    <n v="120"/>
    <n v="6919400"/>
    <n v="13.95"/>
    <n v="107227"/>
    <n v="1402252"/>
    <n v="646"/>
    <x v="2"/>
    <n v="0.39"/>
    <n v="0.82"/>
    <n v="8474100"/>
    <n v="38"/>
    <n v="4008423"/>
    <n v="4133635"/>
    <n v="45"/>
    <n v="0"/>
    <n v="0"/>
    <x v="0"/>
    <n v="403369500"/>
    <n v="83297251"/>
    <n v="47"/>
    <n v="2.5999999999999999E-2"/>
    <n v="3.1914893617021274E-2"/>
    <n v="0.12"/>
    <n v="13.406874999999999"/>
    <x v="1"/>
    <n v="260"/>
    <x v="1"/>
    <n v="141"/>
    <n v="1.4184397163120567E-2"/>
    <s v="larger size (&gt; 33L)"/>
    <n v="1"/>
    <n v="0.16250000000000001"/>
    <s v="high risk"/>
    <d v="2022-10-31T00:00:00"/>
    <n v="16527000"/>
    <n v="20.516129032258064"/>
    <s v="Old Loan"/>
    <s v="Q42022"/>
    <n v="51169300"/>
    <s v="L51302419|C7175489|44839|Home Loan|Call Center|East|Salaried|120|6919400|13.95|107227|1402252|646|D|0.39|0.82|8474100|38|4008423|4133635|45|0|0|Delinquent"/>
    <x v="0"/>
  </r>
  <r>
    <s v="L28132258"/>
    <s v="C8567707"/>
    <x v="328"/>
    <x v="0"/>
    <x v="1"/>
    <x v="3"/>
    <x v="0"/>
    <n v="84"/>
    <n v="536500"/>
    <n v="16.010000000000002"/>
    <n v="10659"/>
    <n v="1248579"/>
    <n v="725"/>
    <x v="0"/>
    <n v="0.35"/>
    <n v="0.64"/>
    <n v="0"/>
    <n v="36"/>
    <n v="347507"/>
    <n v="292065"/>
    <n v="0"/>
    <n v="0"/>
    <n v="0"/>
    <x v="2"/>
    <n v="74897600"/>
    <n v="105779369"/>
    <n v="301"/>
    <n v="2.5999999999999999E-2"/>
    <n v="2.6548672566371681E-2"/>
    <n v="5.8201058201058198E-2"/>
    <n v="16.500166666666669"/>
    <x v="1"/>
    <n v="260"/>
    <x v="0"/>
    <n v="302"/>
    <n v="3.6423841059602648E-2"/>
    <s v="lower size (&lt; 9L)"/>
    <n v="0"/>
    <n v="0.13934426229508196"/>
    <s v=" not riskY"/>
    <d v="2022-12-31T00:00:00"/>
    <n v="18330100"/>
    <n v="21.092024539877301"/>
    <s v="Old Loan"/>
    <s v="Q42022"/>
    <n v="51169300"/>
    <s v="L28132258|C8567707|44913|Personal Loan|Branch|North|Salaried|84|536500|16.01|10659|1248579|725|B|0.35|0.64|0|36|347507|292065|0|0|0|Active"/>
    <x v="0"/>
  </r>
  <r>
    <s v="L30107615"/>
    <s v="C7948975"/>
    <x v="334"/>
    <x v="4"/>
    <x v="0"/>
    <x v="1"/>
    <x v="0"/>
    <n v="36"/>
    <n v="636600"/>
    <n v="9.1300000000000008"/>
    <n v="20282"/>
    <n v="229552"/>
    <n v="736"/>
    <x v="0"/>
    <n v="0.34"/>
    <n v="1.01"/>
    <n v="0"/>
    <n v="36"/>
    <n v="727869"/>
    <n v="0"/>
    <n v="30"/>
    <n v="0"/>
    <n v="0"/>
    <x v="1"/>
    <n v="62765800"/>
    <n v="83903255"/>
    <n v="139"/>
    <n v="2.5999999999999999E-2"/>
    <n v="4.2553191489361701E-2"/>
    <n v="7.1090047393364927E-2"/>
    <n v="10.832666666666663"/>
    <x v="1"/>
    <n v="260"/>
    <x v="1"/>
    <n v="141"/>
    <n v="1.4184397163120567E-2"/>
    <s v="lower size (&lt; 9L)"/>
    <n v="1"/>
    <n v="0.13934426229508196"/>
    <s v="high risk"/>
    <d v="2022-10-31T00:00:00"/>
    <n v="16527000"/>
    <n v="21.962962962962962"/>
    <s v="Old Loan"/>
    <s v="Q42022"/>
    <n v="51169300"/>
    <s v="L30107615|C7948975|44850|Education Loan|Online|West|Salaried|36|636600|9.13|20282|229552|736|B|0.34|1.01|0|36|727869|0|30|0|0|Closed"/>
    <x v="0"/>
  </r>
  <r>
    <s v="L52614046"/>
    <s v="C1861097"/>
    <x v="335"/>
    <x v="4"/>
    <x v="0"/>
    <x v="3"/>
    <x v="0"/>
    <n v="48"/>
    <n v="1117800"/>
    <n v="14.57"/>
    <n v="30866"/>
    <n v="891026"/>
    <n v="658"/>
    <x v="1"/>
    <n v="0.33"/>
    <n v="0.9"/>
    <n v="0"/>
    <n v="36"/>
    <n v="1067590"/>
    <n v="245646"/>
    <n v="0"/>
    <n v="0"/>
    <n v="0"/>
    <x v="2"/>
    <n v="62765800"/>
    <n v="105779369"/>
    <n v="301"/>
    <n v="2.5999999999999999E-2"/>
    <n v="2.6548672566371681E-2"/>
    <n v="7.1090047393364927E-2"/>
    <n v="13.463888888888889"/>
    <x v="1"/>
    <n v="260"/>
    <x v="1"/>
    <n v="141"/>
    <n v="1.4184397163120567E-2"/>
    <s v="medium size (&lt;=33L)"/>
    <n v="0"/>
    <n v="0.15909090909090909"/>
    <s v=" not riskY"/>
    <d v="2022-12-31T00:00:00"/>
    <n v="18330100"/>
    <n v="21.962962962962962"/>
    <s v="Old Loan"/>
    <s v="Q42022"/>
    <n v="51169300"/>
    <s v="L52614046|C1861097|44896|Education Loan|Online|North|Salaried|48|1117800|14.57|30866|891026|658|C|0.33|0.9|0|36|1067590|245646|0|0|0|Active"/>
    <x v="0"/>
  </r>
  <r>
    <s v="L23007176"/>
    <s v="C7637422"/>
    <x v="336"/>
    <x v="4"/>
    <x v="1"/>
    <x v="4"/>
    <x v="1"/>
    <n v="72"/>
    <n v="2151300"/>
    <n v="15.14"/>
    <n v="45653"/>
    <n v="1200024"/>
    <n v="653"/>
    <x v="1"/>
    <n v="0.31"/>
    <n v="0.63"/>
    <n v="0"/>
    <n v="37"/>
    <n v="1521370"/>
    <n v="1031635"/>
    <n v="90"/>
    <n v="0"/>
    <n v="1"/>
    <x v="3"/>
    <n v="62765800"/>
    <n v="83297251"/>
    <n v="13"/>
    <n v="2.5999999999999999E-2"/>
    <n v="3.1914893617021274E-2"/>
    <n v="5.8201058201058198E-2"/>
    <n v="13.463888888888889"/>
    <x v="1"/>
    <n v="260"/>
    <x v="0"/>
    <n v="302"/>
    <n v="3.6423841059602648E-2"/>
    <s v="medium size (&lt;=33L)"/>
    <n v="1"/>
    <n v="0.15909090909090909"/>
    <s v="high risk"/>
    <d v="2022-11-30T00:00:00"/>
    <n v="16312200"/>
    <n v="21.962962962962962"/>
    <s v="Old Loan"/>
    <s v="Q42022"/>
    <n v="51169300"/>
    <s v="L23007176|C7637422|44879|Education Loan|Branch|East|Contract|72|2151300|15.14|45653|1200024|653|C|0.31|0.63|0|37|1521370|1031635|90|0|1|Default"/>
    <x v="0"/>
  </r>
  <r>
    <s v="L93260810"/>
    <s v="C4247046"/>
    <x v="337"/>
    <x v="3"/>
    <x v="1"/>
    <x v="4"/>
    <x v="2"/>
    <n v="48"/>
    <n v="3168700"/>
    <n v="7"/>
    <n v="75878"/>
    <n v="1005790"/>
    <n v="756"/>
    <x v="3"/>
    <n v="0.3"/>
    <n v="0.89"/>
    <n v="3576900"/>
    <n v="36"/>
    <n v="2499931"/>
    <n v="934940"/>
    <n v="0"/>
    <n v="0"/>
    <n v="0"/>
    <x v="2"/>
    <n v="403369500"/>
    <n v="83297251"/>
    <n v="301"/>
    <n v="2.5999999999999999E-2"/>
    <n v="3.1914893617021274E-2"/>
    <n v="5.8201058201058198E-2"/>
    <n v="7.1876190476190471"/>
    <x v="1"/>
    <n v="260"/>
    <x v="1"/>
    <n v="141"/>
    <n v="1.4184397163120567E-2"/>
    <s v="medium size (&lt;=33L)"/>
    <n v="0"/>
    <n v="0.15909090909090909"/>
    <s v=" not riskY"/>
    <d v="2022-12-31T00:00:00"/>
    <n v="18330100"/>
    <n v="20.516129032258064"/>
    <s v="Old Loan"/>
    <s v="Q42022"/>
    <n v="51169300"/>
    <s v="L93260810|C4247046|44902|Home Loan|Branch|East|Self-Employed|48|3168700|7|75878|1005790|756|A|0.3|0.89|3576900|36|2499931|934940|0|0|0|Active"/>
    <x v="0"/>
  </r>
  <r>
    <s v="L80265612"/>
    <s v="C8057240"/>
    <x v="338"/>
    <x v="3"/>
    <x v="0"/>
    <x v="1"/>
    <x v="0"/>
    <n v="120"/>
    <n v="2844400"/>
    <n v="13.98"/>
    <n v="44130"/>
    <n v="165278"/>
    <n v="661"/>
    <x v="1"/>
    <n v="0.28999999999999998"/>
    <n v="0.85"/>
    <n v="3336300"/>
    <n v="38"/>
    <n v="1658093"/>
    <n v="1689993"/>
    <n v="120"/>
    <n v="0"/>
    <n v="1"/>
    <x v="3"/>
    <n v="403369500"/>
    <n v="83903255"/>
    <n v="13"/>
    <n v="2.5999999999999999E-2"/>
    <n v="4.2553191489361701E-2"/>
    <n v="7.1090047393364927E-2"/>
    <n v="11.719736842105268"/>
    <x v="2"/>
    <n v="122"/>
    <x v="1"/>
    <n v="141"/>
    <n v="1.4184397163120567E-2"/>
    <s v="medium size (&lt;=33L)"/>
    <n v="1"/>
    <n v="0.15909090909090909"/>
    <s v="high risk"/>
    <d v="2022-10-31T00:00:00"/>
    <n v="16527000"/>
    <n v="20.516129032258064"/>
    <s v="Old Loan"/>
    <s v="Q42022"/>
    <n v="51169300"/>
    <s v="L80265612|C8057240|44837|Home Loan|Online|West|Salaried|120|2844400|13.98|44130|165278|661|C|0.29|0.85|3336300|38|1658093|1689993|120|0|1|Default"/>
    <x v="0"/>
  </r>
  <r>
    <s v="L22622417"/>
    <s v="C5904115"/>
    <x v="339"/>
    <x v="0"/>
    <x v="1"/>
    <x v="4"/>
    <x v="0"/>
    <n v="36"/>
    <n v="633800"/>
    <n v="13.57"/>
    <n v="21530"/>
    <n v="1037024"/>
    <n v="765"/>
    <x v="3"/>
    <n v="0.28999999999999998"/>
    <n v="0.71"/>
    <n v="0"/>
    <n v="36"/>
    <n v="687111"/>
    <n v="49897"/>
    <n v="0"/>
    <n v="0"/>
    <n v="0"/>
    <x v="1"/>
    <n v="74897600"/>
    <n v="83297251"/>
    <n v="139"/>
    <n v="2.5999999999999999E-2"/>
    <n v="3.1914893617021274E-2"/>
    <n v="5.8201058201058198E-2"/>
    <n v="13.328333333333335"/>
    <x v="2"/>
    <n v="122"/>
    <x v="0"/>
    <n v="302"/>
    <n v="3.6423841059602648E-2"/>
    <s v="lower size (&lt; 9L)"/>
    <n v="0"/>
    <n v="0.13934426229508196"/>
    <s v=" not riskY"/>
    <d v="2022-12-31T00:00:00"/>
    <n v="18330100"/>
    <n v="21.092024539877301"/>
    <s v="Old Loan"/>
    <s v="Q42022"/>
    <n v="51169300"/>
    <s v="L22622417|C5904115|44926|Personal Loan|Branch|East|Salaried|36|633800|13.57|21530|1037024|765|A|0.29|0.71|0|36|687111|49897|0|0|0|Closed"/>
    <x v="1"/>
  </r>
  <r>
    <s v="L34940946"/>
    <s v="C5165194"/>
    <x v="340"/>
    <x v="0"/>
    <x v="1"/>
    <x v="0"/>
    <x v="0"/>
    <n v="48"/>
    <n v="438900"/>
    <n v="20.440000000000001"/>
    <n v="13459"/>
    <n v="766987"/>
    <n v="616"/>
    <x v="2"/>
    <n v="0.28999999999999998"/>
    <n v="0.79"/>
    <n v="0"/>
    <n v="37"/>
    <n v="462045"/>
    <n v="87499"/>
    <n v="60"/>
    <n v="0"/>
    <n v="0"/>
    <x v="0"/>
    <n v="74897600"/>
    <n v="94548000"/>
    <n v="47"/>
    <n v="2.5999999999999999E-2"/>
    <n v="0"/>
    <n v="5.8201058201058198E-2"/>
    <n v="20.962592592592593"/>
    <x v="2"/>
    <n v="122"/>
    <x v="0"/>
    <n v="302"/>
    <n v="3.6423841059602648E-2"/>
    <s v="lower size (&lt; 9L)"/>
    <n v="1"/>
    <n v="0.13934426229508196"/>
    <s v="high risk"/>
    <d v="2022-11-30T00:00:00"/>
    <n v="16312200"/>
    <n v="21.092024539877301"/>
    <s v="Old Loan"/>
    <s v="Q42022"/>
    <n v="51169300"/>
    <s v="L34940946|C5165194|44894|Personal Loan|Branch|South|Salaried|48|438900|20.44|13459|766987|616|D|0.29|0.79|0|37|462045|87499|60|0|0|Delinquent"/>
    <x v="1"/>
  </r>
  <r>
    <s v="L74793411"/>
    <s v="C7744816"/>
    <x v="341"/>
    <x v="2"/>
    <x v="0"/>
    <x v="4"/>
    <x v="0"/>
    <n v="180"/>
    <n v="1154800"/>
    <n v="15.16"/>
    <n v="16289"/>
    <n v="1318719"/>
    <n v="620"/>
    <x v="2"/>
    <n v="0.28000000000000003"/>
    <n v="0.74"/>
    <n v="1552600"/>
    <n v="37"/>
    <n v="537390"/>
    <n v="833327"/>
    <n v="0"/>
    <n v="0"/>
    <n v="0"/>
    <x v="2"/>
    <n v="92273000"/>
    <n v="83297251"/>
    <n v="301"/>
    <n v="2.5999999999999999E-2"/>
    <n v="3.1914893617021274E-2"/>
    <n v="7.1090047393364927E-2"/>
    <n v="15.092000000000001"/>
    <x v="2"/>
    <n v="122"/>
    <x v="0"/>
    <n v="302"/>
    <n v="3.6423841059602648E-2"/>
    <s v="medium size (&lt;=33L)"/>
    <n v="0"/>
    <n v="0.15909090909090909"/>
    <s v=" not riskY"/>
    <d v="2022-11-30T00:00:00"/>
    <n v="16312200"/>
    <n v="20.262135922330096"/>
    <s v="Old Loan"/>
    <s v="Q42022"/>
    <n v="51169300"/>
    <s v="L74793411|C7744816|44870|Auto Loan|Online|East|Salaried|180|1154800|15.16|16289|1318719|620|D|0.28|0.74|1552600|37|537390|833327|0|0|0|Active"/>
    <x v="1"/>
  </r>
  <r>
    <s v="L16870886"/>
    <s v="C4746361"/>
    <x v="342"/>
    <x v="1"/>
    <x v="0"/>
    <x v="3"/>
    <x v="3"/>
    <n v="36"/>
    <n v="1677900"/>
    <n v="16.39"/>
    <n v="59314"/>
    <n v="694720"/>
    <n v="653"/>
    <x v="1"/>
    <n v="0.28000000000000003"/>
    <n v="0.73"/>
    <n v="2313400"/>
    <n v="36"/>
    <n v="2006761"/>
    <n v="1148"/>
    <n v="90"/>
    <n v="0"/>
    <n v="1"/>
    <x v="3"/>
    <n v="201475100"/>
    <n v="105779369"/>
    <n v="13"/>
    <n v="2.5999999999999999E-2"/>
    <n v="2.6548672566371681E-2"/>
    <n v="7.1090047393364927E-2"/>
    <n v="15.841379310344831"/>
    <x v="2"/>
    <n v="122"/>
    <x v="0"/>
    <n v="302"/>
    <n v="3.6423841059602648E-2"/>
    <s v="medium size (&lt;=33L)"/>
    <n v="1"/>
    <n v="0.15909090909090909"/>
    <s v="high risk"/>
    <d v="2022-10-31T00:00:00"/>
    <n v="16527000"/>
    <n v="19.091954022988507"/>
    <s v="Old Loan"/>
    <s v="Q42022"/>
    <n v="51169300"/>
    <s v="L16870886|C4746361|44860|SME Loan|Online|North|Unemployed|36|1677900|16.39|59314|694720|653|C|0.28|0.73|2313400|36|2006761|1148|90|0|1|Default"/>
    <x v="1"/>
  </r>
  <r>
    <s v="L74535266"/>
    <s v="C1760438"/>
    <x v="343"/>
    <x v="2"/>
    <x v="1"/>
    <x v="4"/>
    <x v="1"/>
    <n v="24"/>
    <n v="360900"/>
    <n v="11.52"/>
    <n v="16908"/>
    <n v="660918"/>
    <n v="702"/>
    <x v="0"/>
    <n v="0.24"/>
    <n v="0.84"/>
    <n v="432100"/>
    <n v="24"/>
    <n v="368338"/>
    <n v="25823"/>
    <n v="0"/>
    <n v="0"/>
    <n v="0"/>
    <x v="1"/>
    <n v="92273000"/>
    <n v="83297251"/>
    <n v="139"/>
    <n v="2.5999999999999999E-2"/>
    <n v="3.1914893617021274E-2"/>
    <n v="5.8201058201058198E-2"/>
    <n v="10.611923076923079"/>
    <x v="2"/>
    <n v="122"/>
    <x v="1"/>
    <n v="141"/>
    <n v="1.4184397163120567E-2"/>
    <s v="lower size (&lt; 9L)"/>
    <n v="0"/>
    <n v="0.13934426229508196"/>
    <s v=" not riskY"/>
    <d v="2022-10-31T00:00:00"/>
    <n v="16527000"/>
    <n v="20.262135922330096"/>
    <s v="Old Loan"/>
    <s v="Q42022"/>
    <n v="51169300"/>
    <s v="L74535266|C1760438|44835|Auto Loan|Branch|East|Contract|24|360900|11.52|16908|660918|702|B|0.24|0.84|432100|24|368338|25823|0|0|0|Closed"/>
    <x v="1"/>
  </r>
  <r>
    <s v="L52064344"/>
    <s v="C5267194"/>
    <x v="344"/>
    <x v="0"/>
    <x v="0"/>
    <x v="1"/>
    <x v="0"/>
    <n v="24"/>
    <n v="432400"/>
    <n v="14.42"/>
    <n v="20847"/>
    <n v="1540834"/>
    <n v="751"/>
    <x v="3"/>
    <n v="0.24"/>
    <n v="0.78"/>
    <n v="0"/>
    <n v="24"/>
    <n v="487005"/>
    <n v="0"/>
    <n v="90"/>
    <n v="0"/>
    <n v="1"/>
    <x v="3"/>
    <n v="74897600"/>
    <n v="83903255"/>
    <n v="13"/>
    <n v="2.5999999999999999E-2"/>
    <n v="4.2553191489361701E-2"/>
    <n v="7.1090047393364927E-2"/>
    <n v="13.328333333333335"/>
    <x v="2"/>
    <n v="122"/>
    <x v="0"/>
    <n v="302"/>
    <n v="3.6423841059602648E-2"/>
    <s v="lower size (&lt; 9L)"/>
    <n v="1"/>
    <n v="0.13934426229508196"/>
    <s v="high risk"/>
    <d v="2022-10-31T00:00:00"/>
    <n v="16527000"/>
    <n v="21.092024539877301"/>
    <s v="Old Loan"/>
    <s v="Q42022"/>
    <n v="51169300"/>
    <s v="L52064344|C5267194|44858|Personal Loan|Online|West|Salaried|24|432400|14.42|20847|1540834|751|A|0.24|0.78|0|24|487005|0|90|0|1|Default"/>
    <x v="1"/>
  </r>
  <r>
    <s v="L37196139"/>
    <s v="C1995295"/>
    <x v="345"/>
    <x v="4"/>
    <x v="0"/>
    <x v="2"/>
    <x v="2"/>
    <n v="72"/>
    <n v="1471100"/>
    <n v="12.52"/>
    <n v="29160"/>
    <n v="762227"/>
    <n v="687"/>
    <x v="1"/>
    <n v="0.24"/>
    <n v="0.68"/>
    <n v="0"/>
    <n v="36"/>
    <n v="933136"/>
    <n v="758982"/>
    <n v="10"/>
    <n v="0"/>
    <n v="0"/>
    <x v="2"/>
    <n v="62765800"/>
    <n v="98928695"/>
    <n v="301"/>
    <n v="2.5999999999999999E-2"/>
    <n v="2.8571428571428571E-2"/>
    <n v="7.1090047393364927E-2"/>
    <n v="13.463888888888889"/>
    <x v="2"/>
    <n v="122"/>
    <x v="0"/>
    <n v="302"/>
    <n v="3.6423841059602648E-2"/>
    <s v="medium size (&lt;=33L)"/>
    <n v="0"/>
    <n v="0.15909090909090909"/>
    <s v=" not riskY"/>
    <d v="2022-12-31T00:00:00"/>
    <n v="18330100"/>
    <n v="21.962962962962962"/>
    <s v="Old Loan"/>
    <s v="Q42022"/>
    <n v="51169300"/>
    <s v="L37196139|C1995295|44901|Education Loan|Online|Central|Self-Employed|72|1471100|12.52|29160|762227|687|C|0.24|0.68|0|36|933136|758982|10|0|0|Active"/>
    <x v="1"/>
  </r>
  <r>
    <s v="L80823193"/>
    <s v="C3907750"/>
    <x v="346"/>
    <x v="1"/>
    <x v="2"/>
    <x v="0"/>
    <x v="0"/>
    <n v="24"/>
    <n v="1965500"/>
    <n v="12.11"/>
    <n v="92624"/>
    <n v="312311"/>
    <n v="755"/>
    <x v="3"/>
    <n v="0.23"/>
    <n v="0.86"/>
    <n v="2297200"/>
    <n v="24"/>
    <n v="2168605"/>
    <n v="0"/>
    <n v="45"/>
    <n v="0"/>
    <n v="0"/>
    <x v="1"/>
    <n v="201475100"/>
    <n v="94548000"/>
    <n v="139"/>
    <n v="2.5999999999999999E-2"/>
    <n v="0"/>
    <n v="0.1"/>
    <n v="10.537499999999998"/>
    <x v="2"/>
    <n v="122"/>
    <x v="1"/>
    <n v="141"/>
    <n v="1.4184397163120567E-2"/>
    <s v="medium size (&lt;=33L)"/>
    <n v="1"/>
    <n v="0.15909090909090909"/>
    <s v="high risk"/>
    <d v="2022-12-31T00:00:00"/>
    <n v="18330100"/>
    <n v="19.091954022988507"/>
    <s v="Old Loan"/>
    <s v="Q42022"/>
    <n v="51169300"/>
    <s v="L80823193|C3907750|44911|SME Loan|Partner|South|Salaried|24|1965500|12.11|92624|312311|755|A|0.23|0.86|2297200|24|2168605|0|45|0|0|Closed"/>
    <x v="1"/>
  </r>
  <r>
    <s v="L69720523"/>
    <s v="C4157818"/>
    <x v="347"/>
    <x v="0"/>
    <x v="0"/>
    <x v="2"/>
    <x v="3"/>
    <n v="48"/>
    <n v="319600"/>
    <n v="14.93"/>
    <n v="8883"/>
    <n v="454467"/>
    <n v="759"/>
    <x v="3"/>
    <n v="0.19"/>
    <n v="0.56000000000000005"/>
    <n v="0"/>
    <n v="37"/>
    <n v="312943"/>
    <n v="65507"/>
    <n v="0"/>
    <n v="0"/>
    <n v="0"/>
    <x v="2"/>
    <n v="74897600"/>
    <n v="98928695"/>
    <n v="301"/>
    <n v="2.5999999999999999E-2"/>
    <n v="2.8571428571428571E-2"/>
    <n v="7.1090047393364927E-2"/>
    <n v="13.328333333333335"/>
    <x v="3"/>
    <n v="86"/>
    <x v="2"/>
    <n v="57"/>
    <n v="0"/>
    <s v="lower size (&lt; 9L)"/>
    <n v="0"/>
    <n v="0.13934426229508196"/>
    <s v=" not riskY"/>
    <d v="2022-11-30T00:00:00"/>
    <n v="16312200"/>
    <n v="21.092024539877301"/>
    <s v="Old Loan"/>
    <s v="Q42022"/>
    <n v="51169300"/>
    <s v="L69720523|C4157818|44891|Personal Loan|Online|Central|Unemployed|48|319600|14.93|8883|454467|759|A|0.19|0.56|0|37|312943|65507|0|0|0|Active"/>
    <x v="1"/>
  </r>
  <r>
    <s v="L35136775"/>
    <s v="C4387391"/>
    <x v="348"/>
    <x v="0"/>
    <x v="0"/>
    <x v="3"/>
    <x v="0"/>
    <n v="12"/>
    <n v="226500"/>
    <n v="20.100000000000001"/>
    <n v="20993"/>
    <n v="878644"/>
    <n v="650"/>
    <x v="1"/>
    <n v="0.18"/>
    <n v="0.85"/>
    <n v="0"/>
    <n v="12"/>
    <n v="250114"/>
    <n v="0"/>
    <n v="0"/>
    <n v="0"/>
    <n v="0"/>
    <x v="1"/>
    <n v="74897600"/>
    <n v="105779369"/>
    <n v="139"/>
    <n v="2.5999999999999999E-2"/>
    <n v="2.6548672566371681E-2"/>
    <n v="7.1090047393364927E-2"/>
    <n v="18.603181818181817"/>
    <x v="3"/>
    <n v="86"/>
    <x v="1"/>
    <n v="141"/>
    <n v="1.4184397163120567E-2"/>
    <s v="lower size (&lt; 9L)"/>
    <n v="0"/>
    <n v="0.13934426229508196"/>
    <s v=" not riskY"/>
    <d v="2022-12-31T00:00:00"/>
    <n v="18330100"/>
    <n v="21.092024539877301"/>
    <s v="Old Loan"/>
    <s v="Q42022"/>
    <n v="51169300"/>
    <s v="L35136775|C4387391|44920|Personal Loan|Online|North|Salaried|12|226500|20.1|20993|878644|650|C|0.18|0.85|0|12|250114|0|0|0|0|Closed"/>
    <x v="1"/>
  </r>
  <r>
    <s v="L21048213"/>
    <s v="C7611589"/>
    <x v="349"/>
    <x v="3"/>
    <x v="3"/>
    <x v="0"/>
    <x v="1"/>
    <n v="120"/>
    <n v="1392400"/>
    <n v="12.35"/>
    <n v="20260"/>
    <n v="1772874"/>
    <n v="673"/>
    <x v="1"/>
    <n v="0.18"/>
    <n v="0.51"/>
    <n v="2731600"/>
    <n v="36"/>
    <n v="649831"/>
    <n v="948923"/>
    <n v="0"/>
    <n v="0"/>
    <n v="0"/>
    <x v="2"/>
    <n v="403369500"/>
    <n v="94548000"/>
    <n v="301"/>
    <n v="2.5999999999999999E-2"/>
    <n v="0"/>
    <n v="0.12"/>
    <n v="11.719736842105268"/>
    <x v="3"/>
    <n v="86"/>
    <x v="2"/>
    <n v="57"/>
    <n v="0"/>
    <s v="medium size (&lt;=33L)"/>
    <n v="0"/>
    <n v="0.15909090909090909"/>
    <s v=" not riskY"/>
    <d v="2022-12-31T00:00:00"/>
    <n v="18330100"/>
    <n v="20.516129032258064"/>
    <s v="Old Loan"/>
    <s v="Q42022"/>
    <n v="51169300"/>
    <s v="L21048213|C7611589|44898|Home Loan|Call Center|South|Contract|120|1392400|12.35|20260|1772874|673|C|0.18|0.51|2731600|36|649831|948923|0|0|0|Active"/>
    <x v="1"/>
  </r>
  <r>
    <s v="L68898597"/>
    <s v="C4752004"/>
    <x v="350"/>
    <x v="1"/>
    <x v="0"/>
    <x v="3"/>
    <x v="2"/>
    <n v="12"/>
    <n v="1171300"/>
    <n v="12.09"/>
    <n v="104118"/>
    <n v="1053831"/>
    <n v="718"/>
    <x v="0"/>
    <n v="0.18"/>
    <n v="0.73"/>
    <n v="1603900"/>
    <n v="12"/>
    <n v="1242275"/>
    <n v="0"/>
    <n v="15"/>
    <n v="0"/>
    <n v="0"/>
    <x v="1"/>
    <n v="201475100"/>
    <n v="105779369"/>
    <n v="139"/>
    <n v="2.5999999999999999E-2"/>
    <n v="2.6548672566371681E-2"/>
    <n v="7.1090047393364927E-2"/>
    <n v="13.042631578947367"/>
    <x v="3"/>
    <n v="86"/>
    <x v="0"/>
    <n v="302"/>
    <n v="3.6423841059602648E-2"/>
    <s v="medium size (&lt;=33L)"/>
    <n v="0"/>
    <n v="0.15909090909090909"/>
    <s v=" not riskY"/>
    <d v="2022-12-31T00:00:00"/>
    <n v="18330100"/>
    <n v="19.091954022988507"/>
    <s v="Old Loan"/>
    <s v="Q42022"/>
    <n v="51169300"/>
    <s v="L68898597|C4752004|44910|SME Loan|Online|North|Self-Employed|12|1171300|12.09|104118|1053831|718|B|0.18|0.73|1603900|12|1242275|0|15|0|0|Closed"/>
    <x v="1"/>
  </r>
  <r>
    <s v="L73047066"/>
    <s v="C4863336"/>
    <x v="351"/>
    <x v="0"/>
    <x v="2"/>
    <x v="4"/>
    <x v="0"/>
    <n v="12"/>
    <n v="740300"/>
    <n v="15.53"/>
    <n v="67004"/>
    <n v="1185361"/>
    <n v="732"/>
    <x v="0"/>
    <n v="0.17"/>
    <n v="0.78"/>
    <n v="0"/>
    <n v="12"/>
    <n v="719713"/>
    <n v="66574"/>
    <n v="0"/>
    <n v="0"/>
    <n v="0"/>
    <x v="1"/>
    <n v="74897600"/>
    <n v="83297251"/>
    <n v="139"/>
    <n v="2.5999999999999999E-2"/>
    <n v="3.1914893617021274E-2"/>
    <n v="0.1"/>
    <n v="16.500166666666669"/>
    <x v="3"/>
    <n v="86"/>
    <x v="0"/>
    <n v="302"/>
    <n v="3.6423841059602648E-2"/>
    <s v="lower size (&lt; 9L)"/>
    <n v="0"/>
    <n v="0.13934426229508196"/>
    <s v=" not riskY"/>
    <d v="2022-12-31T00:00:00"/>
    <n v="18330100"/>
    <n v="21.092024539877301"/>
    <s v="Old Loan"/>
    <s v="Q42022"/>
    <n v="51169300"/>
    <s v="L73047066|C4863336|44904|Personal Loan|Partner|East|Salaried|12|740300|15.53|67004|1185361|732|B|0.17|0.78|0|12|719713|66574|0|0|0|Closed"/>
    <x v="1"/>
  </r>
  <r>
    <s v="L84941037"/>
    <s v="C4636834"/>
    <x v="352"/>
    <x v="3"/>
    <x v="0"/>
    <x v="4"/>
    <x v="0"/>
    <n v="36"/>
    <n v="3655400"/>
    <n v="13.27"/>
    <n v="123641"/>
    <n v="1278823"/>
    <n v="635"/>
    <x v="2"/>
    <n v="0.14000000000000001"/>
    <n v="0.72"/>
    <n v="5090800"/>
    <n v="36"/>
    <n v="3990510"/>
    <n v="246976"/>
    <n v="0"/>
    <n v="0"/>
    <n v="0"/>
    <x v="1"/>
    <n v="403369500"/>
    <n v="83297251"/>
    <n v="139"/>
    <n v="2.5999999999999999E-2"/>
    <n v="3.1914893617021274E-2"/>
    <n v="7.1090047393364927E-2"/>
    <n v="13.406874999999999"/>
    <x v="3"/>
    <n v="86"/>
    <x v="0"/>
    <n v="302"/>
    <n v="3.6423841059602648E-2"/>
    <s v="larger size (&gt; 33L)"/>
    <n v="0"/>
    <n v="0.16250000000000001"/>
    <s v=" not riskY"/>
    <d v="2022-10-31T00:00:00"/>
    <n v="16527000"/>
    <n v="20.516129032258064"/>
    <s v="Old Loan"/>
    <s v="Q42022"/>
    <n v="51169300"/>
    <s v="L84941037|C4636834|44848|Home Loan|Online|East|Salaried|36|3655400|13.27|123641|1278823|635|D|0.14|0.72|5090800|36|3990510|246976|0|0|0|Closed"/>
    <x v="1"/>
  </r>
  <r>
    <s v="L79966435"/>
    <s v="C1381154"/>
    <x v="330"/>
    <x v="4"/>
    <x v="1"/>
    <x v="1"/>
    <x v="2"/>
    <n v="240"/>
    <n v="1494700"/>
    <n v="12.15"/>
    <n v="16615"/>
    <n v="534158"/>
    <n v="675"/>
    <x v="1"/>
    <n v="0.05"/>
    <n v="0.79"/>
    <n v="0"/>
    <n v="36"/>
    <n v="545517"/>
    <n v="1167110"/>
    <n v="0"/>
    <n v="0"/>
    <n v="0"/>
    <x v="2"/>
    <n v="62765800"/>
    <n v="83903255"/>
    <n v="301"/>
    <n v="2.5999999999999999E-2"/>
    <n v="4.2553191489361701E-2"/>
    <n v="5.8201058201058198E-2"/>
    <n v="13.463888888888889"/>
    <x v="3"/>
    <n v="86"/>
    <x v="0"/>
    <n v="302"/>
    <n v="3.6423841059602648E-2"/>
    <s v="medium size (&lt;=33L)"/>
    <n v="0"/>
    <n v="0.15909090909090909"/>
    <s v=" not riskY"/>
    <d v="2022-12-31T00:00:00"/>
    <n v="18330100"/>
    <n v="21.962962962962962"/>
    <s v="Old Loan"/>
    <s v="Q42022"/>
    <n v="51169300"/>
    <s v="L79966435|C1381154|44907|Education Loan|Branch|West|Self-Employed|240|1494700|12.15|16615|534158|675|C|0.05|0.79|0|36|545517|1167110|0|0|0|Active"/>
    <x v="1"/>
  </r>
  <r>
    <s v="L87010376"/>
    <s v="C6873286"/>
    <x v="353"/>
    <x v="2"/>
    <x v="1"/>
    <x v="2"/>
    <x v="3"/>
    <n v="48"/>
    <n v="709100"/>
    <n v="16.57"/>
    <n v="20304"/>
    <n v="612054"/>
    <n v="616"/>
    <x v="2"/>
    <n v="0.62"/>
    <n v="0.51"/>
    <n v="1388800"/>
    <n v="24"/>
    <n v="438611"/>
    <n v="364487"/>
    <n v="0"/>
    <n v="0"/>
    <n v="0"/>
    <x v="2"/>
    <n v="92273000"/>
    <n v="98928695"/>
    <n v="301"/>
    <n v="2.5999999999999999E-2"/>
    <n v="2.8571428571428571E-2"/>
    <n v="5.8201058201058198E-2"/>
    <n v="15.092000000000001"/>
    <x v="0"/>
    <n v="32"/>
    <x v="2"/>
    <n v="57"/>
    <n v="0"/>
    <s v="lower size (&lt; 9L)"/>
    <n v="0"/>
    <n v="0.13934426229508196"/>
    <s v="high risk"/>
    <d v="2023-12-31T00:00:00"/>
    <n v="28085400"/>
    <n v="20.262135922330096"/>
    <s v="Old Loan"/>
    <s v="Q42023"/>
    <n v="58386700"/>
    <s v="L87010376|C6873286|45283|Auto Loan|Branch|Central|Unemployed|48|709100|16.57|20304|612054|616|D|0.62|0.51|1388800|24|438611|364487|0|0|0|Active"/>
    <x v="1"/>
  </r>
  <r>
    <s v="L55569693"/>
    <s v="C6727675"/>
    <x v="354"/>
    <x v="0"/>
    <x v="0"/>
    <x v="4"/>
    <x v="0"/>
    <n v="60"/>
    <n v="614100"/>
    <n v="21.86"/>
    <n v="16912"/>
    <n v="1970836"/>
    <n v="630"/>
    <x v="2"/>
    <n v="0.52"/>
    <n v="0.66"/>
    <n v="0"/>
    <n v="25"/>
    <n v="409131"/>
    <n v="316838"/>
    <n v="0"/>
    <n v="0"/>
    <n v="0"/>
    <x v="2"/>
    <n v="74897600"/>
    <n v="83297251"/>
    <n v="301"/>
    <n v="2.5999999999999999E-2"/>
    <n v="3.1914893617021274E-2"/>
    <n v="7.1090047393364927E-2"/>
    <n v="20.962592592592593"/>
    <x v="0"/>
    <n v="32"/>
    <x v="0"/>
    <n v="302"/>
    <n v="3.6423841059602648E-2"/>
    <s v="lower size (&lt; 9L)"/>
    <n v="0"/>
    <n v="0.13934426229508196"/>
    <s v="high risk"/>
    <d v="2023-11-30T00:00:00"/>
    <n v="5279700"/>
    <n v="21.092024539877301"/>
    <s v="Old Loan"/>
    <s v="Q42023"/>
    <n v="58386700"/>
    <s v="L55569693|C6727675|45243|Personal Loan|Online|East|Salaried|60|614100|21.86|16912|1970836|630|D|0.52|0.66|0|25|409131|316838|0|0|0|Active"/>
    <x v="1"/>
  </r>
  <r>
    <s v="L50111873"/>
    <s v="C8227911"/>
    <x v="355"/>
    <x v="3"/>
    <x v="0"/>
    <x v="3"/>
    <x v="0"/>
    <n v="120"/>
    <n v="5751700"/>
    <n v="12.79"/>
    <n v="85168"/>
    <n v="1281731"/>
    <n v="658"/>
    <x v="1"/>
    <n v="0.49"/>
    <n v="0.82"/>
    <n v="7029300"/>
    <n v="24"/>
    <n v="2083842"/>
    <n v="4256372"/>
    <n v="0"/>
    <n v="0"/>
    <n v="0"/>
    <x v="2"/>
    <n v="403369500"/>
    <n v="105779369"/>
    <n v="301"/>
    <n v="2.5999999999999999E-2"/>
    <n v="2.6548672566371681E-2"/>
    <n v="7.1090047393364927E-2"/>
    <n v="11.719736842105268"/>
    <x v="1"/>
    <n v="260"/>
    <x v="1"/>
    <n v="141"/>
    <n v="1.4184397163120567E-2"/>
    <s v="larger size (&gt; 33L)"/>
    <n v="0"/>
    <n v="0.16250000000000001"/>
    <s v=" not riskY"/>
    <d v="2023-12-31T00:00:00"/>
    <n v="28085400"/>
    <n v="20.516129032258064"/>
    <s v="Old Loan"/>
    <s v="Q42023"/>
    <n v="58386700"/>
    <s v="L50111873|C8227911|45288|Home Loan|Online|North|Salaried|120|5751700|12.79|85168|1281731|658|C|0.49|0.82|7029300|24|2083842|4256372|0|0|0|Active"/>
    <x v="1"/>
  </r>
  <r>
    <s v="L64541423"/>
    <s v="C8086889"/>
    <x v="355"/>
    <x v="0"/>
    <x v="1"/>
    <x v="2"/>
    <x v="2"/>
    <n v="36"/>
    <n v="554700"/>
    <n v="18.18"/>
    <n v="20104"/>
    <n v="1269735"/>
    <n v="697"/>
    <x v="1"/>
    <n v="0.45"/>
    <n v="0.79"/>
    <n v="0"/>
    <n v="24"/>
    <n v="469622"/>
    <n v="165754"/>
    <n v="0"/>
    <n v="0"/>
    <n v="0"/>
    <x v="2"/>
    <n v="74897600"/>
    <n v="98928695"/>
    <n v="301"/>
    <n v="2.5999999999999999E-2"/>
    <n v="2.8571428571428571E-2"/>
    <n v="5.8201058201058198E-2"/>
    <n v="18.603181818181817"/>
    <x v="1"/>
    <n v="260"/>
    <x v="0"/>
    <n v="302"/>
    <n v="3.6423841059602648E-2"/>
    <s v="lower size (&lt; 9L)"/>
    <n v="0"/>
    <n v="0.13934426229508196"/>
    <s v=" not riskY"/>
    <d v="2023-12-31T00:00:00"/>
    <n v="28085400"/>
    <n v="21.092024539877301"/>
    <s v="Old Loan"/>
    <s v="Q42023"/>
    <n v="58386700"/>
    <s v="L64541423|C8086889|45288|Personal Loan|Branch|Central|Self-Employed|36|554700|18.18|20104|1269735|697|C|0.45|0.79|0|24|469622|165754|0|0|0|Active"/>
    <x v="1"/>
  </r>
  <r>
    <s v="L59936722"/>
    <s v="C3213248"/>
    <x v="356"/>
    <x v="1"/>
    <x v="1"/>
    <x v="0"/>
    <x v="1"/>
    <n v="72"/>
    <n v="4208100"/>
    <n v="20.54"/>
    <n v="102117"/>
    <n v="750352"/>
    <n v="565"/>
    <x v="4"/>
    <n v="0.45"/>
    <n v="0.79"/>
    <n v="5318700"/>
    <n v="26"/>
    <n v="2320839"/>
    <n v="2636359"/>
    <n v="30"/>
    <n v="0"/>
    <n v="0"/>
    <x v="0"/>
    <n v="201475100"/>
    <n v="94548000"/>
    <n v="47"/>
    <n v="2.5999999999999999E-2"/>
    <n v="0"/>
    <n v="5.8201058201058198E-2"/>
    <n v="20.521428571428572"/>
    <x v="1"/>
    <n v="260"/>
    <x v="0"/>
    <n v="302"/>
    <n v="3.6423841059602648E-2"/>
    <s v="larger size (&gt; 33L)"/>
    <n v="1"/>
    <n v="0.16250000000000001"/>
    <s v="high risk"/>
    <d v="2023-10-31T00:00:00"/>
    <n v="25021600"/>
    <n v="19.091954022988507"/>
    <s v="Old Loan"/>
    <s v="Q42023"/>
    <n v="58386700"/>
    <s v="L59936722|C3213248|45205|SME Loan|Branch|South|Contract|72|4208100|20.54|102117|750352|565|E|0.45|0.79|5318700|26|2320839|2636359|30|0|0|Delinquent"/>
    <x v="1"/>
  </r>
  <r>
    <s v="L71012711"/>
    <s v="C8453960"/>
    <x v="357"/>
    <x v="0"/>
    <x v="0"/>
    <x v="3"/>
    <x v="0"/>
    <n v="120"/>
    <n v="433600"/>
    <n v="21.73"/>
    <n v="8883"/>
    <n v="857271"/>
    <n v="611"/>
    <x v="2"/>
    <n v="0.44"/>
    <n v="0.87"/>
    <n v="0"/>
    <n v="24"/>
    <n v="197583"/>
    <n v="311394"/>
    <n v="0"/>
    <n v="0"/>
    <n v="0"/>
    <x v="2"/>
    <n v="74897600"/>
    <n v="105779369"/>
    <n v="301"/>
    <n v="2.5999999999999999E-2"/>
    <n v="2.6548672566371681E-2"/>
    <n v="7.1090047393364927E-2"/>
    <n v="20.962592592592593"/>
    <x v="1"/>
    <n v="260"/>
    <x v="1"/>
    <n v="141"/>
    <n v="1.4184397163120567E-2"/>
    <s v="lower size (&lt; 9L)"/>
    <n v="0"/>
    <n v="0.13934426229508196"/>
    <s v=" not riskY"/>
    <d v="2023-12-31T00:00:00"/>
    <n v="28085400"/>
    <n v="21.092024539877301"/>
    <s v="Old Loan"/>
    <s v="Q42023"/>
    <n v="58386700"/>
    <s v="L71012711|C8453960|45279|Personal Loan|Online|North|Salaried|120|433600|21.73|8883|857271|611|D|0.44|0.87|0|24|197583|311394|0|0|0|Active"/>
    <x v="1"/>
  </r>
  <r>
    <s v="L99649621"/>
    <s v="C7614038"/>
    <x v="358"/>
    <x v="3"/>
    <x v="2"/>
    <x v="4"/>
    <x v="1"/>
    <n v="36"/>
    <n v="4166000"/>
    <n v="10.45"/>
    <n v="135307"/>
    <n v="585877"/>
    <n v="693"/>
    <x v="1"/>
    <n v="0.42"/>
    <n v="0.84"/>
    <n v="4954500"/>
    <n v="24"/>
    <n v="3036603"/>
    <n v="1477675"/>
    <n v="45"/>
    <n v="0"/>
    <n v="0"/>
    <x v="0"/>
    <n v="403369500"/>
    <n v="83297251"/>
    <n v="47"/>
    <n v="2.5999999999999999E-2"/>
    <n v="3.1914893617021274E-2"/>
    <n v="0.1"/>
    <n v="11.719736842105268"/>
    <x v="1"/>
    <n v="260"/>
    <x v="1"/>
    <n v="141"/>
    <n v="1.4184397163120567E-2"/>
    <s v="larger size (&gt; 33L)"/>
    <n v="1"/>
    <n v="0.16250000000000001"/>
    <s v="high risk"/>
    <d v="2023-12-31T00:00:00"/>
    <n v="28085400"/>
    <n v="20.516129032258064"/>
    <s v="Old Loan"/>
    <s v="Q42023"/>
    <n v="58386700"/>
    <s v="L99649621|C7614038|45275|Home Loan|Partner|East|Contract|36|4166000|10.45|135307|585877|693|C|0.42|0.84|4954500|24|3036603|1477675|45|0|0|Delinquent"/>
    <x v="1"/>
  </r>
  <r>
    <s v="L49499059"/>
    <s v="C3230556"/>
    <x v="359"/>
    <x v="1"/>
    <x v="0"/>
    <x v="4"/>
    <x v="2"/>
    <n v="24"/>
    <n v="1334600"/>
    <n v="13.85"/>
    <n v="63983"/>
    <n v="758893"/>
    <n v="739"/>
    <x v="0"/>
    <n v="0.4"/>
    <n v="1.05"/>
    <n v="1271200"/>
    <n v="24"/>
    <n v="1553051"/>
    <n v="0"/>
    <n v="0"/>
    <n v="0"/>
    <n v="0"/>
    <x v="1"/>
    <n v="201475100"/>
    <n v="83297251"/>
    <n v="139"/>
    <n v="2.5999999999999999E-2"/>
    <n v="3.1914893617021274E-2"/>
    <n v="7.1090047393364927E-2"/>
    <n v="13.042631578947367"/>
    <x v="1"/>
    <n v="260"/>
    <x v="1"/>
    <n v="141"/>
    <n v="1.4184397163120567E-2"/>
    <s v="medium size (&lt;=33L)"/>
    <n v="0"/>
    <n v="0.15909090909090909"/>
    <s v=" not riskY"/>
    <d v="2023-12-31T00:00:00"/>
    <n v="28085400"/>
    <n v="19.091954022988507"/>
    <s v="Old Loan"/>
    <s v="Q42023"/>
    <n v="58386700"/>
    <s v="L49499059|C3230556|45282|SME Loan|Online|East|Self-Employed|24|1334600|13.85|63983|758893|739|B|0.4|1.05|1271200|24|1553051|0|0|0|0|Closed"/>
    <x v="1"/>
  </r>
  <r>
    <s v="L67057760"/>
    <s v="C6711662"/>
    <x v="360"/>
    <x v="1"/>
    <x v="0"/>
    <x v="0"/>
    <x v="0"/>
    <n v="12"/>
    <n v="1443800"/>
    <n v="13.38"/>
    <n v="129214"/>
    <n v="407725"/>
    <n v="744"/>
    <x v="0"/>
    <n v="0.4"/>
    <n v="0.68"/>
    <n v="2124900"/>
    <n v="12"/>
    <n v="1363582"/>
    <n v="157490"/>
    <n v="0"/>
    <n v="0"/>
    <n v="0"/>
    <x v="1"/>
    <n v="201475100"/>
    <n v="94548000"/>
    <n v="139"/>
    <n v="2.5999999999999999E-2"/>
    <n v="0"/>
    <n v="7.1090047393364927E-2"/>
    <n v="13.042631578947367"/>
    <x v="1"/>
    <n v="260"/>
    <x v="0"/>
    <n v="302"/>
    <n v="3.6423841059602648E-2"/>
    <s v="medium size (&lt;=33L)"/>
    <n v="0"/>
    <n v="0.15909090909090909"/>
    <s v=" not riskY"/>
    <d v="2023-10-31T00:00:00"/>
    <n v="25021600"/>
    <n v="19.091954022988507"/>
    <s v="Old Loan"/>
    <s v="Q42023"/>
    <n v="58386700"/>
    <s v="L67057760|C6711662|45212|SME Loan|Online|South|Salaried|12|1443800|13.38|129214|407725|744|B|0.4|0.68|2124900|12|1363582|157490|0|0|0|Closed"/>
    <x v="1"/>
  </r>
  <r>
    <s v="L84903382"/>
    <s v="C8206268"/>
    <x v="361"/>
    <x v="1"/>
    <x v="0"/>
    <x v="1"/>
    <x v="3"/>
    <n v="36"/>
    <n v="2460000"/>
    <n v="11.13"/>
    <n v="80689"/>
    <n v="838761"/>
    <n v="761"/>
    <x v="3"/>
    <n v="0.38"/>
    <n v="0.65"/>
    <n v="3809200"/>
    <n v="24"/>
    <n v="1710621"/>
    <n v="968417"/>
    <n v="0"/>
    <n v="0"/>
    <n v="0"/>
    <x v="2"/>
    <n v="201475100"/>
    <n v="83903255"/>
    <n v="301"/>
    <n v="2.5999999999999999E-2"/>
    <n v="4.2553191489361701E-2"/>
    <n v="7.1090047393364927E-2"/>
    <n v="10.537499999999998"/>
    <x v="1"/>
    <n v="260"/>
    <x v="0"/>
    <n v="302"/>
    <n v="3.6423841059602648E-2"/>
    <s v="medium size (&lt;=33L)"/>
    <n v="0"/>
    <n v="0.15909090909090909"/>
    <s v=" not riskY"/>
    <d v="2023-12-31T00:00:00"/>
    <n v="28085400"/>
    <n v="19.091954022988507"/>
    <s v="Old Loan"/>
    <s v="Q42023"/>
    <n v="58386700"/>
    <s v="L84903382|C8206268|45281|SME Loan|Online|West|Unemployed|36|2460000|11.13|80689|838761|761|A|0.38|0.65|3809200|24|1710621|968417|0|0|0|Active"/>
    <x v="1"/>
  </r>
  <r>
    <s v="L18522522"/>
    <s v="C3434814"/>
    <x v="362"/>
    <x v="4"/>
    <x v="0"/>
    <x v="0"/>
    <x v="3"/>
    <n v="120"/>
    <n v="1191500"/>
    <n v="15.55"/>
    <n v="19626"/>
    <n v="816080"/>
    <n v="643"/>
    <x v="2"/>
    <n v="0.37"/>
    <n v="0.69"/>
    <n v="0"/>
    <n v="24"/>
    <n v="407057"/>
    <n v="932666"/>
    <n v="0"/>
    <n v="0"/>
    <n v="0"/>
    <x v="2"/>
    <n v="62765800"/>
    <n v="94548000"/>
    <n v="301"/>
    <n v="2.5999999999999999E-2"/>
    <n v="0"/>
    <n v="7.1090047393364927E-2"/>
    <n v="15.810000000000002"/>
    <x v="1"/>
    <n v="260"/>
    <x v="0"/>
    <n v="302"/>
    <n v="3.6423841059602648E-2"/>
    <s v="medium size (&lt;=33L)"/>
    <n v="0"/>
    <n v="0.15909090909090909"/>
    <s v=" not riskY"/>
    <d v="2023-12-31T00:00:00"/>
    <n v="28085400"/>
    <n v="21.962962962962962"/>
    <s v="Old Loan"/>
    <s v="Q42023"/>
    <n v="58386700"/>
    <s v="L18522522|C3434814|45262|Education Loan|Online|South|Unemployed|120|1191500|15.55|19626|816080|643|D|0.37|0.69|0|24|407057|932666|0|0|0|Active"/>
    <x v="1"/>
  </r>
  <r>
    <s v="L86228159"/>
    <s v="C1857179"/>
    <x v="363"/>
    <x v="2"/>
    <x v="2"/>
    <x v="4"/>
    <x v="0"/>
    <n v="24"/>
    <n v="1096000"/>
    <n v="12.1"/>
    <n v="51644"/>
    <n v="647302"/>
    <n v="691"/>
    <x v="1"/>
    <n v="0.36"/>
    <n v="0.89"/>
    <n v="1231000"/>
    <n v="24"/>
    <n v="1108313"/>
    <n v="93780"/>
    <n v="0"/>
    <n v="0"/>
    <n v="0"/>
    <x v="1"/>
    <n v="92273000"/>
    <n v="83297251"/>
    <n v="139"/>
    <n v="2.5999999999999999E-2"/>
    <n v="3.1914893617021274E-2"/>
    <n v="0.1"/>
    <n v="13.246500000000001"/>
    <x v="1"/>
    <n v="260"/>
    <x v="1"/>
    <n v="141"/>
    <n v="1.4184397163120567E-2"/>
    <s v="medium size (&lt;=33L)"/>
    <n v="0"/>
    <n v="0.15909090909090909"/>
    <s v=" not riskY"/>
    <d v="2023-12-31T00:00:00"/>
    <n v="28085400"/>
    <n v="20.262135922330096"/>
    <s v="Old Loan"/>
    <s v="Q42023"/>
    <n v="58386700"/>
    <s v="L86228159|C1857179|45263|Auto Loan|Partner|East|Salaried|24|1096000|12.1|51644|647302|691|C|0.36|0.89|1231000|24|1108313|93780|0|0|0|Closed"/>
    <x v="1"/>
  </r>
  <r>
    <s v="L75429515"/>
    <s v="C6991746"/>
    <x v="364"/>
    <x v="0"/>
    <x v="0"/>
    <x v="4"/>
    <x v="0"/>
    <n v="36"/>
    <n v="353900"/>
    <n v="17.739999999999998"/>
    <n v="12748"/>
    <n v="713268"/>
    <n v="711"/>
    <x v="0"/>
    <n v="0.36"/>
    <n v="0.68"/>
    <n v="0"/>
    <n v="26"/>
    <n v="297900"/>
    <n v="110411"/>
    <n v="0"/>
    <n v="0"/>
    <n v="0"/>
    <x v="2"/>
    <n v="74897600"/>
    <n v="83297251"/>
    <n v="301"/>
    <n v="2.5999999999999999E-2"/>
    <n v="3.1914893617021274E-2"/>
    <n v="7.1090047393364927E-2"/>
    <n v="16.500166666666669"/>
    <x v="1"/>
    <n v="260"/>
    <x v="0"/>
    <n v="302"/>
    <n v="3.6423841059602648E-2"/>
    <s v="lower size (&lt; 9L)"/>
    <n v="0"/>
    <n v="0.13934426229508196"/>
    <s v=" not riskY"/>
    <d v="2023-10-31T00:00:00"/>
    <n v="25021600"/>
    <n v="21.092024539877301"/>
    <s v="Old Loan"/>
    <s v="Q42023"/>
    <n v="58386700"/>
    <s v="L75429515|C6991746|45204|Personal Loan|Online|East|Salaried|36|353900|17.74|12748|713268|711|B|0.36|0.68|0|26|297900|110411|0|0|0|Active"/>
    <x v="1"/>
  </r>
  <r>
    <s v="L88096505"/>
    <s v="C5942299"/>
    <x v="365"/>
    <x v="4"/>
    <x v="0"/>
    <x v="4"/>
    <x v="2"/>
    <n v="18"/>
    <n v="695900"/>
    <n v="9.4700000000000006"/>
    <n v="41624"/>
    <n v="150000"/>
    <n v="724"/>
    <x v="0"/>
    <n v="0.35"/>
    <n v="0.85"/>
    <n v="0"/>
    <n v="18"/>
    <n v="710562"/>
    <n v="24879"/>
    <n v="0"/>
    <n v="1"/>
    <n v="0"/>
    <x v="1"/>
    <n v="62765800"/>
    <n v="83297251"/>
    <n v="139"/>
    <n v="2.5999999999999999E-2"/>
    <n v="3.1914893617021274E-2"/>
    <n v="7.1090047393364927E-2"/>
    <n v="10.832666666666663"/>
    <x v="1"/>
    <n v="260"/>
    <x v="1"/>
    <n v="141"/>
    <n v="1.4184397163120567E-2"/>
    <s v="lower size (&lt; 9L)"/>
    <n v="0"/>
    <n v="0.13934426229508196"/>
    <s v=" not riskY"/>
    <d v="2023-12-31T00:00:00"/>
    <n v="28085400"/>
    <n v="21.962962962962962"/>
    <s v="Old Loan"/>
    <s v="Q42023"/>
    <n v="58386700"/>
    <s v="L88096505|C5942299|45261|Education Loan|Online|East|Self-Employed|18|695900|9.47|41624|150000|724|B|0.35|0.85|0|18|710562|24879|0|1|0|Closed"/>
    <x v="1"/>
  </r>
  <r>
    <s v="L51664651"/>
    <s v="C1063683"/>
    <x v="366"/>
    <x v="0"/>
    <x v="0"/>
    <x v="1"/>
    <x v="0"/>
    <n v="36"/>
    <n v="579500"/>
    <n v="16.190000000000001"/>
    <n v="20428"/>
    <n v="1094334"/>
    <n v="715"/>
    <x v="0"/>
    <n v="0.32"/>
    <n v="0.7"/>
    <n v="0"/>
    <n v="26"/>
    <n v="490052"/>
    <n v="170760"/>
    <n v="0"/>
    <n v="0"/>
    <n v="0"/>
    <x v="2"/>
    <n v="74897600"/>
    <n v="83903255"/>
    <n v="301"/>
    <n v="2.5999999999999999E-2"/>
    <n v="4.2553191489361701E-2"/>
    <n v="7.1090047393364927E-2"/>
    <n v="16.500166666666669"/>
    <x v="1"/>
    <n v="260"/>
    <x v="0"/>
    <n v="302"/>
    <n v="3.6423841059602648E-2"/>
    <s v="lower size (&lt; 9L)"/>
    <n v="0"/>
    <n v="0.13934426229508196"/>
    <s v=" not riskY"/>
    <d v="2023-10-31T00:00:00"/>
    <n v="25021600"/>
    <n v="21.092024539877301"/>
    <s v="Old Loan"/>
    <s v="Q42023"/>
    <n v="58386700"/>
    <s v="L51664651|C1063683|45229|Personal Loan|Online|West|Salaried|36|579500|16.19|20428|1094334|715|B|0.32|0.7|0|26|490052|170760|0|0|0|Active"/>
    <x v="1"/>
  </r>
  <r>
    <s v="L34501740"/>
    <s v="C5659355"/>
    <x v="367"/>
    <x v="3"/>
    <x v="0"/>
    <x v="2"/>
    <x v="0"/>
    <n v="360"/>
    <n v="1326500"/>
    <n v="10.79"/>
    <n v="12423"/>
    <n v="547092"/>
    <n v="687"/>
    <x v="1"/>
    <n v="0.32"/>
    <n v="0.56999999999999995"/>
    <n v="2340000"/>
    <n v="24"/>
    <n v="279136"/>
    <n v="1161867"/>
    <n v="0"/>
    <n v="0"/>
    <n v="0"/>
    <x v="2"/>
    <n v="403369500"/>
    <n v="98928695"/>
    <n v="301"/>
    <n v="2.5999999999999999E-2"/>
    <n v="2.8571428571428571E-2"/>
    <n v="7.1090047393364927E-2"/>
    <n v="11.719736842105268"/>
    <x v="1"/>
    <n v="260"/>
    <x v="2"/>
    <n v="57"/>
    <n v="0"/>
    <s v="medium size (&lt;=33L)"/>
    <n v="0"/>
    <n v="0.15909090909090909"/>
    <s v=" not riskY"/>
    <d v="2023-12-31T00:00:00"/>
    <n v="28085400"/>
    <n v="20.516129032258064"/>
    <s v="Old Loan"/>
    <s v="Q42023"/>
    <n v="58386700"/>
    <s v="L34501740|C5659355|45287|Home Loan|Online|Central|Salaried|360|1326500|10.79|12423|547092|687|C|0.32|0.57|2340000|24|279136|1161867|0|0|0|Active"/>
    <x v="1"/>
  </r>
  <r>
    <s v="L44199230"/>
    <s v="C5934409"/>
    <x v="361"/>
    <x v="2"/>
    <x v="1"/>
    <x v="1"/>
    <x v="2"/>
    <n v="48"/>
    <n v="727900"/>
    <n v="12.47"/>
    <n v="19337"/>
    <n v="1136593"/>
    <n v="701"/>
    <x v="0"/>
    <n v="0.31"/>
    <n v="0.55000000000000004"/>
    <n v="1334200"/>
    <n v="24"/>
    <n v="460753"/>
    <n v="339762"/>
    <n v="45"/>
    <n v="0"/>
    <n v="0"/>
    <x v="0"/>
    <n v="92273000"/>
    <n v="83903255"/>
    <n v="47"/>
    <n v="2.5999999999999999E-2"/>
    <n v="4.2553191489361701E-2"/>
    <n v="5.8201058201058198E-2"/>
    <n v="10.611923076923079"/>
    <x v="1"/>
    <n v="260"/>
    <x v="2"/>
    <n v="57"/>
    <n v="0"/>
    <s v="lower size (&lt; 9L)"/>
    <n v="1"/>
    <n v="0.13934426229508196"/>
    <s v="high risk"/>
    <d v="2023-12-31T00:00:00"/>
    <n v="28085400"/>
    <n v="20.262135922330096"/>
    <s v="Old Loan"/>
    <s v="Q42023"/>
    <n v="58386700"/>
    <s v="L44199230|C5934409|45281|Auto Loan|Branch|West|Self-Employed|48|727900|12.47|19337|1136593|701|B|0.31|0.55|1334200|24|460753|339762|45|0|0|Delinquent"/>
    <x v="1"/>
  </r>
  <r>
    <s v="L69549513"/>
    <s v="C2023564"/>
    <x v="356"/>
    <x v="0"/>
    <x v="1"/>
    <x v="3"/>
    <x v="2"/>
    <n v="72"/>
    <n v="246700"/>
    <n v="17.7"/>
    <n v="5585"/>
    <n v="388140"/>
    <n v="679"/>
    <x v="1"/>
    <n v="0.31"/>
    <n v="0.82"/>
    <n v="0"/>
    <n v="26"/>
    <n v="130293"/>
    <n v="154251"/>
    <n v="0"/>
    <n v="0"/>
    <n v="0"/>
    <x v="2"/>
    <n v="74897600"/>
    <n v="105779369"/>
    <n v="301"/>
    <n v="2.5999999999999999E-2"/>
    <n v="2.6548672566371681E-2"/>
    <n v="5.8201058201058198E-2"/>
    <n v="18.603181818181817"/>
    <x v="1"/>
    <n v="260"/>
    <x v="1"/>
    <n v="141"/>
    <n v="1.4184397163120567E-2"/>
    <s v="lower size (&lt; 9L)"/>
    <n v="0"/>
    <n v="0.13934426229508196"/>
    <s v=" not riskY"/>
    <d v="2023-10-31T00:00:00"/>
    <n v="25021600"/>
    <n v="21.092024539877301"/>
    <s v="Old Loan"/>
    <s v="Q42023"/>
    <n v="58386700"/>
    <s v="L69549513|C2023564|45205|Personal Loan|Branch|North|Self-Employed|72|246700|17.7|5585|388140|679|C|0.31|0.82|0|26|130293|154251|0|0|0|Active"/>
    <x v="1"/>
  </r>
  <r>
    <s v="L97243597"/>
    <s v="C8644679"/>
    <x v="368"/>
    <x v="4"/>
    <x v="3"/>
    <x v="1"/>
    <x v="0"/>
    <n v="180"/>
    <n v="831600"/>
    <n v="12.25"/>
    <n v="10115"/>
    <n v="674754"/>
    <n v="700"/>
    <x v="0"/>
    <n v="0.31"/>
    <n v="0.72"/>
    <n v="0"/>
    <n v="24"/>
    <n v="214682"/>
    <n v="698415"/>
    <n v="15"/>
    <n v="0"/>
    <n v="0"/>
    <x v="2"/>
    <n v="62765800"/>
    <n v="83903255"/>
    <n v="301"/>
    <n v="2.5999999999999999E-2"/>
    <n v="4.2553191489361701E-2"/>
    <n v="0.12"/>
    <n v="10.832666666666663"/>
    <x v="1"/>
    <n v="260"/>
    <x v="0"/>
    <n v="302"/>
    <n v="3.6423841059602648E-2"/>
    <s v="lower size (&lt; 9L)"/>
    <n v="0"/>
    <n v="0.13934426229508196"/>
    <s v=" not riskY"/>
    <d v="2023-12-31T00:00:00"/>
    <n v="28085400"/>
    <n v="21.962962962962962"/>
    <s v="Old Loan"/>
    <s v="Q42023"/>
    <n v="58386700"/>
    <s v="L97243597|C8644679|45272|Education Loan|Call Center|West|Salaried|180|831600|12.25|10115|674754|700|B|0.31|0.72|0|24|214682|698415|15|0|0|Active"/>
    <x v="1"/>
  </r>
  <r>
    <s v="L78173910"/>
    <s v="C3829959"/>
    <x v="369"/>
    <x v="3"/>
    <x v="0"/>
    <x v="0"/>
    <x v="0"/>
    <n v="48"/>
    <n v="4201100"/>
    <n v="12.6"/>
    <n v="111873"/>
    <n v="538789"/>
    <n v="637"/>
    <x v="2"/>
    <n v="0.31"/>
    <n v="0.85"/>
    <n v="4960800"/>
    <n v="26"/>
    <n v="2856715"/>
    <n v="1803145"/>
    <n v="15"/>
    <n v="0"/>
    <n v="0"/>
    <x v="2"/>
    <n v="403369500"/>
    <n v="94548000"/>
    <n v="301"/>
    <n v="2.5999999999999999E-2"/>
    <n v="0"/>
    <n v="7.1090047393364927E-2"/>
    <n v="13.406874999999999"/>
    <x v="1"/>
    <n v="260"/>
    <x v="1"/>
    <n v="141"/>
    <n v="1.4184397163120567E-2"/>
    <s v="larger size (&gt; 33L)"/>
    <n v="0"/>
    <n v="0.16250000000000001"/>
    <s v=" not riskY"/>
    <d v="2023-10-31T00:00:00"/>
    <n v="25021600"/>
    <n v="20.516129032258064"/>
    <s v="Old Loan"/>
    <s v="Q42023"/>
    <n v="58386700"/>
    <s v="L78173910|C3829959|45226|Home Loan|Online|South|Salaried|48|4201100|12.6|111873|538789|637|D|0.31|0.85|4960800|26|2856715|1803145|15|0|0|Active"/>
    <x v="1"/>
  </r>
  <r>
    <s v="L32093304"/>
    <s v="C2257915"/>
    <x v="370"/>
    <x v="0"/>
    <x v="1"/>
    <x v="2"/>
    <x v="1"/>
    <n v="120"/>
    <n v="418400"/>
    <n v="17.27"/>
    <n v="7343"/>
    <n v="1488834"/>
    <n v="701"/>
    <x v="0"/>
    <n v="0.3"/>
    <n v="0.66"/>
    <n v="0"/>
    <n v="24"/>
    <n v="174120"/>
    <n v="302086"/>
    <n v="0"/>
    <n v="0"/>
    <n v="0"/>
    <x v="2"/>
    <n v="74897600"/>
    <n v="98928695"/>
    <n v="301"/>
    <n v="2.5999999999999999E-2"/>
    <n v="2.8571428571428571E-2"/>
    <n v="5.8201058201058198E-2"/>
    <n v="16.500166666666669"/>
    <x v="1"/>
    <n v="260"/>
    <x v="0"/>
    <n v="302"/>
    <n v="3.6423841059602648E-2"/>
    <s v="lower size (&lt; 9L)"/>
    <n v="0"/>
    <n v="0.13934426229508196"/>
    <s v=" not riskY"/>
    <d v="2023-12-31T00:00:00"/>
    <n v="28085400"/>
    <n v="21.092024539877301"/>
    <s v="Old Loan"/>
    <s v="Q42023"/>
    <n v="58386700"/>
    <s v="L32093304|C2257915|45267|Personal Loan|Branch|Central|Contract|120|418400|17.27|7343|1488834|701|B|0.3|0.66|0|24|174120|302086|0|0|0|Active"/>
    <x v="1"/>
  </r>
  <r>
    <s v="L74520117"/>
    <s v="C7549738"/>
    <x v="371"/>
    <x v="4"/>
    <x v="0"/>
    <x v="2"/>
    <x v="1"/>
    <n v="60"/>
    <n v="382600"/>
    <n v="7"/>
    <n v="7576"/>
    <n v="993857"/>
    <n v="850"/>
    <x v="3"/>
    <n v="0.28999999999999998"/>
    <n v="0.79"/>
    <n v="0"/>
    <n v="26"/>
    <n v="169769"/>
    <n v="236042"/>
    <n v="0"/>
    <n v="0"/>
    <n v="0"/>
    <x v="2"/>
    <n v="62765800"/>
    <n v="98928695"/>
    <n v="301"/>
    <n v="2.5999999999999999E-2"/>
    <n v="2.8571428571428571E-2"/>
    <n v="7.1090047393364927E-2"/>
    <n v="8.5057142857142871"/>
    <x v="2"/>
    <n v="122"/>
    <x v="0"/>
    <n v="302"/>
    <n v="3.6423841059602648E-2"/>
    <s v="lower size (&lt; 9L)"/>
    <n v="0"/>
    <n v="0.13934426229508196"/>
    <s v=" not riskY"/>
    <d v="2023-10-31T00:00:00"/>
    <n v="25021600"/>
    <n v="21.962962962962962"/>
    <s v="Old Loan"/>
    <s v="Q42023"/>
    <n v="58386700"/>
    <s v="L74520117|C7549738|45220|Education Loan|Online|Central|Contract|60|382600|7|7576|993857|850|A|0.29|0.79|0|26|169769|236042|0|0|0|Active"/>
    <x v="1"/>
  </r>
  <r>
    <s v="L22577723"/>
    <s v="C6546556"/>
    <x v="372"/>
    <x v="2"/>
    <x v="0"/>
    <x v="2"/>
    <x v="0"/>
    <n v="18"/>
    <n v="154500"/>
    <n v="11.05"/>
    <n v="9354"/>
    <n v="884055"/>
    <n v="703"/>
    <x v="0"/>
    <n v="0.28999999999999998"/>
    <n v="0.61"/>
    <n v="251300"/>
    <n v="18"/>
    <n v="161863"/>
    <n v="2880"/>
    <n v="0"/>
    <n v="0"/>
    <n v="0"/>
    <x v="1"/>
    <n v="92273000"/>
    <n v="98928695"/>
    <n v="139"/>
    <n v="2.5999999999999999E-2"/>
    <n v="2.8571428571428571E-2"/>
    <n v="7.1090047393364927E-2"/>
    <n v="10.611923076923079"/>
    <x v="2"/>
    <n v="122"/>
    <x v="0"/>
    <n v="302"/>
    <n v="3.6423841059602648E-2"/>
    <s v="lower size (&lt; 9L)"/>
    <n v="0"/>
    <n v="0.13934426229508196"/>
    <s v=" not riskY"/>
    <d v="2023-11-30T00:00:00"/>
    <n v="5279700"/>
    <n v="20.262135922330096"/>
    <s v="Old Loan"/>
    <s v="Q42023"/>
    <n v="58386700"/>
    <s v="L22577723|C6546556|45247|Auto Loan|Online|Central|Salaried|18|154500|11.05|9354|884055|703|B|0.29|0.61|251300|18|161863|2880|0|0|0|Closed"/>
    <x v="1"/>
  </r>
  <r>
    <s v="L42751542"/>
    <s v="C7624120"/>
    <x v="364"/>
    <x v="4"/>
    <x v="0"/>
    <x v="3"/>
    <x v="2"/>
    <n v="18"/>
    <n v="1405200"/>
    <n v="7.63"/>
    <n v="82867"/>
    <n v="1093577"/>
    <n v="771"/>
    <x v="3"/>
    <n v="0.28999999999999998"/>
    <n v="0.77"/>
    <n v="0"/>
    <n v="18"/>
    <n v="1393963"/>
    <n v="75567"/>
    <n v="0"/>
    <n v="0"/>
    <n v="0"/>
    <x v="1"/>
    <n v="62765800"/>
    <n v="105779369"/>
    <n v="139"/>
    <n v="2.5999999999999999E-2"/>
    <n v="2.6548672566371681E-2"/>
    <n v="7.1090047393364927E-2"/>
    <n v="8.5057142857142871"/>
    <x v="2"/>
    <n v="122"/>
    <x v="0"/>
    <n v="302"/>
    <n v="3.6423841059602648E-2"/>
    <s v="medium size (&lt;=33L)"/>
    <n v="0"/>
    <n v="0.15909090909090909"/>
    <s v=" not riskY"/>
    <d v="2023-10-31T00:00:00"/>
    <n v="25021600"/>
    <n v="21.962962962962962"/>
    <s v="Old Loan"/>
    <s v="Q42023"/>
    <n v="58386700"/>
    <s v="L42751542|C7624120|45204|Education Loan|Online|North|Self-Employed|18|1405200|7.63|82867|1093577|771|A|0.29|0.77|0|18|1393963|75567|0|0|0|Closed"/>
    <x v="2"/>
  </r>
  <r>
    <s v="L48887190"/>
    <s v="C5295478"/>
    <x v="364"/>
    <x v="0"/>
    <x v="0"/>
    <x v="2"/>
    <x v="2"/>
    <n v="12"/>
    <n v="470300"/>
    <n v="17.489999999999998"/>
    <n v="43003"/>
    <n v="1451572"/>
    <n v="697"/>
    <x v="1"/>
    <n v="0.28000000000000003"/>
    <n v="0.9"/>
    <n v="0"/>
    <n v="12"/>
    <n v="504312"/>
    <n v="0"/>
    <n v="0"/>
    <n v="0"/>
    <n v="0"/>
    <x v="1"/>
    <n v="74897600"/>
    <n v="98928695"/>
    <n v="139"/>
    <n v="2.5999999999999999E-2"/>
    <n v="2.8571428571428571E-2"/>
    <n v="7.1090047393364927E-2"/>
    <n v="18.603181818181817"/>
    <x v="2"/>
    <n v="122"/>
    <x v="1"/>
    <n v="141"/>
    <n v="1.4184397163120567E-2"/>
    <s v="lower size (&lt; 9L)"/>
    <n v="0"/>
    <n v="0.13934426229508196"/>
    <s v=" not riskY"/>
    <d v="2023-10-31T00:00:00"/>
    <n v="25021600"/>
    <n v="21.092024539877301"/>
    <s v="Old Loan"/>
    <s v="Q42023"/>
    <n v="58386700"/>
    <s v="L48887190|C5295478|45204|Personal Loan|Online|Central|Self-Employed|12|470300|17.49|43003|1451572|697|C|0.28|0.9|0|12|504312|0|0|0|0|Closed"/>
    <x v="2"/>
  </r>
  <r>
    <s v="L52259076"/>
    <s v="C8541821"/>
    <x v="373"/>
    <x v="0"/>
    <x v="3"/>
    <x v="0"/>
    <x v="0"/>
    <n v="12"/>
    <n v="330200"/>
    <n v="17.04"/>
    <n v="30122"/>
    <n v="772450"/>
    <n v="732"/>
    <x v="0"/>
    <n v="0.28000000000000003"/>
    <n v="0.74"/>
    <n v="0"/>
    <n v="12"/>
    <n v="336687"/>
    <n v="16019"/>
    <n v="30"/>
    <n v="0"/>
    <n v="0"/>
    <x v="1"/>
    <n v="74897600"/>
    <n v="94548000"/>
    <n v="139"/>
    <n v="2.5999999999999999E-2"/>
    <n v="0"/>
    <n v="0.12"/>
    <n v="16.500166666666669"/>
    <x v="2"/>
    <n v="122"/>
    <x v="0"/>
    <n v="302"/>
    <n v="3.6423841059602648E-2"/>
    <s v="lower size (&lt; 9L)"/>
    <n v="1"/>
    <n v="0.13934426229508196"/>
    <s v="high risk"/>
    <d v="2023-10-31T00:00:00"/>
    <n v="25021600"/>
    <n v="21.092024539877301"/>
    <s v="Old Loan"/>
    <s v="Q42023"/>
    <n v="58386700"/>
    <s v="L52259076|C8541821|45210|Personal Loan|Call Center|South|Salaried|12|330200|17.04|30122|772450|732|B|0.28|0.74|0|12|336687|16019|30|0|0|Closed"/>
    <x v="2"/>
  </r>
  <r>
    <s v="L99339905"/>
    <s v="C3955250"/>
    <x v="374"/>
    <x v="0"/>
    <x v="1"/>
    <x v="4"/>
    <x v="0"/>
    <n v="12"/>
    <n v="494500"/>
    <n v="14.82"/>
    <n v="44591"/>
    <n v="1118464"/>
    <n v="753"/>
    <x v="3"/>
    <n v="0.25"/>
    <n v="0.84"/>
    <n v="0"/>
    <n v="12"/>
    <n v="493726"/>
    <n v="30088"/>
    <n v="0"/>
    <n v="0"/>
    <n v="0"/>
    <x v="1"/>
    <n v="74897600"/>
    <n v="83297251"/>
    <n v="139"/>
    <n v="2.5999999999999999E-2"/>
    <n v="3.1914893617021274E-2"/>
    <n v="5.8201058201058198E-2"/>
    <n v="13.328333333333335"/>
    <x v="2"/>
    <n v="122"/>
    <x v="1"/>
    <n v="141"/>
    <n v="1.4184397163120567E-2"/>
    <s v="lower size (&lt; 9L)"/>
    <n v="0"/>
    <n v="0.13934426229508196"/>
    <s v=" not riskY"/>
    <d v="2023-11-30T00:00:00"/>
    <n v="5279700"/>
    <n v="21.092024539877301"/>
    <s v="Old Loan"/>
    <s v="Q42023"/>
    <n v="58386700"/>
    <s v="L99339905|C3955250|45252|Personal Loan|Branch|East|Salaried|12|494500|14.82|44591|1118464|753|A|0.25|0.84|0|12|493726|30088|0|0|0|Closed"/>
    <x v="2"/>
  </r>
  <r>
    <s v="L84946307"/>
    <s v="C8010967"/>
    <x v="375"/>
    <x v="0"/>
    <x v="0"/>
    <x v="2"/>
    <x v="2"/>
    <n v="360"/>
    <n v="410000"/>
    <n v="19.3"/>
    <n v="6615"/>
    <n v="729510"/>
    <n v="666"/>
    <x v="1"/>
    <n v="0.24"/>
    <n v="0.72"/>
    <n v="0"/>
    <n v="25"/>
    <n v="152887"/>
    <n v="323055"/>
    <n v="0"/>
    <n v="0"/>
    <n v="0"/>
    <x v="2"/>
    <n v="74897600"/>
    <n v="98928695"/>
    <n v="301"/>
    <n v="2.5999999999999999E-2"/>
    <n v="2.8571428571428571E-2"/>
    <n v="7.1090047393364927E-2"/>
    <n v="18.603181818181817"/>
    <x v="2"/>
    <n v="122"/>
    <x v="0"/>
    <n v="302"/>
    <n v="3.6423841059602648E-2"/>
    <s v="lower size (&lt; 9L)"/>
    <n v="0"/>
    <n v="0.13934426229508196"/>
    <s v=" not riskY"/>
    <d v="2023-11-30T00:00:00"/>
    <n v="5279700"/>
    <n v="21.092024539877301"/>
    <s v="Old Loan"/>
    <s v="Q42023"/>
    <n v="58386700"/>
    <s v="L84946307|C8010967|45233|Personal Loan|Online|Central|Self-Employed|360|410000|19.3|6615|729510|666|C|0.24|0.72|0|25|152887|323055|0|0|0|Active"/>
    <x v="2"/>
  </r>
  <r>
    <s v="L93382501"/>
    <s v="C9655941"/>
    <x v="376"/>
    <x v="3"/>
    <x v="1"/>
    <x v="1"/>
    <x v="1"/>
    <n v="60"/>
    <n v="4037400"/>
    <n v="10.87"/>
    <n v="87521"/>
    <n v="908557"/>
    <n v="694"/>
    <x v="1"/>
    <n v="0.22"/>
    <n v="0.74"/>
    <n v="5491800"/>
    <n v="26"/>
    <n v="2169718"/>
    <n v="2248032"/>
    <n v="0"/>
    <n v="0"/>
    <n v="0"/>
    <x v="2"/>
    <n v="403369500"/>
    <n v="83903255"/>
    <n v="301"/>
    <n v="2.5999999999999999E-2"/>
    <n v="4.2553191489361701E-2"/>
    <n v="5.8201058201058198E-2"/>
    <n v="11.719736842105268"/>
    <x v="2"/>
    <n v="122"/>
    <x v="0"/>
    <n v="302"/>
    <n v="3.6423841059602648E-2"/>
    <s v="larger size (&gt; 33L)"/>
    <n v="0"/>
    <n v="0.16250000000000001"/>
    <s v=" not riskY"/>
    <d v="2023-10-31T00:00:00"/>
    <n v="25021600"/>
    <n v="20.516129032258064"/>
    <s v="Old Loan"/>
    <s v="Q42023"/>
    <n v="58386700"/>
    <s v="L93382501|C9655941|45230|Home Loan|Branch|West|Contract|60|4037400|10.87|87521|908557|694|C|0.22|0.74|5491800|26|2169718|2248032|0|0|0|Active"/>
    <x v="2"/>
  </r>
  <r>
    <s v="L55504562"/>
    <s v="C6756069"/>
    <x v="362"/>
    <x v="0"/>
    <x v="0"/>
    <x v="4"/>
    <x v="0"/>
    <n v="60"/>
    <n v="485300"/>
    <n v="19.07"/>
    <n v="12608"/>
    <n v="1421544"/>
    <n v="669"/>
    <x v="1"/>
    <n v="0.22"/>
    <n v="0.73"/>
    <n v="0"/>
    <n v="24"/>
    <n v="287182"/>
    <n v="272155"/>
    <n v="0"/>
    <n v="0"/>
    <n v="0"/>
    <x v="2"/>
    <n v="74897600"/>
    <n v="83297251"/>
    <n v="301"/>
    <n v="2.5999999999999999E-2"/>
    <n v="3.1914893617021274E-2"/>
    <n v="7.1090047393364927E-2"/>
    <n v="18.603181818181817"/>
    <x v="2"/>
    <n v="122"/>
    <x v="0"/>
    <n v="302"/>
    <n v="3.6423841059602648E-2"/>
    <s v="lower size (&lt; 9L)"/>
    <n v="0"/>
    <n v="0.13934426229508196"/>
    <s v=" not riskY"/>
    <d v="2023-12-31T00:00:00"/>
    <n v="28085400"/>
    <n v="21.092024539877301"/>
    <s v="Old Loan"/>
    <s v="Q42023"/>
    <n v="58386700"/>
    <s v="L55504562|C6756069|45262|Personal Loan|Online|East|Salaried|60|485300|19.07|12608|1421544|669|C|0.22|0.73|0|24|287182|272155|0|0|0|Active"/>
    <x v="2"/>
  </r>
  <r>
    <s v="L54759706"/>
    <s v="C9629922"/>
    <x v="377"/>
    <x v="3"/>
    <x v="0"/>
    <x v="3"/>
    <x v="0"/>
    <n v="36"/>
    <n v="6928900"/>
    <n v="8.7899999999999991"/>
    <n v="219661"/>
    <n v="1413171"/>
    <n v="717"/>
    <x v="0"/>
    <n v="0.21"/>
    <n v="0.7"/>
    <n v="9892200"/>
    <n v="26"/>
    <n v="5097897"/>
    <n v="2358847"/>
    <n v="0"/>
    <n v="1"/>
    <n v="0"/>
    <x v="1"/>
    <n v="403369500"/>
    <n v="105779369"/>
    <n v="139"/>
    <n v="2.5999999999999999E-2"/>
    <n v="2.6548672566371681E-2"/>
    <n v="7.1090047393364927E-2"/>
    <n v="8.8557142857142868"/>
    <x v="2"/>
    <n v="122"/>
    <x v="0"/>
    <n v="302"/>
    <n v="3.6423841059602648E-2"/>
    <s v="larger size (&gt; 33L)"/>
    <n v="0"/>
    <n v="0.16250000000000001"/>
    <s v=" not riskY"/>
    <d v="2023-10-31T00:00:00"/>
    <n v="25021600"/>
    <n v="20.516129032258064"/>
    <s v="Old Loan"/>
    <s v="Q42023"/>
    <n v="58386700"/>
    <s v="L54759706|C9629922|45202|Home Loan|Online|North|Salaried|36|6928900|8.79|219661|1413171|717|B|0.21|0.7|9892200|26|5097897|2358847|0|1|0|Closed"/>
    <x v="2"/>
  </r>
  <r>
    <s v="L66457795"/>
    <s v="C8354028"/>
    <x v="355"/>
    <x v="1"/>
    <x v="3"/>
    <x v="0"/>
    <x v="1"/>
    <n v="36"/>
    <n v="965600"/>
    <n v="12.89"/>
    <n v="32484"/>
    <n v="380061"/>
    <n v="735"/>
    <x v="0"/>
    <n v="0.19"/>
    <n v="0.74"/>
    <n v="1311500"/>
    <n v="24"/>
    <n v="667104"/>
    <n v="398069"/>
    <n v="0"/>
    <n v="0"/>
    <n v="0"/>
    <x v="2"/>
    <n v="201475100"/>
    <n v="94548000"/>
    <n v="301"/>
    <n v="2.5999999999999999E-2"/>
    <n v="0"/>
    <n v="0.12"/>
    <n v="13.042631578947367"/>
    <x v="3"/>
    <n v="86"/>
    <x v="0"/>
    <n v="302"/>
    <n v="3.6423841059602648E-2"/>
    <s v="medium size (&lt;=33L)"/>
    <n v="0"/>
    <n v="0.15909090909090909"/>
    <s v=" not riskY"/>
    <d v="2023-12-31T00:00:00"/>
    <n v="28085400"/>
    <n v="19.091954022988507"/>
    <s v="Old Loan"/>
    <s v="Q42023"/>
    <n v="58386700"/>
    <s v="L66457795|C8354028|45288|SME Loan|Call Center|South|Contract|36|965600|12.89|32484|380061|735|B|0.19|0.74|1311500|24|667104|398069|0|0|0|Active"/>
    <x v="2"/>
  </r>
  <r>
    <s v="L17594929"/>
    <s v="C5837924"/>
    <x v="378"/>
    <x v="1"/>
    <x v="1"/>
    <x v="3"/>
    <x v="2"/>
    <n v="24"/>
    <n v="1065000"/>
    <n v="14.91"/>
    <n v="51593"/>
    <n v="940943"/>
    <n v="689"/>
    <x v="1"/>
    <n v="0.17"/>
    <n v="0.85"/>
    <n v="1247300"/>
    <n v="24"/>
    <n v="1188546"/>
    <n v="3487"/>
    <n v="0"/>
    <n v="0"/>
    <n v="0"/>
    <x v="1"/>
    <n v="201475100"/>
    <n v="105779369"/>
    <n v="139"/>
    <n v="2.5999999999999999E-2"/>
    <n v="2.6548672566371681E-2"/>
    <n v="5.8201058201058198E-2"/>
    <n v="15.841379310344831"/>
    <x v="3"/>
    <n v="86"/>
    <x v="1"/>
    <n v="141"/>
    <n v="1.4184397163120567E-2"/>
    <s v="medium size (&lt;=33L)"/>
    <n v="0"/>
    <n v="0.15909090909090909"/>
    <s v=" not riskY"/>
    <d v="2023-11-30T00:00:00"/>
    <n v="5279700"/>
    <n v="19.091954022988507"/>
    <s v="Old Loan"/>
    <s v="Q42023"/>
    <n v="58386700"/>
    <s v="L17594929|C5837924|45234|SME Loan|Branch|North|Self-Employed|24|1065000|14.91|51593|940943|689|C|0.17|0.85|1247300|24|1188546|3487|0|0|0|Closed"/>
    <x v="2"/>
  </r>
  <r>
    <s v="L46217292"/>
    <s v="C6387036"/>
    <x v="379"/>
    <x v="1"/>
    <x v="1"/>
    <x v="3"/>
    <x v="0"/>
    <n v="120"/>
    <n v="2097100"/>
    <n v="15.61"/>
    <n v="34621"/>
    <n v="582334"/>
    <n v="698"/>
    <x v="1"/>
    <n v="0.16"/>
    <n v="0.65"/>
    <n v="3210900"/>
    <n v="25"/>
    <n v="797893"/>
    <n v="1572005"/>
    <n v="0"/>
    <n v="0"/>
    <n v="0"/>
    <x v="2"/>
    <n v="201475100"/>
    <n v="105779369"/>
    <n v="301"/>
    <n v="2.5999999999999999E-2"/>
    <n v="2.6548672566371681E-2"/>
    <n v="5.8201058201058198E-2"/>
    <n v="15.841379310344831"/>
    <x v="3"/>
    <n v="86"/>
    <x v="0"/>
    <n v="302"/>
    <n v="3.6423841059602648E-2"/>
    <s v="medium size (&lt;=33L)"/>
    <n v="0"/>
    <n v="0.15909090909090909"/>
    <s v=" not riskY"/>
    <d v="2023-11-30T00:00:00"/>
    <n v="5279700"/>
    <n v="19.091954022988507"/>
    <s v="Old Loan"/>
    <s v="Q42023"/>
    <n v="58386700"/>
    <s v="L46217292|C6387036|45259|SME Loan|Branch|North|Salaried|120|2097100|15.61|34621|582334|698|C|0.16|0.65|3210900|25|797893|1572005|0|0|0|Active"/>
    <x v="2"/>
  </r>
  <r>
    <s v="L49169500"/>
    <s v="C9123878"/>
    <x v="377"/>
    <x v="2"/>
    <x v="0"/>
    <x v="3"/>
    <x v="0"/>
    <n v="48"/>
    <n v="433900"/>
    <n v="9.5500000000000007"/>
    <n v="10911"/>
    <n v="1265974"/>
    <n v="722"/>
    <x v="0"/>
    <n v="0.16"/>
    <n v="0.76"/>
    <n v="570200"/>
    <n v="26"/>
    <n v="282776"/>
    <n v="187036"/>
    <n v="5"/>
    <n v="0"/>
    <n v="0"/>
    <x v="2"/>
    <n v="92273000"/>
    <n v="105779369"/>
    <n v="301"/>
    <n v="2.5999999999999999E-2"/>
    <n v="2.6548672566371681E-2"/>
    <n v="7.1090047393364927E-2"/>
    <n v="10.611923076923079"/>
    <x v="3"/>
    <n v="86"/>
    <x v="0"/>
    <n v="302"/>
    <n v="3.6423841059602648E-2"/>
    <s v="lower size (&lt; 9L)"/>
    <n v="0"/>
    <n v="0.13934426229508196"/>
    <s v=" not riskY"/>
    <d v="2023-10-31T00:00:00"/>
    <n v="25021600"/>
    <n v="20.262135922330096"/>
    <s v="Old Loan"/>
    <s v="Q42023"/>
    <n v="58386700"/>
    <s v="L49169500|C9123878|45202|Auto Loan|Online|North|Salaried|48|433900|9.55|10911|1265974|722|B|0.16|0.76|570200|26|282776|187036|5|0|0|Active"/>
    <x v="2"/>
  </r>
  <r>
    <s v="L78502573"/>
    <s v="C1599029"/>
    <x v="380"/>
    <x v="4"/>
    <x v="1"/>
    <x v="3"/>
    <x v="0"/>
    <n v="12"/>
    <n v="388300"/>
    <n v="14.01"/>
    <n v="34866"/>
    <n v="440391"/>
    <n v="688"/>
    <x v="1"/>
    <n v="0.15"/>
    <n v="0.91"/>
    <n v="0"/>
    <n v="12"/>
    <n v="383017"/>
    <n v="27043"/>
    <n v="0"/>
    <n v="0"/>
    <n v="0"/>
    <x v="1"/>
    <n v="62765800"/>
    <n v="105779369"/>
    <n v="139"/>
    <n v="2.5999999999999999E-2"/>
    <n v="2.6548672566371681E-2"/>
    <n v="5.8201058201058198E-2"/>
    <n v="13.463888888888889"/>
    <x v="3"/>
    <n v="86"/>
    <x v="1"/>
    <n v="141"/>
    <n v="1.4184397163120567E-2"/>
    <s v="lower size (&lt; 9L)"/>
    <n v="0"/>
    <n v="0.13934426229508196"/>
    <s v=" not riskY"/>
    <d v="2023-12-31T00:00:00"/>
    <n v="28085400"/>
    <n v="21.962962962962962"/>
    <s v="Old Loan"/>
    <s v="Q42023"/>
    <n v="58386700"/>
    <s v="L78502573|C1599029|45268|Education Loan|Branch|North|Salaried|12|388300|14.01|34866|440391|688|C|0.15|0.91|0|12|383017|27043|0|0|0|Closed"/>
    <x v="2"/>
  </r>
  <r>
    <s v="L42963718"/>
    <s v="C6545491"/>
    <x v="381"/>
    <x v="0"/>
    <x v="3"/>
    <x v="3"/>
    <x v="0"/>
    <n v="36"/>
    <n v="444500"/>
    <n v="16.489999999999998"/>
    <n v="15735"/>
    <n v="845252"/>
    <n v="714"/>
    <x v="0"/>
    <n v="0.14000000000000001"/>
    <n v="0.5"/>
    <n v="0"/>
    <n v="25"/>
    <n v="380243"/>
    <n v="125339"/>
    <n v="0"/>
    <n v="0"/>
    <n v="0"/>
    <x v="2"/>
    <n v="74897600"/>
    <n v="105779369"/>
    <n v="301"/>
    <n v="2.5999999999999999E-2"/>
    <n v="2.6548672566371681E-2"/>
    <n v="0.12"/>
    <n v="16.500166666666669"/>
    <x v="3"/>
    <n v="86"/>
    <x v="2"/>
    <n v="57"/>
    <n v="0"/>
    <s v="lower size (&lt; 9L)"/>
    <n v="0"/>
    <n v="0.13934426229508196"/>
    <s v=" not riskY"/>
    <d v="2023-11-30T00:00:00"/>
    <n v="5279700"/>
    <n v="21.092024539877301"/>
    <s v="Old Loan"/>
    <s v="Q42023"/>
    <n v="58386700"/>
    <s v="L42963718|C6545491|45244|Personal Loan|Call Center|North|Salaried|36|444500|16.49|15735|845252|714|B|0.14|0.5|0|25|380243|125339|0|0|0|Active"/>
    <x v="2"/>
  </r>
  <r>
    <s v="L14041955"/>
    <s v="C9668691"/>
    <x v="382"/>
    <x v="1"/>
    <x v="0"/>
    <x v="3"/>
    <x v="3"/>
    <n v="12"/>
    <n v="4548700"/>
    <n v="13.39"/>
    <n v="407110"/>
    <n v="1096115"/>
    <n v="719"/>
    <x v="0"/>
    <n v="0.12"/>
    <n v="0.71"/>
    <n v="6442800"/>
    <n v="12"/>
    <n v="4922349"/>
    <n v="0"/>
    <n v="10"/>
    <n v="0"/>
    <n v="0"/>
    <x v="1"/>
    <n v="201475100"/>
    <n v="105779369"/>
    <n v="139"/>
    <n v="2.5999999999999999E-2"/>
    <n v="2.6548672566371681E-2"/>
    <n v="7.1090047393364927E-2"/>
    <n v="13.042631578947367"/>
    <x v="3"/>
    <n v="86"/>
    <x v="0"/>
    <n v="302"/>
    <n v="3.6423841059602648E-2"/>
    <s v="larger size (&gt; 33L)"/>
    <n v="0"/>
    <n v="0.16250000000000001"/>
    <s v=" not riskY"/>
    <d v="2023-12-31T00:00:00"/>
    <n v="28085400"/>
    <n v="19.091954022988507"/>
    <s v="Old Loan"/>
    <s v="Q42023"/>
    <n v="58386700"/>
    <s v="L14041955|C9668691|45270|SME Loan|Online|North|Unemployed|12|4548700|13.39|407110|1096115|719|B|0.12|0.71|6442800|12|4922349|0|10|0|0|Closed"/>
    <x v="2"/>
  </r>
  <r>
    <s v="L11945087"/>
    <s v="C1108824"/>
    <x v="383"/>
    <x v="0"/>
    <x v="1"/>
    <x v="1"/>
    <x v="0"/>
    <n v="240"/>
    <n v="635600"/>
    <n v="15.61"/>
    <n v="8657"/>
    <n v="1256829"/>
    <n v="722"/>
    <x v="0"/>
    <n v="0.66"/>
    <n v="0.77"/>
    <n v="0"/>
    <n v="12"/>
    <n v="93530"/>
    <n v="581757"/>
    <n v="0"/>
    <n v="0"/>
    <n v="0"/>
    <x v="2"/>
    <n v="74897600"/>
    <n v="83903255"/>
    <n v="301"/>
    <n v="2.5999999999999999E-2"/>
    <n v="4.2553191489361701E-2"/>
    <n v="5.8201058201058198E-2"/>
    <n v="16.500166666666669"/>
    <x v="0"/>
    <n v="32"/>
    <x v="0"/>
    <n v="302"/>
    <n v="3.6423841059602648E-2"/>
    <s v="lower size (&lt; 9L)"/>
    <n v="0"/>
    <n v="0.13934426229508196"/>
    <s v="high risk"/>
    <d v="2024-12-31T00:00:00"/>
    <n v="19904900"/>
    <n v="21.092024539877301"/>
    <s v="Old Loan"/>
    <s v="Q42024"/>
    <n v="53441200"/>
    <s v="L11945087|C1108824|45648|Personal Loan|Branch|West|Salaried|240|635600|15.61|8657|1256829|722|B|0.66|0.77|0|12|93530|581757|0|0|0|Active"/>
    <x v="2"/>
  </r>
  <r>
    <s v="L51688531"/>
    <s v="C4767474"/>
    <x v="384"/>
    <x v="2"/>
    <x v="1"/>
    <x v="1"/>
    <x v="0"/>
    <n v="24"/>
    <n v="873600"/>
    <n v="18.670000000000002"/>
    <n v="43897"/>
    <n v="1027921"/>
    <n v="576"/>
    <x v="4"/>
    <n v="0.56000000000000005"/>
    <n v="0.67"/>
    <n v="1296900"/>
    <n v="13"/>
    <n v="488838"/>
    <n v="455439"/>
    <n v="30"/>
    <n v="0"/>
    <n v="0"/>
    <x v="0"/>
    <n v="92273000"/>
    <n v="83903255"/>
    <n v="47"/>
    <n v="2.5999999999999999E-2"/>
    <n v="4.2553191489361701E-2"/>
    <n v="5.8201058201058198E-2"/>
    <n v="17.744166666666668"/>
    <x v="0"/>
    <n v="32"/>
    <x v="0"/>
    <n v="302"/>
    <n v="3.6423841059602648E-2"/>
    <s v="lower size (&lt; 9L)"/>
    <n v="1"/>
    <n v="0.13934426229508196"/>
    <s v="high risk"/>
    <d v="2024-11-30T00:00:00"/>
    <n v="18553400"/>
    <n v="20.262135922330096"/>
    <s v="Old Loan"/>
    <s v="Q42024"/>
    <n v="53441200"/>
    <s v="L51688531|C4767474|45611|Auto Loan|Branch|West|Salaried|24|873600|18.67|43897|1027921|576|E|0.56|0.67|1296900|13|488838|455439|30|0|0|Delinquent"/>
    <x v="2"/>
  </r>
  <r>
    <s v="L48971371"/>
    <s v="C3418227"/>
    <x v="385"/>
    <x v="4"/>
    <x v="1"/>
    <x v="0"/>
    <x v="0"/>
    <n v="36"/>
    <n v="316400"/>
    <n v="14.32"/>
    <n v="10863"/>
    <n v="1089396"/>
    <n v="671"/>
    <x v="1"/>
    <n v="0.55000000000000004"/>
    <n v="0.73"/>
    <n v="0"/>
    <n v="13"/>
    <n v="133783"/>
    <n v="202251"/>
    <n v="5"/>
    <n v="0"/>
    <n v="0"/>
    <x v="2"/>
    <n v="62765800"/>
    <n v="94548000"/>
    <n v="301"/>
    <n v="2.5999999999999999E-2"/>
    <n v="0"/>
    <n v="5.8201058201058198E-2"/>
    <n v="13.463888888888889"/>
    <x v="0"/>
    <n v="32"/>
    <x v="0"/>
    <n v="302"/>
    <n v="3.6423841059602648E-2"/>
    <s v="lower size (&lt; 9L)"/>
    <n v="0"/>
    <n v="0.13934426229508196"/>
    <s v="high risk"/>
    <d v="2024-11-30T00:00:00"/>
    <n v="18553400"/>
    <n v="21.962962962962962"/>
    <s v="Old Loan"/>
    <s v="Q42024"/>
    <n v="53441200"/>
    <s v="L48971371|C3418227|45610|Education Loan|Branch|South|Salaried|36|316400|14.32|10863|1089396|671|C|0.55|0.73|0|13|133783|202251|5|0|0|Active"/>
    <x v="2"/>
  </r>
  <r>
    <s v="L34826252"/>
    <s v="C6733664"/>
    <x v="386"/>
    <x v="0"/>
    <x v="0"/>
    <x v="4"/>
    <x v="0"/>
    <n v="36"/>
    <n v="50000"/>
    <n v="19.98"/>
    <n v="1858"/>
    <n v="770251"/>
    <n v="652"/>
    <x v="1"/>
    <n v="0.49"/>
    <n v="0.79"/>
    <n v="0"/>
    <n v="13"/>
    <n v="21110"/>
    <n v="33219"/>
    <n v="0"/>
    <n v="0"/>
    <n v="0"/>
    <x v="2"/>
    <n v="74897600"/>
    <n v="83297251"/>
    <n v="301"/>
    <n v="2.5999999999999999E-2"/>
    <n v="3.1914893617021274E-2"/>
    <n v="7.1090047393364927E-2"/>
    <n v="18.603181818181817"/>
    <x v="1"/>
    <n v="260"/>
    <x v="0"/>
    <n v="302"/>
    <n v="3.6423841059602648E-2"/>
    <s v="lower size (&lt; 9L)"/>
    <n v="0"/>
    <n v="0.13934426229508196"/>
    <s v=" not riskY"/>
    <d v="2024-11-30T00:00:00"/>
    <n v="18553400"/>
    <n v="21.092024539877301"/>
    <s v="Old Loan"/>
    <s v="Q42024"/>
    <n v="53441200"/>
    <s v="L34826252|C6733664|45619|Personal Loan|Online|East|Salaried|36|50000|19.98|1858|770251|652|C|0.49|0.79|0|13|21110|33219|0|0|0|Active"/>
    <x v="2"/>
  </r>
  <r>
    <s v="L64647678"/>
    <s v="C9514243"/>
    <x v="387"/>
    <x v="0"/>
    <x v="0"/>
    <x v="2"/>
    <x v="2"/>
    <n v="180"/>
    <n v="478900"/>
    <n v="14.16"/>
    <n v="6429"/>
    <n v="825116"/>
    <n v="759"/>
    <x v="3"/>
    <n v="0.48"/>
    <n v="0.77"/>
    <n v="0"/>
    <n v="14"/>
    <n v="80377"/>
    <n v="430169"/>
    <n v="45"/>
    <n v="0"/>
    <n v="0"/>
    <x v="0"/>
    <n v="74897600"/>
    <n v="98928695"/>
    <n v="47"/>
    <n v="2.5999999999999999E-2"/>
    <n v="2.8571428571428571E-2"/>
    <n v="7.1090047393364927E-2"/>
    <n v="13.328333333333335"/>
    <x v="1"/>
    <n v="260"/>
    <x v="0"/>
    <n v="302"/>
    <n v="3.6423841059602648E-2"/>
    <s v="lower size (&lt; 9L)"/>
    <n v="1"/>
    <n v="0.13934426229508196"/>
    <s v="high risk"/>
    <d v="2024-10-31T00:00:00"/>
    <n v="14982900"/>
    <n v="21.092024539877301"/>
    <s v="Old Loan"/>
    <s v="Q42024"/>
    <n v="53441200"/>
    <s v="L64647678|C9514243|45567|Personal Loan|Online|Central|Self-Employed|180|478900|14.16|6429|825116|759|A|0.48|0.77|0|14|80377|430169|45|0|0|Delinquent"/>
    <x v="2"/>
  </r>
  <r>
    <s v="L76295562"/>
    <s v="C7706693"/>
    <x v="388"/>
    <x v="3"/>
    <x v="0"/>
    <x v="4"/>
    <x v="0"/>
    <n v="60"/>
    <n v="3418900"/>
    <n v="10.91"/>
    <n v="74182"/>
    <n v="1004621"/>
    <n v="670"/>
    <x v="1"/>
    <n v="0.47"/>
    <n v="0.75"/>
    <n v="4540300"/>
    <n v="12"/>
    <n v="880043"/>
    <n v="2688058"/>
    <n v="0"/>
    <n v="0"/>
    <n v="0"/>
    <x v="2"/>
    <n v="403369500"/>
    <n v="83297251"/>
    <n v="301"/>
    <n v="2.5999999999999999E-2"/>
    <n v="3.1914893617021274E-2"/>
    <n v="7.1090047393364927E-2"/>
    <n v="11.719736842105268"/>
    <x v="1"/>
    <n v="260"/>
    <x v="0"/>
    <n v="302"/>
    <n v="3.6423841059602648E-2"/>
    <s v="larger size (&gt; 33L)"/>
    <n v="0"/>
    <n v="0.16250000000000001"/>
    <s v=" not riskY"/>
    <d v="2024-12-31T00:00:00"/>
    <n v="19904900"/>
    <n v="20.516129032258064"/>
    <s v="Old Loan"/>
    <s v="Q42024"/>
    <n v="53441200"/>
    <s v="L76295562|C7706693|45637|Home Loan|Online|East|Salaried|60|3418900|10.91|74182|1004621|670|C|0.47|0.75|4540300|12|880043|2688058|0|0|0|Active"/>
    <x v="2"/>
  </r>
  <r>
    <s v="L87246216"/>
    <s v="C7381325"/>
    <x v="389"/>
    <x v="2"/>
    <x v="2"/>
    <x v="4"/>
    <x v="0"/>
    <n v="120"/>
    <n v="390900"/>
    <n v="15.54"/>
    <n v="6436"/>
    <n v="864896"/>
    <n v="604"/>
    <x v="2"/>
    <n v="0.42"/>
    <n v="0.64"/>
    <n v="615400"/>
    <n v="14"/>
    <n v="91782"/>
    <n v="327466"/>
    <n v="60"/>
    <n v="0"/>
    <n v="0"/>
    <x v="0"/>
    <n v="92273000"/>
    <n v="83297251"/>
    <n v="47"/>
    <n v="2.5999999999999999E-2"/>
    <n v="3.1914893617021274E-2"/>
    <n v="0.1"/>
    <n v="15.092000000000001"/>
    <x v="1"/>
    <n v="260"/>
    <x v="0"/>
    <n v="302"/>
    <n v="3.6423841059602648E-2"/>
    <s v="lower size (&lt; 9L)"/>
    <n v="1"/>
    <n v="0.13934426229508196"/>
    <s v="high risk"/>
    <d v="2024-10-31T00:00:00"/>
    <n v="14982900"/>
    <n v="20.262135922330096"/>
    <s v="Old Loan"/>
    <s v="Q42024"/>
    <n v="53441200"/>
    <s v="L87246216|C7381325|45571|Auto Loan|Partner|East|Salaried|120|390900|15.54|6436|864896|604|D|0.42|0.64|615400|14|91782|327466|60|0|0|Delinquent"/>
    <x v="2"/>
  </r>
  <r>
    <s v="L37355508"/>
    <s v="C3119015"/>
    <x v="390"/>
    <x v="1"/>
    <x v="1"/>
    <x v="2"/>
    <x v="0"/>
    <n v="24"/>
    <n v="2149400"/>
    <n v="17.36"/>
    <n v="106643"/>
    <n v="553113"/>
    <n v="660"/>
    <x v="1"/>
    <n v="0.4"/>
    <n v="0.88"/>
    <n v="2431500"/>
    <n v="13"/>
    <n v="1349877"/>
    <n v="961215"/>
    <n v="45"/>
    <n v="0"/>
    <n v="0"/>
    <x v="0"/>
    <n v="201475100"/>
    <n v="98928695"/>
    <n v="47"/>
    <n v="2.5999999999999999E-2"/>
    <n v="2.8571428571428571E-2"/>
    <n v="5.8201058201058198E-2"/>
    <n v="15.841379310344831"/>
    <x v="1"/>
    <n v="260"/>
    <x v="1"/>
    <n v="141"/>
    <n v="1.4184397163120567E-2"/>
    <s v="medium size (&lt;=33L)"/>
    <n v="1"/>
    <n v="0.15909090909090909"/>
    <s v="high risk"/>
    <d v="2024-11-30T00:00:00"/>
    <n v="18553400"/>
    <n v="19.091954022988507"/>
    <s v="Old Loan"/>
    <s v="Q42024"/>
    <n v="53441200"/>
    <s v="L37355508|C3119015|45598|SME Loan|Branch|Central|Salaried|24|2149400|17.36|106643|553113|660|C|0.4|0.88|2431500|13|1349877|961215|45|0|0|Delinquent"/>
    <x v="2"/>
  </r>
  <r>
    <s v="L11757159"/>
    <s v="C7968892"/>
    <x v="391"/>
    <x v="0"/>
    <x v="0"/>
    <x v="0"/>
    <x v="0"/>
    <n v="180"/>
    <n v="386100"/>
    <n v="17.32"/>
    <n v="6030"/>
    <n v="1078031"/>
    <n v="702"/>
    <x v="0"/>
    <n v="0.39"/>
    <n v="0.78"/>
    <n v="0"/>
    <n v="12"/>
    <n v="67656"/>
    <n v="345193"/>
    <n v="0"/>
    <n v="0"/>
    <n v="0"/>
    <x v="2"/>
    <n v="74897600"/>
    <n v="94548000"/>
    <n v="301"/>
    <n v="2.5999999999999999E-2"/>
    <n v="0"/>
    <n v="7.1090047393364927E-2"/>
    <n v="16.500166666666669"/>
    <x v="1"/>
    <n v="260"/>
    <x v="0"/>
    <n v="302"/>
    <n v="3.6423841059602648E-2"/>
    <s v="lower size (&lt; 9L)"/>
    <n v="0"/>
    <n v="0.13934426229508196"/>
    <s v=" not riskY"/>
    <d v="2024-12-31T00:00:00"/>
    <n v="19904900"/>
    <n v="21.092024539877301"/>
    <s v="Old Loan"/>
    <s v="Q42024"/>
    <n v="53441200"/>
    <s v="L11757159|C7968892|45634|Personal Loan|Online|South|Salaried|180|386100|17.32|6030|1078031|702|B|0.39|0.78|0|12|67656|345193|0|0|0|Active"/>
    <x v="2"/>
  </r>
  <r>
    <s v="L93027505"/>
    <s v="C9002049"/>
    <x v="392"/>
    <x v="3"/>
    <x v="0"/>
    <x v="2"/>
    <x v="0"/>
    <n v="360"/>
    <n v="3166500"/>
    <n v="11.37"/>
    <n v="31044"/>
    <n v="1216841"/>
    <n v="672"/>
    <x v="1"/>
    <n v="0.39"/>
    <n v="0.63"/>
    <n v="5017800"/>
    <n v="12"/>
    <n v="332312"/>
    <n v="2978200"/>
    <n v="30"/>
    <n v="0"/>
    <n v="0"/>
    <x v="0"/>
    <n v="403369500"/>
    <n v="98928695"/>
    <n v="47"/>
    <n v="2.5999999999999999E-2"/>
    <n v="2.8571428571428571E-2"/>
    <n v="7.1090047393364927E-2"/>
    <n v="11.719736842105268"/>
    <x v="1"/>
    <n v="260"/>
    <x v="0"/>
    <n v="302"/>
    <n v="3.6423841059602648E-2"/>
    <s v="medium size (&lt;=33L)"/>
    <n v="1"/>
    <n v="0.15909090909090909"/>
    <s v="high risk"/>
    <d v="2024-12-31T00:00:00"/>
    <n v="19904900"/>
    <n v="20.516129032258064"/>
    <s v="Old Loan"/>
    <s v="Q42024"/>
    <n v="53441200"/>
    <s v="L93027505|C9002049|45638|Home Loan|Online|Central|Salaried|360|3166500|11.37|31044|1216841|672|C|0.39|0.63|5017800|12|332312|2978200|30|0|0|Delinquent"/>
    <x v="2"/>
  </r>
  <r>
    <s v="L81611197"/>
    <s v="C3540503"/>
    <x v="393"/>
    <x v="2"/>
    <x v="3"/>
    <x v="4"/>
    <x v="0"/>
    <n v="12"/>
    <n v="574000"/>
    <n v="15.08"/>
    <n v="51830"/>
    <n v="903844"/>
    <n v="649"/>
    <x v="2"/>
    <n v="0.37"/>
    <n v="0.94"/>
    <n v="613200"/>
    <n v="12"/>
    <n v="587088"/>
    <n v="21536"/>
    <n v="0"/>
    <n v="0"/>
    <n v="0"/>
    <x v="1"/>
    <n v="92273000"/>
    <n v="83297251"/>
    <n v="139"/>
    <n v="2.5999999999999999E-2"/>
    <n v="3.1914893617021274E-2"/>
    <n v="0.12"/>
    <n v="15.092000000000001"/>
    <x v="1"/>
    <n v="260"/>
    <x v="1"/>
    <n v="141"/>
    <n v="1.4184397163120567E-2"/>
    <s v="lower size (&lt; 9L)"/>
    <n v="0"/>
    <n v="0.13934426229508196"/>
    <s v=" not riskY"/>
    <d v="2024-12-31T00:00:00"/>
    <n v="19904900"/>
    <n v="20.262135922330096"/>
    <s v="Old Loan"/>
    <s v="Q42024"/>
    <n v="53441200"/>
    <s v="L81611197|C3540503|45643|Auto Loan|Call Center|East|Salaried|12|574000|15.08|51830|903844|649|D|0.37|0.94|613200|12|587088|21536|0|0|0|Closed"/>
    <x v="2"/>
  </r>
  <r>
    <s v="L71474405"/>
    <s v="C2633485"/>
    <x v="394"/>
    <x v="1"/>
    <x v="0"/>
    <x v="3"/>
    <x v="0"/>
    <n v="12"/>
    <n v="1148500"/>
    <n v="10.44"/>
    <n v="101207"/>
    <n v="1025579"/>
    <n v="759"/>
    <x v="3"/>
    <n v="0.37"/>
    <n v="0.8"/>
    <n v="1433700"/>
    <n v="12"/>
    <n v="1078722"/>
    <n v="117739"/>
    <n v="45"/>
    <n v="0"/>
    <n v="0"/>
    <x v="1"/>
    <n v="201475100"/>
    <n v="105779369"/>
    <n v="139"/>
    <n v="2.5999999999999999E-2"/>
    <n v="2.6548672566371681E-2"/>
    <n v="7.1090047393364927E-2"/>
    <n v="10.537499999999998"/>
    <x v="1"/>
    <n v="260"/>
    <x v="0"/>
    <n v="302"/>
    <n v="3.6423841059602648E-2"/>
    <s v="medium size (&lt;=33L)"/>
    <n v="1"/>
    <n v="0.15909090909090909"/>
    <s v="high risk"/>
    <d v="2024-10-31T00:00:00"/>
    <n v="14982900"/>
    <n v="19.091954022988507"/>
    <s v="Old Loan"/>
    <s v="Q42024"/>
    <n v="53441200"/>
    <s v="L71474405|C2633485|45570|SME Loan|Online|North|Salaried|12|1148500|10.44|101207|1025579|759|A|0.37|0.8|1433700|12|1078722|117739|45|0|0|Closed"/>
    <x v="2"/>
  </r>
  <r>
    <s v="L17132816"/>
    <s v="C5429378"/>
    <x v="395"/>
    <x v="3"/>
    <x v="1"/>
    <x v="2"/>
    <x v="1"/>
    <n v="48"/>
    <n v="3448700"/>
    <n v="9.0500000000000007"/>
    <n v="85903"/>
    <n v="654971"/>
    <n v="726"/>
    <x v="0"/>
    <n v="0.37"/>
    <n v="0.56999999999999995"/>
    <n v="6078400"/>
    <n v="13"/>
    <n v="1003592"/>
    <n v="2580355"/>
    <n v="0"/>
    <n v="0"/>
    <n v="0"/>
    <x v="2"/>
    <n v="403369500"/>
    <n v="98928695"/>
    <n v="301"/>
    <n v="2.5999999999999999E-2"/>
    <n v="2.8571428571428571E-2"/>
    <n v="5.8201058201058198E-2"/>
    <n v="8.8557142857142868"/>
    <x v="1"/>
    <n v="260"/>
    <x v="2"/>
    <n v="57"/>
    <n v="0"/>
    <s v="larger size (&gt; 33L)"/>
    <n v="0"/>
    <n v="0.16250000000000001"/>
    <s v=" not riskY"/>
    <d v="2024-11-30T00:00:00"/>
    <n v="18553400"/>
    <n v="20.516129032258064"/>
    <s v="Old Loan"/>
    <s v="Q42024"/>
    <n v="53441200"/>
    <s v="L17132816|C5429378|45609|Home Loan|Branch|Central|Contract|48|3448700|9.05|85903|654971|726|B|0.37|0.57|6078400|13|1003592|2580355|0|0|0|Active"/>
    <x v="2"/>
  </r>
  <r>
    <s v="L96270329"/>
    <s v="C8617031"/>
    <x v="396"/>
    <x v="1"/>
    <x v="1"/>
    <x v="0"/>
    <x v="2"/>
    <n v="360"/>
    <n v="3528000"/>
    <n v="7.69"/>
    <n v="25129"/>
    <n v="1263779"/>
    <n v="835"/>
    <x v="3"/>
    <n v="0.37"/>
    <n v="0.96"/>
    <n v="3661700"/>
    <n v="12"/>
    <n v="305260"/>
    <n v="3331261"/>
    <n v="45"/>
    <n v="1"/>
    <n v="0"/>
    <x v="1"/>
    <n v="201475100"/>
    <n v="94548000"/>
    <n v="139"/>
    <n v="2.5999999999999999E-2"/>
    <n v="0"/>
    <n v="5.8201058201058198E-2"/>
    <n v="10.537499999999998"/>
    <x v="1"/>
    <n v="260"/>
    <x v="1"/>
    <n v="141"/>
    <n v="1.4184397163120567E-2"/>
    <s v="larger size (&gt; 33L)"/>
    <n v="1"/>
    <n v="0.16250000000000001"/>
    <s v="high risk"/>
    <d v="2024-12-31T00:00:00"/>
    <n v="19904900"/>
    <n v="19.091954022988507"/>
    <s v="Old Loan"/>
    <s v="Q42024"/>
    <n v="53441200"/>
    <s v="L96270329|C8617031|45652|SME Loan|Branch|South|Self-Employed|360|3528000|7.69|25129|1263779|835|A|0.37|0.96|3661700|12|305260|3331261|45|1|0|Closed"/>
    <x v="2"/>
  </r>
  <r>
    <s v="L31560200"/>
    <s v="C8015297"/>
    <x v="397"/>
    <x v="3"/>
    <x v="0"/>
    <x v="3"/>
    <x v="2"/>
    <n v="240"/>
    <n v="5254000"/>
    <n v="11.91"/>
    <n v="57522"/>
    <n v="1042705"/>
    <n v="682"/>
    <x v="1"/>
    <n v="0.36"/>
    <n v="0.72"/>
    <n v="7293700"/>
    <n v="12"/>
    <n v="617932"/>
    <n v="4886369"/>
    <n v="0"/>
    <n v="0"/>
    <n v="0"/>
    <x v="2"/>
    <n v="403369500"/>
    <n v="105779369"/>
    <n v="301"/>
    <n v="2.5999999999999999E-2"/>
    <n v="2.6548672566371681E-2"/>
    <n v="7.1090047393364927E-2"/>
    <n v="11.719736842105268"/>
    <x v="1"/>
    <n v="260"/>
    <x v="0"/>
    <n v="302"/>
    <n v="3.6423841059602648E-2"/>
    <s v="larger size (&gt; 33L)"/>
    <n v="0"/>
    <n v="0.16250000000000001"/>
    <s v=" not riskY"/>
    <d v="2024-12-31T00:00:00"/>
    <n v="19904900"/>
    <n v="20.516129032258064"/>
    <s v="Old Loan"/>
    <s v="Q42024"/>
    <n v="53441200"/>
    <s v="L31560200|C8015297|45642|Home Loan|Online|North|Self-Employed|240|5254000|11.91|57522|1042705|682|C|0.36|0.72|7293700|12|617932|4886369|0|0|0|Active"/>
    <x v="2"/>
  </r>
  <r>
    <s v="L78780650"/>
    <s v="C6151874"/>
    <x v="398"/>
    <x v="0"/>
    <x v="3"/>
    <x v="4"/>
    <x v="0"/>
    <n v="240"/>
    <n v="216300"/>
    <n v="21.38"/>
    <n v="3910"/>
    <n v="235765"/>
    <n v="631"/>
    <x v="2"/>
    <n v="0.35"/>
    <n v="0.93"/>
    <n v="0"/>
    <n v="14"/>
    <n v="53218"/>
    <n v="184663"/>
    <n v="0"/>
    <n v="0"/>
    <n v="0"/>
    <x v="2"/>
    <n v="74897600"/>
    <n v="83297251"/>
    <n v="301"/>
    <n v="2.5999999999999999E-2"/>
    <n v="3.1914893617021274E-2"/>
    <n v="0.12"/>
    <n v="20.962592592592593"/>
    <x v="1"/>
    <n v="260"/>
    <x v="1"/>
    <n v="141"/>
    <n v="1.4184397163120567E-2"/>
    <s v="lower size (&lt; 9L)"/>
    <n v="0"/>
    <n v="0.13934426229508196"/>
    <s v=" not riskY"/>
    <d v="2024-10-31T00:00:00"/>
    <n v="14982900"/>
    <n v="21.092024539877301"/>
    <s v="Old Loan"/>
    <s v="Q42024"/>
    <n v="53441200"/>
    <s v="L78780650|C6151874|45592|Personal Loan|Call Center|East|Salaried|240|216300|21.38|3910|235765|631|D|0.35|0.93|0|14|53218|184663|0|0|0|Active"/>
    <x v="2"/>
  </r>
  <r>
    <s v="L47633942"/>
    <s v="C9560751"/>
    <x v="399"/>
    <x v="4"/>
    <x v="1"/>
    <x v="3"/>
    <x v="0"/>
    <n v="60"/>
    <n v="704200"/>
    <n v="8.84"/>
    <n v="14563"/>
    <n v="519888"/>
    <n v="755"/>
    <x v="3"/>
    <n v="0.35"/>
    <n v="0.69"/>
    <n v="0"/>
    <n v="14"/>
    <n v="179802"/>
    <n v="553449"/>
    <n v="10"/>
    <n v="0"/>
    <n v="0"/>
    <x v="2"/>
    <n v="62765800"/>
    <n v="105779369"/>
    <n v="301"/>
    <n v="2.5999999999999999E-2"/>
    <n v="2.6548672566371681E-2"/>
    <n v="5.8201058201058198E-2"/>
    <n v="8.5057142857142871"/>
    <x v="1"/>
    <n v="260"/>
    <x v="0"/>
    <n v="302"/>
    <n v="3.6423841059602648E-2"/>
    <s v="lower size (&lt; 9L)"/>
    <n v="0"/>
    <n v="0.13934426229508196"/>
    <s v=" not riskY"/>
    <d v="2024-10-31T00:00:00"/>
    <n v="14982900"/>
    <n v="21.962962962962962"/>
    <s v="Old Loan"/>
    <s v="Q42024"/>
    <n v="53441200"/>
    <s v="L47633942|C9560751|45581|Education Loan|Branch|North|Salaried|60|704200|8.84|14563|519888|755|A|0.35|0.69|0|14|179802|553449|10|0|0|Active"/>
    <x v="2"/>
  </r>
  <r>
    <s v="L18150978"/>
    <s v="C4415176"/>
    <x v="396"/>
    <x v="0"/>
    <x v="0"/>
    <x v="3"/>
    <x v="1"/>
    <n v="60"/>
    <n v="53300"/>
    <n v="23.37"/>
    <n v="1514"/>
    <n v="562679"/>
    <n v="578"/>
    <x v="4"/>
    <n v="0.34"/>
    <n v="0.68"/>
    <n v="0"/>
    <n v="12"/>
    <n v="16311"/>
    <n v="41971"/>
    <n v="45"/>
    <n v="0"/>
    <n v="0"/>
    <x v="0"/>
    <n v="74897600"/>
    <n v="105779369"/>
    <n v="47"/>
    <n v="2.5999999999999999E-2"/>
    <n v="2.6548672566371681E-2"/>
    <n v="7.1090047393364927E-2"/>
    <n v="23.803750000000001"/>
    <x v="1"/>
    <n v="260"/>
    <x v="0"/>
    <n v="302"/>
    <n v="3.6423841059602648E-2"/>
    <s v="lower size (&lt; 9L)"/>
    <n v="1"/>
    <n v="0.13934426229508196"/>
    <s v="high risk"/>
    <d v="2024-12-31T00:00:00"/>
    <n v="19904900"/>
    <n v="21.092024539877301"/>
    <s v="Old Loan"/>
    <s v="Q42024"/>
    <n v="53441200"/>
    <s v="L18150978|C4415176|45652|Personal Loan|Online|North|Contract|60|53300|23.37|1514|562679|578|E|0.34|0.68|0|12|16311|41971|45|0|0|Delinquent"/>
    <x v="3"/>
  </r>
  <r>
    <s v="L24870617"/>
    <s v="C8478946"/>
    <x v="400"/>
    <x v="3"/>
    <x v="1"/>
    <x v="4"/>
    <x v="1"/>
    <n v="36"/>
    <n v="6123600"/>
    <n v="9.5399999999999991"/>
    <n v="196271"/>
    <n v="1382208"/>
    <n v="704"/>
    <x v="0"/>
    <n v="0.33"/>
    <n v="0.9"/>
    <n v="6837700"/>
    <n v="14"/>
    <n v="2554236"/>
    <n v="3841987"/>
    <n v="0"/>
    <n v="0"/>
    <n v="0"/>
    <x v="2"/>
    <n v="403369500"/>
    <n v="83297251"/>
    <n v="301"/>
    <n v="2.5999999999999999E-2"/>
    <n v="3.1914893617021274E-2"/>
    <n v="5.8201058201058198E-2"/>
    <n v="8.8557142857142868"/>
    <x v="1"/>
    <n v="260"/>
    <x v="1"/>
    <n v="141"/>
    <n v="1.4184397163120567E-2"/>
    <s v="larger size (&gt; 33L)"/>
    <n v="0"/>
    <n v="0.16250000000000001"/>
    <s v=" not riskY"/>
    <d v="2024-10-31T00:00:00"/>
    <n v="14982900"/>
    <n v="20.516129032258064"/>
    <s v="Old Loan"/>
    <s v="Q42024"/>
    <n v="53441200"/>
    <s v="L24870617|C8478946|45576|Home Loan|Branch|East|Contract|36|6123600|9.54|196271|1382208|704|B|0.33|0.9|6837700|14|2554236|3841987|0|0|0|Active"/>
    <x v="3"/>
  </r>
  <r>
    <s v="L12773605"/>
    <s v="C8134767"/>
    <x v="401"/>
    <x v="3"/>
    <x v="1"/>
    <x v="1"/>
    <x v="1"/>
    <n v="36"/>
    <n v="4710600"/>
    <n v="9.86"/>
    <n v="151688"/>
    <n v="869564"/>
    <n v="705"/>
    <x v="0"/>
    <n v="0.33"/>
    <n v="0.75"/>
    <n v="6279800"/>
    <n v="13"/>
    <n v="2003923"/>
    <n v="2907945"/>
    <n v="0"/>
    <n v="0"/>
    <n v="0"/>
    <x v="2"/>
    <n v="403369500"/>
    <n v="83903255"/>
    <n v="301"/>
    <n v="2.5999999999999999E-2"/>
    <n v="4.2553191489361701E-2"/>
    <n v="5.8201058201058198E-2"/>
    <n v="8.8557142857142868"/>
    <x v="1"/>
    <n v="260"/>
    <x v="0"/>
    <n v="302"/>
    <n v="3.6423841059602648E-2"/>
    <s v="larger size (&gt; 33L)"/>
    <n v="0"/>
    <n v="0.16250000000000001"/>
    <s v=" not riskY"/>
    <d v="2024-11-30T00:00:00"/>
    <n v="18553400"/>
    <n v="20.516129032258064"/>
    <s v="Old Loan"/>
    <s v="Q42024"/>
    <n v="53441200"/>
    <s v="L12773605|C8134767|45625|Home Loan|Branch|West|Contract|36|4710600|9.86|151688|869564|705|B|0.33|0.75|6279800|13|2003923|2907945|0|0|0|Active"/>
    <x v="3"/>
  </r>
  <r>
    <s v="L30451484"/>
    <s v="C2382520"/>
    <x v="402"/>
    <x v="3"/>
    <x v="1"/>
    <x v="4"/>
    <x v="0"/>
    <n v="60"/>
    <n v="4995000"/>
    <n v="7"/>
    <n v="98907"/>
    <n v="801976"/>
    <n v="839"/>
    <x v="3"/>
    <n v="0.32"/>
    <n v="0.84"/>
    <n v="5940900"/>
    <n v="13"/>
    <n v="1191476"/>
    <n v="3955039"/>
    <n v="0"/>
    <n v="0"/>
    <n v="0"/>
    <x v="2"/>
    <n v="403369500"/>
    <n v="83297251"/>
    <n v="301"/>
    <n v="2.5999999999999999E-2"/>
    <n v="3.1914893617021274E-2"/>
    <n v="5.8201058201058198E-2"/>
    <n v="7.1876190476190471"/>
    <x v="1"/>
    <n v="260"/>
    <x v="1"/>
    <n v="141"/>
    <n v="1.4184397163120567E-2"/>
    <s v="larger size (&gt; 33L)"/>
    <n v="0"/>
    <n v="0.16250000000000001"/>
    <s v=" not riskY"/>
    <d v="2024-11-30T00:00:00"/>
    <n v="18553400"/>
    <n v="20.516129032258064"/>
    <s v="Old Loan"/>
    <s v="Q42024"/>
    <n v="53441200"/>
    <s v="L30451484|C2382520|45624|Home Loan|Branch|East|Salaried|60|4995000|7|98907|801976|839|A|0.32|0.84|5940900|13|1191476|3955039|0|0|0|Active"/>
    <x v="3"/>
  </r>
  <r>
    <s v="L17445699"/>
    <s v="C8901414"/>
    <x v="403"/>
    <x v="0"/>
    <x v="0"/>
    <x v="2"/>
    <x v="0"/>
    <n v="120"/>
    <n v="503500"/>
    <n v="16.600000000000001"/>
    <n v="8624"/>
    <n v="695118"/>
    <n v="707"/>
    <x v="0"/>
    <n v="0.31"/>
    <n v="0.65"/>
    <n v="0"/>
    <n v="13"/>
    <n v="114064"/>
    <n v="425654"/>
    <n v="0"/>
    <n v="0"/>
    <n v="0"/>
    <x v="2"/>
    <n v="74897600"/>
    <n v="98928695"/>
    <n v="301"/>
    <n v="2.5999999999999999E-2"/>
    <n v="2.8571428571428571E-2"/>
    <n v="7.1090047393364927E-2"/>
    <n v="16.500166666666669"/>
    <x v="1"/>
    <n v="260"/>
    <x v="0"/>
    <n v="302"/>
    <n v="3.6423841059602648E-2"/>
    <s v="lower size (&lt; 9L)"/>
    <n v="0"/>
    <n v="0.13934426229508196"/>
    <s v=" not riskY"/>
    <d v="2024-11-30T00:00:00"/>
    <n v="18553400"/>
    <n v="21.092024539877301"/>
    <s v="Old Loan"/>
    <s v="Q42024"/>
    <n v="53441200"/>
    <s v="L17445699|C8901414|45620|Personal Loan|Online|Central|Salaried|120|503500|16.6|8624|695118|707|B|0.31|0.65|0|13|114064|425654|0|0|0|Active"/>
    <x v="3"/>
  </r>
  <r>
    <s v="L63944451"/>
    <s v="C9821843"/>
    <x v="404"/>
    <x v="0"/>
    <x v="0"/>
    <x v="3"/>
    <x v="0"/>
    <n v="120"/>
    <n v="345900"/>
    <n v="15.68"/>
    <n v="5725"/>
    <n v="980735"/>
    <n v="722"/>
    <x v="0"/>
    <n v="0.3"/>
    <n v="0.68"/>
    <n v="0"/>
    <n v="13"/>
    <n v="68489"/>
    <n v="300914"/>
    <n v="0"/>
    <n v="0"/>
    <n v="0"/>
    <x v="2"/>
    <n v="74897600"/>
    <n v="105779369"/>
    <n v="301"/>
    <n v="2.5999999999999999E-2"/>
    <n v="2.6548672566371681E-2"/>
    <n v="7.1090047393364927E-2"/>
    <n v="16.500166666666669"/>
    <x v="1"/>
    <n v="260"/>
    <x v="0"/>
    <n v="302"/>
    <n v="3.6423841059602648E-2"/>
    <s v="lower size (&lt; 9L)"/>
    <n v="0"/>
    <n v="0.13934426229508196"/>
    <s v=" not riskY"/>
    <d v="2024-11-30T00:00:00"/>
    <n v="18553400"/>
    <n v="21.092024539877301"/>
    <s v="Old Loan"/>
    <s v="Q42024"/>
    <n v="53441200"/>
    <s v="L63944451|C9821843|45623|Personal Loan|Online|North|Salaried|120|345900|15.68|5725|980735|722|B|0.3|0.68|0|13|68489|300914|0|0|0|Active"/>
    <x v="3"/>
  </r>
  <r>
    <s v="L94243921"/>
    <s v="C8379827"/>
    <x v="405"/>
    <x v="0"/>
    <x v="1"/>
    <x v="3"/>
    <x v="0"/>
    <n v="24"/>
    <n v="465000"/>
    <n v="19.46"/>
    <n v="23544"/>
    <n v="624971"/>
    <n v="658"/>
    <x v="1"/>
    <n v="0.28000000000000003"/>
    <n v="0.63"/>
    <n v="0"/>
    <n v="13"/>
    <n v="307151"/>
    <n v="197061"/>
    <n v="0"/>
    <n v="0"/>
    <n v="0"/>
    <x v="2"/>
    <n v="74897600"/>
    <n v="105779369"/>
    <n v="301"/>
    <n v="2.5999999999999999E-2"/>
    <n v="2.6548672566371681E-2"/>
    <n v="5.8201058201058198E-2"/>
    <n v="18.603181818181817"/>
    <x v="2"/>
    <n v="122"/>
    <x v="0"/>
    <n v="302"/>
    <n v="3.6423841059602648E-2"/>
    <s v="lower size (&lt; 9L)"/>
    <n v="0"/>
    <n v="0.13934426229508196"/>
    <s v=" not riskY"/>
    <d v="2024-11-30T00:00:00"/>
    <n v="18553400"/>
    <n v="21.092024539877301"/>
    <s v="Old Loan"/>
    <s v="Q42024"/>
    <n v="53441200"/>
    <s v="L94243921|C8379827|45612|Personal Loan|Branch|North|Salaried|24|465000|19.46|23544|624971|658|C|0.28|0.63|0|13|307151|197061|0|0|0|Active"/>
    <x v="3"/>
  </r>
  <r>
    <s v="L69348037"/>
    <s v="C1388971"/>
    <x v="400"/>
    <x v="4"/>
    <x v="0"/>
    <x v="2"/>
    <x v="0"/>
    <n v="36"/>
    <n v="822600"/>
    <n v="12.4"/>
    <n v="27480"/>
    <n v="656937"/>
    <n v="697"/>
    <x v="1"/>
    <n v="0.27"/>
    <n v="0.78"/>
    <n v="0"/>
    <n v="14"/>
    <n v="388014"/>
    <n v="482187"/>
    <n v="0"/>
    <n v="0"/>
    <n v="0"/>
    <x v="2"/>
    <n v="62765800"/>
    <n v="98928695"/>
    <n v="301"/>
    <n v="2.5999999999999999E-2"/>
    <n v="2.8571428571428571E-2"/>
    <n v="7.1090047393364927E-2"/>
    <n v="13.463888888888889"/>
    <x v="2"/>
    <n v="122"/>
    <x v="0"/>
    <n v="302"/>
    <n v="3.6423841059602648E-2"/>
    <s v="lower size (&lt; 9L)"/>
    <n v="0"/>
    <n v="0.13934426229508196"/>
    <s v=" not riskY"/>
    <d v="2024-10-31T00:00:00"/>
    <n v="14982900"/>
    <n v="21.962962962962962"/>
    <s v="Old Loan"/>
    <s v="Q42024"/>
    <n v="53441200"/>
    <s v="L69348037|C1388971|45576|Education Loan|Online|Central|Salaried|36|822600|12.4|27480|656937|697|C|0.27|0.78|0|14|388014|482187|0|0|0|Active"/>
    <x v="3"/>
  </r>
  <r>
    <s v="L54555909"/>
    <s v="C2541621"/>
    <x v="406"/>
    <x v="3"/>
    <x v="1"/>
    <x v="2"/>
    <x v="0"/>
    <n v="24"/>
    <n v="2888500"/>
    <n v="11.45"/>
    <n v="135231"/>
    <n v="720227"/>
    <n v="683"/>
    <x v="1"/>
    <n v="0.27"/>
    <n v="1"/>
    <n v="2890600"/>
    <n v="12"/>
    <n v="1570584"/>
    <n v="1450209"/>
    <n v="0"/>
    <n v="0"/>
    <n v="0"/>
    <x v="2"/>
    <n v="403369500"/>
    <n v="98928695"/>
    <n v="301"/>
    <n v="2.5999999999999999E-2"/>
    <n v="2.8571428571428571E-2"/>
    <n v="5.8201058201058198E-2"/>
    <n v="11.719736842105268"/>
    <x v="2"/>
    <n v="122"/>
    <x v="1"/>
    <n v="141"/>
    <n v="1.4184397163120567E-2"/>
    <s v="medium size (&lt;=33L)"/>
    <n v="0"/>
    <n v="0.15909090909090909"/>
    <s v=" not riskY"/>
    <d v="2024-12-31T00:00:00"/>
    <n v="19904900"/>
    <n v="20.516129032258064"/>
    <s v="Old Loan"/>
    <s v="Q42024"/>
    <n v="53441200"/>
    <s v="L54555909|C2541621|45650|Home Loan|Branch|Central|Salaried|24|2888500|11.45|135231|720227|683|C|0.27|1|2890600|12|1570584|1450209|0|0|0|Active"/>
    <x v="3"/>
  </r>
  <r>
    <s v="L71783038"/>
    <s v="C9332356"/>
    <x v="407"/>
    <x v="0"/>
    <x v="0"/>
    <x v="3"/>
    <x v="2"/>
    <n v="180"/>
    <n v="663700"/>
    <n v="22.09"/>
    <n v="12694"/>
    <n v="824664"/>
    <n v="610"/>
    <x v="2"/>
    <n v="0.23"/>
    <n v="0.77"/>
    <n v="0"/>
    <n v="14"/>
    <n v="156525"/>
    <n v="575594"/>
    <n v="0"/>
    <n v="0"/>
    <n v="0"/>
    <x v="2"/>
    <n v="74897600"/>
    <n v="105779369"/>
    <n v="301"/>
    <n v="2.5999999999999999E-2"/>
    <n v="2.6548672566371681E-2"/>
    <n v="7.1090047393364927E-2"/>
    <n v="20.962592592592593"/>
    <x v="2"/>
    <n v="122"/>
    <x v="0"/>
    <n v="302"/>
    <n v="3.6423841059602648E-2"/>
    <s v="lower size (&lt; 9L)"/>
    <n v="0"/>
    <n v="0.13934426229508196"/>
    <s v=" not riskY"/>
    <d v="2024-10-31T00:00:00"/>
    <n v="14982900"/>
    <n v="21.092024539877301"/>
    <s v="Old Loan"/>
    <s v="Q42024"/>
    <n v="53441200"/>
    <s v="L71783038|C9332356|45579|Personal Loan|Online|North|Self-Employed|180|663700|22.09|12694|824664|610|D|0.23|0.77|0|14|156525|575594|0|0|0|Active"/>
    <x v="3"/>
  </r>
  <r>
    <s v="L59212295"/>
    <s v="C3167452"/>
    <x v="408"/>
    <x v="1"/>
    <x v="1"/>
    <x v="3"/>
    <x v="0"/>
    <n v="36"/>
    <n v="3181700"/>
    <n v="18.29"/>
    <n v="115489"/>
    <n v="1822159"/>
    <n v="616"/>
    <x v="2"/>
    <n v="0.21"/>
    <n v="0.69"/>
    <n v="4613100"/>
    <n v="14"/>
    <n v="1445629"/>
    <n v="2007640"/>
    <n v="0"/>
    <n v="0"/>
    <n v="0"/>
    <x v="2"/>
    <n v="201475100"/>
    <n v="105779369"/>
    <n v="301"/>
    <n v="2.5999999999999999E-2"/>
    <n v="2.6548672566371681E-2"/>
    <n v="5.8201058201058198E-2"/>
    <n v="18.241249999999997"/>
    <x v="2"/>
    <n v="122"/>
    <x v="0"/>
    <n v="302"/>
    <n v="3.6423841059602648E-2"/>
    <s v="medium size (&lt;=33L)"/>
    <n v="0"/>
    <n v="0.15909090909090909"/>
    <s v=" not riskY"/>
    <d v="2024-10-31T00:00:00"/>
    <n v="14982900"/>
    <n v="19.091954022988507"/>
    <s v="Old Loan"/>
    <s v="Q42024"/>
    <n v="53441200"/>
    <s v="L59212295|C3167452|45588|SME Loan|Branch|North|Salaried|36|3181700|18.29|115489|1822159|616|D|0.21|0.69|4613100|14|1445629|2007640|0|0|0|Active"/>
    <x v="3"/>
  </r>
  <r>
    <s v="L22581729"/>
    <s v="C1550198"/>
    <x v="409"/>
    <x v="0"/>
    <x v="3"/>
    <x v="1"/>
    <x v="2"/>
    <n v="240"/>
    <n v="638100"/>
    <n v="10.44"/>
    <n v="6345"/>
    <n v="1364855"/>
    <n v="850"/>
    <x v="3"/>
    <n v="0.17"/>
    <n v="0.66"/>
    <n v="0"/>
    <n v="14"/>
    <n v="79852"/>
    <n v="589336"/>
    <n v="0"/>
    <n v="0"/>
    <n v="0"/>
    <x v="2"/>
    <n v="74897600"/>
    <n v="83903255"/>
    <n v="301"/>
    <n v="2.5999999999999999E-2"/>
    <n v="4.2553191489361701E-2"/>
    <n v="0.12"/>
    <n v="13.328333333333335"/>
    <x v="3"/>
    <n v="86"/>
    <x v="0"/>
    <n v="302"/>
    <n v="3.6423841059602648E-2"/>
    <s v="lower size (&lt; 9L)"/>
    <n v="0"/>
    <n v="0.13934426229508196"/>
    <s v=" not riskY"/>
    <d v="2024-10-31T00:00:00"/>
    <n v="14982900"/>
    <n v="21.092024539877301"/>
    <s v="Old Loan"/>
    <s v="Q42024"/>
    <n v="53441200"/>
    <s v="L22581729|C1550198|45596|Personal Loan|Call Center|West|Self-Employed|240|638100|10.44|6345|1364855|850|A|0.17|0.66|0|14|79852|589336|0|0|0|Active"/>
    <x v="3"/>
  </r>
  <r>
    <s v="L17888492"/>
    <s v="C7496709"/>
    <x v="410"/>
    <x v="0"/>
    <x v="2"/>
    <x v="3"/>
    <x v="0"/>
    <n v="48"/>
    <n v="614400"/>
    <n v="17.63"/>
    <n v="17929"/>
    <n v="1106024"/>
    <n v="678"/>
    <x v="1"/>
    <n v="0.13"/>
    <n v="0.72"/>
    <n v="0"/>
    <n v="14"/>
    <n v="247077"/>
    <n v="417872"/>
    <n v="0"/>
    <n v="0"/>
    <n v="0"/>
    <x v="2"/>
    <n v="74897600"/>
    <n v="105779369"/>
    <n v="301"/>
    <n v="2.5999999999999999E-2"/>
    <n v="2.6548672566371681E-2"/>
    <n v="0.1"/>
    <n v="18.603181818181817"/>
    <x v="3"/>
    <n v="86"/>
    <x v="0"/>
    <n v="302"/>
    <n v="3.6423841059602648E-2"/>
    <s v="lower size (&lt; 9L)"/>
    <n v="0"/>
    <n v="0.13934426229508196"/>
    <s v=" not riskY"/>
    <d v="2024-10-31T00:00:00"/>
    <n v="14982900"/>
    <n v="21.092024539877301"/>
    <s v="Old Loan"/>
    <s v="Q42024"/>
    <n v="53441200"/>
    <s v="L17888492|C7496709|45582|Personal Loan|Partner|North|Salaried|48|614400|17.63|17929|1106024|678|C|0.13|0.72|0|14|247077|417872|0|0|0|Active"/>
    <x v="3"/>
  </r>
  <r>
    <s v="L59088620"/>
    <s v="C2402747"/>
    <x v="411"/>
    <x v="2"/>
    <x v="1"/>
    <x v="1"/>
    <x v="2"/>
    <n v="24"/>
    <n v="551200"/>
    <n v="14.94"/>
    <n v="26710"/>
    <n v="188933"/>
    <n v="639"/>
    <x v="2"/>
    <n v="0.06"/>
    <n v="0.78"/>
    <n v="706100"/>
    <n v="13"/>
    <n v="333755"/>
    <n v="253130"/>
    <n v="0"/>
    <n v="1"/>
    <n v="0"/>
    <x v="1"/>
    <n v="92273000"/>
    <n v="83903255"/>
    <n v="139"/>
    <n v="2.5999999999999999E-2"/>
    <n v="4.2553191489361701E-2"/>
    <n v="5.8201058201058198E-2"/>
    <n v="15.092000000000001"/>
    <x v="3"/>
    <n v="86"/>
    <x v="0"/>
    <n v="302"/>
    <n v="3.6423841059602648E-2"/>
    <s v="lower size (&lt; 9L)"/>
    <n v="0"/>
    <n v="0.13934426229508196"/>
    <s v=" not riskY"/>
    <d v="2024-11-30T00:00:00"/>
    <n v="18553400"/>
    <n v="20.262135922330096"/>
    <s v="Old Loan"/>
    <s v="Q42024"/>
    <n v="53441200"/>
    <s v="L59088620|C2402747|45607|Auto Loan|Branch|West|Self-Employed|24|551200|14.94|26710|188933|639|D|0.06|0.78|706100|13|333755|253130|0|1|0|Closed"/>
    <x v="3"/>
  </r>
  <r>
    <s v="L56892046"/>
    <s v="C9530660"/>
    <x v="386"/>
    <x v="0"/>
    <x v="1"/>
    <x v="0"/>
    <x v="0"/>
    <n v="24"/>
    <n v="144100"/>
    <n v="20.079999999999998"/>
    <n v="7340"/>
    <n v="867095"/>
    <n v="638"/>
    <x v="2"/>
    <n v="0.05"/>
    <n v="0.6"/>
    <n v="0"/>
    <n v="13"/>
    <n v="96979"/>
    <n v="59660"/>
    <n v="0"/>
    <n v="0"/>
    <n v="0"/>
    <x v="2"/>
    <n v="74897600"/>
    <n v="94548000"/>
    <n v="301"/>
    <n v="2.5999999999999999E-2"/>
    <n v="0"/>
    <n v="5.8201058201058198E-2"/>
    <n v="20.962592592592593"/>
    <x v="3"/>
    <n v="86"/>
    <x v="0"/>
    <n v="302"/>
    <n v="3.6423841059602648E-2"/>
    <s v="lower size (&lt; 9L)"/>
    <n v="0"/>
    <n v="0.13934426229508196"/>
    <s v=" not riskY"/>
    <d v="2024-11-30T00:00:00"/>
    <n v="18553400"/>
    <n v="21.092024539877301"/>
    <s v="Old Loan"/>
    <s v="Q42024"/>
    <n v="53441200"/>
    <s v="L56892046|C9530660|45619|Personal Loan|Branch|South|Salaried|24|144100|20.08|7340|867095|638|D|0.05|0.6|0|13|96979|59660|0|0|0|Active"/>
    <x v="3"/>
  </r>
  <r>
    <s v="L40833169"/>
    <s v="C6310683"/>
    <x v="412"/>
    <x v="3"/>
    <x v="3"/>
    <x v="3"/>
    <x v="0"/>
    <n v="24"/>
    <n v="3354500"/>
    <n v="7"/>
    <n v="150190"/>
    <n v="869233"/>
    <n v="850"/>
    <x v="3"/>
    <n v="0.52"/>
    <n v="1.19"/>
    <n v="2821200"/>
    <n v="1"/>
    <n v="131404"/>
    <n v="3230923"/>
    <n v="0"/>
    <n v="1"/>
    <n v="0"/>
    <x v="1"/>
    <n v="403369500"/>
    <n v="105779369"/>
    <n v="139"/>
    <n v="2.5999999999999999E-2"/>
    <n v="2.6548672566371681E-2"/>
    <n v="0.12"/>
    <n v="7.1876190476190471"/>
    <x v="0"/>
    <n v="32"/>
    <x v="1"/>
    <n v="141"/>
    <n v="1.4184397163120567E-2"/>
    <s v="larger size (&gt; 33L)"/>
    <n v="0"/>
    <n v="0.16250000000000001"/>
    <s v="high risk"/>
    <d v="2025-11-30T00:00:00"/>
    <n v="20272200"/>
    <n v="20.516129032258064"/>
    <s v="New Loan"/>
    <s v="Q42025"/>
    <n v="38483800"/>
    <s v="L40833169|C6310683|45965|Home Loan|Call Center|North|Salaried|24|3354500|7|150190|869233|850|A|0.52|1.19|2821200|1|131404|3230923|0|1|0|Closed"/>
    <x v="3"/>
  </r>
  <r>
    <s v="L94627548"/>
    <s v="C8501126"/>
    <x v="413"/>
    <x v="0"/>
    <x v="0"/>
    <x v="2"/>
    <x v="0"/>
    <n v="24"/>
    <n v="751300"/>
    <n v="18.989999999999998"/>
    <n v="37868"/>
    <n v="1138837"/>
    <n v="691"/>
    <x v="1"/>
    <n v="0.51"/>
    <n v="0.61"/>
    <n v="0"/>
    <n v="1"/>
    <n v="37205"/>
    <n v="718851"/>
    <n v="90"/>
    <n v="0"/>
    <n v="1"/>
    <x v="3"/>
    <n v="74897600"/>
    <n v="98928695"/>
    <n v="13"/>
    <n v="2.5999999999999999E-2"/>
    <n v="2.8571428571428571E-2"/>
    <n v="7.1090047393364927E-2"/>
    <n v="18.603181818181817"/>
    <x v="0"/>
    <n v="32"/>
    <x v="0"/>
    <n v="302"/>
    <n v="3.6423841059602648E-2"/>
    <s v="lower size (&lt; 9L)"/>
    <n v="1"/>
    <n v="0.13934426229508196"/>
    <s v="high risk"/>
    <d v="2025-11-30T00:00:00"/>
    <n v="20272200"/>
    <n v="21.092024539877301"/>
    <s v="New Loan"/>
    <s v="Q42025"/>
    <n v="38483800"/>
    <s v="L94627548|C8501126|45976|Personal Loan|Online|Central|Salaried|24|751300|18.99|37868|1138837|691|C|0.51|0.61|0|1|37205|718851|90|0|1|Default"/>
    <x v="3"/>
  </r>
  <r>
    <s v="L91772262"/>
    <s v="C2509474"/>
    <x v="414"/>
    <x v="4"/>
    <x v="3"/>
    <x v="4"/>
    <x v="0"/>
    <n v="60"/>
    <n v="1120400"/>
    <n v="11.13"/>
    <n v="24433"/>
    <n v="1474124"/>
    <n v="744"/>
    <x v="0"/>
    <n v="0.49"/>
    <n v="0.75"/>
    <n v="0"/>
    <n v="1"/>
    <n v="21142"/>
    <n v="1103415"/>
    <n v="0"/>
    <n v="0"/>
    <n v="0"/>
    <x v="2"/>
    <n v="62765800"/>
    <n v="83297251"/>
    <n v="301"/>
    <n v="2.5999999999999999E-2"/>
    <n v="3.1914893617021274E-2"/>
    <n v="0.12"/>
    <n v="10.832666666666663"/>
    <x v="1"/>
    <n v="260"/>
    <x v="0"/>
    <n v="302"/>
    <n v="3.6423841059602648E-2"/>
    <s v="medium size (&lt;=33L)"/>
    <n v="0"/>
    <n v="0.15909090909090909"/>
    <s v=" not riskY"/>
    <d v="2025-11-30T00:00:00"/>
    <n v="20272200"/>
    <n v="21.962962962962962"/>
    <s v="New Loan"/>
    <s v="Q42025"/>
    <n v="38483800"/>
    <s v="L91772262|C2509474|45970|Education Loan|Call Center|East|Salaried|60|1120400|11.13|24433|1474124|744|B|0.49|0.75|0|1|21142|1103415|0|0|0|Active"/>
    <x v="3"/>
  </r>
  <r>
    <s v="L66587075"/>
    <s v="C4277728"/>
    <x v="415"/>
    <x v="4"/>
    <x v="1"/>
    <x v="0"/>
    <x v="0"/>
    <n v="24"/>
    <n v="674600"/>
    <n v="16.75"/>
    <n v="33273"/>
    <n v="231583"/>
    <n v="601"/>
    <x v="2"/>
    <n v="0.48"/>
    <n v="1.02"/>
    <n v="0"/>
    <n v="1"/>
    <n v="28982"/>
    <n v="649385"/>
    <n v="0"/>
    <n v="0"/>
    <n v="0"/>
    <x v="2"/>
    <n v="62765800"/>
    <n v="94548000"/>
    <n v="301"/>
    <n v="2.5999999999999999E-2"/>
    <n v="0"/>
    <n v="5.8201058201058198E-2"/>
    <n v="15.810000000000002"/>
    <x v="1"/>
    <n v="260"/>
    <x v="1"/>
    <n v="141"/>
    <n v="1.4184397163120567E-2"/>
    <s v="lower size (&lt; 9L)"/>
    <n v="0"/>
    <n v="0.13934426229508196"/>
    <s v=" not riskY"/>
    <d v="2025-11-30T00:00:00"/>
    <n v="20272200"/>
    <n v="21.962962962962962"/>
    <s v="New Loan"/>
    <s v="Q42025"/>
    <n v="38483800"/>
    <s v="L66587075|C4277728|45971|Education Loan|Branch|South|Salaried|24|674600|16.75|33273|231583|601|D|0.48|1.02|0|1|28982|649385|0|0|0|Active"/>
    <x v="3"/>
  </r>
  <r>
    <s v="L80054514"/>
    <s v="C3861919"/>
    <x v="416"/>
    <x v="3"/>
    <x v="0"/>
    <x v="4"/>
    <x v="3"/>
    <n v="36"/>
    <n v="334200"/>
    <n v="7"/>
    <n v="10319"/>
    <n v="150000"/>
    <n v="842"/>
    <x v="3"/>
    <n v="0.45"/>
    <n v="0.71"/>
    <n v="472000"/>
    <n v="2"/>
    <n v="20527"/>
    <n v="315233"/>
    <n v="0"/>
    <n v="0"/>
    <n v="0"/>
    <x v="2"/>
    <n v="403369500"/>
    <n v="83297251"/>
    <n v="301"/>
    <n v="2.5999999999999999E-2"/>
    <n v="3.1914893617021274E-2"/>
    <n v="7.1090047393364927E-2"/>
    <n v="7.1876190476190471"/>
    <x v="1"/>
    <n v="260"/>
    <x v="0"/>
    <n v="302"/>
    <n v="3.6423841059602648E-2"/>
    <s v="lower size (&lt; 9L)"/>
    <n v="0"/>
    <n v="0.13934426229508196"/>
    <s v=" not riskY"/>
    <d v="2025-10-31T00:00:00"/>
    <n v="18211600"/>
    <n v="20.516129032258064"/>
    <s v="New Loan"/>
    <s v="Q42025"/>
    <n v="38483800"/>
    <s v="L80054514|C3861919|45932|Home Loan|Online|East|Unemployed|36|334200|7|10319|150000|842|A|0.45|0.71|472000|2|20527|315233|0|0|0|Active"/>
    <x v="3"/>
  </r>
  <r>
    <s v="L18502000"/>
    <s v="C5858548"/>
    <x v="417"/>
    <x v="2"/>
    <x v="0"/>
    <x v="4"/>
    <x v="0"/>
    <n v="36"/>
    <n v="830100"/>
    <n v="15.41"/>
    <n v="28943"/>
    <n v="360743"/>
    <n v="586"/>
    <x v="4"/>
    <n v="0.44"/>
    <n v="0.65"/>
    <n v="1283100"/>
    <n v="2"/>
    <n v="54571"/>
    <n v="784057"/>
    <n v="0"/>
    <n v="0"/>
    <n v="0"/>
    <x v="2"/>
    <n v="92273000"/>
    <n v="83297251"/>
    <n v="301"/>
    <n v="2.5999999999999999E-2"/>
    <n v="3.1914893617021274E-2"/>
    <n v="7.1090047393364927E-2"/>
    <n v="17.744166666666668"/>
    <x v="1"/>
    <n v="260"/>
    <x v="0"/>
    <n v="302"/>
    <n v="3.6423841059602648E-2"/>
    <s v="lower size (&lt; 9L)"/>
    <n v="0"/>
    <n v="0.13934426229508196"/>
    <s v="high risk"/>
    <d v="2025-10-31T00:00:00"/>
    <n v="18211600"/>
    <n v="20.262135922330096"/>
    <s v="New Loan"/>
    <s v="Q42025"/>
    <n v="38483800"/>
    <s v="L18502000|C5858548|45938|Auto Loan|Online|East|Salaried|36|830100|15.41|28943|360743|586|E|0.44|0.65|1283100|2|54571|784057|0|0|0|Active"/>
    <x v="3"/>
  </r>
  <r>
    <s v="L61186707"/>
    <s v="C3248188"/>
    <x v="418"/>
    <x v="2"/>
    <x v="0"/>
    <x v="0"/>
    <x v="0"/>
    <n v="18"/>
    <n v="558000"/>
    <n v="8.89"/>
    <n v="33227"/>
    <n v="1025635"/>
    <n v="767"/>
    <x v="3"/>
    <n v="0.41"/>
    <n v="0.77"/>
    <n v="722900"/>
    <n v="1"/>
    <n v="31301"/>
    <n v="528353"/>
    <n v="0"/>
    <n v="0"/>
    <n v="0"/>
    <x v="2"/>
    <n v="92273000"/>
    <n v="94548000"/>
    <n v="301"/>
    <n v="2.5999999999999999E-2"/>
    <n v="0"/>
    <n v="7.1090047393364927E-2"/>
    <n v="7.9444999999999997"/>
    <x v="1"/>
    <n v="260"/>
    <x v="0"/>
    <n v="302"/>
    <n v="3.6423841059602648E-2"/>
    <s v="lower size (&lt; 9L)"/>
    <n v="0"/>
    <n v="0.13934426229508196"/>
    <s v=" not riskY"/>
    <d v="2025-11-30T00:00:00"/>
    <n v="20272200"/>
    <n v="20.262135922330096"/>
    <s v="New Loan"/>
    <s v="Q42025"/>
    <n v="38483800"/>
    <s v="L61186707|C3248188|45985|Auto Loan|Online|South|Salaried|18|558000|8.89|33227|1025635|767|A|0.41|0.77|722900|1|31301|528353|0|0|0|Active"/>
    <x v="3"/>
  </r>
  <r>
    <s v="L33717237"/>
    <s v="C5193866"/>
    <x v="419"/>
    <x v="2"/>
    <x v="1"/>
    <x v="4"/>
    <x v="0"/>
    <n v="48"/>
    <n v="1199600"/>
    <n v="12.54"/>
    <n v="31909"/>
    <n v="610617"/>
    <n v="681"/>
    <x v="1"/>
    <n v="0.41"/>
    <n v="0.63"/>
    <n v="1901300"/>
    <n v="2"/>
    <n v="57795"/>
    <n v="1151834"/>
    <n v="0"/>
    <n v="0"/>
    <n v="0"/>
    <x v="2"/>
    <n v="92273000"/>
    <n v="83297251"/>
    <n v="301"/>
    <n v="2.5999999999999999E-2"/>
    <n v="3.1914893617021274E-2"/>
    <n v="5.8201058201058198E-2"/>
    <n v="13.246500000000001"/>
    <x v="1"/>
    <n v="260"/>
    <x v="0"/>
    <n v="302"/>
    <n v="3.6423841059602648E-2"/>
    <s v="medium size (&lt;=33L)"/>
    <n v="0"/>
    <n v="0.15909090909090909"/>
    <s v=" not riskY"/>
    <d v="2025-10-31T00:00:00"/>
    <n v="18211600"/>
    <n v="20.262135922330096"/>
    <s v="New Loan"/>
    <s v="Q42025"/>
    <n v="38483800"/>
    <s v="L33717237|C5193866|45939|Auto Loan|Branch|East|Salaried|48|1199600|12.54|31909|610617|681|C|0.41|0.63|1901300|2|57795|1151834|0|0|0|Active"/>
    <x v="3"/>
  </r>
  <r>
    <s v="L23338758"/>
    <s v="C4607055"/>
    <x v="420"/>
    <x v="2"/>
    <x v="1"/>
    <x v="3"/>
    <x v="0"/>
    <n v="12"/>
    <n v="725600"/>
    <n v="10.83"/>
    <n v="64072"/>
    <n v="703843"/>
    <n v="716"/>
    <x v="0"/>
    <n v="0.4"/>
    <n v="0.73"/>
    <n v="989000"/>
    <n v="1"/>
    <n v="64695"/>
    <n v="663524"/>
    <n v="0"/>
    <n v="0"/>
    <n v="0"/>
    <x v="2"/>
    <n v="92273000"/>
    <n v="105779369"/>
    <n v="301"/>
    <n v="2.5999999999999999E-2"/>
    <n v="2.6548672566371681E-2"/>
    <n v="5.8201058201058198E-2"/>
    <n v="10.611923076923079"/>
    <x v="1"/>
    <n v="260"/>
    <x v="0"/>
    <n v="302"/>
    <n v="3.6423841059602648E-2"/>
    <s v="lower size (&lt; 9L)"/>
    <n v="0"/>
    <n v="0.13934426229508196"/>
    <s v=" not riskY"/>
    <d v="2025-11-30T00:00:00"/>
    <n v="20272200"/>
    <n v="20.262135922330096"/>
    <s v="New Loan"/>
    <s v="Q42025"/>
    <n v="38483800"/>
    <s v="L23338758|C4607055|45969|Auto Loan|Branch|North|Salaried|12|725600|10.83|64072|703843|716|B|0.4|0.73|989000|1|64695|663524|0|0|0|Active"/>
    <x v="3"/>
  </r>
  <r>
    <s v="L43048809"/>
    <s v="C5702978"/>
    <x v="420"/>
    <x v="4"/>
    <x v="2"/>
    <x v="3"/>
    <x v="0"/>
    <n v="36"/>
    <n v="1487900"/>
    <n v="14.69"/>
    <n v="51353"/>
    <n v="1094016"/>
    <n v="674"/>
    <x v="1"/>
    <n v="0.39"/>
    <n v="0.76"/>
    <n v="0"/>
    <n v="1"/>
    <n v="51921"/>
    <n v="1443265"/>
    <n v="60"/>
    <n v="0"/>
    <n v="0"/>
    <x v="0"/>
    <n v="62765800"/>
    <n v="105779369"/>
    <n v="47"/>
    <n v="2.5999999999999999E-2"/>
    <n v="2.6548672566371681E-2"/>
    <n v="0.1"/>
    <n v="13.463888888888889"/>
    <x v="1"/>
    <n v="260"/>
    <x v="0"/>
    <n v="302"/>
    <n v="3.6423841059602648E-2"/>
    <s v="medium size (&lt;=33L)"/>
    <n v="1"/>
    <n v="0.15909090909090909"/>
    <s v="high risk"/>
    <d v="2025-11-30T00:00:00"/>
    <n v="20272200"/>
    <n v="21.962962962962962"/>
    <s v="New Loan"/>
    <s v="Q42025"/>
    <n v="38483800"/>
    <s v="L43048809|C5702978|45969|Education Loan|Partner|North|Salaried|36|1487900|14.69|51353|1094016|674|C|0.39|0.76|0|1|51921|1443265|60|0|0|Delinquent"/>
    <x v="3"/>
  </r>
  <r>
    <s v="L27517483"/>
    <s v="C5540736"/>
    <x v="418"/>
    <x v="0"/>
    <x v="0"/>
    <x v="0"/>
    <x v="3"/>
    <n v="60"/>
    <n v="1078600"/>
    <n v="19.43"/>
    <n v="28235"/>
    <n v="1331156"/>
    <n v="668"/>
    <x v="1"/>
    <n v="0.39"/>
    <n v="0.57999999999999996"/>
    <n v="0"/>
    <n v="1"/>
    <n v="28005"/>
    <n v="1057581"/>
    <n v="45"/>
    <n v="0"/>
    <n v="0"/>
    <x v="0"/>
    <n v="74897600"/>
    <n v="94548000"/>
    <n v="47"/>
    <n v="2.5999999999999999E-2"/>
    <n v="0"/>
    <n v="7.1090047393364927E-2"/>
    <n v="18.603181818181817"/>
    <x v="1"/>
    <n v="260"/>
    <x v="2"/>
    <n v="57"/>
    <n v="0"/>
    <s v="medium size (&lt;=33L)"/>
    <n v="1"/>
    <n v="0.15909090909090909"/>
    <s v="high risk"/>
    <d v="2025-11-30T00:00:00"/>
    <n v="20272200"/>
    <n v="21.092024539877301"/>
    <s v="New Loan"/>
    <s v="Q42025"/>
    <n v="38483800"/>
    <s v="L27517483|C5540736|45985|Personal Loan|Online|South|Unemployed|60|1078600|19.43|28235|1331156|668|C|0.39|0.58|0|1|28005|1057581|45|0|0|Delinquent"/>
    <x v="3"/>
  </r>
  <r>
    <s v="L82779467"/>
    <s v="C1789381"/>
    <x v="420"/>
    <x v="2"/>
    <x v="1"/>
    <x v="2"/>
    <x v="2"/>
    <n v="60"/>
    <n v="1013600"/>
    <n v="9.69"/>
    <n v="21382"/>
    <n v="1402592"/>
    <n v="735"/>
    <x v="0"/>
    <n v="0.38"/>
    <n v="0.82"/>
    <n v="1237700"/>
    <n v="1"/>
    <n v="19055"/>
    <n v="997819"/>
    <n v="0"/>
    <n v="1"/>
    <n v="0"/>
    <x v="1"/>
    <n v="92273000"/>
    <n v="98928695"/>
    <n v="139"/>
    <n v="2.5999999999999999E-2"/>
    <n v="2.8571428571428571E-2"/>
    <n v="5.8201058201058198E-2"/>
    <n v="10.611923076923079"/>
    <x v="1"/>
    <n v="260"/>
    <x v="1"/>
    <n v="141"/>
    <n v="1.4184397163120567E-2"/>
    <s v="medium size (&lt;=33L)"/>
    <n v="0"/>
    <n v="0.15909090909090909"/>
    <s v=" not riskY"/>
    <d v="2025-11-30T00:00:00"/>
    <n v="20272200"/>
    <n v="20.262135922330096"/>
    <s v="New Loan"/>
    <s v="Q42025"/>
    <n v="38483800"/>
    <s v="L82779467|C1789381|45969|Auto Loan|Branch|Central|Self-Employed|60|1013600|9.69|21382|1402592|735|B|0.38|0.82|1237700|1|19055|997819|0|1|0|Closed"/>
    <x v="3"/>
  </r>
  <r>
    <s v="L49343672"/>
    <s v="C1960678"/>
    <x v="421"/>
    <x v="4"/>
    <x v="0"/>
    <x v="3"/>
    <x v="0"/>
    <n v="60"/>
    <n v="1232500"/>
    <n v="11.2"/>
    <n v="26921"/>
    <n v="875495"/>
    <n v="738"/>
    <x v="0"/>
    <n v="0.37"/>
    <n v="0.66"/>
    <n v="0"/>
    <n v="2"/>
    <n v="49665"/>
    <n v="1192038"/>
    <n v="0"/>
    <n v="0"/>
    <n v="0"/>
    <x v="2"/>
    <n v="62765800"/>
    <n v="105779369"/>
    <n v="301"/>
    <n v="2.5999999999999999E-2"/>
    <n v="2.6548672566371681E-2"/>
    <n v="7.1090047393364927E-2"/>
    <n v="10.832666666666663"/>
    <x v="1"/>
    <n v="260"/>
    <x v="0"/>
    <n v="302"/>
    <n v="3.6423841059602648E-2"/>
    <s v="medium size (&lt;=33L)"/>
    <n v="0"/>
    <n v="0.15909090909090909"/>
    <s v=" not riskY"/>
    <d v="2025-10-31T00:00:00"/>
    <n v="18211600"/>
    <n v="21.962962962962962"/>
    <s v="New Loan"/>
    <s v="Q42025"/>
    <n v="38483800"/>
    <s v="L49343672|C1960678|45931|Education Loan|Online|North|Salaried|60|1232500|11.2|26921|875495|738|B|0.37|0.66|0|2|49665|1192038|0|0|0|Active"/>
    <x v="3"/>
  </r>
  <r>
    <s v="L67087105"/>
    <s v="C2331320"/>
    <x v="422"/>
    <x v="3"/>
    <x v="0"/>
    <x v="2"/>
    <x v="0"/>
    <n v="240"/>
    <n v="4194900"/>
    <n v="10.039999999999999"/>
    <n v="40593"/>
    <n v="543084"/>
    <n v="699"/>
    <x v="1"/>
    <n v="0.35"/>
    <n v="0.79"/>
    <n v="5325400"/>
    <n v="2"/>
    <n v="78658"/>
    <n v="4144320"/>
    <n v="0"/>
    <n v="0"/>
    <n v="0"/>
    <x v="2"/>
    <n v="403369500"/>
    <n v="98928695"/>
    <n v="301"/>
    <n v="2.5999999999999999E-2"/>
    <n v="2.8571428571428571E-2"/>
    <n v="7.1090047393364927E-2"/>
    <n v="11.719736842105268"/>
    <x v="1"/>
    <n v="260"/>
    <x v="0"/>
    <n v="302"/>
    <n v="3.6423841059602648E-2"/>
    <s v="larger size (&gt; 33L)"/>
    <n v="0"/>
    <n v="0.16250000000000001"/>
    <s v=" not riskY"/>
    <d v="2025-10-31T00:00:00"/>
    <n v="18211600"/>
    <n v="20.516129032258064"/>
    <s v="New Loan"/>
    <s v="Q42025"/>
    <n v="38483800"/>
    <s v="L67087105|C2331320|45959|Home Loan|Online|Central|Salaried|240|4194900|10.04|40593|543084|699|C|0.35|0.79|5325400|2|78658|4144320|0|0|0|Active"/>
    <x v="4"/>
  </r>
  <r>
    <s v="L74945475"/>
    <s v="C2053932"/>
    <x v="423"/>
    <x v="2"/>
    <x v="0"/>
    <x v="4"/>
    <x v="0"/>
    <n v="360"/>
    <n v="1516500"/>
    <n v="17.100000000000001"/>
    <n v="21744"/>
    <n v="670490"/>
    <n v="613"/>
    <x v="2"/>
    <n v="0.34"/>
    <n v="0.81"/>
    <n v="1882700"/>
    <n v="2"/>
    <n v="42821"/>
    <n v="1490967"/>
    <n v="10"/>
    <n v="0"/>
    <n v="0"/>
    <x v="2"/>
    <n v="92273000"/>
    <n v="83297251"/>
    <n v="301"/>
    <n v="2.5999999999999999E-2"/>
    <n v="3.1914893617021274E-2"/>
    <n v="7.1090047393364927E-2"/>
    <n v="15.092000000000001"/>
    <x v="1"/>
    <n v="260"/>
    <x v="1"/>
    <n v="141"/>
    <n v="1.4184397163120567E-2"/>
    <s v="medium size (&lt;=33L)"/>
    <n v="0"/>
    <n v="0.15909090909090909"/>
    <s v=" not riskY"/>
    <d v="2025-10-31T00:00:00"/>
    <n v="18211600"/>
    <n v="20.262135922330096"/>
    <s v="New Loan"/>
    <s v="Q42025"/>
    <n v="38483800"/>
    <s v="L74945475|C2053932|45948|Auto Loan|Online|East|Salaried|360|1516500|17.1|21744|670490|613|D|0.34|0.81|1882700|2|42821|1490967|10|0|0|Active"/>
    <x v="4"/>
  </r>
  <r>
    <s v="L51019866"/>
    <s v="C8605398"/>
    <x v="424"/>
    <x v="1"/>
    <x v="1"/>
    <x v="2"/>
    <x v="0"/>
    <n v="24"/>
    <n v="2343200"/>
    <n v="18.309999999999999"/>
    <n v="117333"/>
    <n v="760158"/>
    <n v="633"/>
    <x v="2"/>
    <n v="0.32"/>
    <n v="0.59"/>
    <n v="3957400"/>
    <n v="2"/>
    <n v="222654"/>
    <n v="2149149"/>
    <n v="10"/>
    <n v="0"/>
    <n v="0"/>
    <x v="2"/>
    <n v="201475100"/>
    <n v="98928695"/>
    <n v="301"/>
    <n v="2.5999999999999999E-2"/>
    <n v="2.8571428571428571E-2"/>
    <n v="5.8201058201058198E-2"/>
    <n v="18.241249999999997"/>
    <x v="1"/>
    <n v="260"/>
    <x v="2"/>
    <n v="57"/>
    <n v="0"/>
    <s v="medium size (&lt;=33L)"/>
    <n v="0"/>
    <n v="0.15909090909090909"/>
    <s v=" not riskY"/>
    <d v="2025-10-31T00:00:00"/>
    <n v="18211600"/>
    <n v="19.091954022988507"/>
    <s v="New Loan"/>
    <s v="Q42025"/>
    <n v="38483800"/>
    <s v="L51019866|C8605398|45936|SME Loan|Branch|Central|Salaried|24|2343200|18.31|117333|760158|633|D|0.32|0.59|3957400|2|222654|2149149|10|0|0|Active"/>
    <x v="4"/>
  </r>
  <r>
    <s v="L18750397"/>
    <s v="C1892018"/>
    <x v="425"/>
    <x v="1"/>
    <x v="1"/>
    <x v="0"/>
    <x v="3"/>
    <n v="60"/>
    <n v="2939500"/>
    <n v="14.33"/>
    <n v="68901"/>
    <n v="1089768"/>
    <n v="727"/>
    <x v="0"/>
    <n v="0.3"/>
    <n v="0.68"/>
    <n v="4322900"/>
    <n v="1"/>
    <n v="68298"/>
    <n v="2885243"/>
    <n v="0"/>
    <n v="0"/>
    <n v="0"/>
    <x v="2"/>
    <n v="201475100"/>
    <n v="94548000"/>
    <n v="301"/>
    <n v="2.5999999999999999E-2"/>
    <n v="0"/>
    <n v="5.8201058201058198E-2"/>
    <n v="13.042631578947367"/>
    <x v="1"/>
    <n v="260"/>
    <x v="0"/>
    <n v="302"/>
    <n v="3.6423841059602648E-2"/>
    <s v="medium size (&lt;=33L)"/>
    <n v="0"/>
    <n v="0.15909090909090909"/>
    <s v=" not riskY"/>
    <d v="2025-11-30T00:00:00"/>
    <n v="20272200"/>
    <n v="19.091954022988507"/>
    <s v="New Loan"/>
    <s v="Q42025"/>
    <n v="38483800"/>
    <s v="L18750397|C1892018|45978|SME Loan|Branch|South|Unemployed|60|2939500|14.33|68901|1089768|727|B|0.3|0.68|4322900|1|68298|2885243|0|0|0|Active"/>
    <x v="4"/>
  </r>
  <r>
    <s v="L89766632"/>
    <s v="C5540778"/>
    <x v="426"/>
    <x v="0"/>
    <x v="1"/>
    <x v="1"/>
    <x v="2"/>
    <n v="24"/>
    <n v="347200"/>
    <n v="15.31"/>
    <n v="16886"/>
    <n v="1195111"/>
    <n v="740"/>
    <x v="0"/>
    <n v="0.28000000000000003"/>
    <n v="1.1299999999999999"/>
    <n v="0"/>
    <n v="2"/>
    <n v="32739"/>
    <n v="318005"/>
    <n v="0"/>
    <n v="0"/>
    <n v="0"/>
    <x v="2"/>
    <n v="74897600"/>
    <n v="83903255"/>
    <n v="301"/>
    <n v="2.5999999999999999E-2"/>
    <n v="4.2553191489361701E-2"/>
    <n v="5.8201058201058198E-2"/>
    <n v="16.500166666666669"/>
    <x v="2"/>
    <n v="122"/>
    <x v="1"/>
    <n v="141"/>
    <n v="1.4184397163120567E-2"/>
    <s v="lower size (&lt; 9L)"/>
    <n v="0"/>
    <n v="0.13934426229508196"/>
    <s v=" not riskY"/>
    <d v="2025-10-31T00:00:00"/>
    <n v="18211600"/>
    <n v="21.092024539877301"/>
    <s v="New Loan"/>
    <s v="Q42025"/>
    <n v="38483800"/>
    <s v="L89766632|C5540778|45933|Personal Loan|Branch|West|Self-Employed|24|347200|15.31|16886|1195111|740|B|0.28|1.13|0|2|32739|318005|0|0|0|Active"/>
    <x v="4"/>
  </r>
  <r>
    <s v="L10477636"/>
    <s v="C1774220"/>
    <x v="427"/>
    <x v="0"/>
    <x v="1"/>
    <x v="0"/>
    <x v="0"/>
    <n v="72"/>
    <n v="510700"/>
    <n v="15.97"/>
    <n v="11070"/>
    <n v="903211"/>
    <n v="749"/>
    <x v="0"/>
    <n v="0.28000000000000003"/>
    <n v="0.62"/>
    <n v="0"/>
    <n v="1"/>
    <n v="11227"/>
    <n v="502192"/>
    <n v="0"/>
    <n v="0"/>
    <n v="0"/>
    <x v="2"/>
    <n v="74897600"/>
    <n v="94548000"/>
    <n v="301"/>
    <n v="2.5999999999999999E-2"/>
    <n v="0"/>
    <n v="5.8201058201058198E-2"/>
    <n v="16.500166666666669"/>
    <x v="2"/>
    <n v="122"/>
    <x v="0"/>
    <n v="302"/>
    <n v="3.6423841059602648E-2"/>
    <s v="lower size (&lt; 9L)"/>
    <n v="0"/>
    <n v="0.13934426229508196"/>
    <s v=" not riskY"/>
    <d v="2025-11-30T00:00:00"/>
    <n v="20272200"/>
    <n v="21.092024539877301"/>
    <s v="New Loan"/>
    <s v="Q42025"/>
    <n v="38483800"/>
    <s v="L10477636|C1774220|45964|Personal Loan|Branch|South|Salaried|72|510700|15.97|11070|903211|749|B|0.28|0.62|0|1|11227|502192|0|0|0|Active"/>
    <x v="4"/>
  </r>
  <r>
    <s v="L91497897"/>
    <s v="C1048868"/>
    <x v="428"/>
    <x v="2"/>
    <x v="1"/>
    <x v="1"/>
    <x v="3"/>
    <n v="24"/>
    <n v="1420900"/>
    <n v="16.09"/>
    <n v="69633"/>
    <n v="742681"/>
    <n v="623"/>
    <x v="2"/>
    <n v="0.26"/>
    <n v="0.79"/>
    <n v="1790000"/>
    <n v="1"/>
    <n v="69836"/>
    <n v="1358685"/>
    <n v="0"/>
    <n v="0"/>
    <n v="0"/>
    <x v="2"/>
    <n v="92273000"/>
    <n v="83903255"/>
    <n v="301"/>
    <n v="2.5999999999999999E-2"/>
    <n v="4.2553191489361701E-2"/>
    <n v="5.8201058201058198E-2"/>
    <n v="15.092000000000001"/>
    <x v="2"/>
    <n v="122"/>
    <x v="0"/>
    <n v="302"/>
    <n v="3.6423841059602648E-2"/>
    <s v="medium size (&lt;=33L)"/>
    <n v="0"/>
    <n v="0.15909090909090909"/>
    <s v=" not riskY"/>
    <d v="2025-11-30T00:00:00"/>
    <n v="20272200"/>
    <n v="20.262135922330096"/>
    <s v="New Loan"/>
    <s v="Q42025"/>
    <n v="38483800"/>
    <s v="L91497897|C1048868|45988|Auto Loan|Branch|West|Unemployed|24|1420900|16.09|69633|742681|623|D|0.26|0.79|1790000|1|69836|1358685|0|0|0|Active"/>
    <x v="4"/>
  </r>
  <r>
    <s v="L38433614"/>
    <s v="C5018951"/>
    <x v="419"/>
    <x v="0"/>
    <x v="1"/>
    <x v="2"/>
    <x v="3"/>
    <n v="18"/>
    <n v="433100"/>
    <n v="18.559999999999999"/>
    <n v="27750"/>
    <n v="752822"/>
    <n v="679"/>
    <x v="1"/>
    <n v="0.26"/>
    <n v="0.75"/>
    <n v="0"/>
    <n v="2"/>
    <n v="49366"/>
    <n v="389093"/>
    <n v="0"/>
    <n v="1"/>
    <n v="0"/>
    <x v="1"/>
    <n v="74897600"/>
    <n v="98928695"/>
    <n v="139"/>
    <n v="2.5999999999999999E-2"/>
    <n v="2.8571428571428571E-2"/>
    <n v="5.8201058201058198E-2"/>
    <n v="18.603181818181817"/>
    <x v="2"/>
    <n v="122"/>
    <x v="0"/>
    <n v="302"/>
    <n v="3.6423841059602648E-2"/>
    <s v="lower size (&lt; 9L)"/>
    <n v="0"/>
    <n v="0.13934426229508196"/>
    <s v=" not riskY"/>
    <d v="2025-10-31T00:00:00"/>
    <n v="18211600"/>
    <n v="21.092024539877301"/>
    <s v="New Loan"/>
    <s v="Q42025"/>
    <n v="38483800"/>
    <s v="L38433614|C5018951|45939|Personal Loan|Branch|Central|Unemployed|18|433100|18.56|27750|752822|679|C|0.26|0.75|0|2|49366|389093|0|1|0|Closed"/>
    <x v="4"/>
  </r>
  <r>
    <s v="L25027562"/>
    <s v="C9270460"/>
    <x v="429"/>
    <x v="3"/>
    <x v="0"/>
    <x v="1"/>
    <x v="2"/>
    <n v="12"/>
    <n v="3405300"/>
    <n v="7"/>
    <n v="294650"/>
    <n v="688958"/>
    <n v="795"/>
    <x v="3"/>
    <n v="0.25"/>
    <n v="0.66"/>
    <n v="5187500"/>
    <n v="1"/>
    <n v="269464"/>
    <n v="3143782"/>
    <n v="0"/>
    <n v="0"/>
    <n v="0"/>
    <x v="2"/>
    <n v="403369500"/>
    <n v="83903255"/>
    <n v="301"/>
    <n v="2.5999999999999999E-2"/>
    <n v="4.2553191489361701E-2"/>
    <n v="7.1090047393364927E-2"/>
    <n v="7.1876190476190471"/>
    <x v="2"/>
    <n v="122"/>
    <x v="0"/>
    <n v="302"/>
    <n v="3.6423841059602648E-2"/>
    <s v="larger size (&gt; 33L)"/>
    <n v="0"/>
    <n v="0.16250000000000001"/>
    <s v=" not riskY"/>
    <d v="2025-11-30T00:00:00"/>
    <n v="20272200"/>
    <n v="20.516129032258064"/>
    <s v="New Loan"/>
    <s v="Q42025"/>
    <n v="38483800"/>
    <s v="L25027562|C9270460|45989|Home Loan|Online|West|Self-Employed|12|3405300|7|294650|688958|795|A|0.25|0.66|5187500|1|269464|3143782|0|0|0|Active"/>
    <x v="4"/>
  </r>
  <r>
    <s v="L72483619"/>
    <s v="C6151718"/>
    <x v="430"/>
    <x v="1"/>
    <x v="0"/>
    <x v="2"/>
    <x v="0"/>
    <n v="12"/>
    <n v="565900"/>
    <n v="19.21"/>
    <n v="52208"/>
    <n v="459916"/>
    <n v="607"/>
    <x v="2"/>
    <n v="0.19"/>
    <n v="0.87"/>
    <n v="653500"/>
    <n v="1"/>
    <n v="51045"/>
    <n v="518479"/>
    <n v="0"/>
    <n v="0"/>
    <n v="0"/>
    <x v="2"/>
    <n v="201475100"/>
    <n v="98928695"/>
    <n v="301"/>
    <n v="2.5999999999999999E-2"/>
    <n v="2.8571428571428571E-2"/>
    <n v="7.1090047393364927E-2"/>
    <n v="18.241249999999997"/>
    <x v="3"/>
    <n v="86"/>
    <x v="1"/>
    <n v="141"/>
    <n v="1.4184397163120567E-2"/>
    <s v="lower size (&lt; 9L)"/>
    <n v="0"/>
    <n v="0.13934426229508196"/>
    <s v=" not riskY"/>
    <d v="2025-11-30T00:00:00"/>
    <n v="20272200"/>
    <n v="19.091954022988507"/>
    <s v="New Loan"/>
    <s v="Q42025"/>
    <n v="38483800"/>
    <s v="L72483619|C6151718|45984|SME Loan|Online|Central|Salaried|12|565900|19.21|52208|459916|607|D|0.19|0.87|653500|1|51045|518479|0|0|0|Active"/>
    <x v="4"/>
  </r>
  <r>
    <s v="L87095285"/>
    <s v="C9294611"/>
    <x v="431"/>
    <x v="2"/>
    <x v="2"/>
    <x v="1"/>
    <x v="2"/>
    <n v="360"/>
    <n v="1937600"/>
    <n v="9.51"/>
    <n v="16307"/>
    <n v="1448023"/>
    <n v="746"/>
    <x v="0"/>
    <n v="0.19"/>
    <n v="0.79"/>
    <n v="2442500"/>
    <n v="2"/>
    <n v="28427"/>
    <n v="1921457"/>
    <n v="0"/>
    <n v="0"/>
    <n v="0"/>
    <x v="2"/>
    <n v="92273000"/>
    <n v="83903255"/>
    <n v="301"/>
    <n v="2.5999999999999999E-2"/>
    <n v="4.2553191489361701E-2"/>
    <n v="0.1"/>
    <n v="10.611923076923079"/>
    <x v="3"/>
    <n v="86"/>
    <x v="0"/>
    <n v="302"/>
    <n v="3.6423841059602648E-2"/>
    <s v="medium size (&lt;=33L)"/>
    <n v="0"/>
    <n v="0.15909090909090909"/>
    <s v=" not riskY"/>
    <d v="2025-10-31T00:00:00"/>
    <n v="18211600"/>
    <n v="20.262135922330096"/>
    <s v="New Loan"/>
    <s v="Q42025"/>
    <n v="38483800"/>
    <s v="L87095285|C9294611|45949|Auto Loan|Partner|West|Self-Employed|360|1937600|9.51|16307|1448023|746|B|0.19|0.79|2442500|2|28427|1921457|0|0|0|Active"/>
    <x v="4"/>
  </r>
  <r>
    <s v="L62568817"/>
    <s v="C6710476"/>
    <x v="419"/>
    <x v="0"/>
    <x v="1"/>
    <x v="4"/>
    <x v="2"/>
    <n v="60"/>
    <n v="421600"/>
    <n v="20.77"/>
    <n v="11351"/>
    <n v="285233"/>
    <n v="626"/>
    <x v="2"/>
    <n v="0.17"/>
    <n v="0.79"/>
    <n v="0"/>
    <n v="2"/>
    <n v="20305"/>
    <n v="407133"/>
    <n v="0"/>
    <n v="0"/>
    <n v="0"/>
    <x v="2"/>
    <n v="74897600"/>
    <n v="83297251"/>
    <n v="301"/>
    <n v="2.5999999999999999E-2"/>
    <n v="3.1914893617021274E-2"/>
    <n v="5.8201058201058198E-2"/>
    <n v="20.962592592592593"/>
    <x v="3"/>
    <n v="86"/>
    <x v="0"/>
    <n v="302"/>
    <n v="3.6423841059602648E-2"/>
    <s v="lower size (&lt; 9L)"/>
    <n v="0"/>
    <n v="0.13934426229508196"/>
    <s v=" not riskY"/>
    <d v="2025-10-31T00:00:00"/>
    <n v="18211600"/>
    <n v="21.092024539877301"/>
    <s v="New Loan"/>
    <s v="Q42025"/>
    <n v="38483800"/>
    <s v="L62568817|C6710476|45939|Personal Loan|Branch|East|Self-Employed|60|421600|20.77|11351|285233|626|D|0.17|0.79|0|2|20305|407133|0|0|0|Active"/>
    <x v="4"/>
  </r>
  <r>
    <s v="L80819781"/>
    <s v="C2418504"/>
    <x v="432"/>
    <x v="3"/>
    <x v="1"/>
    <x v="0"/>
    <x v="0"/>
    <n v="12"/>
    <n v="2997100"/>
    <n v="13.87"/>
    <n v="268918"/>
    <n v="771999"/>
    <n v="613"/>
    <x v="2"/>
    <n v="0.16"/>
    <n v="0.61"/>
    <n v="4916800"/>
    <n v="2"/>
    <n v="543875"/>
    <n v="2480938"/>
    <n v="0"/>
    <n v="0"/>
    <n v="0"/>
    <x v="2"/>
    <n v="403369500"/>
    <n v="94548000"/>
    <n v="301"/>
    <n v="2.5999999999999999E-2"/>
    <n v="0"/>
    <n v="5.8201058201058198E-2"/>
    <n v="13.406874999999999"/>
    <x v="3"/>
    <n v="86"/>
    <x v="0"/>
    <n v="302"/>
    <n v="3.6423841059602648E-2"/>
    <s v="medium size (&lt;=33L)"/>
    <n v="0"/>
    <n v="0.15909090909090909"/>
    <s v=" not riskY"/>
    <d v="2025-10-31T00:00:00"/>
    <n v="18211600"/>
    <n v="20.516129032258064"/>
    <s v="New Loan"/>
    <s v="Q42025"/>
    <n v="38483800"/>
    <s v="L80819781|C2418504|45960|Home Loan|Branch|South|Salaried|12|2997100|13.87|268918|771999|613|D|0.16|0.61|4916800|2|543875|2480938|0|0|0|Active"/>
    <x v="4"/>
  </r>
  <r>
    <s v="L96006093"/>
    <s v="C2206851"/>
    <x v="433"/>
    <x v="2"/>
    <x v="2"/>
    <x v="4"/>
    <x v="2"/>
    <n v="24"/>
    <n v="424000"/>
    <n v="17.52"/>
    <n v="21070"/>
    <n v="1047566"/>
    <n v="578"/>
    <x v="4"/>
    <n v="0.15"/>
    <n v="0.91"/>
    <n v="467700"/>
    <n v="2"/>
    <n v="37556"/>
    <n v="391396"/>
    <n v="0"/>
    <n v="0"/>
    <n v="0"/>
    <x v="2"/>
    <n v="92273000"/>
    <n v="83297251"/>
    <n v="301"/>
    <n v="2.5999999999999999E-2"/>
    <n v="3.1914893617021274E-2"/>
    <n v="0.1"/>
    <n v="17.744166666666668"/>
    <x v="3"/>
    <n v="86"/>
    <x v="1"/>
    <n v="141"/>
    <n v="1.4184397163120567E-2"/>
    <s v="lower size (&lt; 9L)"/>
    <n v="0"/>
    <n v="0.13934426229508196"/>
    <s v="high risk"/>
    <d v="2025-10-31T00:00:00"/>
    <n v="18211600"/>
    <n v="20.262135922330096"/>
    <s v="New Loan"/>
    <s v="Q42025"/>
    <n v="38483800"/>
    <s v="L96006093|C2206851|45934|Auto Loan|Partner|East|Self-Employed|24|424000|17.52|21070|1047566|578|E|0.15|0.91|467700|2|37556|391396|0|0|0|Active"/>
    <x v="4"/>
  </r>
  <r>
    <s v="L51403053"/>
    <s v="C7990911"/>
    <x v="434"/>
    <x v="0"/>
    <x v="1"/>
    <x v="4"/>
    <x v="0"/>
    <n v="180"/>
    <n v="665400"/>
    <n v="20.11"/>
    <n v="11741"/>
    <n v="546196"/>
    <n v="664"/>
    <x v="1"/>
    <n v="0.09"/>
    <n v="0.62"/>
    <n v="0"/>
    <n v="1"/>
    <n v="11605"/>
    <n v="658255"/>
    <n v="0"/>
    <n v="0"/>
    <n v="0"/>
    <x v="2"/>
    <n v="74897600"/>
    <n v="83297251"/>
    <n v="301"/>
    <n v="2.5999999999999999E-2"/>
    <n v="3.1914893617021274E-2"/>
    <n v="5.8201058201058198E-2"/>
    <n v="18.603181818181817"/>
    <x v="3"/>
    <n v="86"/>
    <x v="0"/>
    <n v="302"/>
    <n v="3.6423841059602648E-2"/>
    <s v="lower size (&lt; 9L)"/>
    <n v="0"/>
    <n v="0.13934426229508196"/>
    <s v=" not riskY"/>
    <d v="2025-11-30T00:00:00"/>
    <n v="20272200"/>
    <n v="21.092024539877301"/>
    <s v="New Loan"/>
    <s v="Q42025"/>
    <n v="38483800"/>
    <s v="L51403053|C7990911|45990|Personal Loan|Branch|East|Salaried|180|665400|20.11|11741|546196|664|C|0.09|0.62|0|1|11605|658255|0|0|0|Active"/>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3EC250-9A31-47D2-9CBF-5C9872C0D58E}" name="PivotTable15"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87:I93" firstHeaderRow="0" firstDataRow="1" firstDataCol="1"/>
  <pivotFields count="48">
    <pivotField dataField="1" showAll="0"/>
    <pivotField showAll="0"/>
    <pivotField numFmtId="164" showAll="0"/>
    <pivotField showAll="0">
      <items count="6">
        <item x="2"/>
        <item x="4"/>
        <item x="3"/>
        <item x="0"/>
        <item x="1"/>
        <item t="default"/>
      </items>
    </pivotField>
    <pivotField showAll="0"/>
    <pivotField showAll="0"/>
    <pivotField showAll="0"/>
    <pivotField showAll="0"/>
    <pivotField showAll="0"/>
    <pivotField showAll="0"/>
    <pivotField showAll="0"/>
    <pivotField showAll="0"/>
    <pivotField showAll="0"/>
    <pivotField axis="axisRow" showAll="0" sortType="descending">
      <items count="6">
        <item x="3"/>
        <item x="0"/>
        <item x="1"/>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Fields count="1">
    <field x="13"/>
  </rowFields>
  <rowItems count="6">
    <i>
      <x v="2"/>
    </i>
    <i>
      <x v="1"/>
    </i>
    <i>
      <x/>
    </i>
    <i>
      <x v="3"/>
    </i>
    <i>
      <x v="4"/>
    </i>
    <i t="grand">
      <x/>
    </i>
  </rowItems>
  <colFields count="1">
    <field x="-2"/>
  </colFields>
  <colItems count="2">
    <i>
      <x/>
    </i>
    <i i="1">
      <x v="1"/>
    </i>
  </colItems>
  <dataFields count="2">
    <dataField name="Sum of default_flag" fld="22" baseField="0" baseItem="0"/>
    <dataField name="Count of loan_id" fld="0" subtotal="count" baseField="0" baseItem="0"/>
  </dataFields>
  <formats count="1">
    <format dxfId="1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8D5904-8FE8-484E-8575-539E3D5B0496}" name="PivotTable14"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K19:N24" firstHeaderRow="0" firstDataRow="1" firstDataCol="1"/>
  <pivotFields count="48">
    <pivotField showAll="0"/>
    <pivotField showAll="0"/>
    <pivotField numFmtId="164" showAll="0"/>
    <pivotField showAll="0" sortType="descending">
      <items count="6">
        <item x="2"/>
        <item x="4"/>
        <item x="3"/>
        <item x="0"/>
        <item x="1"/>
        <item t="default"/>
      </items>
      <autoSortScope>
        <pivotArea dataOnly="0" outline="0" fieldPosition="0">
          <references count="1">
            <reference field="4294967294" count="1" selected="0">
              <x v="1"/>
            </reference>
          </references>
        </pivotArea>
      </autoSortScope>
    </pivotField>
    <pivotField showAll="0"/>
    <pivotField showAll="0" sortType="descending">
      <items count="6">
        <item x="2"/>
        <item x="4"/>
        <item x="3"/>
        <item x="0"/>
        <item x="1"/>
        <item t="default"/>
      </items>
      <autoSortScope>
        <pivotArea dataOnly="0" outline="0" fieldPosition="0">
          <references count="1">
            <reference field="4294967294" count="1" selected="0">
              <x v="1"/>
            </reference>
          </references>
        </pivotArea>
      </autoSortScope>
    </pivotField>
    <pivotField axis="axisRow" showAll="0" sortType="descending">
      <items count="5">
        <item x="1"/>
        <item x="0"/>
        <item x="2"/>
        <item x="3"/>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Fields count="1">
    <field x="6"/>
  </rowFields>
  <rowItems count="5">
    <i>
      <x v="1"/>
    </i>
    <i>
      <x v="2"/>
    </i>
    <i>
      <x/>
    </i>
    <i>
      <x v="3"/>
    </i>
    <i t="grand">
      <x/>
    </i>
  </rowItems>
  <colFields count="1">
    <field x="-2"/>
  </colFields>
  <colItems count="3">
    <i>
      <x/>
    </i>
    <i i="1">
      <x v="1"/>
    </i>
    <i i="2">
      <x v="2"/>
    </i>
  </colItems>
  <dataFields count="3">
    <dataField name="Sum of loan_amount" fld="8" baseField="0" baseItem="0"/>
    <dataField name="Sum of current_balance" fld="19" baseField="0" baseItem="0" numFmtId="165"/>
    <dataField name="Sum of current_balance2" fld="19" showDataAs="percentOfCol" baseField="0" baseItem="0" numFmtId="9"/>
  </dataFields>
  <formats count="2">
    <format dxfId="98">
      <pivotArea outline="0" collapsedLevelsAreSubtotals="1" fieldPosition="0"/>
    </format>
    <format dxfId="99">
      <pivotArea outline="0" collapsedLevelsAreSubtotals="1" fieldPosition="0">
        <references count="1">
          <reference field="4294967294" count="1" selected="0">
            <x v="2"/>
          </reference>
        </references>
      </pivotArea>
    </format>
  </formats>
  <chartFormats count="7">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2"/>
          </reference>
        </references>
      </pivotArea>
    </chartFormat>
    <chartFormat chart="7" format="1" series="1">
      <pivotArea type="data" outline="0" fieldPosition="0">
        <references count="1">
          <reference field="4294967294" count="1" selected="0">
            <x v="2"/>
          </reference>
        </references>
      </pivotArea>
    </chartFormat>
    <chartFormat chart="7"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1FBB19-4BE4-AB48-8E22-73AE94C115AE}" name="PivotTable1"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C18:E24" firstHeaderRow="0" firstDataRow="1" firstDataCol="1"/>
  <pivotFields count="48">
    <pivotField showAll="0"/>
    <pivotField showAll="0"/>
    <pivotField numFmtId="164" showAll="0"/>
    <pivotField axis="axisRow" showAll="0" sortType="descending">
      <items count="6">
        <item x="2"/>
        <item x="4"/>
        <item x="3"/>
        <item x="0"/>
        <item x="1"/>
        <item t="default"/>
      </items>
      <autoSortScope>
        <pivotArea dataOnly="0" outline="0" fieldPosition="0">
          <references count="1">
            <reference field="4294967294" count="1" selected="0">
              <x v="0"/>
            </reference>
          </references>
        </pivotArea>
      </autoSortScope>
    </pivotField>
    <pivotField showAll="0"/>
    <pivotField showAll="0" sortType="descending">
      <items count="6">
        <item x="2"/>
        <item x="4"/>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Fields count="1">
    <field x="3"/>
  </rowFields>
  <rowItems count="6">
    <i>
      <x v="2"/>
    </i>
    <i>
      <x v="4"/>
    </i>
    <i>
      <x/>
    </i>
    <i>
      <x v="1"/>
    </i>
    <i>
      <x v="3"/>
    </i>
    <i t="grand">
      <x/>
    </i>
  </rowItems>
  <colFields count="1">
    <field x="-2"/>
  </colFields>
  <colItems count="2">
    <i>
      <x/>
    </i>
    <i i="1">
      <x v="1"/>
    </i>
  </colItems>
  <dataFields count="2">
    <dataField name="Sum of current_balance" fld="19" baseField="0" baseItem="0" numFmtId="165"/>
    <dataField name="Sum of current_balance2" fld="19" showDataAs="percentOfCol" baseField="0" baseItem="0" numFmtId="9"/>
  </dataFields>
  <formats count="2">
    <format dxfId="96">
      <pivotArea outline="0" collapsedLevelsAreSubtotals="1" fieldPosition="0"/>
    </format>
    <format dxfId="97">
      <pivotArea outline="0" collapsedLevelsAreSubtotals="1" fieldPosition="0">
        <references count="1">
          <reference field="4294967294" count="1" selected="0">
            <x v="1"/>
          </reference>
        </references>
      </pivotArea>
    </format>
  </format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531540-52C3-4F9D-9CAC-445EFA30F840}" name="PivotTable10"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72:D178" firstHeaderRow="1" firstDataRow="1" firstDataCol="1"/>
  <pivotFields count="48">
    <pivotField showAll="0"/>
    <pivotField showAll="0"/>
    <pivotField numFmtId="164" showAll="0"/>
    <pivotField axis="axisRow" showAll="0">
      <items count="6">
        <item x="2"/>
        <item x="4"/>
        <item x="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Average of interest_rate_pct" fld="9" subtotal="average" baseField="0" baseItem="0"/>
  </dataFields>
  <formats count="1">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696B70-8E74-4436-90C7-FBD94706D7DD}" name="PivotTable11"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87:E93" firstHeaderRow="0" firstDataRow="1" firstDataCol="1"/>
  <pivotFields count="48">
    <pivotField dataField="1" showAll="0"/>
    <pivotField showAll="0"/>
    <pivotField numFmtId="164" showAll="0"/>
    <pivotField axis="axisRow" showAll="0" sortType="descending">
      <items count="6">
        <item x="2"/>
        <item x="4"/>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Fields count="1">
    <field x="3"/>
  </rowFields>
  <rowItems count="6">
    <i>
      <x v="3"/>
    </i>
    <i>
      <x v="2"/>
    </i>
    <i>
      <x v="4"/>
    </i>
    <i>
      <x v="1"/>
    </i>
    <i>
      <x/>
    </i>
    <i t="grand">
      <x/>
    </i>
  </rowItems>
  <colFields count="1">
    <field x="-2"/>
  </colFields>
  <colItems count="2">
    <i>
      <x/>
    </i>
    <i i="1">
      <x v="1"/>
    </i>
  </colItems>
  <dataFields count="2">
    <dataField name="Sum of default_flag" fld="22" baseField="0" baseItem="0"/>
    <dataField name="Count of loan_id" fld="0" subtotal="count" baseField="0" baseItem="0"/>
  </dataFields>
  <formats count="1">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734B18-6F2D-EF44-AFB8-18456E6ADD2A}" name="PivotTable7"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42:E146" firstHeaderRow="0" firstDataRow="1" firstDataCol="1"/>
  <pivotFields count="48">
    <pivotField dataField="1" showAll="0"/>
    <pivotField showAll="0"/>
    <pivotField numFmtId="164"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numFmtId="165" showAll="0"/>
    <pivotField numFmtId="165"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items count="4">
        <item x="0"/>
        <item x="1"/>
        <item x="2"/>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Fields count="1">
    <field x="33"/>
  </rowFields>
  <rowItems count="4">
    <i>
      <x/>
    </i>
    <i>
      <x v="1"/>
    </i>
    <i>
      <x v="2"/>
    </i>
    <i t="grand">
      <x/>
    </i>
  </rowItems>
  <colFields count="1">
    <field x="-2"/>
  </colFields>
  <colItems count="2">
    <i>
      <x/>
    </i>
    <i i="1">
      <x v="1"/>
    </i>
  </colItems>
  <dataFields count="2">
    <dataField name="Count of loan_id" fld="0" subtotal="count" baseField="0" baseItem="0"/>
    <dataField name="Sum of default_flag" fld="22" baseField="0" baseItem="0"/>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BCABF8-EC42-E54E-95C8-9CEDF06F121A}" name="PivotTable6"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33:E138" firstHeaderRow="0" firstDataRow="1" firstDataCol="1"/>
  <pivotFields count="48">
    <pivotField dataField="1" showAll="0"/>
    <pivotField showAll="0"/>
    <pivotField numFmtId="164"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numFmtId="165" showAll="0"/>
    <pivotField numFmtId="165" showAll="0"/>
    <pivotField showAll="0"/>
    <pivotField showAll="0"/>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Fields count="1">
    <field x="31"/>
  </rowFields>
  <rowItems count="5">
    <i>
      <x v="2"/>
    </i>
    <i>
      <x v="1"/>
    </i>
    <i>
      <x/>
    </i>
    <i>
      <x v="3"/>
    </i>
    <i t="grand">
      <x/>
    </i>
  </rowItems>
  <colFields count="1">
    <field x="-2"/>
  </colFields>
  <colItems count="2">
    <i>
      <x/>
    </i>
    <i i="1">
      <x v="1"/>
    </i>
  </colItems>
  <dataFields count="2">
    <dataField name="Count of loan_id" fld="0" subtotal="count" baseField="0" baseItem="0"/>
    <dataField name="Sum of default_flag" fld="22" baseField="0" baseItem="0"/>
  </dataFields>
  <formats count="1">
    <format dxfId="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284936-E76D-7341-8489-01BA12C55671}" name="PivotTable9"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60:D166" firstHeaderRow="1" firstDataRow="1" firstDataCol="1"/>
  <pivotFields count="48">
    <pivotField showAll="0"/>
    <pivotField showAll="0"/>
    <pivotField numFmtId="164" showAll="0"/>
    <pivotField showAll="0"/>
    <pivotField showAll="0"/>
    <pivotField showAll="0"/>
    <pivotField showAll="0"/>
    <pivotField showAll="0"/>
    <pivotField showAll="0"/>
    <pivotField dataField="1" showAll="0"/>
    <pivotField showAll="0"/>
    <pivotField showAll="0"/>
    <pivotField showAll="0"/>
    <pivotField axis="axisRow" showAll="0">
      <items count="6">
        <item x="3"/>
        <item x="0"/>
        <item x="1"/>
        <item x="2"/>
        <item x="4"/>
        <item t="default"/>
      </items>
    </pivotField>
    <pivotField showAll="0"/>
    <pivotField showAll="0"/>
    <pivotField showAll="0"/>
    <pivotField showAll="0"/>
    <pivotField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Items count="1">
    <i/>
  </colItems>
  <dataFields count="1">
    <dataField name="Average of interest_rate_pct" fld="9" subtotal="average" baseField="0" baseItem="0"/>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C19A33-3A65-452A-B9AC-495A9DFEAE40}" name="PivotTable12" cacheId="7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C186:E192" firstHeaderRow="0" firstDataRow="1" firstDataCol="1"/>
  <pivotFields count="48">
    <pivotField dataField="1" showAll="0"/>
    <pivotField showAll="0"/>
    <pivotField numFmtId="164" showAll="0">
      <items count="436">
        <item x="9"/>
        <item x="6"/>
        <item x="0"/>
        <item x="19"/>
        <item x="7"/>
        <item x="15"/>
        <item x="4"/>
        <item x="1"/>
        <item x="5"/>
        <item x="14"/>
        <item x="10"/>
        <item x="3"/>
        <item x="2"/>
        <item x="11"/>
        <item x="22"/>
        <item x="21"/>
        <item x="20"/>
        <item x="26"/>
        <item x="28"/>
        <item x="27"/>
        <item x="18"/>
        <item x="16"/>
        <item x="23"/>
        <item x="25"/>
        <item x="12"/>
        <item x="8"/>
        <item x="13"/>
        <item x="24"/>
        <item x="17"/>
        <item x="125"/>
        <item x="120"/>
        <item x="141"/>
        <item x="118"/>
        <item x="132"/>
        <item x="135"/>
        <item x="130"/>
        <item x="140"/>
        <item x="134"/>
        <item x="121"/>
        <item x="119"/>
        <item x="136"/>
        <item x="117"/>
        <item x="129"/>
        <item x="128"/>
        <item x="124"/>
        <item x="133"/>
        <item x="126"/>
        <item x="139"/>
        <item x="138"/>
        <item x="127"/>
        <item x="137"/>
        <item x="131"/>
        <item x="122"/>
        <item x="123"/>
        <item x="241"/>
        <item x="242"/>
        <item x="246"/>
        <item x="238"/>
        <item x="234"/>
        <item x="227"/>
        <item x="237"/>
        <item x="225"/>
        <item x="236"/>
        <item x="239"/>
        <item x="231"/>
        <item x="243"/>
        <item x="245"/>
        <item x="229"/>
        <item x="235"/>
        <item x="240"/>
        <item x="244"/>
        <item x="232"/>
        <item x="226"/>
        <item x="230"/>
        <item x="233"/>
        <item x="224"/>
        <item x="228"/>
        <item x="343"/>
        <item x="338"/>
        <item x="333"/>
        <item x="352"/>
        <item x="334"/>
        <item x="344"/>
        <item x="342"/>
        <item x="341"/>
        <item x="331"/>
        <item x="336"/>
        <item x="329"/>
        <item x="347"/>
        <item x="340"/>
        <item x="335"/>
        <item x="332"/>
        <item x="349"/>
        <item x="345"/>
        <item x="337"/>
        <item x="351"/>
        <item x="330"/>
        <item x="350"/>
        <item x="346"/>
        <item x="328"/>
        <item x="348"/>
        <item x="339"/>
        <item x="43"/>
        <item x="53"/>
        <item x="45"/>
        <item x="57"/>
        <item x="56"/>
        <item x="38"/>
        <item x="50"/>
        <item x="31"/>
        <item x="33"/>
        <item x="41"/>
        <item x="55"/>
        <item x="48"/>
        <item x="49"/>
        <item x="46"/>
        <item x="34"/>
        <item x="61"/>
        <item x="35"/>
        <item x="40"/>
        <item x="37"/>
        <item x="60"/>
        <item x="44"/>
        <item x="59"/>
        <item x="30"/>
        <item x="39"/>
        <item x="58"/>
        <item x="32"/>
        <item x="51"/>
        <item x="36"/>
        <item x="54"/>
        <item x="29"/>
        <item x="47"/>
        <item x="52"/>
        <item x="42"/>
        <item x="155"/>
        <item x="142"/>
        <item x="143"/>
        <item x="147"/>
        <item x="163"/>
        <item x="153"/>
        <item x="150"/>
        <item x="145"/>
        <item x="157"/>
        <item x="146"/>
        <item x="152"/>
        <item x="162"/>
        <item x="158"/>
        <item x="148"/>
        <item x="151"/>
        <item x="160"/>
        <item x="164"/>
        <item x="156"/>
        <item x="154"/>
        <item x="144"/>
        <item x="161"/>
        <item x="159"/>
        <item x="149"/>
        <item x="260"/>
        <item x="247"/>
        <item x="262"/>
        <item x="278"/>
        <item x="251"/>
        <item x="265"/>
        <item x="261"/>
        <item x="270"/>
        <item x="257"/>
        <item x="276"/>
        <item x="269"/>
        <item x="274"/>
        <item x="249"/>
        <item x="264"/>
        <item x="275"/>
        <item x="253"/>
        <item x="267"/>
        <item x="255"/>
        <item x="279"/>
        <item x="268"/>
        <item x="250"/>
        <item x="263"/>
        <item x="256"/>
        <item x="277"/>
        <item x="272"/>
        <item x="248"/>
        <item x="271"/>
        <item x="258"/>
        <item x="252"/>
        <item x="254"/>
        <item x="259"/>
        <item x="273"/>
        <item x="266"/>
        <item x="377"/>
        <item x="364"/>
        <item x="356"/>
        <item x="373"/>
        <item x="360"/>
        <item x="371"/>
        <item x="369"/>
        <item x="366"/>
        <item x="376"/>
        <item x="375"/>
        <item x="378"/>
        <item x="354"/>
        <item x="381"/>
        <item x="372"/>
        <item x="374"/>
        <item x="379"/>
        <item x="365"/>
        <item x="362"/>
        <item x="363"/>
        <item x="370"/>
        <item x="380"/>
        <item x="382"/>
        <item x="368"/>
        <item x="358"/>
        <item x="357"/>
        <item x="361"/>
        <item x="359"/>
        <item x="353"/>
        <item x="367"/>
        <item x="355"/>
        <item x="73"/>
        <item x="82"/>
        <item x="64"/>
        <item x="78"/>
        <item x="69"/>
        <item x="80"/>
        <item x="68"/>
        <item x="81"/>
        <item x="75"/>
        <item x="72"/>
        <item x="65"/>
        <item x="89"/>
        <item x="63"/>
        <item x="62"/>
        <item x="77"/>
        <item x="85"/>
        <item x="79"/>
        <item x="67"/>
        <item x="74"/>
        <item x="88"/>
        <item x="76"/>
        <item x="86"/>
        <item x="70"/>
        <item x="87"/>
        <item x="90"/>
        <item x="71"/>
        <item x="66"/>
        <item x="84"/>
        <item x="83"/>
        <item x="178"/>
        <item x="177"/>
        <item x="182"/>
        <item x="176"/>
        <item x="165"/>
        <item x="175"/>
        <item x="172"/>
        <item x="171"/>
        <item x="167"/>
        <item x="186"/>
        <item x="179"/>
        <item x="185"/>
        <item x="174"/>
        <item x="188"/>
        <item x="183"/>
        <item x="181"/>
        <item x="173"/>
        <item x="189"/>
        <item x="169"/>
        <item x="168"/>
        <item x="187"/>
        <item x="180"/>
        <item x="166"/>
        <item x="184"/>
        <item x="170"/>
        <item x="288"/>
        <item x="299"/>
        <item x="292"/>
        <item x="293"/>
        <item x="285"/>
        <item x="284"/>
        <item x="291"/>
        <item x="298"/>
        <item x="289"/>
        <item x="295"/>
        <item x="301"/>
        <item x="286"/>
        <item x="282"/>
        <item x="287"/>
        <item x="297"/>
        <item x="296"/>
        <item x="281"/>
        <item x="280"/>
        <item x="290"/>
        <item x="294"/>
        <item x="300"/>
        <item x="283"/>
        <item x="387"/>
        <item x="394"/>
        <item x="389"/>
        <item x="400"/>
        <item x="407"/>
        <item x="399"/>
        <item x="410"/>
        <item x="408"/>
        <item x="398"/>
        <item x="409"/>
        <item x="390"/>
        <item x="411"/>
        <item x="395"/>
        <item x="385"/>
        <item x="384"/>
        <item x="405"/>
        <item x="386"/>
        <item x="403"/>
        <item x="404"/>
        <item x="402"/>
        <item x="401"/>
        <item x="391"/>
        <item x="388"/>
        <item x="392"/>
        <item x="397"/>
        <item x="393"/>
        <item x="383"/>
        <item x="406"/>
        <item x="396"/>
        <item x="93"/>
        <item x="105"/>
        <item x="95"/>
        <item x="97"/>
        <item x="113"/>
        <item x="104"/>
        <item x="109"/>
        <item x="110"/>
        <item x="103"/>
        <item x="101"/>
        <item x="114"/>
        <item x="116"/>
        <item x="106"/>
        <item x="108"/>
        <item x="102"/>
        <item x="112"/>
        <item x="96"/>
        <item x="91"/>
        <item x="107"/>
        <item x="100"/>
        <item x="111"/>
        <item x="98"/>
        <item x="115"/>
        <item x="92"/>
        <item x="99"/>
        <item x="94"/>
        <item x="209"/>
        <item x="221"/>
        <item x="201"/>
        <item x="212"/>
        <item x="205"/>
        <item x="223"/>
        <item x="199"/>
        <item x="200"/>
        <item x="210"/>
        <item x="222"/>
        <item x="191"/>
        <item x="206"/>
        <item x="203"/>
        <item x="220"/>
        <item x="202"/>
        <item x="211"/>
        <item x="216"/>
        <item x="196"/>
        <item x="215"/>
        <item x="204"/>
        <item x="219"/>
        <item x="217"/>
        <item x="198"/>
        <item x="197"/>
        <item x="192"/>
        <item x="194"/>
        <item x="218"/>
        <item x="190"/>
        <item x="214"/>
        <item x="195"/>
        <item x="208"/>
        <item x="207"/>
        <item x="193"/>
        <item x="213"/>
        <item x="306"/>
        <item x="310"/>
        <item x="327"/>
        <item x="309"/>
        <item x="311"/>
        <item x="324"/>
        <item x="318"/>
        <item x="319"/>
        <item x="316"/>
        <item x="323"/>
        <item x="315"/>
        <item x="303"/>
        <item x="320"/>
        <item x="312"/>
        <item x="314"/>
        <item x="308"/>
        <item x="302"/>
        <item x="322"/>
        <item x="307"/>
        <item x="321"/>
        <item x="325"/>
        <item x="305"/>
        <item x="326"/>
        <item x="317"/>
        <item x="313"/>
        <item x="304"/>
        <item x="421"/>
        <item x="416"/>
        <item x="426"/>
        <item x="433"/>
        <item x="424"/>
        <item x="417"/>
        <item x="419"/>
        <item x="423"/>
        <item x="431"/>
        <item x="422"/>
        <item x="432"/>
        <item x="427"/>
        <item x="412"/>
        <item x="420"/>
        <item x="414"/>
        <item x="415"/>
        <item x="413"/>
        <item x="425"/>
        <item x="430"/>
        <item x="418"/>
        <item x="428"/>
        <item x="429"/>
        <item x="434"/>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Row" showAll="0">
      <items count="6">
        <item x="0"/>
        <item x="1"/>
        <item x="2"/>
        <item x="3"/>
        <item x="4"/>
        <item t="default"/>
      </items>
    </pivotField>
  </pivotFields>
  <rowFields count="1">
    <field x="47"/>
  </rowFields>
  <rowItems count="6">
    <i>
      <x/>
    </i>
    <i>
      <x v="1"/>
    </i>
    <i>
      <x v="2"/>
    </i>
    <i>
      <x v="3"/>
    </i>
    <i>
      <x v="4"/>
    </i>
    <i t="grand">
      <x/>
    </i>
  </rowItems>
  <colFields count="1">
    <field x="-2"/>
  </colFields>
  <colItems count="2">
    <i>
      <x/>
    </i>
    <i i="1">
      <x v="1"/>
    </i>
  </colItems>
  <dataFields count="2">
    <dataField name="Count of loan_id" fld="0" subtotal="count" baseField="0" baseItem="0"/>
    <dataField name="Sum of loan_amount" fld="8" baseField="0" baseItem="0"/>
  </dataFields>
  <formats count="1">
    <format dxfId="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E0122D-84DF-476A-835E-A48CFE016FA7}" name="PivotTable13"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230:J235" firstHeaderRow="0" firstDataRow="1" firstDataCol="1"/>
  <pivotFields count="48">
    <pivotField dataField="1" showAll="0"/>
    <pivotField showAll="0"/>
    <pivotField numFmtId="164"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Sum of prepayment_flag" fld="21" baseField="0" baseItem="0"/>
    <dataField name="Count of loan_id" fld="0" subtotal="count" baseField="0" baseItem="0"/>
  </dataFields>
  <formats count="1">
    <format dxfId="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D91F08-04EA-FE4A-9622-D92955406971}" name="PivotTable4"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78:F83" firstHeaderRow="0" firstDataRow="1" firstDataCol="1"/>
  <pivotFields count="48">
    <pivotField showAll="0"/>
    <pivotField showAll="0"/>
    <pivotField numFmtId="16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sortType="descending">
      <autoSortScope>
        <pivotArea dataOnly="0" outline="0" fieldPosition="0">
          <references count="1">
            <reference field="4294967294" count="1" selected="0">
              <x v="0"/>
            </reference>
          </references>
        </pivotArea>
      </autoSortScope>
    </pivotField>
    <pivotField numFmtId="165" showAll="0"/>
    <pivotField numFmtId="165" showAll="0"/>
    <pivotField showAll="0"/>
    <pivotField showAll="0"/>
    <pivotField showAll="0"/>
    <pivotField showAll="0"/>
    <pivotField showAll="0"/>
    <pivotField axis="axisRow" showAll="0">
      <items count="5">
        <item x="3"/>
        <item x="2"/>
        <item x="1"/>
        <item x="0"/>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Fields count="1">
    <field x="31"/>
  </rowFields>
  <rowItems count="5">
    <i>
      <x/>
    </i>
    <i>
      <x v="1"/>
    </i>
    <i>
      <x v="2"/>
    </i>
    <i>
      <x v="3"/>
    </i>
    <i t="grand">
      <x/>
    </i>
  </rowItems>
  <colFields count="1">
    <field x="-2"/>
  </colFields>
  <colItems count="3">
    <i>
      <x/>
    </i>
    <i i="1">
      <x v="1"/>
    </i>
    <i i="2">
      <x v="2"/>
    </i>
  </colItems>
  <dataFields count="3">
    <dataField name="Count of loan_status" fld="23" subtotal="count" baseField="0" baseItem="0"/>
    <dataField name="Sum of loan_amount" fld="8" showDataAs="percentOfCol" baseField="0" baseItem="0" numFmtId="10"/>
    <dataField name="Sum of current_balance" fld="19" showDataAs="percentOfCol" baseField="0" baseItem="0" numFmtId="10"/>
  </dataFields>
  <formats count="3">
    <format dxfId="86">
      <pivotArea outline="0" collapsedLevelsAreSubtotals="1" fieldPosition="0"/>
    </format>
    <format dxfId="87">
      <pivotArea collapsedLevelsAreSubtotals="1" fieldPosition="0">
        <references count="2">
          <reference field="4294967294" count="1" selected="0">
            <x v="1"/>
          </reference>
          <reference field="31" count="0"/>
        </references>
      </pivotArea>
    </format>
    <format dxfId="8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1D7208-4591-854F-9ADD-E50391B5A5C1}" name="PivotTable3"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68:F73" firstHeaderRow="0" firstDataRow="1" firstDataCol="1"/>
  <pivotFields count="48">
    <pivotField showAll="0"/>
    <pivotField showAll="0"/>
    <pivotField numFmtId="16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dataField="1"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Fields count="1">
    <field x="23"/>
  </rowFields>
  <rowItems count="5">
    <i>
      <x/>
    </i>
    <i>
      <x v="1"/>
    </i>
    <i>
      <x v="3"/>
    </i>
    <i>
      <x v="2"/>
    </i>
    <i t="grand">
      <x/>
    </i>
  </rowItems>
  <colFields count="1">
    <field x="-2"/>
  </colFields>
  <colItems count="3">
    <i>
      <x/>
    </i>
    <i i="1">
      <x v="1"/>
    </i>
    <i i="2">
      <x v="2"/>
    </i>
  </colItems>
  <dataFields count="3">
    <dataField name="Count of loan_status" fld="23" subtotal="count" baseField="0" baseItem="0"/>
    <dataField name="Sum of loan_amount" fld="8" baseField="0" baseItem="0"/>
    <dataField name="Sum of current_balance" fld="19" baseField="0" baseItem="0"/>
  </dataFields>
  <formats count="2">
    <format dxfId="84">
      <pivotArea outline="0" collapsedLevelsAreSubtotals="1" fieldPosition="0"/>
    </format>
    <format dxfId="85">
      <pivotArea collapsedLevelsAreSubtotals="1" fieldPosition="0">
        <references count="2">
          <reference field="4294967294" count="1" selected="0">
            <x v="2"/>
          </reference>
          <reference field="2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3B86D2-7D80-6F4C-AFF0-89A4301CFDD8}" name="PivotTable2"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G19:I25" firstHeaderRow="0" firstDataRow="1" firstDataCol="1"/>
  <pivotFields count="48">
    <pivotField showAll="0"/>
    <pivotField showAll="0"/>
    <pivotField numFmtId="164" showAll="0"/>
    <pivotField showAll="0" sortType="descending">
      <items count="6">
        <item x="2"/>
        <item x="4"/>
        <item x="3"/>
        <item x="0"/>
        <item x="1"/>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6">
        <item x="2"/>
        <item x="4"/>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Fields count="1">
    <field x="5"/>
  </rowFields>
  <rowItems count="6">
    <i>
      <x v="2"/>
    </i>
    <i>
      <x/>
    </i>
    <i>
      <x v="3"/>
    </i>
    <i>
      <x v="4"/>
    </i>
    <i>
      <x v="1"/>
    </i>
    <i t="grand">
      <x/>
    </i>
  </rowItems>
  <colFields count="1">
    <field x="-2"/>
  </colFields>
  <colItems count="2">
    <i>
      <x/>
    </i>
    <i i="1">
      <x v="1"/>
    </i>
  </colItems>
  <dataFields count="2">
    <dataField name="Sum of current_balance" fld="19" baseField="0" baseItem="0" numFmtId="165"/>
    <dataField name="Sum of current_balance2" fld="19" showDataAs="percentOfCol" baseField="0" baseItem="0" numFmtId="9"/>
  </dataFields>
  <formats count="2">
    <format dxfId="82">
      <pivotArea outline="0" collapsedLevelsAreSubtotals="1" fieldPosition="0"/>
    </format>
    <format dxfId="83">
      <pivotArea outline="0" collapsedLevelsAreSubtotals="1" fieldPosition="0">
        <references count="1">
          <reference field="4294967294" count="1" selected="0">
            <x v="1"/>
          </reference>
        </references>
      </pivotArea>
    </format>
  </formats>
  <chartFormats count="7">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109B4A-CCC8-CD45-AF47-9398767C0784}" name="PivotTable5"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22:E128" firstHeaderRow="0" firstDataRow="1" firstDataCol="1"/>
  <pivotFields count="48">
    <pivotField dataField="1" showAll="0"/>
    <pivotField showAll="0"/>
    <pivotField numFmtId="164"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sortType="descending">
      <items count="6">
        <item x="3"/>
        <item x="0"/>
        <item x="1"/>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Fields count="1">
    <field x="13"/>
  </rowFields>
  <rowItems count="6">
    <i>
      <x v="2"/>
    </i>
    <i>
      <x v="1"/>
    </i>
    <i>
      <x v="3"/>
    </i>
    <i>
      <x/>
    </i>
    <i>
      <x v="4"/>
    </i>
    <i t="grand">
      <x/>
    </i>
  </rowItems>
  <colFields count="1">
    <field x="-2"/>
  </colFields>
  <colItems count="2">
    <i>
      <x/>
    </i>
    <i i="1">
      <x v="1"/>
    </i>
  </colItems>
  <dataFields count="2">
    <dataField name="Count of loan_id" fld="0" subtotal="count" baseField="0" baseItem="0"/>
    <dataField name="Sum of default_flag" fld="22" baseField="0" baseItem="0"/>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03C281E-DA9B-264F-8A21-91FD74F37A5B}" name="PivotTable8"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52:D153" firstHeaderRow="0" firstDataRow="1" firstDataCol="0"/>
  <pivotFields count="48">
    <pivotField dataField="1" showAll="0"/>
    <pivotField showAll="0"/>
    <pivotField numFmtId="164"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numFmtId="165" showAll="0"/>
    <pivotField numFmtId="165"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Count of loan_id" fld="0" subtotal="count" baseField="0" baseItem="0"/>
    <dataField name="Sum of default_flag" fld="22" baseField="0" baseItem="0"/>
  </dataFields>
  <formats count="1">
    <format dxfId="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24FBA-469B-3A40-B475-85B972CB5670}" name="Loan_Table" displayName="Loan_Table" ref="A2:X502" totalsRowShown="0" headerRowDxfId="79" headerRowBorderDxfId="77" tableBorderDxfId="78" totalsRowBorderDxfId="76">
  <autoFilter ref="A2:X502" xr:uid="{53D24FBA-469B-3A40-B475-85B972CB5670}"/>
  <tableColumns count="24">
    <tableColumn id="1" xr3:uid="{C316734C-1F68-444E-9074-4F61978B0479}" name="loan_id" dataDxfId="75"/>
    <tableColumn id="2" xr3:uid="{C81B8A37-5928-1A46-9872-E3783659DEF5}" name="customer_id" dataDxfId="74"/>
    <tableColumn id="3" xr3:uid="{DFB4FD71-0189-B14C-8ACB-487ACEBBEE39}" name="origination_date" dataDxfId="73"/>
    <tableColumn id="4" xr3:uid="{F9C8F740-DEEE-464F-9E9F-8F57083EF5C6}" name="product" dataDxfId="72"/>
    <tableColumn id="5" xr3:uid="{02C7F58D-082A-794A-96C1-CA534ABF179C}" name="channel" dataDxfId="71"/>
    <tableColumn id="6" xr3:uid="{AEEC14F8-7AF2-8C40-BC52-6DBD3F33CB7D}" name="region" dataDxfId="70"/>
    <tableColumn id="7" xr3:uid="{701F1E3B-FD37-D345-93FF-DBA7BCFC59E0}" name="employment_type" dataDxfId="69"/>
    <tableColumn id="8" xr3:uid="{6E40C51B-8154-3B4A-AE6B-B0F2C962BE35}" name="term_months" dataDxfId="68"/>
    <tableColumn id="9" xr3:uid="{F16BD2EF-70A1-0D43-A59F-05025367AC1E}" name="loan_amount" dataDxfId="67"/>
    <tableColumn id="10" xr3:uid="{C9B7194F-E52C-5F45-8278-23A8F8C7D933}" name="interest_rate_pct" dataDxfId="66"/>
    <tableColumn id="11" xr3:uid="{665051FC-C608-DE43-B02F-4BF773A5684A}" name="emi" dataDxfId="65"/>
    <tableColumn id="12" xr3:uid="{D101DD67-8011-AD46-A501-4406AE0C3042}" name="annual_income" dataDxfId="64"/>
    <tableColumn id="13" xr3:uid="{5D59C8C3-FBE1-BD40-BAAD-6A5C63964C20}" name="credit_score" dataDxfId="63"/>
    <tableColumn id="14" xr3:uid="{E08376B7-7C63-6B47-91B1-FF7951EFACFB}" name="risk_band" dataDxfId="62"/>
    <tableColumn id="15" xr3:uid="{E2D7AB81-A7A9-D14E-9601-69B6ABE529C1}" name="dti_ratio" dataDxfId="61"/>
    <tableColumn id="16" xr3:uid="{6F029BF6-66F1-7043-BE56-75FF38C3B370}" name="ltv_ratio" dataDxfId="60"/>
    <tableColumn id="17" xr3:uid="{3C92D773-29E9-FA4B-A14B-325620853E9D}" name="collateral_value" dataDxfId="59"/>
    <tableColumn id="18" xr3:uid="{0AC8BFA3-66F8-5349-9973-1AFE2CDC30C9}" name="months_on_book" dataDxfId="58"/>
    <tableColumn id="19" xr3:uid="{40860ECD-4101-9C41-AC91-B406730EBCFD}" name="paid_amount_to_date" dataDxfId="57"/>
    <tableColumn id="20" xr3:uid="{381902D2-9A38-854C-8C35-9FCAA85DAC2B}" name="current_balance" dataDxfId="56"/>
    <tableColumn id="21" xr3:uid="{7B56F0A5-7D37-D941-A186-0E1897AECDD9}" name="dpd" dataDxfId="55"/>
    <tableColumn id="22" xr3:uid="{46A799EB-B52D-5F45-B75B-191CB5C48E24}" name="prepayment_flag" dataDxfId="54"/>
    <tableColumn id="23" xr3:uid="{0CA914A8-BC3F-1741-B923-B030688E8DDB}" name="default_flag" dataDxfId="53"/>
    <tableColumn id="24" xr3:uid="{9615B7B0-0622-7D4B-B3C8-1B08D541FE16}" name="loan_status" dataDxfId="5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D00621-9894-4D40-BDD1-6B979257CE45}" name="Table1" displayName="Table1" ref="B17:AW517" totalsRowShown="0" headerRowDxfId="51" headerRowBorderDxfId="49" tableBorderDxfId="50" totalsRowBorderDxfId="48">
  <autoFilter ref="B17:AW517" xr:uid="{A9D00621-9894-4D40-BDD1-6B979257CE45}"/>
  <sortState xmlns:xlrd2="http://schemas.microsoft.com/office/spreadsheetml/2017/richdata2" ref="B18:AT517">
    <sortCondition ref="AT17:AT517"/>
  </sortState>
  <tableColumns count="48">
    <tableColumn id="1" xr3:uid="{6ED6B1CE-D30B-467D-9EAB-9B0A0286B453}" name="loan_id" dataDxfId="47"/>
    <tableColumn id="2" xr3:uid="{92C2CC71-5F01-460B-BFD4-2B3B7159E8DB}" name="customer_id" dataDxfId="46"/>
    <tableColumn id="3" xr3:uid="{FAAD11FD-44EE-4E5C-9A41-75EBECA7C3DD}" name="origination_date" dataDxfId="45"/>
    <tableColumn id="4" xr3:uid="{0879A94F-57F3-422D-9143-858481421BD2}" name="product" dataDxfId="44"/>
    <tableColumn id="5" xr3:uid="{C803DC99-189A-4986-8CF2-60BCAE9D4657}" name="channel" dataDxfId="43"/>
    <tableColumn id="6" xr3:uid="{8CBAA6AB-78F5-426F-B318-521330F93B55}" name="region" dataDxfId="42"/>
    <tableColumn id="7" xr3:uid="{722B3F8C-7514-4623-AC1D-96590EE6691C}" name="employment_type" dataDxfId="41"/>
    <tableColumn id="8" xr3:uid="{B4864CE0-5F7F-4113-89EA-266AFF9FA992}" name="term_months" dataDxfId="40"/>
    <tableColumn id="9" xr3:uid="{F276C529-8F96-4107-89E4-A14259B86114}" name="loan_amount" dataDxfId="39"/>
    <tableColumn id="10" xr3:uid="{BDD7857A-418B-4BE8-A633-075BACB7ACDA}" name="interest_rate_pct" dataDxfId="38"/>
    <tableColumn id="11" xr3:uid="{1C031A7B-FB47-41BA-A4DA-DF606422BA12}" name="emi" dataDxfId="37"/>
    <tableColumn id="12" xr3:uid="{C7605283-ACF1-4342-98D2-149665732D9A}" name="annual_income" dataDxfId="36"/>
    <tableColumn id="13" xr3:uid="{F7D4E95A-F979-4D29-B372-54901A162FC9}" name="credit_score" dataDxfId="35"/>
    <tableColumn id="14" xr3:uid="{26FE22D1-FA55-4B74-8891-A0E9575F328C}" name="risk_band" dataDxfId="34"/>
    <tableColumn id="15" xr3:uid="{CB7FEF17-5B1C-4B40-BE58-A3C2CC64647E}" name="dti_ratio" dataDxfId="33"/>
    <tableColumn id="16" xr3:uid="{E1175454-00A0-4B2C-8D15-B6900F231D38}" name="ltv_ratio" dataDxfId="32"/>
    <tableColumn id="17" xr3:uid="{8831DAD7-F444-4BB3-9D83-4F610D2BA38B}" name="collateral_value" dataDxfId="31"/>
    <tableColumn id="18" xr3:uid="{3CC9FB3E-4454-48E4-B8B0-0D764E91AC6B}" name="months_on_book" dataDxfId="30"/>
    <tableColumn id="19" xr3:uid="{A549FA9E-2161-4762-8089-A4444A39AA4F}" name="paid_amount_to_date" dataDxfId="29"/>
    <tableColumn id="20" xr3:uid="{26C19815-BB42-4619-B34A-54180A4359A4}" name="current_balance" dataDxfId="28"/>
    <tableColumn id="21" xr3:uid="{72F1BD31-6C7A-4575-9CCB-A0C22104B3E1}" name="dpd" dataDxfId="27"/>
    <tableColumn id="22" xr3:uid="{F35A3851-CA8D-423E-9AF7-2810E6E141AD}" name="prepayment_flag" dataDxfId="26"/>
    <tableColumn id="23" xr3:uid="{26F8EB1C-2990-47C4-BFDA-3B755202CA57}" name="default_flag" dataDxfId="25"/>
    <tableColumn id="24" xr3:uid="{133C9F5B-4504-45EA-A841-E2940134F454}" name="loan_status" dataDxfId="24"/>
    <tableColumn id="25" xr3:uid="{8B6571A1-B4AF-4225-9466-8369A873025D}" name="loan_amt_by_product" dataDxfId="23" dataCellStyle="Comma">
      <calculatedColumnFormula>SUMIF(Table1[product],Table1[[#This Row],[product]],Table1[loan_amount])</calculatedColumnFormula>
    </tableColumn>
    <tableColumn id="26" xr3:uid="{22C3E135-699B-4ED3-B55A-6A734FECB394}" name="current_bal_by_region" dataDxfId="22">
      <calculatedColumnFormula>SUMIF(Table1[region],Table1[[#This Row],[region]],Table1[current_balance])</calculatedColumnFormula>
    </tableColumn>
    <tableColumn id="27" xr3:uid="{4FA17449-9959-4A91-9489-549B29F7C41A}" name="count_loan_by_status" dataDxfId="21">
      <calculatedColumnFormula>COUNTIF(Table1[loan_status],Table1[[#This Row],[loan_status]])</calculatedColumnFormula>
    </tableColumn>
    <tableColumn id="28" xr3:uid="{E31529C7-2756-4865-90E0-F90745A77893}" name="Overall default rate" dataDxfId="20">
      <calculatedColumnFormula>COUNTIF(Table1[default_flag],1)/ROWS(Table1[loan_id])</calculatedColumnFormula>
    </tableColumn>
    <tableColumn id="29" xr3:uid="{6E2FE3C1-80C9-41EF-A129-3C0D0DBC734B}" name="Default rate by region" dataDxfId="19">
      <calculatedColumnFormula>COUNTIFS(Table1[region],Table1[[#This Row],[region]],Table1[default_flag],1)/COUNTIF(Table1[region],Table1[[#This Row],[region]])</calculatedColumnFormula>
    </tableColumn>
    <tableColumn id="30" xr3:uid="{74ECBDA4-8F76-471C-97BC-B39C7AB914E7}" name="Prepayment rate by channel" dataDxfId="18">
      <calculatedColumnFormula>COUNTIFS(Table1[channel],Table1[[#This Row],[channel]],Table1[prepayment_flag],1)/COUNTIF(Table1[channel],Table1[[#This Row],[channel]])</calculatedColumnFormula>
    </tableColumn>
    <tableColumn id="31" xr3:uid="{28A36514-5226-4B96-A046-96C42BFDA7D8}" name="avg_int_tateby_pro_risk_band" dataDxfId="17">
      <calculatedColumnFormula>AVERAGEIFS(Table1[interest_rate_pct],Table1[product],Table1[[#This Row],[product]],Table1[risk_band],Table1[[#This Row],[risk_band]])</calculatedColumnFormula>
    </tableColumn>
    <tableColumn id="32" xr3:uid="{08D97FA2-A800-473C-910D-568EF93BC14A}" name="DTI band" dataDxfId="16">
      <calculatedColumnFormula array="1">_xlfn.IFS(Table1[[#This Row],[dti_ratio]] &lt; 0.2, " less than 0.2", Table1[[#This Row],[dti_ratio]] &lt; 0.3, "0.2 - 0.3", Table1[[#This Row],[dti_ratio]] &lt;= 0.5, "0.35 - 0.5", Table1[[#This Row],[dti_ratio]] &gt; 0.5, "greater than 0.5")</calculatedColumnFormula>
    </tableColumn>
    <tableColumn id="33" xr3:uid="{19458C72-B4B8-4E51-8C18-EEA1BCD88FD6}" name="Count_loan_per_band" dataDxfId="15">
      <calculatedColumnFormula>COUNTIF(Table1[DTI band],Table1[[#This Row],[DTI band]])</calculatedColumnFormula>
    </tableColumn>
    <tableColumn id="34" xr3:uid="{E3854570-3F6C-4A62-90A8-CE7DEB45110F}" name="LTV band" dataDxfId="14">
      <calculatedColumnFormula array="1">_xlfn.IFS(Table1[[#This Row],[ltv_ratio]] &lt; 0.6, "less than 0.6 -less risky", Table1[[#This Row],[ltv_ratio]]  &lt;= 0.8, "0.6 - 0.8 -medium risky",Table1[[#This Row],[ltv_ratio]] &gt; 0.8, "greater than 0.8 -highly risky")</calculatedColumnFormula>
    </tableColumn>
    <tableColumn id="35" xr3:uid="{B90BA50D-A1EC-42DA-A5C6-516EAD5DDEB7}" name="count_loan_perband" dataDxfId="13">
      <calculatedColumnFormula>COUNTIF(Table1[LTV band],Table1[[#This Row],[LTV band]])</calculatedColumnFormula>
    </tableColumn>
    <tableColumn id="36" xr3:uid="{C53A803A-3B39-FD45-B389-7B165AF63A07}" name="default_rate_per_band" dataDxfId="12">
      <calculatedColumnFormula>COUNTIFS(Table1[count_loan_perband],Table1[[#This Row],[count_loan_perband]],Table1[default_flag],1)/COUNTIF(Table1[count_loan_perband],Table1[[#This Row],[count_loan_perband]])</calculatedColumnFormula>
    </tableColumn>
    <tableColumn id="37" xr3:uid="{6BE6D22F-26ED-D743-8030-C77EE5FAAE89}" name="Loan size" dataDxfId="11">
      <calculatedColumnFormula array="1">_xlfn.IFS(Table1[[#This Row],[loan_amount]] &lt; 900000, "lower size (&lt; 9L)", Table1[[#This Row],[loan_amount]] &lt;=3300000, "medium size (&lt;=33L)", Table1[[#This Row],[loan_amount]] &gt; 3300000, "larger size (&gt; 33L)")</calculatedColumnFormula>
    </tableColumn>
    <tableColumn id="39" xr3:uid="{FE16E020-E8DE-6746-AE3E-69160A4D674F}" name="dpd flag" dataDxfId="10">
      <calculatedColumnFormula>IF(Table1[[#This Row],[dpd]] &gt;=30,1,0)</calculatedColumnFormula>
    </tableColumn>
    <tableColumn id="38" xr3:uid="{5975C349-2D93-774D-8689-2D859E2D28D3}" name="del rate per loan size" dataDxfId="9">
      <calculatedColumnFormula>COUNTIFS(Table1[Loan size],Table1[[#This Row],[Loan size]],Table1[dpd flag],1)/COUNTIF(Table1[Loan size],Table1[[#This Row],[Loan size]])</calculatedColumnFormula>
    </tableColumn>
    <tableColumn id="40" xr3:uid="{7489D8F4-89D9-B84E-BFB8-842C0BCA8562}" name="high risk" dataDxfId="8">
      <calculatedColumnFormula>IF(OR(Table1[[#This Row],[credit_score]] &lt; 600, Table1[ [#This Row],[dti_ratio] ] &gt; 0.5, Table1[[#This Row],[dpd]] &gt;=30), "high risk", " not riskY")</calculatedColumnFormula>
    </tableColumn>
    <tableColumn id="41" xr3:uid="{33BDE4F9-96CD-5E45-927E-A15A42BC0A55}" name="origination month" dataDxfId="7">
      <calculatedColumnFormula>EOMONTH(Table1[[#This Row],[origination_date]],0)</calculatedColumnFormula>
    </tableColumn>
    <tableColumn id="42" xr3:uid="{641FD481-C834-EA45-9BAA-9066FD97153D}" name="loan amout by month" dataDxfId="6">
      <calculatedColumnFormula>SUMIFS(Table1[loan_amount],Table1[origination month],Table1[[#This Row],[origination month]])</calculatedColumnFormula>
    </tableColumn>
    <tableColumn id="43" xr3:uid="{42025C92-8BF9-6345-AA99-FDA2C21873C9}" name="avg monthonbooks by product" dataDxfId="5">
      <calculatedColumnFormula>AVERAGEIFS(Table1[months_on_book],Table1[product],Table1[[#This Row],[product]])</calculatedColumnFormula>
    </tableColumn>
    <tableColumn id="44" xr3:uid="{8EA55723-D42C-7B4E-9096-871C4C4B0167}" name="new loan" dataDxfId="4">
      <calculatedColumnFormula>IF(EDATE(Table1[[#This Row],[origination_date]],6) &gt;= TODAY(), "New Loan", "Old Loan")</calculatedColumnFormula>
    </tableColumn>
    <tableColumn id="45" xr3:uid="{5977E7E3-D467-C944-B2BE-BC5B2C6B5616}" name="quarter" dataDxfId="3">
      <calculatedColumnFormula>"Q"&amp;ROUNDUP(MONTH(Table1[[#This Row],[origination_date]])/3,0)&amp;YEAR(Table1[[#This Row],[origination_date]])</calculatedColumnFormula>
    </tableColumn>
    <tableColumn id="46" xr3:uid="{F1350DF1-BA72-2B40-B4EA-279BEC4A3800}" name="idsbyrby quarter" dataDxfId="2">
      <calculatedColumnFormula>SUMIFS(Table1[loan_amount],Table1[quarter],Table1[[#This Row],[quarter]])</calculatedColumnFormula>
    </tableColumn>
    <tableColumn id="47" xr3:uid="{85539297-2F1C-3A40-878E-781B38B3629D}" name="fullrowconcat" dataDxfId="1">
      <calculatedColumnFormula>_xlfn.TEXTJOIN("|",TRUE,Table1[[#This Row],[loan_id]:[loan_status]])</calculatedColumnFormula>
    </tableColumn>
    <tableColumn id="48" xr3:uid="{551B0BB6-F499-405D-956A-AF0131DDFA17}" name="year" dataDxfId="0">
      <calculatedColumnFormula>YEAR(Loan_Table[ [#This Row],[origination_date] ])</calculatedColumn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24CB6-9B88-4A91-96C9-143588D059A7}">
  <dimension ref="B2:E8"/>
  <sheetViews>
    <sheetView topLeftCell="A3" workbookViewId="0">
      <selection activeCell="D6" sqref="D6"/>
    </sheetView>
  </sheetViews>
  <sheetFormatPr defaultRowHeight="15"/>
  <cols>
    <col min="2" max="2" width="31.5703125" bestFit="1" customWidth="1"/>
    <col min="3" max="5" width="36.5703125" bestFit="1" customWidth="1"/>
  </cols>
  <sheetData>
    <row r="2" spans="2:5">
      <c r="B2" s="4" t="s">
        <v>0</v>
      </c>
      <c r="C2" s="58" t="s">
        <v>1</v>
      </c>
      <c r="D2" s="58" t="s">
        <v>2</v>
      </c>
      <c r="E2" s="58" t="s">
        <v>3</v>
      </c>
    </row>
    <row r="3" spans="2:5" ht="76.5">
      <c r="B3" s="4" t="s">
        <v>4</v>
      </c>
      <c r="C3" s="39" t="s">
        <v>5</v>
      </c>
      <c r="D3" s="39" t="s">
        <v>6</v>
      </c>
      <c r="E3" s="39" t="s">
        <v>7</v>
      </c>
    </row>
    <row r="4" spans="2:5" ht="91.5">
      <c r="B4" s="4" t="s">
        <v>8</v>
      </c>
      <c r="C4" s="39" t="s">
        <v>9</v>
      </c>
      <c r="D4" s="59" t="s">
        <v>10</v>
      </c>
      <c r="E4" s="39" t="s">
        <v>11</v>
      </c>
    </row>
    <row r="5" spans="2:5" ht="60.75">
      <c r="B5" s="4" t="s">
        <v>12</v>
      </c>
      <c r="C5" s="39" t="s">
        <v>13</v>
      </c>
      <c r="D5" s="39" t="s">
        <v>14</v>
      </c>
      <c r="E5" s="39" t="s">
        <v>15</v>
      </c>
    </row>
    <row r="6" spans="2:5" ht="76.5">
      <c r="B6" s="4" t="s">
        <v>16</v>
      </c>
      <c r="C6" s="39" t="s">
        <v>17</v>
      </c>
      <c r="D6" s="39" t="s">
        <v>18</v>
      </c>
      <c r="E6" s="39" t="s">
        <v>19</v>
      </c>
    </row>
    <row r="7" spans="2:5" ht="60.75">
      <c r="B7" s="4" t="s">
        <v>20</v>
      </c>
      <c r="C7" s="39" t="s">
        <v>21</v>
      </c>
      <c r="D7" s="39" t="s">
        <v>22</v>
      </c>
      <c r="E7" s="39" t="s">
        <v>23</v>
      </c>
    </row>
    <row r="8" spans="2:5" ht="60.75">
      <c r="B8" s="4" t="s">
        <v>24</v>
      </c>
      <c r="C8" s="39" t="s">
        <v>25</v>
      </c>
      <c r="D8" s="39" t="s">
        <v>26</v>
      </c>
      <c r="E8" s="39"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0C164-11FF-8844-AF68-CAA4CF24FF1C}">
  <dimension ref="B2:H38"/>
  <sheetViews>
    <sheetView showGridLines="0" topLeftCell="A13" zoomScaleNormal="100" workbookViewId="0">
      <selection activeCell="C59" sqref="C59"/>
    </sheetView>
  </sheetViews>
  <sheetFormatPr defaultColWidth="11.42578125" defaultRowHeight="15"/>
  <cols>
    <col min="2" max="2" width="5.7109375" customWidth="1"/>
    <col min="3" max="3" width="52.85546875" customWidth="1"/>
    <col min="4" max="4" width="17.28515625" customWidth="1"/>
    <col min="5" max="5" width="32" customWidth="1"/>
    <col min="6" max="6" width="20.42578125" customWidth="1"/>
    <col min="8" max="8" width="19" customWidth="1"/>
  </cols>
  <sheetData>
    <row r="2" spans="2:8">
      <c r="B2" t="s">
        <v>28</v>
      </c>
    </row>
    <row r="4" spans="2:8">
      <c r="B4" t="s">
        <v>29</v>
      </c>
    </row>
    <row r="6" spans="2:8">
      <c r="B6" t="s">
        <v>30</v>
      </c>
    </row>
    <row r="7" spans="2:8">
      <c r="B7" t="s">
        <v>31</v>
      </c>
    </row>
    <row r="8" spans="2:8">
      <c r="B8" t="s">
        <v>32</v>
      </c>
    </row>
    <row r="9" spans="2:8">
      <c r="B9" t="s">
        <v>33</v>
      </c>
    </row>
    <row r="10" spans="2:8">
      <c r="B10" t="s">
        <v>34</v>
      </c>
    </row>
    <row r="12" spans="2:8">
      <c r="B12" t="s">
        <v>35</v>
      </c>
    </row>
    <row r="13" spans="2:8">
      <c r="B13" t="s">
        <v>36</v>
      </c>
    </row>
    <row r="15" spans="2:8">
      <c r="B15" t="s">
        <v>37</v>
      </c>
      <c r="D15">
        <f>COUNTA(_xlfn.UNIQUE(D17:D38))</f>
        <v>16</v>
      </c>
    </row>
    <row r="16" spans="2:8">
      <c r="B16" s="31" t="s">
        <v>38</v>
      </c>
      <c r="C16" s="31" t="s">
        <v>39</v>
      </c>
      <c r="D16" s="31" t="s">
        <v>40</v>
      </c>
      <c r="E16" s="31" t="s">
        <v>41</v>
      </c>
      <c r="F16" s="31" t="s">
        <v>42</v>
      </c>
      <c r="G16" s="31" t="s">
        <v>43</v>
      </c>
      <c r="H16" s="31" t="s">
        <v>44</v>
      </c>
    </row>
    <row r="17" spans="2:8">
      <c r="B17" s="2">
        <v>1</v>
      </c>
      <c r="C17" s="2" t="s">
        <v>45</v>
      </c>
      <c r="D17" s="2" t="s">
        <v>46</v>
      </c>
      <c r="E17" s="2" t="s">
        <v>47</v>
      </c>
      <c r="F17" s="2"/>
      <c r="G17" s="2"/>
      <c r="H17" s="2"/>
    </row>
    <row r="18" spans="2:8">
      <c r="B18" s="2">
        <v>2</v>
      </c>
      <c r="C18" s="2" t="s">
        <v>48</v>
      </c>
      <c r="D18" s="2" t="s">
        <v>46</v>
      </c>
      <c r="E18" s="2" t="s">
        <v>49</v>
      </c>
      <c r="F18" s="2"/>
      <c r="G18" s="2"/>
      <c r="H18" s="2"/>
    </row>
    <row r="19" spans="2:8">
      <c r="B19" s="2">
        <v>3</v>
      </c>
      <c r="C19" s="2" t="s">
        <v>50</v>
      </c>
      <c r="D19" s="2" t="s">
        <v>46</v>
      </c>
      <c r="E19" s="2" t="s">
        <v>51</v>
      </c>
      <c r="F19" s="2"/>
      <c r="G19" s="2"/>
      <c r="H19" s="2"/>
    </row>
    <row r="20" spans="2:8">
      <c r="B20" s="2">
        <v>4</v>
      </c>
      <c r="C20" s="2" t="s">
        <v>52</v>
      </c>
      <c r="D20" s="2" t="s">
        <v>46</v>
      </c>
      <c r="E20" s="2" t="s">
        <v>53</v>
      </c>
      <c r="F20" s="2"/>
      <c r="G20" s="2"/>
      <c r="H20" s="2"/>
    </row>
    <row r="21" spans="2:8">
      <c r="B21" s="2">
        <v>5</v>
      </c>
      <c r="C21" s="2" t="s">
        <v>54</v>
      </c>
      <c r="D21" s="2" t="s">
        <v>55</v>
      </c>
      <c r="E21" s="2" t="s">
        <v>56</v>
      </c>
      <c r="F21" s="2"/>
      <c r="G21" s="2"/>
      <c r="H21" s="2"/>
    </row>
    <row r="22" spans="2:8">
      <c r="B22" s="2">
        <v>6</v>
      </c>
      <c r="C22" s="2" t="s">
        <v>57</v>
      </c>
      <c r="D22" s="2" t="s">
        <v>58</v>
      </c>
      <c r="E22" s="2" t="s">
        <v>59</v>
      </c>
      <c r="F22" s="2"/>
      <c r="G22" s="2"/>
      <c r="H22" s="2"/>
    </row>
    <row r="23" spans="2:8">
      <c r="B23" s="2">
        <v>7</v>
      </c>
      <c r="C23" s="2" t="s">
        <v>60</v>
      </c>
      <c r="D23" s="2" t="s">
        <v>58</v>
      </c>
      <c r="E23" s="2" t="s">
        <v>61</v>
      </c>
      <c r="F23" s="2"/>
      <c r="G23" s="2"/>
      <c r="H23" s="2"/>
    </row>
    <row r="24" spans="2:8">
      <c r="B24" s="2">
        <v>8</v>
      </c>
      <c r="C24" s="2" t="s">
        <v>62</v>
      </c>
      <c r="D24" s="2" t="s">
        <v>63</v>
      </c>
      <c r="E24" s="2" t="s">
        <v>64</v>
      </c>
      <c r="F24" s="2"/>
      <c r="G24" s="2"/>
      <c r="H24" s="2"/>
    </row>
    <row r="25" spans="2:8">
      <c r="B25" s="2">
        <v>9</v>
      </c>
      <c r="C25" s="2" t="s">
        <v>65</v>
      </c>
      <c r="D25" s="2" t="s">
        <v>63</v>
      </c>
      <c r="E25" s="2" t="s">
        <v>66</v>
      </c>
      <c r="F25" s="2"/>
      <c r="G25" s="2"/>
      <c r="H25" s="2"/>
    </row>
    <row r="26" spans="2:8">
      <c r="B26" s="2">
        <v>10</v>
      </c>
      <c r="C26" s="2" t="s">
        <v>67</v>
      </c>
      <c r="D26" s="2" t="s">
        <v>63</v>
      </c>
      <c r="E26" s="2" t="s">
        <v>68</v>
      </c>
      <c r="F26" s="2"/>
      <c r="G26" s="2"/>
      <c r="H26" s="2"/>
    </row>
    <row r="27" spans="2:8">
      <c r="B27" s="2">
        <v>11</v>
      </c>
      <c r="C27" s="2" t="s">
        <v>69</v>
      </c>
      <c r="D27" s="2" t="s">
        <v>70</v>
      </c>
      <c r="E27" s="2" t="s">
        <v>71</v>
      </c>
      <c r="F27" s="2"/>
      <c r="G27" s="2"/>
      <c r="H27" s="2"/>
    </row>
    <row r="28" spans="2:8">
      <c r="B28" s="2">
        <v>12</v>
      </c>
      <c r="C28" s="2" t="s">
        <v>72</v>
      </c>
      <c r="D28" s="2" t="s">
        <v>73</v>
      </c>
      <c r="E28" s="2" t="s">
        <v>74</v>
      </c>
      <c r="F28" s="2"/>
      <c r="G28" s="2"/>
      <c r="H28" s="2"/>
    </row>
    <row r="29" spans="2:8">
      <c r="B29" s="2">
        <v>13</v>
      </c>
      <c r="C29" s="2" t="s">
        <v>75</v>
      </c>
      <c r="D29" s="2" t="s">
        <v>76</v>
      </c>
      <c r="E29" s="2" t="s">
        <v>77</v>
      </c>
      <c r="F29" s="2"/>
      <c r="G29" s="2"/>
      <c r="H29" s="2"/>
    </row>
    <row r="30" spans="2:8">
      <c r="B30" s="2">
        <v>14</v>
      </c>
      <c r="C30" s="2" t="s">
        <v>78</v>
      </c>
      <c r="D30" s="2" t="s">
        <v>79</v>
      </c>
      <c r="E30" s="2" t="s">
        <v>80</v>
      </c>
      <c r="F30" s="2"/>
      <c r="G30" s="2"/>
      <c r="H30" s="2"/>
    </row>
    <row r="31" spans="2:8">
      <c r="B31" s="2">
        <v>15</v>
      </c>
      <c r="C31" s="2" t="s">
        <v>81</v>
      </c>
      <c r="D31" s="2" t="s">
        <v>82</v>
      </c>
      <c r="E31" s="2" t="s">
        <v>83</v>
      </c>
      <c r="F31" s="2"/>
      <c r="G31" s="2"/>
      <c r="H31" s="2"/>
    </row>
    <row r="32" spans="2:8">
      <c r="B32" s="2">
        <v>16</v>
      </c>
      <c r="C32" s="2" t="s">
        <v>84</v>
      </c>
      <c r="D32" s="2" t="s">
        <v>85</v>
      </c>
      <c r="E32" s="2" t="s">
        <v>86</v>
      </c>
      <c r="F32" s="2"/>
      <c r="G32" s="2"/>
      <c r="H32" s="2"/>
    </row>
    <row r="33" spans="2:8">
      <c r="B33" s="2">
        <v>17</v>
      </c>
      <c r="C33" s="2" t="s">
        <v>87</v>
      </c>
      <c r="D33" s="2" t="s">
        <v>88</v>
      </c>
      <c r="E33" s="2" t="s">
        <v>89</v>
      </c>
      <c r="F33" s="2"/>
      <c r="G33" s="2"/>
      <c r="H33" s="2"/>
    </row>
    <row r="34" spans="2:8">
      <c r="B34" s="2">
        <v>18</v>
      </c>
      <c r="C34" s="2" t="s">
        <v>90</v>
      </c>
      <c r="D34" s="2" t="s">
        <v>91</v>
      </c>
      <c r="E34" s="2" t="s">
        <v>92</v>
      </c>
      <c r="F34" s="2"/>
      <c r="G34" s="2"/>
      <c r="H34" s="2"/>
    </row>
    <row r="35" spans="2:8">
      <c r="B35" s="2">
        <v>19</v>
      </c>
      <c r="C35" s="2" t="s">
        <v>93</v>
      </c>
      <c r="D35" s="2" t="s">
        <v>94</v>
      </c>
      <c r="E35" s="2" t="s">
        <v>95</v>
      </c>
      <c r="F35" s="2"/>
      <c r="G35" s="2"/>
      <c r="H35" s="2"/>
    </row>
    <row r="36" spans="2:8">
      <c r="B36" s="2">
        <v>20</v>
      </c>
      <c r="C36" s="2" t="s">
        <v>96</v>
      </c>
      <c r="D36" s="2" t="s">
        <v>97</v>
      </c>
      <c r="E36" s="2" t="s">
        <v>98</v>
      </c>
      <c r="F36" s="2"/>
      <c r="G36" s="2"/>
      <c r="H36" s="2"/>
    </row>
    <row r="37" spans="2:8">
      <c r="B37" s="2">
        <v>21</v>
      </c>
      <c r="C37" s="2" t="s">
        <v>99</v>
      </c>
      <c r="D37" s="2" t="s">
        <v>100</v>
      </c>
      <c r="E37" s="2" t="s">
        <v>101</v>
      </c>
      <c r="F37" s="2"/>
      <c r="G37" s="2"/>
      <c r="H37" s="2"/>
    </row>
    <row r="38" spans="2:8">
      <c r="B38" s="2">
        <v>22</v>
      </c>
      <c r="C38" s="2" t="s">
        <v>102</v>
      </c>
      <c r="D38" s="2" t="s">
        <v>103</v>
      </c>
      <c r="E38" s="2" t="s">
        <v>104</v>
      </c>
      <c r="F38" s="2"/>
      <c r="G38" s="2"/>
      <c r="H38"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3BEF-1453-9D4D-8047-09D9F54A7D70}">
  <dimension ref="A2:X502"/>
  <sheetViews>
    <sheetView zoomScale="120" zoomScaleNormal="120" workbookViewId="0">
      <selection activeCell="C1" sqref="C1"/>
    </sheetView>
  </sheetViews>
  <sheetFormatPr defaultColWidth="11.42578125" defaultRowHeight="15"/>
  <cols>
    <col min="2" max="2" width="16" customWidth="1"/>
    <col min="3" max="3" width="16.7109375" style="23" customWidth="1"/>
    <col min="4" max="4" width="12.140625" customWidth="1"/>
    <col min="5" max="5" width="12.28515625" customWidth="1"/>
    <col min="7" max="7" width="17.140625" customWidth="1"/>
    <col min="8" max="8" width="13.42578125" customWidth="1"/>
    <col min="9" max="9" width="13" customWidth="1"/>
    <col min="10" max="10" width="16.28515625" customWidth="1"/>
    <col min="12" max="12" width="14.28515625" customWidth="1"/>
    <col min="13" max="13" width="12.140625" customWidth="1"/>
    <col min="17" max="17" width="14.7109375" customWidth="1"/>
    <col min="18" max="18" width="16.140625" customWidth="1"/>
    <col min="19" max="19" width="19.7109375" customWidth="1"/>
    <col min="20" max="20" width="15.140625" customWidth="1"/>
    <col min="22" max="22" width="15.85546875" customWidth="1"/>
    <col min="23" max="23" width="11.85546875" customWidth="1"/>
    <col min="24" max="24" width="11.42578125" customWidth="1"/>
  </cols>
  <sheetData>
    <row r="2" spans="1:24">
      <c r="A2" s="6" t="s">
        <v>105</v>
      </c>
      <c r="B2" s="7" t="s">
        <v>106</v>
      </c>
      <c r="C2" s="25" t="s">
        <v>107</v>
      </c>
      <c r="D2" s="7" t="s">
        <v>108</v>
      </c>
      <c r="E2" s="7" t="s">
        <v>109</v>
      </c>
      <c r="F2" s="7" t="s">
        <v>110</v>
      </c>
      <c r="G2" s="7" t="s">
        <v>111</v>
      </c>
      <c r="H2" s="7" t="s">
        <v>112</v>
      </c>
      <c r="I2" s="7" t="s">
        <v>113</v>
      </c>
      <c r="J2" s="7" t="s">
        <v>114</v>
      </c>
      <c r="K2" s="7" t="s">
        <v>115</v>
      </c>
      <c r="L2" s="7" t="s">
        <v>116</v>
      </c>
      <c r="M2" s="7" t="s">
        <v>117</v>
      </c>
      <c r="N2" s="7" t="s">
        <v>118</v>
      </c>
      <c r="O2" s="7" t="s">
        <v>119</v>
      </c>
      <c r="P2" s="7" t="s">
        <v>120</v>
      </c>
      <c r="Q2" s="7" t="s">
        <v>121</v>
      </c>
      <c r="R2" s="7" t="s">
        <v>122</v>
      </c>
      <c r="S2" s="7" t="s">
        <v>123</v>
      </c>
      <c r="T2" s="7" t="s">
        <v>124</v>
      </c>
      <c r="U2" s="7" t="s">
        <v>125</v>
      </c>
      <c r="V2" s="7" t="s">
        <v>126</v>
      </c>
      <c r="W2" s="7" t="s">
        <v>127</v>
      </c>
      <c r="X2" s="8" t="s">
        <v>128</v>
      </c>
    </row>
    <row r="3" spans="1:24">
      <c r="A3" s="5" t="s">
        <v>129</v>
      </c>
      <c r="B3" s="2" t="s">
        <v>130</v>
      </c>
      <c r="C3" s="26">
        <v>44568</v>
      </c>
      <c r="D3" s="2" t="s">
        <v>131</v>
      </c>
      <c r="E3" s="2" t="s">
        <v>132</v>
      </c>
      <c r="F3" s="2" t="s">
        <v>133</v>
      </c>
      <c r="G3" s="2" t="s">
        <v>134</v>
      </c>
      <c r="H3" s="2">
        <v>72</v>
      </c>
      <c r="I3" s="2">
        <v>649600</v>
      </c>
      <c r="J3" s="2">
        <v>15.63</v>
      </c>
      <c r="K3" s="2">
        <v>13959</v>
      </c>
      <c r="L3" s="2">
        <v>817697</v>
      </c>
      <c r="M3" s="2">
        <v>738</v>
      </c>
      <c r="N3" s="2" t="s">
        <v>135</v>
      </c>
      <c r="O3" s="2">
        <v>0.51</v>
      </c>
      <c r="P3" s="2">
        <v>0.77</v>
      </c>
      <c r="Q3" s="2">
        <v>0</v>
      </c>
      <c r="R3" s="2">
        <v>47</v>
      </c>
      <c r="S3" s="2">
        <v>621896</v>
      </c>
      <c r="T3" s="2">
        <v>186772</v>
      </c>
      <c r="U3" s="2">
        <v>60</v>
      </c>
      <c r="V3" s="2">
        <v>0</v>
      </c>
      <c r="W3" s="2">
        <v>0</v>
      </c>
      <c r="X3" s="30" t="s">
        <v>136</v>
      </c>
    </row>
    <row r="4" spans="1:24">
      <c r="A4" s="5" t="s">
        <v>137</v>
      </c>
      <c r="B4" s="2" t="s">
        <v>138</v>
      </c>
      <c r="C4" s="26">
        <v>44581</v>
      </c>
      <c r="D4" s="2" t="s">
        <v>131</v>
      </c>
      <c r="E4" s="2" t="s">
        <v>132</v>
      </c>
      <c r="F4" s="2" t="s">
        <v>139</v>
      </c>
      <c r="G4" s="2" t="s">
        <v>134</v>
      </c>
      <c r="H4" s="2">
        <v>12</v>
      </c>
      <c r="I4" s="2">
        <v>826700</v>
      </c>
      <c r="J4" s="2">
        <v>20.059999999999999</v>
      </c>
      <c r="K4" s="2">
        <v>76605</v>
      </c>
      <c r="L4" s="2">
        <v>1296749</v>
      </c>
      <c r="M4" s="2">
        <v>671</v>
      </c>
      <c r="N4" s="2" t="s">
        <v>140</v>
      </c>
      <c r="O4" s="2">
        <v>0.49</v>
      </c>
      <c r="P4" s="2">
        <v>0.76</v>
      </c>
      <c r="Q4" s="2">
        <v>0</v>
      </c>
      <c r="R4" s="2">
        <v>12</v>
      </c>
      <c r="S4" s="2">
        <v>915274</v>
      </c>
      <c r="T4" s="2">
        <v>0</v>
      </c>
      <c r="U4" s="2">
        <v>0</v>
      </c>
      <c r="V4" s="2">
        <v>0</v>
      </c>
      <c r="W4" s="2">
        <v>0</v>
      </c>
      <c r="X4" s="30" t="s">
        <v>141</v>
      </c>
    </row>
    <row r="5" spans="1:24">
      <c r="A5" s="5" t="s">
        <v>142</v>
      </c>
      <c r="B5" s="2" t="s">
        <v>143</v>
      </c>
      <c r="C5" s="26">
        <v>44603</v>
      </c>
      <c r="D5" s="2" t="s">
        <v>131</v>
      </c>
      <c r="E5" s="2" t="s">
        <v>144</v>
      </c>
      <c r="F5" s="2" t="s">
        <v>145</v>
      </c>
      <c r="G5" s="2" t="s">
        <v>146</v>
      </c>
      <c r="H5" s="2">
        <v>240</v>
      </c>
      <c r="I5" s="2">
        <v>193300</v>
      </c>
      <c r="J5" s="2">
        <v>20.86</v>
      </c>
      <c r="K5" s="2">
        <v>3415</v>
      </c>
      <c r="L5" s="2">
        <v>281563</v>
      </c>
      <c r="M5" s="2">
        <v>648</v>
      </c>
      <c r="N5" s="2" t="s">
        <v>147</v>
      </c>
      <c r="O5" s="2">
        <v>0.46</v>
      </c>
      <c r="P5" s="2">
        <v>0.69</v>
      </c>
      <c r="Q5" s="2">
        <v>0</v>
      </c>
      <c r="R5" s="2">
        <v>46</v>
      </c>
      <c r="S5" s="2">
        <v>152501</v>
      </c>
      <c r="T5" s="2">
        <v>102627</v>
      </c>
      <c r="U5" s="2">
        <v>0</v>
      </c>
      <c r="V5" s="2">
        <v>0</v>
      </c>
      <c r="W5" s="2">
        <v>0</v>
      </c>
      <c r="X5" s="30" t="s">
        <v>148</v>
      </c>
    </row>
    <row r="6" spans="1:24">
      <c r="A6" s="5" t="s">
        <v>149</v>
      </c>
      <c r="B6" s="2" t="s">
        <v>150</v>
      </c>
      <c r="C6" s="26">
        <v>44597</v>
      </c>
      <c r="D6" s="2" t="s">
        <v>131</v>
      </c>
      <c r="E6" s="2" t="s">
        <v>132</v>
      </c>
      <c r="F6" s="2" t="s">
        <v>151</v>
      </c>
      <c r="G6" s="2" t="s">
        <v>152</v>
      </c>
      <c r="H6" s="2">
        <v>180</v>
      </c>
      <c r="I6" s="2">
        <v>551400</v>
      </c>
      <c r="J6" s="2">
        <v>16.5</v>
      </c>
      <c r="K6" s="2">
        <v>8291</v>
      </c>
      <c r="L6" s="2">
        <v>974011</v>
      </c>
      <c r="M6" s="2">
        <v>725</v>
      </c>
      <c r="N6" s="2" t="s">
        <v>135</v>
      </c>
      <c r="O6" s="2">
        <v>0.45</v>
      </c>
      <c r="P6" s="2">
        <v>0.79</v>
      </c>
      <c r="Q6" s="2">
        <v>0</v>
      </c>
      <c r="R6" s="2">
        <v>46</v>
      </c>
      <c r="S6" s="2">
        <v>326163</v>
      </c>
      <c r="T6" s="2">
        <v>364741</v>
      </c>
      <c r="U6" s="2">
        <v>90</v>
      </c>
      <c r="V6" s="2">
        <v>0</v>
      </c>
      <c r="W6" s="2">
        <v>1</v>
      </c>
      <c r="X6" s="30" t="s">
        <v>153</v>
      </c>
    </row>
    <row r="7" spans="1:24">
      <c r="A7" s="5" t="s">
        <v>154</v>
      </c>
      <c r="B7" s="2" t="s">
        <v>155</v>
      </c>
      <c r="C7" s="26">
        <v>44577</v>
      </c>
      <c r="D7" s="2" t="s">
        <v>131</v>
      </c>
      <c r="E7" s="2" t="s">
        <v>132</v>
      </c>
      <c r="F7" s="2" t="s">
        <v>133</v>
      </c>
      <c r="G7" s="2" t="s">
        <v>134</v>
      </c>
      <c r="H7" s="2">
        <v>60</v>
      </c>
      <c r="I7" s="2">
        <v>461700</v>
      </c>
      <c r="J7" s="2">
        <v>17.32</v>
      </c>
      <c r="K7" s="2">
        <v>11554</v>
      </c>
      <c r="L7" s="2">
        <v>1181708</v>
      </c>
      <c r="M7" s="2">
        <v>698</v>
      </c>
      <c r="N7" s="2" t="s">
        <v>140</v>
      </c>
      <c r="O7" s="2">
        <v>0.45</v>
      </c>
      <c r="P7" s="2">
        <v>0.96</v>
      </c>
      <c r="Q7" s="2">
        <v>0</v>
      </c>
      <c r="R7" s="2">
        <v>47</v>
      </c>
      <c r="S7" s="2">
        <v>514908</v>
      </c>
      <c r="T7" s="2">
        <v>72073</v>
      </c>
      <c r="U7" s="2">
        <v>0</v>
      </c>
      <c r="V7" s="2">
        <v>0</v>
      </c>
      <c r="W7" s="2">
        <v>0</v>
      </c>
      <c r="X7" s="30" t="s">
        <v>148</v>
      </c>
    </row>
    <row r="8" spans="1:24">
      <c r="A8" s="5" t="s">
        <v>156</v>
      </c>
      <c r="B8" s="2" t="s">
        <v>157</v>
      </c>
      <c r="C8" s="26">
        <v>44582</v>
      </c>
      <c r="D8" s="2" t="s">
        <v>158</v>
      </c>
      <c r="E8" s="2" t="s">
        <v>159</v>
      </c>
      <c r="F8" s="2" t="s">
        <v>139</v>
      </c>
      <c r="G8" s="2" t="s">
        <v>134</v>
      </c>
      <c r="H8" s="2">
        <v>36</v>
      </c>
      <c r="I8" s="2">
        <v>1485500</v>
      </c>
      <c r="J8" s="2">
        <v>9.61</v>
      </c>
      <c r="K8" s="2">
        <v>47661</v>
      </c>
      <c r="L8" s="2">
        <v>591567</v>
      </c>
      <c r="M8" s="2">
        <v>790</v>
      </c>
      <c r="N8" s="2" t="s">
        <v>160</v>
      </c>
      <c r="O8" s="2">
        <v>0.43</v>
      </c>
      <c r="P8" s="2">
        <v>0.71</v>
      </c>
      <c r="Q8" s="2">
        <v>2101800</v>
      </c>
      <c r="R8" s="2">
        <v>36</v>
      </c>
      <c r="S8" s="2">
        <v>1565725</v>
      </c>
      <c r="T8" s="2">
        <v>91083</v>
      </c>
      <c r="U8" s="2">
        <v>90</v>
      </c>
      <c r="V8" s="2">
        <v>0</v>
      </c>
      <c r="W8" s="2">
        <v>1</v>
      </c>
      <c r="X8" s="30" t="s">
        <v>153</v>
      </c>
    </row>
    <row r="9" spans="1:24">
      <c r="A9" s="5" t="s">
        <v>161</v>
      </c>
      <c r="B9" s="2" t="s">
        <v>162</v>
      </c>
      <c r="C9" s="26">
        <v>44564</v>
      </c>
      <c r="D9" s="2" t="s">
        <v>163</v>
      </c>
      <c r="E9" s="2" t="s">
        <v>132</v>
      </c>
      <c r="F9" s="2" t="s">
        <v>145</v>
      </c>
      <c r="G9" s="2" t="s">
        <v>152</v>
      </c>
      <c r="H9" s="2">
        <v>12</v>
      </c>
      <c r="I9" s="2">
        <v>756000</v>
      </c>
      <c r="J9" s="2">
        <v>9.7899999999999991</v>
      </c>
      <c r="K9" s="2">
        <v>66391</v>
      </c>
      <c r="L9" s="2">
        <v>1214494</v>
      </c>
      <c r="M9" s="2">
        <v>714</v>
      </c>
      <c r="N9" s="2" t="s">
        <v>135</v>
      </c>
      <c r="O9" s="2">
        <v>0.43</v>
      </c>
      <c r="P9" s="2">
        <v>0.83</v>
      </c>
      <c r="Q9" s="2">
        <v>905800</v>
      </c>
      <c r="R9" s="2">
        <v>12</v>
      </c>
      <c r="S9" s="2">
        <v>712425</v>
      </c>
      <c r="T9" s="2">
        <v>73180</v>
      </c>
      <c r="U9" s="2">
        <v>0</v>
      </c>
      <c r="V9" s="2">
        <v>0</v>
      </c>
      <c r="W9" s="2">
        <v>0</v>
      </c>
      <c r="X9" s="30" t="s">
        <v>141</v>
      </c>
    </row>
    <row r="10" spans="1:24">
      <c r="A10" s="5" t="s">
        <v>164</v>
      </c>
      <c r="B10" s="2" t="s">
        <v>165</v>
      </c>
      <c r="C10" s="26">
        <v>44573</v>
      </c>
      <c r="D10" s="2" t="s">
        <v>163</v>
      </c>
      <c r="E10" s="2" t="s">
        <v>159</v>
      </c>
      <c r="F10" s="2" t="s">
        <v>151</v>
      </c>
      <c r="G10" s="2" t="s">
        <v>152</v>
      </c>
      <c r="H10" s="2">
        <v>360</v>
      </c>
      <c r="I10" s="2">
        <v>927500</v>
      </c>
      <c r="J10" s="2">
        <v>17.8</v>
      </c>
      <c r="K10" s="2">
        <v>13827</v>
      </c>
      <c r="L10" s="2">
        <v>292886</v>
      </c>
      <c r="M10" s="2">
        <v>582</v>
      </c>
      <c r="N10" s="2" t="s">
        <v>166</v>
      </c>
      <c r="O10" s="2">
        <v>0.43</v>
      </c>
      <c r="P10" s="2">
        <v>1.17</v>
      </c>
      <c r="Q10" s="2">
        <v>796000</v>
      </c>
      <c r="R10" s="2">
        <v>47</v>
      </c>
      <c r="S10" s="2">
        <v>608625</v>
      </c>
      <c r="T10" s="2">
        <v>577524</v>
      </c>
      <c r="U10" s="2">
        <v>30</v>
      </c>
      <c r="V10" s="2">
        <v>0</v>
      </c>
      <c r="W10" s="2">
        <v>0</v>
      </c>
      <c r="X10" s="30" t="s">
        <v>136</v>
      </c>
    </row>
    <row r="11" spans="1:24">
      <c r="A11" s="5" t="s">
        <v>167</v>
      </c>
      <c r="B11" s="2" t="s">
        <v>168</v>
      </c>
      <c r="C11" s="26">
        <v>44641</v>
      </c>
      <c r="D11" s="2" t="s">
        <v>169</v>
      </c>
      <c r="E11" s="2" t="s">
        <v>159</v>
      </c>
      <c r="F11" s="2" t="s">
        <v>170</v>
      </c>
      <c r="G11" s="2" t="s">
        <v>146</v>
      </c>
      <c r="H11" s="2">
        <v>180</v>
      </c>
      <c r="I11" s="2">
        <v>3036000</v>
      </c>
      <c r="J11" s="2">
        <v>11.56</v>
      </c>
      <c r="K11" s="2">
        <v>35582</v>
      </c>
      <c r="L11" s="2">
        <v>905645</v>
      </c>
      <c r="M11" s="2">
        <v>688</v>
      </c>
      <c r="N11" s="2" t="s">
        <v>140</v>
      </c>
      <c r="O11" s="2">
        <v>0.43</v>
      </c>
      <c r="P11" s="2">
        <v>0.61</v>
      </c>
      <c r="Q11" s="2">
        <v>5014200</v>
      </c>
      <c r="R11" s="2">
        <v>45</v>
      </c>
      <c r="S11" s="2">
        <v>1568365</v>
      </c>
      <c r="T11" s="2">
        <v>1994077</v>
      </c>
      <c r="U11" s="2">
        <v>90</v>
      </c>
      <c r="V11" s="2">
        <v>0</v>
      </c>
      <c r="W11" s="2">
        <v>1</v>
      </c>
      <c r="X11" s="30" t="s">
        <v>153</v>
      </c>
    </row>
    <row r="12" spans="1:24">
      <c r="A12" s="5" t="s">
        <v>171</v>
      </c>
      <c r="B12" s="2" t="s">
        <v>172</v>
      </c>
      <c r="C12" s="26">
        <v>44563</v>
      </c>
      <c r="D12" s="2" t="s">
        <v>169</v>
      </c>
      <c r="E12" s="2" t="s">
        <v>159</v>
      </c>
      <c r="F12" s="2" t="s">
        <v>145</v>
      </c>
      <c r="G12" s="2" t="s">
        <v>134</v>
      </c>
      <c r="H12" s="2">
        <v>12</v>
      </c>
      <c r="I12" s="2">
        <v>3166600</v>
      </c>
      <c r="J12" s="2">
        <v>7.1</v>
      </c>
      <c r="K12" s="2">
        <v>274142</v>
      </c>
      <c r="L12" s="2">
        <v>1204387</v>
      </c>
      <c r="M12" s="2">
        <v>781</v>
      </c>
      <c r="N12" s="2" t="s">
        <v>160</v>
      </c>
      <c r="O12" s="2">
        <v>0.41</v>
      </c>
      <c r="P12" s="2">
        <v>0.52</v>
      </c>
      <c r="Q12" s="2">
        <v>6033900</v>
      </c>
      <c r="R12" s="2">
        <v>12</v>
      </c>
      <c r="S12" s="2">
        <v>2982681</v>
      </c>
      <c r="T12" s="2">
        <v>273850</v>
      </c>
      <c r="U12" s="2">
        <v>0</v>
      </c>
      <c r="V12" s="2">
        <v>0</v>
      </c>
      <c r="W12" s="2">
        <v>0</v>
      </c>
      <c r="X12" s="30" t="s">
        <v>141</v>
      </c>
    </row>
    <row r="13" spans="1:24">
      <c r="A13" s="5" t="s">
        <v>173</v>
      </c>
      <c r="B13" s="2" t="s">
        <v>174</v>
      </c>
      <c r="C13" s="26">
        <v>44593</v>
      </c>
      <c r="D13" s="2" t="s">
        <v>131</v>
      </c>
      <c r="E13" s="2" t="s">
        <v>144</v>
      </c>
      <c r="F13" s="2" t="s">
        <v>133</v>
      </c>
      <c r="G13" s="2" t="s">
        <v>134</v>
      </c>
      <c r="H13" s="2">
        <v>360</v>
      </c>
      <c r="I13" s="2">
        <v>50000</v>
      </c>
      <c r="J13" s="2">
        <v>16.559999999999999</v>
      </c>
      <c r="K13" s="2">
        <v>695</v>
      </c>
      <c r="L13" s="2">
        <v>316188</v>
      </c>
      <c r="M13" s="2">
        <v>705</v>
      </c>
      <c r="N13" s="2" t="s">
        <v>135</v>
      </c>
      <c r="O13" s="2">
        <v>0.4</v>
      </c>
      <c r="P13" s="2">
        <v>0.81</v>
      </c>
      <c r="Q13" s="2">
        <v>0</v>
      </c>
      <c r="R13" s="2">
        <v>46</v>
      </c>
      <c r="S13" s="2">
        <v>28496</v>
      </c>
      <c r="T13" s="2">
        <v>34200</v>
      </c>
      <c r="U13" s="2">
        <v>0</v>
      </c>
      <c r="V13" s="2">
        <v>0</v>
      </c>
      <c r="W13" s="2">
        <v>0</v>
      </c>
      <c r="X13" s="30" t="s">
        <v>148</v>
      </c>
    </row>
    <row r="14" spans="1:24">
      <c r="A14" s="5" t="s">
        <v>175</v>
      </c>
      <c r="B14" s="2" t="s">
        <v>176</v>
      </c>
      <c r="C14" s="26">
        <v>44604</v>
      </c>
      <c r="D14" s="2" t="s">
        <v>177</v>
      </c>
      <c r="E14" s="2" t="s">
        <v>132</v>
      </c>
      <c r="F14" s="2" t="s">
        <v>170</v>
      </c>
      <c r="G14" s="2" t="s">
        <v>146</v>
      </c>
      <c r="H14" s="2">
        <v>120</v>
      </c>
      <c r="I14" s="2">
        <v>1202400</v>
      </c>
      <c r="J14" s="2">
        <v>10.210000000000001</v>
      </c>
      <c r="K14" s="2">
        <v>16030</v>
      </c>
      <c r="L14" s="2">
        <v>278271</v>
      </c>
      <c r="M14" s="2">
        <v>707</v>
      </c>
      <c r="N14" s="2" t="s">
        <v>135</v>
      </c>
      <c r="O14" s="2">
        <v>0.4</v>
      </c>
      <c r="P14" s="2">
        <v>0.64</v>
      </c>
      <c r="Q14" s="2">
        <v>0</v>
      </c>
      <c r="R14" s="2">
        <v>46</v>
      </c>
      <c r="S14" s="2">
        <v>713625</v>
      </c>
      <c r="T14" s="2">
        <v>677015</v>
      </c>
      <c r="U14" s="2">
        <v>0</v>
      </c>
      <c r="V14" s="2">
        <v>0</v>
      </c>
      <c r="W14" s="2">
        <v>0</v>
      </c>
      <c r="X14" s="30" t="s">
        <v>148</v>
      </c>
    </row>
    <row r="15" spans="1:24">
      <c r="A15" s="5" t="s">
        <v>178</v>
      </c>
      <c r="B15" s="2" t="s">
        <v>179</v>
      </c>
      <c r="C15" s="26">
        <v>44640</v>
      </c>
      <c r="D15" s="2" t="s">
        <v>158</v>
      </c>
      <c r="E15" s="2" t="s">
        <v>132</v>
      </c>
      <c r="F15" s="2" t="s">
        <v>170</v>
      </c>
      <c r="G15" s="2" t="s">
        <v>134</v>
      </c>
      <c r="H15" s="2">
        <v>36</v>
      </c>
      <c r="I15" s="2">
        <v>2959800</v>
      </c>
      <c r="J15" s="2">
        <v>14.64</v>
      </c>
      <c r="K15" s="2">
        <v>102081</v>
      </c>
      <c r="L15" s="2">
        <v>882280</v>
      </c>
      <c r="M15" s="2">
        <v>693</v>
      </c>
      <c r="N15" s="2" t="s">
        <v>140</v>
      </c>
      <c r="O15" s="2">
        <v>0.38</v>
      </c>
      <c r="P15" s="2">
        <v>0.74</v>
      </c>
      <c r="Q15" s="2">
        <v>3975900</v>
      </c>
      <c r="R15" s="2">
        <v>36</v>
      </c>
      <c r="S15" s="2">
        <v>3488574</v>
      </c>
      <c r="T15" s="2">
        <v>0</v>
      </c>
      <c r="U15" s="2">
        <v>0</v>
      </c>
      <c r="V15" s="2">
        <v>0</v>
      </c>
      <c r="W15" s="2">
        <v>0</v>
      </c>
      <c r="X15" s="30" t="s">
        <v>141</v>
      </c>
    </row>
    <row r="16" spans="1:24">
      <c r="A16" s="5" t="s">
        <v>180</v>
      </c>
      <c r="B16" s="2" t="s">
        <v>181</v>
      </c>
      <c r="C16" s="26">
        <v>44642</v>
      </c>
      <c r="D16" s="2" t="s">
        <v>163</v>
      </c>
      <c r="E16" s="2" t="s">
        <v>144</v>
      </c>
      <c r="F16" s="2" t="s">
        <v>145</v>
      </c>
      <c r="G16" s="2" t="s">
        <v>134</v>
      </c>
      <c r="H16" s="2">
        <v>18</v>
      </c>
      <c r="I16" s="2">
        <v>601500</v>
      </c>
      <c r="J16" s="2">
        <v>12.92</v>
      </c>
      <c r="K16" s="2">
        <v>36938</v>
      </c>
      <c r="L16" s="2">
        <v>654036</v>
      </c>
      <c r="M16" s="2">
        <v>692</v>
      </c>
      <c r="N16" s="2" t="s">
        <v>140</v>
      </c>
      <c r="O16" s="2">
        <v>0.38</v>
      </c>
      <c r="P16" s="2">
        <v>0.71</v>
      </c>
      <c r="Q16" s="2">
        <v>848500</v>
      </c>
      <c r="R16" s="2">
        <v>18</v>
      </c>
      <c r="S16" s="2">
        <v>657812</v>
      </c>
      <c r="T16" s="2">
        <v>0</v>
      </c>
      <c r="U16" s="2">
        <v>0</v>
      </c>
      <c r="V16" s="2">
        <v>0</v>
      </c>
      <c r="W16" s="2">
        <v>0</v>
      </c>
      <c r="X16" s="30" t="s">
        <v>141</v>
      </c>
    </row>
    <row r="17" spans="1:24">
      <c r="A17" s="5" t="s">
        <v>182</v>
      </c>
      <c r="B17" s="2" t="s">
        <v>183</v>
      </c>
      <c r="C17" s="26">
        <v>44587</v>
      </c>
      <c r="D17" s="2" t="s">
        <v>163</v>
      </c>
      <c r="E17" s="2" t="s">
        <v>132</v>
      </c>
      <c r="F17" s="2" t="s">
        <v>170</v>
      </c>
      <c r="G17" s="2" t="s">
        <v>134</v>
      </c>
      <c r="H17" s="2">
        <v>360</v>
      </c>
      <c r="I17" s="2">
        <v>879200</v>
      </c>
      <c r="J17" s="2">
        <v>13.25</v>
      </c>
      <c r="K17" s="2">
        <v>9898</v>
      </c>
      <c r="L17" s="2">
        <v>418385</v>
      </c>
      <c r="M17" s="2">
        <v>661</v>
      </c>
      <c r="N17" s="2" t="s">
        <v>140</v>
      </c>
      <c r="O17" s="2">
        <v>0.37</v>
      </c>
      <c r="P17" s="2">
        <v>0.43</v>
      </c>
      <c r="Q17" s="2">
        <v>2040600</v>
      </c>
      <c r="R17" s="2">
        <v>47</v>
      </c>
      <c r="S17" s="2">
        <v>422243</v>
      </c>
      <c r="T17" s="2">
        <v>639464</v>
      </c>
      <c r="U17" s="2">
        <v>0</v>
      </c>
      <c r="V17" s="2">
        <v>1</v>
      </c>
      <c r="W17" s="2">
        <v>0</v>
      </c>
      <c r="X17" s="30" t="s">
        <v>141</v>
      </c>
    </row>
    <row r="18" spans="1:24">
      <c r="A18" s="5" t="s">
        <v>184</v>
      </c>
      <c r="B18" s="2" t="s">
        <v>185</v>
      </c>
      <c r="C18" s="26">
        <v>44597</v>
      </c>
      <c r="D18" s="2" t="s">
        <v>131</v>
      </c>
      <c r="E18" s="2" t="s">
        <v>144</v>
      </c>
      <c r="F18" s="2" t="s">
        <v>139</v>
      </c>
      <c r="G18" s="2" t="s">
        <v>152</v>
      </c>
      <c r="H18" s="2">
        <v>120</v>
      </c>
      <c r="I18" s="2">
        <v>658700</v>
      </c>
      <c r="J18" s="2">
        <v>12.36</v>
      </c>
      <c r="K18" s="2">
        <v>9588</v>
      </c>
      <c r="L18" s="2">
        <v>1103139</v>
      </c>
      <c r="M18" s="2">
        <v>800</v>
      </c>
      <c r="N18" s="2" t="s">
        <v>160</v>
      </c>
      <c r="O18" s="2">
        <v>0.36</v>
      </c>
      <c r="P18" s="2">
        <v>0.73</v>
      </c>
      <c r="Q18" s="2">
        <v>0</v>
      </c>
      <c r="R18" s="2">
        <v>46</v>
      </c>
      <c r="S18" s="2">
        <v>447028</v>
      </c>
      <c r="T18" s="2">
        <v>336509</v>
      </c>
      <c r="U18" s="2">
        <v>5</v>
      </c>
      <c r="V18" s="2">
        <v>0</v>
      </c>
      <c r="W18" s="2">
        <v>0</v>
      </c>
      <c r="X18" s="30" t="s">
        <v>148</v>
      </c>
    </row>
    <row r="19" spans="1:24">
      <c r="A19" s="5" t="s">
        <v>186</v>
      </c>
      <c r="B19" s="2" t="s">
        <v>187</v>
      </c>
      <c r="C19" s="26">
        <v>44574</v>
      </c>
      <c r="D19" s="2" t="s">
        <v>163</v>
      </c>
      <c r="E19" s="2" t="s">
        <v>132</v>
      </c>
      <c r="F19" s="2" t="s">
        <v>145</v>
      </c>
      <c r="G19" s="2" t="s">
        <v>134</v>
      </c>
      <c r="H19" s="2">
        <v>60</v>
      </c>
      <c r="I19" s="2">
        <v>575700</v>
      </c>
      <c r="J19" s="2">
        <v>14.45</v>
      </c>
      <c r="K19" s="2">
        <v>13530</v>
      </c>
      <c r="L19" s="2">
        <v>630069</v>
      </c>
      <c r="M19" s="2">
        <v>636</v>
      </c>
      <c r="N19" s="2" t="s">
        <v>147</v>
      </c>
      <c r="O19" s="2">
        <v>0.36</v>
      </c>
      <c r="P19" s="2">
        <v>0.65</v>
      </c>
      <c r="Q19" s="2">
        <v>888200</v>
      </c>
      <c r="R19" s="2">
        <v>47</v>
      </c>
      <c r="S19" s="2">
        <v>564611</v>
      </c>
      <c r="T19" s="2">
        <v>141418</v>
      </c>
      <c r="U19" s="2">
        <v>5</v>
      </c>
      <c r="V19" s="2">
        <v>0</v>
      </c>
      <c r="W19" s="2">
        <v>0</v>
      </c>
      <c r="X19" s="30" t="s">
        <v>148</v>
      </c>
    </row>
    <row r="20" spans="1:24">
      <c r="A20" s="5" t="s">
        <v>188</v>
      </c>
      <c r="B20" s="2" t="s">
        <v>189</v>
      </c>
      <c r="C20" s="26">
        <v>44632</v>
      </c>
      <c r="D20" s="2" t="s">
        <v>169</v>
      </c>
      <c r="E20" s="2" t="s">
        <v>132</v>
      </c>
      <c r="F20" s="2" t="s">
        <v>133</v>
      </c>
      <c r="G20" s="2" t="s">
        <v>134</v>
      </c>
      <c r="H20" s="2">
        <v>240</v>
      </c>
      <c r="I20" s="2">
        <v>3087000</v>
      </c>
      <c r="J20" s="2">
        <v>16.04</v>
      </c>
      <c r="K20" s="2">
        <v>43041</v>
      </c>
      <c r="L20" s="2">
        <v>457449</v>
      </c>
      <c r="M20" s="2">
        <v>596</v>
      </c>
      <c r="N20" s="2" t="s">
        <v>166</v>
      </c>
      <c r="O20" s="2">
        <v>0.35</v>
      </c>
      <c r="P20" s="2">
        <v>0.86</v>
      </c>
      <c r="Q20" s="2">
        <v>3599400</v>
      </c>
      <c r="R20" s="2">
        <v>45</v>
      </c>
      <c r="S20" s="2">
        <v>1969122</v>
      </c>
      <c r="T20" s="2">
        <v>1860610</v>
      </c>
      <c r="U20" s="2">
        <v>10</v>
      </c>
      <c r="V20" s="2">
        <v>0</v>
      </c>
      <c r="W20" s="2">
        <v>0</v>
      </c>
      <c r="X20" s="30" t="s">
        <v>148</v>
      </c>
    </row>
    <row r="21" spans="1:24">
      <c r="A21" s="5" t="s">
        <v>190</v>
      </c>
      <c r="B21" s="2" t="s">
        <v>191</v>
      </c>
      <c r="C21" s="26">
        <v>44648</v>
      </c>
      <c r="D21" s="2" t="s">
        <v>163</v>
      </c>
      <c r="E21" s="2" t="s">
        <v>132</v>
      </c>
      <c r="F21" s="2" t="s">
        <v>145</v>
      </c>
      <c r="G21" s="2" t="s">
        <v>192</v>
      </c>
      <c r="H21" s="2">
        <v>48</v>
      </c>
      <c r="I21" s="2">
        <v>785000</v>
      </c>
      <c r="J21" s="2">
        <v>13.24</v>
      </c>
      <c r="K21" s="2">
        <v>21153</v>
      </c>
      <c r="L21" s="2">
        <v>612338</v>
      </c>
      <c r="M21" s="2">
        <v>668</v>
      </c>
      <c r="N21" s="2" t="s">
        <v>140</v>
      </c>
      <c r="O21" s="2">
        <v>0.33</v>
      </c>
      <c r="P21" s="2">
        <v>0.61</v>
      </c>
      <c r="Q21" s="2">
        <v>1294400</v>
      </c>
      <c r="R21" s="2">
        <v>45</v>
      </c>
      <c r="S21" s="2">
        <v>836666</v>
      </c>
      <c r="T21" s="2">
        <v>104235</v>
      </c>
      <c r="U21" s="2">
        <v>0</v>
      </c>
      <c r="V21" s="2">
        <v>0</v>
      </c>
      <c r="W21" s="2">
        <v>0</v>
      </c>
      <c r="X21" s="30" t="s">
        <v>148</v>
      </c>
    </row>
    <row r="22" spans="1:24">
      <c r="A22" s="5" t="s">
        <v>193</v>
      </c>
      <c r="B22" s="2" t="s">
        <v>194</v>
      </c>
      <c r="C22" s="26">
        <v>44631</v>
      </c>
      <c r="D22" s="2" t="s">
        <v>158</v>
      </c>
      <c r="E22" s="2" t="s">
        <v>144</v>
      </c>
      <c r="F22" s="2" t="s">
        <v>151</v>
      </c>
      <c r="G22" s="2" t="s">
        <v>152</v>
      </c>
      <c r="H22" s="2">
        <v>180</v>
      </c>
      <c r="I22" s="2">
        <v>3676500</v>
      </c>
      <c r="J22" s="2">
        <v>18.059999999999999</v>
      </c>
      <c r="K22" s="2">
        <v>59366</v>
      </c>
      <c r="L22" s="2">
        <v>500928</v>
      </c>
      <c r="M22" s="2">
        <v>623</v>
      </c>
      <c r="N22" s="2" t="s">
        <v>147</v>
      </c>
      <c r="O22" s="2">
        <v>0.33</v>
      </c>
      <c r="P22" s="2">
        <v>0.72</v>
      </c>
      <c r="Q22" s="2">
        <v>5087200</v>
      </c>
      <c r="R22" s="2">
        <v>45</v>
      </c>
      <c r="S22" s="2">
        <v>2409295</v>
      </c>
      <c r="T22" s="2">
        <v>2263169</v>
      </c>
      <c r="U22" s="2">
        <v>10</v>
      </c>
      <c r="V22" s="2">
        <v>0</v>
      </c>
      <c r="W22" s="2">
        <v>0</v>
      </c>
      <c r="X22" s="30" t="s">
        <v>148</v>
      </c>
    </row>
    <row r="23" spans="1:24">
      <c r="A23" s="5" t="s">
        <v>195</v>
      </c>
      <c r="B23" s="2" t="s">
        <v>196</v>
      </c>
      <c r="C23" s="26">
        <v>44572</v>
      </c>
      <c r="D23" s="2" t="s">
        <v>163</v>
      </c>
      <c r="E23" s="2" t="s">
        <v>132</v>
      </c>
      <c r="F23" s="2" t="s">
        <v>139</v>
      </c>
      <c r="G23" s="2" t="s">
        <v>134</v>
      </c>
      <c r="H23" s="2">
        <v>18</v>
      </c>
      <c r="I23" s="2">
        <v>421800</v>
      </c>
      <c r="J23" s="2">
        <v>13.75</v>
      </c>
      <c r="K23" s="2">
        <v>26066</v>
      </c>
      <c r="L23" s="2">
        <v>901863</v>
      </c>
      <c r="M23" s="2">
        <v>649</v>
      </c>
      <c r="N23" s="2" t="s">
        <v>147</v>
      </c>
      <c r="O23" s="2">
        <v>0.3</v>
      </c>
      <c r="P23" s="2">
        <v>0.73</v>
      </c>
      <c r="Q23" s="2">
        <v>577200</v>
      </c>
      <c r="R23" s="2">
        <v>18</v>
      </c>
      <c r="S23" s="2">
        <v>435157</v>
      </c>
      <c r="T23" s="2">
        <v>21442</v>
      </c>
      <c r="U23" s="2">
        <v>0</v>
      </c>
      <c r="V23" s="2">
        <v>0</v>
      </c>
      <c r="W23" s="2">
        <v>0</v>
      </c>
      <c r="X23" s="30" t="s">
        <v>141</v>
      </c>
    </row>
    <row r="24" spans="1:24">
      <c r="A24" s="5" t="s">
        <v>197</v>
      </c>
      <c r="B24" s="2" t="s">
        <v>198</v>
      </c>
      <c r="C24" s="26">
        <v>44620</v>
      </c>
      <c r="D24" s="2" t="s">
        <v>163</v>
      </c>
      <c r="E24" s="2" t="s">
        <v>144</v>
      </c>
      <c r="F24" s="2" t="s">
        <v>145</v>
      </c>
      <c r="G24" s="2" t="s">
        <v>152</v>
      </c>
      <c r="H24" s="2">
        <v>36</v>
      </c>
      <c r="I24" s="2">
        <v>984700</v>
      </c>
      <c r="J24" s="2">
        <v>13.39</v>
      </c>
      <c r="K24" s="2">
        <v>33364</v>
      </c>
      <c r="L24" s="2">
        <v>787811</v>
      </c>
      <c r="M24" s="2">
        <v>632</v>
      </c>
      <c r="N24" s="2" t="s">
        <v>147</v>
      </c>
      <c r="O24" s="2">
        <v>0.3</v>
      </c>
      <c r="P24" s="2">
        <v>0.74</v>
      </c>
      <c r="Q24" s="2">
        <v>1338000</v>
      </c>
      <c r="R24" s="2">
        <v>36</v>
      </c>
      <c r="S24" s="2">
        <v>1143457</v>
      </c>
      <c r="T24" s="2">
        <v>0</v>
      </c>
      <c r="U24" s="2">
        <v>45</v>
      </c>
      <c r="V24" s="2">
        <v>0</v>
      </c>
      <c r="W24" s="2">
        <v>0</v>
      </c>
      <c r="X24" s="30" t="s">
        <v>141</v>
      </c>
    </row>
    <row r="25" spans="1:24">
      <c r="A25" s="5" t="s">
        <v>199</v>
      </c>
      <c r="B25" s="2" t="s">
        <v>200</v>
      </c>
      <c r="C25" s="26">
        <v>44614</v>
      </c>
      <c r="D25" s="2" t="s">
        <v>169</v>
      </c>
      <c r="E25" s="2" t="s">
        <v>132</v>
      </c>
      <c r="F25" s="2" t="s">
        <v>151</v>
      </c>
      <c r="G25" s="2" t="s">
        <v>152</v>
      </c>
      <c r="H25" s="2">
        <v>360</v>
      </c>
      <c r="I25" s="2">
        <v>5407100</v>
      </c>
      <c r="J25" s="2">
        <v>12.53</v>
      </c>
      <c r="K25" s="2">
        <v>57834</v>
      </c>
      <c r="L25" s="2">
        <v>860326</v>
      </c>
      <c r="M25" s="2">
        <v>654</v>
      </c>
      <c r="N25" s="2" t="s">
        <v>140</v>
      </c>
      <c r="O25" s="2">
        <v>0.28999999999999998</v>
      </c>
      <c r="P25" s="2">
        <v>0.7</v>
      </c>
      <c r="Q25" s="2">
        <v>7776200</v>
      </c>
      <c r="R25" s="2">
        <v>46</v>
      </c>
      <c r="S25" s="2">
        <v>2557940</v>
      </c>
      <c r="T25" s="2">
        <v>3888008</v>
      </c>
      <c r="U25" s="2">
        <v>0</v>
      </c>
      <c r="V25" s="2">
        <v>0</v>
      </c>
      <c r="W25" s="2">
        <v>0</v>
      </c>
      <c r="X25" s="30" t="s">
        <v>148</v>
      </c>
    </row>
    <row r="26" spans="1:24">
      <c r="A26" s="5" t="s">
        <v>201</v>
      </c>
      <c r="B26" s="2" t="s">
        <v>202</v>
      </c>
      <c r="C26" s="26">
        <v>44620</v>
      </c>
      <c r="D26" s="2" t="s">
        <v>163</v>
      </c>
      <c r="E26" s="2" t="s">
        <v>132</v>
      </c>
      <c r="F26" s="2" t="s">
        <v>170</v>
      </c>
      <c r="G26" s="2" t="s">
        <v>152</v>
      </c>
      <c r="H26" s="2">
        <v>12</v>
      </c>
      <c r="I26" s="2">
        <v>1746800</v>
      </c>
      <c r="J26" s="2">
        <v>10.33</v>
      </c>
      <c r="K26" s="2">
        <v>153840</v>
      </c>
      <c r="L26" s="2">
        <v>658460</v>
      </c>
      <c r="M26" s="2">
        <v>727</v>
      </c>
      <c r="N26" s="2" t="s">
        <v>135</v>
      </c>
      <c r="O26" s="2">
        <v>0.27</v>
      </c>
      <c r="P26" s="2">
        <v>1.05</v>
      </c>
      <c r="Q26" s="2">
        <v>1669600</v>
      </c>
      <c r="R26" s="2">
        <v>12</v>
      </c>
      <c r="S26" s="2">
        <v>1787037</v>
      </c>
      <c r="T26" s="2">
        <v>31941</v>
      </c>
      <c r="U26" s="2">
        <v>0</v>
      </c>
      <c r="V26" s="2">
        <v>0</v>
      </c>
      <c r="W26" s="2">
        <v>0</v>
      </c>
      <c r="X26" s="30" t="s">
        <v>141</v>
      </c>
    </row>
    <row r="27" spans="1:24">
      <c r="A27" s="5" t="s">
        <v>203</v>
      </c>
      <c r="B27" s="2" t="s">
        <v>204</v>
      </c>
      <c r="C27" s="26">
        <v>44568</v>
      </c>
      <c r="D27" s="2" t="s">
        <v>169</v>
      </c>
      <c r="E27" s="2" t="s">
        <v>132</v>
      </c>
      <c r="F27" s="2" t="s">
        <v>151</v>
      </c>
      <c r="G27" s="2" t="s">
        <v>152</v>
      </c>
      <c r="H27" s="2">
        <v>24</v>
      </c>
      <c r="I27" s="2">
        <v>8493400</v>
      </c>
      <c r="J27" s="2">
        <v>13.77</v>
      </c>
      <c r="K27" s="2">
        <v>406870</v>
      </c>
      <c r="L27" s="2">
        <v>1331502</v>
      </c>
      <c r="M27" s="2">
        <v>626</v>
      </c>
      <c r="N27" s="2" t="s">
        <v>147</v>
      </c>
      <c r="O27" s="2">
        <v>0.24</v>
      </c>
      <c r="P27" s="2">
        <v>0.9</v>
      </c>
      <c r="Q27" s="2">
        <v>9473000</v>
      </c>
      <c r="R27" s="2">
        <v>24</v>
      </c>
      <c r="S27" s="2">
        <v>8328855</v>
      </c>
      <c r="T27" s="2">
        <v>1100178</v>
      </c>
      <c r="U27" s="2">
        <v>0</v>
      </c>
      <c r="V27" s="2">
        <v>0</v>
      </c>
      <c r="W27" s="2">
        <v>0</v>
      </c>
      <c r="X27" s="30" t="s">
        <v>141</v>
      </c>
    </row>
    <row r="28" spans="1:24">
      <c r="A28" s="5" t="s">
        <v>205</v>
      </c>
      <c r="B28" s="2" t="s">
        <v>206</v>
      </c>
      <c r="C28" s="26">
        <v>44613</v>
      </c>
      <c r="D28" s="2" t="s">
        <v>169</v>
      </c>
      <c r="E28" s="2" t="s">
        <v>144</v>
      </c>
      <c r="F28" s="2" t="s">
        <v>139</v>
      </c>
      <c r="G28" s="2" t="s">
        <v>134</v>
      </c>
      <c r="H28" s="2">
        <v>360</v>
      </c>
      <c r="I28" s="2">
        <v>6309600</v>
      </c>
      <c r="J28" s="2">
        <v>12.29</v>
      </c>
      <c r="K28" s="2">
        <v>66313</v>
      </c>
      <c r="L28" s="2">
        <v>783645</v>
      </c>
      <c r="M28" s="2">
        <v>657</v>
      </c>
      <c r="N28" s="2" t="s">
        <v>140</v>
      </c>
      <c r="O28" s="2">
        <v>0.23</v>
      </c>
      <c r="P28" s="2">
        <v>0.95</v>
      </c>
      <c r="Q28" s="2">
        <v>6658400</v>
      </c>
      <c r="R28" s="2">
        <v>46</v>
      </c>
      <c r="S28" s="2">
        <v>2846256</v>
      </c>
      <c r="T28" s="2">
        <v>4652367</v>
      </c>
      <c r="U28" s="2">
        <v>0</v>
      </c>
      <c r="V28" s="2">
        <v>0</v>
      </c>
      <c r="W28" s="2">
        <v>0</v>
      </c>
      <c r="X28" s="30" t="s">
        <v>148</v>
      </c>
    </row>
    <row r="29" spans="1:24">
      <c r="A29" s="5" t="s">
        <v>207</v>
      </c>
      <c r="B29" s="2" t="s">
        <v>208</v>
      </c>
      <c r="C29" s="26">
        <v>44634</v>
      </c>
      <c r="D29" s="2" t="s">
        <v>163</v>
      </c>
      <c r="E29" s="2" t="s">
        <v>132</v>
      </c>
      <c r="F29" s="2" t="s">
        <v>133</v>
      </c>
      <c r="G29" s="2" t="s">
        <v>152</v>
      </c>
      <c r="H29" s="2">
        <v>180</v>
      </c>
      <c r="I29" s="2">
        <v>913200</v>
      </c>
      <c r="J29" s="2">
        <v>7</v>
      </c>
      <c r="K29" s="2">
        <v>8208</v>
      </c>
      <c r="L29" s="2">
        <v>907013</v>
      </c>
      <c r="M29" s="2">
        <v>799</v>
      </c>
      <c r="N29" s="2" t="s">
        <v>160</v>
      </c>
      <c r="O29" s="2">
        <v>0.19</v>
      </c>
      <c r="P29" s="2">
        <v>0.77</v>
      </c>
      <c r="Q29" s="2">
        <v>1183200</v>
      </c>
      <c r="R29" s="2">
        <v>45</v>
      </c>
      <c r="S29" s="2">
        <v>376133</v>
      </c>
      <c r="T29" s="2">
        <v>632953</v>
      </c>
      <c r="U29" s="2">
        <v>0</v>
      </c>
      <c r="V29" s="2">
        <v>0</v>
      </c>
      <c r="W29" s="2">
        <v>0</v>
      </c>
      <c r="X29" s="30" t="s">
        <v>148</v>
      </c>
    </row>
    <row r="30" spans="1:24">
      <c r="A30" s="5" t="s">
        <v>209</v>
      </c>
      <c r="B30" s="2" t="s">
        <v>210</v>
      </c>
      <c r="C30" s="26">
        <v>44645</v>
      </c>
      <c r="D30" s="2" t="s">
        <v>158</v>
      </c>
      <c r="E30" s="2" t="s">
        <v>132</v>
      </c>
      <c r="F30" s="2" t="s">
        <v>139</v>
      </c>
      <c r="G30" s="2" t="s">
        <v>152</v>
      </c>
      <c r="H30" s="2">
        <v>48</v>
      </c>
      <c r="I30" s="2">
        <v>3628200</v>
      </c>
      <c r="J30" s="2">
        <v>11.84</v>
      </c>
      <c r="K30" s="2">
        <v>95260</v>
      </c>
      <c r="L30" s="2">
        <v>1380320</v>
      </c>
      <c r="M30" s="2">
        <v>758</v>
      </c>
      <c r="N30" s="2" t="s">
        <v>160</v>
      </c>
      <c r="O30" s="2">
        <v>0.16</v>
      </c>
      <c r="P30" s="2">
        <v>0.67</v>
      </c>
      <c r="Q30" s="2">
        <v>5385500</v>
      </c>
      <c r="R30" s="2">
        <v>45</v>
      </c>
      <c r="S30" s="2">
        <v>3646511</v>
      </c>
      <c r="T30" s="2">
        <v>626057</v>
      </c>
      <c r="U30" s="2">
        <v>60</v>
      </c>
      <c r="V30" s="2">
        <v>0</v>
      </c>
      <c r="W30" s="2">
        <v>0</v>
      </c>
      <c r="X30" s="30" t="s">
        <v>136</v>
      </c>
    </row>
    <row r="31" spans="1:24">
      <c r="A31" s="5" t="s">
        <v>211</v>
      </c>
      <c r="B31" s="2" t="s">
        <v>212</v>
      </c>
      <c r="C31" s="26">
        <v>44648</v>
      </c>
      <c r="D31" s="2" t="s">
        <v>169</v>
      </c>
      <c r="E31" s="2" t="s">
        <v>213</v>
      </c>
      <c r="F31" s="2" t="s">
        <v>145</v>
      </c>
      <c r="G31" s="2" t="s">
        <v>134</v>
      </c>
      <c r="H31" s="2">
        <v>60</v>
      </c>
      <c r="I31" s="2">
        <v>1357200</v>
      </c>
      <c r="J31" s="2">
        <v>12.5</v>
      </c>
      <c r="K31" s="2">
        <v>30534</v>
      </c>
      <c r="L31" s="2">
        <v>150000</v>
      </c>
      <c r="M31" s="2">
        <v>667</v>
      </c>
      <c r="N31" s="2" t="s">
        <v>140</v>
      </c>
      <c r="O31" s="2">
        <v>0.16</v>
      </c>
      <c r="P31" s="2">
        <v>0.64</v>
      </c>
      <c r="Q31" s="2">
        <v>2113200</v>
      </c>
      <c r="R31" s="2">
        <v>45</v>
      </c>
      <c r="S31" s="2">
        <v>1385523</v>
      </c>
      <c r="T31" s="2">
        <v>226152</v>
      </c>
      <c r="U31" s="2">
        <v>0</v>
      </c>
      <c r="V31" s="2">
        <v>1</v>
      </c>
      <c r="W31" s="2">
        <v>0</v>
      </c>
      <c r="X31" s="30" t="s">
        <v>141</v>
      </c>
    </row>
    <row r="32" spans="1:24">
      <c r="A32" s="5" t="s">
        <v>214</v>
      </c>
      <c r="B32" s="2" t="s">
        <v>215</v>
      </c>
      <c r="C32" s="26">
        <v>44564</v>
      </c>
      <c r="D32" s="2" t="s">
        <v>131</v>
      </c>
      <c r="E32" s="2" t="s">
        <v>144</v>
      </c>
      <c r="F32" s="2" t="s">
        <v>139</v>
      </c>
      <c r="G32" s="2" t="s">
        <v>152</v>
      </c>
      <c r="H32" s="2">
        <v>12</v>
      </c>
      <c r="I32" s="2">
        <v>518000</v>
      </c>
      <c r="J32" s="2">
        <v>13.81</v>
      </c>
      <c r="K32" s="2">
        <v>46463</v>
      </c>
      <c r="L32" s="2">
        <v>1378964</v>
      </c>
      <c r="M32" s="2">
        <v>744</v>
      </c>
      <c r="N32" s="2" t="s">
        <v>135</v>
      </c>
      <c r="O32" s="2">
        <v>0.16</v>
      </c>
      <c r="P32" s="2">
        <v>0.75</v>
      </c>
      <c r="Q32" s="2">
        <v>0</v>
      </c>
      <c r="R32" s="2">
        <v>12</v>
      </c>
      <c r="S32" s="2">
        <v>481837</v>
      </c>
      <c r="T32" s="2">
        <v>64777</v>
      </c>
      <c r="U32" s="2">
        <v>0</v>
      </c>
      <c r="V32" s="2">
        <v>0</v>
      </c>
      <c r="W32" s="2">
        <v>0</v>
      </c>
      <c r="X32" s="30" t="s">
        <v>141</v>
      </c>
    </row>
    <row r="33" spans="1:24">
      <c r="A33" s="5" t="s">
        <v>216</v>
      </c>
      <c r="B33" s="2" t="s">
        <v>217</v>
      </c>
      <c r="C33" s="26">
        <v>44635</v>
      </c>
      <c r="D33" s="2" t="s">
        <v>158</v>
      </c>
      <c r="E33" s="2" t="s">
        <v>144</v>
      </c>
      <c r="F33" s="2" t="s">
        <v>139</v>
      </c>
      <c r="G33" s="2" t="s">
        <v>134</v>
      </c>
      <c r="H33" s="2">
        <v>60</v>
      </c>
      <c r="I33" s="2">
        <v>3043400</v>
      </c>
      <c r="J33" s="2">
        <v>18.350000000000001</v>
      </c>
      <c r="K33" s="2">
        <v>77863</v>
      </c>
      <c r="L33" s="2">
        <v>1242594</v>
      </c>
      <c r="M33" s="2">
        <v>631</v>
      </c>
      <c r="N33" s="2" t="s">
        <v>147</v>
      </c>
      <c r="O33" s="2">
        <v>0.16</v>
      </c>
      <c r="P33" s="2">
        <v>0.75</v>
      </c>
      <c r="Q33" s="2">
        <v>4065600</v>
      </c>
      <c r="R33" s="2">
        <v>45</v>
      </c>
      <c r="S33" s="2">
        <v>3024070</v>
      </c>
      <c r="T33" s="2">
        <v>857026</v>
      </c>
      <c r="U33" s="2">
        <v>0</v>
      </c>
      <c r="V33" s="2">
        <v>0</v>
      </c>
      <c r="W33" s="2">
        <v>0</v>
      </c>
      <c r="X33" s="30" t="s">
        <v>148</v>
      </c>
    </row>
    <row r="34" spans="1:24">
      <c r="A34" s="5" t="s">
        <v>218</v>
      </c>
      <c r="B34" s="2" t="s">
        <v>219</v>
      </c>
      <c r="C34" s="26">
        <v>44621</v>
      </c>
      <c r="D34" s="2" t="s">
        <v>131</v>
      </c>
      <c r="E34" s="2" t="s">
        <v>213</v>
      </c>
      <c r="F34" s="2" t="s">
        <v>139</v>
      </c>
      <c r="G34" s="2" t="s">
        <v>134</v>
      </c>
      <c r="H34" s="2">
        <v>24</v>
      </c>
      <c r="I34" s="2">
        <v>380900</v>
      </c>
      <c r="J34" s="2">
        <v>16.850000000000001</v>
      </c>
      <c r="K34" s="2">
        <v>18805</v>
      </c>
      <c r="L34" s="2">
        <v>845886</v>
      </c>
      <c r="M34" s="2">
        <v>710</v>
      </c>
      <c r="N34" s="2" t="s">
        <v>135</v>
      </c>
      <c r="O34" s="2">
        <v>0.16</v>
      </c>
      <c r="P34" s="2">
        <v>0.81</v>
      </c>
      <c r="Q34" s="2">
        <v>0</v>
      </c>
      <c r="R34" s="2">
        <v>24</v>
      </c>
      <c r="S34" s="2">
        <v>407954</v>
      </c>
      <c r="T34" s="2">
        <v>24291</v>
      </c>
      <c r="U34" s="2">
        <v>10</v>
      </c>
      <c r="V34" s="2">
        <v>0</v>
      </c>
      <c r="W34" s="2">
        <v>0</v>
      </c>
      <c r="X34" s="30" t="s">
        <v>141</v>
      </c>
    </row>
    <row r="35" spans="1:24">
      <c r="A35" s="5" t="s">
        <v>220</v>
      </c>
      <c r="B35" s="2" t="s">
        <v>221</v>
      </c>
      <c r="C35" s="26">
        <v>44648</v>
      </c>
      <c r="D35" s="2" t="s">
        <v>177</v>
      </c>
      <c r="E35" s="2" t="s">
        <v>144</v>
      </c>
      <c r="F35" s="2" t="s">
        <v>145</v>
      </c>
      <c r="G35" s="2" t="s">
        <v>192</v>
      </c>
      <c r="H35" s="2">
        <v>240</v>
      </c>
      <c r="I35" s="2">
        <v>710700</v>
      </c>
      <c r="J35" s="2">
        <v>14</v>
      </c>
      <c r="K35" s="2">
        <v>8838</v>
      </c>
      <c r="L35" s="2">
        <v>1285130</v>
      </c>
      <c r="M35" s="2">
        <v>652</v>
      </c>
      <c r="N35" s="2" t="s">
        <v>140</v>
      </c>
      <c r="O35" s="2">
        <v>0.14000000000000001</v>
      </c>
      <c r="P35" s="2">
        <v>0.75</v>
      </c>
      <c r="Q35" s="2">
        <v>0</v>
      </c>
      <c r="R35" s="2">
        <v>45</v>
      </c>
      <c r="S35" s="2">
        <v>364986</v>
      </c>
      <c r="T35" s="2">
        <v>494961</v>
      </c>
      <c r="U35" s="2">
        <v>0</v>
      </c>
      <c r="V35" s="2">
        <v>0</v>
      </c>
      <c r="W35" s="2">
        <v>0</v>
      </c>
      <c r="X35" s="30" t="s">
        <v>148</v>
      </c>
    </row>
    <row r="36" spans="1:24">
      <c r="A36" s="5" t="s">
        <v>222</v>
      </c>
      <c r="B36" s="2" t="s">
        <v>223</v>
      </c>
      <c r="C36" s="26">
        <v>44620</v>
      </c>
      <c r="D36" s="2" t="s">
        <v>169</v>
      </c>
      <c r="E36" s="2" t="s">
        <v>132</v>
      </c>
      <c r="F36" s="2" t="s">
        <v>151</v>
      </c>
      <c r="G36" s="2" t="s">
        <v>134</v>
      </c>
      <c r="H36" s="2">
        <v>120</v>
      </c>
      <c r="I36" s="2">
        <v>3471600</v>
      </c>
      <c r="J36" s="2">
        <v>8.76</v>
      </c>
      <c r="K36" s="2">
        <v>43527</v>
      </c>
      <c r="L36" s="2">
        <v>476360</v>
      </c>
      <c r="M36" s="2">
        <v>729</v>
      </c>
      <c r="N36" s="2" t="s">
        <v>135</v>
      </c>
      <c r="O36" s="2">
        <v>0.13</v>
      </c>
      <c r="P36" s="2">
        <v>0.77</v>
      </c>
      <c r="Q36" s="2">
        <v>4493800</v>
      </c>
      <c r="R36" s="2">
        <v>46</v>
      </c>
      <c r="S36" s="2">
        <v>1911330</v>
      </c>
      <c r="T36" s="2">
        <v>2026575</v>
      </c>
      <c r="U36" s="2">
        <v>0</v>
      </c>
      <c r="V36" s="2">
        <v>0</v>
      </c>
      <c r="W36" s="2">
        <v>0</v>
      </c>
      <c r="X36" s="30" t="s">
        <v>148</v>
      </c>
    </row>
    <row r="37" spans="1:24">
      <c r="A37" s="5" t="s">
        <v>224</v>
      </c>
      <c r="B37" s="2" t="s">
        <v>225</v>
      </c>
      <c r="C37" s="26">
        <v>44629</v>
      </c>
      <c r="D37" s="2" t="s">
        <v>177</v>
      </c>
      <c r="E37" s="2" t="s">
        <v>213</v>
      </c>
      <c r="F37" s="2" t="s">
        <v>145</v>
      </c>
      <c r="G37" s="2" t="s">
        <v>146</v>
      </c>
      <c r="H37" s="2">
        <v>120</v>
      </c>
      <c r="I37" s="2">
        <v>1117400</v>
      </c>
      <c r="J37" s="2">
        <v>9.08</v>
      </c>
      <c r="K37" s="2">
        <v>14203</v>
      </c>
      <c r="L37" s="2">
        <v>1299906</v>
      </c>
      <c r="M37" s="2">
        <v>736</v>
      </c>
      <c r="N37" s="2" t="s">
        <v>135</v>
      </c>
      <c r="O37" s="2">
        <v>0.13</v>
      </c>
      <c r="P37" s="2">
        <v>0.67</v>
      </c>
      <c r="Q37" s="2">
        <v>0</v>
      </c>
      <c r="R37" s="2">
        <v>45</v>
      </c>
      <c r="S37" s="2">
        <v>572009</v>
      </c>
      <c r="T37" s="2">
        <v>697581</v>
      </c>
      <c r="U37" s="2">
        <v>30</v>
      </c>
      <c r="V37" s="2">
        <v>0</v>
      </c>
      <c r="W37" s="2">
        <v>0</v>
      </c>
      <c r="X37" s="30" t="s">
        <v>136</v>
      </c>
    </row>
    <row r="38" spans="1:24">
      <c r="A38" s="5" t="s">
        <v>226</v>
      </c>
      <c r="B38" s="2" t="s">
        <v>227</v>
      </c>
      <c r="C38" s="26">
        <v>44625</v>
      </c>
      <c r="D38" s="2" t="s">
        <v>163</v>
      </c>
      <c r="E38" s="2" t="s">
        <v>144</v>
      </c>
      <c r="F38" s="2" t="s">
        <v>170</v>
      </c>
      <c r="G38" s="2" t="s">
        <v>192</v>
      </c>
      <c r="H38" s="2">
        <v>240</v>
      </c>
      <c r="I38" s="2">
        <v>359700</v>
      </c>
      <c r="J38" s="2">
        <v>13.63</v>
      </c>
      <c r="K38" s="2">
        <v>4377</v>
      </c>
      <c r="L38" s="2">
        <v>170240</v>
      </c>
      <c r="M38" s="2">
        <v>685</v>
      </c>
      <c r="N38" s="2" t="s">
        <v>140</v>
      </c>
      <c r="O38" s="2">
        <v>0.12</v>
      </c>
      <c r="P38" s="2">
        <v>0.67</v>
      </c>
      <c r="Q38" s="2">
        <v>537200</v>
      </c>
      <c r="R38" s="2">
        <v>45</v>
      </c>
      <c r="S38" s="2">
        <v>182170</v>
      </c>
      <c r="T38" s="2">
        <v>251071</v>
      </c>
      <c r="U38" s="2">
        <v>0</v>
      </c>
      <c r="V38" s="2">
        <v>0</v>
      </c>
      <c r="W38" s="2">
        <v>0</v>
      </c>
      <c r="X38" s="30" t="s">
        <v>148</v>
      </c>
    </row>
    <row r="39" spans="1:24">
      <c r="A39" s="5" t="s">
        <v>228</v>
      </c>
      <c r="B39" s="2" t="s">
        <v>229</v>
      </c>
      <c r="C39" s="26">
        <v>45008</v>
      </c>
      <c r="D39" s="2" t="s">
        <v>131</v>
      </c>
      <c r="E39" s="2" t="s">
        <v>144</v>
      </c>
      <c r="F39" s="2" t="s">
        <v>170</v>
      </c>
      <c r="G39" s="2" t="s">
        <v>134</v>
      </c>
      <c r="H39" s="2">
        <v>36</v>
      </c>
      <c r="I39" s="2">
        <v>620500</v>
      </c>
      <c r="J39" s="2">
        <v>21.86</v>
      </c>
      <c r="K39" s="2">
        <v>23652</v>
      </c>
      <c r="L39" s="2">
        <v>914413</v>
      </c>
      <c r="M39" s="2">
        <v>609</v>
      </c>
      <c r="N39" s="2" t="s">
        <v>147</v>
      </c>
      <c r="O39" s="2">
        <v>0.61</v>
      </c>
      <c r="P39" s="2">
        <v>0.91</v>
      </c>
      <c r="Q39" s="2">
        <v>0</v>
      </c>
      <c r="R39" s="2">
        <v>33</v>
      </c>
      <c r="S39" s="2">
        <v>672076</v>
      </c>
      <c r="T39" s="2">
        <v>97629</v>
      </c>
      <c r="U39" s="2">
        <v>0</v>
      </c>
      <c r="V39" s="2">
        <v>0</v>
      </c>
      <c r="W39" s="2">
        <v>0</v>
      </c>
      <c r="X39" s="30" t="s">
        <v>148</v>
      </c>
    </row>
    <row r="40" spans="1:24">
      <c r="A40" s="5" t="s">
        <v>230</v>
      </c>
      <c r="B40" s="2" t="s">
        <v>231</v>
      </c>
      <c r="C40" s="26">
        <v>44990</v>
      </c>
      <c r="D40" s="2" t="s">
        <v>177</v>
      </c>
      <c r="E40" s="2" t="s">
        <v>213</v>
      </c>
      <c r="F40" s="2" t="s">
        <v>170</v>
      </c>
      <c r="G40" s="2" t="s">
        <v>134</v>
      </c>
      <c r="H40" s="2">
        <v>180</v>
      </c>
      <c r="I40" s="2">
        <v>870800</v>
      </c>
      <c r="J40" s="2">
        <v>10.19</v>
      </c>
      <c r="K40" s="2">
        <v>9459</v>
      </c>
      <c r="L40" s="2">
        <v>1156135</v>
      </c>
      <c r="M40" s="2">
        <v>741</v>
      </c>
      <c r="N40" s="2" t="s">
        <v>135</v>
      </c>
      <c r="O40" s="2">
        <v>0.54</v>
      </c>
      <c r="P40" s="2">
        <v>0.68</v>
      </c>
      <c r="Q40" s="2">
        <v>0</v>
      </c>
      <c r="R40" s="2">
        <v>33</v>
      </c>
      <c r="S40" s="2">
        <v>296725</v>
      </c>
      <c r="T40" s="2">
        <v>671683</v>
      </c>
      <c r="U40" s="2">
        <v>0</v>
      </c>
      <c r="V40" s="2">
        <v>0</v>
      </c>
      <c r="W40" s="2">
        <v>0</v>
      </c>
      <c r="X40" s="30" t="s">
        <v>148</v>
      </c>
    </row>
    <row r="41" spans="1:24">
      <c r="A41" s="5" t="s">
        <v>232</v>
      </c>
      <c r="B41" s="2" t="s">
        <v>233</v>
      </c>
      <c r="C41" s="26">
        <v>44946</v>
      </c>
      <c r="D41" s="2" t="s">
        <v>163</v>
      </c>
      <c r="E41" s="2" t="s">
        <v>159</v>
      </c>
      <c r="F41" s="2" t="s">
        <v>133</v>
      </c>
      <c r="G41" s="2" t="s">
        <v>134</v>
      </c>
      <c r="H41" s="2">
        <v>12</v>
      </c>
      <c r="I41" s="2">
        <v>1216700</v>
      </c>
      <c r="J41" s="2">
        <v>18.760000000000002</v>
      </c>
      <c r="K41" s="2">
        <v>111988</v>
      </c>
      <c r="L41" s="2">
        <v>756313</v>
      </c>
      <c r="M41" s="2">
        <v>552</v>
      </c>
      <c r="N41" s="2" t="s">
        <v>166</v>
      </c>
      <c r="O41" s="2">
        <v>0.5</v>
      </c>
      <c r="P41" s="2">
        <v>0.74</v>
      </c>
      <c r="Q41" s="2">
        <v>1636700</v>
      </c>
      <c r="R41" s="2">
        <v>12</v>
      </c>
      <c r="S41" s="2">
        <v>1149342</v>
      </c>
      <c r="T41" s="2">
        <v>158659</v>
      </c>
      <c r="U41" s="2">
        <v>0</v>
      </c>
      <c r="V41" s="2">
        <v>0</v>
      </c>
      <c r="W41" s="2">
        <v>0</v>
      </c>
      <c r="X41" s="30" t="s">
        <v>141</v>
      </c>
    </row>
    <row r="42" spans="1:24">
      <c r="A42" s="5" t="s">
        <v>234</v>
      </c>
      <c r="B42" s="2" t="s">
        <v>235</v>
      </c>
      <c r="C42" s="26">
        <v>44999</v>
      </c>
      <c r="D42" s="2" t="s">
        <v>131</v>
      </c>
      <c r="E42" s="2" t="s">
        <v>132</v>
      </c>
      <c r="F42" s="2" t="s">
        <v>145</v>
      </c>
      <c r="G42" s="2" t="s">
        <v>146</v>
      </c>
      <c r="H42" s="2">
        <v>12</v>
      </c>
      <c r="I42" s="2">
        <v>572000</v>
      </c>
      <c r="J42" s="2">
        <v>17.690000000000001</v>
      </c>
      <c r="K42" s="2">
        <v>52357</v>
      </c>
      <c r="L42" s="2">
        <v>1072644</v>
      </c>
      <c r="M42" s="2">
        <v>694</v>
      </c>
      <c r="N42" s="2" t="s">
        <v>140</v>
      </c>
      <c r="O42" s="2">
        <v>0.49</v>
      </c>
      <c r="P42" s="2">
        <v>0.82</v>
      </c>
      <c r="Q42" s="2">
        <v>0</v>
      </c>
      <c r="R42" s="2">
        <v>12</v>
      </c>
      <c r="S42" s="2">
        <v>554900</v>
      </c>
      <c r="T42" s="2">
        <v>57575</v>
      </c>
      <c r="U42" s="2">
        <v>0</v>
      </c>
      <c r="V42" s="2">
        <v>0</v>
      </c>
      <c r="W42" s="2">
        <v>0</v>
      </c>
      <c r="X42" s="30" t="s">
        <v>141</v>
      </c>
    </row>
    <row r="43" spans="1:24">
      <c r="A43" s="5" t="s">
        <v>236</v>
      </c>
      <c r="B43" s="2" t="s">
        <v>237</v>
      </c>
      <c r="C43" s="26">
        <v>44954</v>
      </c>
      <c r="D43" s="2" t="s">
        <v>163</v>
      </c>
      <c r="E43" s="2" t="s">
        <v>132</v>
      </c>
      <c r="F43" s="2" t="s">
        <v>139</v>
      </c>
      <c r="G43" s="2" t="s">
        <v>134</v>
      </c>
      <c r="H43" s="2">
        <v>36</v>
      </c>
      <c r="I43" s="2">
        <v>773300</v>
      </c>
      <c r="J43" s="2">
        <v>10.99</v>
      </c>
      <c r="K43" s="2">
        <v>25313</v>
      </c>
      <c r="L43" s="2">
        <v>657085</v>
      </c>
      <c r="M43" s="2">
        <v>716</v>
      </c>
      <c r="N43" s="2" t="s">
        <v>135</v>
      </c>
      <c r="O43" s="2">
        <v>0.46</v>
      </c>
      <c r="P43" s="2">
        <v>0.68</v>
      </c>
      <c r="Q43" s="2">
        <v>1140700</v>
      </c>
      <c r="R43" s="2">
        <v>35</v>
      </c>
      <c r="S43" s="2">
        <v>845530</v>
      </c>
      <c r="T43" s="2">
        <v>26920</v>
      </c>
      <c r="U43" s="2">
        <v>0</v>
      </c>
      <c r="V43" s="2">
        <v>0</v>
      </c>
      <c r="W43" s="2">
        <v>0</v>
      </c>
      <c r="X43" s="30" t="s">
        <v>148</v>
      </c>
    </row>
    <row r="44" spans="1:24">
      <c r="A44" s="5" t="s">
        <v>238</v>
      </c>
      <c r="B44" s="2" t="s">
        <v>239</v>
      </c>
      <c r="C44" s="26">
        <v>44969</v>
      </c>
      <c r="D44" s="2" t="s">
        <v>131</v>
      </c>
      <c r="E44" s="2" t="s">
        <v>132</v>
      </c>
      <c r="F44" s="2" t="s">
        <v>139</v>
      </c>
      <c r="G44" s="2" t="s">
        <v>134</v>
      </c>
      <c r="H44" s="2">
        <v>120</v>
      </c>
      <c r="I44" s="2">
        <v>306400</v>
      </c>
      <c r="J44" s="2">
        <v>17.5</v>
      </c>
      <c r="K44" s="2">
        <v>5423</v>
      </c>
      <c r="L44" s="2">
        <v>1350307</v>
      </c>
      <c r="M44" s="2">
        <v>717</v>
      </c>
      <c r="N44" s="2" t="s">
        <v>135</v>
      </c>
      <c r="O44" s="2">
        <v>0.42</v>
      </c>
      <c r="P44" s="2">
        <v>0.79</v>
      </c>
      <c r="Q44" s="2">
        <v>0</v>
      </c>
      <c r="R44" s="2">
        <v>34</v>
      </c>
      <c r="S44" s="2">
        <v>179963</v>
      </c>
      <c r="T44" s="2">
        <v>187206</v>
      </c>
      <c r="U44" s="2">
        <v>0</v>
      </c>
      <c r="V44" s="2">
        <v>0</v>
      </c>
      <c r="W44" s="2">
        <v>0</v>
      </c>
      <c r="X44" s="30" t="s">
        <v>148</v>
      </c>
    </row>
    <row r="45" spans="1:24">
      <c r="A45" s="5" t="s">
        <v>240</v>
      </c>
      <c r="B45" s="2" t="s">
        <v>241</v>
      </c>
      <c r="C45" s="26">
        <v>44946</v>
      </c>
      <c r="D45" s="2" t="s">
        <v>131</v>
      </c>
      <c r="E45" s="2" t="s">
        <v>144</v>
      </c>
      <c r="F45" s="2" t="s">
        <v>145</v>
      </c>
      <c r="G45" s="2" t="s">
        <v>152</v>
      </c>
      <c r="H45" s="2">
        <v>120</v>
      </c>
      <c r="I45" s="2">
        <v>726300</v>
      </c>
      <c r="J45" s="2">
        <v>17.809999999999999</v>
      </c>
      <c r="K45" s="2">
        <v>12998</v>
      </c>
      <c r="L45" s="2">
        <v>970471</v>
      </c>
      <c r="M45" s="2">
        <v>707</v>
      </c>
      <c r="N45" s="2" t="s">
        <v>135</v>
      </c>
      <c r="O45" s="2">
        <v>0.41</v>
      </c>
      <c r="P45" s="2">
        <v>0.63</v>
      </c>
      <c r="Q45" s="2">
        <v>0</v>
      </c>
      <c r="R45" s="2">
        <v>35</v>
      </c>
      <c r="S45" s="2">
        <v>456513</v>
      </c>
      <c r="T45" s="2">
        <v>420700</v>
      </c>
      <c r="U45" s="2">
        <v>0</v>
      </c>
      <c r="V45" s="2">
        <v>0</v>
      </c>
      <c r="W45" s="2">
        <v>0</v>
      </c>
      <c r="X45" s="30" t="s">
        <v>148</v>
      </c>
    </row>
    <row r="46" spans="1:24">
      <c r="A46" s="5" t="s">
        <v>242</v>
      </c>
      <c r="B46" s="2" t="s">
        <v>243</v>
      </c>
      <c r="C46" s="26">
        <v>44976</v>
      </c>
      <c r="D46" s="2" t="s">
        <v>158</v>
      </c>
      <c r="E46" s="2" t="s">
        <v>144</v>
      </c>
      <c r="F46" s="2" t="s">
        <v>151</v>
      </c>
      <c r="G46" s="2" t="s">
        <v>152</v>
      </c>
      <c r="H46" s="2">
        <v>24</v>
      </c>
      <c r="I46" s="2">
        <v>2316700</v>
      </c>
      <c r="J46" s="2">
        <v>14.09</v>
      </c>
      <c r="K46" s="2">
        <v>111330</v>
      </c>
      <c r="L46" s="2">
        <v>1180252</v>
      </c>
      <c r="M46" s="2">
        <v>715</v>
      </c>
      <c r="N46" s="2" t="s">
        <v>135</v>
      </c>
      <c r="O46" s="2">
        <v>0.41</v>
      </c>
      <c r="P46" s="2">
        <v>0.76</v>
      </c>
      <c r="Q46" s="2">
        <v>3039600</v>
      </c>
      <c r="R46" s="2">
        <v>24</v>
      </c>
      <c r="S46" s="2">
        <v>2701082</v>
      </c>
      <c r="T46" s="2">
        <v>0</v>
      </c>
      <c r="U46" s="2">
        <v>0</v>
      </c>
      <c r="V46" s="2">
        <v>0</v>
      </c>
      <c r="W46" s="2">
        <v>0</v>
      </c>
      <c r="X46" s="30" t="s">
        <v>141</v>
      </c>
    </row>
    <row r="47" spans="1:24">
      <c r="A47" s="5" t="s">
        <v>244</v>
      </c>
      <c r="B47" s="2" t="s">
        <v>245</v>
      </c>
      <c r="C47" s="26">
        <v>45001</v>
      </c>
      <c r="D47" s="2" t="s">
        <v>131</v>
      </c>
      <c r="E47" s="2" t="s">
        <v>159</v>
      </c>
      <c r="F47" s="2" t="s">
        <v>139</v>
      </c>
      <c r="G47" s="2" t="s">
        <v>146</v>
      </c>
      <c r="H47" s="2">
        <v>120</v>
      </c>
      <c r="I47" s="2">
        <v>304300</v>
      </c>
      <c r="J47" s="2">
        <v>16.420000000000002</v>
      </c>
      <c r="K47" s="2">
        <v>5177</v>
      </c>
      <c r="L47" s="2">
        <v>885148</v>
      </c>
      <c r="M47" s="2">
        <v>714</v>
      </c>
      <c r="N47" s="2" t="s">
        <v>135</v>
      </c>
      <c r="O47" s="2">
        <v>0.4</v>
      </c>
      <c r="P47" s="2">
        <v>0.61</v>
      </c>
      <c r="Q47" s="2">
        <v>0</v>
      </c>
      <c r="R47" s="2">
        <v>33</v>
      </c>
      <c r="S47" s="2">
        <v>154462</v>
      </c>
      <c r="T47" s="2">
        <v>204801</v>
      </c>
      <c r="U47" s="2">
        <v>0</v>
      </c>
      <c r="V47" s="2">
        <v>0</v>
      </c>
      <c r="W47" s="2">
        <v>0</v>
      </c>
      <c r="X47" s="30" t="s">
        <v>148</v>
      </c>
    </row>
    <row r="48" spans="1:24">
      <c r="A48" s="5" t="s">
        <v>246</v>
      </c>
      <c r="B48" s="2" t="s">
        <v>247</v>
      </c>
      <c r="C48" s="26">
        <v>44981</v>
      </c>
      <c r="D48" s="2" t="s">
        <v>158</v>
      </c>
      <c r="E48" s="2" t="s">
        <v>144</v>
      </c>
      <c r="F48" s="2" t="s">
        <v>133</v>
      </c>
      <c r="G48" s="2" t="s">
        <v>152</v>
      </c>
      <c r="H48" s="2">
        <v>36</v>
      </c>
      <c r="I48" s="2">
        <v>2003100</v>
      </c>
      <c r="J48" s="2">
        <v>12.16</v>
      </c>
      <c r="K48" s="2">
        <v>66685</v>
      </c>
      <c r="L48" s="2">
        <v>668214</v>
      </c>
      <c r="M48" s="2">
        <v>728</v>
      </c>
      <c r="N48" s="2" t="s">
        <v>135</v>
      </c>
      <c r="O48" s="2">
        <v>0.4</v>
      </c>
      <c r="P48" s="2">
        <v>0.59</v>
      </c>
      <c r="Q48" s="2">
        <v>3401100</v>
      </c>
      <c r="R48" s="2">
        <v>34</v>
      </c>
      <c r="S48" s="2">
        <v>2008329</v>
      </c>
      <c r="T48" s="2">
        <v>270825</v>
      </c>
      <c r="U48" s="2">
        <v>0</v>
      </c>
      <c r="V48" s="2">
        <v>0</v>
      </c>
      <c r="W48" s="2">
        <v>0</v>
      </c>
      <c r="X48" s="30" t="s">
        <v>148</v>
      </c>
    </row>
    <row r="49" spans="1:24">
      <c r="A49" s="5" t="s">
        <v>248</v>
      </c>
      <c r="B49" s="2" t="s">
        <v>249</v>
      </c>
      <c r="C49" s="26">
        <v>44942</v>
      </c>
      <c r="D49" s="2" t="s">
        <v>131</v>
      </c>
      <c r="E49" s="2" t="s">
        <v>144</v>
      </c>
      <c r="F49" s="2" t="s">
        <v>145</v>
      </c>
      <c r="G49" s="2" t="s">
        <v>152</v>
      </c>
      <c r="H49" s="2">
        <v>120</v>
      </c>
      <c r="I49" s="2">
        <v>232700</v>
      </c>
      <c r="J49" s="2">
        <v>16.23</v>
      </c>
      <c r="K49" s="2">
        <v>3931</v>
      </c>
      <c r="L49" s="2">
        <v>973803</v>
      </c>
      <c r="M49" s="2">
        <v>718</v>
      </c>
      <c r="N49" s="2" t="s">
        <v>135</v>
      </c>
      <c r="O49" s="2">
        <v>0.38</v>
      </c>
      <c r="P49" s="2">
        <v>0.92</v>
      </c>
      <c r="Q49" s="2">
        <v>0</v>
      </c>
      <c r="R49" s="2">
        <v>35</v>
      </c>
      <c r="S49" s="2">
        <v>129472</v>
      </c>
      <c r="T49" s="2">
        <v>147290</v>
      </c>
      <c r="U49" s="2">
        <v>0</v>
      </c>
      <c r="V49" s="2">
        <v>0</v>
      </c>
      <c r="W49" s="2">
        <v>0</v>
      </c>
      <c r="X49" s="30" t="s">
        <v>148</v>
      </c>
    </row>
    <row r="50" spans="1:24">
      <c r="A50" s="5" t="s">
        <v>250</v>
      </c>
      <c r="B50" s="2" t="s">
        <v>251</v>
      </c>
      <c r="C50" s="26">
        <v>44993</v>
      </c>
      <c r="D50" s="2" t="s">
        <v>169</v>
      </c>
      <c r="E50" s="2" t="s">
        <v>144</v>
      </c>
      <c r="F50" s="2" t="s">
        <v>145</v>
      </c>
      <c r="G50" s="2" t="s">
        <v>146</v>
      </c>
      <c r="H50" s="2">
        <v>72</v>
      </c>
      <c r="I50" s="2">
        <v>6951800</v>
      </c>
      <c r="J50" s="2">
        <v>7</v>
      </c>
      <c r="K50" s="2">
        <v>118521</v>
      </c>
      <c r="L50" s="2">
        <v>1219253</v>
      </c>
      <c r="M50" s="2">
        <v>770</v>
      </c>
      <c r="N50" s="2" t="s">
        <v>160</v>
      </c>
      <c r="O50" s="2">
        <v>0.37</v>
      </c>
      <c r="P50" s="2">
        <v>0.92</v>
      </c>
      <c r="Q50" s="2">
        <v>7584600</v>
      </c>
      <c r="R50" s="2">
        <v>33</v>
      </c>
      <c r="S50" s="2">
        <v>3341886</v>
      </c>
      <c r="T50" s="2">
        <v>4145203</v>
      </c>
      <c r="U50" s="2">
        <v>0</v>
      </c>
      <c r="V50" s="2">
        <v>0</v>
      </c>
      <c r="W50" s="2">
        <v>0</v>
      </c>
      <c r="X50" s="30" t="s">
        <v>148</v>
      </c>
    </row>
    <row r="51" spans="1:24">
      <c r="A51" s="5" t="s">
        <v>252</v>
      </c>
      <c r="B51" s="2" t="s">
        <v>253</v>
      </c>
      <c r="C51" s="26">
        <v>44979</v>
      </c>
      <c r="D51" s="2" t="s">
        <v>163</v>
      </c>
      <c r="E51" s="2" t="s">
        <v>213</v>
      </c>
      <c r="F51" s="2" t="s">
        <v>170</v>
      </c>
      <c r="G51" s="2" t="s">
        <v>134</v>
      </c>
      <c r="H51" s="2">
        <v>120</v>
      </c>
      <c r="I51" s="2">
        <v>842900</v>
      </c>
      <c r="J51" s="2">
        <v>13.15</v>
      </c>
      <c r="K51" s="2">
        <v>12660</v>
      </c>
      <c r="L51" s="2">
        <v>1193849</v>
      </c>
      <c r="M51" s="2">
        <v>659</v>
      </c>
      <c r="N51" s="2" t="s">
        <v>140</v>
      </c>
      <c r="O51" s="2">
        <v>0.37</v>
      </c>
      <c r="P51" s="2">
        <v>0.83</v>
      </c>
      <c r="Q51" s="2">
        <v>1012200</v>
      </c>
      <c r="R51" s="2">
        <v>34</v>
      </c>
      <c r="S51" s="2">
        <v>432525</v>
      </c>
      <c r="T51" s="2">
        <v>535995</v>
      </c>
      <c r="U51" s="2">
        <v>0</v>
      </c>
      <c r="V51" s="2">
        <v>0</v>
      </c>
      <c r="W51" s="2">
        <v>0</v>
      </c>
      <c r="X51" s="30" t="s">
        <v>148</v>
      </c>
    </row>
    <row r="52" spans="1:24">
      <c r="A52" s="5" t="s">
        <v>254</v>
      </c>
      <c r="B52" s="2" t="s">
        <v>255</v>
      </c>
      <c r="C52" s="26">
        <v>44955</v>
      </c>
      <c r="D52" s="2" t="s">
        <v>169</v>
      </c>
      <c r="E52" s="2" t="s">
        <v>132</v>
      </c>
      <c r="F52" s="2" t="s">
        <v>139</v>
      </c>
      <c r="G52" s="2" t="s">
        <v>134</v>
      </c>
      <c r="H52" s="2">
        <v>24</v>
      </c>
      <c r="I52" s="2">
        <v>3369400</v>
      </c>
      <c r="J52" s="2">
        <v>14.16</v>
      </c>
      <c r="K52" s="2">
        <v>162029</v>
      </c>
      <c r="L52" s="2">
        <v>635673</v>
      </c>
      <c r="M52" s="2">
        <v>607</v>
      </c>
      <c r="N52" s="2" t="s">
        <v>147</v>
      </c>
      <c r="O52" s="2">
        <v>0.37</v>
      </c>
      <c r="P52" s="2">
        <v>0.99</v>
      </c>
      <c r="Q52" s="2">
        <v>3410200</v>
      </c>
      <c r="R52" s="2">
        <v>24</v>
      </c>
      <c r="S52" s="2">
        <v>3554137</v>
      </c>
      <c r="T52" s="2">
        <v>196949</v>
      </c>
      <c r="U52" s="2">
        <v>45</v>
      </c>
      <c r="V52" s="2">
        <v>0</v>
      </c>
      <c r="W52" s="2">
        <v>0</v>
      </c>
      <c r="X52" s="30" t="s">
        <v>141</v>
      </c>
    </row>
    <row r="53" spans="1:24">
      <c r="A53" s="5" t="s">
        <v>256</v>
      </c>
      <c r="B53" s="2" t="s">
        <v>257</v>
      </c>
      <c r="C53" s="26">
        <v>45014</v>
      </c>
      <c r="D53" s="2" t="s">
        <v>163</v>
      </c>
      <c r="E53" s="2" t="s">
        <v>144</v>
      </c>
      <c r="F53" s="2" t="s">
        <v>170</v>
      </c>
      <c r="G53" s="2" t="s">
        <v>146</v>
      </c>
      <c r="H53" s="2">
        <v>24</v>
      </c>
      <c r="I53" s="2">
        <v>861400</v>
      </c>
      <c r="J53" s="2">
        <v>11.33</v>
      </c>
      <c r="K53" s="2">
        <v>40280</v>
      </c>
      <c r="L53" s="2">
        <v>660405</v>
      </c>
      <c r="M53" s="2">
        <v>712</v>
      </c>
      <c r="N53" s="2" t="s">
        <v>135</v>
      </c>
      <c r="O53" s="2">
        <v>0.36</v>
      </c>
      <c r="P53" s="2">
        <v>0.66</v>
      </c>
      <c r="Q53" s="2">
        <v>1313000</v>
      </c>
      <c r="R53" s="2">
        <v>24</v>
      </c>
      <c r="S53" s="2">
        <v>950069</v>
      </c>
      <c r="T53" s="2">
        <v>0</v>
      </c>
      <c r="U53" s="2">
        <v>0</v>
      </c>
      <c r="V53" s="2">
        <v>0</v>
      </c>
      <c r="W53" s="2">
        <v>0</v>
      </c>
      <c r="X53" s="30" t="s">
        <v>141</v>
      </c>
    </row>
    <row r="54" spans="1:24">
      <c r="A54" s="5" t="s">
        <v>258</v>
      </c>
      <c r="B54" s="2" t="s">
        <v>259</v>
      </c>
      <c r="C54" s="26">
        <v>44927</v>
      </c>
      <c r="D54" s="2" t="s">
        <v>177</v>
      </c>
      <c r="E54" s="2" t="s">
        <v>132</v>
      </c>
      <c r="F54" s="2" t="s">
        <v>133</v>
      </c>
      <c r="G54" s="2" t="s">
        <v>134</v>
      </c>
      <c r="H54" s="2">
        <v>24</v>
      </c>
      <c r="I54" s="2">
        <v>735300</v>
      </c>
      <c r="J54" s="2">
        <v>12.64</v>
      </c>
      <c r="K54" s="2">
        <v>34833</v>
      </c>
      <c r="L54" s="2">
        <v>922606</v>
      </c>
      <c r="M54" s="2">
        <v>710</v>
      </c>
      <c r="N54" s="2" t="s">
        <v>135</v>
      </c>
      <c r="O54" s="2">
        <v>0.36</v>
      </c>
      <c r="P54" s="2">
        <v>0.72</v>
      </c>
      <c r="Q54" s="2">
        <v>0</v>
      </c>
      <c r="R54" s="2">
        <v>24</v>
      </c>
      <c r="S54" s="2">
        <v>843606</v>
      </c>
      <c r="T54" s="2">
        <v>0</v>
      </c>
      <c r="U54" s="2">
        <v>10</v>
      </c>
      <c r="V54" s="2">
        <v>0</v>
      </c>
      <c r="W54" s="2">
        <v>0</v>
      </c>
      <c r="X54" s="30" t="s">
        <v>141</v>
      </c>
    </row>
    <row r="55" spans="1:24">
      <c r="A55" s="5" t="s">
        <v>260</v>
      </c>
      <c r="B55" s="2" t="s">
        <v>261</v>
      </c>
      <c r="C55" s="26">
        <v>44993</v>
      </c>
      <c r="D55" s="2" t="s">
        <v>177</v>
      </c>
      <c r="E55" s="2" t="s">
        <v>144</v>
      </c>
      <c r="F55" s="2" t="s">
        <v>170</v>
      </c>
      <c r="G55" s="2" t="s">
        <v>134</v>
      </c>
      <c r="H55" s="2">
        <v>360</v>
      </c>
      <c r="I55" s="2">
        <v>1343300</v>
      </c>
      <c r="J55" s="2">
        <v>13.75</v>
      </c>
      <c r="K55" s="2">
        <v>15651</v>
      </c>
      <c r="L55" s="2">
        <v>677984</v>
      </c>
      <c r="M55" s="2">
        <v>657</v>
      </c>
      <c r="N55" s="2" t="s">
        <v>140</v>
      </c>
      <c r="O55" s="2">
        <v>0.35</v>
      </c>
      <c r="P55" s="2">
        <v>0.78</v>
      </c>
      <c r="Q55" s="2">
        <v>0</v>
      </c>
      <c r="R55" s="2">
        <v>33</v>
      </c>
      <c r="S55" s="2">
        <v>450892</v>
      </c>
      <c r="T55" s="2">
        <v>1095582</v>
      </c>
      <c r="U55" s="2">
        <v>0</v>
      </c>
      <c r="V55" s="2">
        <v>0</v>
      </c>
      <c r="W55" s="2">
        <v>0</v>
      </c>
      <c r="X55" s="30" t="s">
        <v>148</v>
      </c>
    </row>
    <row r="56" spans="1:24">
      <c r="A56" s="5" t="s">
        <v>262</v>
      </c>
      <c r="B56" s="2" t="s">
        <v>263</v>
      </c>
      <c r="C56" s="26">
        <v>44987</v>
      </c>
      <c r="D56" s="2" t="s">
        <v>158</v>
      </c>
      <c r="E56" s="2" t="s">
        <v>144</v>
      </c>
      <c r="F56" s="2" t="s">
        <v>133</v>
      </c>
      <c r="G56" s="2" t="s">
        <v>152</v>
      </c>
      <c r="H56" s="2">
        <v>36</v>
      </c>
      <c r="I56" s="2">
        <v>2083800</v>
      </c>
      <c r="J56" s="2">
        <v>16.989999999999998</v>
      </c>
      <c r="K56" s="2">
        <v>74283</v>
      </c>
      <c r="L56" s="2">
        <v>1248472</v>
      </c>
      <c r="M56" s="2">
        <v>644</v>
      </c>
      <c r="N56" s="2" t="s">
        <v>147</v>
      </c>
      <c r="O56" s="2">
        <v>0.34</v>
      </c>
      <c r="P56" s="2">
        <v>0.56000000000000005</v>
      </c>
      <c r="Q56" s="2">
        <v>3749300</v>
      </c>
      <c r="R56" s="2">
        <v>33</v>
      </c>
      <c r="S56" s="2">
        <v>2328994</v>
      </c>
      <c r="T56" s="2">
        <v>144247</v>
      </c>
      <c r="U56" s="2">
        <v>0</v>
      </c>
      <c r="V56" s="2">
        <v>0</v>
      </c>
      <c r="W56" s="2">
        <v>0</v>
      </c>
      <c r="X56" s="30" t="s">
        <v>148</v>
      </c>
    </row>
    <row r="57" spans="1:24">
      <c r="A57" s="5" t="s">
        <v>264</v>
      </c>
      <c r="B57" s="2" t="s">
        <v>265</v>
      </c>
      <c r="C57" s="26">
        <v>44934</v>
      </c>
      <c r="D57" s="2" t="s">
        <v>163</v>
      </c>
      <c r="E57" s="2" t="s">
        <v>144</v>
      </c>
      <c r="F57" s="2" t="s">
        <v>151</v>
      </c>
      <c r="G57" s="2" t="s">
        <v>192</v>
      </c>
      <c r="H57" s="2">
        <v>360</v>
      </c>
      <c r="I57" s="2">
        <v>671900</v>
      </c>
      <c r="J57" s="2">
        <v>13.81</v>
      </c>
      <c r="K57" s="2">
        <v>7860</v>
      </c>
      <c r="L57" s="2">
        <v>979507</v>
      </c>
      <c r="M57" s="2">
        <v>669</v>
      </c>
      <c r="N57" s="2" t="s">
        <v>140</v>
      </c>
      <c r="O57" s="2">
        <v>0.31</v>
      </c>
      <c r="P57" s="2">
        <v>0.6</v>
      </c>
      <c r="Q57" s="2">
        <v>1120000</v>
      </c>
      <c r="R57" s="2">
        <v>35</v>
      </c>
      <c r="S57" s="2">
        <v>276058</v>
      </c>
      <c r="T57" s="2">
        <v>504096</v>
      </c>
      <c r="U57" s="2">
        <v>0</v>
      </c>
      <c r="V57" s="2">
        <v>0</v>
      </c>
      <c r="W57" s="2">
        <v>0</v>
      </c>
      <c r="X57" s="30" t="s">
        <v>148</v>
      </c>
    </row>
    <row r="58" spans="1:24">
      <c r="A58" s="5" t="s">
        <v>266</v>
      </c>
      <c r="B58" s="2" t="s">
        <v>267</v>
      </c>
      <c r="C58" s="26">
        <v>44990</v>
      </c>
      <c r="D58" s="2" t="s">
        <v>131</v>
      </c>
      <c r="E58" s="2" t="s">
        <v>132</v>
      </c>
      <c r="F58" s="2" t="s">
        <v>139</v>
      </c>
      <c r="G58" s="2" t="s">
        <v>192</v>
      </c>
      <c r="H58" s="2">
        <v>18</v>
      </c>
      <c r="I58" s="2">
        <v>352100</v>
      </c>
      <c r="J58" s="2">
        <v>18.05</v>
      </c>
      <c r="K58" s="2">
        <v>22474</v>
      </c>
      <c r="L58" s="2">
        <v>701297</v>
      </c>
      <c r="M58" s="2">
        <v>707</v>
      </c>
      <c r="N58" s="2" t="s">
        <v>135</v>
      </c>
      <c r="O58" s="2">
        <v>0.31</v>
      </c>
      <c r="P58" s="2">
        <v>0.62</v>
      </c>
      <c r="Q58" s="2">
        <v>0</v>
      </c>
      <c r="R58" s="2">
        <v>18</v>
      </c>
      <c r="S58" s="2">
        <v>382682</v>
      </c>
      <c r="T58" s="2">
        <v>7550</v>
      </c>
      <c r="U58" s="2">
        <v>0</v>
      </c>
      <c r="V58" s="2">
        <v>0</v>
      </c>
      <c r="W58" s="2">
        <v>0</v>
      </c>
      <c r="X58" s="30" t="s">
        <v>141</v>
      </c>
    </row>
    <row r="59" spans="1:24">
      <c r="A59" s="5" t="s">
        <v>268</v>
      </c>
      <c r="B59" s="2" t="s">
        <v>269</v>
      </c>
      <c r="C59" s="26">
        <v>44968</v>
      </c>
      <c r="D59" s="2" t="s">
        <v>163</v>
      </c>
      <c r="E59" s="2" t="s">
        <v>144</v>
      </c>
      <c r="F59" s="2" t="s">
        <v>145</v>
      </c>
      <c r="G59" s="2" t="s">
        <v>134</v>
      </c>
      <c r="H59" s="2">
        <v>360</v>
      </c>
      <c r="I59" s="2">
        <v>1446100</v>
      </c>
      <c r="J59" s="2">
        <v>12.07</v>
      </c>
      <c r="K59" s="2">
        <v>14953</v>
      </c>
      <c r="L59" s="2">
        <v>859307</v>
      </c>
      <c r="M59" s="2">
        <v>708</v>
      </c>
      <c r="N59" s="2" t="s">
        <v>135</v>
      </c>
      <c r="O59" s="2">
        <v>0.28999999999999998</v>
      </c>
      <c r="P59" s="2">
        <v>0.68</v>
      </c>
      <c r="Q59" s="2">
        <v>2118900</v>
      </c>
      <c r="R59" s="2">
        <v>34</v>
      </c>
      <c r="S59" s="2">
        <v>494345</v>
      </c>
      <c r="T59" s="2">
        <v>1149572</v>
      </c>
      <c r="U59" s="2">
        <v>0</v>
      </c>
      <c r="V59" s="2">
        <v>0</v>
      </c>
      <c r="W59" s="2">
        <v>0</v>
      </c>
      <c r="X59" s="30" t="s">
        <v>148</v>
      </c>
    </row>
    <row r="60" spans="1:24">
      <c r="A60" s="5" t="s">
        <v>270</v>
      </c>
      <c r="B60" s="2" t="s">
        <v>271</v>
      </c>
      <c r="C60" s="26">
        <v>45010</v>
      </c>
      <c r="D60" s="2" t="s">
        <v>163</v>
      </c>
      <c r="E60" s="2" t="s">
        <v>132</v>
      </c>
      <c r="F60" s="2" t="s">
        <v>139</v>
      </c>
      <c r="G60" s="2" t="s">
        <v>134</v>
      </c>
      <c r="H60" s="2">
        <v>360</v>
      </c>
      <c r="I60" s="2">
        <v>1127400</v>
      </c>
      <c r="J60" s="2">
        <v>12.77</v>
      </c>
      <c r="K60" s="2">
        <v>12269</v>
      </c>
      <c r="L60" s="2">
        <v>974100</v>
      </c>
      <c r="M60" s="2">
        <v>682</v>
      </c>
      <c r="N60" s="2" t="s">
        <v>140</v>
      </c>
      <c r="O60" s="2">
        <v>0.28999999999999998</v>
      </c>
      <c r="P60" s="2">
        <v>0.71</v>
      </c>
      <c r="Q60" s="2">
        <v>1594600</v>
      </c>
      <c r="R60" s="2">
        <v>33</v>
      </c>
      <c r="S60" s="2">
        <v>408515</v>
      </c>
      <c r="T60" s="2">
        <v>877251</v>
      </c>
      <c r="U60" s="2">
        <v>0</v>
      </c>
      <c r="V60" s="2">
        <v>1</v>
      </c>
      <c r="W60" s="2">
        <v>0</v>
      </c>
      <c r="X60" s="30" t="s">
        <v>141</v>
      </c>
    </row>
    <row r="61" spans="1:24">
      <c r="A61" s="5" t="s">
        <v>272</v>
      </c>
      <c r="B61" s="2" t="s">
        <v>273</v>
      </c>
      <c r="C61" s="26">
        <v>44963</v>
      </c>
      <c r="D61" s="2" t="s">
        <v>131</v>
      </c>
      <c r="E61" s="2" t="s">
        <v>132</v>
      </c>
      <c r="F61" s="2" t="s">
        <v>151</v>
      </c>
      <c r="G61" s="2" t="s">
        <v>134</v>
      </c>
      <c r="H61" s="2">
        <v>180</v>
      </c>
      <c r="I61" s="2">
        <v>473200</v>
      </c>
      <c r="J61" s="2">
        <v>19.149999999999999</v>
      </c>
      <c r="K61" s="2">
        <v>8015</v>
      </c>
      <c r="L61" s="2">
        <v>748369</v>
      </c>
      <c r="M61" s="2">
        <v>687</v>
      </c>
      <c r="N61" s="2" t="s">
        <v>140</v>
      </c>
      <c r="O61" s="2">
        <v>0.28000000000000003</v>
      </c>
      <c r="P61" s="2">
        <v>0.77</v>
      </c>
      <c r="Q61" s="2">
        <v>0</v>
      </c>
      <c r="R61" s="2">
        <v>34</v>
      </c>
      <c r="S61" s="2">
        <v>267602</v>
      </c>
      <c r="T61" s="2">
        <v>308298</v>
      </c>
      <c r="U61" s="2">
        <v>0</v>
      </c>
      <c r="V61" s="2">
        <v>0</v>
      </c>
      <c r="W61" s="2">
        <v>0</v>
      </c>
      <c r="X61" s="30" t="s">
        <v>148</v>
      </c>
    </row>
    <row r="62" spans="1:24">
      <c r="A62" s="5" t="s">
        <v>274</v>
      </c>
      <c r="B62" s="2" t="s">
        <v>275</v>
      </c>
      <c r="C62" s="26">
        <v>44967</v>
      </c>
      <c r="D62" s="2" t="s">
        <v>177</v>
      </c>
      <c r="E62" s="2" t="s">
        <v>144</v>
      </c>
      <c r="F62" s="2" t="s">
        <v>139</v>
      </c>
      <c r="G62" s="2" t="s">
        <v>134</v>
      </c>
      <c r="H62" s="2">
        <v>12</v>
      </c>
      <c r="I62" s="2">
        <v>939500</v>
      </c>
      <c r="J62" s="2">
        <v>15.34</v>
      </c>
      <c r="K62" s="2">
        <v>84948</v>
      </c>
      <c r="L62" s="2">
        <v>985190</v>
      </c>
      <c r="M62" s="2">
        <v>638</v>
      </c>
      <c r="N62" s="2" t="s">
        <v>147</v>
      </c>
      <c r="O62" s="2">
        <v>0.28000000000000003</v>
      </c>
      <c r="P62" s="2">
        <v>0.55000000000000004</v>
      </c>
      <c r="Q62" s="2">
        <v>0</v>
      </c>
      <c r="R62" s="2">
        <v>12</v>
      </c>
      <c r="S62" s="2">
        <v>1011536</v>
      </c>
      <c r="T62" s="2">
        <v>0</v>
      </c>
      <c r="U62" s="2">
        <v>0</v>
      </c>
      <c r="V62" s="2">
        <v>0</v>
      </c>
      <c r="W62" s="2">
        <v>0</v>
      </c>
      <c r="X62" s="30" t="s">
        <v>141</v>
      </c>
    </row>
    <row r="63" spans="1:24">
      <c r="A63" s="5" t="s">
        <v>276</v>
      </c>
      <c r="B63" s="2" t="s">
        <v>277</v>
      </c>
      <c r="C63" s="26">
        <v>44943</v>
      </c>
      <c r="D63" s="2" t="s">
        <v>169</v>
      </c>
      <c r="E63" s="2" t="s">
        <v>132</v>
      </c>
      <c r="F63" s="2" t="s">
        <v>151</v>
      </c>
      <c r="G63" s="2" t="s">
        <v>134</v>
      </c>
      <c r="H63" s="2">
        <v>48</v>
      </c>
      <c r="I63" s="2">
        <v>1710600</v>
      </c>
      <c r="J63" s="2">
        <v>14.53</v>
      </c>
      <c r="K63" s="2">
        <v>47201</v>
      </c>
      <c r="L63" s="2">
        <v>524234</v>
      </c>
      <c r="M63" s="2">
        <v>594</v>
      </c>
      <c r="N63" s="2" t="s">
        <v>166</v>
      </c>
      <c r="O63" s="2">
        <v>0.26</v>
      </c>
      <c r="P63" s="2">
        <v>0.59</v>
      </c>
      <c r="Q63" s="2">
        <v>2888200</v>
      </c>
      <c r="R63" s="2">
        <v>35</v>
      </c>
      <c r="S63" s="2">
        <v>1603526</v>
      </c>
      <c r="T63" s="2">
        <v>397049</v>
      </c>
      <c r="U63" s="2">
        <v>0</v>
      </c>
      <c r="V63" s="2">
        <v>0</v>
      </c>
      <c r="W63" s="2">
        <v>0</v>
      </c>
      <c r="X63" s="30" t="s">
        <v>148</v>
      </c>
    </row>
    <row r="64" spans="1:24">
      <c r="A64" s="5" t="s">
        <v>278</v>
      </c>
      <c r="B64" s="2" t="s">
        <v>279</v>
      </c>
      <c r="C64" s="26">
        <v>45000</v>
      </c>
      <c r="D64" s="2" t="s">
        <v>131</v>
      </c>
      <c r="E64" s="2" t="s">
        <v>132</v>
      </c>
      <c r="F64" s="2" t="s">
        <v>133</v>
      </c>
      <c r="G64" s="2" t="s">
        <v>134</v>
      </c>
      <c r="H64" s="2">
        <v>180</v>
      </c>
      <c r="I64" s="2">
        <v>50000</v>
      </c>
      <c r="J64" s="2">
        <v>15.29</v>
      </c>
      <c r="K64" s="2">
        <v>710</v>
      </c>
      <c r="L64" s="2">
        <v>292758</v>
      </c>
      <c r="M64" s="2">
        <v>748</v>
      </c>
      <c r="N64" s="2" t="s">
        <v>135</v>
      </c>
      <c r="O64" s="2">
        <v>0.23</v>
      </c>
      <c r="P64" s="2">
        <v>0.72</v>
      </c>
      <c r="Q64" s="2">
        <v>0</v>
      </c>
      <c r="R64" s="2">
        <v>33</v>
      </c>
      <c r="S64" s="2">
        <v>23195</v>
      </c>
      <c r="T64" s="2">
        <v>35214</v>
      </c>
      <c r="U64" s="2">
        <v>30</v>
      </c>
      <c r="V64" s="2">
        <v>0</v>
      </c>
      <c r="W64" s="2">
        <v>0</v>
      </c>
      <c r="X64" s="30" t="s">
        <v>136</v>
      </c>
    </row>
    <row r="65" spans="1:24">
      <c r="A65" s="5" t="s">
        <v>280</v>
      </c>
      <c r="B65" s="2" t="s">
        <v>281</v>
      </c>
      <c r="C65" s="26">
        <v>45011</v>
      </c>
      <c r="D65" s="2" t="s">
        <v>163</v>
      </c>
      <c r="E65" s="2" t="s">
        <v>144</v>
      </c>
      <c r="F65" s="2" t="s">
        <v>145</v>
      </c>
      <c r="G65" s="2" t="s">
        <v>152</v>
      </c>
      <c r="H65" s="2">
        <v>24</v>
      </c>
      <c r="I65" s="2">
        <v>142300</v>
      </c>
      <c r="J65" s="2">
        <v>12.08</v>
      </c>
      <c r="K65" s="2">
        <v>6704</v>
      </c>
      <c r="L65" s="2">
        <v>688390</v>
      </c>
      <c r="M65" s="2">
        <v>697</v>
      </c>
      <c r="N65" s="2" t="s">
        <v>140</v>
      </c>
      <c r="O65" s="2">
        <v>0.21</v>
      </c>
      <c r="P65" s="2">
        <v>0.87</v>
      </c>
      <c r="Q65" s="2">
        <v>164000</v>
      </c>
      <c r="R65" s="2">
        <v>24</v>
      </c>
      <c r="S65" s="2">
        <v>156039</v>
      </c>
      <c r="T65" s="2">
        <v>13</v>
      </c>
      <c r="U65" s="2">
        <v>0</v>
      </c>
      <c r="V65" s="2">
        <v>0</v>
      </c>
      <c r="W65" s="2">
        <v>0</v>
      </c>
      <c r="X65" s="30" t="s">
        <v>141</v>
      </c>
    </row>
    <row r="66" spans="1:24">
      <c r="A66" s="5" t="s">
        <v>282</v>
      </c>
      <c r="B66" s="2" t="s">
        <v>283</v>
      </c>
      <c r="C66" s="26">
        <v>44932</v>
      </c>
      <c r="D66" s="2" t="s">
        <v>131</v>
      </c>
      <c r="E66" s="2" t="s">
        <v>132</v>
      </c>
      <c r="F66" s="2" t="s">
        <v>139</v>
      </c>
      <c r="G66" s="2" t="s">
        <v>134</v>
      </c>
      <c r="H66" s="2">
        <v>24</v>
      </c>
      <c r="I66" s="2">
        <v>898000</v>
      </c>
      <c r="J66" s="2">
        <v>14.6</v>
      </c>
      <c r="K66" s="2">
        <v>43371</v>
      </c>
      <c r="L66" s="2">
        <v>1438075</v>
      </c>
      <c r="M66" s="2">
        <v>735</v>
      </c>
      <c r="N66" s="2" t="s">
        <v>135</v>
      </c>
      <c r="O66" s="2">
        <v>0.21</v>
      </c>
      <c r="P66" s="2">
        <v>0.61</v>
      </c>
      <c r="Q66" s="2">
        <v>0</v>
      </c>
      <c r="R66" s="2">
        <v>24</v>
      </c>
      <c r="S66" s="2">
        <v>1052004</v>
      </c>
      <c r="T66" s="2">
        <v>0</v>
      </c>
      <c r="U66" s="2">
        <v>0</v>
      </c>
      <c r="V66" s="2">
        <v>0</v>
      </c>
      <c r="W66" s="2">
        <v>0</v>
      </c>
      <c r="X66" s="30" t="s">
        <v>141</v>
      </c>
    </row>
    <row r="67" spans="1:24">
      <c r="A67" s="5" t="s">
        <v>284</v>
      </c>
      <c r="B67" s="2" t="s">
        <v>285</v>
      </c>
      <c r="C67" s="26">
        <v>45006</v>
      </c>
      <c r="D67" s="2" t="s">
        <v>169</v>
      </c>
      <c r="E67" s="2" t="s">
        <v>132</v>
      </c>
      <c r="F67" s="2" t="s">
        <v>139</v>
      </c>
      <c r="G67" s="2" t="s">
        <v>152</v>
      </c>
      <c r="H67" s="2">
        <v>24</v>
      </c>
      <c r="I67" s="2">
        <v>6304100</v>
      </c>
      <c r="J67" s="2">
        <v>15.6</v>
      </c>
      <c r="K67" s="2">
        <v>307465</v>
      </c>
      <c r="L67" s="2">
        <v>1069559</v>
      </c>
      <c r="M67" s="2">
        <v>589</v>
      </c>
      <c r="N67" s="2" t="s">
        <v>166</v>
      </c>
      <c r="O67" s="2">
        <v>0.18</v>
      </c>
      <c r="P67" s="2">
        <v>1.03</v>
      </c>
      <c r="Q67" s="2">
        <v>6114300</v>
      </c>
      <c r="R67" s="2">
        <v>24</v>
      </c>
      <c r="S67" s="2">
        <v>6734708</v>
      </c>
      <c r="T67" s="2">
        <v>356144</v>
      </c>
      <c r="U67" s="2">
        <v>10</v>
      </c>
      <c r="V67" s="2">
        <v>0</v>
      </c>
      <c r="W67" s="2">
        <v>0</v>
      </c>
      <c r="X67" s="30" t="s">
        <v>141</v>
      </c>
    </row>
    <row r="68" spans="1:24">
      <c r="A68" s="5" t="s">
        <v>286</v>
      </c>
      <c r="B68" s="2" t="s">
        <v>287</v>
      </c>
      <c r="C68" s="26">
        <v>44959</v>
      </c>
      <c r="D68" s="2" t="s">
        <v>158</v>
      </c>
      <c r="E68" s="2" t="s">
        <v>144</v>
      </c>
      <c r="F68" s="2" t="s">
        <v>151</v>
      </c>
      <c r="G68" s="2" t="s">
        <v>134</v>
      </c>
      <c r="H68" s="2">
        <v>18</v>
      </c>
      <c r="I68" s="2">
        <v>97300</v>
      </c>
      <c r="J68" s="2">
        <v>20.41</v>
      </c>
      <c r="K68" s="2">
        <v>6321</v>
      </c>
      <c r="L68" s="2">
        <v>1322599</v>
      </c>
      <c r="M68" s="2">
        <v>617</v>
      </c>
      <c r="N68" s="2" t="s">
        <v>147</v>
      </c>
      <c r="O68" s="2">
        <v>0.17</v>
      </c>
      <c r="P68" s="2">
        <v>0.66</v>
      </c>
      <c r="Q68" s="2">
        <v>147200</v>
      </c>
      <c r="R68" s="2">
        <v>18</v>
      </c>
      <c r="S68" s="2">
        <v>107892</v>
      </c>
      <c r="T68" s="2">
        <v>1323</v>
      </c>
      <c r="U68" s="2">
        <v>0</v>
      </c>
      <c r="V68" s="2">
        <v>0</v>
      </c>
      <c r="W68" s="2">
        <v>0</v>
      </c>
      <c r="X68" s="30" t="s">
        <v>141</v>
      </c>
    </row>
    <row r="69" spans="1:24">
      <c r="A69" s="5" t="s">
        <v>288</v>
      </c>
      <c r="B69" s="2" t="s">
        <v>289</v>
      </c>
      <c r="C69" s="26">
        <v>44939</v>
      </c>
      <c r="D69" s="2" t="s">
        <v>131</v>
      </c>
      <c r="E69" s="2" t="s">
        <v>132</v>
      </c>
      <c r="F69" s="2" t="s">
        <v>145</v>
      </c>
      <c r="G69" s="2" t="s">
        <v>152</v>
      </c>
      <c r="H69" s="2">
        <v>60</v>
      </c>
      <c r="I69" s="2">
        <v>324600</v>
      </c>
      <c r="J69" s="2">
        <v>19.260000000000002</v>
      </c>
      <c r="K69" s="2">
        <v>8467</v>
      </c>
      <c r="L69" s="2">
        <v>1257428</v>
      </c>
      <c r="M69" s="2">
        <v>644</v>
      </c>
      <c r="N69" s="2" t="s">
        <v>147</v>
      </c>
      <c r="O69" s="2">
        <v>0.14000000000000001</v>
      </c>
      <c r="P69" s="2">
        <v>0.65</v>
      </c>
      <c r="Q69" s="2">
        <v>0</v>
      </c>
      <c r="R69" s="2">
        <v>35</v>
      </c>
      <c r="S69" s="2">
        <v>275204</v>
      </c>
      <c r="T69" s="2">
        <v>122334</v>
      </c>
      <c r="U69" s="2">
        <v>0</v>
      </c>
      <c r="V69" s="2">
        <v>0</v>
      </c>
      <c r="W69" s="2">
        <v>0</v>
      </c>
      <c r="X69" s="30" t="s">
        <v>148</v>
      </c>
    </row>
    <row r="70" spans="1:24">
      <c r="A70" s="5" t="s">
        <v>290</v>
      </c>
      <c r="B70" s="2" t="s">
        <v>291</v>
      </c>
      <c r="C70" s="26">
        <v>44938</v>
      </c>
      <c r="D70" s="2" t="s">
        <v>163</v>
      </c>
      <c r="E70" s="2" t="s">
        <v>213</v>
      </c>
      <c r="F70" s="2" t="s">
        <v>170</v>
      </c>
      <c r="G70" s="2" t="s">
        <v>134</v>
      </c>
      <c r="H70" s="2">
        <v>12</v>
      </c>
      <c r="I70" s="2">
        <v>1039600</v>
      </c>
      <c r="J70" s="2">
        <v>9.17</v>
      </c>
      <c r="K70" s="2">
        <v>90997</v>
      </c>
      <c r="L70" s="2">
        <v>601472</v>
      </c>
      <c r="M70" s="2">
        <v>762</v>
      </c>
      <c r="N70" s="2" t="s">
        <v>160</v>
      </c>
      <c r="O70" s="2">
        <v>0.13</v>
      </c>
      <c r="P70" s="2">
        <v>0.74</v>
      </c>
      <c r="Q70" s="2">
        <v>1397200</v>
      </c>
      <c r="R70" s="2">
        <v>12</v>
      </c>
      <c r="S70" s="2">
        <v>962509</v>
      </c>
      <c r="T70" s="2">
        <v>115224</v>
      </c>
      <c r="U70" s="2">
        <v>10</v>
      </c>
      <c r="V70" s="2">
        <v>0</v>
      </c>
      <c r="W70" s="2">
        <v>0</v>
      </c>
      <c r="X70" s="30" t="s">
        <v>141</v>
      </c>
    </row>
    <row r="71" spans="1:24">
      <c r="A71" s="5" t="s">
        <v>292</v>
      </c>
      <c r="B71" s="2" t="s">
        <v>293</v>
      </c>
      <c r="C71" s="26">
        <v>44998</v>
      </c>
      <c r="D71" s="2" t="s">
        <v>158</v>
      </c>
      <c r="E71" s="2" t="s">
        <v>159</v>
      </c>
      <c r="F71" s="2" t="s">
        <v>151</v>
      </c>
      <c r="G71" s="2" t="s">
        <v>134</v>
      </c>
      <c r="H71" s="2">
        <v>12</v>
      </c>
      <c r="I71" s="2">
        <v>1526400</v>
      </c>
      <c r="J71" s="2">
        <v>8.33</v>
      </c>
      <c r="K71" s="2">
        <v>133012</v>
      </c>
      <c r="L71" s="2">
        <v>230177</v>
      </c>
      <c r="M71" s="2">
        <v>821</v>
      </c>
      <c r="N71" s="2" t="s">
        <v>160</v>
      </c>
      <c r="O71" s="2">
        <v>0.11</v>
      </c>
      <c r="P71" s="2">
        <v>0.8</v>
      </c>
      <c r="Q71" s="2">
        <v>1915900</v>
      </c>
      <c r="R71" s="2">
        <v>12</v>
      </c>
      <c r="S71" s="2">
        <v>1459543</v>
      </c>
      <c r="T71" s="2">
        <v>117717</v>
      </c>
      <c r="U71" s="2">
        <v>0</v>
      </c>
      <c r="V71" s="2">
        <v>0</v>
      </c>
      <c r="W71" s="2">
        <v>0</v>
      </c>
      <c r="X71" s="30" t="s">
        <v>141</v>
      </c>
    </row>
    <row r="72" spans="1:24">
      <c r="A72" s="5" t="s">
        <v>294</v>
      </c>
      <c r="B72" s="2" t="s">
        <v>295</v>
      </c>
      <c r="C72" s="26">
        <v>44989</v>
      </c>
      <c r="D72" s="2" t="s">
        <v>158</v>
      </c>
      <c r="E72" s="2" t="s">
        <v>144</v>
      </c>
      <c r="F72" s="2" t="s">
        <v>133</v>
      </c>
      <c r="G72" s="2" t="s">
        <v>134</v>
      </c>
      <c r="H72" s="2">
        <v>60</v>
      </c>
      <c r="I72" s="2">
        <v>50000</v>
      </c>
      <c r="J72" s="2">
        <v>15.37</v>
      </c>
      <c r="K72" s="2">
        <v>1199</v>
      </c>
      <c r="L72" s="2">
        <v>1205191</v>
      </c>
      <c r="M72" s="2">
        <v>668</v>
      </c>
      <c r="N72" s="2" t="s">
        <v>140</v>
      </c>
      <c r="O72" s="2">
        <v>0.11</v>
      </c>
      <c r="P72" s="2">
        <v>0.69</v>
      </c>
      <c r="Q72" s="2">
        <v>72300</v>
      </c>
      <c r="R72" s="2">
        <v>33</v>
      </c>
      <c r="S72" s="2">
        <v>35320</v>
      </c>
      <c r="T72" s="2">
        <v>23134</v>
      </c>
      <c r="U72" s="2">
        <v>0</v>
      </c>
      <c r="V72" s="2">
        <v>0</v>
      </c>
      <c r="W72" s="2">
        <v>0</v>
      </c>
      <c r="X72" s="30" t="s">
        <v>148</v>
      </c>
    </row>
    <row r="73" spans="1:24">
      <c r="A73" s="5" t="s">
        <v>296</v>
      </c>
      <c r="B73" s="2" t="s">
        <v>297</v>
      </c>
      <c r="C73" s="26">
        <v>44985</v>
      </c>
      <c r="D73" s="2" t="s">
        <v>158</v>
      </c>
      <c r="E73" s="2" t="s">
        <v>144</v>
      </c>
      <c r="F73" s="2" t="s">
        <v>151</v>
      </c>
      <c r="G73" s="2" t="s">
        <v>152</v>
      </c>
      <c r="H73" s="2">
        <v>120</v>
      </c>
      <c r="I73" s="2">
        <v>735700</v>
      </c>
      <c r="J73" s="2">
        <v>12.19</v>
      </c>
      <c r="K73" s="2">
        <v>10636</v>
      </c>
      <c r="L73" s="2">
        <v>668626</v>
      </c>
      <c r="M73" s="2">
        <v>740</v>
      </c>
      <c r="N73" s="2" t="s">
        <v>135</v>
      </c>
      <c r="O73" s="2">
        <v>0.1</v>
      </c>
      <c r="P73" s="2">
        <v>0.41</v>
      </c>
      <c r="Q73" s="2">
        <v>1794800</v>
      </c>
      <c r="R73" s="2">
        <v>34</v>
      </c>
      <c r="S73" s="2">
        <v>359540</v>
      </c>
      <c r="T73" s="2">
        <v>477799</v>
      </c>
      <c r="U73" s="2">
        <v>0</v>
      </c>
      <c r="V73" s="2">
        <v>0</v>
      </c>
      <c r="W73" s="2">
        <v>0</v>
      </c>
      <c r="X73" s="30" t="s">
        <v>148</v>
      </c>
    </row>
    <row r="74" spans="1:24">
      <c r="A74" s="5" t="s">
        <v>298</v>
      </c>
      <c r="B74" s="2" t="s">
        <v>299</v>
      </c>
      <c r="C74" s="26">
        <v>44974</v>
      </c>
      <c r="D74" s="2" t="s">
        <v>158</v>
      </c>
      <c r="E74" s="2" t="s">
        <v>213</v>
      </c>
      <c r="F74" s="2" t="s">
        <v>139</v>
      </c>
      <c r="G74" s="2" t="s">
        <v>134</v>
      </c>
      <c r="H74" s="2">
        <v>36</v>
      </c>
      <c r="I74" s="2">
        <v>2046600</v>
      </c>
      <c r="J74" s="2">
        <v>14.51</v>
      </c>
      <c r="K74" s="2">
        <v>70456</v>
      </c>
      <c r="L74" s="2">
        <v>1069819</v>
      </c>
      <c r="M74" s="2">
        <v>693</v>
      </c>
      <c r="N74" s="2" t="s">
        <v>140</v>
      </c>
      <c r="O74" s="2">
        <v>0.09</v>
      </c>
      <c r="P74" s="2">
        <v>0.64</v>
      </c>
      <c r="Q74" s="2">
        <v>3182900</v>
      </c>
      <c r="R74" s="2">
        <v>34</v>
      </c>
      <c r="S74" s="2">
        <v>2338018</v>
      </c>
      <c r="T74" s="2">
        <v>45139</v>
      </c>
      <c r="U74" s="2">
        <v>0</v>
      </c>
      <c r="V74" s="2">
        <v>0</v>
      </c>
      <c r="W74" s="2">
        <v>0</v>
      </c>
      <c r="X74" s="30" t="s">
        <v>148</v>
      </c>
    </row>
    <row r="75" spans="1:24">
      <c r="A75" s="5" t="s">
        <v>300</v>
      </c>
      <c r="B75" s="2" t="s">
        <v>301</v>
      </c>
      <c r="C75" s="26">
        <v>45325</v>
      </c>
      <c r="D75" s="2" t="s">
        <v>131</v>
      </c>
      <c r="E75" s="2" t="s">
        <v>132</v>
      </c>
      <c r="F75" s="2" t="s">
        <v>139</v>
      </c>
      <c r="G75" s="2" t="s">
        <v>152</v>
      </c>
      <c r="H75" s="2">
        <v>48</v>
      </c>
      <c r="I75" s="2">
        <v>388000</v>
      </c>
      <c r="J75" s="2">
        <v>19.309999999999999</v>
      </c>
      <c r="K75" s="2">
        <v>11665</v>
      </c>
      <c r="L75" s="2">
        <v>1034669</v>
      </c>
      <c r="M75" s="2">
        <v>642</v>
      </c>
      <c r="N75" s="2" t="s">
        <v>147</v>
      </c>
      <c r="O75" s="2">
        <v>0.54</v>
      </c>
      <c r="P75" s="2">
        <v>0.69</v>
      </c>
      <c r="Q75" s="2">
        <v>0</v>
      </c>
      <c r="R75" s="2">
        <v>22</v>
      </c>
      <c r="S75" s="2">
        <v>245926</v>
      </c>
      <c r="T75" s="2">
        <v>197017</v>
      </c>
      <c r="U75" s="2">
        <v>0</v>
      </c>
      <c r="V75" s="2">
        <v>0</v>
      </c>
      <c r="W75" s="2">
        <v>0</v>
      </c>
      <c r="X75" s="30" t="s">
        <v>148</v>
      </c>
    </row>
    <row r="76" spans="1:24">
      <c r="A76" s="5" t="s">
        <v>302</v>
      </c>
      <c r="B76" s="2" t="s">
        <v>303</v>
      </c>
      <c r="C76" s="26">
        <v>45321</v>
      </c>
      <c r="D76" s="2" t="s">
        <v>158</v>
      </c>
      <c r="E76" s="2" t="s">
        <v>144</v>
      </c>
      <c r="F76" s="2" t="s">
        <v>133</v>
      </c>
      <c r="G76" s="2" t="s">
        <v>134</v>
      </c>
      <c r="H76" s="2">
        <v>240</v>
      </c>
      <c r="I76" s="2">
        <v>2228400</v>
      </c>
      <c r="J76" s="2">
        <v>14.79</v>
      </c>
      <c r="K76" s="2">
        <v>28998</v>
      </c>
      <c r="L76" s="2">
        <v>831226</v>
      </c>
      <c r="M76" s="2">
        <v>699</v>
      </c>
      <c r="N76" s="2" t="s">
        <v>140</v>
      </c>
      <c r="O76" s="2">
        <v>0.5</v>
      </c>
      <c r="P76" s="2">
        <v>0.91</v>
      </c>
      <c r="Q76" s="2">
        <v>2459800</v>
      </c>
      <c r="R76" s="2">
        <v>23</v>
      </c>
      <c r="S76" s="2">
        <v>613673</v>
      </c>
      <c r="T76" s="2">
        <v>1867405</v>
      </c>
      <c r="U76" s="2">
        <v>0</v>
      </c>
      <c r="V76" s="2">
        <v>0</v>
      </c>
      <c r="W76" s="2">
        <v>0</v>
      </c>
      <c r="X76" s="30" t="s">
        <v>148</v>
      </c>
    </row>
    <row r="77" spans="1:24">
      <c r="A77" s="5" t="s">
        <v>304</v>
      </c>
      <c r="B77" s="2" t="s">
        <v>305</v>
      </c>
      <c r="C77" s="26">
        <v>45298</v>
      </c>
      <c r="D77" s="2" t="s">
        <v>131</v>
      </c>
      <c r="E77" s="2" t="s">
        <v>159</v>
      </c>
      <c r="F77" s="2" t="s">
        <v>170</v>
      </c>
      <c r="G77" s="2" t="s">
        <v>134</v>
      </c>
      <c r="H77" s="2">
        <v>360</v>
      </c>
      <c r="I77" s="2">
        <v>523600</v>
      </c>
      <c r="J77" s="2">
        <v>16.79</v>
      </c>
      <c r="K77" s="2">
        <v>7376</v>
      </c>
      <c r="L77" s="2">
        <v>529915</v>
      </c>
      <c r="M77" s="2">
        <v>708</v>
      </c>
      <c r="N77" s="2" t="s">
        <v>135</v>
      </c>
      <c r="O77" s="2">
        <v>0.49</v>
      </c>
      <c r="P77" s="2">
        <v>0.69</v>
      </c>
      <c r="Q77" s="2">
        <v>0</v>
      </c>
      <c r="R77" s="2">
        <v>23</v>
      </c>
      <c r="S77" s="2">
        <v>151720</v>
      </c>
      <c r="T77" s="2">
        <v>439280</v>
      </c>
      <c r="U77" s="2">
        <v>10</v>
      </c>
      <c r="V77" s="2">
        <v>0</v>
      </c>
      <c r="W77" s="2">
        <v>0</v>
      </c>
      <c r="X77" s="30" t="s">
        <v>148</v>
      </c>
    </row>
    <row r="78" spans="1:24">
      <c r="A78" s="5" t="s">
        <v>306</v>
      </c>
      <c r="B78" s="2" t="s">
        <v>307</v>
      </c>
      <c r="C78" s="26">
        <v>45319</v>
      </c>
      <c r="D78" s="2" t="s">
        <v>163</v>
      </c>
      <c r="E78" s="2" t="s">
        <v>132</v>
      </c>
      <c r="F78" s="2" t="s">
        <v>151</v>
      </c>
      <c r="G78" s="2" t="s">
        <v>152</v>
      </c>
      <c r="H78" s="2">
        <v>240</v>
      </c>
      <c r="I78" s="2">
        <v>1282700</v>
      </c>
      <c r="J78" s="2">
        <v>8.32</v>
      </c>
      <c r="K78" s="2">
        <v>10986</v>
      </c>
      <c r="L78" s="2">
        <v>853765</v>
      </c>
      <c r="M78" s="2">
        <v>762</v>
      </c>
      <c r="N78" s="2" t="s">
        <v>160</v>
      </c>
      <c r="O78" s="2">
        <v>0.47</v>
      </c>
      <c r="P78" s="2">
        <v>0.75</v>
      </c>
      <c r="Q78" s="2">
        <v>1703100</v>
      </c>
      <c r="R78" s="2">
        <v>23</v>
      </c>
      <c r="S78" s="2">
        <v>242686</v>
      </c>
      <c r="T78" s="2">
        <v>1121833</v>
      </c>
      <c r="U78" s="2">
        <v>0</v>
      </c>
      <c r="V78" s="2">
        <v>0</v>
      </c>
      <c r="W78" s="2">
        <v>0</v>
      </c>
      <c r="X78" s="30" t="s">
        <v>148</v>
      </c>
    </row>
    <row r="79" spans="1:24">
      <c r="A79" s="5" t="s">
        <v>308</v>
      </c>
      <c r="B79" s="2" t="s">
        <v>309</v>
      </c>
      <c r="C79" s="26">
        <v>45370</v>
      </c>
      <c r="D79" s="2" t="s">
        <v>131</v>
      </c>
      <c r="E79" s="2" t="s">
        <v>132</v>
      </c>
      <c r="F79" s="2" t="s">
        <v>170</v>
      </c>
      <c r="G79" s="2" t="s">
        <v>134</v>
      </c>
      <c r="H79" s="2">
        <v>60</v>
      </c>
      <c r="I79" s="2">
        <v>506900</v>
      </c>
      <c r="J79" s="2">
        <v>17.28</v>
      </c>
      <c r="K79" s="2">
        <v>12674</v>
      </c>
      <c r="L79" s="2">
        <v>1014711</v>
      </c>
      <c r="M79" s="2">
        <v>688</v>
      </c>
      <c r="N79" s="2" t="s">
        <v>140</v>
      </c>
      <c r="O79" s="2">
        <v>0.45</v>
      </c>
      <c r="P79" s="2">
        <v>0.77</v>
      </c>
      <c r="Q79" s="2">
        <v>0</v>
      </c>
      <c r="R79" s="2">
        <v>21</v>
      </c>
      <c r="S79" s="2">
        <v>232673</v>
      </c>
      <c r="T79" s="2">
        <v>335542</v>
      </c>
      <c r="U79" s="2">
        <v>0</v>
      </c>
      <c r="V79" s="2">
        <v>0</v>
      </c>
      <c r="W79" s="2">
        <v>0</v>
      </c>
      <c r="X79" s="30" t="s">
        <v>148</v>
      </c>
    </row>
    <row r="80" spans="1:24">
      <c r="A80" s="5" t="s">
        <v>310</v>
      </c>
      <c r="B80" s="2" t="s">
        <v>311</v>
      </c>
      <c r="C80" s="26">
        <v>45348</v>
      </c>
      <c r="D80" s="2" t="s">
        <v>163</v>
      </c>
      <c r="E80" s="2" t="s">
        <v>159</v>
      </c>
      <c r="F80" s="2" t="s">
        <v>145</v>
      </c>
      <c r="G80" s="2" t="s">
        <v>152</v>
      </c>
      <c r="H80" s="2">
        <v>240</v>
      </c>
      <c r="I80" s="2">
        <v>242000</v>
      </c>
      <c r="J80" s="2">
        <v>20.57</v>
      </c>
      <c r="K80" s="2">
        <v>4220</v>
      </c>
      <c r="L80" s="2">
        <v>262527</v>
      </c>
      <c r="M80" s="2">
        <v>511</v>
      </c>
      <c r="N80" s="2" t="s">
        <v>166</v>
      </c>
      <c r="O80" s="2">
        <v>0.43</v>
      </c>
      <c r="P80" s="2">
        <v>0.64</v>
      </c>
      <c r="Q80" s="2">
        <v>380500</v>
      </c>
      <c r="R80" s="2">
        <v>22</v>
      </c>
      <c r="S80" s="2">
        <v>92909</v>
      </c>
      <c r="T80" s="2">
        <v>185596</v>
      </c>
      <c r="U80" s="2">
        <v>0</v>
      </c>
      <c r="V80" s="2">
        <v>0</v>
      </c>
      <c r="W80" s="2">
        <v>0</v>
      </c>
      <c r="X80" s="30" t="s">
        <v>148</v>
      </c>
    </row>
    <row r="81" spans="1:24">
      <c r="A81" s="5" t="s">
        <v>312</v>
      </c>
      <c r="B81" s="2" t="s">
        <v>313</v>
      </c>
      <c r="C81" s="26">
        <v>45305</v>
      </c>
      <c r="D81" s="2" t="s">
        <v>177</v>
      </c>
      <c r="E81" s="2" t="s">
        <v>213</v>
      </c>
      <c r="F81" s="2" t="s">
        <v>145</v>
      </c>
      <c r="G81" s="2" t="s">
        <v>134</v>
      </c>
      <c r="H81" s="2">
        <v>360</v>
      </c>
      <c r="I81" s="2">
        <v>1233700</v>
      </c>
      <c r="J81" s="2">
        <v>21.39</v>
      </c>
      <c r="K81" s="2">
        <v>22029</v>
      </c>
      <c r="L81" s="2">
        <v>610346</v>
      </c>
      <c r="M81" s="2">
        <v>526</v>
      </c>
      <c r="N81" s="2" t="s">
        <v>166</v>
      </c>
      <c r="O81" s="2">
        <v>0.41</v>
      </c>
      <c r="P81" s="2">
        <v>0.69</v>
      </c>
      <c r="Q81" s="2">
        <v>0</v>
      </c>
      <c r="R81" s="2">
        <v>23</v>
      </c>
      <c r="S81" s="2">
        <v>462789</v>
      </c>
      <c r="T81" s="2">
        <v>973225</v>
      </c>
      <c r="U81" s="2">
        <v>0</v>
      </c>
      <c r="V81" s="2">
        <v>0</v>
      </c>
      <c r="W81" s="2">
        <v>0</v>
      </c>
      <c r="X81" s="30" t="s">
        <v>148</v>
      </c>
    </row>
    <row r="82" spans="1:24">
      <c r="A82" s="5" t="s">
        <v>314</v>
      </c>
      <c r="B82" s="2" t="s">
        <v>315</v>
      </c>
      <c r="C82" s="26">
        <v>45301</v>
      </c>
      <c r="D82" s="2" t="s">
        <v>177</v>
      </c>
      <c r="E82" s="2" t="s">
        <v>159</v>
      </c>
      <c r="F82" s="2" t="s">
        <v>133</v>
      </c>
      <c r="G82" s="2" t="s">
        <v>134</v>
      </c>
      <c r="H82" s="2">
        <v>240</v>
      </c>
      <c r="I82" s="2">
        <v>2042500</v>
      </c>
      <c r="J82" s="2">
        <v>17.309999999999999</v>
      </c>
      <c r="K82" s="2">
        <v>30442</v>
      </c>
      <c r="L82" s="2">
        <v>1189510</v>
      </c>
      <c r="M82" s="2">
        <v>606</v>
      </c>
      <c r="N82" s="2" t="s">
        <v>147</v>
      </c>
      <c r="O82" s="2">
        <v>0.41</v>
      </c>
      <c r="P82" s="2">
        <v>0.93</v>
      </c>
      <c r="Q82" s="2">
        <v>0</v>
      </c>
      <c r="R82" s="2">
        <v>23</v>
      </c>
      <c r="S82" s="2">
        <v>670705</v>
      </c>
      <c r="T82" s="2">
        <v>1642855</v>
      </c>
      <c r="U82" s="2">
        <v>0</v>
      </c>
      <c r="V82" s="2">
        <v>0</v>
      </c>
      <c r="W82" s="2">
        <v>0</v>
      </c>
      <c r="X82" s="30" t="s">
        <v>148</v>
      </c>
    </row>
    <row r="83" spans="1:24">
      <c r="A83" s="5" t="s">
        <v>316</v>
      </c>
      <c r="B83" s="2" t="s">
        <v>317</v>
      </c>
      <c r="C83" s="26">
        <v>45357</v>
      </c>
      <c r="D83" s="2" t="s">
        <v>169</v>
      </c>
      <c r="E83" s="2" t="s">
        <v>144</v>
      </c>
      <c r="F83" s="2" t="s">
        <v>139</v>
      </c>
      <c r="G83" s="2" t="s">
        <v>134</v>
      </c>
      <c r="H83" s="2">
        <v>36</v>
      </c>
      <c r="I83" s="2">
        <v>5929900</v>
      </c>
      <c r="J83" s="2">
        <v>15.54</v>
      </c>
      <c r="K83" s="2">
        <v>207133</v>
      </c>
      <c r="L83" s="2">
        <v>1415695</v>
      </c>
      <c r="M83" s="2">
        <v>588</v>
      </c>
      <c r="N83" s="2" t="s">
        <v>166</v>
      </c>
      <c r="O83" s="2">
        <v>0.36</v>
      </c>
      <c r="P83" s="2">
        <v>0.72</v>
      </c>
      <c r="Q83" s="2">
        <v>8245600</v>
      </c>
      <c r="R83" s="2">
        <v>21</v>
      </c>
      <c r="S83" s="2">
        <v>3954559</v>
      </c>
      <c r="T83" s="2">
        <v>2620396</v>
      </c>
      <c r="U83" s="2">
        <v>5</v>
      </c>
      <c r="V83" s="2">
        <v>0</v>
      </c>
      <c r="W83" s="2">
        <v>0</v>
      </c>
      <c r="X83" s="30" t="s">
        <v>148</v>
      </c>
    </row>
    <row r="84" spans="1:24">
      <c r="A84" s="5" t="s">
        <v>318</v>
      </c>
      <c r="B84" s="2" t="s">
        <v>319</v>
      </c>
      <c r="C84" s="26">
        <v>45365</v>
      </c>
      <c r="D84" s="2" t="s">
        <v>177</v>
      </c>
      <c r="E84" s="2" t="s">
        <v>213</v>
      </c>
      <c r="F84" s="2" t="s">
        <v>145</v>
      </c>
      <c r="G84" s="2" t="s">
        <v>152</v>
      </c>
      <c r="H84" s="2">
        <v>18</v>
      </c>
      <c r="I84" s="2">
        <v>1421000</v>
      </c>
      <c r="J84" s="2">
        <v>12.29</v>
      </c>
      <c r="K84" s="2">
        <v>86847</v>
      </c>
      <c r="L84" s="2">
        <v>711982</v>
      </c>
      <c r="M84" s="2">
        <v>672</v>
      </c>
      <c r="N84" s="2" t="s">
        <v>140</v>
      </c>
      <c r="O84" s="2">
        <v>0.36</v>
      </c>
      <c r="P84" s="2">
        <v>0.72</v>
      </c>
      <c r="Q84" s="2">
        <v>0</v>
      </c>
      <c r="R84" s="2">
        <v>18</v>
      </c>
      <c r="S84" s="2">
        <v>1529651</v>
      </c>
      <c r="T84" s="2">
        <v>0</v>
      </c>
      <c r="U84" s="2">
        <v>0</v>
      </c>
      <c r="V84" s="2">
        <v>0</v>
      </c>
      <c r="W84" s="2">
        <v>0</v>
      </c>
      <c r="X84" s="30" t="s">
        <v>141</v>
      </c>
    </row>
    <row r="85" spans="1:24">
      <c r="A85" s="5" t="s">
        <v>320</v>
      </c>
      <c r="B85" s="2" t="s">
        <v>321</v>
      </c>
      <c r="C85" s="26">
        <v>45313</v>
      </c>
      <c r="D85" s="2" t="s">
        <v>131</v>
      </c>
      <c r="E85" s="2" t="s">
        <v>132</v>
      </c>
      <c r="F85" s="2" t="s">
        <v>139</v>
      </c>
      <c r="G85" s="2" t="s">
        <v>134</v>
      </c>
      <c r="H85" s="2">
        <v>24</v>
      </c>
      <c r="I85" s="2">
        <v>666000</v>
      </c>
      <c r="J85" s="2">
        <v>18.559999999999999</v>
      </c>
      <c r="K85" s="2">
        <v>33430</v>
      </c>
      <c r="L85" s="2">
        <v>1132502</v>
      </c>
      <c r="M85" s="2">
        <v>725</v>
      </c>
      <c r="N85" s="2" t="s">
        <v>135</v>
      </c>
      <c r="O85" s="2">
        <v>0.35</v>
      </c>
      <c r="P85" s="2">
        <v>0.61</v>
      </c>
      <c r="Q85" s="2">
        <v>0</v>
      </c>
      <c r="R85" s="2">
        <v>23</v>
      </c>
      <c r="S85" s="2">
        <v>782682</v>
      </c>
      <c r="T85" s="2">
        <v>0</v>
      </c>
      <c r="U85" s="2">
        <v>30</v>
      </c>
      <c r="V85" s="2">
        <v>0</v>
      </c>
      <c r="W85" s="2">
        <v>0</v>
      </c>
      <c r="X85" s="30" t="s">
        <v>141</v>
      </c>
    </row>
    <row r="86" spans="1:24">
      <c r="A86" s="5" t="s">
        <v>322</v>
      </c>
      <c r="B86" s="2" t="s">
        <v>323</v>
      </c>
      <c r="C86" s="26">
        <v>45319</v>
      </c>
      <c r="D86" s="2" t="s">
        <v>169</v>
      </c>
      <c r="E86" s="2" t="s">
        <v>159</v>
      </c>
      <c r="F86" s="2" t="s">
        <v>170</v>
      </c>
      <c r="G86" s="2" t="s">
        <v>152</v>
      </c>
      <c r="H86" s="2">
        <v>72</v>
      </c>
      <c r="I86" s="2">
        <v>3131400</v>
      </c>
      <c r="J86" s="2">
        <v>12.54</v>
      </c>
      <c r="K86" s="2">
        <v>62102</v>
      </c>
      <c r="L86" s="2">
        <v>862363</v>
      </c>
      <c r="M86" s="2">
        <v>672</v>
      </c>
      <c r="N86" s="2" t="s">
        <v>140</v>
      </c>
      <c r="O86" s="2">
        <v>0.35</v>
      </c>
      <c r="P86" s="2">
        <v>0.63</v>
      </c>
      <c r="Q86" s="2">
        <v>4979600</v>
      </c>
      <c r="R86" s="2">
        <v>23</v>
      </c>
      <c r="S86" s="2">
        <v>1278108</v>
      </c>
      <c r="T86" s="2">
        <v>2154345</v>
      </c>
      <c r="U86" s="2">
        <v>0</v>
      </c>
      <c r="V86" s="2">
        <v>1</v>
      </c>
      <c r="W86" s="2">
        <v>0</v>
      </c>
      <c r="X86" s="30" t="s">
        <v>141</v>
      </c>
    </row>
    <row r="87" spans="1:24">
      <c r="A87" s="5" t="s">
        <v>324</v>
      </c>
      <c r="B87" s="2" t="s">
        <v>325</v>
      </c>
      <c r="C87" s="26">
        <v>45295</v>
      </c>
      <c r="D87" s="2" t="s">
        <v>163</v>
      </c>
      <c r="E87" s="2" t="s">
        <v>213</v>
      </c>
      <c r="F87" s="2" t="s">
        <v>170</v>
      </c>
      <c r="G87" s="2" t="s">
        <v>152</v>
      </c>
      <c r="H87" s="2">
        <v>72</v>
      </c>
      <c r="I87" s="2">
        <v>1352900</v>
      </c>
      <c r="J87" s="2">
        <v>10.49</v>
      </c>
      <c r="K87" s="2">
        <v>25399</v>
      </c>
      <c r="L87" s="2">
        <v>1006213</v>
      </c>
      <c r="M87" s="2">
        <v>718</v>
      </c>
      <c r="N87" s="2" t="s">
        <v>135</v>
      </c>
      <c r="O87" s="2">
        <v>0.33</v>
      </c>
      <c r="P87" s="2">
        <v>0.69</v>
      </c>
      <c r="Q87" s="2">
        <v>1959200</v>
      </c>
      <c r="R87" s="2">
        <v>23</v>
      </c>
      <c r="S87" s="2">
        <v>549543</v>
      </c>
      <c r="T87" s="2">
        <v>912162</v>
      </c>
      <c r="U87" s="2">
        <v>45</v>
      </c>
      <c r="V87" s="2">
        <v>0</v>
      </c>
      <c r="W87" s="2">
        <v>0</v>
      </c>
      <c r="X87" s="30" t="s">
        <v>136</v>
      </c>
    </row>
    <row r="88" spans="1:24">
      <c r="A88" s="5" t="s">
        <v>326</v>
      </c>
      <c r="B88" s="2" t="s">
        <v>327</v>
      </c>
      <c r="C88" s="26">
        <v>45350</v>
      </c>
      <c r="D88" s="2" t="s">
        <v>169</v>
      </c>
      <c r="E88" s="2" t="s">
        <v>132</v>
      </c>
      <c r="F88" s="2" t="s">
        <v>139</v>
      </c>
      <c r="G88" s="2" t="s">
        <v>134</v>
      </c>
      <c r="H88" s="2">
        <v>36</v>
      </c>
      <c r="I88" s="2">
        <v>6142300</v>
      </c>
      <c r="J88" s="2">
        <v>7</v>
      </c>
      <c r="K88" s="2">
        <v>189656</v>
      </c>
      <c r="L88" s="2">
        <v>1474931</v>
      </c>
      <c r="M88" s="2">
        <v>819</v>
      </c>
      <c r="N88" s="2" t="s">
        <v>160</v>
      </c>
      <c r="O88" s="2">
        <v>0.33</v>
      </c>
      <c r="P88" s="2">
        <v>0.78</v>
      </c>
      <c r="Q88" s="2">
        <v>7841500</v>
      </c>
      <c r="R88" s="2">
        <v>22</v>
      </c>
      <c r="S88" s="2">
        <v>3844035</v>
      </c>
      <c r="T88" s="2">
        <v>2613570</v>
      </c>
      <c r="U88" s="2">
        <v>0</v>
      </c>
      <c r="V88" s="2">
        <v>0</v>
      </c>
      <c r="W88" s="2">
        <v>0</v>
      </c>
      <c r="X88" s="30" t="s">
        <v>148</v>
      </c>
    </row>
    <row r="89" spans="1:24">
      <c r="A89" s="5" t="s">
        <v>328</v>
      </c>
      <c r="B89" s="2" t="s">
        <v>329</v>
      </c>
      <c r="C89" s="26">
        <v>45312</v>
      </c>
      <c r="D89" s="2" t="s">
        <v>163</v>
      </c>
      <c r="E89" s="2" t="s">
        <v>132</v>
      </c>
      <c r="F89" s="2" t="s">
        <v>145</v>
      </c>
      <c r="G89" s="2" t="s">
        <v>134</v>
      </c>
      <c r="H89" s="2">
        <v>60</v>
      </c>
      <c r="I89" s="2">
        <v>842500</v>
      </c>
      <c r="J89" s="2">
        <v>8.89</v>
      </c>
      <c r="K89" s="2">
        <v>17444</v>
      </c>
      <c r="L89" s="2">
        <v>1402598</v>
      </c>
      <c r="M89" s="2">
        <v>759</v>
      </c>
      <c r="N89" s="2" t="s">
        <v>160</v>
      </c>
      <c r="O89" s="2">
        <v>0.31</v>
      </c>
      <c r="P89" s="2">
        <v>0.87</v>
      </c>
      <c r="Q89" s="2">
        <v>973100</v>
      </c>
      <c r="R89" s="2">
        <v>23</v>
      </c>
      <c r="S89" s="2">
        <v>384839</v>
      </c>
      <c r="T89" s="2">
        <v>515083</v>
      </c>
      <c r="U89" s="2">
        <v>0</v>
      </c>
      <c r="V89" s="2">
        <v>0</v>
      </c>
      <c r="W89" s="2">
        <v>0</v>
      </c>
      <c r="X89" s="30" t="s">
        <v>148</v>
      </c>
    </row>
    <row r="90" spans="1:24">
      <c r="A90" s="5" t="s">
        <v>330</v>
      </c>
      <c r="B90" s="2" t="s">
        <v>331</v>
      </c>
      <c r="C90" s="26">
        <v>45355</v>
      </c>
      <c r="D90" s="2" t="s">
        <v>177</v>
      </c>
      <c r="E90" s="2" t="s">
        <v>144</v>
      </c>
      <c r="F90" s="2" t="s">
        <v>145</v>
      </c>
      <c r="G90" s="2" t="s">
        <v>134</v>
      </c>
      <c r="H90" s="2">
        <v>60</v>
      </c>
      <c r="I90" s="2">
        <v>1899500</v>
      </c>
      <c r="J90" s="2">
        <v>15.49</v>
      </c>
      <c r="K90" s="2">
        <v>45679</v>
      </c>
      <c r="L90" s="2">
        <v>997417</v>
      </c>
      <c r="M90" s="2">
        <v>624</v>
      </c>
      <c r="N90" s="2" t="s">
        <v>147</v>
      </c>
      <c r="O90" s="2">
        <v>0.31</v>
      </c>
      <c r="P90" s="2">
        <v>0.78</v>
      </c>
      <c r="Q90" s="2">
        <v>0</v>
      </c>
      <c r="R90" s="2">
        <v>21</v>
      </c>
      <c r="S90" s="2">
        <v>824421</v>
      </c>
      <c r="T90" s="2">
        <v>1281042</v>
      </c>
      <c r="U90" s="2">
        <v>0</v>
      </c>
      <c r="V90" s="2">
        <v>0</v>
      </c>
      <c r="W90" s="2">
        <v>0</v>
      </c>
      <c r="X90" s="30" t="s">
        <v>148</v>
      </c>
    </row>
    <row r="91" spans="1:24">
      <c r="A91" s="5" t="s">
        <v>332</v>
      </c>
      <c r="B91" s="2" t="s">
        <v>333</v>
      </c>
      <c r="C91" s="26">
        <v>45321</v>
      </c>
      <c r="D91" s="2" t="s">
        <v>177</v>
      </c>
      <c r="E91" s="2" t="s">
        <v>144</v>
      </c>
      <c r="F91" s="2" t="s">
        <v>139</v>
      </c>
      <c r="G91" s="2" t="s">
        <v>146</v>
      </c>
      <c r="H91" s="2">
        <v>120</v>
      </c>
      <c r="I91" s="2">
        <v>1141700</v>
      </c>
      <c r="J91" s="2">
        <v>7.97</v>
      </c>
      <c r="K91" s="2">
        <v>13834</v>
      </c>
      <c r="L91" s="2">
        <v>608358</v>
      </c>
      <c r="M91" s="2">
        <v>770</v>
      </c>
      <c r="N91" s="2" t="s">
        <v>160</v>
      </c>
      <c r="O91" s="2">
        <v>0.31</v>
      </c>
      <c r="P91" s="2">
        <v>1.04</v>
      </c>
      <c r="Q91" s="2">
        <v>0</v>
      </c>
      <c r="R91" s="2">
        <v>23</v>
      </c>
      <c r="S91" s="2">
        <v>281299</v>
      </c>
      <c r="T91" s="2">
        <v>930163</v>
      </c>
      <c r="U91" s="2">
        <v>0</v>
      </c>
      <c r="V91" s="2">
        <v>0</v>
      </c>
      <c r="W91" s="2">
        <v>0</v>
      </c>
      <c r="X91" s="30" t="s">
        <v>148</v>
      </c>
    </row>
    <row r="92" spans="1:24">
      <c r="A92" s="5" t="s">
        <v>334</v>
      </c>
      <c r="B92" s="2" t="s">
        <v>335</v>
      </c>
      <c r="C92" s="26">
        <v>45333</v>
      </c>
      <c r="D92" s="2" t="s">
        <v>131</v>
      </c>
      <c r="E92" s="2" t="s">
        <v>144</v>
      </c>
      <c r="F92" s="2" t="s">
        <v>145</v>
      </c>
      <c r="G92" s="2" t="s">
        <v>146</v>
      </c>
      <c r="H92" s="2">
        <v>18</v>
      </c>
      <c r="I92" s="2">
        <v>565500</v>
      </c>
      <c r="J92" s="2">
        <v>20.309999999999999</v>
      </c>
      <c r="K92" s="2">
        <v>36708</v>
      </c>
      <c r="L92" s="2">
        <v>1018933</v>
      </c>
      <c r="M92" s="2">
        <v>656</v>
      </c>
      <c r="N92" s="2" t="s">
        <v>140</v>
      </c>
      <c r="O92" s="2">
        <v>0.31</v>
      </c>
      <c r="P92" s="2">
        <v>0.69</v>
      </c>
      <c r="Q92" s="2">
        <v>0</v>
      </c>
      <c r="R92" s="2">
        <v>18</v>
      </c>
      <c r="S92" s="2">
        <v>639297</v>
      </c>
      <c r="T92" s="2">
        <v>0</v>
      </c>
      <c r="U92" s="2">
        <v>0</v>
      </c>
      <c r="V92" s="2">
        <v>0</v>
      </c>
      <c r="W92" s="2">
        <v>0</v>
      </c>
      <c r="X92" s="30" t="s">
        <v>141</v>
      </c>
    </row>
    <row r="93" spans="1:24">
      <c r="A93" s="5" t="s">
        <v>336</v>
      </c>
      <c r="B93" s="2" t="s">
        <v>337</v>
      </c>
      <c r="C93" s="26">
        <v>45325</v>
      </c>
      <c r="D93" s="2" t="s">
        <v>163</v>
      </c>
      <c r="E93" s="2" t="s">
        <v>132</v>
      </c>
      <c r="F93" s="2" t="s">
        <v>145</v>
      </c>
      <c r="G93" s="2" t="s">
        <v>192</v>
      </c>
      <c r="H93" s="2">
        <v>360</v>
      </c>
      <c r="I93" s="2">
        <v>790700</v>
      </c>
      <c r="J93" s="2">
        <v>13.98</v>
      </c>
      <c r="K93" s="2">
        <v>9356</v>
      </c>
      <c r="L93" s="2">
        <v>1062924</v>
      </c>
      <c r="M93" s="2">
        <v>640</v>
      </c>
      <c r="N93" s="2" t="s">
        <v>147</v>
      </c>
      <c r="O93" s="2">
        <v>0.31</v>
      </c>
      <c r="P93" s="2">
        <v>0.69</v>
      </c>
      <c r="Q93" s="2">
        <v>1144600</v>
      </c>
      <c r="R93" s="2">
        <v>22</v>
      </c>
      <c r="S93" s="2">
        <v>180583</v>
      </c>
      <c r="T93" s="2">
        <v>691180</v>
      </c>
      <c r="U93" s="2">
        <v>0</v>
      </c>
      <c r="V93" s="2">
        <v>0</v>
      </c>
      <c r="W93" s="2">
        <v>0</v>
      </c>
      <c r="X93" s="30" t="s">
        <v>148</v>
      </c>
    </row>
    <row r="94" spans="1:24">
      <c r="A94" s="5" t="s">
        <v>338</v>
      </c>
      <c r="B94" s="2" t="s">
        <v>339</v>
      </c>
      <c r="C94" s="26">
        <v>45300</v>
      </c>
      <c r="D94" s="2" t="s">
        <v>163</v>
      </c>
      <c r="E94" s="2" t="s">
        <v>132</v>
      </c>
      <c r="F94" s="2" t="s">
        <v>145</v>
      </c>
      <c r="G94" s="2" t="s">
        <v>134</v>
      </c>
      <c r="H94" s="2">
        <v>48</v>
      </c>
      <c r="I94" s="2">
        <v>830700</v>
      </c>
      <c r="J94" s="2">
        <v>7.96</v>
      </c>
      <c r="K94" s="2">
        <v>20264</v>
      </c>
      <c r="L94" s="2">
        <v>712016</v>
      </c>
      <c r="M94" s="2">
        <v>758</v>
      </c>
      <c r="N94" s="2" t="s">
        <v>160</v>
      </c>
      <c r="O94" s="2">
        <v>0.28999999999999998</v>
      </c>
      <c r="P94" s="2">
        <v>0.94</v>
      </c>
      <c r="Q94" s="2">
        <v>882700</v>
      </c>
      <c r="R94" s="2">
        <v>23</v>
      </c>
      <c r="S94" s="2">
        <v>404246</v>
      </c>
      <c r="T94" s="2">
        <v>477149</v>
      </c>
      <c r="U94" s="2">
        <v>0</v>
      </c>
      <c r="V94" s="2">
        <v>0</v>
      </c>
      <c r="W94" s="2">
        <v>0</v>
      </c>
      <c r="X94" s="30" t="s">
        <v>148</v>
      </c>
    </row>
    <row r="95" spans="1:24">
      <c r="A95" s="5" t="s">
        <v>340</v>
      </c>
      <c r="B95" s="2" t="s">
        <v>341</v>
      </c>
      <c r="C95" s="26">
        <v>45335</v>
      </c>
      <c r="D95" s="2" t="s">
        <v>131</v>
      </c>
      <c r="E95" s="2" t="s">
        <v>144</v>
      </c>
      <c r="F95" s="2" t="s">
        <v>139</v>
      </c>
      <c r="G95" s="2" t="s">
        <v>134</v>
      </c>
      <c r="H95" s="2">
        <v>84</v>
      </c>
      <c r="I95" s="2">
        <v>570800</v>
      </c>
      <c r="J95" s="2">
        <v>16.03</v>
      </c>
      <c r="K95" s="2">
        <v>11347</v>
      </c>
      <c r="L95" s="2">
        <v>539079</v>
      </c>
      <c r="M95" s="2">
        <v>741</v>
      </c>
      <c r="N95" s="2" t="s">
        <v>135</v>
      </c>
      <c r="O95" s="2">
        <v>0.28999999999999998</v>
      </c>
      <c r="P95" s="2">
        <v>0.76</v>
      </c>
      <c r="Q95" s="2">
        <v>0</v>
      </c>
      <c r="R95" s="2">
        <v>22</v>
      </c>
      <c r="S95" s="2">
        <v>237138</v>
      </c>
      <c r="T95" s="2">
        <v>400761</v>
      </c>
      <c r="U95" s="2">
        <v>30</v>
      </c>
      <c r="V95" s="2">
        <v>0</v>
      </c>
      <c r="W95" s="2">
        <v>0</v>
      </c>
      <c r="X95" s="30" t="s">
        <v>136</v>
      </c>
    </row>
    <row r="96" spans="1:24">
      <c r="A96" s="5" t="s">
        <v>342</v>
      </c>
      <c r="B96" s="2" t="s">
        <v>343</v>
      </c>
      <c r="C96" s="26">
        <v>45304</v>
      </c>
      <c r="D96" s="2" t="s">
        <v>131</v>
      </c>
      <c r="E96" s="2" t="s">
        <v>144</v>
      </c>
      <c r="F96" s="2" t="s">
        <v>145</v>
      </c>
      <c r="G96" s="2" t="s">
        <v>134</v>
      </c>
      <c r="H96" s="2">
        <v>12</v>
      </c>
      <c r="I96" s="2">
        <v>236400</v>
      </c>
      <c r="J96" s="2">
        <v>16.899999999999999</v>
      </c>
      <c r="K96" s="2">
        <v>21550</v>
      </c>
      <c r="L96" s="2">
        <v>255165</v>
      </c>
      <c r="M96" s="2">
        <v>702</v>
      </c>
      <c r="N96" s="2" t="s">
        <v>135</v>
      </c>
      <c r="O96" s="2">
        <v>0.28999999999999998</v>
      </c>
      <c r="P96" s="2">
        <v>0.66</v>
      </c>
      <c r="Q96" s="2">
        <v>0</v>
      </c>
      <c r="R96" s="2">
        <v>12</v>
      </c>
      <c r="S96" s="2">
        <v>250330</v>
      </c>
      <c r="T96" s="2">
        <v>2051</v>
      </c>
      <c r="U96" s="2">
        <v>0</v>
      </c>
      <c r="V96" s="2">
        <v>0</v>
      </c>
      <c r="W96" s="2">
        <v>0</v>
      </c>
      <c r="X96" s="30" t="s">
        <v>141</v>
      </c>
    </row>
    <row r="97" spans="1:24">
      <c r="A97" s="5" t="s">
        <v>344</v>
      </c>
      <c r="B97" s="2" t="s">
        <v>345</v>
      </c>
      <c r="C97" s="26">
        <v>45311</v>
      </c>
      <c r="D97" s="2" t="s">
        <v>169</v>
      </c>
      <c r="E97" s="2" t="s">
        <v>144</v>
      </c>
      <c r="F97" s="2" t="s">
        <v>133</v>
      </c>
      <c r="G97" s="2" t="s">
        <v>134</v>
      </c>
      <c r="H97" s="2">
        <v>60</v>
      </c>
      <c r="I97" s="2">
        <v>8719200</v>
      </c>
      <c r="J97" s="2">
        <v>11.97</v>
      </c>
      <c r="K97" s="2">
        <v>193822</v>
      </c>
      <c r="L97" s="2">
        <v>1277653</v>
      </c>
      <c r="M97" s="2">
        <v>666</v>
      </c>
      <c r="N97" s="2" t="s">
        <v>140</v>
      </c>
      <c r="O97" s="2">
        <v>0.28999999999999998</v>
      </c>
      <c r="P97" s="2">
        <v>0.64</v>
      </c>
      <c r="Q97" s="2">
        <v>13683000</v>
      </c>
      <c r="R97" s="2">
        <v>23</v>
      </c>
      <c r="S97" s="2">
        <v>3916304</v>
      </c>
      <c r="T97" s="2">
        <v>5603057</v>
      </c>
      <c r="U97" s="2">
        <v>5</v>
      </c>
      <c r="V97" s="2">
        <v>0</v>
      </c>
      <c r="W97" s="2">
        <v>0</v>
      </c>
      <c r="X97" s="30" t="s">
        <v>148</v>
      </c>
    </row>
    <row r="98" spans="1:24">
      <c r="A98" s="5" t="s">
        <v>346</v>
      </c>
      <c r="B98" s="2" t="s">
        <v>347</v>
      </c>
      <c r="C98" s="26">
        <v>45297</v>
      </c>
      <c r="D98" s="2" t="s">
        <v>131</v>
      </c>
      <c r="E98" s="2" t="s">
        <v>213</v>
      </c>
      <c r="F98" s="2" t="s">
        <v>151</v>
      </c>
      <c r="G98" s="2" t="s">
        <v>152</v>
      </c>
      <c r="H98" s="2">
        <v>72</v>
      </c>
      <c r="I98" s="2">
        <v>266600</v>
      </c>
      <c r="J98" s="2">
        <v>21.55</v>
      </c>
      <c r="K98" s="2">
        <v>6628</v>
      </c>
      <c r="L98" s="2">
        <v>1387225</v>
      </c>
      <c r="M98" s="2">
        <v>615</v>
      </c>
      <c r="N98" s="2" t="s">
        <v>147</v>
      </c>
      <c r="O98" s="2">
        <v>0.26</v>
      </c>
      <c r="P98" s="2">
        <v>0.82</v>
      </c>
      <c r="Q98" s="2">
        <v>0</v>
      </c>
      <c r="R98" s="2">
        <v>23</v>
      </c>
      <c r="S98" s="2">
        <v>134599</v>
      </c>
      <c r="T98" s="2">
        <v>176048</v>
      </c>
      <c r="U98" s="2">
        <v>0</v>
      </c>
      <c r="V98" s="2">
        <v>0</v>
      </c>
      <c r="W98" s="2">
        <v>0</v>
      </c>
      <c r="X98" s="30" t="s">
        <v>148</v>
      </c>
    </row>
    <row r="99" spans="1:24">
      <c r="A99" s="5" t="s">
        <v>348</v>
      </c>
      <c r="B99" s="2" t="s">
        <v>349</v>
      </c>
      <c r="C99" s="26">
        <v>45380</v>
      </c>
      <c r="D99" s="2" t="s">
        <v>163</v>
      </c>
      <c r="E99" s="2" t="s">
        <v>159</v>
      </c>
      <c r="F99" s="2" t="s">
        <v>133</v>
      </c>
      <c r="G99" s="2" t="s">
        <v>152</v>
      </c>
      <c r="H99" s="2">
        <v>180</v>
      </c>
      <c r="I99" s="2">
        <v>245200</v>
      </c>
      <c r="J99" s="2">
        <v>17.52</v>
      </c>
      <c r="K99" s="2">
        <v>3864</v>
      </c>
      <c r="L99" s="2">
        <v>598020</v>
      </c>
      <c r="M99" s="2">
        <v>569</v>
      </c>
      <c r="N99" s="2" t="s">
        <v>166</v>
      </c>
      <c r="O99" s="2">
        <v>0.24</v>
      </c>
      <c r="P99" s="2">
        <v>0.61</v>
      </c>
      <c r="Q99" s="2">
        <v>403200</v>
      </c>
      <c r="R99" s="2">
        <v>21</v>
      </c>
      <c r="S99" s="2">
        <v>70709</v>
      </c>
      <c r="T99" s="2">
        <v>204562</v>
      </c>
      <c r="U99" s="2">
        <v>15</v>
      </c>
      <c r="V99" s="2">
        <v>0</v>
      </c>
      <c r="W99" s="2">
        <v>0</v>
      </c>
      <c r="X99" s="30" t="s">
        <v>148</v>
      </c>
    </row>
    <row r="100" spans="1:24">
      <c r="A100" s="5" t="s">
        <v>350</v>
      </c>
      <c r="B100" s="2" t="s">
        <v>351</v>
      </c>
      <c r="C100" s="26">
        <v>45372</v>
      </c>
      <c r="D100" s="2" t="s">
        <v>131</v>
      </c>
      <c r="E100" s="2" t="s">
        <v>132</v>
      </c>
      <c r="F100" s="2" t="s">
        <v>151</v>
      </c>
      <c r="G100" s="2" t="s">
        <v>152</v>
      </c>
      <c r="H100" s="2">
        <v>360</v>
      </c>
      <c r="I100" s="2">
        <v>347500</v>
      </c>
      <c r="J100" s="2">
        <v>17.72</v>
      </c>
      <c r="K100" s="2">
        <v>5158</v>
      </c>
      <c r="L100" s="2">
        <v>880510</v>
      </c>
      <c r="M100" s="2">
        <v>693</v>
      </c>
      <c r="N100" s="2" t="s">
        <v>140</v>
      </c>
      <c r="O100" s="2">
        <v>0.24</v>
      </c>
      <c r="P100" s="2">
        <v>0.79</v>
      </c>
      <c r="Q100" s="2">
        <v>0</v>
      </c>
      <c r="R100" s="2">
        <v>21</v>
      </c>
      <c r="S100" s="2">
        <v>109984</v>
      </c>
      <c r="T100" s="2">
        <v>280620</v>
      </c>
      <c r="U100" s="2">
        <v>0</v>
      </c>
      <c r="V100" s="2">
        <v>0</v>
      </c>
      <c r="W100" s="2">
        <v>0</v>
      </c>
      <c r="X100" s="30" t="s">
        <v>148</v>
      </c>
    </row>
    <row r="101" spans="1:24">
      <c r="A101" s="5" t="s">
        <v>352</v>
      </c>
      <c r="B101" s="2" t="s">
        <v>353</v>
      </c>
      <c r="C101" s="26">
        <v>45334</v>
      </c>
      <c r="D101" s="2" t="s">
        <v>169</v>
      </c>
      <c r="E101" s="2" t="s">
        <v>132</v>
      </c>
      <c r="F101" s="2" t="s">
        <v>170</v>
      </c>
      <c r="G101" s="2" t="s">
        <v>134</v>
      </c>
      <c r="H101" s="2">
        <v>360</v>
      </c>
      <c r="I101" s="2">
        <v>1365400</v>
      </c>
      <c r="J101" s="2">
        <v>12.08</v>
      </c>
      <c r="K101" s="2">
        <v>14129</v>
      </c>
      <c r="L101" s="2">
        <v>1192382</v>
      </c>
      <c r="M101" s="2">
        <v>670</v>
      </c>
      <c r="N101" s="2" t="s">
        <v>140</v>
      </c>
      <c r="O101" s="2">
        <v>0.23</v>
      </c>
      <c r="P101" s="2">
        <v>0.81</v>
      </c>
      <c r="Q101" s="2">
        <v>1685100</v>
      </c>
      <c r="R101" s="2">
        <v>22</v>
      </c>
      <c r="S101" s="2">
        <v>301526</v>
      </c>
      <c r="T101" s="2">
        <v>1184830</v>
      </c>
      <c r="U101" s="2">
        <v>0</v>
      </c>
      <c r="V101" s="2">
        <v>0</v>
      </c>
      <c r="W101" s="2">
        <v>0</v>
      </c>
      <c r="X101" s="30" t="s">
        <v>148</v>
      </c>
    </row>
    <row r="102" spans="1:24">
      <c r="A102" s="5" t="s">
        <v>354</v>
      </c>
      <c r="B102" s="2" t="s">
        <v>355</v>
      </c>
      <c r="C102" s="26">
        <v>45356</v>
      </c>
      <c r="D102" s="2" t="s">
        <v>163</v>
      </c>
      <c r="E102" s="2" t="s">
        <v>159</v>
      </c>
      <c r="F102" s="2" t="s">
        <v>151</v>
      </c>
      <c r="G102" s="2" t="s">
        <v>152</v>
      </c>
      <c r="H102" s="2">
        <v>36</v>
      </c>
      <c r="I102" s="2">
        <v>600800</v>
      </c>
      <c r="J102" s="2">
        <v>8.7200000000000006</v>
      </c>
      <c r="K102" s="2">
        <v>19027</v>
      </c>
      <c r="L102" s="2">
        <v>510785</v>
      </c>
      <c r="M102" s="2">
        <v>766</v>
      </c>
      <c r="N102" s="2" t="s">
        <v>160</v>
      </c>
      <c r="O102" s="2">
        <v>0.21</v>
      </c>
      <c r="P102" s="2">
        <v>0.48</v>
      </c>
      <c r="Q102" s="2">
        <v>1248000</v>
      </c>
      <c r="R102" s="2">
        <v>21</v>
      </c>
      <c r="S102" s="2">
        <v>354531</v>
      </c>
      <c r="T102" s="2">
        <v>282942</v>
      </c>
      <c r="U102" s="2">
        <v>0</v>
      </c>
      <c r="V102" s="2">
        <v>0</v>
      </c>
      <c r="W102" s="2">
        <v>0</v>
      </c>
      <c r="X102" s="30" t="s">
        <v>148</v>
      </c>
    </row>
    <row r="103" spans="1:24">
      <c r="A103" s="5" t="s">
        <v>356</v>
      </c>
      <c r="B103" s="2" t="s">
        <v>357</v>
      </c>
      <c r="C103" s="26">
        <v>45363</v>
      </c>
      <c r="D103" s="2" t="s">
        <v>158</v>
      </c>
      <c r="E103" s="2" t="s">
        <v>132</v>
      </c>
      <c r="F103" s="2" t="s">
        <v>139</v>
      </c>
      <c r="G103" s="2" t="s">
        <v>146</v>
      </c>
      <c r="H103" s="2">
        <v>360</v>
      </c>
      <c r="I103" s="2">
        <v>1030100</v>
      </c>
      <c r="J103" s="2">
        <v>15</v>
      </c>
      <c r="K103" s="2">
        <v>13025</v>
      </c>
      <c r="L103" s="2">
        <v>579671</v>
      </c>
      <c r="M103" s="2">
        <v>691</v>
      </c>
      <c r="N103" s="2" t="s">
        <v>140</v>
      </c>
      <c r="O103" s="2">
        <v>0.2</v>
      </c>
      <c r="P103" s="2">
        <v>0.98</v>
      </c>
      <c r="Q103" s="2">
        <v>1052400</v>
      </c>
      <c r="R103" s="2">
        <v>21</v>
      </c>
      <c r="S103" s="2">
        <v>268018</v>
      </c>
      <c r="T103" s="2">
        <v>870242</v>
      </c>
      <c r="U103" s="2">
        <v>45</v>
      </c>
      <c r="V103" s="2">
        <v>0</v>
      </c>
      <c r="W103" s="2">
        <v>0</v>
      </c>
      <c r="X103" s="30" t="s">
        <v>136</v>
      </c>
    </row>
    <row r="104" spans="1:24">
      <c r="A104" s="5" t="s">
        <v>358</v>
      </c>
      <c r="B104" s="2" t="s">
        <v>359</v>
      </c>
      <c r="C104" s="26">
        <v>45357</v>
      </c>
      <c r="D104" s="2" t="s">
        <v>163</v>
      </c>
      <c r="E104" s="2" t="s">
        <v>213</v>
      </c>
      <c r="F104" s="2" t="s">
        <v>139</v>
      </c>
      <c r="G104" s="2" t="s">
        <v>134</v>
      </c>
      <c r="H104" s="2">
        <v>60</v>
      </c>
      <c r="I104" s="2">
        <v>795800</v>
      </c>
      <c r="J104" s="2">
        <v>16.54</v>
      </c>
      <c r="K104" s="2">
        <v>19581</v>
      </c>
      <c r="L104" s="2">
        <v>770004</v>
      </c>
      <c r="M104" s="2">
        <v>602</v>
      </c>
      <c r="N104" s="2" t="s">
        <v>147</v>
      </c>
      <c r="O104" s="2">
        <v>0.16</v>
      </c>
      <c r="P104" s="2">
        <v>0.82</v>
      </c>
      <c r="Q104" s="2">
        <v>967500</v>
      </c>
      <c r="R104" s="2">
        <v>21</v>
      </c>
      <c r="S104" s="2">
        <v>366002</v>
      </c>
      <c r="T104" s="2">
        <v>521936</v>
      </c>
      <c r="U104" s="2">
        <v>0</v>
      </c>
      <c r="V104" s="2">
        <v>0</v>
      </c>
      <c r="W104" s="2">
        <v>0</v>
      </c>
      <c r="X104" s="30" t="s">
        <v>148</v>
      </c>
    </row>
    <row r="105" spans="1:24">
      <c r="A105" s="5" t="s">
        <v>360</v>
      </c>
      <c r="B105" s="2" t="s">
        <v>361</v>
      </c>
      <c r="C105" s="26">
        <v>45352</v>
      </c>
      <c r="D105" s="2" t="s">
        <v>131</v>
      </c>
      <c r="E105" s="2" t="s">
        <v>132</v>
      </c>
      <c r="F105" s="2" t="s">
        <v>145</v>
      </c>
      <c r="G105" s="2" t="s">
        <v>134</v>
      </c>
      <c r="H105" s="2">
        <v>24</v>
      </c>
      <c r="I105" s="2">
        <v>398000</v>
      </c>
      <c r="J105" s="2">
        <v>17.440000000000001</v>
      </c>
      <c r="K105" s="2">
        <v>19762</v>
      </c>
      <c r="L105" s="2">
        <v>941579</v>
      </c>
      <c r="M105" s="2">
        <v>712</v>
      </c>
      <c r="N105" s="2" t="s">
        <v>135</v>
      </c>
      <c r="O105" s="2">
        <v>0.13</v>
      </c>
      <c r="P105" s="2">
        <v>0.78</v>
      </c>
      <c r="Q105" s="2">
        <v>0</v>
      </c>
      <c r="R105" s="2">
        <v>21</v>
      </c>
      <c r="S105" s="2">
        <v>411997</v>
      </c>
      <c r="T105" s="2">
        <v>34591</v>
      </c>
      <c r="U105" s="2">
        <v>30</v>
      </c>
      <c r="V105" s="2">
        <v>0</v>
      </c>
      <c r="W105" s="2">
        <v>0</v>
      </c>
      <c r="X105" s="30" t="s">
        <v>136</v>
      </c>
    </row>
    <row r="106" spans="1:24">
      <c r="A106" s="5" t="s">
        <v>362</v>
      </c>
      <c r="B106" s="2" t="s">
        <v>363</v>
      </c>
      <c r="C106" s="26">
        <v>45320</v>
      </c>
      <c r="D106" s="2" t="s">
        <v>131</v>
      </c>
      <c r="E106" s="2" t="s">
        <v>132</v>
      </c>
      <c r="F106" s="2" t="s">
        <v>133</v>
      </c>
      <c r="G106" s="2" t="s">
        <v>152</v>
      </c>
      <c r="H106" s="2">
        <v>24</v>
      </c>
      <c r="I106" s="2">
        <v>243200</v>
      </c>
      <c r="J106" s="2">
        <v>17.440000000000001</v>
      </c>
      <c r="K106" s="2">
        <v>12076</v>
      </c>
      <c r="L106" s="2">
        <v>608967</v>
      </c>
      <c r="M106" s="2">
        <v>707</v>
      </c>
      <c r="N106" s="2" t="s">
        <v>135</v>
      </c>
      <c r="O106" s="2">
        <v>0.11</v>
      </c>
      <c r="P106" s="2">
        <v>0.6</v>
      </c>
      <c r="Q106" s="2">
        <v>0</v>
      </c>
      <c r="R106" s="2">
        <v>23</v>
      </c>
      <c r="S106" s="2">
        <v>236310</v>
      </c>
      <c r="T106" s="2">
        <v>39407</v>
      </c>
      <c r="U106" s="2">
        <v>60</v>
      </c>
      <c r="V106" s="2">
        <v>0</v>
      </c>
      <c r="W106" s="2">
        <v>0</v>
      </c>
      <c r="X106" s="30" t="s">
        <v>136</v>
      </c>
    </row>
    <row r="107" spans="1:24">
      <c r="A107" s="5" t="s">
        <v>364</v>
      </c>
      <c r="B107" s="2" t="s">
        <v>365</v>
      </c>
      <c r="C107" s="26">
        <v>45364</v>
      </c>
      <c r="D107" s="2" t="s">
        <v>131</v>
      </c>
      <c r="E107" s="2" t="s">
        <v>144</v>
      </c>
      <c r="F107" s="2" t="s">
        <v>170</v>
      </c>
      <c r="G107" s="2" t="s">
        <v>146</v>
      </c>
      <c r="H107" s="2">
        <v>120</v>
      </c>
      <c r="I107" s="2">
        <v>534900</v>
      </c>
      <c r="J107" s="2">
        <v>26.08</v>
      </c>
      <c r="K107" s="2">
        <v>12578</v>
      </c>
      <c r="L107" s="2">
        <v>1451382</v>
      </c>
      <c r="M107" s="2">
        <v>514</v>
      </c>
      <c r="N107" s="2" t="s">
        <v>166</v>
      </c>
      <c r="O107" s="2">
        <v>0.1</v>
      </c>
      <c r="P107" s="2">
        <v>0.64</v>
      </c>
      <c r="Q107" s="2">
        <v>0</v>
      </c>
      <c r="R107" s="2">
        <v>21</v>
      </c>
      <c r="S107" s="2">
        <v>242956</v>
      </c>
      <c r="T107" s="2">
        <v>389595</v>
      </c>
      <c r="U107" s="2">
        <v>0</v>
      </c>
      <c r="V107" s="2">
        <v>0</v>
      </c>
      <c r="W107" s="2">
        <v>0</v>
      </c>
      <c r="X107" s="30" t="s">
        <v>148</v>
      </c>
    </row>
    <row r="108" spans="1:24">
      <c r="A108" s="5" t="s">
        <v>366</v>
      </c>
      <c r="B108" s="2" t="s">
        <v>367</v>
      </c>
      <c r="C108" s="26">
        <v>45708</v>
      </c>
      <c r="D108" s="2" t="s">
        <v>158</v>
      </c>
      <c r="E108" s="2" t="s">
        <v>144</v>
      </c>
      <c r="F108" s="2" t="s">
        <v>133</v>
      </c>
      <c r="G108" s="2" t="s">
        <v>192</v>
      </c>
      <c r="H108" s="2">
        <v>120</v>
      </c>
      <c r="I108" s="2">
        <v>1767000</v>
      </c>
      <c r="J108" s="2">
        <v>15.17</v>
      </c>
      <c r="K108" s="2">
        <v>28692</v>
      </c>
      <c r="L108" s="2">
        <v>1301890</v>
      </c>
      <c r="M108" s="2">
        <v>684</v>
      </c>
      <c r="N108" s="2" t="s">
        <v>140</v>
      </c>
      <c r="O108" s="2">
        <v>0.51</v>
      </c>
      <c r="P108" s="2">
        <v>0.57999999999999996</v>
      </c>
      <c r="Q108" s="2">
        <v>3042100</v>
      </c>
      <c r="R108" s="2">
        <v>10</v>
      </c>
      <c r="S108" s="2">
        <v>270217</v>
      </c>
      <c r="T108" s="2">
        <v>1586134</v>
      </c>
      <c r="U108" s="2">
        <v>15</v>
      </c>
      <c r="V108" s="2">
        <v>0</v>
      </c>
      <c r="W108" s="2">
        <v>0</v>
      </c>
      <c r="X108" s="30" t="s">
        <v>148</v>
      </c>
    </row>
    <row r="109" spans="1:24">
      <c r="A109" s="5" t="s">
        <v>368</v>
      </c>
      <c r="B109" s="2" t="s">
        <v>369</v>
      </c>
      <c r="C109" s="26">
        <v>45737</v>
      </c>
      <c r="D109" s="2" t="s">
        <v>163</v>
      </c>
      <c r="E109" s="2" t="s">
        <v>132</v>
      </c>
      <c r="F109" s="2" t="s">
        <v>145</v>
      </c>
      <c r="G109" s="2" t="s">
        <v>134</v>
      </c>
      <c r="H109" s="2">
        <v>60</v>
      </c>
      <c r="I109" s="2">
        <v>849000</v>
      </c>
      <c r="J109" s="2">
        <v>7.08</v>
      </c>
      <c r="K109" s="2">
        <v>16843</v>
      </c>
      <c r="L109" s="2">
        <v>1131682</v>
      </c>
      <c r="M109" s="2">
        <v>822</v>
      </c>
      <c r="N109" s="2" t="s">
        <v>160</v>
      </c>
      <c r="O109" s="2">
        <v>0.49</v>
      </c>
      <c r="P109" s="2">
        <v>0.66</v>
      </c>
      <c r="Q109" s="2">
        <v>1287000</v>
      </c>
      <c r="R109" s="2">
        <v>9</v>
      </c>
      <c r="S109" s="2">
        <v>134370</v>
      </c>
      <c r="T109" s="2">
        <v>732663</v>
      </c>
      <c r="U109" s="2">
        <v>0</v>
      </c>
      <c r="V109" s="2">
        <v>0</v>
      </c>
      <c r="W109" s="2">
        <v>0</v>
      </c>
      <c r="X109" s="30" t="s">
        <v>148</v>
      </c>
    </row>
    <row r="110" spans="1:24">
      <c r="A110" s="5" t="s">
        <v>370</v>
      </c>
      <c r="B110" s="2" t="s">
        <v>371</v>
      </c>
      <c r="C110" s="26">
        <v>45661</v>
      </c>
      <c r="D110" s="2" t="s">
        <v>131</v>
      </c>
      <c r="E110" s="2" t="s">
        <v>144</v>
      </c>
      <c r="F110" s="2" t="s">
        <v>151</v>
      </c>
      <c r="G110" s="2" t="s">
        <v>134</v>
      </c>
      <c r="H110" s="2">
        <v>240</v>
      </c>
      <c r="I110" s="2">
        <v>1024900</v>
      </c>
      <c r="J110" s="2">
        <v>18.97</v>
      </c>
      <c r="K110" s="2">
        <v>16586</v>
      </c>
      <c r="L110" s="2">
        <v>1655531</v>
      </c>
      <c r="M110" s="2">
        <v>647</v>
      </c>
      <c r="N110" s="2" t="s">
        <v>147</v>
      </c>
      <c r="O110" s="2">
        <v>0.48</v>
      </c>
      <c r="P110" s="2">
        <v>0.75</v>
      </c>
      <c r="Q110" s="2">
        <v>0</v>
      </c>
      <c r="R110" s="2">
        <v>11</v>
      </c>
      <c r="S110" s="2">
        <v>182176</v>
      </c>
      <c r="T110" s="2">
        <v>914013</v>
      </c>
      <c r="U110" s="2">
        <v>5</v>
      </c>
      <c r="V110" s="2">
        <v>0</v>
      </c>
      <c r="W110" s="2">
        <v>0</v>
      </c>
      <c r="X110" s="30" t="s">
        <v>148</v>
      </c>
    </row>
    <row r="111" spans="1:24">
      <c r="A111" s="5" t="s">
        <v>372</v>
      </c>
      <c r="B111" s="2" t="s">
        <v>373</v>
      </c>
      <c r="C111" s="26">
        <v>45744</v>
      </c>
      <c r="D111" s="2" t="s">
        <v>131</v>
      </c>
      <c r="E111" s="2" t="s">
        <v>132</v>
      </c>
      <c r="F111" s="2" t="s">
        <v>145</v>
      </c>
      <c r="G111" s="2" t="s">
        <v>134</v>
      </c>
      <c r="H111" s="2">
        <v>36</v>
      </c>
      <c r="I111" s="2">
        <v>825200</v>
      </c>
      <c r="J111" s="2">
        <v>16.29</v>
      </c>
      <c r="K111" s="2">
        <v>29130</v>
      </c>
      <c r="L111" s="2">
        <v>887461</v>
      </c>
      <c r="M111" s="2">
        <v>707</v>
      </c>
      <c r="N111" s="2" t="s">
        <v>135</v>
      </c>
      <c r="O111" s="2">
        <v>0.48</v>
      </c>
      <c r="P111" s="2">
        <v>0.56000000000000005</v>
      </c>
      <c r="Q111" s="2">
        <v>0</v>
      </c>
      <c r="R111" s="2">
        <v>9</v>
      </c>
      <c r="S111" s="2">
        <v>245651</v>
      </c>
      <c r="T111" s="2">
        <v>619877</v>
      </c>
      <c r="U111" s="2">
        <v>0</v>
      </c>
      <c r="V111" s="2">
        <v>0</v>
      </c>
      <c r="W111" s="2">
        <v>0</v>
      </c>
      <c r="X111" s="30" t="s">
        <v>148</v>
      </c>
    </row>
    <row r="112" spans="1:24">
      <c r="A112" s="5" t="s">
        <v>374</v>
      </c>
      <c r="B112" s="2" t="s">
        <v>375</v>
      </c>
      <c r="C112" s="26">
        <v>45666</v>
      </c>
      <c r="D112" s="2" t="s">
        <v>158</v>
      </c>
      <c r="E112" s="2" t="s">
        <v>132</v>
      </c>
      <c r="F112" s="2" t="s">
        <v>145</v>
      </c>
      <c r="G112" s="2" t="s">
        <v>134</v>
      </c>
      <c r="H112" s="2">
        <v>18</v>
      </c>
      <c r="I112" s="2">
        <v>203700</v>
      </c>
      <c r="J112" s="2">
        <v>12.13</v>
      </c>
      <c r="K112" s="2">
        <v>12434</v>
      </c>
      <c r="L112" s="2">
        <v>987120</v>
      </c>
      <c r="M112" s="2">
        <v>735</v>
      </c>
      <c r="N112" s="2" t="s">
        <v>135</v>
      </c>
      <c r="O112" s="2">
        <v>0.48</v>
      </c>
      <c r="P112" s="2">
        <v>0.86</v>
      </c>
      <c r="Q112" s="2">
        <v>237900</v>
      </c>
      <c r="R112" s="2">
        <v>11</v>
      </c>
      <c r="S112" s="2">
        <v>131911</v>
      </c>
      <c r="T112" s="2">
        <v>80849</v>
      </c>
      <c r="U112" s="2">
        <v>0</v>
      </c>
      <c r="V112" s="2">
        <v>0</v>
      </c>
      <c r="W112" s="2">
        <v>0</v>
      </c>
      <c r="X112" s="30" t="s">
        <v>148</v>
      </c>
    </row>
    <row r="113" spans="1:24">
      <c r="A113" s="5" t="s">
        <v>376</v>
      </c>
      <c r="B113" s="2" t="s">
        <v>377</v>
      </c>
      <c r="C113" s="26">
        <v>45707</v>
      </c>
      <c r="D113" s="2" t="s">
        <v>131</v>
      </c>
      <c r="E113" s="2" t="s">
        <v>132</v>
      </c>
      <c r="F113" s="2" t="s">
        <v>139</v>
      </c>
      <c r="G113" s="2" t="s">
        <v>192</v>
      </c>
      <c r="H113" s="2">
        <v>84</v>
      </c>
      <c r="I113" s="2">
        <v>393500</v>
      </c>
      <c r="J113" s="2">
        <v>18.579999999999998</v>
      </c>
      <c r="K113" s="2">
        <v>8405</v>
      </c>
      <c r="L113" s="2">
        <v>840657</v>
      </c>
      <c r="M113" s="2">
        <v>686</v>
      </c>
      <c r="N113" s="2" t="s">
        <v>140</v>
      </c>
      <c r="O113" s="2">
        <v>0.4</v>
      </c>
      <c r="P113" s="2">
        <v>0.99</v>
      </c>
      <c r="Q113" s="2">
        <v>0</v>
      </c>
      <c r="R113" s="2">
        <v>10</v>
      </c>
      <c r="S113" s="2">
        <v>83922</v>
      </c>
      <c r="T113" s="2">
        <v>333949</v>
      </c>
      <c r="U113" s="2">
        <v>0</v>
      </c>
      <c r="V113" s="2">
        <v>0</v>
      </c>
      <c r="W113" s="2">
        <v>0</v>
      </c>
      <c r="X113" s="30" t="s">
        <v>148</v>
      </c>
    </row>
    <row r="114" spans="1:24">
      <c r="A114" s="5" t="s">
        <v>378</v>
      </c>
      <c r="B114" s="2" t="s">
        <v>379</v>
      </c>
      <c r="C114" s="26">
        <v>45668</v>
      </c>
      <c r="D114" s="2" t="s">
        <v>131</v>
      </c>
      <c r="E114" s="2" t="s">
        <v>132</v>
      </c>
      <c r="F114" s="2" t="s">
        <v>139</v>
      </c>
      <c r="G114" s="2" t="s">
        <v>134</v>
      </c>
      <c r="H114" s="2">
        <v>36</v>
      </c>
      <c r="I114" s="2">
        <v>803400</v>
      </c>
      <c r="J114" s="2">
        <v>17.649999999999999</v>
      </c>
      <c r="K114" s="2">
        <v>28904</v>
      </c>
      <c r="L114" s="2">
        <v>1351475</v>
      </c>
      <c r="M114" s="2">
        <v>696</v>
      </c>
      <c r="N114" s="2" t="s">
        <v>140</v>
      </c>
      <c r="O114" s="2">
        <v>0.4</v>
      </c>
      <c r="P114" s="2">
        <v>0.81</v>
      </c>
      <c r="Q114" s="2">
        <v>0</v>
      </c>
      <c r="R114" s="2">
        <v>11</v>
      </c>
      <c r="S114" s="2">
        <v>315054</v>
      </c>
      <c r="T114" s="2">
        <v>540339</v>
      </c>
      <c r="U114" s="2">
        <v>0</v>
      </c>
      <c r="V114" s="2">
        <v>0</v>
      </c>
      <c r="W114" s="2">
        <v>0</v>
      </c>
      <c r="X114" s="30" t="s">
        <v>148</v>
      </c>
    </row>
    <row r="115" spans="1:24">
      <c r="A115" s="5" t="s">
        <v>380</v>
      </c>
      <c r="B115" s="2" t="s">
        <v>381</v>
      </c>
      <c r="C115" s="26">
        <v>45726</v>
      </c>
      <c r="D115" s="2" t="s">
        <v>131</v>
      </c>
      <c r="E115" s="2" t="s">
        <v>144</v>
      </c>
      <c r="F115" s="2" t="s">
        <v>151</v>
      </c>
      <c r="G115" s="2" t="s">
        <v>134</v>
      </c>
      <c r="H115" s="2">
        <v>120</v>
      </c>
      <c r="I115" s="2">
        <v>739400</v>
      </c>
      <c r="J115" s="2">
        <v>18.05</v>
      </c>
      <c r="K115" s="2">
        <v>13347</v>
      </c>
      <c r="L115" s="2">
        <v>1100285</v>
      </c>
      <c r="M115" s="2">
        <v>698</v>
      </c>
      <c r="N115" s="2" t="s">
        <v>140</v>
      </c>
      <c r="O115" s="2">
        <v>0.39</v>
      </c>
      <c r="P115" s="2">
        <v>0.84</v>
      </c>
      <c r="Q115" s="2">
        <v>0</v>
      </c>
      <c r="R115" s="2">
        <v>9</v>
      </c>
      <c r="S115" s="2">
        <v>114125</v>
      </c>
      <c r="T115" s="2">
        <v>665314</v>
      </c>
      <c r="U115" s="2">
        <v>0</v>
      </c>
      <c r="V115" s="2">
        <v>1</v>
      </c>
      <c r="W115" s="2">
        <v>0</v>
      </c>
      <c r="X115" s="30" t="s">
        <v>141</v>
      </c>
    </row>
    <row r="116" spans="1:24">
      <c r="A116" s="5" t="s">
        <v>382</v>
      </c>
      <c r="B116" s="2" t="s">
        <v>383</v>
      </c>
      <c r="C116" s="26">
        <v>45738</v>
      </c>
      <c r="D116" s="2" t="s">
        <v>131</v>
      </c>
      <c r="E116" s="2" t="s">
        <v>144</v>
      </c>
      <c r="F116" s="2" t="s">
        <v>133</v>
      </c>
      <c r="G116" s="2" t="s">
        <v>134</v>
      </c>
      <c r="H116" s="2">
        <v>60</v>
      </c>
      <c r="I116" s="2">
        <v>200000</v>
      </c>
      <c r="J116" s="2">
        <v>17.489999999999998</v>
      </c>
      <c r="K116" s="2">
        <v>5023</v>
      </c>
      <c r="L116" s="2">
        <v>150000</v>
      </c>
      <c r="M116" s="2">
        <v>711</v>
      </c>
      <c r="N116" s="2" t="s">
        <v>135</v>
      </c>
      <c r="O116" s="2">
        <v>0.39</v>
      </c>
      <c r="P116" s="2">
        <v>0.86</v>
      </c>
      <c r="Q116" s="2">
        <v>0</v>
      </c>
      <c r="R116" s="2">
        <v>9</v>
      </c>
      <c r="S116" s="2">
        <v>39576</v>
      </c>
      <c r="T116" s="2">
        <v>170918</v>
      </c>
      <c r="U116" s="2">
        <v>0</v>
      </c>
      <c r="V116" s="2">
        <v>0</v>
      </c>
      <c r="W116" s="2">
        <v>0</v>
      </c>
      <c r="X116" s="30" t="s">
        <v>148</v>
      </c>
    </row>
    <row r="117" spans="1:24">
      <c r="A117" s="5" t="s">
        <v>384</v>
      </c>
      <c r="B117" s="2" t="s">
        <v>385</v>
      </c>
      <c r="C117" s="26">
        <v>45716</v>
      </c>
      <c r="D117" s="2" t="s">
        <v>131</v>
      </c>
      <c r="E117" s="2" t="s">
        <v>144</v>
      </c>
      <c r="F117" s="2" t="s">
        <v>133</v>
      </c>
      <c r="G117" s="2" t="s">
        <v>134</v>
      </c>
      <c r="H117" s="2">
        <v>360</v>
      </c>
      <c r="I117" s="2">
        <v>400300</v>
      </c>
      <c r="J117" s="2">
        <v>24.67</v>
      </c>
      <c r="K117" s="2">
        <v>8235</v>
      </c>
      <c r="L117" s="2">
        <v>737670</v>
      </c>
      <c r="M117" s="2">
        <v>553</v>
      </c>
      <c r="N117" s="2" t="s">
        <v>166</v>
      </c>
      <c r="O117" s="2">
        <v>0.38</v>
      </c>
      <c r="P117" s="2">
        <v>0.71</v>
      </c>
      <c r="Q117" s="2">
        <v>0</v>
      </c>
      <c r="R117" s="2">
        <v>10</v>
      </c>
      <c r="S117" s="2">
        <v>79939</v>
      </c>
      <c r="T117" s="2">
        <v>353279</v>
      </c>
      <c r="U117" s="2">
        <v>15</v>
      </c>
      <c r="V117" s="2">
        <v>0</v>
      </c>
      <c r="W117" s="2">
        <v>0</v>
      </c>
      <c r="X117" s="30" t="s">
        <v>148</v>
      </c>
    </row>
    <row r="118" spans="1:24">
      <c r="A118" s="5" t="s">
        <v>386</v>
      </c>
      <c r="B118" s="2" t="s">
        <v>387</v>
      </c>
      <c r="C118" s="26">
        <v>45682</v>
      </c>
      <c r="D118" s="2" t="s">
        <v>131</v>
      </c>
      <c r="E118" s="2" t="s">
        <v>132</v>
      </c>
      <c r="F118" s="2" t="s">
        <v>151</v>
      </c>
      <c r="G118" s="2" t="s">
        <v>134</v>
      </c>
      <c r="H118" s="2">
        <v>24</v>
      </c>
      <c r="I118" s="2">
        <v>478500</v>
      </c>
      <c r="J118" s="2">
        <v>17.920000000000002</v>
      </c>
      <c r="K118" s="2">
        <v>23870</v>
      </c>
      <c r="L118" s="2">
        <v>588573</v>
      </c>
      <c r="M118" s="2">
        <v>701</v>
      </c>
      <c r="N118" s="2" t="s">
        <v>135</v>
      </c>
      <c r="O118" s="2">
        <v>0.37</v>
      </c>
      <c r="P118" s="2">
        <v>0.99</v>
      </c>
      <c r="Q118" s="2">
        <v>0</v>
      </c>
      <c r="R118" s="2">
        <v>11</v>
      </c>
      <c r="S118" s="2">
        <v>232528</v>
      </c>
      <c r="T118" s="2">
        <v>277413</v>
      </c>
      <c r="U118" s="2">
        <v>0</v>
      </c>
      <c r="V118" s="2">
        <v>0</v>
      </c>
      <c r="W118" s="2">
        <v>0</v>
      </c>
      <c r="X118" s="30" t="s">
        <v>148</v>
      </c>
    </row>
    <row r="119" spans="1:24">
      <c r="A119" s="5" t="s">
        <v>388</v>
      </c>
      <c r="B119" s="2" t="s">
        <v>389</v>
      </c>
      <c r="C119" s="26">
        <v>45698</v>
      </c>
      <c r="D119" s="2" t="s">
        <v>163</v>
      </c>
      <c r="E119" s="2" t="s">
        <v>132</v>
      </c>
      <c r="F119" s="2" t="s">
        <v>133</v>
      </c>
      <c r="G119" s="2" t="s">
        <v>152</v>
      </c>
      <c r="H119" s="2">
        <v>36</v>
      </c>
      <c r="I119" s="2">
        <v>914700</v>
      </c>
      <c r="J119" s="2">
        <v>12.46</v>
      </c>
      <c r="K119" s="2">
        <v>30582</v>
      </c>
      <c r="L119" s="2">
        <v>614461</v>
      </c>
      <c r="M119" s="2">
        <v>689</v>
      </c>
      <c r="N119" s="2" t="s">
        <v>140</v>
      </c>
      <c r="O119" s="2">
        <v>0.36</v>
      </c>
      <c r="P119" s="2">
        <v>0.4</v>
      </c>
      <c r="Q119" s="2">
        <v>2284400</v>
      </c>
      <c r="R119" s="2">
        <v>10</v>
      </c>
      <c r="S119" s="2">
        <v>273189</v>
      </c>
      <c r="T119" s="2">
        <v>679502</v>
      </c>
      <c r="U119" s="2">
        <v>10</v>
      </c>
      <c r="V119" s="2">
        <v>0</v>
      </c>
      <c r="W119" s="2">
        <v>0</v>
      </c>
      <c r="X119" s="30" t="s">
        <v>148</v>
      </c>
    </row>
    <row r="120" spans="1:24">
      <c r="A120" s="5" t="s">
        <v>390</v>
      </c>
      <c r="B120" s="2" t="s">
        <v>391</v>
      </c>
      <c r="C120" s="26">
        <v>45680</v>
      </c>
      <c r="D120" s="2" t="s">
        <v>163</v>
      </c>
      <c r="E120" s="2" t="s">
        <v>132</v>
      </c>
      <c r="F120" s="2" t="s">
        <v>139</v>
      </c>
      <c r="G120" s="2" t="s">
        <v>134</v>
      </c>
      <c r="H120" s="2">
        <v>48</v>
      </c>
      <c r="I120" s="2">
        <v>542200</v>
      </c>
      <c r="J120" s="2">
        <v>15.1</v>
      </c>
      <c r="K120" s="2">
        <v>15117</v>
      </c>
      <c r="L120" s="2">
        <v>694929</v>
      </c>
      <c r="M120" s="2">
        <v>640</v>
      </c>
      <c r="N120" s="2" t="s">
        <v>147</v>
      </c>
      <c r="O120" s="2">
        <v>0.36</v>
      </c>
      <c r="P120" s="2">
        <v>0.67</v>
      </c>
      <c r="Q120" s="2">
        <v>812600</v>
      </c>
      <c r="R120" s="2">
        <v>11</v>
      </c>
      <c r="S120" s="2">
        <v>148943</v>
      </c>
      <c r="T120" s="2">
        <v>423277</v>
      </c>
      <c r="U120" s="2">
        <v>0</v>
      </c>
      <c r="V120" s="2">
        <v>0</v>
      </c>
      <c r="W120" s="2">
        <v>0</v>
      </c>
      <c r="X120" s="30" t="s">
        <v>148</v>
      </c>
    </row>
    <row r="121" spans="1:24">
      <c r="A121" s="5" t="s">
        <v>392</v>
      </c>
      <c r="B121" s="2" t="s">
        <v>393</v>
      </c>
      <c r="C121" s="26">
        <v>45673</v>
      </c>
      <c r="D121" s="2" t="s">
        <v>163</v>
      </c>
      <c r="E121" s="2" t="s">
        <v>144</v>
      </c>
      <c r="F121" s="2" t="s">
        <v>170</v>
      </c>
      <c r="G121" s="2" t="s">
        <v>134</v>
      </c>
      <c r="H121" s="2">
        <v>120</v>
      </c>
      <c r="I121" s="2">
        <v>998600</v>
      </c>
      <c r="J121" s="2">
        <v>16.87</v>
      </c>
      <c r="K121" s="2">
        <v>17273</v>
      </c>
      <c r="L121" s="2">
        <v>949409</v>
      </c>
      <c r="M121" s="2">
        <v>601</v>
      </c>
      <c r="N121" s="2" t="s">
        <v>147</v>
      </c>
      <c r="O121" s="2">
        <v>0.35</v>
      </c>
      <c r="P121" s="2">
        <v>0.79</v>
      </c>
      <c r="Q121" s="2">
        <v>1264100</v>
      </c>
      <c r="R121" s="2">
        <v>11</v>
      </c>
      <c r="S121" s="2">
        <v>162902</v>
      </c>
      <c r="T121" s="2">
        <v>897468</v>
      </c>
      <c r="U121" s="2">
        <v>0</v>
      </c>
      <c r="V121" s="2">
        <v>0</v>
      </c>
      <c r="W121" s="2">
        <v>0</v>
      </c>
      <c r="X121" s="30" t="s">
        <v>148</v>
      </c>
    </row>
    <row r="122" spans="1:24">
      <c r="A122" s="5" t="s">
        <v>394</v>
      </c>
      <c r="B122" s="2" t="s">
        <v>395</v>
      </c>
      <c r="C122" s="26">
        <v>45663</v>
      </c>
      <c r="D122" s="2" t="s">
        <v>131</v>
      </c>
      <c r="E122" s="2" t="s">
        <v>132</v>
      </c>
      <c r="F122" s="2" t="s">
        <v>170</v>
      </c>
      <c r="G122" s="2" t="s">
        <v>134</v>
      </c>
      <c r="H122" s="2">
        <v>48</v>
      </c>
      <c r="I122" s="2">
        <v>556500</v>
      </c>
      <c r="J122" s="2">
        <v>18.32</v>
      </c>
      <c r="K122" s="2">
        <v>16440</v>
      </c>
      <c r="L122" s="2">
        <v>1326204</v>
      </c>
      <c r="M122" s="2">
        <v>673</v>
      </c>
      <c r="N122" s="2" t="s">
        <v>140</v>
      </c>
      <c r="O122" s="2">
        <v>0.34</v>
      </c>
      <c r="P122" s="2">
        <v>0.93</v>
      </c>
      <c r="Q122" s="2">
        <v>0</v>
      </c>
      <c r="R122" s="2">
        <v>11</v>
      </c>
      <c r="S122" s="2">
        <v>154689</v>
      </c>
      <c r="T122" s="2">
        <v>439193</v>
      </c>
      <c r="U122" s="2">
        <v>0</v>
      </c>
      <c r="V122" s="2">
        <v>0</v>
      </c>
      <c r="W122" s="2">
        <v>0</v>
      </c>
      <c r="X122" s="30" t="s">
        <v>148</v>
      </c>
    </row>
    <row r="123" spans="1:24">
      <c r="A123" s="5" t="s">
        <v>396</v>
      </c>
      <c r="B123" s="2" t="s">
        <v>397</v>
      </c>
      <c r="C123" s="26">
        <v>45694</v>
      </c>
      <c r="D123" s="2" t="s">
        <v>169</v>
      </c>
      <c r="E123" s="2" t="s">
        <v>144</v>
      </c>
      <c r="F123" s="2" t="s">
        <v>139</v>
      </c>
      <c r="G123" s="2" t="s">
        <v>134</v>
      </c>
      <c r="H123" s="2">
        <v>72</v>
      </c>
      <c r="I123" s="2">
        <v>3397700</v>
      </c>
      <c r="J123" s="2">
        <v>12.15</v>
      </c>
      <c r="K123" s="2">
        <v>66691</v>
      </c>
      <c r="L123" s="2">
        <v>944158</v>
      </c>
      <c r="M123" s="2">
        <v>656</v>
      </c>
      <c r="N123" s="2" t="s">
        <v>140</v>
      </c>
      <c r="O123" s="2">
        <v>0.32</v>
      </c>
      <c r="P123" s="2">
        <v>0.69</v>
      </c>
      <c r="Q123" s="2">
        <v>4903900</v>
      </c>
      <c r="R123" s="2">
        <v>10</v>
      </c>
      <c r="S123" s="2">
        <v>618775</v>
      </c>
      <c r="T123" s="2">
        <v>2916532</v>
      </c>
      <c r="U123" s="2">
        <v>90</v>
      </c>
      <c r="V123" s="2">
        <v>0</v>
      </c>
      <c r="W123" s="2">
        <v>1</v>
      </c>
      <c r="X123" s="30" t="s">
        <v>153</v>
      </c>
    </row>
    <row r="124" spans="1:24">
      <c r="A124" s="5" t="s">
        <v>398</v>
      </c>
      <c r="B124" s="2" t="s">
        <v>399</v>
      </c>
      <c r="C124" s="26">
        <v>45709</v>
      </c>
      <c r="D124" s="2" t="s">
        <v>158</v>
      </c>
      <c r="E124" s="2" t="s">
        <v>144</v>
      </c>
      <c r="F124" s="2" t="s">
        <v>133</v>
      </c>
      <c r="G124" s="2" t="s">
        <v>134</v>
      </c>
      <c r="H124" s="2">
        <v>84</v>
      </c>
      <c r="I124" s="2">
        <v>2391900</v>
      </c>
      <c r="J124" s="2">
        <v>15.11</v>
      </c>
      <c r="K124" s="2">
        <v>46304</v>
      </c>
      <c r="L124" s="2">
        <v>560710</v>
      </c>
      <c r="M124" s="2">
        <v>675</v>
      </c>
      <c r="N124" s="2" t="s">
        <v>140</v>
      </c>
      <c r="O124" s="2">
        <v>0.31</v>
      </c>
      <c r="P124" s="2">
        <v>0.78</v>
      </c>
      <c r="Q124" s="2">
        <v>3078100</v>
      </c>
      <c r="R124" s="2">
        <v>10</v>
      </c>
      <c r="S124" s="2">
        <v>456900</v>
      </c>
      <c r="T124" s="2">
        <v>2055472</v>
      </c>
      <c r="U124" s="2">
        <v>10</v>
      </c>
      <c r="V124" s="2">
        <v>0</v>
      </c>
      <c r="W124" s="2">
        <v>0</v>
      </c>
      <c r="X124" s="30" t="s">
        <v>148</v>
      </c>
    </row>
    <row r="125" spans="1:24">
      <c r="A125" s="5" t="s">
        <v>400</v>
      </c>
      <c r="B125" s="2" t="s">
        <v>401</v>
      </c>
      <c r="C125" s="26">
        <v>45696</v>
      </c>
      <c r="D125" s="2" t="s">
        <v>158</v>
      </c>
      <c r="E125" s="2" t="s">
        <v>132</v>
      </c>
      <c r="F125" s="2" t="s">
        <v>145</v>
      </c>
      <c r="G125" s="2" t="s">
        <v>146</v>
      </c>
      <c r="H125" s="2">
        <v>48</v>
      </c>
      <c r="I125" s="2">
        <v>1878500</v>
      </c>
      <c r="J125" s="2">
        <v>15.52</v>
      </c>
      <c r="K125" s="2">
        <v>52777</v>
      </c>
      <c r="L125" s="2">
        <v>950971</v>
      </c>
      <c r="M125" s="2">
        <v>677</v>
      </c>
      <c r="N125" s="2" t="s">
        <v>140</v>
      </c>
      <c r="O125" s="2">
        <v>0.3</v>
      </c>
      <c r="P125" s="2">
        <v>0.53</v>
      </c>
      <c r="Q125" s="2">
        <v>3565300</v>
      </c>
      <c r="R125" s="2">
        <v>10</v>
      </c>
      <c r="S125" s="2">
        <v>512170</v>
      </c>
      <c r="T125" s="2">
        <v>1463511</v>
      </c>
      <c r="U125" s="2">
        <v>0</v>
      </c>
      <c r="V125" s="2">
        <v>0</v>
      </c>
      <c r="W125" s="2">
        <v>0</v>
      </c>
      <c r="X125" s="30" t="s">
        <v>148</v>
      </c>
    </row>
    <row r="126" spans="1:24">
      <c r="A126" s="5" t="s">
        <v>402</v>
      </c>
      <c r="B126" s="2" t="s">
        <v>403</v>
      </c>
      <c r="C126" s="26">
        <v>45676</v>
      </c>
      <c r="D126" s="2" t="s">
        <v>158</v>
      </c>
      <c r="E126" s="2" t="s">
        <v>213</v>
      </c>
      <c r="F126" s="2" t="s">
        <v>170</v>
      </c>
      <c r="G126" s="2" t="s">
        <v>152</v>
      </c>
      <c r="H126" s="2">
        <v>360</v>
      </c>
      <c r="I126" s="2">
        <v>1553000</v>
      </c>
      <c r="J126" s="2">
        <v>18.27</v>
      </c>
      <c r="K126" s="2">
        <v>23748</v>
      </c>
      <c r="L126" s="2">
        <v>1123566</v>
      </c>
      <c r="M126" s="2">
        <v>648</v>
      </c>
      <c r="N126" s="2" t="s">
        <v>147</v>
      </c>
      <c r="O126" s="2">
        <v>0.3</v>
      </c>
      <c r="P126" s="2">
        <v>0.51</v>
      </c>
      <c r="Q126" s="2">
        <v>3020600</v>
      </c>
      <c r="R126" s="2">
        <v>11</v>
      </c>
      <c r="S126" s="2">
        <v>252592</v>
      </c>
      <c r="T126" s="2">
        <v>1404443</v>
      </c>
      <c r="U126" s="2">
        <v>0</v>
      </c>
      <c r="V126" s="2">
        <v>0</v>
      </c>
      <c r="W126" s="2">
        <v>0</v>
      </c>
      <c r="X126" s="30" t="s">
        <v>148</v>
      </c>
    </row>
    <row r="127" spans="1:24">
      <c r="A127" s="5" t="s">
        <v>404</v>
      </c>
      <c r="B127" s="2" t="s">
        <v>405</v>
      </c>
      <c r="C127" s="26">
        <v>45678</v>
      </c>
      <c r="D127" s="2" t="s">
        <v>169</v>
      </c>
      <c r="E127" s="2" t="s">
        <v>144</v>
      </c>
      <c r="F127" s="2" t="s">
        <v>145</v>
      </c>
      <c r="G127" s="2" t="s">
        <v>134</v>
      </c>
      <c r="H127" s="2">
        <v>24</v>
      </c>
      <c r="I127" s="2">
        <v>4096400</v>
      </c>
      <c r="J127" s="2">
        <v>10.25</v>
      </c>
      <c r="K127" s="2">
        <v>189501</v>
      </c>
      <c r="L127" s="2">
        <v>1342806</v>
      </c>
      <c r="M127" s="2">
        <v>693</v>
      </c>
      <c r="N127" s="2" t="s">
        <v>140</v>
      </c>
      <c r="O127" s="2">
        <v>0.28000000000000003</v>
      </c>
      <c r="P127" s="2">
        <v>0.46</v>
      </c>
      <c r="Q127" s="2">
        <v>8916300</v>
      </c>
      <c r="R127" s="2">
        <v>11</v>
      </c>
      <c r="S127" s="2">
        <v>2019365</v>
      </c>
      <c r="T127" s="2">
        <v>2230991</v>
      </c>
      <c r="U127" s="2">
        <v>30</v>
      </c>
      <c r="V127" s="2">
        <v>0</v>
      </c>
      <c r="W127" s="2">
        <v>0</v>
      </c>
      <c r="X127" s="30" t="s">
        <v>136</v>
      </c>
    </row>
    <row r="128" spans="1:24">
      <c r="A128" s="5" t="s">
        <v>406</v>
      </c>
      <c r="B128" s="2" t="s">
        <v>407</v>
      </c>
      <c r="C128" s="26">
        <v>45719</v>
      </c>
      <c r="D128" s="2" t="s">
        <v>163</v>
      </c>
      <c r="E128" s="2" t="s">
        <v>132</v>
      </c>
      <c r="F128" s="2" t="s">
        <v>170</v>
      </c>
      <c r="G128" s="2" t="s">
        <v>152</v>
      </c>
      <c r="H128" s="2">
        <v>360</v>
      </c>
      <c r="I128" s="2">
        <v>1393100</v>
      </c>
      <c r="J128" s="2">
        <v>9.91</v>
      </c>
      <c r="K128" s="2">
        <v>12133</v>
      </c>
      <c r="L128" s="2">
        <v>778416</v>
      </c>
      <c r="M128" s="2">
        <v>726</v>
      </c>
      <c r="N128" s="2" t="s">
        <v>135</v>
      </c>
      <c r="O128" s="2">
        <v>0.27</v>
      </c>
      <c r="P128" s="2">
        <v>0.81</v>
      </c>
      <c r="Q128" s="2">
        <v>1721300</v>
      </c>
      <c r="R128" s="2">
        <v>9</v>
      </c>
      <c r="S128" s="2">
        <v>96809</v>
      </c>
      <c r="T128" s="2">
        <v>1337708</v>
      </c>
      <c r="U128" s="2">
        <v>0</v>
      </c>
      <c r="V128" s="2">
        <v>0</v>
      </c>
      <c r="W128" s="2">
        <v>0</v>
      </c>
      <c r="X128" s="30" t="s">
        <v>148</v>
      </c>
    </row>
    <row r="129" spans="1:24">
      <c r="A129" s="5" t="s">
        <v>408</v>
      </c>
      <c r="B129" s="2" t="s">
        <v>409</v>
      </c>
      <c r="C129" s="26">
        <v>45673</v>
      </c>
      <c r="D129" s="2" t="s">
        <v>131</v>
      </c>
      <c r="E129" s="2" t="s">
        <v>144</v>
      </c>
      <c r="F129" s="2" t="s">
        <v>151</v>
      </c>
      <c r="G129" s="2" t="s">
        <v>152</v>
      </c>
      <c r="H129" s="2">
        <v>36</v>
      </c>
      <c r="I129" s="2">
        <v>600600</v>
      </c>
      <c r="J129" s="2">
        <v>17.27</v>
      </c>
      <c r="K129" s="2">
        <v>21494</v>
      </c>
      <c r="L129" s="2">
        <v>899608</v>
      </c>
      <c r="M129" s="2">
        <v>698</v>
      </c>
      <c r="N129" s="2" t="s">
        <v>140</v>
      </c>
      <c r="O129" s="2">
        <v>0.26</v>
      </c>
      <c r="P129" s="2">
        <v>0.84</v>
      </c>
      <c r="Q129" s="2">
        <v>0</v>
      </c>
      <c r="R129" s="2">
        <v>11</v>
      </c>
      <c r="S129" s="2">
        <v>219141</v>
      </c>
      <c r="T129" s="2">
        <v>419491</v>
      </c>
      <c r="U129" s="2">
        <v>0</v>
      </c>
      <c r="V129" s="2">
        <v>0</v>
      </c>
      <c r="W129" s="2">
        <v>0</v>
      </c>
      <c r="X129" s="30" t="s">
        <v>148</v>
      </c>
    </row>
    <row r="130" spans="1:24">
      <c r="A130" s="5" t="s">
        <v>410</v>
      </c>
      <c r="B130" s="2" t="s">
        <v>411</v>
      </c>
      <c r="C130" s="26">
        <v>45708</v>
      </c>
      <c r="D130" s="2" t="s">
        <v>163</v>
      </c>
      <c r="E130" s="2" t="s">
        <v>144</v>
      </c>
      <c r="F130" s="2" t="s">
        <v>139</v>
      </c>
      <c r="G130" s="2" t="s">
        <v>134</v>
      </c>
      <c r="H130" s="2">
        <v>36</v>
      </c>
      <c r="I130" s="2">
        <v>552900</v>
      </c>
      <c r="J130" s="2">
        <v>8.4499999999999993</v>
      </c>
      <c r="K130" s="2">
        <v>17441</v>
      </c>
      <c r="L130" s="2">
        <v>1315150</v>
      </c>
      <c r="M130" s="2">
        <v>762</v>
      </c>
      <c r="N130" s="2" t="s">
        <v>160</v>
      </c>
      <c r="O130" s="2">
        <v>0.23</v>
      </c>
      <c r="P130" s="2">
        <v>1.02</v>
      </c>
      <c r="Q130" s="2">
        <v>544400</v>
      </c>
      <c r="R130" s="2">
        <v>10</v>
      </c>
      <c r="S130" s="2">
        <v>167791</v>
      </c>
      <c r="T130" s="2">
        <v>400682</v>
      </c>
      <c r="U130" s="2">
        <v>0</v>
      </c>
      <c r="V130" s="2">
        <v>0</v>
      </c>
      <c r="W130" s="2">
        <v>0</v>
      </c>
      <c r="X130" s="30" t="s">
        <v>148</v>
      </c>
    </row>
    <row r="131" spans="1:24">
      <c r="A131" s="5" t="s">
        <v>412</v>
      </c>
      <c r="B131" s="2" t="s">
        <v>413</v>
      </c>
      <c r="C131" s="26">
        <v>45676</v>
      </c>
      <c r="D131" s="2" t="s">
        <v>169</v>
      </c>
      <c r="E131" s="2" t="s">
        <v>144</v>
      </c>
      <c r="F131" s="2" t="s">
        <v>139</v>
      </c>
      <c r="G131" s="2" t="s">
        <v>134</v>
      </c>
      <c r="H131" s="2">
        <v>18</v>
      </c>
      <c r="I131" s="2">
        <v>5293100</v>
      </c>
      <c r="J131" s="2">
        <v>11.71</v>
      </c>
      <c r="K131" s="2">
        <v>322071</v>
      </c>
      <c r="L131" s="2">
        <v>899329</v>
      </c>
      <c r="M131" s="2">
        <v>685</v>
      </c>
      <c r="N131" s="2" t="s">
        <v>140</v>
      </c>
      <c r="O131" s="2">
        <v>0.23</v>
      </c>
      <c r="P131" s="2">
        <v>0.83</v>
      </c>
      <c r="Q131" s="2">
        <v>6347400</v>
      </c>
      <c r="R131" s="2">
        <v>11</v>
      </c>
      <c r="S131" s="2">
        <v>3266911</v>
      </c>
      <c r="T131" s="2">
        <v>2253457</v>
      </c>
      <c r="U131" s="2">
        <v>0</v>
      </c>
      <c r="V131" s="2">
        <v>0</v>
      </c>
      <c r="W131" s="2">
        <v>0</v>
      </c>
      <c r="X131" s="30" t="s">
        <v>148</v>
      </c>
    </row>
    <row r="132" spans="1:24">
      <c r="A132" s="5" t="s">
        <v>414</v>
      </c>
      <c r="B132" s="2" t="s">
        <v>415</v>
      </c>
      <c r="C132" s="26">
        <v>45705</v>
      </c>
      <c r="D132" s="2" t="s">
        <v>158</v>
      </c>
      <c r="E132" s="2" t="s">
        <v>213</v>
      </c>
      <c r="F132" s="2" t="s">
        <v>170</v>
      </c>
      <c r="G132" s="2" t="s">
        <v>146</v>
      </c>
      <c r="H132" s="2">
        <v>48</v>
      </c>
      <c r="I132" s="2">
        <v>2745700</v>
      </c>
      <c r="J132" s="2">
        <v>18.27</v>
      </c>
      <c r="K132" s="2">
        <v>81043</v>
      </c>
      <c r="L132" s="2">
        <v>931357</v>
      </c>
      <c r="M132" s="2">
        <v>624</v>
      </c>
      <c r="N132" s="2" t="s">
        <v>147</v>
      </c>
      <c r="O132" s="2">
        <v>0.22</v>
      </c>
      <c r="P132" s="2">
        <v>0.48</v>
      </c>
      <c r="Q132" s="2">
        <v>5724600</v>
      </c>
      <c r="R132" s="2">
        <v>10</v>
      </c>
      <c r="S132" s="2">
        <v>814925</v>
      </c>
      <c r="T132" s="2">
        <v>2097988</v>
      </c>
      <c r="U132" s="2">
        <v>0</v>
      </c>
      <c r="V132" s="2">
        <v>1</v>
      </c>
      <c r="W132" s="2">
        <v>0</v>
      </c>
      <c r="X132" s="30" t="s">
        <v>141</v>
      </c>
    </row>
    <row r="133" spans="1:24">
      <c r="A133" s="5" t="s">
        <v>416</v>
      </c>
      <c r="B133" s="2" t="s">
        <v>417</v>
      </c>
      <c r="C133" s="26">
        <v>45670</v>
      </c>
      <c r="D133" s="2" t="s">
        <v>131</v>
      </c>
      <c r="E133" s="2" t="s">
        <v>132</v>
      </c>
      <c r="F133" s="2" t="s">
        <v>145</v>
      </c>
      <c r="G133" s="2" t="s">
        <v>134</v>
      </c>
      <c r="H133" s="2">
        <v>120</v>
      </c>
      <c r="I133" s="2">
        <v>208700</v>
      </c>
      <c r="J133" s="2">
        <v>20.67</v>
      </c>
      <c r="K133" s="2">
        <v>4126</v>
      </c>
      <c r="L133" s="2">
        <v>1075380</v>
      </c>
      <c r="M133" s="2">
        <v>654</v>
      </c>
      <c r="N133" s="2" t="s">
        <v>140</v>
      </c>
      <c r="O133" s="2">
        <v>0.21</v>
      </c>
      <c r="P133" s="2">
        <v>0.84</v>
      </c>
      <c r="Q133" s="2">
        <v>0</v>
      </c>
      <c r="R133" s="2">
        <v>11</v>
      </c>
      <c r="S133" s="2">
        <v>39252</v>
      </c>
      <c r="T133" s="2">
        <v>185265</v>
      </c>
      <c r="U133" s="2">
        <v>0</v>
      </c>
      <c r="V133" s="2">
        <v>0</v>
      </c>
      <c r="W133" s="2">
        <v>0</v>
      </c>
      <c r="X133" s="30" t="s">
        <v>148</v>
      </c>
    </row>
    <row r="134" spans="1:24">
      <c r="A134" s="5" t="s">
        <v>418</v>
      </c>
      <c r="B134" s="2" t="s">
        <v>419</v>
      </c>
      <c r="C134" s="26">
        <v>45688</v>
      </c>
      <c r="D134" s="2" t="s">
        <v>163</v>
      </c>
      <c r="E134" s="2" t="s">
        <v>159</v>
      </c>
      <c r="F134" s="2" t="s">
        <v>133</v>
      </c>
      <c r="G134" s="2" t="s">
        <v>152</v>
      </c>
      <c r="H134" s="2">
        <v>36</v>
      </c>
      <c r="I134" s="2">
        <v>427100</v>
      </c>
      <c r="J134" s="2">
        <v>13.29</v>
      </c>
      <c r="K134" s="2">
        <v>14450</v>
      </c>
      <c r="L134" s="2">
        <v>236734</v>
      </c>
      <c r="M134" s="2">
        <v>652</v>
      </c>
      <c r="N134" s="2" t="s">
        <v>140</v>
      </c>
      <c r="O134" s="2">
        <v>0.17</v>
      </c>
      <c r="P134" s="2">
        <v>0.97</v>
      </c>
      <c r="Q134" s="2">
        <v>440200</v>
      </c>
      <c r="R134" s="2">
        <v>11</v>
      </c>
      <c r="S134" s="2">
        <v>158939</v>
      </c>
      <c r="T134" s="2">
        <v>288974</v>
      </c>
      <c r="U134" s="2">
        <v>30</v>
      </c>
      <c r="V134" s="2">
        <v>0</v>
      </c>
      <c r="W134" s="2">
        <v>0</v>
      </c>
      <c r="X134" s="30" t="s">
        <v>136</v>
      </c>
    </row>
    <row r="135" spans="1:24">
      <c r="A135" s="5" t="s">
        <v>420</v>
      </c>
      <c r="B135" s="2" t="s">
        <v>421</v>
      </c>
      <c r="C135" s="26">
        <v>45736</v>
      </c>
      <c r="D135" s="2" t="s">
        <v>163</v>
      </c>
      <c r="E135" s="2" t="s">
        <v>132</v>
      </c>
      <c r="F135" s="2" t="s">
        <v>145</v>
      </c>
      <c r="G135" s="2" t="s">
        <v>134</v>
      </c>
      <c r="H135" s="2">
        <v>60</v>
      </c>
      <c r="I135" s="2">
        <v>1566400</v>
      </c>
      <c r="J135" s="2">
        <v>10.58</v>
      </c>
      <c r="K135" s="2">
        <v>33730</v>
      </c>
      <c r="L135" s="2">
        <v>816134</v>
      </c>
      <c r="M135" s="2">
        <v>740</v>
      </c>
      <c r="N135" s="2" t="s">
        <v>135</v>
      </c>
      <c r="O135" s="2">
        <v>0.16</v>
      </c>
      <c r="P135" s="2">
        <v>0.6</v>
      </c>
      <c r="Q135" s="2">
        <v>2607300</v>
      </c>
      <c r="R135" s="2">
        <v>9</v>
      </c>
      <c r="S135" s="2">
        <v>289663</v>
      </c>
      <c r="T135" s="2">
        <v>1326455</v>
      </c>
      <c r="U135" s="2">
        <v>0</v>
      </c>
      <c r="V135" s="2">
        <v>0</v>
      </c>
      <c r="W135" s="2">
        <v>0</v>
      </c>
      <c r="X135" s="30" t="s">
        <v>148</v>
      </c>
    </row>
    <row r="136" spans="1:24">
      <c r="A136" s="5" t="s">
        <v>422</v>
      </c>
      <c r="B136" s="2" t="s">
        <v>423</v>
      </c>
      <c r="C136" s="26">
        <v>45691</v>
      </c>
      <c r="D136" s="2" t="s">
        <v>158</v>
      </c>
      <c r="E136" s="2" t="s">
        <v>144</v>
      </c>
      <c r="F136" s="2" t="s">
        <v>133</v>
      </c>
      <c r="G136" s="2" t="s">
        <v>152</v>
      </c>
      <c r="H136" s="2">
        <v>24</v>
      </c>
      <c r="I136" s="2">
        <v>3526000</v>
      </c>
      <c r="J136" s="2">
        <v>21.91</v>
      </c>
      <c r="K136" s="2">
        <v>182766</v>
      </c>
      <c r="L136" s="2">
        <v>756885</v>
      </c>
      <c r="M136" s="2">
        <v>591</v>
      </c>
      <c r="N136" s="2" t="s">
        <v>166</v>
      </c>
      <c r="O136" s="2">
        <v>0.13</v>
      </c>
      <c r="P136" s="2">
        <v>0.73</v>
      </c>
      <c r="Q136" s="2">
        <v>4834800</v>
      </c>
      <c r="R136" s="2">
        <v>10</v>
      </c>
      <c r="S136" s="2">
        <v>1658883</v>
      </c>
      <c r="T136" s="2">
        <v>2124633</v>
      </c>
      <c r="U136" s="2">
        <v>0</v>
      </c>
      <c r="V136" s="2">
        <v>0</v>
      </c>
      <c r="W136" s="2">
        <v>0</v>
      </c>
      <c r="X136" s="30" t="s">
        <v>148</v>
      </c>
    </row>
    <row r="137" spans="1:24">
      <c r="A137" s="5" t="s">
        <v>424</v>
      </c>
      <c r="B137" s="2" t="s">
        <v>425</v>
      </c>
      <c r="C137" s="26">
        <v>44707</v>
      </c>
      <c r="D137" s="2" t="s">
        <v>177</v>
      </c>
      <c r="E137" s="2" t="s">
        <v>213</v>
      </c>
      <c r="F137" s="2" t="s">
        <v>133</v>
      </c>
      <c r="G137" s="2" t="s">
        <v>134</v>
      </c>
      <c r="H137" s="2">
        <v>36</v>
      </c>
      <c r="I137" s="2">
        <v>1376700</v>
      </c>
      <c r="J137" s="2">
        <v>15.41</v>
      </c>
      <c r="K137" s="2">
        <v>48001</v>
      </c>
      <c r="L137" s="2">
        <v>1504596</v>
      </c>
      <c r="M137" s="2">
        <v>620</v>
      </c>
      <c r="N137" s="2" t="s">
        <v>147</v>
      </c>
      <c r="O137" s="2">
        <v>0.66</v>
      </c>
      <c r="P137" s="2">
        <v>0.62</v>
      </c>
      <c r="Q137" s="2">
        <v>0</v>
      </c>
      <c r="R137" s="2">
        <v>36</v>
      </c>
      <c r="S137" s="2">
        <v>1741964</v>
      </c>
      <c r="T137" s="2">
        <v>0</v>
      </c>
      <c r="U137" s="2">
        <v>0</v>
      </c>
      <c r="V137" s="2">
        <v>0</v>
      </c>
      <c r="W137" s="2">
        <v>0</v>
      </c>
      <c r="X137" s="30" t="s">
        <v>141</v>
      </c>
    </row>
    <row r="138" spans="1:24">
      <c r="A138" s="5" t="s">
        <v>426</v>
      </c>
      <c r="B138" s="2" t="s">
        <v>427</v>
      </c>
      <c r="C138" s="26">
        <v>44665</v>
      </c>
      <c r="D138" s="2" t="s">
        <v>163</v>
      </c>
      <c r="E138" s="2" t="s">
        <v>159</v>
      </c>
      <c r="F138" s="2" t="s">
        <v>139</v>
      </c>
      <c r="G138" s="2" t="s">
        <v>134</v>
      </c>
      <c r="H138" s="2">
        <v>60</v>
      </c>
      <c r="I138" s="2">
        <v>832800</v>
      </c>
      <c r="J138" s="2">
        <v>17.41</v>
      </c>
      <c r="K138" s="2">
        <v>20881</v>
      </c>
      <c r="L138" s="2">
        <v>629070</v>
      </c>
      <c r="M138" s="2">
        <v>586</v>
      </c>
      <c r="N138" s="2" t="s">
        <v>166</v>
      </c>
      <c r="O138" s="2">
        <v>0.56999999999999995</v>
      </c>
      <c r="P138" s="2">
        <v>0.64</v>
      </c>
      <c r="Q138" s="2">
        <v>1310500</v>
      </c>
      <c r="R138" s="2">
        <v>44</v>
      </c>
      <c r="S138" s="2">
        <v>815693</v>
      </c>
      <c r="T138" s="2">
        <v>229760</v>
      </c>
      <c r="U138" s="2">
        <v>0</v>
      </c>
      <c r="V138" s="2">
        <v>1</v>
      </c>
      <c r="W138" s="2">
        <v>0</v>
      </c>
      <c r="X138" s="30" t="s">
        <v>141</v>
      </c>
    </row>
    <row r="139" spans="1:24">
      <c r="A139" s="5" t="s">
        <v>428</v>
      </c>
      <c r="B139" s="2" t="s">
        <v>429</v>
      </c>
      <c r="C139" s="26">
        <v>44682</v>
      </c>
      <c r="D139" s="2" t="s">
        <v>131</v>
      </c>
      <c r="E139" s="2" t="s">
        <v>159</v>
      </c>
      <c r="F139" s="2" t="s">
        <v>145</v>
      </c>
      <c r="G139" s="2" t="s">
        <v>134</v>
      </c>
      <c r="H139" s="2">
        <v>24</v>
      </c>
      <c r="I139" s="2">
        <v>494500</v>
      </c>
      <c r="J139" s="2">
        <v>18.309999999999999</v>
      </c>
      <c r="K139" s="2">
        <v>24762</v>
      </c>
      <c r="L139" s="2">
        <v>570462</v>
      </c>
      <c r="M139" s="2">
        <v>690</v>
      </c>
      <c r="N139" s="2" t="s">
        <v>140</v>
      </c>
      <c r="O139" s="2">
        <v>0.52</v>
      </c>
      <c r="P139" s="2">
        <v>0.79</v>
      </c>
      <c r="Q139" s="2">
        <v>0</v>
      </c>
      <c r="R139" s="2">
        <v>24</v>
      </c>
      <c r="S139" s="2">
        <v>532141</v>
      </c>
      <c r="T139" s="2">
        <v>34793</v>
      </c>
      <c r="U139" s="2">
        <v>0</v>
      </c>
      <c r="V139" s="2">
        <v>0</v>
      </c>
      <c r="W139" s="2">
        <v>0</v>
      </c>
      <c r="X139" s="30" t="s">
        <v>141</v>
      </c>
    </row>
    <row r="140" spans="1:24">
      <c r="A140" s="5" t="s">
        <v>430</v>
      </c>
      <c r="B140" s="2" t="s">
        <v>431</v>
      </c>
      <c r="C140" s="26">
        <v>44657</v>
      </c>
      <c r="D140" s="2" t="s">
        <v>163</v>
      </c>
      <c r="E140" s="2" t="s">
        <v>144</v>
      </c>
      <c r="F140" s="2" t="s">
        <v>151</v>
      </c>
      <c r="G140" s="2" t="s">
        <v>134</v>
      </c>
      <c r="H140" s="2">
        <v>48</v>
      </c>
      <c r="I140" s="2">
        <v>1417500</v>
      </c>
      <c r="J140" s="2">
        <v>15.38</v>
      </c>
      <c r="K140" s="2">
        <v>39724</v>
      </c>
      <c r="L140" s="2">
        <v>1166752</v>
      </c>
      <c r="M140" s="2">
        <v>650</v>
      </c>
      <c r="N140" s="2" t="s">
        <v>140</v>
      </c>
      <c r="O140" s="2">
        <v>0.46</v>
      </c>
      <c r="P140" s="2">
        <v>0.84</v>
      </c>
      <c r="Q140" s="2">
        <v>1694000</v>
      </c>
      <c r="R140" s="2">
        <v>44</v>
      </c>
      <c r="S140" s="2">
        <v>1528866</v>
      </c>
      <c r="T140" s="2">
        <v>208384</v>
      </c>
      <c r="U140" s="2">
        <v>0</v>
      </c>
      <c r="V140" s="2">
        <v>0</v>
      </c>
      <c r="W140" s="2">
        <v>0</v>
      </c>
      <c r="X140" s="30" t="s">
        <v>148</v>
      </c>
    </row>
    <row r="141" spans="1:24">
      <c r="A141" s="5" t="s">
        <v>432</v>
      </c>
      <c r="B141" s="2" t="s">
        <v>433</v>
      </c>
      <c r="C141" s="26">
        <v>44679</v>
      </c>
      <c r="D141" s="2" t="s">
        <v>163</v>
      </c>
      <c r="E141" s="2" t="s">
        <v>144</v>
      </c>
      <c r="F141" s="2" t="s">
        <v>151</v>
      </c>
      <c r="G141" s="2" t="s">
        <v>134</v>
      </c>
      <c r="H141" s="2">
        <v>360</v>
      </c>
      <c r="I141" s="2">
        <v>1240600</v>
      </c>
      <c r="J141" s="2">
        <v>7</v>
      </c>
      <c r="K141" s="2">
        <v>8254</v>
      </c>
      <c r="L141" s="2">
        <v>600566</v>
      </c>
      <c r="M141" s="2">
        <v>850</v>
      </c>
      <c r="N141" s="2" t="s">
        <v>160</v>
      </c>
      <c r="O141" s="2">
        <v>0.44</v>
      </c>
      <c r="P141" s="2">
        <v>0.74</v>
      </c>
      <c r="Q141" s="2">
        <v>1673500</v>
      </c>
      <c r="R141" s="2">
        <v>44</v>
      </c>
      <c r="S141" s="2">
        <v>343347</v>
      </c>
      <c r="T141" s="2">
        <v>1024621</v>
      </c>
      <c r="U141" s="2">
        <v>0</v>
      </c>
      <c r="V141" s="2">
        <v>0</v>
      </c>
      <c r="W141" s="2">
        <v>0</v>
      </c>
      <c r="X141" s="30" t="s">
        <v>148</v>
      </c>
    </row>
    <row r="142" spans="1:24">
      <c r="A142" s="5" t="s">
        <v>434</v>
      </c>
      <c r="B142" s="2" t="s">
        <v>435</v>
      </c>
      <c r="C142" s="26">
        <v>44733</v>
      </c>
      <c r="D142" s="2" t="s">
        <v>131</v>
      </c>
      <c r="E142" s="2" t="s">
        <v>132</v>
      </c>
      <c r="F142" s="2" t="s">
        <v>151</v>
      </c>
      <c r="G142" s="2" t="s">
        <v>146</v>
      </c>
      <c r="H142" s="2">
        <v>360</v>
      </c>
      <c r="I142" s="2">
        <v>592900</v>
      </c>
      <c r="J142" s="2">
        <v>22.17</v>
      </c>
      <c r="K142" s="2">
        <v>10969</v>
      </c>
      <c r="L142" s="2">
        <v>709676</v>
      </c>
      <c r="M142" s="2">
        <v>624</v>
      </c>
      <c r="N142" s="2" t="s">
        <v>147</v>
      </c>
      <c r="O142" s="2">
        <v>0.44</v>
      </c>
      <c r="P142" s="2">
        <v>0.81</v>
      </c>
      <c r="Q142" s="2">
        <v>0</v>
      </c>
      <c r="R142" s="2">
        <v>42</v>
      </c>
      <c r="S142" s="2">
        <v>445879</v>
      </c>
      <c r="T142" s="2">
        <v>331045</v>
      </c>
      <c r="U142" s="2">
        <v>0</v>
      </c>
      <c r="V142" s="2">
        <v>0</v>
      </c>
      <c r="W142" s="2">
        <v>0</v>
      </c>
      <c r="X142" s="30" t="s">
        <v>148</v>
      </c>
    </row>
    <row r="143" spans="1:24">
      <c r="A143" s="5" t="s">
        <v>436</v>
      </c>
      <c r="B143" s="2" t="s">
        <v>437</v>
      </c>
      <c r="C143" s="26">
        <v>44739</v>
      </c>
      <c r="D143" s="2" t="s">
        <v>131</v>
      </c>
      <c r="E143" s="2" t="s">
        <v>213</v>
      </c>
      <c r="F143" s="2" t="s">
        <v>133</v>
      </c>
      <c r="G143" s="2" t="s">
        <v>152</v>
      </c>
      <c r="H143" s="2">
        <v>360</v>
      </c>
      <c r="I143" s="2">
        <v>112400</v>
      </c>
      <c r="J143" s="2">
        <v>23.09</v>
      </c>
      <c r="K143" s="2">
        <v>2165</v>
      </c>
      <c r="L143" s="2">
        <v>822441</v>
      </c>
      <c r="M143" s="2">
        <v>593</v>
      </c>
      <c r="N143" s="2" t="s">
        <v>166</v>
      </c>
      <c r="O143" s="2">
        <v>0.39</v>
      </c>
      <c r="P143" s="2">
        <v>0.75</v>
      </c>
      <c r="Q143" s="2">
        <v>0</v>
      </c>
      <c r="R143" s="2">
        <v>42</v>
      </c>
      <c r="S143" s="2">
        <v>80139</v>
      </c>
      <c r="T143" s="2">
        <v>68595</v>
      </c>
      <c r="U143" s="2">
        <v>5</v>
      </c>
      <c r="V143" s="2">
        <v>0</v>
      </c>
      <c r="W143" s="2">
        <v>0</v>
      </c>
      <c r="X143" s="30" t="s">
        <v>148</v>
      </c>
    </row>
    <row r="144" spans="1:24">
      <c r="A144" s="5" t="s">
        <v>438</v>
      </c>
      <c r="B144" s="2" t="s">
        <v>439</v>
      </c>
      <c r="C144" s="26">
        <v>44715</v>
      </c>
      <c r="D144" s="2" t="s">
        <v>163</v>
      </c>
      <c r="E144" s="2" t="s">
        <v>144</v>
      </c>
      <c r="F144" s="2" t="s">
        <v>151</v>
      </c>
      <c r="G144" s="2" t="s">
        <v>192</v>
      </c>
      <c r="H144" s="2">
        <v>36</v>
      </c>
      <c r="I144" s="2">
        <v>1254500</v>
      </c>
      <c r="J144" s="2">
        <v>8.4499999999999993</v>
      </c>
      <c r="K144" s="2">
        <v>39572</v>
      </c>
      <c r="L144" s="2">
        <v>1141872</v>
      </c>
      <c r="M144" s="2">
        <v>759</v>
      </c>
      <c r="N144" s="2" t="s">
        <v>160</v>
      </c>
      <c r="O144" s="2">
        <v>0.38</v>
      </c>
      <c r="P144" s="2">
        <v>0.88</v>
      </c>
      <c r="Q144" s="2">
        <v>1428800</v>
      </c>
      <c r="R144" s="2">
        <v>36</v>
      </c>
      <c r="S144" s="2">
        <v>1258582</v>
      </c>
      <c r="T144" s="2">
        <v>123124</v>
      </c>
      <c r="U144" s="2">
        <v>0</v>
      </c>
      <c r="V144" s="2">
        <v>0</v>
      </c>
      <c r="W144" s="2">
        <v>0</v>
      </c>
      <c r="X144" s="30" t="s">
        <v>141</v>
      </c>
    </row>
    <row r="145" spans="1:24">
      <c r="A145" s="5" t="s">
        <v>440</v>
      </c>
      <c r="B145" s="2" t="s">
        <v>441</v>
      </c>
      <c r="C145" s="26">
        <v>44655</v>
      </c>
      <c r="D145" s="2" t="s">
        <v>169</v>
      </c>
      <c r="E145" s="2" t="s">
        <v>144</v>
      </c>
      <c r="F145" s="2" t="s">
        <v>151</v>
      </c>
      <c r="G145" s="2" t="s">
        <v>146</v>
      </c>
      <c r="H145" s="2">
        <v>84</v>
      </c>
      <c r="I145" s="2">
        <v>4069100</v>
      </c>
      <c r="J145" s="2">
        <v>12.31</v>
      </c>
      <c r="K145" s="2">
        <v>72507</v>
      </c>
      <c r="L145" s="2">
        <v>1182992</v>
      </c>
      <c r="M145" s="2">
        <v>658</v>
      </c>
      <c r="N145" s="2" t="s">
        <v>140</v>
      </c>
      <c r="O145" s="2">
        <v>0.36</v>
      </c>
      <c r="P145" s="2">
        <v>0.57999999999999996</v>
      </c>
      <c r="Q145" s="2">
        <v>7072500</v>
      </c>
      <c r="R145" s="2">
        <v>44</v>
      </c>
      <c r="S145" s="2">
        <v>3155765</v>
      </c>
      <c r="T145" s="2">
        <v>1647997</v>
      </c>
      <c r="U145" s="2">
        <v>0</v>
      </c>
      <c r="V145" s="2">
        <v>0</v>
      </c>
      <c r="W145" s="2">
        <v>0</v>
      </c>
      <c r="X145" s="30" t="s">
        <v>148</v>
      </c>
    </row>
    <row r="146" spans="1:24">
      <c r="A146" s="5" t="s">
        <v>442</v>
      </c>
      <c r="B146" s="2" t="s">
        <v>443</v>
      </c>
      <c r="C146" s="26">
        <v>44707</v>
      </c>
      <c r="D146" s="2" t="s">
        <v>131</v>
      </c>
      <c r="E146" s="2" t="s">
        <v>144</v>
      </c>
      <c r="F146" s="2" t="s">
        <v>170</v>
      </c>
      <c r="G146" s="2" t="s">
        <v>134</v>
      </c>
      <c r="H146" s="2">
        <v>24</v>
      </c>
      <c r="I146" s="2">
        <v>501200</v>
      </c>
      <c r="J146" s="2">
        <v>18.72</v>
      </c>
      <c r="K146" s="2">
        <v>25197</v>
      </c>
      <c r="L146" s="2">
        <v>1038743</v>
      </c>
      <c r="M146" s="2">
        <v>672</v>
      </c>
      <c r="N146" s="2" t="s">
        <v>140</v>
      </c>
      <c r="O146" s="2">
        <v>0.36</v>
      </c>
      <c r="P146" s="2">
        <v>0.56999999999999995</v>
      </c>
      <c r="Q146" s="2">
        <v>0</v>
      </c>
      <c r="R146" s="2">
        <v>24</v>
      </c>
      <c r="S146" s="2">
        <v>530117</v>
      </c>
      <c r="T146" s="2">
        <v>46143</v>
      </c>
      <c r="U146" s="2">
        <v>0</v>
      </c>
      <c r="V146" s="2">
        <v>0</v>
      </c>
      <c r="W146" s="2">
        <v>0</v>
      </c>
      <c r="X146" s="30" t="s">
        <v>141</v>
      </c>
    </row>
    <row r="147" spans="1:24">
      <c r="A147" s="5" t="s">
        <v>444</v>
      </c>
      <c r="B147" s="2" t="s">
        <v>445</v>
      </c>
      <c r="C147" s="26">
        <v>44720</v>
      </c>
      <c r="D147" s="2" t="s">
        <v>158</v>
      </c>
      <c r="E147" s="2" t="s">
        <v>144</v>
      </c>
      <c r="F147" s="2" t="s">
        <v>145</v>
      </c>
      <c r="G147" s="2" t="s">
        <v>134</v>
      </c>
      <c r="H147" s="2">
        <v>24</v>
      </c>
      <c r="I147" s="2">
        <v>2259800</v>
      </c>
      <c r="J147" s="2">
        <v>17.11</v>
      </c>
      <c r="K147" s="2">
        <v>111849</v>
      </c>
      <c r="L147" s="2">
        <v>1312365</v>
      </c>
      <c r="M147" s="2">
        <v>668</v>
      </c>
      <c r="N147" s="2" t="s">
        <v>140</v>
      </c>
      <c r="O147" s="2">
        <v>0.36</v>
      </c>
      <c r="P147" s="2">
        <v>0.81</v>
      </c>
      <c r="Q147" s="2">
        <v>2794200</v>
      </c>
      <c r="R147" s="2">
        <v>24</v>
      </c>
      <c r="S147" s="2">
        <v>2462952</v>
      </c>
      <c r="T147" s="2">
        <v>106169</v>
      </c>
      <c r="U147" s="2">
        <v>0</v>
      </c>
      <c r="V147" s="2">
        <v>0</v>
      </c>
      <c r="W147" s="2">
        <v>0</v>
      </c>
      <c r="X147" s="30" t="s">
        <v>141</v>
      </c>
    </row>
    <row r="148" spans="1:24">
      <c r="A148" s="5" t="s">
        <v>446</v>
      </c>
      <c r="B148" s="2" t="s">
        <v>447</v>
      </c>
      <c r="C148" s="26">
        <v>44733</v>
      </c>
      <c r="D148" s="2" t="s">
        <v>131</v>
      </c>
      <c r="E148" s="2" t="s">
        <v>144</v>
      </c>
      <c r="F148" s="2" t="s">
        <v>145</v>
      </c>
      <c r="G148" s="2" t="s">
        <v>134</v>
      </c>
      <c r="H148" s="2">
        <v>24</v>
      </c>
      <c r="I148" s="2">
        <v>389500</v>
      </c>
      <c r="J148" s="2">
        <v>10.27</v>
      </c>
      <c r="K148" s="2">
        <v>18022</v>
      </c>
      <c r="L148" s="2">
        <v>633303</v>
      </c>
      <c r="M148" s="2">
        <v>845</v>
      </c>
      <c r="N148" s="2" t="s">
        <v>160</v>
      </c>
      <c r="O148" s="2">
        <v>0.35</v>
      </c>
      <c r="P148" s="2">
        <v>0.65</v>
      </c>
      <c r="Q148" s="2">
        <v>0</v>
      </c>
      <c r="R148" s="2">
        <v>24</v>
      </c>
      <c r="S148" s="2">
        <v>439186</v>
      </c>
      <c r="T148" s="2">
        <v>0</v>
      </c>
      <c r="U148" s="2">
        <v>0</v>
      </c>
      <c r="V148" s="2">
        <v>0</v>
      </c>
      <c r="W148" s="2">
        <v>0</v>
      </c>
      <c r="X148" s="30" t="s">
        <v>141</v>
      </c>
    </row>
    <row r="149" spans="1:24">
      <c r="A149" s="5" t="s">
        <v>448</v>
      </c>
      <c r="B149" s="2" t="s">
        <v>449</v>
      </c>
      <c r="C149" s="26">
        <v>44725</v>
      </c>
      <c r="D149" s="2" t="s">
        <v>131</v>
      </c>
      <c r="E149" s="2" t="s">
        <v>144</v>
      </c>
      <c r="F149" s="2" t="s">
        <v>170</v>
      </c>
      <c r="G149" s="2" t="s">
        <v>134</v>
      </c>
      <c r="H149" s="2">
        <v>18</v>
      </c>
      <c r="I149" s="2">
        <v>54700</v>
      </c>
      <c r="J149" s="2">
        <v>19.37</v>
      </c>
      <c r="K149" s="2">
        <v>3526</v>
      </c>
      <c r="L149" s="2">
        <v>1057435</v>
      </c>
      <c r="M149" s="2">
        <v>645</v>
      </c>
      <c r="N149" s="2" t="s">
        <v>147</v>
      </c>
      <c r="O149" s="2">
        <v>0.32</v>
      </c>
      <c r="P149" s="2">
        <v>0.8</v>
      </c>
      <c r="Q149" s="2">
        <v>0</v>
      </c>
      <c r="R149" s="2">
        <v>18</v>
      </c>
      <c r="S149" s="2">
        <v>56933</v>
      </c>
      <c r="T149" s="2">
        <v>4124</v>
      </c>
      <c r="U149" s="2">
        <v>0</v>
      </c>
      <c r="V149" s="2">
        <v>0</v>
      </c>
      <c r="W149" s="2">
        <v>0</v>
      </c>
      <c r="X149" s="30" t="s">
        <v>141</v>
      </c>
    </row>
    <row r="150" spans="1:24">
      <c r="A150" s="5" t="s">
        <v>450</v>
      </c>
      <c r="B150" s="2" t="s">
        <v>451</v>
      </c>
      <c r="C150" s="26">
        <v>44712</v>
      </c>
      <c r="D150" s="2" t="s">
        <v>158</v>
      </c>
      <c r="E150" s="2" t="s">
        <v>132</v>
      </c>
      <c r="F150" s="2" t="s">
        <v>145</v>
      </c>
      <c r="G150" s="2" t="s">
        <v>134</v>
      </c>
      <c r="H150" s="2">
        <v>360</v>
      </c>
      <c r="I150" s="2">
        <v>2032000</v>
      </c>
      <c r="J150" s="2">
        <v>18.04</v>
      </c>
      <c r="K150" s="2">
        <v>30690</v>
      </c>
      <c r="L150" s="2">
        <v>434193</v>
      </c>
      <c r="M150" s="2">
        <v>637</v>
      </c>
      <c r="N150" s="2" t="s">
        <v>147</v>
      </c>
      <c r="O150" s="2">
        <v>0.32</v>
      </c>
      <c r="P150" s="2">
        <v>0.74</v>
      </c>
      <c r="Q150" s="2">
        <v>2731600</v>
      </c>
      <c r="R150" s="2">
        <v>43</v>
      </c>
      <c r="S150" s="2">
        <v>1286687</v>
      </c>
      <c r="T150" s="2">
        <v>1270734</v>
      </c>
      <c r="U150" s="2">
        <v>0</v>
      </c>
      <c r="V150" s="2">
        <v>0</v>
      </c>
      <c r="W150" s="2">
        <v>0</v>
      </c>
      <c r="X150" s="30" t="s">
        <v>148</v>
      </c>
    </row>
    <row r="151" spans="1:24">
      <c r="A151" s="5" t="s">
        <v>452</v>
      </c>
      <c r="B151" s="2" t="s">
        <v>453</v>
      </c>
      <c r="C151" s="26">
        <v>44725</v>
      </c>
      <c r="D151" s="2" t="s">
        <v>163</v>
      </c>
      <c r="E151" s="2" t="s">
        <v>144</v>
      </c>
      <c r="F151" s="2" t="s">
        <v>170</v>
      </c>
      <c r="G151" s="2" t="s">
        <v>146</v>
      </c>
      <c r="H151" s="2">
        <v>12</v>
      </c>
      <c r="I151" s="2">
        <v>511200</v>
      </c>
      <c r="J151" s="2">
        <v>13.99</v>
      </c>
      <c r="K151" s="2">
        <v>45897</v>
      </c>
      <c r="L151" s="2">
        <v>710299</v>
      </c>
      <c r="M151" s="2">
        <v>658</v>
      </c>
      <c r="N151" s="2" t="s">
        <v>140</v>
      </c>
      <c r="O151" s="2">
        <v>0.31</v>
      </c>
      <c r="P151" s="2">
        <v>0.65</v>
      </c>
      <c r="Q151" s="2">
        <v>783100</v>
      </c>
      <c r="R151" s="2">
        <v>12</v>
      </c>
      <c r="S151" s="2">
        <v>529504</v>
      </c>
      <c r="T151" s="2">
        <v>10303</v>
      </c>
      <c r="U151" s="2">
        <v>45</v>
      </c>
      <c r="V151" s="2">
        <v>0</v>
      </c>
      <c r="W151" s="2">
        <v>0</v>
      </c>
      <c r="X151" s="30" t="s">
        <v>141</v>
      </c>
    </row>
    <row r="152" spans="1:24">
      <c r="A152" s="5" t="s">
        <v>454</v>
      </c>
      <c r="B152" s="2" t="s">
        <v>455</v>
      </c>
      <c r="C152" s="26">
        <v>44709</v>
      </c>
      <c r="D152" s="2" t="s">
        <v>158</v>
      </c>
      <c r="E152" s="2" t="s">
        <v>132</v>
      </c>
      <c r="F152" s="2" t="s">
        <v>133</v>
      </c>
      <c r="G152" s="2" t="s">
        <v>146</v>
      </c>
      <c r="H152" s="2">
        <v>18</v>
      </c>
      <c r="I152" s="2">
        <v>3136300</v>
      </c>
      <c r="J152" s="2">
        <v>11.56</v>
      </c>
      <c r="K152" s="2">
        <v>190618</v>
      </c>
      <c r="L152" s="2">
        <v>1205997</v>
      </c>
      <c r="M152" s="2">
        <v>751</v>
      </c>
      <c r="N152" s="2" t="s">
        <v>160</v>
      </c>
      <c r="O152" s="2">
        <v>0.28999999999999998</v>
      </c>
      <c r="P152" s="2">
        <v>0.65</v>
      </c>
      <c r="Q152" s="2">
        <v>4854300</v>
      </c>
      <c r="R152" s="2">
        <v>18</v>
      </c>
      <c r="S152" s="2">
        <v>3305004</v>
      </c>
      <c r="T152" s="2">
        <v>48830</v>
      </c>
      <c r="U152" s="2">
        <v>10</v>
      </c>
      <c r="V152" s="2">
        <v>0</v>
      </c>
      <c r="W152" s="2">
        <v>0</v>
      </c>
      <c r="X152" s="30" t="s">
        <v>141</v>
      </c>
    </row>
    <row r="153" spans="1:24">
      <c r="A153" s="5" t="s">
        <v>456</v>
      </c>
      <c r="B153" s="2" t="s">
        <v>457</v>
      </c>
      <c r="C153" s="26">
        <v>44671</v>
      </c>
      <c r="D153" s="2" t="s">
        <v>177</v>
      </c>
      <c r="E153" s="2" t="s">
        <v>144</v>
      </c>
      <c r="F153" s="2" t="s">
        <v>139</v>
      </c>
      <c r="G153" s="2" t="s">
        <v>152</v>
      </c>
      <c r="H153" s="2">
        <v>240</v>
      </c>
      <c r="I153" s="2">
        <v>1196800</v>
      </c>
      <c r="J153" s="2">
        <v>10.1</v>
      </c>
      <c r="K153" s="2">
        <v>11629</v>
      </c>
      <c r="L153" s="2">
        <v>708174</v>
      </c>
      <c r="M153" s="2">
        <v>743</v>
      </c>
      <c r="N153" s="2" t="s">
        <v>135</v>
      </c>
      <c r="O153" s="2">
        <v>0.28999999999999998</v>
      </c>
      <c r="P153" s="2">
        <v>0.66</v>
      </c>
      <c r="Q153" s="2">
        <v>0</v>
      </c>
      <c r="R153" s="2">
        <v>44</v>
      </c>
      <c r="S153" s="2">
        <v>436995</v>
      </c>
      <c r="T153" s="2">
        <v>937091</v>
      </c>
      <c r="U153" s="2">
        <v>0</v>
      </c>
      <c r="V153" s="2">
        <v>0</v>
      </c>
      <c r="W153" s="2">
        <v>0</v>
      </c>
      <c r="X153" s="30" t="s">
        <v>148</v>
      </c>
    </row>
    <row r="154" spans="1:24">
      <c r="A154" s="5" t="s">
        <v>458</v>
      </c>
      <c r="B154" s="2" t="s">
        <v>459</v>
      </c>
      <c r="C154" s="26">
        <v>44732</v>
      </c>
      <c r="D154" s="2" t="s">
        <v>131</v>
      </c>
      <c r="E154" s="2" t="s">
        <v>132</v>
      </c>
      <c r="F154" s="2" t="s">
        <v>151</v>
      </c>
      <c r="G154" s="2" t="s">
        <v>134</v>
      </c>
      <c r="H154" s="2">
        <v>24</v>
      </c>
      <c r="I154" s="2">
        <v>62400</v>
      </c>
      <c r="J154" s="2">
        <v>22.12</v>
      </c>
      <c r="K154" s="2">
        <v>3241</v>
      </c>
      <c r="L154" s="2">
        <v>903781</v>
      </c>
      <c r="M154" s="2">
        <v>602</v>
      </c>
      <c r="N154" s="2" t="s">
        <v>147</v>
      </c>
      <c r="O154" s="2">
        <v>0.28000000000000003</v>
      </c>
      <c r="P154" s="2">
        <v>0.65</v>
      </c>
      <c r="Q154" s="2">
        <v>0</v>
      </c>
      <c r="R154" s="2">
        <v>24</v>
      </c>
      <c r="S154" s="2">
        <v>73058</v>
      </c>
      <c r="T154" s="2">
        <v>384</v>
      </c>
      <c r="U154" s="2">
        <v>0</v>
      </c>
      <c r="V154" s="2">
        <v>0</v>
      </c>
      <c r="W154" s="2">
        <v>0</v>
      </c>
      <c r="X154" s="30" t="s">
        <v>141</v>
      </c>
    </row>
    <row r="155" spans="1:24">
      <c r="A155" s="5" t="s">
        <v>460</v>
      </c>
      <c r="B155" s="2" t="s">
        <v>461</v>
      </c>
      <c r="C155" s="26">
        <v>44667</v>
      </c>
      <c r="D155" s="2" t="s">
        <v>169</v>
      </c>
      <c r="E155" s="2" t="s">
        <v>159</v>
      </c>
      <c r="F155" s="2" t="s">
        <v>145</v>
      </c>
      <c r="G155" s="2" t="s">
        <v>134</v>
      </c>
      <c r="H155" s="2">
        <v>12</v>
      </c>
      <c r="I155" s="2">
        <v>6157300</v>
      </c>
      <c r="J155" s="2">
        <v>14.55</v>
      </c>
      <c r="K155" s="2">
        <v>554441</v>
      </c>
      <c r="L155" s="2">
        <v>1073346</v>
      </c>
      <c r="M155" s="2">
        <v>605</v>
      </c>
      <c r="N155" s="2" t="s">
        <v>147</v>
      </c>
      <c r="O155" s="2">
        <v>0.24</v>
      </c>
      <c r="P155" s="2">
        <v>0.78</v>
      </c>
      <c r="Q155" s="2">
        <v>7926200</v>
      </c>
      <c r="R155" s="2">
        <v>12</v>
      </c>
      <c r="S155" s="2">
        <v>6027883</v>
      </c>
      <c r="T155" s="2">
        <v>487772</v>
      </c>
      <c r="U155" s="2">
        <v>0</v>
      </c>
      <c r="V155" s="2">
        <v>0</v>
      </c>
      <c r="W155" s="2">
        <v>0</v>
      </c>
      <c r="X155" s="30" t="s">
        <v>141</v>
      </c>
    </row>
    <row r="156" spans="1:24">
      <c r="A156" s="5" t="s">
        <v>462</v>
      </c>
      <c r="B156" s="2" t="s">
        <v>463</v>
      </c>
      <c r="C156" s="26">
        <v>44718</v>
      </c>
      <c r="D156" s="2" t="s">
        <v>131</v>
      </c>
      <c r="E156" s="2" t="s">
        <v>132</v>
      </c>
      <c r="F156" s="2" t="s">
        <v>139</v>
      </c>
      <c r="G156" s="2" t="s">
        <v>152</v>
      </c>
      <c r="H156" s="2">
        <v>48</v>
      </c>
      <c r="I156" s="2">
        <v>199600</v>
      </c>
      <c r="J156" s="2">
        <v>15.46</v>
      </c>
      <c r="K156" s="2">
        <v>5602</v>
      </c>
      <c r="L156" s="2">
        <v>923644</v>
      </c>
      <c r="M156" s="2">
        <v>720</v>
      </c>
      <c r="N156" s="2" t="s">
        <v>135</v>
      </c>
      <c r="O156" s="2">
        <v>0.22</v>
      </c>
      <c r="P156" s="2">
        <v>0.92</v>
      </c>
      <c r="Q156" s="2">
        <v>0</v>
      </c>
      <c r="R156" s="2">
        <v>42</v>
      </c>
      <c r="S156" s="2">
        <v>224936</v>
      </c>
      <c r="T156" s="2">
        <v>17865</v>
      </c>
      <c r="U156" s="2">
        <v>0</v>
      </c>
      <c r="V156" s="2">
        <v>0</v>
      </c>
      <c r="W156" s="2">
        <v>0</v>
      </c>
      <c r="X156" s="30" t="s">
        <v>148</v>
      </c>
    </row>
    <row r="157" spans="1:24">
      <c r="A157" s="5" t="s">
        <v>464</v>
      </c>
      <c r="B157" s="2" t="s">
        <v>465</v>
      </c>
      <c r="C157" s="26">
        <v>44676</v>
      </c>
      <c r="D157" s="2" t="s">
        <v>169</v>
      </c>
      <c r="E157" s="2" t="s">
        <v>213</v>
      </c>
      <c r="F157" s="2" t="s">
        <v>151</v>
      </c>
      <c r="G157" s="2" t="s">
        <v>146</v>
      </c>
      <c r="H157" s="2">
        <v>36</v>
      </c>
      <c r="I157" s="2">
        <v>6201600</v>
      </c>
      <c r="J157" s="2">
        <v>10.039999999999999</v>
      </c>
      <c r="K157" s="2">
        <v>200225</v>
      </c>
      <c r="L157" s="2">
        <v>1120933</v>
      </c>
      <c r="M157" s="2">
        <v>685</v>
      </c>
      <c r="N157" s="2" t="s">
        <v>140</v>
      </c>
      <c r="O157" s="2">
        <v>0.22</v>
      </c>
      <c r="P157" s="2">
        <v>0.72</v>
      </c>
      <c r="Q157" s="2">
        <v>8644400</v>
      </c>
      <c r="R157" s="2">
        <v>36</v>
      </c>
      <c r="S157" s="2">
        <v>6608675</v>
      </c>
      <c r="T157" s="2">
        <v>340094</v>
      </c>
      <c r="U157" s="2">
        <v>0</v>
      </c>
      <c r="V157" s="2">
        <v>1</v>
      </c>
      <c r="W157" s="2">
        <v>0</v>
      </c>
      <c r="X157" s="30" t="s">
        <v>141</v>
      </c>
    </row>
    <row r="158" spans="1:24">
      <c r="A158" s="5" t="s">
        <v>466</v>
      </c>
      <c r="B158" s="2" t="s">
        <v>467</v>
      </c>
      <c r="C158" s="26">
        <v>44668</v>
      </c>
      <c r="D158" s="2" t="s">
        <v>131</v>
      </c>
      <c r="E158" s="2" t="s">
        <v>132</v>
      </c>
      <c r="F158" s="2" t="s">
        <v>151</v>
      </c>
      <c r="G158" s="2" t="s">
        <v>152</v>
      </c>
      <c r="H158" s="2">
        <v>18</v>
      </c>
      <c r="I158" s="2">
        <v>668600</v>
      </c>
      <c r="J158" s="2">
        <v>22.85</v>
      </c>
      <c r="K158" s="2">
        <v>44222</v>
      </c>
      <c r="L158" s="2">
        <v>837021</v>
      </c>
      <c r="M158" s="2">
        <v>595</v>
      </c>
      <c r="N158" s="2" t="s">
        <v>166</v>
      </c>
      <c r="O158" s="2">
        <v>0.21</v>
      </c>
      <c r="P158" s="2">
        <v>0.88</v>
      </c>
      <c r="Q158" s="2">
        <v>0</v>
      </c>
      <c r="R158" s="2">
        <v>18</v>
      </c>
      <c r="S158" s="2">
        <v>691085</v>
      </c>
      <c r="T158" s="2">
        <v>69180</v>
      </c>
      <c r="U158" s="2">
        <v>15</v>
      </c>
      <c r="V158" s="2">
        <v>0</v>
      </c>
      <c r="W158" s="2">
        <v>0</v>
      </c>
      <c r="X158" s="30" t="s">
        <v>141</v>
      </c>
    </row>
    <row r="159" spans="1:24">
      <c r="A159" s="5" t="s">
        <v>468</v>
      </c>
      <c r="B159" s="2" t="s">
        <v>469</v>
      </c>
      <c r="C159" s="26">
        <v>44709</v>
      </c>
      <c r="D159" s="2" t="s">
        <v>177</v>
      </c>
      <c r="E159" s="2" t="s">
        <v>132</v>
      </c>
      <c r="F159" s="2" t="s">
        <v>133</v>
      </c>
      <c r="G159" s="2" t="s">
        <v>134</v>
      </c>
      <c r="H159" s="2">
        <v>72</v>
      </c>
      <c r="I159" s="2">
        <v>1076500</v>
      </c>
      <c r="J159" s="2">
        <v>16.37</v>
      </c>
      <c r="K159" s="2">
        <v>23571</v>
      </c>
      <c r="L159" s="2">
        <v>667889</v>
      </c>
      <c r="M159" s="2">
        <v>622</v>
      </c>
      <c r="N159" s="2" t="s">
        <v>147</v>
      </c>
      <c r="O159" s="2">
        <v>0.19</v>
      </c>
      <c r="P159" s="2">
        <v>0.62</v>
      </c>
      <c r="Q159" s="2">
        <v>0</v>
      </c>
      <c r="R159" s="2">
        <v>43</v>
      </c>
      <c r="S159" s="2">
        <v>1031940</v>
      </c>
      <c r="T159" s="2">
        <v>297146</v>
      </c>
      <c r="U159" s="2">
        <v>0</v>
      </c>
      <c r="V159" s="2">
        <v>0</v>
      </c>
      <c r="W159" s="2">
        <v>0</v>
      </c>
      <c r="X159" s="30" t="s">
        <v>148</v>
      </c>
    </row>
    <row r="160" spans="1:24">
      <c r="A160" s="5" t="s">
        <v>470</v>
      </c>
      <c r="B160" s="2" t="s">
        <v>471</v>
      </c>
      <c r="C160" s="26">
        <v>44683</v>
      </c>
      <c r="D160" s="2" t="s">
        <v>163</v>
      </c>
      <c r="E160" s="2" t="s">
        <v>132</v>
      </c>
      <c r="F160" s="2" t="s">
        <v>139</v>
      </c>
      <c r="G160" s="2" t="s">
        <v>134</v>
      </c>
      <c r="H160" s="2">
        <v>24</v>
      </c>
      <c r="I160" s="2">
        <v>713500</v>
      </c>
      <c r="J160" s="2">
        <v>13.93</v>
      </c>
      <c r="K160" s="2">
        <v>34234</v>
      </c>
      <c r="L160" s="2">
        <v>598306</v>
      </c>
      <c r="M160" s="2">
        <v>663</v>
      </c>
      <c r="N160" s="2" t="s">
        <v>140</v>
      </c>
      <c r="O160" s="2">
        <v>0.17</v>
      </c>
      <c r="P160" s="2">
        <v>0.78</v>
      </c>
      <c r="Q160" s="2">
        <v>913100</v>
      </c>
      <c r="R160" s="2">
        <v>24</v>
      </c>
      <c r="S160" s="2">
        <v>748616</v>
      </c>
      <c r="T160" s="2">
        <v>44396</v>
      </c>
      <c r="U160" s="2">
        <v>0</v>
      </c>
      <c r="V160" s="2">
        <v>0</v>
      </c>
      <c r="W160" s="2">
        <v>0</v>
      </c>
      <c r="X160" s="30" t="s">
        <v>141</v>
      </c>
    </row>
    <row r="161" spans="1:24">
      <c r="A161" s="5" t="s">
        <v>472</v>
      </c>
      <c r="B161" s="2" t="s">
        <v>473</v>
      </c>
      <c r="C161" s="26">
        <v>44683</v>
      </c>
      <c r="D161" s="2" t="s">
        <v>131</v>
      </c>
      <c r="E161" s="2" t="s">
        <v>132</v>
      </c>
      <c r="F161" s="2" t="s">
        <v>170</v>
      </c>
      <c r="G161" s="2" t="s">
        <v>134</v>
      </c>
      <c r="H161" s="2">
        <v>36</v>
      </c>
      <c r="I161" s="2">
        <v>972100</v>
      </c>
      <c r="J161" s="2">
        <v>19.52</v>
      </c>
      <c r="K161" s="2">
        <v>35889</v>
      </c>
      <c r="L161" s="2">
        <v>1101848</v>
      </c>
      <c r="M161" s="2">
        <v>669</v>
      </c>
      <c r="N161" s="2" t="s">
        <v>140</v>
      </c>
      <c r="O161" s="2">
        <v>0.16</v>
      </c>
      <c r="P161" s="2">
        <v>0.6</v>
      </c>
      <c r="Q161" s="2">
        <v>0</v>
      </c>
      <c r="R161" s="2">
        <v>36</v>
      </c>
      <c r="S161" s="2">
        <v>1154509</v>
      </c>
      <c r="T161" s="2">
        <v>45296</v>
      </c>
      <c r="U161" s="2">
        <v>30</v>
      </c>
      <c r="V161" s="2">
        <v>0</v>
      </c>
      <c r="W161" s="2">
        <v>0</v>
      </c>
      <c r="X161" s="30" t="s">
        <v>141</v>
      </c>
    </row>
    <row r="162" spans="1:24">
      <c r="A162" s="5" t="s">
        <v>474</v>
      </c>
      <c r="B162" s="2" t="s">
        <v>475</v>
      </c>
      <c r="C162" s="26">
        <v>44727</v>
      </c>
      <c r="D162" s="2" t="s">
        <v>158</v>
      </c>
      <c r="E162" s="2" t="s">
        <v>144</v>
      </c>
      <c r="F162" s="2" t="s">
        <v>170</v>
      </c>
      <c r="G162" s="2" t="s">
        <v>134</v>
      </c>
      <c r="H162" s="2">
        <v>12</v>
      </c>
      <c r="I162" s="2">
        <v>1669100</v>
      </c>
      <c r="J162" s="2">
        <v>17.72</v>
      </c>
      <c r="K162" s="2">
        <v>152801</v>
      </c>
      <c r="L162" s="2">
        <v>483892</v>
      </c>
      <c r="M162" s="2">
        <v>642</v>
      </c>
      <c r="N162" s="2" t="s">
        <v>147</v>
      </c>
      <c r="O162" s="2">
        <v>0.15</v>
      </c>
      <c r="P162" s="2">
        <v>0.68</v>
      </c>
      <c r="Q162" s="2">
        <v>2451500</v>
      </c>
      <c r="R162" s="2">
        <v>12</v>
      </c>
      <c r="S162" s="2">
        <v>1776850</v>
      </c>
      <c r="T162" s="2">
        <v>10556</v>
      </c>
      <c r="U162" s="2">
        <v>0</v>
      </c>
      <c r="V162" s="2">
        <v>0</v>
      </c>
      <c r="W162" s="2">
        <v>0</v>
      </c>
      <c r="X162" s="30" t="s">
        <v>141</v>
      </c>
    </row>
    <row r="163" spans="1:24">
      <c r="A163" s="5" t="s">
        <v>476</v>
      </c>
      <c r="B163" s="2" t="s">
        <v>477</v>
      </c>
      <c r="C163" s="26">
        <v>44722</v>
      </c>
      <c r="D163" s="2" t="s">
        <v>131</v>
      </c>
      <c r="E163" s="2" t="s">
        <v>132</v>
      </c>
      <c r="F163" s="2" t="s">
        <v>170</v>
      </c>
      <c r="G163" s="2" t="s">
        <v>134</v>
      </c>
      <c r="H163" s="2">
        <v>60</v>
      </c>
      <c r="I163" s="2">
        <v>414000</v>
      </c>
      <c r="J163" s="2">
        <v>16.07</v>
      </c>
      <c r="K163" s="2">
        <v>10083</v>
      </c>
      <c r="L163" s="2">
        <v>996887</v>
      </c>
      <c r="M163" s="2">
        <v>724</v>
      </c>
      <c r="N163" s="2" t="s">
        <v>135</v>
      </c>
      <c r="O163" s="2">
        <v>0.15</v>
      </c>
      <c r="P163" s="2">
        <v>0.56000000000000005</v>
      </c>
      <c r="Q163" s="2">
        <v>0</v>
      </c>
      <c r="R163" s="2">
        <v>42</v>
      </c>
      <c r="S163" s="2">
        <v>412356</v>
      </c>
      <c r="T163" s="2">
        <v>94786</v>
      </c>
      <c r="U163" s="2">
        <v>0</v>
      </c>
      <c r="V163" s="2">
        <v>0</v>
      </c>
      <c r="W163" s="2">
        <v>0</v>
      </c>
      <c r="X163" s="30" t="s">
        <v>148</v>
      </c>
    </row>
    <row r="164" spans="1:24">
      <c r="A164" s="5" t="s">
        <v>478</v>
      </c>
      <c r="B164" s="2" t="s">
        <v>479</v>
      </c>
      <c r="C164" s="26">
        <v>44721</v>
      </c>
      <c r="D164" s="2" t="s">
        <v>158</v>
      </c>
      <c r="E164" s="2" t="s">
        <v>132</v>
      </c>
      <c r="F164" s="2" t="s">
        <v>151</v>
      </c>
      <c r="G164" s="2" t="s">
        <v>134</v>
      </c>
      <c r="H164" s="2">
        <v>36</v>
      </c>
      <c r="I164" s="2">
        <v>3668300</v>
      </c>
      <c r="J164" s="2">
        <v>15.32</v>
      </c>
      <c r="K164" s="2">
        <v>127738</v>
      </c>
      <c r="L164" s="2">
        <v>1090357</v>
      </c>
      <c r="M164" s="2">
        <v>687</v>
      </c>
      <c r="N164" s="2" t="s">
        <v>140</v>
      </c>
      <c r="O164" s="2">
        <v>0.14000000000000001</v>
      </c>
      <c r="P164" s="2">
        <v>0.52</v>
      </c>
      <c r="Q164" s="2">
        <v>7063800</v>
      </c>
      <c r="R164" s="2">
        <v>36</v>
      </c>
      <c r="S164" s="2">
        <v>4580287</v>
      </c>
      <c r="T164" s="2">
        <v>0</v>
      </c>
      <c r="U164" s="2">
        <v>5</v>
      </c>
      <c r="V164" s="2">
        <v>0</v>
      </c>
      <c r="W164" s="2">
        <v>0</v>
      </c>
      <c r="X164" s="30" t="s">
        <v>141</v>
      </c>
    </row>
    <row r="165" spans="1:24">
      <c r="A165" s="5" t="s">
        <v>480</v>
      </c>
      <c r="B165" s="2" t="s">
        <v>481</v>
      </c>
      <c r="C165" s="26">
        <v>44673</v>
      </c>
      <c r="D165" s="2" t="s">
        <v>131</v>
      </c>
      <c r="E165" s="2" t="s">
        <v>132</v>
      </c>
      <c r="F165" s="2" t="s">
        <v>151</v>
      </c>
      <c r="G165" s="2" t="s">
        <v>134</v>
      </c>
      <c r="H165" s="2">
        <v>12</v>
      </c>
      <c r="I165" s="2">
        <v>565900</v>
      </c>
      <c r="J165" s="2">
        <v>14.8</v>
      </c>
      <c r="K165" s="2">
        <v>51024</v>
      </c>
      <c r="L165" s="2">
        <v>738641</v>
      </c>
      <c r="M165" s="2">
        <v>757</v>
      </c>
      <c r="N165" s="2" t="s">
        <v>160</v>
      </c>
      <c r="O165" s="2">
        <v>0.13</v>
      </c>
      <c r="P165" s="2">
        <v>0.54</v>
      </c>
      <c r="Q165" s="2">
        <v>0</v>
      </c>
      <c r="R165" s="2">
        <v>12</v>
      </c>
      <c r="S165" s="2">
        <v>603029</v>
      </c>
      <c r="T165" s="2">
        <v>0</v>
      </c>
      <c r="U165" s="2">
        <v>30</v>
      </c>
      <c r="V165" s="2">
        <v>0</v>
      </c>
      <c r="W165" s="2">
        <v>0</v>
      </c>
      <c r="X165" s="30" t="s">
        <v>141</v>
      </c>
    </row>
    <row r="166" spans="1:24">
      <c r="A166" s="5" t="s">
        <v>482</v>
      </c>
      <c r="B166" s="2" t="s">
        <v>483</v>
      </c>
      <c r="C166" s="26">
        <v>44658</v>
      </c>
      <c r="D166" s="2" t="s">
        <v>163</v>
      </c>
      <c r="E166" s="2" t="s">
        <v>144</v>
      </c>
      <c r="F166" s="2" t="s">
        <v>145</v>
      </c>
      <c r="G166" s="2" t="s">
        <v>146</v>
      </c>
      <c r="H166" s="2">
        <v>24</v>
      </c>
      <c r="I166" s="2">
        <v>1553700</v>
      </c>
      <c r="J166" s="2">
        <v>9.99</v>
      </c>
      <c r="K166" s="2">
        <v>71688</v>
      </c>
      <c r="L166" s="2">
        <v>938046</v>
      </c>
      <c r="M166" s="2">
        <v>724</v>
      </c>
      <c r="N166" s="2" t="s">
        <v>135</v>
      </c>
      <c r="O166" s="2">
        <v>0.05</v>
      </c>
      <c r="P166" s="2">
        <v>0.74</v>
      </c>
      <c r="Q166" s="2">
        <v>2099500</v>
      </c>
      <c r="R166" s="2">
        <v>24</v>
      </c>
      <c r="S166" s="2">
        <v>1738580</v>
      </c>
      <c r="T166" s="2">
        <v>0</v>
      </c>
      <c r="U166" s="2">
        <v>45</v>
      </c>
      <c r="V166" s="2">
        <v>0</v>
      </c>
      <c r="W166" s="2">
        <v>0</v>
      </c>
      <c r="X166" s="30" t="s">
        <v>141</v>
      </c>
    </row>
    <row r="167" spans="1:24">
      <c r="A167" s="5" t="s">
        <v>484</v>
      </c>
      <c r="B167" s="2" t="s">
        <v>485</v>
      </c>
      <c r="C167" s="26">
        <v>45023</v>
      </c>
      <c r="D167" s="2" t="s">
        <v>131</v>
      </c>
      <c r="E167" s="2" t="s">
        <v>144</v>
      </c>
      <c r="F167" s="2" t="s">
        <v>139</v>
      </c>
      <c r="G167" s="2" t="s">
        <v>134</v>
      </c>
      <c r="H167" s="2">
        <v>240</v>
      </c>
      <c r="I167" s="2">
        <v>50000</v>
      </c>
      <c r="J167" s="2">
        <v>17.16</v>
      </c>
      <c r="K167" s="2">
        <v>739</v>
      </c>
      <c r="L167" s="2">
        <v>682713</v>
      </c>
      <c r="M167" s="2">
        <v>702</v>
      </c>
      <c r="N167" s="2" t="s">
        <v>135</v>
      </c>
      <c r="O167" s="2">
        <v>0.65</v>
      </c>
      <c r="P167" s="2">
        <v>0.45</v>
      </c>
      <c r="Q167" s="2">
        <v>0</v>
      </c>
      <c r="R167" s="2">
        <v>32</v>
      </c>
      <c r="S167" s="2">
        <v>21385</v>
      </c>
      <c r="T167" s="2">
        <v>37767</v>
      </c>
      <c r="U167" s="2">
        <v>45</v>
      </c>
      <c r="V167" s="2">
        <v>0</v>
      </c>
      <c r="W167" s="2">
        <v>0</v>
      </c>
      <c r="X167" s="30" t="s">
        <v>136</v>
      </c>
    </row>
    <row r="168" spans="1:24">
      <c r="A168" s="5" t="s">
        <v>486</v>
      </c>
      <c r="B168" s="2" t="s">
        <v>487</v>
      </c>
      <c r="C168" s="26">
        <v>45027</v>
      </c>
      <c r="D168" s="2" t="s">
        <v>163</v>
      </c>
      <c r="E168" s="2" t="s">
        <v>132</v>
      </c>
      <c r="F168" s="2" t="s">
        <v>170</v>
      </c>
      <c r="G168" s="2" t="s">
        <v>134</v>
      </c>
      <c r="H168" s="2">
        <v>36</v>
      </c>
      <c r="I168" s="2">
        <v>1164100</v>
      </c>
      <c r="J168" s="2">
        <v>13.85</v>
      </c>
      <c r="K168" s="2">
        <v>39701</v>
      </c>
      <c r="L168" s="2">
        <v>1243236</v>
      </c>
      <c r="M168" s="2">
        <v>688</v>
      </c>
      <c r="N168" s="2" t="s">
        <v>140</v>
      </c>
      <c r="O168" s="2">
        <v>0.57999999999999996</v>
      </c>
      <c r="P168" s="2">
        <v>0.59</v>
      </c>
      <c r="Q168" s="2">
        <v>1989700</v>
      </c>
      <c r="R168" s="2">
        <v>32</v>
      </c>
      <c r="S168" s="2">
        <v>1233181</v>
      </c>
      <c r="T168" s="2">
        <v>102895</v>
      </c>
      <c r="U168" s="2">
        <v>0</v>
      </c>
      <c r="V168" s="2">
        <v>0</v>
      </c>
      <c r="W168" s="2">
        <v>0</v>
      </c>
      <c r="X168" s="30" t="s">
        <v>148</v>
      </c>
    </row>
    <row r="169" spans="1:24">
      <c r="A169" s="5" t="s">
        <v>488</v>
      </c>
      <c r="B169" s="2" t="s">
        <v>489</v>
      </c>
      <c r="C169" s="26">
        <v>45086</v>
      </c>
      <c r="D169" s="2" t="s">
        <v>131</v>
      </c>
      <c r="E169" s="2" t="s">
        <v>144</v>
      </c>
      <c r="F169" s="2" t="s">
        <v>170</v>
      </c>
      <c r="G169" s="2" t="s">
        <v>146</v>
      </c>
      <c r="H169" s="2">
        <v>36</v>
      </c>
      <c r="I169" s="2">
        <v>393300</v>
      </c>
      <c r="J169" s="2">
        <v>22.33</v>
      </c>
      <c r="K169" s="2">
        <v>15088</v>
      </c>
      <c r="L169" s="2">
        <v>1238800</v>
      </c>
      <c r="M169" s="2">
        <v>618</v>
      </c>
      <c r="N169" s="2" t="s">
        <v>147</v>
      </c>
      <c r="O169" s="2">
        <v>0.56999999999999995</v>
      </c>
      <c r="P169" s="2">
        <v>0.85</v>
      </c>
      <c r="Q169" s="2">
        <v>0</v>
      </c>
      <c r="R169" s="2">
        <v>30</v>
      </c>
      <c r="S169" s="2">
        <v>413790</v>
      </c>
      <c r="T169" s="2">
        <v>67334</v>
      </c>
      <c r="U169" s="2">
        <v>0</v>
      </c>
      <c r="V169" s="2">
        <v>1</v>
      </c>
      <c r="W169" s="2">
        <v>0</v>
      </c>
      <c r="X169" s="30" t="s">
        <v>141</v>
      </c>
    </row>
    <row r="170" spans="1:24">
      <c r="A170" s="5" t="s">
        <v>490</v>
      </c>
      <c r="B170" s="2" t="s">
        <v>491</v>
      </c>
      <c r="C170" s="26">
        <v>45045</v>
      </c>
      <c r="D170" s="2" t="s">
        <v>131</v>
      </c>
      <c r="E170" s="2" t="s">
        <v>132</v>
      </c>
      <c r="F170" s="2" t="s">
        <v>151</v>
      </c>
      <c r="G170" s="2" t="s">
        <v>152</v>
      </c>
      <c r="H170" s="2">
        <v>84</v>
      </c>
      <c r="I170" s="2">
        <v>414300</v>
      </c>
      <c r="J170" s="2">
        <v>15.54</v>
      </c>
      <c r="K170" s="2">
        <v>8121</v>
      </c>
      <c r="L170" s="2">
        <v>1248023</v>
      </c>
      <c r="M170" s="2">
        <v>738</v>
      </c>
      <c r="N170" s="2" t="s">
        <v>135</v>
      </c>
      <c r="O170" s="2">
        <v>0.56000000000000005</v>
      </c>
      <c r="P170" s="2">
        <v>0.74</v>
      </c>
      <c r="Q170" s="2">
        <v>0</v>
      </c>
      <c r="R170" s="2">
        <v>32</v>
      </c>
      <c r="S170" s="2">
        <v>224983</v>
      </c>
      <c r="T170" s="2">
        <v>257991</v>
      </c>
      <c r="U170" s="2">
        <v>0</v>
      </c>
      <c r="V170" s="2">
        <v>1</v>
      </c>
      <c r="W170" s="2">
        <v>0</v>
      </c>
      <c r="X170" s="30" t="s">
        <v>141</v>
      </c>
    </row>
    <row r="171" spans="1:24">
      <c r="A171" s="5" t="s">
        <v>492</v>
      </c>
      <c r="B171" s="2" t="s">
        <v>493</v>
      </c>
      <c r="C171" s="26">
        <v>45049</v>
      </c>
      <c r="D171" s="2" t="s">
        <v>131</v>
      </c>
      <c r="E171" s="2" t="s">
        <v>144</v>
      </c>
      <c r="F171" s="2" t="s">
        <v>170</v>
      </c>
      <c r="G171" s="2" t="s">
        <v>134</v>
      </c>
      <c r="H171" s="2">
        <v>18</v>
      </c>
      <c r="I171" s="2">
        <v>512600</v>
      </c>
      <c r="J171" s="2">
        <v>15.32</v>
      </c>
      <c r="K171" s="2">
        <v>32056</v>
      </c>
      <c r="L171" s="2">
        <v>971647</v>
      </c>
      <c r="M171" s="2">
        <v>758</v>
      </c>
      <c r="N171" s="2" t="s">
        <v>160</v>
      </c>
      <c r="O171" s="2">
        <v>0.49</v>
      </c>
      <c r="P171" s="2">
        <v>0.98</v>
      </c>
      <c r="Q171" s="2">
        <v>0</v>
      </c>
      <c r="R171" s="2">
        <v>18</v>
      </c>
      <c r="S171" s="2">
        <v>513905</v>
      </c>
      <c r="T171" s="2">
        <v>45813</v>
      </c>
      <c r="U171" s="2">
        <v>0</v>
      </c>
      <c r="V171" s="2">
        <v>0</v>
      </c>
      <c r="W171" s="2">
        <v>0</v>
      </c>
      <c r="X171" s="30" t="s">
        <v>141</v>
      </c>
    </row>
    <row r="172" spans="1:24">
      <c r="A172" s="5" t="s">
        <v>494</v>
      </c>
      <c r="B172" s="2" t="s">
        <v>495</v>
      </c>
      <c r="C172" s="26">
        <v>45031</v>
      </c>
      <c r="D172" s="2" t="s">
        <v>163</v>
      </c>
      <c r="E172" s="2" t="s">
        <v>144</v>
      </c>
      <c r="F172" s="2" t="s">
        <v>139</v>
      </c>
      <c r="G172" s="2" t="s">
        <v>134</v>
      </c>
      <c r="H172" s="2">
        <v>48</v>
      </c>
      <c r="I172" s="2">
        <v>347100</v>
      </c>
      <c r="J172" s="2">
        <v>15.47</v>
      </c>
      <c r="K172" s="2">
        <v>9743</v>
      </c>
      <c r="L172" s="2">
        <v>1115054</v>
      </c>
      <c r="M172" s="2">
        <v>636</v>
      </c>
      <c r="N172" s="2" t="s">
        <v>147</v>
      </c>
      <c r="O172" s="2">
        <v>0.42</v>
      </c>
      <c r="P172" s="2">
        <v>0.65</v>
      </c>
      <c r="Q172" s="2">
        <v>534100</v>
      </c>
      <c r="R172" s="2">
        <v>32</v>
      </c>
      <c r="S172" s="2">
        <v>310412</v>
      </c>
      <c r="T172" s="2">
        <v>93964</v>
      </c>
      <c r="U172" s="2">
        <v>0</v>
      </c>
      <c r="V172" s="2">
        <v>0</v>
      </c>
      <c r="W172" s="2">
        <v>0</v>
      </c>
      <c r="X172" s="30" t="s">
        <v>148</v>
      </c>
    </row>
    <row r="173" spans="1:24">
      <c r="A173" s="5" t="s">
        <v>496</v>
      </c>
      <c r="B173" s="2" t="s">
        <v>497</v>
      </c>
      <c r="C173" s="26">
        <v>45057</v>
      </c>
      <c r="D173" s="2" t="s">
        <v>163</v>
      </c>
      <c r="E173" s="2" t="s">
        <v>144</v>
      </c>
      <c r="F173" s="2" t="s">
        <v>170</v>
      </c>
      <c r="G173" s="2" t="s">
        <v>134</v>
      </c>
      <c r="H173" s="2">
        <v>360</v>
      </c>
      <c r="I173" s="2">
        <v>1942600</v>
      </c>
      <c r="J173" s="2">
        <v>10.57</v>
      </c>
      <c r="K173" s="2">
        <v>17871</v>
      </c>
      <c r="L173" s="2">
        <v>1544753</v>
      </c>
      <c r="M173" s="2">
        <v>728</v>
      </c>
      <c r="N173" s="2" t="s">
        <v>135</v>
      </c>
      <c r="O173" s="2">
        <v>0.42</v>
      </c>
      <c r="P173" s="2">
        <v>0.88</v>
      </c>
      <c r="Q173" s="2">
        <v>2217900</v>
      </c>
      <c r="R173" s="2">
        <v>31</v>
      </c>
      <c r="S173" s="2">
        <v>534649</v>
      </c>
      <c r="T173" s="2">
        <v>1620128</v>
      </c>
      <c r="U173" s="2">
        <v>0</v>
      </c>
      <c r="V173" s="2">
        <v>0</v>
      </c>
      <c r="W173" s="2">
        <v>0</v>
      </c>
      <c r="X173" s="30" t="s">
        <v>148</v>
      </c>
    </row>
    <row r="174" spans="1:24">
      <c r="A174" s="5" t="s">
        <v>498</v>
      </c>
      <c r="B174" s="2" t="s">
        <v>499</v>
      </c>
      <c r="C174" s="26">
        <v>45094</v>
      </c>
      <c r="D174" s="2" t="s">
        <v>131</v>
      </c>
      <c r="E174" s="2" t="s">
        <v>132</v>
      </c>
      <c r="F174" s="2" t="s">
        <v>151</v>
      </c>
      <c r="G174" s="2" t="s">
        <v>146</v>
      </c>
      <c r="H174" s="2">
        <v>24</v>
      </c>
      <c r="I174" s="2">
        <v>392900</v>
      </c>
      <c r="J174" s="2">
        <v>17.41</v>
      </c>
      <c r="K174" s="2">
        <v>19503</v>
      </c>
      <c r="L174" s="2">
        <v>1147286</v>
      </c>
      <c r="M174" s="2">
        <v>686</v>
      </c>
      <c r="N174" s="2" t="s">
        <v>140</v>
      </c>
      <c r="O174" s="2">
        <v>0.4</v>
      </c>
      <c r="P174" s="2">
        <v>0.78</v>
      </c>
      <c r="Q174" s="2">
        <v>0</v>
      </c>
      <c r="R174" s="2">
        <v>24</v>
      </c>
      <c r="S174" s="2">
        <v>403753</v>
      </c>
      <c r="T174" s="2">
        <v>43870</v>
      </c>
      <c r="U174" s="2">
        <v>5</v>
      </c>
      <c r="V174" s="2">
        <v>0</v>
      </c>
      <c r="W174" s="2">
        <v>0</v>
      </c>
      <c r="X174" s="30" t="s">
        <v>141</v>
      </c>
    </row>
    <row r="175" spans="1:24">
      <c r="A175" s="5" t="s">
        <v>500</v>
      </c>
      <c r="B175" s="2" t="s">
        <v>501</v>
      </c>
      <c r="C175" s="26">
        <v>45039</v>
      </c>
      <c r="D175" s="2" t="s">
        <v>131</v>
      </c>
      <c r="E175" s="2" t="s">
        <v>132</v>
      </c>
      <c r="F175" s="2" t="s">
        <v>170</v>
      </c>
      <c r="G175" s="2" t="s">
        <v>134</v>
      </c>
      <c r="H175" s="2">
        <v>24</v>
      </c>
      <c r="I175" s="2">
        <v>246200</v>
      </c>
      <c r="J175" s="2">
        <v>19.7</v>
      </c>
      <c r="K175" s="2">
        <v>12494</v>
      </c>
      <c r="L175" s="2">
        <v>1104459</v>
      </c>
      <c r="M175" s="2">
        <v>652</v>
      </c>
      <c r="N175" s="2" t="s">
        <v>140</v>
      </c>
      <c r="O175" s="2">
        <v>0.39</v>
      </c>
      <c r="P175" s="2">
        <v>0.96</v>
      </c>
      <c r="Q175" s="2">
        <v>0</v>
      </c>
      <c r="R175" s="2">
        <v>24</v>
      </c>
      <c r="S175" s="2">
        <v>282967</v>
      </c>
      <c r="T175" s="2">
        <v>2034</v>
      </c>
      <c r="U175" s="2">
        <v>0</v>
      </c>
      <c r="V175" s="2">
        <v>0</v>
      </c>
      <c r="W175" s="2">
        <v>0</v>
      </c>
      <c r="X175" s="30" t="s">
        <v>141</v>
      </c>
    </row>
    <row r="176" spans="1:24">
      <c r="A176" s="5" t="s">
        <v>502</v>
      </c>
      <c r="B176" s="2" t="s">
        <v>503</v>
      </c>
      <c r="C176" s="26">
        <v>45058</v>
      </c>
      <c r="D176" s="2" t="s">
        <v>158</v>
      </c>
      <c r="E176" s="2" t="s">
        <v>132</v>
      </c>
      <c r="F176" s="2" t="s">
        <v>133</v>
      </c>
      <c r="G176" s="2" t="s">
        <v>146</v>
      </c>
      <c r="H176" s="2">
        <v>60</v>
      </c>
      <c r="I176" s="2">
        <v>3041200</v>
      </c>
      <c r="J176" s="2">
        <v>15.76</v>
      </c>
      <c r="K176" s="2">
        <v>73569</v>
      </c>
      <c r="L176" s="2">
        <v>845704</v>
      </c>
      <c r="M176" s="2">
        <v>694</v>
      </c>
      <c r="N176" s="2" t="s">
        <v>140</v>
      </c>
      <c r="O176" s="2">
        <v>0.39</v>
      </c>
      <c r="P176" s="2">
        <v>0.71</v>
      </c>
      <c r="Q176" s="2">
        <v>4259100</v>
      </c>
      <c r="R176" s="2">
        <v>31</v>
      </c>
      <c r="S176" s="2">
        <v>2105042</v>
      </c>
      <c r="T176" s="2">
        <v>1431428</v>
      </c>
      <c r="U176" s="2">
        <v>0</v>
      </c>
      <c r="V176" s="2">
        <v>0</v>
      </c>
      <c r="W176" s="2">
        <v>0</v>
      </c>
      <c r="X176" s="30" t="s">
        <v>148</v>
      </c>
    </row>
    <row r="177" spans="1:24">
      <c r="A177" s="5" t="s">
        <v>504</v>
      </c>
      <c r="B177" s="2" t="s">
        <v>505</v>
      </c>
      <c r="C177" s="26">
        <v>45050</v>
      </c>
      <c r="D177" s="2" t="s">
        <v>177</v>
      </c>
      <c r="E177" s="2" t="s">
        <v>144</v>
      </c>
      <c r="F177" s="2" t="s">
        <v>170</v>
      </c>
      <c r="G177" s="2" t="s">
        <v>192</v>
      </c>
      <c r="H177" s="2">
        <v>48</v>
      </c>
      <c r="I177" s="2">
        <v>2688300</v>
      </c>
      <c r="J177" s="2">
        <v>14.27</v>
      </c>
      <c r="K177" s="2">
        <v>73826</v>
      </c>
      <c r="L177" s="2">
        <v>842683</v>
      </c>
      <c r="M177" s="2">
        <v>665</v>
      </c>
      <c r="N177" s="2" t="s">
        <v>140</v>
      </c>
      <c r="O177" s="2">
        <v>0.39</v>
      </c>
      <c r="P177" s="2">
        <v>0.98</v>
      </c>
      <c r="Q177" s="2">
        <v>0</v>
      </c>
      <c r="R177" s="2">
        <v>31</v>
      </c>
      <c r="S177" s="2">
        <v>2311452</v>
      </c>
      <c r="T177" s="2">
        <v>773256</v>
      </c>
      <c r="U177" s="2">
        <v>0</v>
      </c>
      <c r="V177" s="2">
        <v>0</v>
      </c>
      <c r="W177" s="2">
        <v>0</v>
      </c>
      <c r="X177" s="30" t="s">
        <v>148</v>
      </c>
    </row>
    <row r="178" spans="1:24">
      <c r="A178" s="5" t="s">
        <v>506</v>
      </c>
      <c r="B178" s="2" t="s">
        <v>507</v>
      </c>
      <c r="C178" s="26">
        <v>45038</v>
      </c>
      <c r="D178" s="2" t="s">
        <v>131</v>
      </c>
      <c r="E178" s="2" t="s">
        <v>144</v>
      </c>
      <c r="F178" s="2" t="s">
        <v>170</v>
      </c>
      <c r="G178" s="2" t="s">
        <v>152</v>
      </c>
      <c r="H178" s="2">
        <v>36</v>
      </c>
      <c r="I178" s="2">
        <v>384400</v>
      </c>
      <c r="J178" s="2">
        <v>17.73</v>
      </c>
      <c r="K178" s="2">
        <v>13845</v>
      </c>
      <c r="L178" s="2">
        <v>1397569</v>
      </c>
      <c r="M178" s="2">
        <v>697</v>
      </c>
      <c r="N178" s="2" t="s">
        <v>140</v>
      </c>
      <c r="O178" s="2">
        <v>0.38</v>
      </c>
      <c r="P178" s="2">
        <v>0.85</v>
      </c>
      <c r="Q178" s="2">
        <v>0</v>
      </c>
      <c r="R178" s="2">
        <v>32</v>
      </c>
      <c r="S178" s="2">
        <v>391299</v>
      </c>
      <c r="T178" s="2">
        <v>65799</v>
      </c>
      <c r="U178" s="2">
        <v>0</v>
      </c>
      <c r="V178" s="2">
        <v>0</v>
      </c>
      <c r="W178" s="2">
        <v>0</v>
      </c>
      <c r="X178" s="30" t="s">
        <v>148</v>
      </c>
    </row>
    <row r="179" spans="1:24">
      <c r="A179" s="5" t="s">
        <v>508</v>
      </c>
      <c r="B179" s="2" t="s">
        <v>509</v>
      </c>
      <c r="C179" s="26">
        <v>45084</v>
      </c>
      <c r="D179" s="2" t="s">
        <v>131</v>
      </c>
      <c r="E179" s="2" t="s">
        <v>213</v>
      </c>
      <c r="F179" s="2" t="s">
        <v>139</v>
      </c>
      <c r="G179" s="2" t="s">
        <v>146</v>
      </c>
      <c r="H179" s="2">
        <v>36</v>
      </c>
      <c r="I179" s="2">
        <v>494000</v>
      </c>
      <c r="J179" s="2">
        <v>14.77</v>
      </c>
      <c r="K179" s="2">
        <v>17069</v>
      </c>
      <c r="L179" s="2">
        <v>556332</v>
      </c>
      <c r="M179" s="2">
        <v>753</v>
      </c>
      <c r="N179" s="2" t="s">
        <v>160</v>
      </c>
      <c r="O179" s="2">
        <v>0.36</v>
      </c>
      <c r="P179" s="2">
        <v>0.66</v>
      </c>
      <c r="Q179" s="2">
        <v>0</v>
      </c>
      <c r="R179" s="2">
        <v>30</v>
      </c>
      <c r="S179" s="2">
        <v>509887</v>
      </c>
      <c r="T179" s="2">
        <v>57077</v>
      </c>
      <c r="U179" s="2">
        <v>0</v>
      </c>
      <c r="V179" s="2">
        <v>0</v>
      </c>
      <c r="W179" s="2">
        <v>0</v>
      </c>
      <c r="X179" s="30" t="s">
        <v>148</v>
      </c>
    </row>
    <row r="180" spans="1:24">
      <c r="A180" s="5" t="s">
        <v>510</v>
      </c>
      <c r="B180" s="2" t="s">
        <v>511</v>
      </c>
      <c r="C180" s="26">
        <v>45018</v>
      </c>
      <c r="D180" s="2" t="s">
        <v>163</v>
      </c>
      <c r="E180" s="2" t="s">
        <v>159</v>
      </c>
      <c r="F180" s="2" t="s">
        <v>133</v>
      </c>
      <c r="G180" s="2" t="s">
        <v>134</v>
      </c>
      <c r="H180" s="2">
        <v>36</v>
      </c>
      <c r="I180" s="2">
        <v>728600</v>
      </c>
      <c r="J180" s="2">
        <v>7</v>
      </c>
      <c r="K180" s="2">
        <v>22497</v>
      </c>
      <c r="L180" s="2">
        <v>1163334</v>
      </c>
      <c r="M180" s="2">
        <v>812</v>
      </c>
      <c r="N180" s="2" t="s">
        <v>160</v>
      </c>
      <c r="O180" s="2">
        <v>0.36</v>
      </c>
      <c r="P180" s="2">
        <v>0.8</v>
      </c>
      <c r="Q180" s="2">
        <v>908800</v>
      </c>
      <c r="R180" s="2">
        <v>32</v>
      </c>
      <c r="S180" s="2">
        <v>627291</v>
      </c>
      <c r="T180" s="2">
        <v>155711</v>
      </c>
      <c r="U180" s="2">
        <v>0</v>
      </c>
      <c r="V180" s="2">
        <v>0</v>
      </c>
      <c r="W180" s="2">
        <v>0</v>
      </c>
      <c r="X180" s="30" t="s">
        <v>148</v>
      </c>
    </row>
    <row r="181" spans="1:24">
      <c r="A181" s="5" t="s">
        <v>512</v>
      </c>
      <c r="B181" s="2" t="s">
        <v>513</v>
      </c>
      <c r="C181" s="26">
        <v>45094</v>
      </c>
      <c r="D181" s="2" t="s">
        <v>169</v>
      </c>
      <c r="E181" s="2" t="s">
        <v>144</v>
      </c>
      <c r="F181" s="2" t="s">
        <v>139</v>
      </c>
      <c r="G181" s="2" t="s">
        <v>134</v>
      </c>
      <c r="H181" s="2">
        <v>36</v>
      </c>
      <c r="I181" s="2">
        <v>2882900</v>
      </c>
      <c r="J181" s="2">
        <v>7</v>
      </c>
      <c r="K181" s="2">
        <v>89016</v>
      </c>
      <c r="L181" s="2">
        <v>1196786</v>
      </c>
      <c r="M181" s="2">
        <v>793</v>
      </c>
      <c r="N181" s="2" t="s">
        <v>160</v>
      </c>
      <c r="O181" s="2">
        <v>0.35</v>
      </c>
      <c r="P181" s="2">
        <v>0.8</v>
      </c>
      <c r="Q181" s="2">
        <v>3616300</v>
      </c>
      <c r="R181" s="2">
        <v>30</v>
      </c>
      <c r="S181" s="2">
        <v>2452214</v>
      </c>
      <c r="T181" s="2">
        <v>632489</v>
      </c>
      <c r="U181" s="2">
        <v>0</v>
      </c>
      <c r="V181" s="2">
        <v>0</v>
      </c>
      <c r="W181" s="2">
        <v>0</v>
      </c>
      <c r="X181" s="30" t="s">
        <v>148</v>
      </c>
    </row>
    <row r="182" spans="1:24">
      <c r="A182" s="5" t="s">
        <v>514</v>
      </c>
      <c r="B182" s="2" t="s">
        <v>515</v>
      </c>
      <c r="C182" s="26">
        <v>45057</v>
      </c>
      <c r="D182" s="2" t="s">
        <v>131</v>
      </c>
      <c r="E182" s="2" t="s">
        <v>144</v>
      </c>
      <c r="F182" s="2" t="s">
        <v>170</v>
      </c>
      <c r="G182" s="2" t="s">
        <v>134</v>
      </c>
      <c r="H182" s="2">
        <v>48</v>
      </c>
      <c r="I182" s="2">
        <v>889200</v>
      </c>
      <c r="J182" s="2">
        <v>16.8</v>
      </c>
      <c r="K182" s="2">
        <v>25566</v>
      </c>
      <c r="L182" s="2">
        <v>1058898</v>
      </c>
      <c r="M182" s="2">
        <v>715</v>
      </c>
      <c r="N182" s="2" t="s">
        <v>135</v>
      </c>
      <c r="O182" s="2">
        <v>0.33</v>
      </c>
      <c r="P182" s="2">
        <v>0.64</v>
      </c>
      <c r="Q182" s="2">
        <v>0</v>
      </c>
      <c r="R182" s="2">
        <v>31</v>
      </c>
      <c r="S182" s="2">
        <v>736194</v>
      </c>
      <c r="T182" s="2">
        <v>307371</v>
      </c>
      <c r="U182" s="2">
        <v>90</v>
      </c>
      <c r="V182" s="2">
        <v>0</v>
      </c>
      <c r="W182" s="2">
        <v>1</v>
      </c>
      <c r="X182" s="30" t="s">
        <v>153</v>
      </c>
    </row>
    <row r="183" spans="1:24">
      <c r="A183" s="5" t="s">
        <v>516</v>
      </c>
      <c r="B183" s="2" t="s">
        <v>517</v>
      </c>
      <c r="C183" s="26">
        <v>45083</v>
      </c>
      <c r="D183" s="2" t="s">
        <v>163</v>
      </c>
      <c r="E183" s="2" t="s">
        <v>132</v>
      </c>
      <c r="F183" s="2" t="s">
        <v>151</v>
      </c>
      <c r="G183" s="2" t="s">
        <v>134</v>
      </c>
      <c r="H183" s="2">
        <v>84</v>
      </c>
      <c r="I183" s="2">
        <v>1586800</v>
      </c>
      <c r="J183" s="2">
        <v>15.26</v>
      </c>
      <c r="K183" s="2">
        <v>30852</v>
      </c>
      <c r="L183" s="2">
        <v>1673724</v>
      </c>
      <c r="M183" s="2">
        <v>640</v>
      </c>
      <c r="N183" s="2" t="s">
        <v>147</v>
      </c>
      <c r="O183" s="2">
        <v>0.31</v>
      </c>
      <c r="P183" s="2">
        <v>0.65</v>
      </c>
      <c r="Q183" s="2">
        <v>2434600</v>
      </c>
      <c r="R183" s="2">
        <v>30</v>
      </c>
      <c r="S183" s="2">
        <v>892116</v>
      </c>
      <c r="T183" s="2">
        <v>936830</v>
      </c>
      <c r="U183" s="2">
        <v>5</v>
      </c>
      <c r="V183" s="2">
        <v>0</v>
      </c>
      <c r="W183" s="2">
        <v>0</v>
      </c>
      <c r="X183" s="30" t="s">
        <v>148</v>
      </c>
    </row>
    <row r="184" spans="1:24">
      <c r="A184" s="5" t="s">
        <v>518</v>
      </c>
      <c r="B184" s="2" t="s">
        <v>519</v>
      </c>
      <c r="C184" s="26">
        <v>45046</v>
      </c>
      <c r="D184" s="2" t="s">
        <v>163</v>
      </c>
      <c r="E184" s="2" t="s">
        <v>132</v>
      </c>
      <c r="F184" s="2" t="s">
        <v>133</v>
      </c>
      <c r="G184" s="2" t="s">
        <v>134</v>
      </c>
      <c r="H184" s="2">
        <v>60</v>
      </c>
      <c r="I184" s="2">
        <v>1343600</v>
      </c>
      <c r="J184" s="2">
        <v>15.06</v>
      </c>
      <c r="K184" s="2">
        <v>32006</v>
      </c>
      <c r="L184" s="2">
        <v>1480082</v>
      </c>
      <c r="M184" s="2">
        <v>609</v>
      </c>
      <c r="N184" s="2" t="s">
        <v>147</v>
      </c>
      <c r="O184" s="2">
        <v>0.28999999999999998</v>
      </c>
      <c r="P184" s="2">
        <v>0.64</v>
      </c>
      <c r="Q184" s="2">
        <v>2084300</v>
      </c>
      <c r="R184" s="2">
        <v>32</v>
      </c>
      <c r="S184" s="2">
        <v>990020</v>
      </c>
      <c r="T184" s="2">
        <v>569416</v>
      </c>
      <c r="U184" s="2">
        <v>0</v>
      </c>
      <c r="V184" s="2">
        <v>0</v>
      </c>
      <c r="W184" s="2">
        <v>0</v>
      </c>
      <c r="X184" s="30" t="s">
        <v>148</v>
      </c>
    </row>
    <row r="185" spans="1:24">
      <c r="A185" s="5" t="s">
        <v>520</v>
      </c>
      <c r="B185" s="2" t="s">
        <v>521</v>
      </c>
      <c r="C185" s="26">
        <v>45054</v>
      </c>
      <c r="D185" s="2" t="s">
        <v>131</v>
      </c>
      <c r="E185" s="2" t="s">
        <v>132</v>
      </c>
      <c r="F185" s="2" t="s">
        <v>145</v>
      </c>
      <c r="G185" s="2" t="s">
        <v>152</v>
      </c>
      <c r="H185" s="2">
        <v>18</v>
      </c>
      <c r="I185" s="2">
        <v>332400</v>
      </c>
      <c r="J185" s="2">
        <v>16.309999999999999</v>
      </c>
      <c r="K185" s="2">
        <v>20942</v>
      </c>
      <c r="L185" s="2">
        <v>809135</v>
      </c>
      <c r="M185" s="2">
        <v>726</v>
      </c>
      <c r="N185" s="2" t="s">
        <v>135</v>
      </c>
      <c r="O185" s="2">
        <v>0.28000000000000003</v>
      </c>
      <c r="P185" s="2">
        <v>0.68</v>
      </c>
      <c r="Q185" s="2">
        <v>0</v>
      </c>
      <c r="R185" s="2">
        <v>18</v>
      </c>
      <c r="S185" s="2">
        <v>380968</v>
      </c>
      <c r="T185" s="2">
        <v>0</v>
      </c>
      <c r="U185" s="2">
        <v>45</v>
      </c>
      <c r="V185" s="2">
        <v>0</v>
      </c>
      <c r="W185" s="2">
        <v>0</v>
      </c>
      <c r="X185" s="30" t="s">
        <v>141</v>
      </c>
    </row>
    <row r="186" spans="1:24">
      <c r="A186" s="5" t="s">
        <v>522</v>
      </c>
      <c r="B186" s="2" t="s">
        <v>523</v>
      </c>
      <c r="C186" s="26">
        <v>45090</v>
      </c>
      <c r="D186" s="2" t="s">
        <v>169</v>
      </c>
      <c r="E186" s="2" t="s">
        <v>144</v>
      </c>
      <c r="F186" s="2" t="s">
        <v>133</v>
      </c>
      <c r="G186" s="2" t="s">
        <v>146</v>
      </c>
      <c r="H186" s="2">
        <v>24</v>
      </c>
      <c r="I186" s="2">
        <v>4157700</v>
      </c>
      <c r="J186" s="2">
        <v>7</v>
      </c>
      <c r="K186" s="2">
        <v>186151</v>
      </c>
      <c r="L186" s="2">
        <v>337135</v>
      </c>
      <c r="M186" s="2">
        <v>809</v>
      </c>
      <c r="N186" s="2" t="s">
        <v>160</v>
      </c>
      <c r="O186" s="2">
        <v>0.27</v>
      </c>
      <c r="P186" s="2">
        <v>0.81</v>
      </c>
      <c r="Q186" s="2">
        <v>5121900</v>
      </c>
      <c r="R186" s="2">
        <v>24</v>
      </c>
      <c r="S186" s="2">
        <v>4377222</v>
      </c>
      <c r="T186" s="2">
        <v>13309</v>
      </c>
      <c r="U186" s="2">
        <v>0</v>
      </c>
      <c r="V186" s="2">
        <v>0</v>
      </c>
      <c r="W186" s="2">
        <v>0</v>
      </c>
      <c r="X186" s="30" t="s">
        <v>141</v>
      </c>
    </row>
    <row r="187" spans="1:24">
      <c r="A187" s="5" t="s">
        <v>524</v>
      </c>
      <c r="B187" s="2" t="s">
        <v>525</v>
      </c>
      <c r="C187" s="26">
        <v>45059</v>
      </c>
      <c r="D187" s="2" t="s">
        <v>158</v>
      </c>
      <c r="E187" s="2" t="s">
        <v>144</v>
      </c>
      <c r="F187" s="2" t="s">
        <v>133</v>
      </c>
      <c r="G187" s="2" t="s">
        <v>146</v>
      </c>
      <c r="H187" s="2">
        <v>84</v>
      </c>
      <c r="I187" s="2">
        <v>1939000</v>
      </c>
      <c r="J187" s="2">
        <v>13.69</v>
      </c>
      <c r="K187" s="2">
        <v>36006</v>
      </c>
      <c r="L187" s="2">
        <v>480844</v>
      </c>
      <c r="M187" s="2">
        <v>712</v>
      </c>
      <c r="N187" s="2" t="s">
        <v>135</v>
      </c>
      <c r="O187" s="2">
        <v>0.26</v>
      </c>
      <c r="P187" s="2">
        <v>0.87</v>
      </c>
      <c r="Q187" s="2">
        <v>2235100</v>
      </c>
      <c r="R187" s="2">
        <v>31</v>
      </c>
      <c r="S187" s="2">
        <v>1017582</v>
      </c>
      <c r="T187" s="2">
        <v>1195715</v>
      </c>
      <c r="U187" s="2">
        <v>0</v>
      </c>
      <c r="V187" s="2">
        <v>0</v>
      </c>
      <c r="W187" s="2">
        <v>0</v>
      </c>
      <c r="X187" s="30" t="s">
        <v>148</v>
      </c>
    </row>
    <row r="188" spans="1:24">
      <c r="A188" s="5" t="s">
        <v>526</v>
      </c>
      <c r="B188" s="2" t="s">
        <v>527</v>
      </c>
      <c r="C188" s="26">
        <v>45039</v>
      </c>
      <c r="D188" s="2" t="s">
        <v>169</v>
      </c>
      <c r="E188" s="2" t="s">
        <v>132</v>
      </c>
      <c r="F188" s="2" t="s">
        <v>133</v>
      </c>
      <c r="G188" s="2" t="s">
        <v>134</v>
      </c>
      <c r="H188" s="2">
        <v>240</v>
      </c>
      <c r="I188" s="2">
        <v>6984600</v>
      </c>
      <c r="J188" s="2">
        <v>11.77</v>
      </c>
      <c r="K188" s="2">
        <v>75789</v>
      </c>
      <c r="L188" s="2">
        <v>975672</v>
      </c>
      <c r="M188" s="2">
        <v>663</v>
      </c>
      <c r="N188" s="2" t="s">
        <v>140</v>
      </c>
      <c r="O188" s="2">
        <v>0.24</v>
      </c>
      <c r="P188" s="2">
        <v>0.83</v>
      </c>
      <c r="Q188" s="2">
        <v>8422200</v>
      </c>
      <c r="R188" s="2">
        <v>32</v>
      </c>
      <c r="S188" s="2">
        <v>2107384</v>
      </c>
      <c r="T188" s="2">
        <v>5754109</v>
      </c>
      <c r="U188" s="2">
        <v>0</v>
      </c>
      <c r="V188" s="2">
        <v>0</v>
      </c>
      <c r="W188" s="2">
        <v>0</v>
      </c>
      <c r="X188" s="30" t="s">
        <v>148</v>
      </c>
    </row>
    <row r="189" spans="1:24">
      <c r="A189" s="5" t="s">
        <v>528</v>
      </c>
      <c r="B189" s="2" t="s">
        <v>529</v>
      </c>
      <c r="C189" s="26">
        <v>45089</v>
      </c>
      <c r="D189" s="2" t="s">
        <v>131</v>
      </c>
      <c r="E189" s="2" t="s">
        <v>132</v>
      </c>
      <c r="F189" s="2" t="s">
        <v>133</v>
      </c>
      <c r="G189" s="2" t="s">
        <v>152</v>
      </c>
      <c r="H189" s="2">
        <v>12</v>
      </c>
      <c r="I189" s="2">
        <v>227300</v>
      </c>
      <c r="J189" s="2">
        <v>14.03</v>
      </c>
      <c r="K189" s="2">
        <v>20412</v>
      </c>
      <c r="L189" s="2">
        <v>850509</v>
      </c>
      <c r="M189" s="2">
        <v>756</v>
      </c>
      <c r="N189" s="2" t="s">
        <v>160</v>
      </c>
      <c r="O189" s="2">
        <v>0.23</v>
      </c>
      <c r="P189" s="2">
        <v>0.72</v>
      </c>
      <c r="Q189" s="2">
        <v>0</v>
      </c>
      <c r="R189" s="2">
        <v>12</v>
      </c>
      <c r="S189" s="2">
        <v>223150</v>
      </c>
      <c r="T189" s="2">
        <v>16906</v>
      </c>
      <c r="U189" s="2">
        <v>0</v>
      </c>
      <c r="V189" s="2">
        <v>0</v>
      </c>
      <c r="W189" s="2">
        <v>0</v>
      </c>
      <c r="X189" s="30" t="s">
        <v>141</v>
      </c>
    </row>
    <row r="190" spans="1:24">
      <c r="A190" s="5" t="s">
        <v>530</v>
      </c>
      <c r="B190" s="2" t="s">
        <v>531</v>
      </c>
      <c r="C190" s="26">
        <v>45052</v>
      </c>
      <c r="D190" s="2" t="s">
        <v>131</v>
      </c>
      <c r="E190" s="2" t="s">
        <v>144</v>
      </c>
      <c r="F190" s="2" t="s">
        <v>145</v>
      </c>
      <c r="G190" s="2" t="s">
        <v>152</v>
      </c>
      <c r="H190" s="2">
        <v>240</v>
      </c>
      <c r="I190" s="2">
        <v>423700</v>
      </c>
      <c r="J190" s="2">
        <v>15.19</v>
      </c>
      <c r="K190" s="2">
        <v>5639</v>
      </c>
      <c r="L190" s="2">
        <v>712661</v>
      </c>
      <c r="M190" s="2">
        <v>746</v>
      </c>
      <c r="N190" s="2" t="s">
        <v>135</v>
      </c>
      <c r="O190" s="2">
        <v>0.23</v>
      </c>
      <c r="P190" s="2">
        <v>0.73</v>
      </c>
      <c r="Q190" s="2">
        <v>0</v>
      </c>
      <c r="R190" s="2">
        <v>31</v>
      </c>
      <c r="S190" s="2">
        <v>175266</v>
      </c>
      <c r="T190" s="2">
        <v>314939</v>
      </c>
      <c r="U190" s="2">
        <v>5</v>
      </c>
      <c r="V190" s="2">
        <v>0</v>
      </c>
      <c r="W190" s="2">
        <v>0</v>
      </c>
      <c r="X190" s="30" t="s">
        <v>148</v>
      </c>
    </row>
    <row r="191" spans="1:24">
      <c r="A191" s="5" t="s">
        <v>532</v>
      </c>
      <c r="B191" s="2" t="s">
        <v>533</v>
      </c>
      <c r="C191" s="26">
        <v>45035</v>
      </c>
      <c r="D191" s="2" t="s">
        <v>131</v>
      </c>
      <c r="E191" s="2" t="s">
        <v>132</v>
      </c>
      <c r="F191" s="2" t="s">
        <v>151</v>
      </c>
      <c r="G191" s="2" t="s">
        <v>134</v>
      </c>
      <c r="H191" s="2">
        <v>24</v>
      </c>
      <c r="I191" s="2">
        <v>320100</v>
      </c>
      <c r="J191" s="2">
        <v>18.09</v>
      </c>
      <c r="K191" s="2">
        <v>15995</v>
      </c>
      <c r="L191" s="2">
        <v>1008294</v>
      </c>
      <c r="M191" s="2">
        <v>700</v>
      </c>
      <c r="N191" s="2" t="s">
        <v>135</v>
      </c>
      <c r="O191" s="2">
        <v>0.22</v>
      </c>
      <c r="P191" s="2">
        <v>0.68</v>
      </c>
      <c r="Q191" s="2">
        <v>0</v>
      </c>
      <c r="R191" s="2">
        <v>24</v>
      </c>
      <c r="S191" s="2">
        <v>370939</v>
      </c>
      <c r="T191" s="2">
        <v>0</v>
      </c>
      <c r="U191" s="2">
        <v>0</v>
      </c>
      <c r="V191" s="2">
        <v>0</v>
      </c>
      <c r="W191" s="2">
        <v>0</v>
      </c>
      <c r="X191" s="30" t="s">
        <v>141</v>
      </c>
    </row>
    <row r="192" spans="1:24">
      <c r="A192" s="5" t="s">
        <v>534</v>
      </c>
      <c r="B192" s="2" t="s">
        <v>535</v>
      </c>
      <c r="C192" s="26">
        <v>45063</v>
      </c>
      <c r="D192" s="2" t="s">
        <v>131</v>
      </c>
      <c r="E192" s="2" t="s">
        <v>132</v>
      </c>
      <c r="F192" s="2" t="s">
        <v>145</v>
      </c>
      <c r="G192" s="2" t="s">
        <v>146</v>
      </c>
      <c r="H192" s="2">
        <v>24</v>
      </c>
      <c r="I192" s="2">
        <v>826100</v>
      </c>
      <c r="J192" s="2">
        <v>16.63</v>
      </c>
      <c r="K192" s="2">
        <v>40698</v>
      </c>
      <c r="L192" s="2">
        <v>1504146</v>
      </c>
      <c r="M192" s="2">
        <v>722</v>
      </c>
      <c r="N192" s="2" t="s">
        <v>135</v>
      </c>
      <c r="O192" s="2">
        <v>0.22</v>
      </c>
      <c r="P192" s="2">
        <v>0.77</v>
      </c>
      <c r="Q192" s="2">
        <v>0</v>
      </c>
      <c r="R192" s="2">
        <v>24</v>
      </c>
      <c r="S192" s="2">
        <v>845837</v>
      </c>
      <c r="T192" s="2">
        <v>90167</v>
      </c>
      <c r="U192" s="2">
        <v>0</v>
      </c>
      <c r="V192" s="2">
        <v>0</v>
      </c>
      <c r="W192" s="2">
        <v>0</v>
      </c>
      <c r="X192" s="30" t="s">
        <v>141</v>
      </c>
    </row>
    <row r="193" spans="1:24">
      <c r="A193" s="5" t="s">
        <v>536</v>
      </c>
      <c r="B193" s="2" t="s">
        <v>537</v>
      </c>
      <c r="C193" s="26">
        <v>45018</v>
      </c>
      <c r="D193" s="2" t="s">
        <v>169</v>
      </c>
      <c r="E193" s="2" t="s">
        <v>159</v>
      </c>
      <c r="F193" s="2" t="s">
        <v>133</v>
      </c>
      <c r="G193" s="2" t="s">
        <v>152</v>
      </c>
      <c r="H193" s="2">
        <v>12</v>
      </c>
      <c r="I193" s="2">
        <v>4746300</v>
      </c>
      <c r="J193" s="2">
        <v>12.91</v>
      </c>
      <c r="K193" s="2">
        <v>423726</v>
      </c>
      <c r="L193" s="2">
        <v>609050</v>
      </c>
      <c r="M193" s="2">
        <v>627</v>
      </c>
      <c r="N193" s="2" t="s">
        <v>147</v>
      </c>
      <c r="O193" s="2">
        <v>0.16</v>
      </c>
      <c r="P193" s="2">
        <v>0.68</v>
      </c>
      <c r="Q193" s="2">
        <v>6994400</v>
      </c>
      <c r="R193" s="2">
        <v>12</v>
      </c>
      <c r="S193" s="2">
        <v>5133992</v>
      </c>
      <c r="T193" s="2">
        <v>0</v>
      </c>
      <c r="U193" s="2">
        <v>0</v>
      </c>
      <c r="V193" s="2">
        <v>0</v>
      </c>
      <c r="W193" s="2">
        <v>0</v>
      </c>
      <c r="X193" s="30" t="s">
        <v>141</v>
      </c>
    </row>
    <row r="194" spans="1:24">
      <c r="A194" s="5" t="s">
        <v>538</v>
      </c>
      <c r="B194" s="2" t="s">
        <v>539</v>
      </c>
      <c r="C194" s="26">
        <v>45027</v>
      </c>
      <c r="D194" s="2" t="s">
        <v>158</v>
      </c>
      <c r="E194" s="2" t="s">
        <v>144</v>
      </c>
      <c r="F194" s="2" t="s">
        <v>145</v>
      </c>
      <c r="G194" s="2" t="s">
        <v>134</v>
      </c>
      <c r="H194" s="2">
        <v>72</v>
      </c>
      <c r="I194" s="2">
        <v>1940900</v>
      </c>
      <c r="J194" s="2">
        <v>15.41</v>
      </c>
      <c r="K194" s="2">
        <v>41474</v>
      </c>
      <c r="L194" s="2">
        <v>877838</v>
      </c>
      <c r="M194" s="2">
        <v>696</v>
      </c>
      <c r="N194" s="2" t="s">
        <v>140</v>
      </c>
      <c r="O194" s="2">
        <v>0.09</v>
      </c>
      <c r="P194" s="2">
        <v>0.81</v>
      </c>
      <c r="Q194" s="2">
        <v>2381700</v>
      </c>
      <c r="R194" s="2">
        <v>32</v>
      </c>
      <c r="S194" s="2">
        <v>1347059</v>
      </c>
      <c r="T194" s="2">
        <v>912873</v>
      </c>
      <c r="U194" s="2">
        <v>0</v>
      </c>
      <c r="V194" s="2">
        <v>0</v>
      </c>
      <c r="W194" s="2">
        <v>0</v>
      </c>
      <c r="X194" s="30" t="s">
        <v>148</v>
      </c>
    </row>
    <row r="195" spans="1:24">
      <c r="A195" s="5" t="s">
        <v>540</v>
      </c>
      <c r="B195" s="2" t="s">
        <v>541</v>
      </c>
      <c r="C195" s="26">
        <v>45023</v>
      </c>
      <c r="D195" s="2" t="s">
        <v>131</v>
      </c>
      <c r="E195" s="2" t="s">
        <v>132</v>
      </c>
      <c r="F195" s="2" t="s">
        <v>139</v>
      </c>
      <c r="G195" s="2" t="s">
        <v>134</v>
      </c>
      <c r="H195" s="2">
        <v>18</v>
      </c>
      <c r="I195" s="2">
        <v>650800</v>
      </c>
      <c r="J195" s="2">
        <v>15.67</v>
      </c>
      <c r="K195" s="2">
        <v>40806</v>
      </c>
      <c r="L195" s="2">
        <v>1047864</v>
      </c>
      <c r="M195" s="2">
        <v>754</v>
      </c>
      <c r="N195" s="2" t="s">
        <v>160</v>
      </c>
      <c r="O195" s="2">
        <v>0.08</v>
      </c>
      <c r="P195" s="2">
        <v>0.74</v>
      </c>
      <c r="Q195" s="2">
        <v>0</v>
      </c>
      <c r="R195" s="2">
        <v>18</v>
      </c>
      <c r="S195" s="2">
        <v>727254</v>
      </c>
      <c r="T195" s="2">
        <v>0</v>
      </c>
      <c r="U195" s="2">
        <v>0</v>
      </c>
      <c r="V195" s="2">
        <v>0</v>
      </c>
      <c r="W195" s="2">
        <v>0</v>
      </c>
      <c r="X195" s="30" t="s">
        <v>141</v>
      </c>
    </row>
    <row r="196" spans="1:24">
      <c r="A196" s="5" t="s">
        <v>542</v>
      </c>
      <c r="B196" s="2" t="s">
        <v>543</v>
      </c>
      <c r="C196" s="26">
        <v>45401</v>
      </c>
      <c r="D196" s="2" t="s">
        <v>131</v>
      </c>
      <c r="E196" s="2" t="s">
        <v>144</v>
      </c>
      <c r="F196" s="2" t="s">
        <v>151</v>
      </c>
      <c r="G196" s="2" t="s">
        <v>134</v>
      </c>
      <c r="H196" s="2">
        <v>48</v>
      </c>
      <c r="I196" s="2">
        <v>820300</v>
      </c>
      <c r="J196" s="2">
        <v>16.37</v>
      </c>
      <c r="K196" s="2">
        <v>23403</v>
      </c>
      <c r="L196" s="2">
        <v>1263401</v>
      </c>
      <c r="M196" s="2">
        <v>728</v>
      </c>
      <c r="N196" s="2" t="s">
        <v>135</v>
      </c>
      <c r="O196" s="2">
        <v>0.49</v>
      </c>
      <c r="P196" s="2">
        <v>0.71</v>
      </c>
      <c r="Q196" s="2">
        <v>0</v>
      </c>
      <c r="R196" s="2">
        <v>20</v>
      </c>
      <c r="S196" s="2">
        <v>474647</v>
      </c>
      <c r="T196" s="2">
        <v>435175</v>
      </c>
      <c r="U196" s="2">
        <v>0</v>
      </c>
      <c r="V196" s="2">
        <v>0</v>
      </c>
      <c r="W196" s="2">
        <v>0</v>
      </c>
      <c r="X196" s="30" t="s">
        <v>148</v>
      </c>
    </row>
    <row r="197" spans="1:24">
      <c r="A197" s="5" t="s">
        <v>544</v>
      </c>
      <c r="B197" s="2" t="s">
        <v>545</v>
      </c>
      <c r="C197" s="26">
        <v>45470</v>
      </c>
      <c r="D197" s="2" t="s">
        <v>131</v>
      </c>
      <c r="E197" s="2" t="s">
        <v>213</v>
      </c>
      <c r="F197" s="2" t="s">
        <v>133</v>
      </c>
      <c r="G197" s="2" t="s">
        <v>134</v>
      </c>
      <c r="H197" s="2">
        <v>36</v>
      </c>
      <c r="I197" s="2">
        <v>547200</v>
      </c>
      <c r="J197" s="2">
        <v>25.72</v>
      </c>
      <c r="K197" s="2">
        <v>21965</v>
      </c>
      <c r="L197" s="2">
        <v>730254</v>
      </c>
      <c r="M197" s="2">
        <v>547</v>
      </c>
      <c r="N197" s="2" t="s">
        <v>166</v>
      </c>
      <c r="O197" s="2">
        <v>0.48</v>
      </c>
      <c r="P197" s="2">
        <v>0.93</v>
      </c>
      <c r="Q197" s="2">
        <v>0</v>
      </c>
      <c r="R197" s="2">
        <v>18</v>
      </c>
      <c r="S197" s="2">
        <v>341270</v>
      </c>
      <c r="T197" s="2">
        <v>290374</v>
      </c>
      <c r="U197" s="2">
        <v>0</v>
      </c>
      <c r="V197" s="2">
        <v>0</v>
      </c>
      <c r="W197" s="2">
        <v>0</v>
      </c>
      <c r="X197" s="30" t="s">
        <v>148</v>
      </c>
    </row>
    <row r="198" spans="1:24">
      <c r="A198" s="5" t="s">
        <v>546</v>
      </c>
      <c r="B198" s="2" t="s">
        <v>547</v>
      </c>
      <c r="C198" s="26">
        <v>45417</v>
      </c>
      <c r="D198" s="2" t="s">
        <v>158</v>
      </c>
      <c r="E198" s="2" t="s">
        <v>144</v>
      </c>
      <c r="F198" s="2" t="s">
        <v>133</v>
      </c>
      <c r="G198" s="2" t="s">
        <v>134</v>
      </c>
      <c r="H198" s="2">
        <v>24</v>
      </c>
      <c r="I198" s="2">
        <v>3011800</v>
      </c>
      <c r="J198" s="2">
        <v>17.3</v>
      </c>
      <c r="K198" s="2">
        <v>149345</v>
      </c>
      <c r="L198" s="2">
        <v>554816</v>
      </c>
      <c r="M198" s="2">
        <v>646</v>
      </c>
      <c r="N198" s="2" t="s">
        <v>147</v>
      </c>
      <c r="O198" s="2">
        <v>0.46</v>
      </c>
      <c r="P198" s="2">
        <v>0.64</v>
      </c>
      <c r="Q198" s="2">
        <v>4703300</v>
      </c>
      <c r="R198" s="2">
        <v>19</v>
      </c>
      <c r="S198" s="2">
        <v>2729971</v>
      </c>
      <c r="T198" s="2">
        <v>611822</v>
      </c>
      <c r="U198" s="2">
        <v>30</v>
      </c>
      <c r="V198" s="2">
        <v>0</v>
      </c>
      <c r="W198" s="2">
        <v>0</v>
      </c>
      <c r="X198" s="30" t="s">
        <v>136</v>
      </c>
    </row>
    <row r="199" spans="1:24">
      <c r="A199" s="5" t="s">
        <v>548</v>
      </c>
      <c r="B199" s="2" t="s">
        <v>549</v>
      </c>
      <c r="C199" s="26">
        <v>45465</v>
      </c>
      <c r="D199" s="2" t="s">
        <v>169</v>
      </c>
      <c r="E199" s="2" t="s">
        <v>144</v>
      </c>
      <c r="F199" s="2" t="s">
        <v>151</v>
      </c>
      <c r="G199" s="2" t="s">
        <v>134</v>
      </c>
      <c r="H199" s="2">
        <v>36</v>
      </c>
      <c r="I199" s="2">
        <v>8095400</v>
      </c>
      <c r="J199" s="2">
        <v>12.78</v>
      </c>
      <c r="K199" s="2">
        <v>271909</v>
      </c>
      <c r="L199" s="2">
        <v>1036163</v>
      </c>
      <c r="M199" s="2">
        <v>661</v>
      </c>
      <c r="N199" s="2" t="s">
        <v>140</v>
      </c>
      <c r="O199" s="2">
        <v>0.43</v>
      </c>
      <c r="P199" s="2">
        <v>0.81</v>
      </c>
      <c r="Q199" s="2">
        <v>9940700</v>
      </c>
      <c r="R199" s="2">
        <v>18</v>
      </c>
      <c r="S199" s="2">
        <v>4582625</v>
      </c>
      <c r="T199" s="2">
        <v>4133530</v>
      </c>
      <c r="U199" s="2">
        <v>0</v>
      </c>
      <c r="V199" s="2">
        <v>0</v>
      </c>
      <c r="W199" s="2">
        <v>0</v>
      </c>
      <c r="X199" s="30" t="s">
        <v>148</v>
      </c>
    </row>
    <row r="200" spans="1:24">
      <c r="A200" s="5" t="s">
        <v>550</v>
      </c>
      <c r="B200" s="2" t="s">
        <v>551</v>
      </c>
      <c r="C200" s="26">
        <v>45464</v>
      </c>
      <c r="D200" s="2" t="s">
        <v>158</v>
      </c>
      <c r="E200" s="2" t="s">
        <v>213</v>
      </c>
      <c r="F200" s="2" t="s">
        <v>139</v>
      </c>
      <c r="G200" s="2" t="s">
        <v>134</v>
      </c>
      <c r="H200" s="2">
        <v>60</v>
      </c>
      <c r="I200" s="2">
        <v>1660200</v>
      </c>
      <c r="J200" s="2">
        <v>12.47</v>
      </c>
      <c r="K200" s="2">
        <v>37326</v>
      </c>
      <c r="L200" s="2">
        <v>662357</v>
      </c>
      <c r="M200" s="2">
        <v>739</v>
      </c>
      <c r="N200" s="2" t="s">
        <v>135</v>
      </c>
      <c r="O200" s="2">
        <v>0.42</v>
      </c>
      <c r="P200" s="2">
        <v>0.66</v>
      </c>
      <c r="Q200" s="2">
        <v>2512200</v>
      </c>
      <c r="R200" s="2">
        <v>18</v>
      </c>
      <c r="S200" s="2">
        <v>662938</v>
      </c>
      <c r="T200" s="2">
        <v>1121478</v>
      </c>
      <c r="U200" s="2">
        <v>0</v>
      </c>
      <c r="V200" s="2">
        <v>0</v>
      </c>
      <c r="W200" s="2">
        <v>0</v>
      </c>
      <c r="X200" s="30" t="s">
        <v>148</v>
      </c>
    </row>
    <row r="201" spans="1:24">
      <c r="A201" s="5" t="s">
        <v>552</v>
      </c>
      <c r="B201" s="2" t="s">
        <v>553</v>
      </c>
      <c r="C201" s="26">
        <v>45473</v>
      </c>
      <c r="D201" s="2" t="s">
        <v>131</v>
      </c>
      <c r="E201" s="2" t="s">
        <v>132</v>
      </c>
      <c r="F201" s="2" t="s">
        <v>151</v>
      </c>
      <c r="G201" s="2" t="s">
        <v>146</v>
      </c>
      <c r="H201" s="2">
        <v>240</v>
      </c>
      <c r="I201" s="2">
        <v>784100</v>
      </c>
      <c r="J201" s="2">
        <v>17.97</v>
      </c>
      <c r="K201" s="2">
        <v>12083</v>
      </c>
      <c r="L201" s="2">
        <v>1123978</v>
      </c>
      <c r="M201" s="2">
        <v>704</v>
      </c>
      <c r="N201" s="2" t="s">
        <v>135</v>
      </c>
      <c r="O201" s="2">
        <v>0.41</v>
      </c>
      <c r="P201" s="2">
        <v>0.72</v>
      </c>
      <c r="Q201" s="2">
        <v>0</v>
      </c>
      <c r="R201" s="2">
        <v>18</v>
      </c>
      <c r="S201" s="2">
        <v>185905</v>
      </c>
      <c r="T201" s="2">
        <v>682737</v>
      </c>
      <c r="U201" s="2">
        <v>0</v>
      </c>
      <c r="V201" s="2">
        <v>0</v>
      </c>
      <c r="W201" s="2">
        <v>0</v>
      </c>
      <c r="X201" s="30" t="s">
        <v>148</v>
      </c>
    </row>
    <row r="202" spans="1:24">
      <c r="A202" s="5" t="s">
        <v>554</v>
      </c>
      <c r="B202" s="2" t="s">
        <v>555</v>
      </c>
      <c r="C202" s="26">
        <v>45413</v>
      </c>
      <c r="D202" s="2" t="s">
        <v>131</v>
      </c>
      <c r="E202" s="2" t="s">
        <v>132</v>
      </c>
      <c r="F202" s="2" t="s">
        <v>145</v>
      </c>
      <c r="G202" s="2" t="s">
        <v>152</v>
      </c>
      <c r="H202" s="2">
        <v>180</v>
      </c>
      <c r="I202" s="2">
        <v>268900</v>
      </c>
      <c r="J202" s="2">
        <v>16.47</v>
      </c>
      <c r="K202" s="2">
        <v>4038</v>
      </c>
      <c r="L202" s="2">
        <v>719296</v>
      </c>
      <c r="M202" s="2">
        <v>726</v>
      </c>
      <c r="N202" s="2" t="s">
        <v>135</v>
      </c>
      <c r="O202" s="2">
        <v>0.41</v>
      </c>
      <c r="P202" s="2">
        <v>0.91</v>
      </c>
      <c r="Q202" s="2">
        <v>0</v>
      </c>
      <c r="R202" s="2">
        <v>19</v>
      </c>
      <c r="S202" s="2">
        <v>71005</v>
      </c>
      <c r="T202" s="2">
        <v>225944</v>
      </c>
      <c r="U202" s="2">
        <v>10</v>
      </c>
      <c r="V202" s="2">
        <v>0</v>
      </c>
      <c r="W202" s="2">
        <v>0</v>
      </c>
      <c r="X202" s="30" t="s">
        <v>148</v>
      </c>
    </row>
    <row r="203" spans="1:24">
      <c r="A203" s="5" t="s">
        <v>556</v>
      </c>
      <c r="B203" s="2" t="s">
        <v>557</v>
      </c>
      <c r="C203" s="26">
        <v>45406</v>
      </c>
      <c r="D203" s="2" t="s">
        <v>163</v>
      </c>
      <c r="E203" s="2" t="s">
        <v>213</v>
      </c>
      <c r="F203" s="2" t="s">
        <v>133</v>
      </c>
      <c r="G203" s="2" t="s">
        <v>134</v>
      </c>
      <c r="H203" s="2">
        <v>360</v>
      </c>
      <c r="I203" s="2">
        <v>859700</v>
      </c>
      <c r="J203" s="2">
        <v>16.38</v>
      </c>
      <c r="K203" s="2">
        <v>11825</v>
      </c>
      <c r="L203" s="2">
        <v>334064</v>
      </c>
      <c r="M203" s="2">
        <v>619</v>
      </c>
      <c r="N203" s="2" t="s">
        <v>147</v>
      </c>
      <c r="O203" s="2">
        <v>0.41</v>
      </c>
      <c r="P203" s="2">
        <v>0.89</v>
      </c>
      <c r="Q203" s="2">
        <v>970900</v>
      </c>
      <c r="R203" s="2">
        <v>20</v>
      </c>
      <c r="S203" s="2">
        <v>217665</v>
      </c>
      <c r="T203" s="2">
        <v>735914</v>
      </c>
      <c r="U203" s="2">
        <v>0</v>
      </c>
      <c r="V203" s="2">
        <v>0</v>
      </c>
      <c r="W203" s="2">
        <v>0</v>
      </c>
      <c r="X203" s="30" t="s">
        <v>148</v>
      </c>
    </row>
    <row r="204" spans="1:24">
      <c r="A204" s="5" t="s">
        <v>558</v>
      </c>
      <c r="B204" s="2" t="s">
        <v>559</v>
      </c>
      <c r="C204" s="26">
        <v>45453</v>
      </c>
      <c r="D204" s="2" t="s">
        <v>158</v>
      </c>
      <c r="E204" s="2" t="s">
        <v>159</v>
      </c>
      <c r="F204" s="2" t="s">
        <v>133</v>
      </c>
      <c r="G204" s="2" t="s">
        <v>134</v>
      </c>
      <c r="H204" s="2">
        <v>48</v>
      </c>
      <c r="I204" s="2">
        <v>1701800</v>
      </c>
      <c r="J204" s="2">
        <v>18.260000000000002</v>
      </c>
      <c r="K204" s="2">
        <v>50222</v>
      </c>
      <c r="L204" s="2">
        <v>892753</v>
      </c>
      <c r="M204" s="2">
        <v>650</v>
      </c>
      <c r="N204" s="2" t="s">
        <v>140</v>
      </c>
      <c r="O204" s="2">
        <v>0.39</v>
      </c>
      <c r="P204" s="2">
        <v>0.65</v>
      </c>
      <c r="Q204" s="2">
        <v>2614500</v>
      </c>
      <c r="R204" s="2">
        <v>18</v>
      </c>
      <c r="S204" s="2">
        <v>903055</v>
      </c>
      <c r="T204" s="2">
        <v>985194</v>
      </c>
      <c r="U204" s="2">
        <v>0</v>
      </c>
      <c r="V204" s="2">
        <v>0</v>
      </c>
      <c r="W204" s="2">
        <v>0</v>
      </c>
      <c r="X204" s="30" t="s">
        <v>148</v>
      </c>
    </row>
    <row r="205" spans="1:24">
      <c r="A205" s="5" t="s">
        <v>560</v>
      </c>
      <c r="B205" s="2" t="s">
        <v>561</v>
      </c>
      <c r="C205" s="26">
        <v>45439</v>
      </c>
      <c r="D205" s="2" t="s">
        <v>169</v>
      </c>
      <c r="E205" s="2" t="s">
        <v>132</v>
      </c>
      <c r="F205" s="2" t="s">
        <v>151</v>
      </c>
      <c r="G205" s="2" t="s">
        <v>134</v>
      </c>
      <c r="H205" s="2">
        <v>360</v>
      </c>
      <c r="I205" s="2">
        <v>4189000</v>
      </c>
      <c r="J205" s="2">
        <v>14.16</v>
      </c>
      <c r="K205" s="2">
        <v>50165</v>
      </c>
      <c r="L205" s="2">
        <v>1343207</v>
      </c>
      <c r="M205" s="2">
        <v>608</v>
      </c>
      <c r="N205" s="2" t="s">
        <v>147</v>
      </c>
      <c r="O205" s="2">
        <v>0.39</v>
      </c>
      <c r="P205" s="2">
        <v>0.69</v>
      </c>
      <c r="Q205" s="2">
        <v>6083700</v>
      </c>
      <c r="R205" s="2">
        <v>19</v>
      </c>
      <c r="S205" s="2">
        <v>913028</v>
      </c>
      <c r="T205" s="2">
        <v>3651642</v>
      </c>
      <c r="U205" s="2">
        <v>0</v>
      </c>
      <c r="V205" s="2">
        <v>0</v>
      </c>
      <c r="W205" s="2">
        <v>0</v>
      </c>
      <c r="X205" s="30" t="s">
        <v>148</v>
      </c>
    </row>
    <row r="206" spans="1:24">
      <c r="A206" s="5" t="s">
        <v>562</v>
      </c>
      <c r="B206" s="2" t="s">
        <v>563</v>
      </c>
      <c r="C206" s="26">
        <v>45404</v>
      </c>
      <c r="D206" s="2" t="s">
        <v>131</v>
      </c>
      <c r="E206" s="2" t="s">
        <v>132</v>
      </c>
      <c r="F206" s="2" t="s">
        <v>170</v>
      </c>
      <c r="G206" s="2" t="s">
        <v>152</v>
      </c>
      <c r="H206" s="2">
        <v>36</v>
      </c>
      <c r="I206" s="2">
        <v>342100</v>
      </c>
      <c r="J206" s="2">
        <v>17.59</v>
      </c>
      <c r="K206" s="2">
        <v>12297</v>
      </c>
      <c r="L206" s="2">
        <v>1078549</v>
      </c>
      <c r="M206" s="2">
        <v>692</v>
      </c>
      <c r="N206" s="2" t="s">
        <v>140</v>
      </c>
      <c r="O206" s="2">
        <v>0.37</v>
      </c>
      <c r="P206" s="2">
        <v>0.8</v>
      </c>
      <c r="Q206" s="2">
        <v>0</v>
      </c>
      <c r="R206" s="2">
        <v>20</v>
      </c>
      <c r="S206" s="2">
        <v>247049</v>
      </c>
      <c r="T206" s="2">
        <v>135168</v>
      </c>
      <c r="U206" s="2">
        <v>10</v>
      </c>
      <c r="V206" s="2">
        <v>0</v>
      </c>
      <c r="W206" s="2">
        <v>0</v>
      </c>
      <c r="X206" s="30" t="s">
        <v>148</v>
      </c>
    </row>
    <row r="207" spans="1:24">
      <c r="A207" s="5" t="s">
        <v>564</v>
      </c>
      <c r="B207" s="2" t="s">
        <v>565</v>
      </c>
      <c r="C207" s="26">
        <v>45400</v>
      </c>
      <c r="D207" s="2" t="s">
        <v>163</v>
      </c>
      <c r="E207" s="2" t="s">
        <v>159</v>
      </c>
      <c r="F207" s="2" t="s">
        <v>170</v>
      </c>
      <c r="G207" s="2" t="s">
        <v>134</v>
      </c>
      <c r="H207" s="2">
        <v>240</v>
      </c>
      <c r="I207" s="2">
        <v>1188000</v>
      </c>
      <c r="J207" s="2">
        <v>10.87</v>
      </c>
      <c r="K207" s="2">
        <v>12157</v>
      </c>
      <c r="L207" s="2">
        <v>916120</v>
      </c>
      <c r="M207" s="2">
        <v>703</v>
      </c>
      <c r="N207" s="2" t="s">
        <v>135</v>
      </c>
      <c r="O207" s="2">
        <v>0.33</v>
      </c>
      <c r="P207" s="2">
        <v>0.88</v>
      </c>
      <c r="Q207" s="2">
        <v>1352700</v>
      </c>
      <c r="R207" s="2">
        <v>20</v>
      </c>
      <c r="S207" s="2">
        <v>233313</v>
      </c>
      <c r="T207" s="2">
        <v>1040777</v>
      </c>
      <c r="U207" s="2">
        <v>0</v>
      </c>
      <c r="V207" s="2">
        <v>0</v>
      </c>
      <c r="W207" s="2">
        <v>0</v>
      </c>
      <c r="X207" s="30" t="s">
        <v>148</v>
      </c>
    </row>
    <row r="208" spans="1:24">
      <c r="A208" s="5" t="s">
        <v>566</v>
      </c>
      <c r="B208" s="2" t="s">
        <v>567</v>
      </c>
      <c r="C208" s="26">
        <v>45395</v>
      </c>
      <c r="D208" s="2" t="s">
        <v>158</v>
      </c>
      <c r="E208" s="2" t="s">
        <v>159</v>
      </c>
      <c r="F208" s="2" t="s">
        <v>145</v>
      </c>
      <c r="G208" s="2" t="s">
        <v>134</v>
      </c>
      <c r="H208" s="2">
        <v>24</v>
      </c>
      <c r="I208" s="2">
        <v>2420300</v>
      </c>
      <c r="J208" s="2">
        <v>15.12</v>
      </c>
      <c r="K208" s="2">
        <v>117490</v>
      </c>
      <c r="L208" s="2">
        <v>1312634</v>
      </c>
      <c r="M208" s="2">
        <v>685</v>
      </c>
      <c r="N208" s="2" t="s">
        <v>140</v>
      </c>
      <c r="O208" s="2">
        <v>0.33</v>
      </c>
      <c r="P208" s="2">
        <v>0.69</v>
      </c>
      <c r="Q208" s="2">
        <v>3486000</v>
      </c>
      <c r="R208" s="2">
        <v>20</v>
      </c>
      <c r="S208" s="2">
        <v>2282101</v>
      </c>
      <c r="T208" s="2">
        <v>382165</v>
      </c>
      <c r="U208" s="2">
        <v>5</v>
      </c>
      <c r="V208" s="2">
        <v>0</v>
      </c>
      <c r="W208" s="2">
        <v>0</v>
      </c>
      <c r="X208" s="30" t="s">
        <v>148</v>
      </c>
    </row>
    <row r="209" spans="1:24">
      <c r="A209" s="5" t="s">
        <v>568</v>
      </c>
      <c r="B209" s="2" t="s">
        <v>569</v>
      </c>
      <c r="C209" s="26">
        <v>45384</v>
      </c>
      <c r="D209" s="2" t="s">
        <v>131</v>
      </c>
      <c r="E209" s="2" t="s">
        <v>159</v>
      </c>
      <c r="F209" s="2" t="s">
        <v>151</v>
      </c>
      <c r="G209" s="2" t="s">
        <v>134</v>
      </c>
      <c r="H209" s="2">
        <v>72</v>
      </c>
      <c r="I209" s="2">
        <v>305500</v>
      </c>
      <c r="J209" s="2">
        <v>15.58</v>
      </c>
      <c r="K209" s="2">
        <v>6556</v>
      </c>
      <c r="L209" s="2">
        <v>880246</v>
      </c>
      <c r="M209" s="2">
        <v>760</v>
      </c>
      <c r="N209" s="2" t="s">
        <v>160</v>
      </c>
      <c r="O209" s="2">
        <v>0.33</v>
      </c>
      <c r="P209" s="2">
        <v>0.65</v>
      </c>
      <c r="Q209" s="2">
        <v>0</v>
      </c>
      <c r="R209" s="2">
        <v>20</v>
      </c>
      <c r="S209" s="2">
        <v>111766</v>
      </c>
      <c r="T209" s="2">
        <v>225465</v>
      </c>
      <c r="U209" s="2">
        <v>0</v>
      </c>
      <c r="V209" s="2">
        <v>0</v>
      </c>
      <c r="W209" s="2">
        <v>0</v>
      </c>
      <c r="X209" s="30" t="s">
        <v>148</v>
      </c>
    </row>
    <row r="210" spans="1:24">
      <c r="A210" s="5" t="s">
        <v>570</v>
      </c>
      <c r="B210" s="2" t="s">
        <v>571</v>
      </c>
      <c r="C210" s="26">
        <v>45431</v>
      </c>
      <c r="D210" s="2" t="s">
        <v>177</v>
      </c>
      <c r="E210" s="2" t="s">
        <v>144</v>
      </c>
      <c r="F210" s="2" t="s">
        <v>133</v>
      </c>
      <c r="G210" s="2" t="s">
        <v>134</v>
      </c>
      <c r="H210" s="2">
        <v>60</v>
      </c>
      <c r="I210" s="2">
        <v>971100</v>
      </c>
      <c r="J210" s="2">
        <v>11.86</v>
      </c>
      <c r="K210" s="2">
        <v>21533</v>
      </c>
      <c r="L210" s="2">
        <v>706791</v>
      </c>
      <c r="M210" s="2">
        <v>706</v>
      </c>
      <c r="N210" s="2" t="s">
        <v>135</v>
      </c>
      <c r="O210" s="2">
        <v>0.31</v>
      </c>
      <c r="P210" s="2">
        <v>0.84</v>
      </c>
      <c r="Q210" s="2">
        <v>0</v>
      </c>
      <c r="R210" s="2">
        <v>19</v>
      </c>
      <c r="S210" s="2">
        <v>357004</v>
      </c>
      <c r="T210" s="2">
        <v>687039</v>
      </c>
      <c r="U210" s="2">
        <v>30</v>
      </c>
      <c r="V210" s="2">
        <v>0</v>
      </c>
      <c r="W210" s="2">
        <v>0</v>
      </c>
      <c r="X210" s="30" t="s">
        <v>136</v>
      </c>
    </row>
    <row r="211" spans="1:24">
      <c r="A211" s="5" t="s">
        <v>572</v>
      </c>
      <c r="B211" s="2" t="s">
        <v>573</v>
      </c>
      <c r="C211" s="26">
        <v>45406</v>
      </c>
      <c r="D211" s="2" t="s">
        <v>131</v>
      </c>
      <c r="E211" s="2" t="s">
        <v>159</v>
      </c>
      <c r="F211" s="2" t="s">
        <v>170</v>
      </c>
      <c r="G211" s="2" t="s">
        <v>134</v>
      </c>
      <c r="H211" s="2">
        <v>180</v>
      </c>
      <c r="I211" s="2">
        <v>431600</v>
      </c>
      <c r="J211" s="2">
        <v>22.58</v>
      </c>
      <c r="K211" s="2">
        <v>8415</v>
      </c>
      <c r="L211" s="2">
        <v>926390</v>
      </c>
      <c r="M211" s="2">
        <v>584</v>
      </c>
      <c r="N211" s="2" t="s">
        <v>166</v>
      </c>
      <c r="O211" s="2">
        <v>0.3</v>
      </c>
      <c r="P211" s="2">
        <v>0.71</v>
      </c>
      <c r="Q211" s="2">
        <v>0</v>
      </c>
      <c r="R211" s="2">
        <v>20</v>
      </c>
      <c r="S211" s="2">
        <v>156992</v>
      </c>
      <c r="T211" s="2">
        <v>339578</v>
      </c>
      <c r="U211" s="2">
        <v>15</v>
      </c>
      <c r="V211" s="2">
        <v>0</v>
      </c>
      <c r="W211" s="2">
        <v>0</v>
      </c>
      <c r="X211" s="30" t="s">
        <v>148</v>
      </c>
    </row>
    <row r="212" spans="1:24">
      <c r="A212" s="5" t="s">
        <v>574</v>
      </c>
      <c r="B212" s="2" t="s">
        <v>575</v>
      </c>
      <c r="C212" s="26">
        <v>45469</v>
      </c>
      <c r="D212" s="2" t="s">
        <v>169</v>
      </c>
      <c r="E212" s="2" t="s">
        <v>144</v>
      </c>
      <c r="F212" s="2" t="s">
        <v>139</v>
      </c>
      <c r="G212" s="2" t="s">
        <v>134</v>
      </c>
      <c r="H212" s="2">
        <v>120</v>
      </c>
      <c r="I212" s="2">
        <v>4082100</v>
      </c>
      <c r="J212" s="2">
        <v>10.37</v>
      </c>
      <c r="K212" s="2">
        <v>54785</v>
      </c>
      <c r="L212" s="2">
        <v>713171</v>
      </c>
      <c r="M212" s="2">
        <v>699</v>
      </c>
      <c r="N212" s="2" t="s">
        <v>140</v>
      </c>
      <c r="O212" s="2">
        <v>0.28999999999999998</v>
      </c>
      <c r="P212" s="2">
        <v>0.77</v>
      </c>
      <c r="Q212" s="2">
        <v>5287900</v>
      </c>
      <c r="R212" s="2">
        <v>18</v>
      </c>
      <c r="S212" s="2">
        <v>997818</v>
      </c>
      <c r="T212" s="2">
        <v>3338270</v>
      </c>
      <c r="U212" s="2">
        <v>0</v>
      </c>
      <c r="V212" s="2">
        <v>0</v>
      </c>
      <c r="W212" s="2">
        <v>0</v>
      </c>
      <c r="X212" s="30" t="s">
        <v>148</v>
      </c>
    </row>
    <row r="213" spans="1:24">
      <c r="A213" s="5" t="s">
        <v>576</v>
      </c>
      <c r="B213" s="2" t="s">
        <v>577</v>
      </c>
      <c r="C213" s="26">
        <v>45451</v>
      </c>
      <c r="D213" s="2" t="s">
        <v>169</v>
      </c>
      <c r="E213" s="2" t="s">
        <v>144</v>
      </c>
      <c r="F213" s="2" t="s">
        <v>170</v>
      </c>
      <c r="G213" s="2" t="s">
        <v>192</v>
      </c>
      <c r="H213" s="2">
        <v>36</v>
      </c>
      <c r="I213" s="2">
        <v>435500</v>
      </c>
      <c r="J213" s="2">
        <v>7.38</v>
      </c>
      <c r="K213" s="2">
        <v>13523</v>
      </c>
      <c r="L213" s="2">
        <v>738181</v>
      </c>
      <c r="M213" s="2">
        <v>747</v>
      </c>
      <c r="N213" s="2" t="s">
        <v>135</v>
      </c>
      <c r="O213" s="2">
        <v>0.28000000000000003</v>
      </c>
      <c r="P213" s="2">
        <v>0.92</v>
      </c>
      <c r="Q213" s="2">
        <v>471800</v>
      </c>
      <c r="R213" s="2">
        <v>18</v>
      </c>
      <c r="S213" s="2">
        <v>224620</v>
      </c>
      <c r="T213" s="2">
        <v>230164</v>
      </c>
      <c r="U213" s="2">
        <v>0</v>
      </c>
      <c r="V213" s="2">
        <v>0</v>
      </c>
      <c r="W213" s="2">
        <v>0</v>
      </c>
      <c r="X213" s="30" t="s">
        <v>148</v>
      </c>
    </row>
    <row r="214" spans="1:24">
      <c r="A214" s="5" t="s">
        <v>578</v>
      </c>
      <c r="B214" s="2" t="s">
        <v>579</v>
      </c>
      <c r="C214" s="26">
        <v>45398</v>
      </c>
      <c r="D214" s="2" t="s">
        <v>177</v>
      </c>
      <c r="E214" s="2" t="s">
        <v>132</v>
      </c>
      <c r="F214" s="2" t="s">
        <v>139</v>
      </c>
      <c r="G214" s="2" t="s">
        <v>134</v>
      </c>
      <c r="H214" s="2">
        <v>180</v>
      </c>
      <c r="I214" s="2">
        <v>1687700</v>
      </c>
      <c r="J214" s="2">
        <v>15.06</v>
      </c>
      <c r="K214" s="2">
        <v>23690</v>
      </c>
      <c r="L214" s="2">
        <v>781138</v>
      </c>
      <c r="M214" s="2">
        <v>624</v>
      </c>
      <c r="N214" s="2" t="s">
        <v>147</v>
      </c>
      <c r="O214" s="2">
        <v>0.27</v>
      </c>
      <c r="P214" s="2">
        <v>0.68</v>
      </c>
      <c r="Q214" s="2">
        <v>0</v>
      </c>
      <c r="R214" s="2">
        <v>20</v>
      </c>
      <c r="S214" s="2">
        <v>477731</v>
      </c>
      <c r="T214" s="2">
        <v>1379414</v>
      </c>
      <c r="U214" s="2">
        <v>0</v>
      </c>
      <c r="V214" s="2">
        <v>0</v>
      </c>
      <c r="W214" s="2">
        <v>0</v>
      </c>
      <c r="X214" s="30" t="s">
        <v>148</v>
      </c>
    </row>
    <row r="215" spans="1:24">
      <c r="A215" s="5" t="s">
        <v>580</v>
      </c>
      <c r="B215" s="2" t="s">
        <v>581</v>
      </c>
      <c r="C215" s="26">
        <v>45449</v>
      </c>
      <c r="D215" s="2" t="s">
        <v>169</v>
      </c>
      <c r="E215" s="2" t="s">
        <v>213</v>
      </c>
      <c r="F215" s="2" t="s">
        <v>151</v>
      </c>
      <c r="G215" s="2" t="s">
        <v>134</v>
      </c>
      <c r="H215" s="2">
        <v>180</v>
      </c>
      <c r="I215" s="2">
        <v>3794600</v>
      </c>
      <c r="J215" s="2">
        <v>10.49</v>
      </c>
      <c r="K215" s="2">
        <v>41922</v>
      </c>
      <c r="L215" s="2">
        <v>565107</v>
      </c>
      <c r="M215" s="2">
        <v>707</v>
      </c>
      <c r="N215" s="2" t="s">
        <v>135</v>
      </c>
      <c r="O215" s="2">
        <v>0.24</v>
      </c>
      <c r="P215" s="2">
        <v>0.69</v>
      </c>
      <c r="Q215" s="2">
        <v>5495300</v>
      </c>
      <c r="R215" s="2">
        <v>18</v>
      </c>
      <c r="S215" s="2">
        <v>665232</v>
      </c>
      <c r="T215" s="2">
        <v>3368200</v>
      </c>
      <c r="U215" s="2">
        <v>0</v>
      </c>
      <c r="V215" s="2">
        <v>1</v>
      </c>
      <c r="W215" s="2">
        <v>0</v>
      </c>
      <c r="X215" s="30" t="s">
        <v>141</v>
      </c>
    </row>
    <row r="216" spans="1:24">
      <c r="A216" s="5" t="s">
        <v>582</v>
      </c>
      <c r="B216" s="2" t="s">
        <v>583</v>
      </c>
      <c r="C216" s="26">
        <v>45472</v>
      </c>
      <c r="D216" s="2" t="s">
        <v>169</v>
      </c>
      <c r="E216" s="2" t="s">
        <v>159</v>
      </c>
      <c r="F216" s="2" t="s">
        <v>145</v>
      </c>
      <c r="G216" s="2" t="s">
        <v>152</v>
      </c>
      <c r="H216" s="2">
        <v>120</v>
      </c>
      <c r="I216" s="2">
        <v>1864900</v>
      </c>
      <c r="J216" s="2">
        <v>9.08</v>
      </c>
      <c r="K216" s="2">
        <v>23705</v>
      </c>
      <c r="L216" s="2">
        <v>279305</v>
      </c>
      <c r="M216" s="2">
        <v>731</v>
      </c>
      <c r="N216" s="2" t="s">
        <v>135</v>
      </c>
      <c r="O216" s="2">
        <v>0.24</v>
      </c>
      <c r="P216" s="2">
        <v>0.47</v>
      </c>
      <c r="Q216" s="2">
        <v>3993300</v>
      </c>
      <c r="R216" s="2">
        <v>18</v>
      </c>
      <c r="S216" s="2">
        <v>416824</v>
      </c>
      <c r="T216" s="2">
        <v>1549676</v>
      </c>
      <c r="U216" s="2">
        <v>0</v>
      </c>
      <c r="V216" s="2">
        <v>0</v>
      </c>
      <c r="W216" s="2">
        <v>0</v>
      </c>
      <c r="X216" s="30" t="s">
        <v>148</v>
      </c>
    </row>
    <row r="217" spans="1:24">
      <c r="A217" s="5" t="s">
        <v>584</v>
      </c>
      <c r="B217" s="2" t="s">
        <v>585</v>
      </c>
      <c r="C217" s="26">
        <v>45435</v>
      </c>
      <c r="D217" s="2" t="s">
        <v>131</v>
      </c>
      <c r="E217" s="2" t="s">
        <v>132</v>
      </c>
      <c r="F217" s="2" t="s">
        <v>139</v>
      </c>
      <c r="G217" s="2" t="s">
        <v>152</v>
      </c>
      <c r="H217" s="2">
        <v>36</v>
      </c>
      <c r="I217" s="2">
        <v>436200</v>
      </c>
      <c r="J217" s="2">
        <v>15.78</v>
      </c>
      <c r="K217" s="2">
        <v>15288</v>
      </c>
      <c r="L217" s="2">
        <v>841628</v>
      </c>
      <c r="M217" s="2">
        <v>747</v>
      </c>
      <c r="N217" s="2" t="s">
        <v>135</v>
      </c>
      <c r="O217" s="2">
        <v>0.23</v>
      </c>
      <c r="P217" s="2">
        <v>0.66</v>
      </c>
      <c r="Q217" s="2">
        <v>0</v>
      </c>
      <c r="R217" s="2">
        <v>19</v>
      </c>
      <c r="S217" s="2">
        <v>277658</v>
      </c>
      <c r="T217" s="2">
        <v>202136</v>
      </c>
      <c r="U217" s="2">
        <v>5</v>
      </c>
      <c r="V217" s="2">
        <v>0</v>
      </c>
      <c r="W217" s="2">
        <v>0</v>
      </c>
      <c r="X217" s="30" t="s">
        <v>148</v>
      </c>
    </row>
    <row r="218" spans="1:24">
      <c r="A218" s="5" t="s">
        <v>586</v>
      </c>
      <c r="B218" s="2" t="s">
        <v>587</v>
      </c>
      <c r="C218" s="26">
        <v>45421</v>
      </c>
      <c r="D218" s="2" t="s">
        <v>163</v>
      </c>
      <c r="E218" s="2" t="s">
        <v>144</v>
      </c>
      <c r="F218" s="2" t="s">
        <v>145</v>
      </c>
      <c r="G218" s="2" t="s">
        <v>134</v>
      </c>
      <c r="H218" s="2">
        <v>36</v>
      </c>
      <c r="I218" s="2">
        <v>784400</v>
      </c>
      <c r="J218" s="2">
        <v>7</v>
      </c>
      <c r="K218" s="2">
        <v>24220</v>
      </c>
      <c r="L218" s="2">
        <v>654382</v>
      </c>
      <c r="M218" s="2">
        <v>796</v>
      </c>
      <c r="N218" s="2" t="s">
        <v>160</v>
      </c>
      <c r="O218" s="2">
        <v>0.21</v>
      </c>
      <c r="P218" s="2">
        <v>0.61</v>
      </c>
      <c r="Q218" s="2">
        <v>1295300</v>
      </c>
      <c r="R218" s="2">
        <v>19</v>
      </c>
      <c r="S218" s="2">
        <v>466540</v>
      </c>
      <c r="T218" s="2">
        <v>352635</v>
      </c>
      <c r="U218" s="2">
        <v>0</v>
      </c>
      <c r="V218" s="2">
        <v>0</v>
      </c>
      <c r="W218" s="2">
        <v>0</v>
      </c>
      <c r="X218" s="30" t="s">
        <v>148</v>
      </c>
    </row>
    <row r="219" spans="1:24">
      <c r="A219" s="5" t="s">
        <v>588</v>
      </c>
      <c r="B219" s="2" t="s">
        <v>589</v>
      </c>
      <c r="C219" s="26">
        <v>45469</v>
      </c>
      <c r="D219" s="2" t="s">
        <v>158</v>
      </c>
      <c r="E219" s="2" t="s">
        <v>159</v>
      </c>
      <c r="F219" s="2" t="s">
        <v>151</v>
      </c>
      <c r="G219" s="2" t="s">
        <v>152</v>
      </c>
      <c r="H219" s="2">
        <v>18</v>
      </c>
      <c r="I219" s="2">
        <v>2438300</v>
      </c>
      <c r="J219" s="2">
        <v>14.81</v>
      </c>
      <c r="K219" s="2">
        <v>151895</v>
      </c>
      <c r="L219" s="2">
        <v>385976</v>
      </c>
      <c r="M219" s="2">
        <v>686</v>
      </c>
      <c r="N219" s="2" t="s">
        <v>140</v>
      </c>
      <c r="O219" s="2">
        <v>0.17</v>
      </c>
      <c r="P219" s="2">
        <v>0.79</v>
      </c>
      <c r="Q219" s="2">
        <v>3102900</v>
      </c>
      <c r="R219" s="2">
        <v>18</v>
      </c>
      <c r="S219" s="2">
        <v>2656433</v>
      </c>
      <c r="T219" s="2">
        <v>0</v>
      </c>
      <c r="U219" s="2">
        <v>5</v>
      </c>
      <c r="V219" s="2">
        <v>0</v>
      </c>
      <c r="W219" s="2">
        <v>0</v>
      </c>
      <c r="X219" s="30" t="s">
        <v>141</v>
      </c>
    </row>
    <row r="220" spans="1:24">
      <c r="A220" s="5" t="s">
        <v>590</v>
      </c>
      <c r="B220" s="2" t="s">
        <v>591</v>
      </c>
      <c r="C220" s="26">
        <v>45468</v>
      </c>
      <c r="D220" s="2" t="s">
        <v>131</v>
      </c>
      <c r="E220" s="2" t="s">
        <v>144</v>
      </c>
      <c r="F220" s="2" t="s">
        <v>145</v>
      </c>
      <c r="G220" s="2" t="s">
        <v>134</v>
      </c>
      <c r="H220" s="2">
        <v>36</v>
      </c>
      <c r="I220" s="2">
        <v>552100</v>
      </c>
      <c r="J220" s="2">
        <v>11.89</v>
      </c>
      <c r="K220" s="2">
        <v>18309</v>
      </c>
      <c r="L220" s="2">
        <v>695184</v>
      </c>
      <c r="M220" s="2">
        <v>818</v>
      </c>
      <c r="N220" s="2" t="s">
        <v>160</v>
      </c>
      <c r="O220" s="2">
        <v>0.16</v>
      </c>
      <c r="P220" s="2">
        <v>0.78</v>
      </c>
      <c r="Q220" s="2">
        <v>0</v>
      </c>
      <c r="R220" s="2">
        <v>18</v>
      </c>
      <c r="S220" s="2">
        <v>291717</v>
      </c>
      <c r="T220" s="2">
        <v>299770</v>
      </c>
      <c r="U220" s="2">
        <v>0</v>
      </c>
      <c r="V220" s="2">
        <v>0</v>
      </c>
      <c r="W220" s="2">
        <v>0</v>
      </c>
      <c r="X220" s="30" t="s">
        <v>148</v>
      </c>
    </row>
    <row r="221" spans="1:24">
      <c r="A221" s="5" t="s">
        <v>592</v>
      </c>
      <c r="B221" s="2" t="s">
        <v>593</v>
      </c>
      <c r="C221" s="26">
        <v>45448</v>
      </c>
      <c r="D221" s="2" t="s">
        <v>131</v>
      </c>
      <c r="E221" s="2" t="s">
        <v>144</v>
      </c>
      <c r="F221" s="2" t="s">
        <v>145</v>
      </c>
      <c r="G221" s="2" t="s">
        <v>134</v>
      </c>
      <c r="H221" s="2">
        <v>36</v>
      </c>
      <c r="I221" s="2">
        <v>820700</v>
      </c>
      <c r="J221" s="2">
        <v>18.29</v>
      </c>
      <c r="K221" s="2">
        <v>29790</v>
      </c>
      <c r="L221" s="2">
        <v>841244</v>
      </c>
      <c r="M221" s="2">
        <v>667</v>
      </c>
      <c r="N221" s="2" t="s">
        <v>140</v>
      </c>
      <c r="O221" s="2">
        <v>0.15</v>
      </c>
      <c r="P221" s="2">
        <v>0.47</v>
      </c>
      <c r="Q221" s="2">
        <v>0</v>
      </c>
      <c r="R221" s="2">
        <v>18</v>
      </c>
      <c r="S221" s="2">
        <v>491066</v>
      </c>
      <c r="T221" s="2">
        <v>419698</v>
      </c>
      <c r="U221" s="2">
        <v>10</v>
      </c>
      <c r="V221" s="2">
        <v>0</v>
      </c>
      <c r="W221" s="2">
        <v>0</v>
      </c>
      <c r="X221" s="30" t="s">
        <v>148</v>
      </c>
    </row>
    <row r="222" spans="1:24">
      <c r="A222" s="5" t="s">
        <v>594</v>
      </c>
      <c r="B222" s="2" t="s">
        <v>595</v>
      </c>
      <c r="C222" s="26">
        <v>45461</v>
      </c>
      <c r="D222" s="2" t="s">
        <v>158</v>
      </c>
      <c r="E222" s="2" t="s">
        <v>132</v>
      </c>
      <c r="F222" s="2" t="s">
        <v>151</v>
      </c>
      <c r="G222" s="2" t="s">
        <v>152</v>
      </c>
      <c r="H222" s="2">
        <v>36</v>
      </c>
      <c r="I222" s="2">
        <v>1848600</v>
      </c>
      <c r="J222" s="2">
        <v>13</v>
      </c>
      <c r="K222" s="2">
        <v>62287</v>
      </c>
      <c r="L222" s="2">
        <v>250116</v>
      </c>
      <c r="M222" s="2">
        <v>709</v>
      </c>
      <c r="N222" s="2" t="s">
        <v>135</v>
      </c>
      <c r="O222" s="2">
        <v>0.1</v>
      </c>
      <c r="P222" s="2">
        <v>0.63</v>
      </c>
      <c r="Q222" s="2">
        <v>2911700</v>
      </c>
      <c r="R222" s="2">
        <v>18</v>
      </c>
      <c r="S222" s="2">
        <v>990181</v>
      </c>
      <c r="T222" s="2">
        <v>1002610</v>
      </c>
      <c r="U222" s="2">
        <v>0</v>
      </c>
      <c r="V222" s="2">
        <v>0</v>
      </c>
      <c r="W222" s="2">
        <v>0</v>
      </c>
      <c r="X222" s="30" t="s">
        <v>148</v>
      </c>
    </row>
    <row r="223" spans="1:24">
      <c r="A223" s="5" t="s">
        <v>596</v>
      </c>
      <c r="B223" s="2" t="s">
        <v>597</v>
      </c>
      <c r="C223" s="26">
        <v>45813</v>
      </c>
      <c r="D223" s="2" t="s">
        <v>169</v>
      </c>
      <c r="E223" s="2" t="s">
        <v>144</v>
      </c>
      <c r="F223" s="2" t="s">
        <v>139</v>
      </c>
      <c r="G223" s="2" t="s">
        <v>134</v>
      </c>
      <c r="H223" s="2">
        <v>120</v>
      </c>
      <c r="I223" s="2">
        <v>4782100</v>
      </c>
      <c r="J223" s="2">
        <v>11.22</v>
      </c>
      <c r="K223" s="2">
        <v>66470</v>
      </c>
      <c r="L223" s="2">
        <v>1350395</v>
      </c>
      <c r="M223" s="2">
        <v>667</v>
      </c>
      <c r="N223" s="2" t="s">
        <v>140</v>
      </c>
      <c r="O223" s="2">
        <v>0.64</v>
      </c>
      <c r="P223" s="2">
        <v>0.65</v>
      </c>
      <c r="Q223" s="2">
        <v>7409300</v>
      </c>
      <c r="R223" s="2">
        <v>6</v>
      </c>
      <c r="S223" s="2">
        <v>375741</v>
      </c>
      <c r="T223" s="2">
        <v>4513669</v>
      </c>
      <c r="U223" s="2">
        <v>0</v>
      </c>
      <c r="V223" s="2">
        <v>0</v>
      </c>
      <c r="W223" s="2">
        <v>0</v>
      </c>
      <c r="X223" s="30" t="s">
        <v>148</v>
      </c>
    </row>
    <row r="224" spans="1:24">
      <c r="A224" s="5" t="s">
        <v>598</v>
      </c>
      <c r="B224" s="2" t="s">
        <v>599</v>
      </c>
      <c r="C224" s="26">
        <v>45777</v>
      </c>
      <c r="D224" s="2" t="s">
        <v>131</v>
      </c>
      <c r="E224" s="2" t="s">
        <v>132</v>
      </c>
      <c r="F224" s="2" t="s">
        <v>170</v>
      </c>
      <c r="G224" s="2" t="s">
        <v>134</v>
      </c>
      <c r="H224" s="2">
        <v>72</v>
      </c>
      <c r="I224" s="2">
        <v>446100</v>
      </c>
      <c r="J224" s="2">
        <v>18.77</v>
      </c>
      <c r="K224" s="2">
        <v>10370</v>
      </c>
      <c r="L224" s="2">
        <v>1393961</v>
      </c>
      <c r="M224" s="2">
        <v>656</v>
      </c>
      <c r="N224" s="2" t="s">
        <v>140</v>
      </c>
      <c r="O224" s="2">
        <v>0.61</v>
      </c>
      <c r="P224" s="2">
        <v>0.76</v>
      </c>
      <c r="Q224" s="2">
        <v>0</v>
      </c>
      <c r="R224" s="2">
        <v>8</v>
      </c>
      <c r="S224" s="2">
        <v>82456</v>
      </c>
      <c r="T224" s="2">
        <v>385973</v>
      </c>
      <c r="U224" s="2">
        <v>30</v>
      </c>
      <c r="V224" s="2">
        <v>0</v>
      </c>
      <c r="W224" s="2">
        <v>0</v>
      </c>
      <c r="X224" s="30" t="s">
        <v>136</v>
      </c>
    </row>
    <row r="225" spans="1:24">
      <c r="A225" s="5" t="s">
        <v>600</v>
      </c>
      <c r="B225" s="2" t="s">
        <v>601</v>
      </c>
      <c r="C225" s="26">
        <v>45801</v>
      </c>
      <c r="D225" s="2" t="s">
        <v>169</v>
      </c>
      <c r="E225" s="2" t="s">
        <v>132</v>
      </c>
      <c r="F225" s="2" t="s">
        <v>170</v>
      </c>
      <c r="G225" s="2" t="s">
        <v>134</v>
      </c>
      <c r="H225" s="2">
        <v>48</v>
      </c>
      <c r="I225" s="2">
        <v>3936800</v>
      </c>
      <c r="J225" s="2">
        <v>11.73</v>
      </c>
      <c r="K225" s="2">
        <v>103150</v>
      </c>
      <c r="L225" s="2">
        <v>567312</v>
      </c>
      <c r="M225" s="2">
        <v>673</v>
      </c>
      <c r="N225" s="2" t="s">
        <v>140</v>
      </c>
      <c r="O225" s="2">
        <v>0.55000000000000004</v>
      </c>
      <c r="P225" s="2">
        <v>0.91</v>
      </c>
      <c r="Q225" s="2">
        <v>4307400</v>
      </c>
      <c r="R225" s="2">
        <v>7</v>
      </c>
      <c r="S225" s="2">
        <v>687375</v>
      </c>
      <c r="T225" s="2">
        <v>3357175</v>
      </c>
      <c r="U225" s="2">
        <v>0</v>
      </c>
      <c r="V225" s="2">
        <v>0</v>
      </c>
      <c r="W225" s="2">
        <v>0</v>
      </c>
      <c r="X225" s="30" t="s">
        <v>148</v>
      </c>
    </row>
    <row r="226" spans="1:24">
      <c r="A226" s="5" t="s">
        <v>602</v>
      </c>
      <c r="B226" s="2" t="s">
        <v>603</v>
      </c>
      <c r="C226" s="26">
        <v>45830</v>
      </c>
      <c r="D226" s="2" t="s">
        <v>177</v>
      </c>
      <c r="E226" s="2" t="s">
        <v>144</v>
      </c>
      <c r="F226" s="2" t="s">
        <v>151</v>
      </c>
      <c r="G226" s="2" t="s">
        <v>134</v>
      </c>
      <c r="H226" s="2">
        <v>180</v>
      </c>
      <c r="I226" s="2">
        <v>809600</v>
      </c>
      <c r="J226" s="2">
        <v>8.34</v>
      </c>
      <c r="K226" s="2">
        <v>7897</v>
      </c>
      <c r="L226" s="2">
        <v>1163505</v>
      </c>
      <c r="M226" s="2">
        <v>764</v>
      </c>
      <c r="N226" s="2" t="s">
        <v>160</v>
      </c>
      <c r="O226" s="2">
        <v>0.51</v>
      </c>
      <c r="P226" s="2">
        <v>0.62</v>
      </c>
      <c r="Q226" s="2">
        <v>0</v>
      </c>
      <c r="R226" s="2">
        <v>6</v>
      </c>
      <c r="S226" s="2">
        <v>46523</v>
      </c>
      <c r="T226" s="2">
        <v>776581</v>
      </c>
      <c r="U226" s="2">
        <v>0</v>
      </c>
      <c r="V226" s="2">
        <v>0</v>
      </c>
      <c r="W226" s="2">
        <v>0</v>
      </c>
      <c r="X226" s="30" t="s">
        <v>148</v>
      </c>
    </row>
    <row r="227" spans="1:24">
      <c r="A227" s="5" t="s">
        <v>604</v>
      </c>
      <c r="B227" s="2" t="s">
        <v>605</v>
      </c>
      <c r="C227" s="26">
        <v>45803</v>
      </c>
      <c r="D227" s="2" t="s">
        <v>158</v>
      </c>
      <c r="E227" s="2" t="s">
        <v>132</v>
      </c>
      <c r="F227" s="2" t="s">
        <v>170</v>
      </c>
      <c r="G227" s="2" t="s">
        <v>134</v>
      </c>
      <c r="H227" s="2">
        <v>24</v>
      </c>
      <c r="I227" s="2">
        <v>2739900</v>
      </c>
      <c r="J227" s="2">
        <v>11.41</v>
      </c>
      <c r="K227" s="2">
        <v>128223</v>
      </c>
      <c r="L227" s="2">
        <v>745822</v>
      </c>
      <c r="M227" s="2">
        <v>782</v>
      </c>
      <c r="N227" s="2" t="s">
        <v>160</v>
      </c>
      <c r="O227" s="2">
        <v>0.48</v>
      </c>
      <c r="P227" s="2">
        <v>0.61</v>
      </c>
      <c r="Q227" s="2">
        <v>4486600</v>
      </c>
      <c r="R227" s="2">
        <v>7</v>
      </c>
      <c r="S227" s="2">
        <v>843527</v>
      </c>
      <c r="T227" s="2">
        <v>1969318</v>
      </c>
      <c r="U227" s="2">
        <v>0</v>
      </c>
      <c r="V227" s="2">
        <v>1</v>
      </c>
      <c r="W227" s="2">
        <v>0</v>
      </c>
      <c r="X227" s="30" t="s">
        <v>141</v>
      </c>
    </row>
    <row r="228" spans="1:24">
      <c r="A228" s="5" t="s">
        <v>606</v>
      </c>
      <c r="B228" s="2" t="s">
        <v>607</v>
      </c>
      <c r="C228" s="26">
        <v>45821</v>
      </c>
      <c r="D228" s="2" t="s">
        <v>158</v>
      </c>
      <c r="E228" s="2" t="s">
        <v>144</v>
      </c>
      <c r="F228" s="2" t="s">
        <v>151</v>
      </c>
      <c r="G228" s="2" t="s">
        <v>152</v>
      </c>
      <c r="H228" s="2">
        <v>36</v>
      </c>
      <c r="I228" s="2">
        <v>2896800</v>
      </c>
      <c r="J228" s="2">
        <v>11.11</v>
      </c>
      <c r="K228" s="2">
        <v>94988</v>
      </c>
      <c r="L228" s="2">
        <v>902522</v>
      </c>
      <c r="M228" s="2">
        <v>761</v>
      </c>
      <c r="N228" s="2" t="s">
        <v>160</v>
      </c>
      <c r="O228" s="2">
        <v>0.46</v>
      </c>
      <c r="P228" s="2">
        <v>0.74</v>
      </c>
      <c r="Q228" s="2">
        <v>3934400</v>
      </c>
      <c r="R228" s="2">
        <v>6</v>
      </c>
      <c r="S228" s="2">
        <v>538630</v>
      </c>
      <c r="T228" s="2">
        <v>2422537</v>
      </c>
      <c r="U228" s="2">
        <v>0</v>
      </c>
      <c r="V228" s="2">
        <v>0</v>
      </c>
      <c r="W228" s="2">
        <v>0</v>
      </c>
      <c r="X228" s="30" t="s">
        <v>148</v>
      </c>
    </row>
    <row r="229" spans="1:24">
      <c r="A229" s="5" t="s">
        <v>608</v>
      </c>
      <c r="B229" s="2" t="s">
        <v>609</v>
      </c>
      <c r="C229" s="26">
        <v>45786</v>
      </c>
      <c r="D229" s="2" t="s">
        <v>169</v>
      </c>
      <c r="E229" s="2" t="s">
        <v>144</v>
      </c>
      <c r="F229" s="2" t="s">
        <v>139</v>
      </c>
      <c r="G229" s="2" t="s">
        <v>152</v>
      </c>
      <c r="H229" s="2">
        <v>60</v>
      </c>
      <c r="I229" s="2">
        <v>3293300</v>
      </c>
      <c r="J229" s="2">
        <v>12.43</v>
      </c>
      <c r="K229" s="2">
        <v>73975</v>
      </c>
      <c r="L229" s="2">
        <v>859987</v>
      </c>
      <c r="M229" s="2">
        <v>661</v>
      </c>
      <c r="N229" s="2" t="s">
        <v>140</v>
      </c>
      <c r="O229" s="2">
        <v>0.45</v>
      </c>
      <c r="P229" s="2">
        <v>0.66</v>
      </c>
      <c r="Q229" s="2">
        <v>4996400</v>
      </c>
      <c r="R229" s="2">
        <v>7</v>
      </c>
      <c r="S229" s="2">
        <v>455457</v>
      </c>
      <c r="T229" s="2">
        <v>2933360</v>
      </c>
      <c r="U229" s="2">
        <v>0</v>
      </c>
      <c r="V229" s="2">
        <v>0</v>
      </c>
      <c r="W229" s="2">
        <v>0</v>
      </c>
      <c r="X229" s="30" t="s">
        <v>148</v>
      </c>
    </row>
    <row r="230" spans="1:24">
      <c r="A230" s="5" t="s">
        <v>610</v>
      </c>
      <c r="B230" s="2" t="s">
        <v>611</v>
      </c>
      <c r="C230" s="26">
        <v>45800</v>
      </c>
      <c r="D230" s="2" t="s">
        <v>169</v>
      </c>
      <c r="E230" s="2" t="s">
        <v>144</v>
      </c>
      <c r="F230" s="2" t="s">
        <v>170</v>
      </c>
      <c r="G230" s="2" t="s">
        <v>134</v>
      </c>
      <c r="H230" s="2">
        <v>48</v>
      </c>
      <c r="I230" s="2">
        <v>1988000</v>
      </c>
      <c r="J230" s="2">
        <v>13</v>
      </c>
      <c r="K230" s="2">
        <v>53333</v>
      </c>
      <c r="L230" s="2">
        <v>1189000</v>
      </c>
      <c r="M230" s="2">
        <v>670</v>
      </c>
      <c r="N230" s="2" t="s">
        <v>140</v>
      </c>
      <c r="O230" s="2">
        <v>0.43</v>
      </c>
      <c r="P230" s="2">
        <v>0.89</v>
      </c>
      <c r="Q230" s="2">
        <v>2232400</v>
      </c>
      <c r="R230" s="2">
        <v>7</v>
      </c>
      <c r="S230" s="2">
        <v>370496</v>
      </c>
      <c r="T230" s="2">
        <v>1677807</v>
      </c>
      <c r="U230" s="2">
        <v>0</v>
      </c>
      <c r="V230" s="2">
        <v>0</v>
      </c>
      <c r="W230" s="2">
        <v>0</v>
      </c>
      <c r="X230" s="30" t="s">
        <v>148</v>
      </c>
    </row>
    <row r="231" spans="1:24">
      <c r="A231" s="5" t="s">
        <v>612</v>
      </c>
      <c r="B231" s="2" t="s">
        <v>613</v>
      </c>
      <c r="C231" s="26">
        <v>45799</v>
      </c>
      <c r="D231" s="2" t="s">
        <v>163</v>
      </c>
      <c r="E231" s="2" t="s">
        <v>132</v>
      </c>
      <c r="F231" s="2" t="s">
        <v>151</v>
      </c>
      <c r="G231" s="2" t="s">
        <v>152</v>
      </c>
      <c r="H231" s="2">
        <v>36</v>
      </c>
      <c r="I231" s="2">
        <v>1062000</v>
      </c>
      <c r="J231" s="2">
        <v>17.87</v>
      </c>
      <c r="K231" s="2">
        <v>38325</v>
      </c>
      <c r="L231" s="2">
        <v>962876</v>
      </c>
      <c r="M231" s="2">
        <v>570</v>
      </c>
      <c r="N231" s="2" t="s">
        <v>166</v>
      </c>
      <c r="O231" s="2">
        <v>0.43</v>
      </c>
      <c r="P231" s="2">
        <v>0.57999999999999996</v>
      </c>
      <c r="Q231" s="2">
        <v>1815500</v>
      </c>
      <c r="R231" s="2">
        <v>7</v>
      </c>
      <c r="S231" s="2">
        <v>244551</v>
      </c>
      <c r="T231" s="2">
        <v>861731</v>
      </c>
      <c r="U231" s="2">
        <v>0</v>
      </c>
      <c r="V231" s="2">
        <v>0</v>
      </c>
      <c r="W231" s="2">
        <v>0</v>
      </c>
      <c r="X231" s="30" t="s">
        <v>148</v>
      </c>
    </row>
    <row r="232" spans="1:24">
      <c r="A232" s="5" t="s">
        <v>614</v>
      </c>
      <c r="B232" s="2" t="s">
        <v>615</v>
      </c>
      <c r="C232" s="26">
        <v>45767</v>
      </c>
      <c r="D232" s="2" t="s">
        <v>131</v>
      </c>
      <c r="E232" s="2" t="s">
        <v>144</v>
      </c>
      <c r="F232" s="2" t="s">
        <v>151</v>
      </c>
      <c r="G232" s="2" t="s">
        <v>134</v>
      </c>
      <c r="H232" s="2">
        <v>12</v>
      </c>
      <c r="I232" s="2">
        <v>166600</v>
      </c>
      <c r="J232" s="2">
        <v>17.940000000000001</v>
      </c>
      <c r="K232" s="2">
        <v>15269</v>
      </c>
      <c r="L232" s="2">
        <v>597130</v>
      </c>
      <c r="M232" s="2">
        <v>699</v>
      </c>
      <c r="N232" s="2" t="s">
        <v>140</v>
      </c>
      <c r="O232" s="2">
        <v>0.43</v>
      </c>
      <c r="P232" s="2">
        <v>1.03</v>
      </c>
      <c r="Q232" s="2">
        <v>0</v>
      </c>
      <c r="R232" s="2">
        <v>8</v>
      </c>
      <c r="S232" s="2">
        <v>105008</v>
      </c>
      <c r="T232" s="2">
        <v>69562</v>
      </c>
      <c r="U232" s="2">
        <v>0</v>
      </c>
      <c r="V232" s="2">
        <v>0</v>
      </c>
      <c r="W232" s="2">
        <v>0</v>
      </c>
      <c r="X232" s="30" t="s">
        <v>148</v>
      </c>
    </row>
    <row r="233" spans="1:24">
      <c r="A233" s="5" t="s">
        <v>616</v>
      </c>
      <c r="B233" s="2" t="s">
        <v>617</v>
      </c>
      <c r="C233" s="26">
        <v>45768</v>
      </c>
      <c r="D233" s="2" t="s">
        <v>177</v>
      </c>
      <c r="E233" s="2" t="s">
        <v>213</v>
      </c>
      <c r="F233" s="2" t="s">
        <v>133</v>
      </c>
      <c r="G233" s="2" t="s">
        <v>134</v>
      </c>
      <c r="H233" s="2">
        <v>36</v>
      </c>
      <c r="I233" s="2">
        <v>761700</v>
      </c>
      <c r="J233" s="2">
        <v>15.74</v>
      </c>
      <c r="K233" s="2">
        <v>26681</v>
      </c>
      <c r="L233" s="2">
        <v>1064276</v>
      </c>
      <c r="M233" s="2">
        <v>635</v>
      </c>
      <c r="N233" s="2" t="s">
        <v>147</v>
      </c>
      <c r="O233" s="2">
        <v>0.42</v>
      </c>
      <c r="P233" s="2">
        <v>0.45</v>
      </c>
      <c r="Q233" s="2">
        <v>0</v>
      </c>
      <c r="R233" s="2">
        <v>8</v>
      </c>
      <c r="S233" s="2">
        <v>214415</v>
      </c>
      <c r="T233" s="2">
        <v>579256</v>
      </c>
      <c r="U233" s="2">
        <v>0</v>
      </c>
      <c r="V233" s="2">
        <v>0</v>
      </c>
      <c r="W233" s="2">
        <v>0</v>
      </c>
      <c r="X233" s="30" t="s">
        <v>148</v>
      </c>
    </row>
    <row r="234" spans="1:24">
      <c r="A234" s="5" t="s">
        <v>618</v>
      </c>
      <c r="B234" s="2" t="s">
        <v>619</v>
      </c>
      <c r="C234" s="26">
        <v>45759</v>
      </c>
      <c r="D234" s="2" t="s">
        <v>158</v>
      </c>
      <c r="E234" s="2" t="s">
        <v>144</v>
      </c>
      <c r="F234" s="2" t="s">
        <v>139</v>
      </c>
      <c r="G234" s="2" t="s">
        <v>152</v>
      </c>
      <c r="H234" s="2">
        <v>18</v>
      </c>
      <c r="I234" s="2">
        <v>1864500</v>
      </c>
      <c r="J234" s="2">
        <v>8.52</v>
      </c>
      <c r="K234" s="2">
        <v>110710</v>
      </c>
      <c r="L234" s="2">
        <v>229191</v>
      </c>
      <c r="M234" s="2">
        <v>817</v>
      </c>
      <c r="N234" s="2" t="s">
        <v>160</v>
      </c>
      <c r="O234" s="2">
        <v>0.41</v>
      </c>
      <c r="P234" s="2">
        <v>0.63</v>
      </c>
      <c r="Q234" s="2">
        <v>2949000</v>
      </c>
      <c r="R234" s="2">
        <v>8</v>
      </c>
      <c r="S234" s="2">
        <v>791054</v>
      </c>
      <c r="T234" s="2">
        <v>1115807</v>
      </c>
      <c r="U234" s="2">
        <v>0</v>
      </c>
      <c r="V234" s="2">
        <v>0</v>
      </c>
      <c r="W234" s="2">
        <v>0</v>
      </c>
      <c r="X234" s="30" t="s">
        <v>148</v>
      </c>
    </row>
    <row r="235" spans="1:24">
      <c r="A235" s="5" t="s">
        <v>620</v>
      </c>
      <c r="B235" s="2" t="s">
        <v>621</v>
      </c>
      <c r="C235" s="26">
        <v>45783</v>
      </c>
      <c r="D235" s="2" t="s">
        <v>158</v>
      </c>
      <c r="E235" s="2" t="s">
        <v>159</v>
      </c>
      <c r="F235" s="2" t="s">
        <v>151</v>
      </c>
      <c r="G235" s="2" t="s">
        <v>134</v>
      </c>
      <c r="H235" s="2">
        <v>84</v>
      </c>
      <c r="I235" s="2">
        <v>3717200</v>
      </c>
      <c r="J235" s="2">
        <v>12.36</v>
      </c>
      <c r="K235" s="2">
        <v>66337</v>
      </c>
      <c r="L235" s="2">
        <v>1695547</v>
      </c>
      <c r="M235" s="2">
        <v>746</v>
      </c>
      <c r="N235" s="2" t="s">
        <v>135</v>
      </c>
      <c r="O235" s="2">
        <v>0.41</v>
      </c>
      <c r="P235" s="2">
        <v>0.71</v>
      </c>
      <c r="Q235" s="2">
        <v>5224800</v>
      </c>
      <c r="R235" s="2">
        <v>7</v>
      </c>
      <c r="S235" s="2">
        <v>404213</v>
      </c>
      <c r="T235" s="2">
        <v>3420191</v>
      </c>
      <c r="U235" s="2">
        <v>5</v>
      </c>
      <c r="V235" s="2">
        <v>0</v>
      </c>
      <c r="W235" s="2">
        <v>0</v>
      </c>
      <c r="X235" s="30" t="s">
        <v>148</v>
      </c>
    </row>
    <row r="236" spans="1:24">
      <c r="A236" s="5" t="s">
        <v>622</v>
      </c>
      <c r="B236" s="2" t="s">
        <v>623</v>
      </c>
      <c r="C236" s="26">
        <v>45781</v>
      </c>
      <c r="D236" s="2" t="s">
        <v>163</v>
      </c>
      <c r="E236" s="2" t="s">
        <v>132</v>
      </c>
      <c r="F236" s="2" t="s">
        <v>145</v>
      </c>
      <c r="G236" s="2" t="s">
        <v>134</v>
      </c>
      <c r="H236" s="2">
        <v>24</v>
      </c>
      <c r="I236" s="2">
        <v>1439100</v>
      </c>
      <c r="J236" s="2">
        <v>8.7799999999999994</v>
      </c>
      <c r="K236" s="2">
        <v>65600</v>
      </c>
      <c r="L236" s="2">
        <v>939856</v>
      </c>
      <c r="M236" s="2">
        <v>753</v>
      </c>
      <c r="N236" s="2" t="s">
        <v>160</v>
      </c>
      <c r="O236" s="2">
        <v>0.41</v>
      </c>
      <c r="P236" s="2">
        <v>0.5</v>
      </c>
      <c r="Q236" s="2">
        <v>2871000</v>
      </c>
      <c r="R236" s="2">
        <v>7</v>
      </c>
      <c r="S236" s="2">
        <v>438942</v>
      </c>
      <c r="T236" s="2">
        <v>1029640</v>
      </c>
      <c r="U236" s="2">
        <v>0</v>
      </c>
      <c r="V236" s="2">
        <v>1</v>
      </c>
      <c r="W236" s="2">
        <v>0</v>
      </c>
      <c r="X236" s="30" t="s">
        <v>141</v>
      </c>
    </row>
    <row r="237" spans="1:24">
      <c r="A237" s="5" t="s">
        <v>624</v>
      </c>
      <c r="B237" s="2" t="s">
        <v>625</v>
      </c>
      <c r="C237" s="26">
        <v>45791</v>
      </c>
      <c r="D237" s="2" t="s">
        <v>163</v>
      </c>
      <c r="E237" s="2" t="s">
        <v>132</v>
      </c>
      <c r="F237" s="2" t="s">
        <v>139</v>
      </c>
      <c r="G237" s="2" t="s">
        <v>192</v>
      </c>
      <c r="H237" s="2">
        <v>360</v>
      </c>
      <c r="I237" s="2">
        <v>736600</v>
      </c>
      <c r="J237" s="2">
        <v>16.23</v>
      </c>
      <c r="K237" s="2">
        <v>10042</v>
      </c>
      <c r="L237" s="2">
        <v>452176</v>
      </c>
      <c r="M237" s="2">
        <v>598</v>
      </c>
      <c r="N237" s="2" t="s">
        <v>166</v>
      </c>
      <c r="O237" s="2">
        <v>0.41</v>
      </c>
      <c r="P237" s="2">
        <v>0.87</v>
      </c>
      <c r="Q237" s="2">
        <v>846300</v>
      </c>
      <c r="R237" s="2">
        <v>7</v>
      </c>
      <c r="S237" s="2">
        <v>67496</v>
      </c>
      <c r="T237" s="2">
        <v>696999</v>
      </c>
      <c r="U237" s="2">
        <v>0</v>
      </c>
      <c r="V237" s="2">
        <v>0</v>
      </c>
      <c r="W237" s="2">
        <v>0</v>
      </c>
      <c r="X237" s="30" t="s">
        <v>148</v>
      </c>
    </row>
    <row r="238" spans="1:24">
      <c r="A238" s="5" t="s">
        <v>626</v>
      </c>
      <c r="B238" s="2" t="s">
        <v>627</v>
      </c>
      <c r="C238" s="26">
        <v>45764</v>
      </c>
      <c r="D238" s="2" t="s">
        <v>169</v>
      </c>
      <c r="E238" s="2" t="s">
        <v>132</v>
      </c>
      <c r="F238" s="2" t="s">
        <v>170</v>
      </c>
      <c r="G238" s="2" t="s">
        <v>152</v>
      </c>
      <c r="H238" s="2">
        <v>24</v>
      </c>
      <c r="I238" s="2">
        <v>3007300</v>
      </c>
      <c r="J238" s="2">
        <v>11.12</v>
      </c>
      <c r="K238" s="2">
        <v>140331</v>
      </c>
      <c r="L238" s="2">
        <v>797309</v>
      </c>
      <c r="M238" s="2">
        <v>666</v>
      </c>
      <c r="N238" s="2" t="s">
        <v>140</v>
      </c>
      <c r="O238" s="2">
        <v>0.4</v>
      </c>
      <c r="P238" s="2">
        <v>0.61</v>
      </c>
      <c r="Q238" s="2">
        <v>4951400</v>
      </c>
      <c r="R238" s="2">
        <v>8</v>
      </c>
      <c r="S238" s="2">
        <v>1038248</v>
      </c>
      <c r="T238" s="2">
        <v>2058228</v>
      </c>
      <c r="U238" s="2">
        <v>30</v>
      </c>
      <c r="V238" s="2">
        <v>0</v>
      </c>
      <c r="W238" s="2">
        <v>0</v>
      </c>
      <c r="X238" s="30" t="s">
        <v>136</v>
      </c>
    </row>
    <row r="239" spans="1:24">
      <c r="A239" s="5" t="s">
        <v>628</v>
      </c>
      <c r="B239" s="2" t="s">
        <v>629</v>
      </c>
      <c r="C239" s="26">
        <v>45764</v>
      </c>
      <c r="D239" s="2" t="s">
        <v>163</v>
      </c>
      <c r="E239" s="2" t="s">
        <v>213</v>
      </c>
      <c r="F239" s="2" t="s">
        <v>133</v>
      </c>
      <c r="G239" s="2" t="s">
        <v>146</v>
      </c>
      <c r="H239" s="2">
        <v>360</v>
      </c>
      <c r="I239" s="2">
        <v>433100</v>
      </c>
      <c r="J239" s="2">
        <v>7</v>
      </c>
      <c r="K239" s="2">
        <v>2881</v>
      </c>
      <c r="L239" s="2">
        <v>266634</v>
      </c>
      <c r="M239" s="2">
        <v>825</v>
      </c>
      <c r="N239" s="2" t="s">
        <v>160</v>
      </c>
      <c r="O239" s="2">
        <v>0.38</v>
      </c>
      <c r="P239" s="2">
        <v>0.73</v>
      </c>
      <c r="Q239" s="2">
        <v>595100</v>
      </c>
      <c r="R239" s="2">
        <v>8</v>
      </c>
      <c r="S239" s="2">
        <v>21254</v>
      </c>
      <c r="T239" s="2">
        <v>419931</v>
      </c>
      <c r="U239" s="2">
        <v>0</v>
      </c>
      <c r="V239" s="2">
        <v>0</v>
      </c>
      <c r="W239" s="2">
        <v>0</v>
      </c>
      <c r="X239" s="30" t="s">
        <v>148</v>
      </c>
    </row>
    <row r="240" spans="1:24">
      <c r="A240" s="5" t="s">
        <v>630</v>
      </c>
      <c r="B240" s="2" t="s">
        <v>631</v>
      </c>
      <c r="C240" s="26">
        <v>45780</v>
      </c>
      <c r="D240" s="2" t="s">
        <v>158</v>
      </c>
      <c r="E240" s="2" t="s">
        <v>144</v>
      </c>
      <c r="F240" s="2" t="s">
        <v>133</v>
      </c>
      <c r="G240" s="2" t="s">
        <v>146</v>
      </c>
      <c r="H240" s="2">
        <v>24</v>
      </c>
      <c r="I240" s="2">
        <v>2782200</v>
      </c>
      <c r="J240" s="2">
        <v>17.170000000000002</v>
      </c>
      <c r="K240" s="2">
        <v>137786</v>
      </c>
      <c r="L240" s="2">
        <v>1149549</v>
      </c>
      <c r="M240" s="2">
        <v>639</v>
      </c>
      <c r="N240" s="2" t="s">
        <v>147</v>
      </c>
      <c r="O240" s="2">
        <v>0.37</v>
      </c>
      <c r="P240" s="2">
        <v>0.59</v>
      </c>
      <c r="Q240" s="2">
        <v>4748200</v>
      </c>
      <c r="R240" s="2">
        <v>7</v>
      </c>
      <c r="S240" s="2">
        <v>935698</v>
      </c>
      <c r="T240" s="2">
        <v>1957966</v>
      </c>
      <c r="U240" s="2">
        <v>0</v>
      </c>
      <c r="V240" s="2">
        <v>0</v>
      </c>
      <c r="W240" s="2">
        <v>0</v>
      </c>
      <c r="X240" s="30" t="s">
        <v>148</v>
      </c>
    </row>
    <row r="241" spans="1:24">
      <c r="A241" s="5" t="s">
        <v>632</v>
      </c>
      <c r="B241" s="2" t="s">
        <v>633</v>
      </c>
      <c r="C241" s="26">
        <v>45829</v>
      </c>
      <c r="D241" s="2" t="s">
        <v>169</v>
      </c>
      <c r="E241" s="2" t="s">
        <v>132</v>
      </c>
      <c r="F241" s="2" t="s">
        <v>145</v>
      </c>
      <c r="G241" s="2" t="s">
        <v>152</v>
      </c>
      <c r="H241" s="2">
        <v>60</v>
      </c>
      <c r="I241" s="2">
        <v>7685900</v>
      </c>
      <c r="J241" s="2">
        <v>11.28</v>
      </c>
      <c r="K241" s="2">
        <v>168185</v>
      </c>
      <c r="L241" s="2">
        <v>1513427</v>
      </c>
      <c r="M241" s="2">
        <v>687</v>
      </c>
      <c r="N241" s="2" t="s">
        <v>140</v>
      </c>
      <c r="O241" s="2">
        <v>0.37</v>
      </c>
      <c r="P241" s="2">
        <v>0.78</v>
      </c>
      <c r="Q241" s="2">
        <v>9796600</v>
      </c>
      <c r="R241" s="2">
        <v>6</v>
      </c>
      <c r="S241" s="2">
        <v>867786</v>
      </c>
      <c r="T241" s="2">
        <v>6991508</v>
      </c>
      <c r="U241" s="2">
        <v>90</v>
      </c>
      <c r="V241" s="2">
        <v>1</v>
      </c>
      <c r="W241" s="2">
        <v>1</v>
      </c>
      <c r="X241" s="30" t="s">
        <v>153</v>
      </c>
    </row>
    <row r="242" spans="1:24">
      <c r="A242" s="5" t="s">
        <v>634</v>
      </c>
      <c r="B242" s="2" t="s">
        <v>635</v>
      </c>
      <c r="C242" s="26">
        <v>45822</v>
      </c>
      <c r="D242" s="2" t="s">
        <v>158</v>
      </c>
      <c r="E242" s="2" t="s">
        <v>159</v>
      </c>
      <c r="F242" s="2" t="s">
        <v>145</v>
      </c>
      <c r="G242" s="2" t="s">
        <v>134</v>
      </c>
      <c r="H242" s="2">
        <v>24</v>
      </c>
      <c r="I242" s="2">
        <v>1804200</v>
      </c>
      <c r="J242" s="2">
        <v>17.16</v>
      </c>
      <c r="K242" s="2">
        <v>89343</v>
      </c>
      <c r="L242" s="2">
        <v>1061077</v>
      </c>
      <c r="M242" s="2">
        <v>659</v>
      </c>
      <c r="N242" s="2" t="s">
        <v>140</v>
      </c>
      <c r="O242" s="2">
        <v>0.36</v>
      </c>
      <c r="P242" s="2">
        <v>0.87</v>
      </c>
      <c r="Q242" s="2">
        <v>2065700</v>
      </c>
      <c r="R242" s="2">
        <v>6</v>
      </c>
      <c r="S242" s="2">
        <v>460408</v>
      </c>
      <c r="T242" s="2">
        <v>1405712</v>
      </c>
      <c r="U242" s="2">
        <v>0</v>
      </c>
      <c r="V242" s="2">
        <v>0</v>
      </c>
      <c r="W242" s="2">
        <v>0</v>
      </c>
      <c r="X242" s="30" t="s">
        <v>148</v>
      </c>
    </row>
    <row r="243" spans="1:24">
      <c r="A243" s="5" t="s">
        <v>636</v>
      </c>
      <c r="B243" s="2" t="s">
        <v>637</v>
      </c>
      <c r="C243" s="26">
        <v>45756</v>
      </c>
      <c r="D243" s="2" t="s">
        <v>158</v>
      </c>
      <c r="E243" s="2" t="s">
        <v>144</v>
      </c>
      <c r="F243" s="2" t="s">
        <v>145</v>
      </c>
      <c r="G243" s="2" t="s">
        <v>192</v>
      </c>
      <c r="H243" s="2">
        <v>12</v>
      </c>
      <c r="I243" s="2">
        <v>2462600</v>
      </c>
      <c r="J243" s="2">
        <v>10.99</v>
      </c>
      <c r="K243" s="2">
        <v>217637</v>
      </c>
      <c r="L243" s="2">
        <v>1068084</v>
      </c>
      <c r="M243" s="2">
        <v>772</v>
      </c>
      <c r="N243" s="2" t="s">
        <v>160</v>
      </c>
      <c r="O243" s="2">
        <v>0.34</v>
      </c>
      <c r="P243" s="2">
        <v>0.75</v>
      </c>
      <c r="Q243" s="2">
        <v>3274800</v>
      </c>
      <c r="R243" s="2">
        <v>8</v>
      </c>
      <c r="S243" s="2">
        <v>1514821</v>
      </c>
      <c r="T243" s="2">
        <v>1019950</v>
      </c>
      <c r="U243" s="2">
        <v>0</v>
      </c>
      <c r="V243" s="2">
        <v>1</v>
      </c>
      <c r="W243" s="2">
        <v>0</v>
      </c>
      <c r="X243" s="30" t="s">
        <v>141</v>
      </c>
    </row>
    <row r="244" spans="1:24">
      <c r="A244" s="5" t="s">
        <v>638</v>
      </c>
      <c r="B244" s="2" t="s">
        <v>639</v>
      </c>
      <c r="C244" s="26">
        <v>45769</v>
      </c>
      <c r="D244" s="2" t="s">
        <v>177</v>
      </c>
      <c r="E244" s="2" t="s">
        <v>132</v>
      </c>
      <c r="F244" s="2" t="s">
        <v>151</v>
      </c>
      <c r="G244" s="2" t="s">
        <v>152</v>
      </c>
      <c r="H244" s="2">
        <v>360</v>
      </c>
      <c r="I244" s="2">
        <v>1813000</v>
      </c>
      <c r="J244" s="2">
        <v>15.21</v>
      </c>
      <c r="K244" s="2">
        <v>23229</v>
      </c>
      <c r="L244" s="2">
        <v>1393557</v>
      </c>
      <c r="M244" s="2">
        <v>631</v>
      </c>
      <c r="N244" s="2" t="s">
        <v>147</v>
      </c>
      <c r="O244" s="2">
        <v>0.34</v>
      </c>
      <c r="P244" s="2">
        <v>0.52</v>
      </c>
      <c r="Q244" s="2">
        <v>0</v>
      </c>
      <c r="R244" s="2">
        <v>8</v>
      </c>
      <c r="S244" s="2">
        <v>188052</v>
      </c>
      <c r="T244" s="2">
        <v>1698483</v>
      </c>
      <c r="U244" s="2">
        <v>0</v>
      </c>
      <c r="V244" s="2">
        <v>0</v>
      </c>
      <c r="W244" s="2">
        <v>0</v>
      </c>
      <c r="X244" s="30" t="s">
        <v>148</v>
      </c>
    </row>
    <row r="245" spans="1:24">
      <c r="A245" s="5" t="s">
        <v>640</v>
      </c>
      <c r="B245" s="2" t="s">
        <v>641</v>
      </c>
      <c r="C245" s="26">
        <v>45784</v>
      </c>
      <c r="D245" s="2" t="s">
        <v>158</v>
      </c>
      <c r="E245" s="2" t="s">
        <v>132</v>
      </c>
      <c r="F245" s="2" t="s">
        <v>133</v>
      </c>
      <c r="G245" s="2" t="s">
        <v>134</v>
      </c>
      <c r="H245" s="2">
        <v>48</v>
      </c>
      <c r="I245" s="2">
        <v>3147900</v>
      </c>
      <c r="J245" s="2">
        <v>20.14</v>
      </c>
      <c r="K245" s="2">
        <v>96027</v>
      </c>
      <c r="L245" s="2">
        <v>667395</v>
      </c>
      <c r="M245" s="2">
        <v>595</v>
      </c>
      <c r="N245" s="2" t="s">
        <v>166</v>
      </c>
      <c r="O245" s="2">
        <v>0.33</v>
      </c>
      <c r="P245" s="2">
        <v>0.67</v>
      </c>
      <c r="Q245" s="2">
        <v>4718400</v>
      </c>
      <c r="R245" s="2">
        <v>7</v>
      </c>
      <c r="S245" s="2">
        <v>638912</v>
      </c>
      <c r="T245" s="2">
        <v>2656918</v>
      </c>
      <c r="U245" s="2">
        <v>0</v>
      </c>
      <c r="V245" s="2">
        <v>0</v>
      </c>
      <c r="W245" s="2">
        <v>0</v>
      </c>
      <c r="X245" s="30" t="s">
        <v>148</v>
      </c>
    </row>
    <row r="246" spans="1:24">
      <c r="A246" s="5" t="s">
        <v>642</v>
      </c>
      <c r="B246" s="2" t="s">
        <v>643</v>
      </c>
      <c r="C246" s="26">
        <v>45761</v>
      </c>
      <c r="D246" s="2" t="s">
        <v>158</v>
      </c>
      <c r="E246" s="2" t="s">
        <v>144</v>
      </c>
      <c r="F246" s="2" t="s">
        <v>139</v>
      </c>
      <c r="G246" s="2" t="s">
        <v>152</v>
      </c>
      <c r="H246" s="2">
        <v>72</v>
      </c>
      <c r="I246" s="2">
        <v>1994100</v>
      </c>
      <c r="J246" s="2">
        <v>14.45</v>
      </c>
      <c r="K246" s="2">
        <v>41572</v>
      </c>
      <c r="L246" s="2">
        <v>710306</v>
      </c>
      <c r="M246" s="2">
        <v>708</v>
      </c>
      <c r="N246" s="2" t="s">
        <v>135</v>
      </c>
      <c r="O246" s="2">
        <v>0.31</v>
      </c>
      <c r="P246" s="2">
        <v>0.77</v>
      </c>
      <c r="Q246" s="2">
        <v>2604900</v>
      </c>
      <c r="R246" s="2">
        <v>8</v>
      </c>
      <c r="S246" s="2">
        <v>285250</v>
      </c>
      <c r="T246" s="2">
        <v>1785689</v>
      </c>
      <c r="U246" s="2">
        <v>0</v>
      </c>
      <c r="V246" s="2">
        <v>0</v>
      </c>
      <c r="W246" s="2">
        <v>0</v>
      </c>
      <c r="X246" s="30" t="s">
        <v>148</v>
      </c>
    </row>
    <row r="247" spans="1:24">
      <c r="A247" s="5" t="s">
        <v>644</v>
      </c>
      <c r="B247" s="2" t="s">
        <v>645</v>
      </c>
      <c r="C247" s="26">
        <v>45835</v>
      </c>
      <c r="D247" s="2" t="s">
        <v>163</v>
      </c>
      <c r="E247" s="2" t="s">
        <v>144</v>
      </c>
      <c r="F247" s="2" t="s">
        <v>133</v>
      </c>
      <c r="G247" s="2" t="s">
        <v>134</v>
      </c>
      <c r="H247" s="2">
        <v>48</v>
      </c>
      <c r="I247" s="2">
        <v>1125700</v>
      </c>
      <c r="J247" s="2">
        <v>17.89</v>
      </c>
      <c r="K247" s="2">
        <v>33003</v>
      </c>
      <c r="L247" s="2">
        <v>1239674</v>
      </c>
      <c r="M247" s="2">
        <v>567</v>
      </c>
      <c r="N247" s="2" t="s">
        <v>166</v>
      </c>
      <c r="O247" s="2">
        <v>0.3</v>
      </c>
      <c r="P247" s="2">
        <v>0.94</v>
      </c>
      <c r="Q247" s="2">
        <v>1199200</v>
      </c>
      <c r="R247" s="2">
        <v>6</v>
      </c>
      <c r="S247" s="2">
        <v>179459</v>
      </c>
      <c r="T247" s="2">
        <v>986519</v>
      </c>
      <c r="U247" s="2">
        <v>0</v>
      </c>
      <c r="V247" s="2">
        <v>0</v>
      </c>
      <c r="W247" s="2">
        <v>0</v>
      </c>
      <c r="X247" s="30" t="s">
        <v>148</v>
      </c>
    </row>
    <row r="248" spans="1:24">
      <c r="A248" s="5" t="s">
        <v>646</v>
      </c>
      <c r="B248" s="2" t="s">
        <v>647</v>
      </c>
      <c r="C248" s="26">
        <v>45819</v>
      </c>
      <c r="D248" s="2" t="s">
        <v>169</v>
      </c>
      <c r="E248" s="2" t="s">
        <v>144</v>
      </c>
      <c r="F248" s="2" t="s">
        <v>145</v>
      </c>
      <c r="G248" s="2" t="s">
        <v>152</v>
      </c>
      <c r="H248" s="2">
        <v>240</v>
      </c>
      <c r="I248" s="2">
        <v>5172000</v>
      </c>
      <c r="J248" s="2">
        <v>11.85</v>
      </c>
      <c r="K248" s="2">
        <v>56408</v>
      </c>
      <c r="L248" s="2">
        <v>1406471</v>
      </c>
      <c r="M248" s="2">
        <v>664</v>
      </c>
      <c r="N248" s="2" t="s">
        <v>140</v>
      </c>
      <c r="O248" s="2">
        <v>0.28999999999999998</v>
      </c>
      <c r="P248" s="2">
        <v>0.92</v>
      </c>
      <c r="Q248" s="2">
        <v>5593700</v>
      </c>
      <c r="R248" s="2">
        <v>6</v>
      </c>
      <c r="S248" s="2">
        <v>343327</v>
      </c>
      <c r="T248" s="2">
        <v>4951249</v>
      </c>
      <c r="U248" s="2">
        <v>0</v>
      </c>
      <c r="V248" s="2">
        <v>0</v>
      </c>
      <c r="W248" s="2">
        <v>0</v>
      </c>
      <c r="X248" s="30" t="s">
        <v>148</v>
      </c>
    </row>
    <row r="249" spans="1:24">
      <c r="A249" s="5" t="s">
        <v>648</v>
      </c>
      <c r="B249" s="2" t="s">
        <v>649</v>
      </c>
      <c r="C249" s="26">
        <v>45789</v>
      </c>
      <c r="D249" s="2" t="s">
        <v>163</v>
      </c>
      <c r="E249" s="2" t="s">
        <v>132</v>
      </c>
      <c r="F249" s="2" t="s">
        <v>145</v>
      </c>
      <c r="G249" s="2" t="s">
        <v>134</v>
      </c>
      <c r="H249" s="2">
        <v>18</v>
      </c>
      <c r="I249" s="2">
        <v>769200</v>
      </c>
      <c r="J249" s="2">
        <v>11.07</v>
      </c>
      <c r="K249" s="2">
        <v>46576</v>
      </c>
      <c r="L249" s="2">
        <v>759026</v>
      </c>
      <c r="M249" s="2">
        <v>725</v>
      </c>
      <c r="N249" s="2" t="s">
        <v>135</v>
      </c>
      <c r="O249" s="2">
        <v>0.27</v>
      </c>
      <c r="P249" s="2">
        <v>0.82</v>
      </c>
      <c r="Q249" s="2">
        <v>940400</v>
      </c>
      <c r="R249" s="2">
        <v>7</v>
      </c>
      <c r="S249" s="2">
        <v>298980</v>
      </c>
      <c r="T249" s="2">
        <v>490088</v>
      </c>
      <c r="U249" s="2">
        <v>15</v>
      </c>
      <c r="V249" s="2">
        <v>0</v>
      </c>
      <c r="W249" s="2">
        <v>0</v>
      </c>
      <c r="X249" s="30" t="s">
        <v>148</v>
      </c>
    </row>
    <row r="250" spans="1:24">
      <c r="A250" s="5" t="s">
        <v>650</v>
      </c>
      <c r="B250" s="2" t="s">
        <v>651</v>
      </c>
      <c r="C250" s="26">
        <v>45785</v>
      </c>
      <c r="D250" s="2" t="s">
        <v>177</v>
      </c>
      <c r="E250" s="2" t="s">
        <v>159</v>
      </c>
      <c r="F250" s="2" t="s">
        <v>145</v>
      </c>
      <c r="G250" s="2" t="s">
        <v>134</v>
      </c>
      <c r="H250" s="2">
        <v>60</v>
      </c>
      <c r="I250" s="2">
        <v>1086600</v>
      </c>
      <c r="J250" s="2">
        <v>14.64</v>
      </c>
      <c r="K250" s="2">
        <v>25645</v>
      </c>
      <c r="L250" s="2">
        <v>1417857</v>
      </c>
      <c r="M250" s="2">
        <v>676</v>
      </c>
      <c r="N250" s="2" t="s">
        <v>140</v>
      </c>
      <c r="O250" s="2">
        <v>0.26</v>
      </c>
      <c r="P250" s="2">
        <v>0.68</v>
      </c>
      <c r="Q250" s="2">
        <v>0</v>
      </c>
      <c r="R250" s="2">
        <v>7</v>
      </c>
      <c r="S250" s="2">
        <v>178188</v>
      </c>
      <c r="T250" s="2">
        <v>945530</v>
      </c>
      <c r="U250" s="2">
        <v>10</v>
      </c>
      <c r="V250" s="2">
        <v>0</v>
      </c>
      <c r="W250" s="2">
        <v>0</v>
      </c>
      <c r="X250" s="30" t="s">
        <v>148</v>
      </c>
    </row>
    <row r="251" spans="1:24">
      <c r="A251" s="5" t="s">
        <v>652</v>
      </c>
      <c r="B251" s="2" t="s">
        <v>653</v>
      </c>
      <c r="C251" s="26">
        <v>45795</v>
      </c>
      <c r="D251" s="2" t="s">
        <v>131</v>
      </c>
      <c r="E251" s="2" t="s">
        <v>213</v>
      </c>
      <c r="F251" s="2" t="s">
        <v>151</v>
      </c>
      <c r="G251" s="2" t="s">
        <v>134</v>
      </c>
      <c r="H251" s="2">
        <v>72</v>
      </c>
      <c r="I251" s="2">
        <v>473300</v>
      </c>
      <c r="J251" s="2">
        <v>16.13</v>
      </c>
      <c r="K251" s="2">
        <v>10301</v>
      </c>
      <c r="L251" s="2">
        <v>790926</v>
      </c>
      <c r="M251" s="2">
        <v>742</v>
      </c>
      <c r="N251" s="2" t="s">
        <v>135</v>
      </c>
      <c r="O251" s="2">
        <v>0.23</v>
      </c>
      <c r="P251" s="2">
        <v>0.55000000000000004</v>
      </c>
      <c r="Q251" s="2">
        <v>0</v>
      </c>
      <c r="R251" s="2">
        <v>7</v>
      </c>
      <c r="S251" s="2">
        <v>72786</v>
      </c>
      <c r="T251" s="2">
        <v>418327</v>
      </c>
      <c r="U251" s="2">
        <v>0</v>
      </c>
      <c r="V251" s="2">
        <v>0</v>
      </c>
      <c r="W251" s="2">
        <v>0</v>
      </c>
      <c r="X251" s="30" t="s">
        <v>148</v>
      </c>
    </row>
    <row r="252" spans="1:24">
      <c r="A252" s="5" t="s">
        <v>654</v>
      </c>
      <c r="B252" s="2" t="s">
        <v>655</v>
      </c>
      <c r="C252" s="26">
        <v>45812</v>
      </c>
      <c r="D252" s="2" t="s">
        <v>163</v>
      </c>
      <c r="E252" s="2" t="s">
        <v>159</v>
      </c>
      <c r="F252" s="2" t="s">
        <v>139</v>
      </c>
      <c r="G252" s="2" t="s">
        <v>134</v>
      </c>
      <c r="H252" s="2">
        <v>12</v>
      </c>
      <c r="I252" s="2">
        <v>1171800</v>
      </c>
      <c r="J252" s="2">
        <v>10.58</v>
      </c>
      <c r="K252" s="2">
        <v>103336</v>
      </c>
      <c r="L252" s="2">
        <v>1400822</v>
      </c>
      <c r="M252" s="2">
        <v>717</v>
      </c>
      <c r="N252" s="2" t="s">
        <v>135</v>
      </c>
      <c r="O252" s="2">
        <v>0.23</v>
      </c>
      <c r="P252" s="2">
        <v>0.59</v>
      </c>
      <c r="Q252" s="2">
        <v>1983500</v>
      </c>
      <c r="R252" s="2">
        <v>6</v>
      </c>
      <c r="S252" s="2">
        <v>578881</v>
      </c>
      <c r="T252" s="2">
        <v>617714</v>
      </c>
      <c r="U252" s="2">
        <v>45</v>
      </c>
      <c r="V252" s="2">
        <v>0</v>
      </c>
      <c r="W252" s="2">
        <v>0</v>
      </c>
      <c r="X252" s="30" t="s">
        <v>136</v>
      </c>
    </row>
    <row r="253" spans="1:24">
      <c r="A253" s="5" t="s">
        <v>656</v>
      </c>
      <c r="B253" s="2" t="s">
        <v>657</v>
      </c>
      <c r="C253" s="26">
        <v>45780</v>
      </c>
      <c r="D253" s="2" t="s">
        <v>158</v>
      </c>
      <c r="E253" s="2" t="s">
        <v>159</v>
      </c>
      <c r="F253" s="2" t="s">
        <v>145</v>
      </c>
      <c r="G253" s="2" t="s">
        <v>134</v>
      </c>
      <c r="H253" s="2">
        <v>60</v>
      </c>
      <c r="I253" s="2">
        <v>2283600</v>
      </c>
      <c r="J253" s="2">
        <v>11.46</v>
      </c>
      <c r="K253" s="2">
        <v>50176</v>
      </c>
      <c r="L253" s="2">
        <v>480309</v>
      </c>
      <c r="M253" s="2">
        <v>722</v>
      </c>
      <c r="N253" s="2" t="s">
        <v>135</v>
      </c>
      <c r="O253" s="2">
        <v>0.2</v>
      </c>
      <c r="P253" s="2">
        <v>0.73</v>
      </c>
      <c r="Q253" s="2">
        <v>3116300</v>
      </c>
      <c r="R253" s="2">
        <v>7</v>
      </c>
      <c r="S253" s="2">
        <v>301210</v>
      </c>
      <c r="T253" s="2">
        <v>2043453</v>
      </c>
      <c r="U253" s="2">
        <v>0</v>
      </c>
      <c r="V253" s="2">
        <v>0</v>
      </c>
      <c r="W253" s="2">
        <v>0</v>
      </c>
      <c r="X253" s="30" t="s">
        <v>148</v>
      </c>
    </row>
    <row r="254" spans="1:24">
      <c r="A254" s="5" t="s">
        <v>658</v>
      </c>
      <c r="B254" s="2" t="s">
        <v>659</v>
      </c>
      <c r="C254" s="26">
        <v>45793</v>
      </c>
      <c r="D254" s="2" t="s">
        <v>177</v>
      </c>
      <c r="E254" s="2" t="s">
        <v>159</v>
      </c>
      <c r="F254" s="2" t="s">
        <v>145</v>
      </c>
      <c r="G254" s="2" t="s">
        <v>134</v>
      </c>
      <c r="H254" s="2">
        <v>180</v>
      </c>
      <c r="I254" s="2">
        <v>942800</v>
      </c>
      <c r="J254" s="2">
        <v>11.68</v>
      </c>
      <c r="K254" s="2">
        <v>11122</v>
      </c>
      <c r="L254" s="2">
        <v>625810</v>
      </c>
      <c r="M254" s="2">
        <v>704</v>
      </c>
      <c r="N254" s="2" t="s">
        <v>135</v>
      </c>
      <c r="O254" s="2">
        <v>0.18</v>
      </c>
      <c r="P254" s="2">
        <v>0.69</v>
      </c>
      <c r="Q254" s="2">
        <v>0</v>
      </c>
      <c r="R254" s="2">
        <v>7</v>
      </c>
      <c r="S254" s="2">
        <v>73450</v>
      </c>
      <c r="T254" s="2">
        <v>895044</v>
      </c>
      <c r="U254" s="2">
        <v>5</v>
      </c>
      <c r="V254" s="2">
        <v>1</v>
      </c>
      <c r="W254" s="2">
        <v>0</v>
      </c>
      <c r="X254" s="30" t="s">
        <v>141</v>
      </c>
    </row>
    <row r="255" spans="1:24">
      <c r="A255" s="5" t="s">
        <v>660</v>
      </c>
      <c r="B255" s="2" t="s">
        <v>661</v>
      </c>
      <c r="C255" s="26">
        <v>45782</v>
      </c>
      <c r="D255" s="2" t="s">
        <v>169</v>
      </c>
      <c r="E255" s="2" t="s">
        <v>144</v>
      </c>
      <c r="F255" s="2" t="s">
        <v>170</v>
      </c>
      <c r="G255" s="2" t="s">
        <v>134</v>
      </c>
      <c r="H255" s="2">
        <v>60</v>
      </c>
      <c r="I255" s="2">
        <v>6299700</v>
      </c>
      <c r="J255" s="2">
        <v>7</v>
      </c>
      <c r="K255" s="2">
        <v>124742</v>
      </c>
      <c r="L255" s="2">
        <v>1016040</v>
      </c>
      <c r="M255" s="2">
        <v>797</v>
      </c>
      <c r="N255" s="2" t="s">
        <v>160</v>
      </c>
      <c r="O255" s="2">
        <v>0.17</v>
      </c>
      <c r="P255" s="2">
        <v>0.89</v>
      </c>
      <c r="Q255" s="2">
        <v>7116000</v>
      </c>
      <c r="R255" s="2">
        <v>7</v>
      </c>
      <c r="S255" s="2">
        <v>818466</v>
      </c>
      <c r="T255" s="2">
        <v>5584129</v>
      </c>
      <c r="U255" s="2">
        <v>0</v>
      </c>
      <c r="V255" s="2">
        <v>0</v>
      </c>
      <c r="W255" s="2">
        <v>0</v>
      </c>
      <c r="X255" s="30" t="s">
        <v>148</v>
      </c>
    </row>
    <row r="256" spans="1:24">
      <c r="A256" s="5" t="s">
        <v>662</v>
      </c>
      <c r="B256" s="2" t="s">
        <v>663</v>
      </c>
      <c r="C256" s="26">
        <v>45777</v>
      </c>
      <c r="D256" s="2" t="s">
        <v>131</v>
      </c>
      <c r="E256" s="2" t="s">
        <v>144</v>
      </c>
      <c r="F256" s="2" t="s">
        <v>133</v>
      </c>
      <c r="G256" s="2" t="s">
        <v>134</v>
      </c>
      <c r="H256" s="2">
        <v>84</v>
      </c>
      <c r="I256" s="2">
        <v>577000</v>
      </c>
      <c r="J256" s="2">
        <v>23</v>
      </c>
      <c r="K256" s="2">
        <v>13875</v>
      </c>
      <c r="L256" s="2">
        <v>712719</v>
      </c>
      <c r="M256" s="2">
        <v>614</v>
      </c>
      <c r="N256" s="2" t="s">
        <v>147</v>
      </c>
      <c r="O256" s="2">
        <v>0.13</v>
      </c>
      <c r="P256" s="2">
        <v>0.65</v>
      </c>
      <c r="Q256" s="2">
        <v>0</v>
      </c>
      <c r="R256" s="2">
        <v>8</v>
      </c>
      <c r="S256" s="2">
        <v>103727</v>
      </c>
      <c r="T256" s="2">
        <v>508662</v>
      </c>
      <c r="U256" s="2">
        <v>0</v>
      </c>
      <c r="V256" s="2">
        <v>0</v>
      </c>
      <c r="W256" s="2">
        <v>0</v>
      </c>
      <c r="X256" s="30" t="s">
        <v>148</v>
      </c>
    </row>
    <row r="257" spans="1:24">
      <c r="A257" s="5" t="s">
        <v>664</v>
      </c>
      <c r="B257" s="2" t="s">
        <v>665</v>
      </c>
      <c r="C257" s="26">
        <v>45757</v>
      </c>
      <c r="D257" s="2" t="s">
        <v>169</v>
      </c>
      <c r="E257" s="2" t="s">
        <v>132</v>
      </c>
      <c r="F257" s="2" t="s">
        <v>133</v>
      </c>
      <c r="G257" s="2" t="s">
        <v>152</v>
      </c>
      <c r="H257" s="2">
        <v>24</v>
      </c>
      <c r="I257" s="2">
        <v>3040400</v>
      </c>
      <c r="J257" s="2">
        <v>13.74</v>
      </c>
      <c r="K257" s="2">
        <v>145605</v>
      </c>
      <c r="L257" s="2">
        <v>269832</v>
      </c>
      <c r="M257" s="2">
        <v>640</v>
      </c>
      <c r="N257" s="2" t="s">
        <v>147</v>
      </c>
      <c r="O257" s="2">
        <v>0.13</v>
      </c>
      <c r="P257" s="2">
        <v>0.54</v>
      </c>
      <c r="Q257" s="2">
        <v>5635800</v>
      </c>
      <c r="R257" s="2">
        <v>8</v>
      </c>
      <c r="S257" s="2">
        <v>1122023</v>
      </c>
      <c r="T257" s="2">
        <v>2029777</v>
      </c>
      <c r="U257" s="2">
        <v>60</v>
      </c>
      <c r="V257" s="2">
        <v>0</v>
      </c>
      <c r="W257" s="2">
        <v>0</v>
      </c>
      <c r="X257" s="30" t="s">
        <v>136</v>
      </c>
    </row>
    <row r="258" spans="1:24">
      <c r="A258" s="5" t="s">
        <v>666</v>
      </c>
      <c r="B258" s="2" t="s">
        <v>667</v>
      </c>
      <c r="C258" s="26">
        <v>45774</v>
      </c>
      <c r="D258" s="2" t="s">
        <v>177</v>
      </c>
      <c r="E258" s="2" t="s">
        <v>144</v>
      </c>
      <c r="F258" s="2" t="s">
        <v>151</v>
      </c>
      <c r="G258" s="2" t="s">
        <v>152</v>
      </c>
      <c r="H258" s="2">
        <v>120</v>
      </c>
      <c r="I258" s="2">
        <v>901100</v>
      </c>
      <c r="J258" s="2">
        <v>10.54</v>
      </c>
      <c r="K258" s="2">
        <v>12179</v>
      </c>
      <c r="L258" s="2">
        <v>552504</v>
      </c>
      <c r="M258" s="2">
        <v>739</v>
      </c>
      <c r="N258" s="2" t="s">
        <v>135</v>
      </c>
      <c r="O258" s="2">
        <v>0.12</v>
      </c>
      <c r="P258" s="2">
        <v>0.43</v>
      </c>
      <c r="Q258" s="2">
        <v>0</v>
      </c>
      <c r="R258" s="2">
        <v>8</v>
      </c>
      <c r="S258" s="2">
        <v>85746</v>
      </c>
      <c r="T258" s="2">
        <v>840681</v>
      </c>
      <c r="U258" s="2">
        <v>0</v>
      </c>
      <c r="V258" s="2">
        <v>0</v>
      </c>
      <c r="W258" s="2">
        <v>0</v>
      </c>
      <c r="X258" s="30" t="s">
        <v>148</v>
      </c>
    </row>
    <row r="259" spans="1:24">
      <c r="A259" s="5" t="s">
        <v>668</v>
      </c>
      <c r="B259" s="2" t="s">
        <v>669</v>
      </c>
      <c r="C259" s="26">
        <v>45766</v>
      </c>
      <c r="D259" s="2" t="s">
        <v>163</v>
      </c>
      <c r="E259" s="2" t="s">
        <v>132</v>
      </c>
      <c r="F259" s="2" t="s">
        <v>145</v>
      </c>
      <c r="G259" s="2" t="s">
        <v>192</v>
      </c>
      <c r="H259" s="2">
        <v>60</v>
      </c>
      <c r="I259" s="2">
        <v>591800</v>
      </c>
      <c r="J259" s="2">
        <v>13.33</v>
      </c>
      <c r="K259" s="2">
        <v>13565</v>
      </c>
      <c r="L259" s="2">
        <v>1362877</v>
      </c>
      <c r="M259" s="2">
        <v>646</v>
      </c>
      <c r="N259" s="2" t="s">
        <v>147</v>
      </c>
      <c r="O259" s="2">
        <v>0.09</v>
      </c>
      <c r="P259" s="2">
        <v>0.6</v>
      </c>
      <c r="Q259" s="2">
        <v>979400</v>
      </c>
      <c r="R259" s="2">
        <v>8</v>
      </c>
      <c r="S259" s="2">
        <v>92991</v>
      </c>
      <c r="T259" s="2">
        <v>519846</v>
      </c>
      <c r="U259" s="2">
        <v>30</v>
      </c>
      <c r="V259" s="2">
        <v>0</v>
      </c>
      <c r="W259" s="2">
        <v>0</v>
      </c>
      <c r="X259" s="30" t="s">
        <v>136</v>
      </c>
    </row>
    <row r="260" spans="1:24">
      <c r="A260" s="5" t="s">
        <v>670</v>
      </c>
      <c r="B260" s="2" t="s">
        <v>671</v>
      </c>
      <c r="C260" s="26">
        <v>44828</v>
      </c>
      <c r="D260" s="2" t="s">
        <v>158</v>
      </c>
      <c r="E260" s="2" t="s">
        <v>132</v>
      </c>
      <c r="F260" s="2" t="s">
        <v>139</v>
      </c>
      <c r="G260" s="2" t="s">
        <v>134</v>
      </c>
      <c r="H260" s="2">
        <v>36</v>
      </c>
      <c r="I260" s="2">
        <v>1413400</v>
      </c>
      <c r="J260" s="2">
        <v>15.88</v>
      </c>
      <c r="K260" s="2">
        <v>49607</v>
      </c>
      <c r="L260" s="2">
        <v>698156</v>
      </c>
      <c r="M260" s="2">
        <v>664</v>
      </c>
      <c r="N260" s="2" t="s">
        <v>140</v>
      </c>
      <c r="O260" s="2">
        <v>0.53</v>
      </c>
      <c r="P260" s="2">
        <v>0.72</v>
      </c>
      <c r="Q260" s="2">
        <v>1954800</v>
      </c>
      <c r="R260" s="2">
        <v>36</v>
      </c>
      <c r="S260" s="2">
        <v>1754757</v>
      </c>
      <c r="T260" s="2">
        <v>0</v>
      </c>
      <c r="U260" s="2">
        <v>0</v>
      </c>
      <c r="V260" s="2">
        <v>0</v>
      </c>
      <c r="W260" s="2">
        <v>0</v>
      </c>
      <c r="X260" s="30" t="s">
        <v>141</v>
      </c>
    </row>
    <row r="261" spans="1:24">
      <c r="A261" s="5" t="s">
        <v>672</v>
      </c>
      <c r="B261" s="2" t="s">
        <v>673</v>
      </c>
      <c r="C261" s="26">
        <v>44777</v>
      </c>
      <c r="D261" s="2" t="s">
        <v>177</v>
      </c>
      <c r="E261" s="2" t="s">
        <v>159</v>
      </c>
      <c r="F261" s="2" t="s">
        <v>139</v>
      </c>
      <c r="G261" s="2" t="s">
        <v>146</v>
      </c>
      <c r="H261" s="2">
        <v>24</v>
      </c>
      <c r="I261" s="2">
        <v>1143200</v>
      </c>
      <c r="J261" s="2">
        <v>11.51</v>
      </c>
      <c r="K261" s="2">
        <v>53553</v>
      </c>
      <c r="L261" s="2">
        <v>1607224</v>
      </c>
      <c r="M261" s="2">
        <v>724</v>
      </c>
      <c r="N261" s="2" t="s">
        <v>135</v>
      </c>
      <c r="O261" s="2">
        <v>0.45</v>
      </c>
      <c r="P261" s="2">
        <v>0.67</v>
      </c>
      <c r="Q261" s="2">
        <v>0</v>
      </c>
      <c r="R261" s="2">
        <v>24</v>
      </c>
      <c r="S261" s="2">
        <v>1145123</v>
      </c>
      <c r="T261" s="2">
        <v>103343</v>
      </c>
      <c r="U261" s="2">
        <v>0</v>
      </c>
      <c r="V261" s="2">
        <v>0</v>
      </c>
      <c r="W261" s="2">
        <v>0</v>
      </c>
      <c r="X261" s="30" t="s">
        <v>141</v>
      </c>
    </row>
    <row r="262" spans="1:24">
      <c r="A262" s="5" t="s">
        <v>674</v>
      </c>
      <c r="B262" s="2" t="s">
        <v>675</v>
      </c>
      <c r="C262" s="26">
        <v>44815</v>
      </c>
      <c r="D262" s="2" t="s">
        <v>131</v>
      </c>
      <c r="E262" s="2" t="s">
        <v>132</v>
      </c>
      <c r="F262" s="2" t="s">
        <v>151</v>
      </c>
      <c r="G262" s="2" t="s">
        <v>146</v>
      </c>
      <c r="H262" s="2">
        <v>12</v>
      </c>
      <c r="I262" s="2">
        <v>50000</v>
      </c>
      <c r="J262" s="2">
        <v>16.62</v>
      </c>
      <c r="K262" s="2">
        <v>4551</v>
      </c>
      <c r="L262" s="2">
        <v>1175170</v>
      </c>
      <c r="M262" s="2">
        <v>725</v>
      </c>
      <c r="N262" s="2" t="s">
        <v>135</v>
      </c>
      <c r="O262" s="2">
        <v>0.42</v>
      </c>
      <c r="P262" s="2">
        <v>0.79</v>
      </c>
      <c r="Q262" s="2">
        <v>0</v>
      </c>
      <c r="R262" s="2">
        <v>12</v>
      </c>
      <c r="S262" s="2">
        <v>46430</v>
      </c>
      <c r="T262" s="2">
        <v>6894</v>
      </c>
      <c r="U262" s="2">
        <v>0</v>
      </c>
      <c r="V262" s="2">
        <v>0</v>
      </c>
      <c r="W262" s="2">
        <v>0</v>
      </c>
      <c r="X262" s="30" t="s">
        <v>141</v>
      </c>
    </row>
    <row r="263" spans="1:24">
      <c r="A263" s="5" t="s">
        <v>676</v>
      </c>
      <c r="B263" s="2" t="s">
        <v>677</v>
      </c>
      <c r="C263" s="26">
        <v>44765</v>
      </c>
      <c r="D263" s="2" t="s">
        <v>131</v>
      </c>
      <c r="E263" s="2" t="s">
        <v>132</v>
      </c>
      <c r="F263" s="2" t="s">
        <v>145</v>
      </c>
      <c r="G263" s="2" t="s">
        <v>146</v>
      </c>
      <c r="H263" s="2">
        <v>120</v>
      </c>
      <c r="I263" s="2">
        <v>530900</v>
      </c>
      <c r="J263" s="2">
        <v>15.86</v>
      </c>
      <c r="K263" s="2">
        <v>8847</v>
      </c>
      <c r="L263" s="2">
        <v>931555</v>
      </c>
      <c r="M263" s="2">
        <v>733</v>
      </c>
      <c r="N263" s="2" t="s">
        <v>135</v>
      </c>
      <c r="O263" s="2">
        <v>0.41</v>
      </c>
      <c r="P263" s="2">
        <v>0.87</v>
      </c>
      <c r="Q263" s="2">
        <v>0</v>
      </c>
      <c r="R263" s="2">
        <v>41</v>
      </c>
      <c r="S263" s="2">
        <v>342485</v>
      </c>
      <c r="T263" s="2">
        <v>303489</v>
      </c>
      <c r="U263" s="2">
        <v>30</v>
      </c>
      <c r="V263" s="2">
        <v>0</v>
      </c>
      <c r="W263" s="2">
        <v>0</v>
      </c>
      <c r="X263" s="30" t="s">
        <v>136</v>
      </c>
    </row>
    <row r="264" spans="1:24">
      <c r="A264" s="5" t="s">
        <v>678</v>
      </c>
      <c r="B264" s="2" t="s">
        <v>679</v>
      </c>
      <c r="C264" s="26">
        <v>44830</v>
      </c>
      <c r="D264" s="2" t="s">
        <v>177</v>
      </c>
      <c r="E264" s="2" t="s">
        <v>159</v>
      </c>
      <c r="F264" s="2" t="s">
        <v>170</v>
      </c>
      <c r="G264" s="2" t="s">
        <v>134</v>
      </c>
      <c r="H264" s="2">
        <v>360</v>
      </c>
      <c r="I264" s="2">
        <v>1204100</v>
      </c>
      <c r="J264" s="2">
        <v>15.68</v>
      </c>
      <c r="K264" s="2">
        <v>15882</v>
      </c>
      <c r="L264" s="2">
        <v>1169464</v>
      </c>
      <c r="M264" s="2">
        <v>637</v>
      </c>
      <c r="N264" s="2" t="s">
        <v>147</v>
      </c>
      <c r="O264" s="2">
        <v>0.41</v>
      </c>
      <c r="P264" s="2">
        <v>0.72</v>
      </c>
      <c r="Q264" s="2">
        <v>0</v>
      </c>
      <c r="R264" s="2">
        <v>39</v>
      </c>
      <c r="S264" s="2">
        <v>597866</v>
      </c>
      <c r="T264" s="2">
        <v>851678</v>
      </c>
      <c r="U264" s="2">
        <v>0</v>
      </c>
      <c r="V264" s="2">
        <v>0</v>
      </c>
      <c r="W264" s="2">
        <v>0</v>
      </c>
      <c r="X264" s="30" t="s">
        <v>148</v>
      </c>
    </row>
    <row r="265" spans="1:24">
      <c r="A265" s="5" t="s">
        <v>680</v>
      </c>
      <c r="B265" s="2" t="s">
        <v>681</v>
      </c>
      <c r="C265" s="26">
        <v>44796</v>
      </c>
      <c r="D265" s="2" t="s">
        <v>177</v>
      </c>
      <c r="E265" s="2" t="s">
        <v>132</v>
      </c>
      <c r="F265" s="2" t="s">
        <v>139</v>
      </c>
      <c r="G265" s="2" t="s">
        <v>146</v>
      </c>
      <c r="H265" s="2">
        <v>72</v>
      </c>
      <c r="I265" s="2">
        <v>761600</v>
      </c>
      <c r="J265" s="2">
        <v>19.420000000000002</v>
      </c>
      <c r="K265" s="2">
        <v>17987</v>
      </c>
      <c r="L265" s="2">
        <v>300984</v>
      </c>
      <c r="M265" s="2">
        <v>557</v>
      </c>
      <c r="N265" s="2" t="s">
        <v>166</v>
      </c>
      <c r="O265" s="2">
        <v>0.4</v>
      </c>
      <c r="P265" s="2">
        <v>0.74</v>
      </c>
      <c r="Q265" s="2">
        <v>0</v>
      </c>
      <c r="R265" s="2">
        <v>40</v>
      </c>
      <c r="S265" s="2">
        <v>673873</v>
      </c>
      <c r="T265" s="2">
        <v>284931</v>
      </c>
      <c r="U265" s="2">
        <v>0</v>
      </c>
      <c r="V265" s="2">
        <v>0</v>
      </c>
      <c r="W265" s="2">
        <v>0</v>
      </c>
      <c r="X265" s="30" t="s">
        <v>148</v>
      </c>
    </row>
    <row r="266" spans="1:24">
      <c r="A266" s="5" t="s">
        <v>682</v>
      </c>
      <c r="B266" s="2" t="s">
        <v>683</v>
      </c>
      <c r="C266" s="26">
        <v>44820</v>
      </c>
      <c r="D266" s="2" t="s">
        <v>131</v>
      </c>
      <c r="E266" s="2" t="s">
        <v>132</v>
      </c>
      <c r="F266" s="2" t="s">
        <v>170</v>
      </c>
      <c r="G266" s="2" t="s">
        <v>134</v>
      </c>
      <c r="H266" s="2">
        <v>360</v>
      </c>
      <c r="I266" s="2">
        <v>254800</v>
      </c>
      <c r="J266" s="2">
        <v>14.05</v>
      </c>
      <c r="K266" s="2">
        <v>3029</v>
      </c>
      <c r="L266" s="2">
        <v>1074926</v>
      </c>
      <c r="M266" s="2">
        <v>783</v>
      </c>
      <c r="N266" s="2" t="s">
        <v>160</v>
      </c>
      <c r="O266" s="2">
        <v>0.39</v>
      </c>
      <c r="P266" s="2">
        <v>0.75</v>
      </c>
      <c r="Q266" s="2">
        <v>0</v>
      </c>
      <c r="R266" s="2">
        <v>39</v>
      </c>
      <c r="S266" s="2">
        <v>108377</v>
      </c>
      <c r="T266" s="2">
        <v>192962</v>
      </c>
      <c r="U266" s="2">
        <v>0</v>
      </c>
      <c r="V266" s="2">
        <v>0</v>
      </c>
      <c r="W266" s="2">
        <v>0</v>
      </c>
      <c r="X266" s="30" t="s">
        <v>148</v>
      </c>
    </row>
    <row r="267" spans="1:24">
      <c r="A267" s="5" t="s">
        <v>684</v>
      </c>
      <c r="B267" s="2" t="s">
        <v>685</v>
      </c>
      <c r="C267" s="26">
        <v>44782</v>
      </c>
      <c r="D267" s="2" t="s">
        <v>163</v>
      </c>
      <c r="E267" s="2" t="s">
        <v>132</v>
      </c>
      <c r="F267" s="2" t="s">
        <v>151</v>
      </c>
      <c r="G267" s="2" t="s">
        <v>134</v>
      </c>
      <c r="H267" s="2">
        <v>48</v>
      </c>
      <c r="I267" s="2">
        <v>698400</v>
      </c>
      <c r="J267" s="2">
        <v>8.61</v>
      </c>
      <c r="K267" s="2">
        <v>17251</v>
      </c>
      <c r="L267" s="2">
        <v>737467</v>
      </c>
      <c r="M267" s="2">
        <v>753</v>
      </c>
      <c r="N267" s="2" t="s">
        <v>160</v>
      </c>
      <c r="O267" s="2">
        <v>0.39</v>
      </c>
      <c r="P267" s="2">
        <v>0.75</v>
      </c>
      <c r="Q267" s="2">
        <v>931700</v>
      </c>
      <c r="R267" s="2">
        <v>40</v>
      </c>
      <c r="S267" s="2">
        <v>685258</v>
      </c>
      <c r="T267" s="2">
        <v>93318</v>
      </c>
      <c r="U267" s="2">
        <v>30</v>
      </c>
      <c r="V267" s="2">
        <v>0</v>
      </c>
      <c r="W267" s="2">
        <v>0</v>
      </c>
      <c r="X267" s="30" t="s">
        <v>136</v>
      </c>
    </row>
    <row r="268" spans="1:24">
      <c r="A268" s="5" t="s">
        <v>686</v>
      </c>
      <c r="B268" s="2" t="s">
        <v>687</v>
      </c>
      <c r="C268" s="26">
        <v>44809</v>
      </c>
      <c r="D268" s="2" t="s">
        <v>169</v>
      </c>
      <c r="E268" s="2" t="s">
        <v>132</v>
      </c>
      <c r="F268" s="2" t="s">
        <v>151</v>
      </c>
      <c r="G268" s="2" t="s">
        <v>146</v>
      </c>
      <c r="H268" s="2">
        <v>180</v>
      </c>
      <c r="I268" s="2">
        <v>5449500</v>
      </c>
      <c r="J268" s="2">
        <v>8.34</v>
      </c>
      <c r="K268" s="2">
        <v>53154</v>
      </c>
      <c r="L268" s="2">
        <v>912768</v>
      </c>
      <c r="M268" s="2">
        <v>711</v>
      </c>
      <c r="N268" s="2" t="s">
        <v>135</v>
      </c>
      <c r="O268" s="2">
        <v>0.39</v>
      </c>
      <c r="P268" s="2">
        <v>0.78</v>
      </c>
      <c r="Q268" s="2">
        <v>7000100</v>
      </c>
      <c r="R268" s="2">
        <v>39</v>
      </c>
      <c r="S268" s="2">
        <v>2111466</v>
      </c>
      <c r="T268" s="2">
        <v>3928869</v>
      </c>
      <c r="U268" s="2">
        <v>0</v>
      </c>
      <c r="V268" s="2">
        <v>0</v>
      </c>
      <c r="W268" s="2">
        <v>0</v>
      </c>
      <c r="X268" s="30" t="s">
        <v>148</v>
      </c>
    </row>
    <row r="269" spans="1:24">
      <c r="A269" s="5" t="s">
        <v>688</v>
      </c>
      <c r="B269" s="2" t="s">
        <v>689</v>
      </c>
      <c r="C269" s="26">
        <v>44826</v>
      </c>
      <c r="D269" s="2" t="s">
        <v>163</v>
      </c>
      <c r="E269" s="2" t="s">
        <v>213</v>
      </c>
      <c r="F269" s="2" t="s">
        <v>139</v>
      </c>
      <c r="G269" s="2" t="s">
        <v>134</v>
      </c>
      <c r="H269" s="2">
        <v>24</v>
      </c>
      <c r="I269" s="2">
        <v>648500</v>
      </c>
      <c r="J269" s="2">
        <v>13.49</v>
      </c>
      <c r="K269" s="2">
        <v>30980</v>
      </c>
      <c r="L269" s="2">
        <v>150000</v>
      </c>
      <c r="M269" s="2">
        <v>650</v>
      </c>
      <c r="N269" s="2" t="s">
        <v>140</v>
      </c>
      <c r="O269" s="2">
        <v>0.37</v>
      </c>
      <c r="P269" s="2">
        <v>0.45</v>
      </c>
      <c r="Q269" s="2">
        <v>1429500</v>
      </c>
      <c r="R269" s="2">
        <v>24</v>
      </c>
      <c r="S269" s="2">
        <v>661448</v>
      </c>
      <c r="T269" s="2">
        <v>57038</v>
      </c>
      <c r="U269" s="2">
        <v>0</v>
      </c>
      <c r="V269" s="2">
        <v>0</v>
      </c>
      <c r="W269" s="2">
        <v>0</v>
      </c>
      <c r="X269" s="30" t="s">
        <v>141</v>
      </c>
    </row>
    <row r="270" spans="1:24">
      <c r="A270" s="5" t="s">
        <v>690</v>
      </c>
      <c r="B270" s="2" t="s">
        <v>691</v>
      </c>
      <c r="C270" s="26">
        <v>44764</v>
      </c>
      <c r="D270" s="2" t="s">
        <v>169</v>
      </c>
      <c r="E270" s="2" t="s">
        <v>132</v>
      </c>
      <c r="F270" s="2" t="s">
        <v>133</v>
      </c>
      <c r="G270" s="2" t="s">
        <v>134</v>
      </c>
      <c r="H270" s="2">
        <v>360</v>
      </c>
      <c r="I270" s="2">
        <v>1837000</v>
      </c>
      <c r="J270" s="2">
        <v>9.27</v>
      </c>
      <c r="K270" s="2">
        <v>15139</v>
      </c>
      <c r="L270" s="2">
        <v>950930</v>
      </c>
      <c r="M270" s="2">
        <v>713</v>
      </c>
      <c r="N270" s="2" t="s">
        <v>135</v>
      </c>
      <c r="O270" s="2">
        <v>0.36</v>
      </c>
      <c r="P270" s="2">
        <v>0.82</v>
      </c>
      <c r="Q270" s="2">
        <v>2247500</v>
      </c>
      <c r="R270" s="2">
        <v>41</v>
      </c>
      <c r="S270" s="2">
        <v>573789</v>
      </c>
      <c r="T270" s="2">
        <v>1495941</v>
      </c>
      <c r="U270" s="2">
        <v>10</v>
      </c>
      <c r="V270" s="2">
        <v>0</v>
      </c>
      <c r="W270" s="2">
        <v>0</v>
      </c>
      <c r="X270" s="30" t="s">
        <v>148</v>
      </c>
    </row>
    <row r="271" spans="1:24">
      <c r="A271" s="5" t="s">
        <v>692</v>
      </c>
      <c r="B271" s="2" t="s">
        <v>693</v>
      </c>
      <c r="C271" s="26">
        <v>44799</v>
      </c>
      <c r="D271" s="2" t="s">
        <v>158</v>
      </c>
      <c r="E271" s="2" t="s">
        <v>144</v>
      </c>
      <c r="F271" s="2" t="s">
        <v>151</v>
      </c>
      <c r="G271" s="2" t="s">
        <v>134</v>
      </c>
      <c r="H271" s="2">
        <v>12</v>
      </c>
      <c r="I271" s="2">
        <v>3338100</v>
      </c>
      <c r="J271" s="2">
        <v>10.95</v>
      </c>
      <c r="K271" s="2">
        <v>294949</v>
      </c>
      <c r="L271" s="2">
        <v>1523803</v>
      </c>
      <c r="M271" s="2">
        <v>788</v>
      </c>
      <c r="N271" s="2" t="s">
        <v>160</v>
      </c>
      <c r="O271" s="2">
        <v>0.32</v>
      </c>
      <c r="P271" s="2">
        <v>0.79</v>
      </c>
      <c r="Q271" s="2">
        <v>4241400</v>
      </c>
      <c r="R271" s="2">
        <v>12</v>
      </c>
      <c r="S271" s="2">
        <v>3287074</v>
      </c>
      <c r="T271" s="2">
        <v>197235</v>
      </c>
      <c r="U271" s="2">
        <v>0</v>
      </c>
      <c r="V271" s="2">
        <v>0</v>
      </c>
      <c r="W271" s="2">
        <v>0</v>
      </c>
      <c r="X271" s="30" t="s">
        <v>141</v>
      </c>
    </row>
    <row r="272" spans="1:24">
      <c r="A272" s="5" t="s">
        <v>694</v>
      </c>
      <c r="B272" s="2" t="s">
        <v>695</v>
      </c>
      <c r="C272" s="26">
        <v>44778</v>
      </c>
      <c r="D272" s="2" t="s">
        <v>131</v>
      </c>
      <c r="E272" s="2" t="s">
        <v>144</v>
      </c>
      <c r="F272" s="2" t="s">
        <v>145</v>
      </c>
      <c r="G272" s="2" t="s">
        <v>146</v>
      </c>
      <c r="H272" s="2">
        <v>360</v>
      </c>
      <c r="I272" s="2">
        <v>398400</v>
      </c>
      <c r="J272" s="2">
        <v>10.14</v>
      </c>
      <c r="K272" s="2">
        <v>3538</v>
      </c>
      <c r="L272" s="2">
        <v>663314</v>
      </c>
      <c r="M272" s="2">
        <v>850</v>
      </c>
      <c r="N272" s="2" t="s">
        <v>160</v>
      </c>
      <c r="O272" s="2">
        <v>0.32</v>
      </c>
      <c r="P272" s="2">
        <v>0.61</v>
      </c>
      <c r="Q272" s="2">
        <v>0</v>
      </c>
      <c r="R272" s="2">
        <v>40</v>
      </c>
      <c r="S272" s="2">
        <v>127411</v>
      </c>
      <c r="T272" s="2">
        <v>324853</v>
      </c>
      <c r="U272" s="2">
        <v>0</v>
      </c>
      <c r="V272" s="2">
        <v>1</v>
      </c>
      <c r="W272" s="2">
        <v>0</v>
      </c>
      <c r="X272" s="30" t="s">
        <v>141</v>
      </c>
    </row>
    <row r="273" spans="1:24">
      <c r="A273" s="5" t="s">
        <v>696</v>
      </c>
      <c r="B273" s="2" t="s">
        <v>697</v>
      </c>
      <c r="C273" s="26">
        <v>44768</v>
      </c>
      <c r="D273" s="2" t="s">
        <v>163</v>
      </c>
      <c r="E273" s="2" t="s">
        <v>144</v>
      </c>
      <c r="F273" s="2" t="s">
        <v>151</v>
      </c>
      <c r="G273" s="2" t="s">
        <v>134</v>
      </c>
      <c r="H273" s="2">
        <v>12</v>
      </c>
      <c r="I273" s="2">
        <v>378900</v>
      </c>
      <c r="J273" s="2">
        <v>17.28</v>
      </c>
      <c r="K273" s="2">
        <v>34608</v>
      </c>
      <c r="L273" s="2">
        <v>1432595</v>
      </c>
      <c r="M273" s="2">
        <v>562</v>
      </c>
      <c r="N273" s="2" t="s">
        <v>166</v>
      </c>
      <c r="O273" s="2">
        <v>0.3</v>
      </c>
      <c r="P273" s="2">
        <v>0.7</v>
      </c>
      <c r="Q273" s="2">
        <v>542300</v>
      </c>
      <c r="R273" s="2">
        <v>12</v>
      </c>
      <c r="S273" s="2">
        <v>381832</v>
      </c>
      <c r="T273" s="2">
        <v>23258</v>
      </c>
      <c r="U273" s="2">
        <v>0</v>
      </c>
      <c r="V273" s="2">
        <v>0</v>
      </c>
      <c r="W273" s="2">
        <v>0</v>
      </c>
      <c r="X273" s="30" t="s">
        <v>141</v>
      </c>
    </row>
    <row r="274" spans="1:24">
      <c r="A274" s="5" t="s">
        <v>698</v>
      </c>
      <c r="B274" s="2" t="s">
        <v>699</v>
      </c>
      <c r="C274" s="26">
        <v>44761</v>
      </c>
      <c r="D274" s="2" t="s">
        <v>131</v>
      </c>
      <c r="E274" s="2" t="s">
        <v>132</v>
      </c>
      <c r="F274" s="2" t="s">
        <v>151</v>
      </c>
      <c r="G274" s="2" t="s">
        <v>134</v>
      </c>
      <c r="H274" s="2">
        <v>240</v>
      </c>
      <c r="I274" s="2">
        <v>416800</v>
      </c>
      <c r="J274" s="2">
        <v>22.07</v>
      </c>
      <c r="K274" s="2">
        <v>7763</v>
      </c>
      <c r="L274" s="2">
        <v>760982</v>
      </c>
      <c r="M274" s="2">
        <v>589</v>
      </c>
      <c r="N274" s="2" t="s">
        <v>166</v>
      </c>
      <c r="O274" s="2">
        <v>0.28999999999999998</v>
      </c>
      <c r="P274" s="2">
        <v>0.53</v>
      </c>
      <c r="Q274" s="2">
        <v>0</v>
      </c>
      <c r="R274" s="2">
        <v>41</v>
      </c>
      <c r="S274" s="2">
        <v>323820</v>
      </c>
      <c r="T274" s="2">
        <v>218697</v>
      </c>
      <c r="U274" s="2">
        <v>60</v>
      </c>
      <c r="V274" s="2">
        <v>0</v>
      </c>
      <c r="W274" s="2">
        <v>0</v>
      </c>
      <c r="X274" s="30" t="s">
        <v>136</v>
      </c>
    </row>
    <row r="275" spans="1:24">
      <c r="A275" s="5" t="s">
        <v>700</v>
      </c>
      <c r="B275" s="2" t="s">
        <v>701</v>
      </c>
      <c r="C275" s="26">
        <v>44781</v>
      </c>
      <c r="D275" s="2" t="s">
        <v>131</v>
      </c>
      <c r="E275" s="2" t="s">
        <v>132</v>
      </c>
      <c r="F275" s="2" t="s">
        <v>139</v>
      </c>
      <c r="G275" s="2" t="s">
        <v>192</v>
      </c>
      <c r="H275" s="2">
        <v>12</v>
      </c>
      <c r="I275" s="2">
        <v>280700</v>
      </c>
      <c r="J275" s="2">
        <v>12.65</v>
      </c>
      <c r="K275" s="2">
        <v>25025</v>
      </c>
      <c r="L275" s="2">
        <v>899212</v>
      </c>
      <c r="M275" s="2">
        <v>780</v>
      </c>
      <c r="N275" s="2" t="s">
        <v>160</v>
      </c>
      <c r="O275" s="2">
        <v>0.28999999999999998</v>
      </c>
      <c r="P275" s="2">
        <v>0.62</v>
      </c>
      <c r="Q275" s="2">
        <v>0</v>
      </c>
      <c r="R275" s="2">
        <v>12</v>
      </c>
      <c r="S275" s="2">
        <v>282241</v>
      </c>
      <c r="T275" s="2">
        <v>12662</v>
      </c>
      <c r="U275" s="2">
        <v>30</v>
      </c>
      <c r="V275" s="2">
        <v>0</v>
      </c>
      <c r="W275" s="2">
        <v>0</v>
      </c>
      <c r="X275" s="30" t="s">
        <v>141</v>
      </c>
    </row>
    <row r="276" spans="1:24">
      <c r="A276" s="5" t="s">
        <v>702</v>
      </c>
      <c r="B276" s="2" t="s">
        <v>703</v>
      </c>
      <c r="C276" s="26">
        <v>44805</v>
      </c>
      <c r="D276" s="2" t="s">
        <v>131</v>
      </c>
      <c r="E276" s="2" t="s">
        <v>144</v>
      </c>
      <c r="F276" s="2" t="s">
        <v>145</v>
      </c>
      <c r="G276" s="2" t="s">
        <v>134</v>
      </c>
      <c r="H276" s="2">
        <v>24</v>
      </c>
      <c r="I276" s="2">
        <v>361500</v>
      </c>
      <c r="J276" s="2">
        <v>13.36</v>
      </c>
      <c r="K276" s="2">
        <v>17248</v>
      </c>
      <c r="L276" s="2">
        <v>784777</v>
      </c>
      <c r="M276" s="2">
        <v>772</v>
      </c>
      <c r="N276" s="2" t="s">
        <v>160</v>
      </c>
      <c r="O276" s="2">
        <v>0.28999999999999998</v>
      </c>
      <c r="P276" s="2">
        <v>0.92</v>
      </c>
      <c r="Q276" s="2">
        <v>0</v>
      </c>
      <c r="R276" s="2">
        <v>24</v>
      </c>
      <c r="S276" s="2">
        <v>374206</v>
      </c>
      <c r="T276" s="2">
        <v>25931</v>
      </c>
      <c r="U276" s="2">
        <v>0</v>
      </c>
      <c r="V276" s="2">
        <v>0</v>
      </c>
      <c r="W276" s="2">
        <v>0</v>
      </c>
      <c r="X276" s="30" t="s">
        <v>141</v>
      </c>
    </row>
    <row r="277" spans="1:24">
      <c r="A277" s="5" t="s">
        <v>704</v>
      </c>
      <c r="B277" s="2" t="s">
        <v>705</v>
      </c>
      <c r="C277" s="26">
        <v>44745</v>
      </c>
      <c r="D277" s="2" t="s">
        <v>131</v>
      </c>
      <c r="E277" s="2" t="s">
        <v>159</v>
      </c>
      <c r="F277" s="2" t="s">
        <v>151</v>
      </c>
      <c r="G277" s="2" t="s">
        <v>134</v>
      </c>
      <c r="H277" s="2">
        <v>24</v>
      </c>
      <c r="I277" s="2">
        <v>383800</v>
      </c>
      <c r="J277" s="2">
        <v>16.62</v>
      </c>
      <c r="K277" s="2">
        <v>18906</v>
      </c>
      <c r="L277" s="2">
        <v>1169138</v>
      </c>
      <c r="M277" s="2">
        <v>737</v>
      </c>
      <c r="N277" s="2" t="s">
        <v>135</v>
      </c>
      <c r="O277" s="2">
        <v>0.26</v>
      </c>
      <c r="P277" s="2">
        <v>0.73</v>
      </c>
      <c r="Q277" s="2">
        <v>0</v>
      </c>
      <c r="R277" s="2">
        <v>24</v>
      </c>
      <c r="S277" s="2">
        <v>394655</v>
      </c>
      <c r="T277" s="2">
        <v>40175</v>
      </c>
      <c r="U277" s="2">
        <v>0</v>
      </c>
      <c r="V277" s="2">
        <v>0</v>
      </c>
      <c r="W277" s="2">
        <v>0</v>
      </c>
      <c r="X277" s="30" t="s">
        <v>141</v>
      </c>
    </row>
    <row r="278" spans="1:24">
      <c r="A278" s="5" t="s">
        <v>706</v>
      </c>
      <c r="B278" s="2" t="s">
        <v>707</v>
      </c>
      <c r="C278" s="26">
        <v>44815</v>
      </c>
      <c r="D278" s="2" t="s">
        <v>163</v>
      </c>
      <c r="E278" s="2" t="s">
        <v>144</v>
      </c>
      <c r="F278" s="2" t="s">
        <v>145</v>
      </c>
      <c r="G278" s="2" t="s">
        <v>134</v>
      </c>
      <c r="H278" s="2">
        <v>180</v>
      </c>
      <c r="I278" s="2">
        <v>924800</v>
      </c>
      <c r="J278" s="2">
        <v>11.7</v>
      </c>
      <c r="K278" s="2">
        <v>10921</v>
      </c>
      <c r="L278" s="2">
        <v>1225632</v>
      </c>
      <c r="M278" s="2">
        <v>680</v>
      </c>
      <c r="N278" s="2" t="s">
        <v>140</v>
      </c>
      <c r="O278" s="2">
        <v>0.24</v>
      </c>
      <c r="P278" s="2">
        <v>0.87</v>
      </c>
      <c r="Q278" s="2">
        <v>1067000</v>
      </c>
      <c r="R278" s="2">
        <v>39</v>
      </c>
      <c r="S278" s="2">
        <v>397032</v>
      </c>
      <c r="T278" s="2">
        <v>668430</v>
      </c>
      <c r="U278" s="2">
        <v>0</v>
      </c>
      <c r="V278" s="2">
        <v>0</v>
      </c>
      <c r="W278" s="2">
        <v>0</v>
      </c>
      <c r="X278" s="30" t="s">
        <v>148</v>
      </c>
    </row>
    <row r="279" spans="1:24">
      <c r="A279" s="5" t="s">
        <v>708</v>
      </c>
      <c r="B279" s="2" t="s">
        <v>709</v>
      </c>
      <c r="C279" s="26">
        <v>44754</v>
      </c>
      <c r="D279" s="2" t="s">
        <v>131</v>
      </c>
      <c r="E279" s="2" t="s">
        <v>132</v>
      </c>
      <c r="F279" s="2" t="s">
        <v>139</v>
      </c>
      <c r="G279" s="2" t="s">
        <v>134</v>
      </c>
      <c r="H279" s="2">
        <v>120</v>
      </c>
      <c r="I279" s="2">
        <v>761800</v>
      </c>
      <c r="J279" s="2">
        <v>10.88</v>
      </c>
      <c r="K279" s="2">
        <v>10442</v>
      </c>
      <c r="L279" s="2">
        <v>1239432</v>
      </c>
      <c r="M279" s="2">
        <v>824</v>
      </c>
      <c r="N279" s="2" t="s">
        <v>160</v>
      </c>
      <c r="O279" s="2">
        <v>0.23</v>
      </c>
      <c r="P279" s="2">
        <v>0.88</v>
      </c>
      <c r="Q279" s="2">
        <v>0</v>
      </c>
      <c r="R279" s="2">
        <v>41</v>
      </c>
      <c r="S279" s="2">
        <v>432837</v>
      </c>
      <c r="T279" s="2">
        <v>442238</v>
      </c>
      <c r="U279" s="2">
        <v>0</v>
      </c>
      <c r="V279" s="2">
        <v>1</v>
      </c>
      <c r="W279" s="2">
        <v>0</v>
      </c>
      <c r="X279" s="30" t="s">
        <v>141</v>
      </c>
    </row>
    <row r="280" spans="1:24">
      <c r="A280" s="5" t="s">
        <v>710</v>
      </c>
      <c r="B280" s="2" t="s">
        <v>711</v>
      </c>
      <c r="C280" s="26">
        <v>44784</v>
      </c>
      <c r="D280" s="2" t="s">
        <v>131</v>
      </c>
      <c r="E280" s="2" t="s">
        <v>132</v>
      </c>
      <c r="F280" s="2" t="s">
        <v>139</v>
      </c>
      <c r="G280" s="2" t="s">
        <v>134</v>
      </c>
      <c r="H280" s="2">
        <v>24</v>
      </c>
      <c r="I280" s="2">
        <v>816900</v>
      </c>
      <c r="J280" s="2">
        <v>21.43</v>
      </c>
      <c r="K280" s="2">
        <v>42150</v>
      </c>
      <c r="L280" s="2">
        <v>1241594</v>
      </c>
      <c r="M280" s="2">
        <v>630</v>
      </c>
      <c r="N280" s="2" t="s">
        <v>147</v>
      </c>
      <c r="O280" s="2">
        <v>0.22</v>
      </c>
      <c r="P280" s="2">
        <v>0.81</v>
      </c>
      <c r="Q280" s="2">
        <v>0</v>
      </c>
      <c r="R280" s="2">
        <v>24</v>
      </c>
      <c r="S280" s="2">
        <v>1008804</v>
      </c>
      <c r="T280" s="2">
        <v>0</v>
      </c>
      <c r="U280" s="2">
        <v>0</v>
      </c>
      <c r="V280" s="2">
        <v>0</v>
      </c>
      <c r="W280" s="2">
        <v>0</v>
      </c>
      <c r="X280" s="30" t="s">
        <v>141</v>
      </c>
    </row>
    <row r="281" spans="1:24">
      <c r="A281" s="5" t="s">
        <v>712</v>
      </c>
      <c r="B281" s="2" t="s">
        <v>713</v>
      </c>
      <c r="C281" s="26">
        <v>44806</v>
      </c>
      <c r="D281" s="2" t="s">
        <v>169</v>
      </c>
      <c r="E281" s="2" t="s">
        <v>132</v>
      </c>
      <c r="F281" s="2" t="s">
        <v>145</v>
      </c>
      <c r="G281" s="2" t="s">
        <v>134</v>
      </c>
      <c r="H281" s="2">
        <v>120</v>
      </c>
      <c r="I281" s="2">
        <v>4805200</v>
      </c>
      <c r="J281" s="2">
        <v>7.9</v>
      </c>
      <c r="K281" s="2">
        <v>58047</v>
      </c>
      <c r="L281" s="2">
        <v>437231</v>
      </c>
      <c r="M281" s="2">
        <v>731</v>
      </c>
      <c r="N281" s="2" t="s">
        <v>135</v>
      </c>
      <c r="O281" s="2">
        <v>0.19</v>
      </c>
      <c r="P281" s="2">
        <v>0.54</v>
      </c>
      <c r="Q281" s="2">
        <v>8845900</v>
      </c>
      <c r="R281" s="2">
        <v>39</v>
      </c>
      <c r="S281" s="2">
        <v>2133659</v>
      </c>
      <c r="T281" s="2">
        <v>3165035</v>
      </c>
      <c r="U281" s="2">
        <v>30</v>
      </c>
      <c r="V281" s="2">
        <v>0</v>
      </c>
      <c r="W281" s="2">
        <v>0</v>
      </c>
      <c r="X281" s="30" t="s">
        <v>136</v>
      </c>
    </row>
    <row r="282" spans="1:24">
      <c r="A282" s="5" t="s">
        <v>714</v>
      </c>
      <c r="B282" s="2" t="s">
        <v>715</v>
      </c>
      <c r="C282" s="26">
        <v>44794</v>
      </c>
      <c r="D282" s="2" t="s">
        <v>158</v>
      </c>
      <c r="E282" s="2" t="s">
        <v>132</v>
      </c>
      <c r="F282" s="2" t="s">
        <v>145</v>
      </c>
      <c r="G282" s="2" t="s">
        <v>134</v>
      </c>
      <c r="H282" s="2">
        <v>24</v>
      </c>
      <c r="I282" s="2">
        <v>2373600</v>
      </c>
      <c r="J282" s="2">
        <v>19.7</v>
      </c>
      <c r="K282" s="2">
        <v>120459</v>
      </c>
      <c r="L282" s="2">
        <v>638859</v>
      </c>
      <c r="M282" s="2">
        <v>586</v>
      </c>
      <c r="N282" s="2" t="s">
        <v>166</v>
      </c>
      <c r="O282" s="2">
        <v>0.19</v>
      </c>
      <c r="P282" s="2">
        <v>0.73</v>
      </c>
      <c r="Q282" s="2">
        <v>3237800</v>
      </c>
      <c r="R282" s="2">
        <v>24</v>
      </c>
      <c r="S282" s="2">
        <v>2743583</v>
      </c>
      <c r="T282" s="2">
        <v>4096</v>
      </c>
      <c r="U282" s="2">
        <v>0</v>
      </c>
      <c r="V282" s="2">
        <v>0</v>
      </c>
      <c r="W282" s="2">
        <v>0</v>
      </c>
      <c r="X282" s="30" t="s">
        <v>141</v>
      </c>
    </row>
    <row r="283" spans="1:24">
      <c r="A283" s="5" t="s">
        <v>716</v>
      </c>
      <c r="B283" s="2" t="s">
        <v>717</v>
      </c>
      <c r="C283" s="26">
        <v>44757</v>
      </c>
      <c r="D283" s="2" t="s">
        <v>131</v>
      </c>
      <c r="E283" s="2" t="s">
        <v>132</v>
      </c>
      <c r="F283" s="2" t="s">
        <v>151</v>
      </c>
      <c r="G283" s="2" t="s">
        <v>134</v>
      </c>
      <c r="H283" s="2">
        <v>48</v>
      </c>
      <c r="I283" s="2">
        <v>209500</v>
      </c>
      <c r="J283" s="2">
        <v>15.08</v>
      </c>
      <c r="K283" s="2">
        <v>5839</v>
      </c>
      <c r="L283" s="2">
        <v>933064</v>
      </c>
      <c r="M283" s="2">
        <v>756</v>
      </c>
      <c r="N283" s="2" t="s">
        <v>160</v>
      </c>
      <c r="O283" s="2">
        <v>0.17</v>
      </c>
      <c r="P283" s="2">
        <v>0.96</v>
      </c>
      <c r="Q283" s="2">
        <v>0</v>
      </c>
      <c r="R283" s="2">
        <v>41</v>
      </c>
      <c r="S283" s="2">
        <v>209595</v>
      </c>
      <c r="T283" s="2">
        <v>43082</v>
      </c>
      <c r="U283" s="2">
        <v>10</v>
      </c>
      <c r="V283" s="2">
        <v>0</v>
      </c>
      <c r="W283" s="2">
        <v>0</v>
      </c>
      <c r="X283" s="30" t="s">
        <v>148</v>
      </c>
    </row>
    <row r="284" spans="1:24">
      <c r="A284" s="5" t="s">
        <v>718</v>
      </c>
      <c r="B284" s="2" t="s">
        <v>719</v>
      </c>
      <c r="C284" s="26">
        <v>45111</v>
      </c>
      <c r="D284" s="2" t="s">
        <v>177</v>
      </c>
      <c r="E284" s="2" t="s">
        <v>144</v>
      </c>
      <c r="F284" s="2" t="s">
        <v>133</v>
      </c>
      <c r="G284" s="2" t="s">
        <v>134</v>
      </c>
      <c r="H284" s="2">
        <v>48</v>
      </c>
      <c r="I284" s="2">
        <v>1499200</v>
      </c>
      <c r="J284" s="2">
        <v>18.61</v>
      </c>
      <c r="K284" s="2">
        <v>44518</v>
      </c>
      <c r="L284" s="2">
        <v>1560773</v>
      </c>
      <c r="M284" s="2">
        <v>559</v>
      </c>
      <c r="N284" s="2" t="s">
        <v>166</v>
      </c>
      <c r="O284" s="2">
        <v>0.61</v>
      </c>
      <c r="P284" s="2">
        <v>0.72</v>
      </c>
      <c r="Q284" s="2">
        <v>0</v>
      </c>
      <c r="R284" s="2">
        <v>29</v>
      </c>
      <c r="S284" s="2">
        <v>1213470</v>
      </c>
      <c r="T284" s="2">
        <v>555431</v>
      </c>
      <c r="U284" s="2">
        <v>0</v>
      </c>
      <c r="V284" s="2">
        <v>0</v>
      </c>
      <c r="W284" s="2">
        <v>0</v>
      </c>
      <c r="X284" s="30" t="s">
        <v>148</v>
      </c>
    </row>
    <row r="285" spans="1:24">
      <c r="A285" s="5" t="s">
        <v>720</v>
      </c>
      <c r="B285" s="2" t="s">
        <v>721</v>
      </c>
      <c r="C285" s="26">
        <v>45178</v>
      </c>
      <c r="D285" s="2" t="s">
        <v>158</v>
      </c>
      <c r="E285" s="2" t="s">
        <v>144</v>
      </c>
      <c r="F285" s="2" t="s">
        <v>133</v>
      </c>
      <c r="G285" s="2" t="s">
        <v>152</v>
      </c>
      <c r="H285" s="2">
        <v>12</v>
      </c>
      <c r="I285" s="2">
        <v>2437000</v>
      </c>
      <c r="J285" s="2">
        <v>9.57</v>
      </c>
      <c r="K285" s="2">
        <v>213764</v>
      </c>
      <c r="L285" s="2">
        <v>637246</v>
      </c>
      <c r="M285" s="2">
        <v>815</v>
      </c>
      <c r="N285" s="2" t="s">
        <v>160</v>
      </c>
      <c r="O285" s="2">
        <v>0.5</v>
      </c>
      <c r="P285" s="2">
        <v>0.61</v>
      </c>
      <c r="Q285" s="2">
        <v>3963400</v>
      </c>
      <c r="R285" s="2">
        <v>12</v>
      </c>
      <c r="S285" s="2">
        <v>2335712</v>
      </c>
      <c r="T285" s="2">
        <v>194576</v>
      </c>
      <c r="U285" s="2">
        <v>0</v>
      </c>
      <c r="V285" s="2">
        <v>1</v>
      </c>
      <c r="W285" s="2">
        <v>0</v>
      </c>
      <c r="X285" s="30" t="s">
        <v>141</v>
      </c>
    </row>
    <row r="286" spans="1:24">
      <c r="A286" s="5" t="s">
        <v>722</v>
      </c>
      <c r="B286" s="2" t="s">
        <v>723</v>
      </c>
      <c r="C286" s="26">
        <v>45145</v>
      </c>
      <c r="D286" s="2" t="s">
        <v>169</v>
      </c>
      <c r="E286" s="2" t="s">
        <v>144</v>
      </c>
      <c r="F286" s="2" t="s">
        <v>145</v>
      </c>
      <c r="G286" s="2" t="s">
        <v>134</v>
      </c>
      <c r="H286" s="2">
        <v>120</v>
      </c>
      <c r="I286" s="2">
        <v>5717200</v>
      </c>
      <c r="J286" s="2">
        <v>7</v>
      </c>
      <c r="K286" s="2">
        <v>66382</v>
      </c>
      <c r="L286" s="2">
        <v>1273092</v>
      </c>
      <c r="M286" s="2">
        <v>775</v>
      </c>
      <c r="N286" s="2" t="s">
        <v>160</v>
      </c>
      <c r="O286" s="2">
        <v>0.48</v>
      </c>
      <c r="P286" s="2">
        <v>0.68</v>
      </c>
      <c r="Q286" s="2">
        <v>8411200</v>
      </c>
      <c r="R286" s="2">
        <v>28</v>
      </c>
      <c r="S286" s="2">
        <v>1593425</v>
      </c>
      <c r="T286" s="2">
        <v>4497299</v>
      </c>
      <c r="U286" s="2">
        <v>0</v>
      </c>
      <c r="V286" s="2">
        <v>0</v>
      </c>
      <c r="W286" s="2">
        <v>0</v>
      </c>
      <c r="X286" s="30" t="s">
        <v>148</v>
      </c>
    </row>
    <row r="287" spans="1:24">
      <c r="A287" s="5" t="s">
        <v>724</v>
      </c>
      <c r="B287" s="2" t="s">
        <v>725</v>
      </c>
      <c r="C287" s="26">
        <v>45162</v>
      </c>
      <c r="D287" s="2" t="s">
        <v>131</v>
      </c>
      <c r="E287" s="2" t="s">
        <v>132</v>
      </c>
      <c r="F287" s="2" t="s">
        <v>170</v>
      </c>
      <c r="G287" s="2" t="s">
        <v>134</v>
      </c>
      <c r="H287" s="2">
        <v>36</v>
      </c>
      <c r="I287" s="2">
        <v>290800</v>
      </c>
      <c r="J287" s="2">
        <v>19.809999999999999</v>
      </c>
      <c r="K287" s="2">
        <v>10779</v>
      </c>
      <c r="L287" s="2">
        <v>614122</v>
      </c>
      <c r="M287" s="2">
        <v>643</v>
      </c>
      <c r="N287" s="2" t="s">
        <v>147</v>
      </c>
      <c r="O287" s="2">
        <v>0.47</v>
      </c>
      <c r="P287" s="2">
        <v>0.71</v>
      </c>
      <c r="Q287" s="2">
        <v>0</v>
      </c>
      <c r="R287" s="2">
        <v>28</v>
      </c>
      <c r="S287" s="2">
        <v>284969</v>
      </c>
      <c r="T287" s="2">
        <v>59598</v>
      </c>
      <c r="U287" s="2">
        <v>0</v>
      </c>
      <c r="V287" s="2">
        <v>1</v>
      </c>
      <c r="W287" s="2">
        <v>0</v>
      </c>
      <c r="X287" s="30" t="s">
        <v>141</v>
      </c>
    </row>
    <row r="288" spans="1:24">
      <c r="A288" s="5" t="s">
        <v>726</v>
      </c>
      <c r="B288" s="2" t="s">
        <v>727</v>
      </c>
      <c r="C288" s="26">
        <v>45121</v>
      </c>
      <c r="D288" s="2" t="s">
        <v>169</v>
      </c>
      <c r="E288" s="2" t="s">
        <v>132</v>
      </c>
      <c r="F288" s="2" t="s">
        <v>133</v>
      </c>
      <c r="G288" s="2" t="s">
        <v>134</v>
      </c>
      <c r="H288" s="2">
        <v>12</v>
      </c>
      <c r="I288" s="2">
        <v>50000</v>
      </c>
      <c r="J288" s="2">
        <v>12.99</v>
      </c>
      <c r="K288" s="2">
        <v>4466</v>
      </c>
      <c r="L288" s="2">
        <v>897351</v>
      </c>
      <c r="M288" s="2">
        <v>647</v>
      </c>
      <c r="N288" s="2" t="s">
        <v>147</v>
      </c>
      <c r="O288" s="2">
        <v>0.46</v>
      </c>
      <c r="P288" s="2">
        <v>0.89</v>
      </c>
      <c r="Q288" s="2">
        <v>56400</v>
      </c>
      <c r="R288" s="2">
        <v>12</v>
      </c>
      <c r="S288" s="2">
        <v>48780</v>
      </c>
      <c r="T288" s="2">
        <v>3818</v>
      </c>
      <c r="U288" s="2">
        <v>0</v>
      </c>
      <c r="V288" s="2">
        <v>0</v>
      </c>
      <c r="W288" s="2">
        <v>0</v>
      </c>
      <c r="X288" s="30" t="s">
        <v>141</v>
      </c>
    </row>
    <row r="289" spans="1:24">
      <c r="A289" s="5" t="s">
        <v>728</v>
      </c>
      <c r="B289" s="2" t="s">
        <v>729</v>
      </c>
      <c r="C289" s="26">
        <v>45186</v>
      </c>
      <c r="D289" s="2" t="s">
        <v>163</v>
      </c>
      <c r="E289" s="2" t="s">
        <v>144</v>
      </c>
      <c r="F289" s="2" t="s">
        <v>145</v>
      </c>
      <c r="G289" s="2" t="s">
        <v>134</v>
      </c>
      <c r="H289" s="2">
        <v>180</v>
      </c>
      <c r="I289" s="2">
        <v>309600</v>
      </c>
      <c r="J289" s="2">
        <v>12.34</v>
      </c>
      <c r="K289" s="2">
        <v>3784</v>
      </c>
      <c r="L289" s="2">
        <v>976104</v>
      </c>
      <c r="M289" s="2">
        <v>677</v>
      </c>
      <c r="N289" s="2" t="s">
        <v>140</v>
      </c>
      <c r="O289" s="2">
        <v>0.44</v>
      </c>
      <c r="P289" s="2">
        <v>0.69</v>
      </c>
      <c r="Q289" s="2">
        <v>446400</v>
      </c>
      <c r="R289" s="2">
        <v>27</v>
      </c>
      <c r="S289" s="2">
        <v>97829</v>
      </c>
      <c r="T289" s="2">
        <v>246155</v>
      </c>
      <c r="U289" s="2">
        <v>0</v>
      </c>
      <c r="V289" s="2">
        <v>0</v>
      </c>
      <c r="W289" s="2">
        <v>0</v>
      </c>
      <c r="X289" s="30" t="s">
        <v>148</v>
      </c>
    </row>
    <row r="290" spans="1:24">
      <c r="A290" s="5" t="s">
        <v>730</v>
      </c>
      <c r="B290" s="2" t="s">
        <v>731</v>
      </c>
      <c r="C290" s="26">
        <v>45155</v>
      </c>
      <c r="D290" s="2" t="s">
        <v>163</v>
      </c>
      <c r="E290" s="2" t="s">
        <v>132</v>
      </c>
      <c r="F290" s="2" t="s">
        <v>145</v>
      </c>
      <c r="G290" s="2" t="s">
        <v>134</v>
      </c>
      <c r="H290" s="2">
        <v>24</v>
      </c>
      <c r="I290" s="2">
        <v>1051400</v>
      </c>
      <c r="J290" s="2">
        <v>10.52</v>
      </c>
      <c r="K290" s="2">
        <v>48770</v>
      </c>
      <c r="L290" s="2">
        <v>937487</v>
      </c>
      <c r="M290" s="2">
        <v>704</v>
      </c>
      <c r="N290" s="2" t="s">
        <v>135</v>
      </c>
      <c r="O290" s="2">
        <v>0.41</v>
      </c>
      <c r="P290" s="2">
        <v>0.59</v>
      </c>
      <c r="Q290" s="2">
        <v>1770400</v>
      </c>
      <c r="R290" s="2">
        <v>24</v>
      </c>
      <c r="S290" s="2">
        <v>1181025</v>
      </c>
      <c r="T290" s="2">
        <v>0</v>
      </c>
      <c r="U290" s="2">
        <v>0</v>
      </c>
      <c r="V290" s="2">
        <v>1</v>
      </c>
      <c r="W290" s="2">
        <v>0</v>
      </c>
      <c r="X290" s="30" t="s">
        <v>141</v>
      </c>
    </row>
    <row r="291" spans="1:24">
      <c r="A291" s="5" t="s">
        <v>732</v>
      </c>
      <c r="B291" s="2" t="s">
        <v>733</v>
      </c>
      <c r="C291" s="26">
        <v>45188</v>
      </c>
      <c r="D291" s="2" t="s">
        <v>158</v>
      </c>
      <c r="E291" s="2" t="s">
        <v>144</v>
      </c>
      <c r="F291" s="2" t="s">
        <v>133</v>
      </c>
      <c r="G291" s="2" t="s">
        <v>152</v>
      </c>
      <c r="H291" s="2">
        <v>240</v>
      </c>
      <c r="I291" s="2">
        <v>3548000</v>
      </c>
      <c r="J291" s="2">
        <v>22.07</v>
      </c>
      <c r="K291" s="2">
        <v>66086</v>
      </c>
      <c r="L291" s="2">
        <v>1121504</v>
      </c>
      <c r="M291" s="2">
        <v>543</v>
      </c>
      <c r="N291" s="2" t="s">
        <v>166</v>
      </c>
      <c r="O291" s="2">
        <v>0.41</v>
      </c>
      <c r="P291" s="2">
        <v>0.78</v>
      </c>
      <c r="Q291" s="2">
        <v>4525100</v>
      </c>
      <c r="R291" s="2">
        <v>27</v>
      </c>
      <c r="S291" s="2">
        <v>1813335</v>
      </c>
      <c r="T291" s="2">
        <v>2439404</v>
      </c>
      <c r="U291" s="2">
        <v>0</v>
      </c>
      <c r="V291" s="2">
        <v>0</v>
      </c>
      <c r="W291" s="2">
        <v>0</v>
      </c>
      <c r="X291" s="30" t="s">
        <v>148</v>
      </c>
    </row>
    <row r="292" spans="1:24">
      <c r="A292" s="5" t="s">
        <v>734</v>
      </c>
      <c r="B292" s="2" t="s">
        <v>735</v>
      </c>
      <c r="C292" s="26">
        <v>45157</v>
      </c>
      <c r="D292" s="2" t="s">
        <v>158</v>
      </c>
      <c r="E292" s="2" t="s">
        <v>144</v>
      </c>
      <c r="F292" s="2" t="s">
        <v>139</v>
      </c>
      <c r="G292" s="2" t="s">
        <v>134</v>
      </c>
      <c r="H292" s="2">
        <v>48</v>
      </c>
      <c r="I292" s="2">
        <v>1008900</v>
      </c>
      <c r="J292" s="2">
        <v>18.34</v>
      </c>
      <c r="K292" s="2">
        <v>29816</v>
      </c>
      <c r="L292" s="2">
        <v>674440</v>
      </c>
      <c r="M292" s="2">
        <v>626</v>
      </c>
      <c r="N292" s="2" t="s">
        <v>147</v>
      </c>
      <c r="O292" s="2">
        <v>0.4</v>
      </c>
      <c r="P292" s="2">
        <v>0.65</v>
      </c>
      <c r="Q292" s="2">
        <v>1553200</v>
      </c>
      <c r="R292" s="2">
        <v>28</v>
      </c>
      <c r="S292" s="2">
        <v>795087</v>
      </c>
      <c r="T292" s="2">
        <v>386510</v>
      </c>
      <c r="U292" s="2">
        <v>0</v>
      </c>
      <c r="V292" s="2">
        <v>0</v>
      </c>
      <c r="W292" s="2">
        <v>0</v>
      </c>
      <c r="X292" s="30" t="s">
        <v>148</v>
      </c>
    </row>
    <row r="293" spans="1:24">
      <c r="A293" s="5" t="s">
        <v>736</v>
      </c>
      <c r="B293" s="2" t="s">
        <v>737</v>
      </c>
      <c r="C293" s="26">
        <v>45168</v>
      </c>
      <c r="D293" s="2" t="s">
        <v>169</v>
      </c>
      <c r="E293" s="2" t="s">
        <v>144</v>
      </c>
      <c r="F293" s="2" t="s">
        <v>139</v>
      </c>
      <c r="G293" s="2" t="s">
        <v>152</v>
      </c>
      <c r="H293" s="2">
        <v>84</v>
      </c>
      <c r="I293" s="2">
        <v>2409800</v>
      </c>
      <c r="J293" s="2">
        <v>7</v>
      </c>
      <c r="K293" s="2">
        <v>36370</v>
      </c>
      <c r="L293" s="2">
        <v>1253034</v>
      </c>
      <c r="M293" s="2">
        <v>818</v>
      </c>
      <c r="N293" s="2" t="s">
        <v>160</v>
      </c>
      <c r="O293" s="2">
        <v>0.4</v>
      </c>
      <c r="P293" s="2">
        <v>0.78</v>
      </c>
      <c r="Q293" s="2">
        <v>3107300</v>
      </c>
      <c r="R293" s="2">
        <v>28</v>
      </c>
      <c r="S293" s="2">
        <v>930361</v>
      </c>
      <c r="T293" s="2">
        <v>1636879</v>
      </c>
      <c r="U293" s="2">
        <v>0</v>
      </c>
      <c r="V293" s="2">
        <v>0</v>
      </c>
      <c r="W293" s="2">
        <v>0</v>
      </c>
      <c r="X293" s="30" t="s">
        <v>148</v>
      </c>
    </row>
    <row r="294" spans="1:24">
      <c r="A294" s="5" t="s">
        <v>738</v>
      </c>
      <c r="B294" s="2" t="s">
        <v>739</v>
      </c>
      <c r="C294" s="26">
        <v>45129</v>
      </c>
      <c r="D294" s="2" t="s">
        <v>131</v>
      </c>
      <c r="E294" s="2" t="s">
        <v>213</v>
      </c>
      <c r="F294" s="2" t="s">
        <v>145</v>
      </c>
      <c r="G294" s="2" t="s">
        <v>134</v>
      </c>
      <c r="H294" s="2">
        <v>84</v>
      </c>
      <c r="I294" s="2">
        <v>836700</v>
      </c>
      <c r="J294" s="2">
        <v>12.46</v>
      </c>
      <c r="K294" s="2">
        <v>14977</v>
      </c>
      <c r="L294" s="2">
        <v>1211195</v>
      </c>
      <c r="M294" s="2">
        <v>795</v>
      </c>
      <c r="N294" s="2" t="s">
        <v>160</v>
      </c>
      <c r="O294" s="2">
        <v>0.39</v>
      </c>
      <c r="P294" s="2">
        <v>0.85</v>
      </c>
      <c r="Q294" s="2">
        <v>0</v>
      </c>
      <c r="R294" s="2">
        <v>29</v>
      </c>
      <c r="S294" s="2">
        <v>435955</v>
      </c>
      <c r="T294" s="2">
        <v>501523</v>
      </c>
      <c r="U294" s="2">
        <v>10</v>
      </c>
      <c r="V294" s="2">
        <v>0</v>
      </c>
      <c r="W294" s="2">
        <v>0</v>
      </c>
      <c r="X294" s="30" t="s">
        <v>148</v>
      </c>
    </row>
    <row r="295" spans="1:24">
      <c r="A295" s="5" t="s">
        <v>740</v>
      </c>
      <c r="B295" s="2" t="s">
        <v>741</v>
      </c>
      <c r="C295" s="26">
        <v>45182</v>
      </c>
      <c r="D295" s="2" t="s">
        <v>163</v>
      </c>
      <c r="E295" s="2" t="s">
        <v>132</v>
      </c>
      <c r="F295" s="2" t="s">
        <v>139</v>
      </c>
      <c r="G295" s="2" t="s">
        <v>134</v>
      </c>
      <c r="H295" s="2">
        <v>84</v>
      </c>
      <c r="I295" s="2">
        <v>293300</v>
      </c>
      <c r="J295" s="2">
        <v>15.01</v>
      </c>
      <c r="K295" s="2">
        <v>5661</v>
      </c>
      <c r="L295" s="2">
        <v>1175619</v>
      </c>
      <c r="M295" s="2">
        <v>658</v>
      </c>
      <c r="N295" s="2" t="s">
        <v>140</v>
      </c>
      <c r="O295" s="2">
        <v>0.37</v>
      </c>
      <c r="P295" s="2">
        <v>0.55000000000000004</v>
      </c>
      <c r="Q295" s="2">
        <v>531000</v>
      </c>
      <c r="R295" s="2">
        <v>27</v>
      </c>
      <c r="S295" s="2">
        <v>133870</v>
      </c>
      <c r="T295" s="2">
        <v>199052</v>
      </c>
      <c r="U295" s="2">
        <v>0</v>
      </c>
      <c r="V295" s="2">
        <v>0</v>
      </c>
      <c r="W295" s="2">
        <v>0</v>
      </c>
      <c r="X295" s="30" t="s">
        <v>148</v>
      </c>
    </row>
    <row r="296" spans="1:24">
      <c r="A296" s="5" t="s">
        <v>742</v>
      </c>
      <c r="B296" s="2" t="s">
        <v>743</v>
      </c>
      <c r="C296" s="26">
        <v>45191</v>
      </c>
      <c r="D296" s="2" t="s">
        <v>131</v>
      </c>
      <c r="E296" s="2" t="s">
        <v>159</v>
      </c>
      <c r="F296" s="2" t="s">
        <v>151</v>
      </c>
      <c r="G296" s="2" t="s">
        <v>134</v>
      </c>
      <c r="H296" s="2">
        <v>24</v>
      </c>
      <c r="I296" s="2">
        <v>322600</v>
      </c>
      <c r="J296" s="2">
        <v>16.04</v>
      </c>
      <c r="K296" s="2">
        <v>15802</v>
      </c>
      <c r="L296" s="2">
        <v>399915</v>
      </c>
      <c r="M296" s="2">
        <v>734</v>
      </c>
      <c r="N296" s="2" t="s">
        <v>135</v>
      </c>
      <c r="O296" s="2">
        <v>0.36</v>
      </c>
      <c r="P296" s="2">
        <v>0.56999999999999995</v>
      </c>
      <c r="Q296" s="2">
        <v>0</v>
      </c>
      <c r="R296" s="2">
        <v>24</v>
      </c>
      <c r="S296" s="2">
        <v>367697</v>
      </c>
      <c r="T296" s="2">
        <v>0</v>
      </c>
      <c r="U296" s="2">
        <v>0</v>
      </c>
      <c r="V296" s="2">
        <v>1</v>
      </c>
      <c r="W296" s="2">
        <v>0</v>
      </c>
      <c r="X296" s="30" t="s">
        <v>141</v>
      </c>
    </row>
    <row r="297" spans="1:24">
      <c r="A297" s="5" t="s">
        <v>744</v>
      </c>
      <c r="B297" s="2" t="s">
        <v>745</v>
      </c>
      <c r="C297" s="26">
        <v>45108</v>
      </c>
      <c r="D297" s="2" t="s">
        <v>169</v>
      </c>
      <c r="E297" s="2" t="s">
        <v>144</v>
      </c>
      <c r="F297" s="2" t="s">
        <v>145</v>
      </c>
      <c r="G297" s="2" t="s">
        <v>146</v>
      </c>
      <c r="H297" s="2">
        <v>48</v>
      </c>
      <c r="I297" s="2">
        <v>6142600</v>
      </c>
      <c r="J297" s="2">
        <v>8.0399999999999991</v>
      </c>
      <c r="K297" s="2">
        <v>150074</v>
      </c>
      <c r="L297" s="2">
        <v>1544439</v>
      </c>
      <c r="M297" s="2">
        <v>730</v>
      </c>
      <c r="N297" s="2" t="s">
        <v>135</v>
      </c>
      <c r="O297" s="2">
        <v>0.35</v>
      </c>
      <c r="P297" s="2">
        <v>0.65</v>
      </c>
      <c r="Q297" s="2">
        <v>9405100</v>
      </c>
      <c r="R297" s="2">
        <v>29</v>
      </c>
      <c r="S297" s="2">
        <v>4365558</v>
      </c>
      <c r="T297" s="2">
        <v>2254445</v>
      </c>
      <c r="U297" s="2">
        <v>0</v>
      </c>
      <c r="V297" s="2">
        <v>0</v>
      </c>
      <c r="W297" s="2">
        <v>0</v>
      </c>
      <c r="X297" s="30" t="s">
        <v>148</v>
      </c>
    </row>
    <row r="298" spans="1:24">
      <c r="A298" s="5" t="s">
        <v>746</v>
      </c>
      <c r="B298" s="2" t="s">
        <v>747</v>
      </c>
      <c r="C298" s="26">
        <v>45124</v>
      </c>
      <c r="D298" s="2" t="s">
        <v>131</v>
      </c>
      <c r="E298" s="2" t="s">
        <v>144</v>
      </c>
      <c r="F298" s="2" t="s">
        <v>133</v>
      </c>
      <c r="G298" s="2" t="s">
        <v>134</v>
      </c>
      <c r="H298" s="2">
        <v>60</v>
      </c>
      <c r="I298" s="2">
        <v>596500</v>
      </c>
      <c r="J298" s="2">
        <v>20.07</v>
      </c>
      <c r="K298" s="2">
        <v>15827</v>
      </c>
      <c r="L298" s="2">
        <v>583317</v>
      </c>
      <c r="M298" s="2">
        <v>631</v>
      </c>
      <c r="N298" s="2" t="s">
        <v>147</v>
      </c>
      <c r="O298" s="2">
        <v>0.35</v>
      </c>
      <c r="P298" s="2">
        <v>0.79</v>
      </c>
      <c r="Q298" s="2">
        <v>0</v>
      </c>
      <c r="R298" s="2">
        <v>29</v>
      </c>
      <c r="S298" s="2">
        <v>422199</v>
      </c>
      <c r="T298" s="2">
        <v>290028</v>
      </c>
      <c r="U298" s="2">
        <v>0</v>
      </c>
      <c r="V298" s="2">
        <v>0</v>
      </c>
      <c r="W298" s="2">
        <v>0</v>
      </c>
      <c r="X298" s="30" t="s">
        <v>148</v>
      </c>
    </row>
    <row r="299" spans="1:24">
      <c r="A299" s="5" t="s">
        <v>748</v>
      </c>
      <c r="B299" s="2" t="s">
        <v>749</v>
      </c>
      <c r="C299" s="26">
        <v>45114</v>
      </c>
      <c r="D299" s="2" t="s">
        <v>169</v>
      </c>
      <c r="E299" s="2" t="s">
        <v>213</v>
      </c>
      <c r="F299" s="2" t="s">
        <v>151</v>
      </c>
      <c r="G299" s="2" t="s">
        <v>134</v>
      </c>
      <c r="H299" s="2">
        <v>12</v>
      </c>
      <c r="I299" s="2">
        <v>4729500</v>
      </c>
      <c r="J299" s="2">
        <v>12.17</v>
      </c>
      <c r="K299" s="2">
        <v>420587</v>
      </c>
      <c r="L299" s="2">
        <v>317475</v>
      </c>
      <c r="M299" s="2">
        <v>646</v>
      </c>
      <c r="N299" s="2" t="s">
        <v>147</v>
      </c>
      <c r="O299" s="2">
        <v>0.35</v>
      </c>
      <c r="P299" s="2">
        <v>0.81</v>
      </c>
      <c r="Q299" s="2">
        <v>5811000</v>
      </c>
      <c r="R299" s="2">
        <v>12</v>
      </c>
      <c r="S299" s="2">
        <v>4291925</v>
      </c>
      <c r="T299" s="2">
        <v>667807</v>
      </c>
      <c r="U299" s="2">
        <v>0</v>
      </c>
      <c r="V299" s="2">
        <v>1</v>
      </c>
      <c r="W299" s="2">
        <v>0</v>
      </c>
      <c r="X299" s="30" t="s">
        <v>141</v>
      </c>
    </row>
    <row r="300" spans="1:24">
      <c r="A300" s="5" t="s">
        <v>750</v>
      </c>
      <c r="B300" s="2" t="s">
        <v>751</v>
      </c>
      <c r="C300" s="26">
        <v>45163</v>
      </c>
      <c r="D300" s="2" t="s">
        <v>163</v>
      </c>
      <c r="E300" s="2" t="s">
        <v>144</v>
      </c>
      <c r="F300" s="2" t="s">
        <v>170</v>
      </c>
      <c r="G300" s="2" t="s">
        <v>134</v>
      </c>
      <c r="H300" s="2">
        <v>18</v>
      </c>
      <c r="I300" s="2">
        <v>1498100</v>
      </c>
      <c r="J300" s="2">
        <v>14.08</v>
      </c>
      <c r="K300" s="2">
        <v>92811</v>
      </c>
      <c r="L300" s="2">
        <v>1172954</v>
      </c>
      <c r="M300" s="2">
        <v>646</v>
      </c>
      <c r="N300" s="2" t="s">
        <v>147</v>
      </c>
      <c r="O300" s="2">
        <v>0.34</v>
      </c>
      <c r="P300" s="2">
        <v>0.67</v>
      </c>
      <c r="Q300" s="2">
        <v>2237500</v>
      </c>
      <c r="R300" s="2">
        <v>18</v>
      </c>
      <c r="S300" s="2">
        <v>1427386</v>
      </c>
      <c r="T300" s="2">
        <v>197273</v>
      </c>
      <c r="U300" s="2">
        <v>0</v>
      </c>
      <c r="V300" s="2">
        <v>0</v>
      </c>
      <c r="W300" s="2">
        <v>0</v>
      </c>
      <c r="X300" s="30" t="s">
        <v>141</v>
      </c>
    </row>
    <row r="301" spans="1:24">
      <c r="A301" s="5" t="s">
        <v>752</v>
      </c>
      <c r="B301" s="2" t="s">
        <v>753</v>
      </c>
      <c r="C301" s="26">
        <v>45148</v>
      </c>
      <c r="D301" s="2" t="s">
        <v>131</v>
      </c>
      <c r="E301" s="2" t="s">
        <v>132</v>
      </c>
      <c r="F301" s="2" t="s">
        <v>139</v>
      </c>
      <c r="G301" s="2" t="s">
        <v>152</v>
      </c>
      <c r="H301" s="2">
        <v>36</v>
      </c>
      <c r="I301" s="2">
        <v>384100</v>
      </c>
      <c r="J301" s="2">
        <v>18.38</v>
      </c>
      <c r="K301" s="2">
        <v>13959</v>
      </c>
      <c r="L301" s="2">
        <v>759561</v>
      </c>
      <c r="M301" s="2">
        <v>672</v>
      </c>
      <c r="N301" s="2" t="s">
        <v>140</v>
      </c>
      <c r="O301" s="2">
        <v>0.33</v>
      </c>
      <c r="P301" s="2">
        <v>0.56000000000000005</v>
      </c>
      <c r="Q301" s="2">
        <v>0</v>
      </c>
      <c r="R301" s="2">
        <v>28</v>
      </c>
      <c r="S301" s="2">
        <v>394964</v>
      </c>
      <c r="T301" s="2">
        <v>55027</v>
      </c>
      <c r="U301" s="2">
        <v>0</v>
      </c>
      <c r="V301" s="2">
        <v>0</v>
      </c>
      <c r="W301" s="2">
        <v>0</v>
      </c>
      <c r="X301" s="30" t="s">
        <v>148</v>
      </c>
    </row>
    <row r="302" spans="1:24">
      <c r="A302" s="5" t="s">
        <v>754</v>
      </c>
      <c r="B302" s="2" t="s">
        <v>755</v>
      </c>
      <c r="C302" s="26">
        <v>45111</v>
      </c>
      <c r="D302" s="2" t="s">
        <v>169</v>
      </c>
      <c r="E302" s="2" t="s">
        <v>144</v>
      </c>
      <c r="F302" s="2" t="s">
        <v>133</v>
      </c>
      <c r="G302" s="2" t="s">
        <v>134</v>
      </c>
      <c r="H302" s="2">
        <v>360</v>
      </c>
      <c r="I302" s="2">
        <v>4098600</v>
      </c>
      <c r="J302" s="2">
        <v>13.15</v>
      </c>
      <c r="K302" s="2">
        <v>45820</v>
      </c>
      <c r="L302" s="2">
        <v>459205</v>
      </c>
      <c r="M302" s="2">
        <v>608</v>
      </c>
      <c r="N302" s="2" t="s">
        <v>147</v>
      </c>
      <c r="O302" s="2">
        <v>0.33</v>
      </c>
      <c r="P302" s="2">
        <v>0.91</v>
      </c>
      <c r="Q302" s="2">
        <v>4502800</v>
      </c>
      <c r="R302" s="2">
        <v>29</v>
      </c>
      <c r="S302" s="2">
        <v>1143870</v>
      </c>
      <c r="T302" s="2">
        <v>3475730</v>
      </c>
      <c r="U302" s="2">
        <v>0</v>
      </c>
      <c r="V302" s="2">
        <v>0</v>
      </c>
      <c r="W302" s="2">
        <v>0</v>
      </c>
      <c r="X302" s="30" t="s">
        <v>148</v>
      </c>
    </row>
    <row r="303" spans="1:24">
      <c r="A303" s="5" t="s">
        <v>756</v>
      </c>
      <c r="B303" s="2" t="s">
        <v>757</v>
      </c>
      <c r="C303" s="26">
        <v>45155</v>
      </c>
      <c r="D303" s="2" t="s">
        <v>158</v>
      </c>
      <c r="E303" s="2" t="s">
        <v>213</v>
      </c>
      <c r="F303" s="2" t="s">
        <v>133</v>
      </c>
      <c r="G303" s="2" t="s">
        <v>134</v>
      </c>
      <c r="H303" s="2">
        <v>360</v>
      </c>
      <c r="I303" s="2">
        <v>2264100</v>
      </c>
      <c r="J303" s="2">
        <v>18.87</v>
      </c>
      <c r="K303" s="2">
        <v>35733</v>
      </c>
      <c r="L303" s="2">
        <v>333325</v>
      </c>
      <c r="M303" s="2">
        <v>599</v>
      </c>
      <c r="N303" s="2" t="s">
        <v>166</v>
      </c>
      <c r="O303" s="2">
        <v>0.3</v>
      </c>
      <c r="P303" s="2">
        <v>0.8</v>
      </c>
      <c r="Q303" s="2">
        <v>2820600</v>
      </c>
      <c r="R303" s="2">
        <v>28</v>
      </c>
      <c r="S303" s="2">
        <v>886984</v>
      </c>
      <c r="T303" s="2">
        <v>1775869</v>
      </c>
      <c r="U303" s="2">
        <v>45</v>
      </c>
      <c r="V303" s="2">
        <v>0</v>
      </c>
      <c r="W303" s="2">
        <v>0</v>
      </c>
      <c r="X303" s="30" t="s">
        <v>136</v>
      </c>
    </row>
    <row r="304" spans="1:24">
      <c r="A304" s="5" t="s">
        <v>758</v>
      </c>
      <c r="B304" s="2" t="s">
        <v>759</v>
      </c>
      <c r="C304" s="26">
        <v>45123</v>
      </c>
      <c r="D304" s="2" t="s">
        <v>131</v>
      </c>
      <c r="E304" s="2" t="s">
        <v>144</v>
      </c>
      <c r="F304" s="2" t="s">
        <v>139</v>
      </c>
      <c r="G304" s="2" t="s">
        <v>134</v>
      </c>
      <c r="H304" s="2">
        <v>24</v>
      </c>
      <c r="I304" s="2">
        <v>946800</v>
      </c>
      <c r="J304" s="2">
        <v>16.190000000000001</v>
      </c>
      <c r="K304" s="2">
        <v>46444</v>
      </c>
      <c r="L304" s="2">
        <v>1136462</v>
      </c>
      <c r="M304" s="2">
        <v>730</v>
      </c>
      <c r="N304" s="2" t="s">
        <v>135</v>
      </c>
      <c r="O304" s="2">
        <v>0.3</v>
      </c>
      <c r="P304" s="2">
        <v>0.8</v>
      </c>
      <c r="Q304" s="2">
        <v>0</v>
      </c>
      <c r="R304" s="2">
        <v>24</v>
      </c>
      <c r="S304" s="2">
        <v>1117277</v>
      </c>
      <c r="T304" s="2">
        <v>0</v>
      </c>
      <c r="U304" s="2">
        <v>0</v>
      </c>
      <c r="V304" s="2">
        <v>0</v>
      </c>
      <c r="W304" s="2">
        <v>0</v>
      </c>
      <c r="X304" s="30" t="s">
        <v>141</v>
      </c>
    </row>
    <row r="305" spans="1:24">
      <c r="A305" s="5" t="s">
        <v>760</v>
      </c>
      <c r="B305" s="2" t="s">
        <v>761</v>
      </c>
      <c r="C305" s="26">
        <v>45197</v>
      </c>
      <c r="D305" s="2" t="s">
        <v>131</v>
      </c>
      <c r="E305" s="2" t="s">
        <v>144</v>
      </c>
      <c r="F305" s="2" t="s">
        <v>151</v>
      </c>
      <c r="G305" s="2" t="s">
        <v>134</v>
      </c>
      <c r="H305" s="2">
        <v>72</v>
      </c>
      <c r="I305" s="2">
        <v>359900</v>
      </c>
      <c r="J305" s="2">
        <v>17.350000000000001</v>
      </c>
      <c r="K305" s="2">
        <v>8077</v>
      </c>
      <c r="L305" s="2">
        <v>1040108</v>
      </c>
      <c r="M305" s="2">
        <v>721</v>
      </c>
      <c r="N305" s="2" t="s">
        <v>135</v>
      </c>
      <c r="O305" s="2">
        <v>0.3</v>
      </c>
      <c r="P305" s="2">
        <v>0.74</v>
      </c>
      <c r="Q305" s="2">
        <v>0</v>
      </c>
      <c r="R305" s="2">
        <v>27</v>
      </c>
      <c r="S305" s="2">
        <v>189191</v>
      </c>
      <c r="T305" s="2">
        <v>226907</v>
      </c>
      <c r="U305" s="2">
        <v>0</v>
      </c>
      <c r="V305" s="2">
        <v>0</v>
      </c>
      <c r="W305" s="2">
        <v>0</v>
      </c>
      <c r="X305" s="30" t="s">
        <v>148</v>
      </c>
    </row>
    <row r="306" spans="1:24">
      <c r="A306" s="5" t="s">
        <v>762</v>
      </c>
      <c r="B306" s="2" t="s">
        <v>763</v>
      </c>
      <c r="C306" s="26">
        <v>45156</v>
      </c>
      <c r="D306" s="2" t="s">
        <v>158</v>
      </c>
      <c r="E306" s="2" t="s">
        <v>144</v>
      </c>
      <c r="F306" s="2" t="s">
        <v>151</v>
      </c>
      <c r="G306" s="2" t="s">
        <v>152</v>
      </c>
      <c r="H306" s="2">
        <v>240</v>
      </c>
      <c r="I306" s="2">
        <v>2492700</v>
      </c>
      <c r="J306" s="2">
        <v>16.45</v>
      </c>
      <c r="K306" s="2">
        <v>35524</v>
      </c>
      <c r="L306" s="2">
        <v>1299073</v>
      </c>
      <c r="M306" s="2">
        <v>656</v>
      </c>
      <c r="N306" s="2" t="s">
        <v>140</v>
      </c>
      <c r="O306" s="2">
        <v>0.3</v>
      </c>
      <c r="P306" s="2">
        <v>0.6</v>
      </c>
      <c r="Q306" s="2">
        <v>4132900</v>
      </c>
      <c r="R306" s="2">
        <v>28</v>
      </c>
      <c r="S306" s="2">
        <v>955081</v>
      </c>
      <c r="T306" s="2">
        <v>1920332</v>
      </c>
      <c r="U306" s="2">
        <v>0</v>
      </c>
      <c r="V306" s="2">
        <v>0</v>
      </c>
      <c r="W306" s="2">
        <v>0</v>
      </c>
      <c r="X306" s="30" t="s">
        <v>148</v>
      </c>
    </row>
    <row r="307" spans="1:24">
      <c r="A307" s="5" t="s">
        <v>764</v>
      </c>
      <c r="B307" s="2" t="s">
        <v>765</v>
      </c>
      <c r="C307" s="26">
        <v>45159</v>
      </c>
      <c r="D307" s="2" t="s">
        <v>163</v>
      </c>
      <c r="E307" s="2" t="s">
        <v>132</v>
      </c>
      <c r="F307" s="2" t="s">
        <v>133</v>
      </c>
      <c r="G307" s="2" t="s">
        <v>134</v>
      </c>
      <c r="H307" s="2">
        <v>60</v>
      </c>
      <c r="I307" s="2">
        <v>737000</v>
      </c>
      <c r="J307" s="2">
        <v>10.28</v>
      </c>
      <c r="K307" s="2">
        <v>15761</v>
      </c>
      <c r="L307" s="2">
        <v>825171</v>
      </c>
      <c r="M307" s="2">
        <v>716</v>
      </c>
      <c r="N307" s="2" t="s">
        <v>135</v>
      </c>
      <c r="O307" s="2">
        <v>0.28000000000000003</v>
      </c>
      <c r="P307" s="2">
        <v>0.56000000000000005</v>
      </c>
      <c r="Q307" s="2">
        <v>1307600</v>
      </c>
      <c r="R307" s="2">
        <v>28</v>
      </c>
      <c r="S307" s="2">
        <v>403097</v>
      </c>
      <c r="T307" s="2">
        <v>404616</v>
      </c>
      <c r="U307" s="2">
        <v>0</v>
      </c>
      <c r="V307" s="2">
        <v>0</v>
      </c>
      <c r="W307" s="2">
        <v>0</v>
      </c>
      <c r="X307" s="30" t="s">
        <v>148</v>
      </c>
    </row>
    <row r="308" spans="1:24">
      <c r="A308" s="5" t="s">
        <v>766</v>
      </c>
      <c r="B308" s="2" t="s">
        <v>767</v>
      </c>
      <c r="C308" s="26">
        <v>45123</v>
      </c>
      <c r="D308" s="2" t="s">
        <v>177</v>
      </c>
      <c r="E308" s="2" t="s">
        <v>132</v>
      </c>
      <c r="F308" s="2" t="s">
        <v>139</v>
      </c>
      <c r="G308" s="2" t="s">
        <v>152</v>
      </c>
      <c r="H308" s="2">
        <v>120</v>
      </c>
      <c r="I308" s="2">
        <v>1038600</v>
      </c>
      <c r="J308" s="2">
        <v>12.43</v>
      </c>
      <c r="K308" s="2">
        <v>15160</v>
      </c>
      <c r="L308" s="2">
        <v>332326</v>
      </c>
      <c r="M308" s="2">
        <v>684</v>
      </c>
      <c r="N308" s="2" t="s">
        <v>140</v>
      </c>
      <c r="O308" s="2">
        <v>0.28000000000000003</v>
      </c>
      <c r="P308" s="2">
        <v>0.74</v>
      </c>
      <c r="Q308" s="2">
        <v>0</v>
      </c>
      <c r="R308" s="2">
        <v>29</v>
      </c>
      <c r="S308" s="2">
        <v>403531</v>
      </c>
      <c r="T308" s="2">
        <v>759864</v>
      </c>
      <c r="U308" s="2">
        <v>45</v>
      </c>
      <c r="V308" s="2">
        <v>0</v>
      </c>
      <c r="W308" s="2">
        <v>0</v>
      </c>
      <c r="X308" s="30" t="s">
        <v>136</v>
      </c>
    </row>
    <row r="309" spans="1:24">
      <c r="A309" s="5" t="s">
        <v>768</v>
      </c>
      <c r="B309" s="2" t="s">
        <v>769</v>
      </c>
      <c r="C309" s="26">
        <v>45135</v>
      </c>
      <c r="D309" s="2" t="s">
        <v>131</v>
      </c>
      <c r="E309" s="2" t="s">
        <v>144</v>
      </c>
      <c r="F309" s="2" t="s">
        <v>170</v>
      </c>
      <c r="G309" s="2" t="s">
        <v>134</v>
      </c>
      <c r="H309" s="2">
        <v>24</v>
      </c>
      <c r="I309" s="2">
        <v>595300</v>
      </c>
      <c r="J309" s="2">
        <v>17.23</v>
      </c>
      <c r="K309" s="2">
        <v>29499</v>
      </c>
      <c r="L309" s="2">
        <v>1306032</v>
      </c>
      <c r="M309" s="2">
        <v>712</v>
      </c>
      <c r="N309" s="2" t="s">
        <v>135</v>
      </c>
      <c r="O309" s="2">
        <v>0.28000000000000003</v>
      </c>
      <c r="P309" s="2">
        <v>0.74</v>
      </c>
      <c r="Q309" s="2">
        <v>0</v>
      </c>
      <c r="R309" s="2">
        <v>24</v>
      </c>
      <c r="S309" s="2">
        <v>668854</v>
      </c>
      <c r="T309" s="2">
        <v>8502</v>
      </c>
      <c r="U309" s="2">
        <v>0</v>
      </c>
      <c r="V309" s="2">
        <v>0</v>
      </c>
      <c r="W309" s="2">
        <v>0</v>
      </c>
      <c r="X309" s="30" t="s">
        <v>141</v>
      </c>
    </row>
    <row r="310" spans="1:24">
      <c r="A310" s="5" t="s">
        <v>770</v>
      </c>
      <c r="B310" s="2" t="s">
        <v>771</v>
      </c>
      <c r="C310" s="26">
        <v>45125</v>
      </c>
      <c r="D310" s="2" t="s">
        <v>131</v>
      </c>
      <c r="E310" s="2" t="s">
        <v>144</v>
      </c>
      <c r="F310" s="2" t="s">
        <v>151</v>
      </c>
      <c r="G310" s="2" t="s">
        <v>134</v>
      </c>
      <c r="H310" s="2">
        <v>240</v>
      </c>
      <c r="I310" s="2">
        <v>141100</v>
      </c>
      <c r="J310" s="2">
        <v>18.25</v>
      </c>
      <c r="K310" s="2">
        <v>2205</v>
      </c>
      <c r="L310" s="2">
        <v>978501</v>
      </c>
      <c r="M310" s="2">
        <v>683</v>
      </c>
      <c r="N310" s="2" t="s">
        <v>140</v>
      </c>
      <c r="O310" s="2">
        <v>0.28000000000000003</v>
      </c>
      <c r="P310" s="2">
        <v>0.84</v>
      </c>
      <c r="Q310" s="2">
        <v>0</v>
      </c>
      <c r="R310" s="2">
        <v>29</v>
      </c>
      <c r="S310" s="2">
        <v>63483</v>
      </c>
      <c r="T310" s="2">
        <v>102509</v>
      </c>
      <c r="U310" s="2">
        <v>5</v>
      </c>
      <c r="V310" s="2">
        <v>0</v>
      </c>
      <c r="W310" s="2">
        <v>0</v>
      </c>
      <c r="X310" s="30" t="s">
        <v>148</v>
      </c>
    </row>
    <row r="311" spans="1:24">
      <c r="A311" s="5" t="s">
        <v>772</v>
      </c>
      <c r="B311" s="2" t="s">
        <v>773</v>
      </c>
      <c r="C311" s="26">
        <v>45178</v>
      </c>
      <c r="D311" s="2" t="s">
        <v>163</v>
      </c>
      <c r="E311" s="2" t="s">
        <v>132</v>
      </c>
      <c r="F311" s="2" t="s">
        <v>133</v>
      </c>
      <c r="G311" s="2" t="s">
        <v>134</v>
      </c>
      <c r="H311" s="2">
        <v>48</v>
      </c>
      <c r="I311" s="2">
        <v>1464700</v>
      </c>
      <c r="J311" s="2">
        <v>7</v>
      </c>
      <c r="K311" s="2">
        <v>35074</v>
      </c>
      <c r="L311" s="2">
        <v>1333259</v>
      </c>
      <c r="M311" s="2">
        <v>776</v>
      </c>
      <c r="N311" s="2" t="s">
        <v>160</v>
      </c>
      <c r="O311" s="2">
        <v>0.27</v>
      </c>
      <c r="P311" s="2">
        <v>0.81</v>
      </c>
      <c r="Q311" s="2">
        <v>1804800</v>
      </c>
      <c r="R311" s="2">
        <v>27</v>
      </c>
      <c r="S311" s="2">
        <v>886234</v>
      </c>
      <c r="T311" s="2">
        <v>670742</v>
      </c>
      <c r="U311" s="2">
        <v>0</v>
      </c>
      <c r="V311" s="2">
        <v>1</v>
      </c>
      <c r="W311" s="2">
        <v>0</v>
      </c>
      <c r="X311" s="30" t="s">
        <v>141</v>
      </c>
    </row>
    <row r="312" spans="1:24">
      <c r="A312" s="5" t="s">
        <v>774</v>
      </c>
      <c r="B312" s="2" t="s">
        <v>775</v>
      </c>
      <c r="C312" s="26">
        <v>45181</v>
      </c>
      <c r="D312" s="2" t="s">
        <v>158</v>
      </c>
      <c r="E312" s="2" t="s">
        <v>132</v>
      </c>
      <c r="F312" s="2" t="s">
        <v>145</v>
      </c>
      <c r="G312" s="2" t="s">
        <v>152</v>
      </c>
      <c r="H312" s="2">
        <v>36</v>
      </c>
      <c r="I312" s="2">
        <v>4052800</v>
      </c>
      <c r="J312" s="2">
        <v>16.79</v>
      </c>
      <c r="K312" s="2">
        <v>144070</v>
      </c>
      <c r="L312" s="2">
        <v>949580</v>
      </c>
      <c r="M312" s="2">
        <v>657</v>
      </c>
      <c r="N312" s="2" t="s">
        <v>140</v>
      </c>
      <c r="O312" s="2">
        <v>0.27</v>
      </c>
      <c r="P312" s="2">
        <v>0.82</v>
      </c>
      <c r="Q312" s="2">
        <v>4945900</v>
      </c>
      <c r="R312" s="2">
        <v>27</v>
      </c>
      <c r="S312" s="2">
        <v>3603405</v>
      </c>
      <c r="T312" s="2">
        <v>1061814</v>
      </c>
      <c r="U312" s="2">
        <v>0</v>
      </c>
      <c r="V312" s="2">
        <v>0</v>
      </c>
      <c r="W312" s="2">
        <v>0</v>
      </c>
      <c r="X312" s="30" t="s">
        <v>148</v>
      </c>
    </row>
    <row r="313" spans="1:24">
      <c r="A313" s="5" t="s">
        <v>776</v>
      </c>
      <c r="B313" s="2" t="s">
        <v>777</v>
      </c>
      <c r="C313" s="26">
        <v>45172</v>
      </c>
      <c r="D313" s="2" t="s">
        <v>131</v>
      </c>
      <c r="E313" s="2" t="s">
        <v>132</v>
      </c>
      <c r="F313" s="2" t="s">
        <v>145</v>
      </c>
      <c r="G313" s="2" t="s">
        <v>134</v>
      </c>
      <c r="H313" s="2">
        <v>24</v>
      </c>
      <c r="I313" s="2">
        <v>77700</v>
      </c>
      <c r="J313" s="2">
        <v>17.2</v>
      </c>
      <c r="K313" s="2">
        <v>3849</v>
      </c>
      <c r="L313" s="2">
        <v>1006953</v>
      </c>
      <c r="M313" s="2">
        <v>705</v>
      </c>
      <c r="N313" s="2" t="s">
        <v>135</v>
      </c>
      <c r="O313" s="2">
        <v>0.26</v>
      </c>
      <c r="P313" s="2">
        <v>0.99</v>
      </c>
      <c r="Q313" s="2">
        <v>0</v>
      </c>
      <c r="R313" s="2">
        <v>24</v>
      </c>
      <c r="S313" s="2">
        <v>80522</v>
      </c>
      <c r="T313" s="2">
        <v>7870</v>
      </c>
      <c r="U313" s="2">
        <v>30</v>
      </c>
      <c r="V313" s="2">
        <v>0</v>
      </c>
      <c r="W313" s="2">
        <v>0</v>
      </c>
      <c r="X313" s="30" t="s">
        <v>141</v>
      </c>
    </row>
    <row r="314" spans="1:24">
      <c r="A314" s="5" t="s">
        <v>778</v>
      </c>
      <c r="B314" s="2" t="s">
        <v>779</v>
      </c>
      <c r="C314" s="26">
        <v>45196</v>
      </c>
      <c r="D314" s="2" t="s">
        <v>177</v>
      </c>
      <c r="E314" s="2" t="s">
        <v>144</v>
      </c>
      <c r="F314" s="2" t="s">
        <v>145</v>
      </c>
      <c r="G314" s="2" t="s">
        <v>134</v>
      </c>
      <c r="H314" s="2">
        <v>12</v>
      </c>
      <c r="I314" s="2">
        <v>949500</v>
      </c>
      <c r="J314" s="2">
        <v>10.32</v>
      </c>
      <c r="K314" s="2">
        <v>83618</v>
      </c>
      <c r="L314" s="2">
        <v>569452</v>
      </c>
      <c r="M314" s="2">
        <v>761</v>
      </c>
      <c r="N314" s="2" t="s">
        <v>160</v>
      </c>
      <c r="O314" s="2">
        <v>0.26</v>
      </c>
      <c r="P314" s="2">
        <v>0.77</v>
      </c>
      <c r="Q314" s="2">
        <v>0</v>
      </c>
      <c r="R314" s="2">
        <v>12</v>
      </c>
      <c r="S314" s="2">
        <v>991700</v>
      </c>
      <c r="T314" s="2">
        <v>0</v>
      </c>
      <c r="U314" s="2">
        <v>0</v>
      </c>
      <c r="V314" s="2">
        <v>0</v>
      </c>
      <c r="W314" s="2">
        <v>0</v>
      </c>
      <c r="X314" s="30" t="s">
        <v>141</v>
      </c>
    </row>
    <row r="315" spans="1:24">
      <c r="A315" s="5" t="s">
        <v>780</v>
      </c>
      <c r="B315" s="2" t="s">
        <v>781</v>
      </c>
      <c r="C315" s="26">
        <v>45143</v>
      </c>
      <c r="D315" s="2" t="s">
        <v>169</v>
      </c>
      <c r="E315" s="2" t="s">
        <v>132</v>
      </c>
      <c r="F315" s="2" t="s">
        <v>151</v>
      </c>
      <c r="G315" s="2" t="s">
        <v>192</v>
      </c>
      <c r="H315" s="2">
        <v>60</v>
      </c>
      <c r="I315" s="2">
        <v>6315900</v>
      </c>
      <c r="J315" s="2">
        <v>7.43</v>
      </c>
      <c r="K315" s="2">
        <v>126348</v>
      </c>
      <c r="L315" s="2">
        <v>874374</v>
      </c>
      <c r="M315" s="2">
        <v>772</v>
      </c>
      <c r="N315" s="2" t="s">
        <v>160</v>
      </c>
      <c r="O315" s="2">
        <v>0.25</v>
      </c>
      <c r="P315" s="2">
        <v>0.57999999999999996</v>
      </c>
      <c r="Q315" s="2">
        <v>10853100</v>
      </c>
      <c r="R315" s="2">
        <v>28</v>
      </c>
      <c r="S315" s="2">
        <v>3218446</v>
      </c>
      <c r="T315" s="2">
        <v>3535441</v>
      </c>
      <c r="U315" s="2">
        <v>0</v>
      </c>
      <c r="V315" s="2">
        <v>0</v>
      </c>
      <c r="W315" s="2">
        <v>0</v>
      </c>
      <c r="X315" s="30" t="s">
        <v>148</v>
      </c>
    </row>
    <row r="316" spans="1:24">
      <c r="A316" s="5" t="s">
        <v>782</v>
      </c>
      <c r="B316" s="2" t="s">
        <v>783</v>
      </c>
      <c r="C316" s="26">
        <v>45150</v>
      </c>
      <c r="D316" s="2" t="s">
        <v>169</v>
      </c>
      <c r="E316" s="2" t="s">
        <v>132</v>
      </c>
      <c r="F316" s="2" t="s">
        <v>151</v>
      </c>
      <c r="G316" s="2" t="s">
        <v>134</v>
      </c>
      <c r="H316" s="2">
        <v>36</v>
      </c>
      <c r="I316" s="2">
        <v>5751300</v>
      </c>
      <c r="J316" s="2">
        <v>8.1300000000000008</v>
      </c>
      <c r="K316" s="2">
        <v>180570</v>
      </c>
      <c r="L316" s="2">
        <v>1234022</v>
      </c>
      <c r="M316" s="2">
        <v>759</v>
      </c>
      <c r="N316" s="2" t="s">
        <v>160</v>
      </c>
      <c r="O316" s="2">
        <v>0.23</v>
      </c>
      <c r="P316" s="2">
        <v>0.63</v>
      </c>
      <c r="Q316" s="2">
        <v>9123400</v>
      </c>
      <c r="R316" s="2">
        <v>28</v>
      </c>
      <c r="S316" s="2">
        <v>4322844</v>
      </c>
      <c r="T316" s="2">
        <v>1864865</v>
      </c>
      <c r="U316" s="2">
        <v>0</v>
      </c>
      <c r="V316" s="2">
        <v>1</v>
      </c>
      <c r="W316" s="2">
        <v>0</v>
      </c>
      <c r="X316" s="30" t="s">
        <v>141</v>
      </c>
    </row>
    <row r="317" spans="1:24">
      <c r="A317" s="5" t="s">
        <v>784</v>
      </c>
      <c r="B317" s="2" t="s">
        <v>785</v>
      </c>
      <c r="C317" s="26">
        <v>45131</v>
      </c>
      <c r="D317" s="2" t="s">
        <v>177</v>
      </c>
      <c r="E317" s="2" t="s">
        <v>144</v>
      </c>
      <c r="F317" s="2" t="s">
        <v>151</v>
      </c>
      <c r="G317" s="2" t="s">
        <v>146</v>
      </c>
      <c r="H317" s="2">
        <v>360</v>
      </c>
      <c r="I317" s="2">
        <v>1204500</v>
      </c>
      <c r="J317" s="2">
        <v>9.44</v>
      </c>
      <c r="K317" s="2">
        <v>10075</v>
      </c>
      <c r="L317" s="2">
        <v>1188302</v>
      </c>
      <c r="M317" s="2">
        <v>769</v>
      </c>
      <c r="N317" s="2" t="s">
        <v>160</v>
      </c>
      <c r="O317" s="2">
        <v>0.23</v>
      </c>
      <c r="P317" s="2">
        <v>0.81</v>
      </c>
      <c r="Q317" s="2">
        <v>0</v>
      </c>
      <c r="R317" s="2">
        <v>29</v>
      </c>
      <c r="S317" s="2">
        <v>291859</v>
      </c>
      <c r="T317" s="2">
        <v>1022556</v>
      </c>
      <c r="U317" s="2">
        <v>0</v>
      </c>
      <c r="V317" s="2">
        <v>0</v>
      </c>
      <c r="W317" s="2">
        <v>0</v>
      </c>
      <c r="X317" s="30" t="s">
        <v>148</v>
      </c>
    </row>
    <row r="318" spans="1:24">
      <c r="A318" s="5" t="s">
        <v>786</v>
      </c>
      <c r="B318" s="2" t="s">
        <v>787</v>
      </c>
      <c r="C318" s="26">
        <v>45169</v>
      </c>
      <c r="D318" s="2" t="s">
        <v>158</v>
      </c>
      <c r="E318" s="2" t="s">
        <v>132</v>
      </c>
      <c r="F318" s="2" t="s">
        <v>133</v>
      </c>
      <c r="G318" s="2" t="s">
        <v>134</v>
      </c>
      <c r="H318" s="2">
        <v>24</v>
      </c>
      <c r="I318" s="2">
        <v>2468500</v>
      </c>
      <c r="J318" s="2">
        <v>13.41</v>
      </c>
      <c r="K318" s="2">
        <v>117833</v>
      </c>
      <c r="L318" s="2">
        <v>1094569</v>
      </c>
      <c r="M318" s="2">
        <v>752</v>
      </c>
      <c r="N318" s="2" t="s">
        <v>160</v>
      </c>
      <c r="O318" s="2">
        <v>0.21</v>
      </c>
      <c r="P318" s="2">
        <v>0.84</v>
      </c>
      <c r="Q318" s="2">
        <v>2940100</v>
      </c>
      <c r="R318" s="2">
        <v>24</v>
      </c>
      <c r="S318" s="2">
        <v>2736049</v>
      </c>
      <c r="T318" s="2">
        <v>0</v>
      </c>
      <c r="U318" s="2">
        <v>0</v>
      </c>
      <c r="V318" s="2">
        <v>0</v>
      </c>
      <c r="W318" s="2">
        <v>0</v>
      </c>
      <c r="X318" s="30" t="s">
        <v>141</v>
      </c>
    </row>
    <row r="319" spans="1:24">
      <c r="A319" s="5" t="s">
        <v>788</v>
      </c>
      <c r="B319" s="2" t="s">
        <v>789</v>
      </c>
      <c r="C319" s="26">
        <v>45116</v>
      </c>
      <c r="D319" s="2" t="s">
        <v>131</v>
      </c>
      <c r="E319" s="2" t="s">
        <v>144</v>
      </c>
      <c r="F319" s="2" t="s">
        <v>133</v>
      </c>
      <c r="G319" s="2" t="s">
        <v>134</v>
      </c>
      <c r="H319" s="2">
        <v>60</v>
      </c>
      <c r="I319" s="2">
        <v>514200</v>
      </c>
      <c r="J319" s="2">
        <v>15.48</v>
      </c>
      <c r="K319" s="2">
        <v>12363</v>
      </c>
      <c r="L319" s="2">
        <v>792506</v>
      </c>
      <c r="M319" s="2">
        <v>738</v>
      </c>
      <c r="N319" s="2" t="s">
        <v>135</v>
      </c>
      <c r="O319" s="2">
        <v>0.2</v>
      </c>
      <c r="P319" s="2">
        <v>0.89</v>
      </c>
      <c r="Q319" s="2">
        <v>0</v>
      </c>
      <c r="R319" s="2">
        <v>29</v>
      </c>
      <c r="S319" s="2">
        <v>340351</v>
      </c>
      <c r="T319" s="2">
        <v>250794</v>
      </c>
      <c r="U319" s="2">
        <v>0</v>
      </c>
      <c r="V319" s="2">
        <v>0</v>
      </c>
      <c r="W319" s="2">
        <v>0</v>
      </c>
      <c r="X319" s="30" t="s">
        <v>148</v>
      </c>
    </row>
    <row r="320" spans="1:24">
      <c r="A320" s="5" t="s">
        <v>790</v>
      </c>
      <c r="B320" s="2" t="s">
        <v>791</v>
      </c>
      <c r="C320" s="26">
        <v>45111</v>
      </c>
      <c r="D320" s="2" t="s">
        <v>158</v>
      </c>
      <c r="E320" s="2" t="s">
        <v>132</v>
      </c>
      <c r="F320" s="2" t="s">
        <v>170</v>
      </c>
      <c r="G320" s="2" t="s">
        <v>134</v>
      </c>
      <c r="H320" s="2">
        <v>48</v>
      </c>
      <c r="I320" s="2">
        <v>2736100</v>
      </c>
      <c r="J320" s="2">
        <v>12.85</v>
      </c>
      <c r="K320" s="2">
        <v>73199</v>
      </c>
      <c r="L320" s="2">
        <v>869258</v>
      </c>
      <c r="M320" s="2">
        <v>741</v>
      </c>
      <c r="N320" s="2" t="s">
        <v>135</v>
      </c>
      <c r="O320" s="2">
        <v>0.15</v>
      </c>
      <c r="P320" s="2">
        <v>0.64</v>
      </c>
      <c r="Q320" s="2">
        <v>4282900</v>
      </c>
      <c r="R320" s="2">
        <v>29</v>
      </c>
      <c r="S320" s="2">
        <v>1999442</v>
      </c>
      <c r="T320" s="2">
        <v>1076527</v>
      </c>
      <c r="U320" s="2">
        <v>0</v>
      </c>
      <c r="V320" s="2">
        <v>0</v>
      </c>
      <c r="W320" s="2">
        <v>0</v>
      </c>
      <c r="X320" s="30" t="s">
        <v>148</v>
      </c>
    </row>
    <row r="321" spans="1:24">
      <c r="A321" s="5" t="s">
        <v>792</v>
      </c>
      <c r="B321" s="2" t="s">
        <v>793</v>
      </c>
      <c r="C321" s="26">
        <v>45155</v>
      </c>
      <c r="D321" s="2" t="s">
        <v>169</v>
      </c>
      <c r="E321" s="2" t="s">
        <v>144</v>
      </c>
      <c r="F321" s="2" t="s">
        <v>151</v>
      </c>
      <c r="G321" s="2" t="s">
        <v>134</v>
      </c>
      <c r="H321" s="2">
        <v>24</v>
      </c>
      <c r="I321" s="2">
        <v>5541900</v>
      </c>
      <c r="J321" s="2">
        <v>7</v>
      </c>
      <c r="K321" s="2">
        <v>248125</v>
      </c>
      <c r="L321" s="2">
        <v>427353</v>
      </c>
      <c r="M321" s="2">
        <v>812</v>
      </c>
      <c r="N321" s="2" t="s">
        <v>160</v>
      </c>
      <c r="O321" s="2">
        <v>0.15</v>
      </c>
      <c r="P321" s="2">
        <v>0.72</v>
      </c>
      <c r="Q321" s="2">
        <v>7745900</v>
      </c>
      <c r="R321" s="2">
        <v>24</v>
      </c>
      <c r="S321" s="2">
        <v>5190183</v>
      </c>
      <c r="T321" s="2">
        <v>662063</v>
      </c>
      <c r="U321" s="2">
        <v>0</v>
      </c>
      <c r="V321" s="2">
        <v>0</v>
      </c>
      <c r="W321" s="2">
        <v>0</v>
      </c>
      <c r="X321" s="30" t="s">
        <v>141</v>
      </c>
    </row>
    <row r="322" spans="1:24">
      <c r="A322" s="5" t="s">
        <v>794</v>
      </c>
      <c r="B322" s="2" t="s">
        <v>795</v>
      </c>
      <c r="C322" s="26">
        <v>45158</v>
      </c>
      <c r="D322" s="2" t="s">
        <v>131</v>
      </c>
      <c r="E322" s="2" t="s">
        <v>132</v>
      </c>
      <c r="F322" s="2" t="s">
        <v>133</v>
      </c>
      <c r="G322" s="2" t="s">
        <v>152</v>
      </c>
      <c r="H322" s="2">
        <v>18</v>
      </c>
      <c r="I322" s="2">
        <v>424100</v>
      </c>
      <c r="J322" s="2">
        <v>20.04</v>
      </c>
      <c r="K322" s="2">
        <v>27474</v>
      </c>
      <c r="L322" s="2">
        <v>893034</v>
      </c>
      <c r="M322" s="2">
        <v>630</v>
      </c>
      <c r="N322" s="2" t="s">
        <v>147</v>
      </c>
      <c r="O322" s="2">
        <v>0.11</v>
      </c>
      <c r="P322" s="2">
        <v>0.73</v>
      </c>
      <c r="Q322" s="2">
        <v>0</v>
      </c>
      <c r="R322" s="2">
        <v>18</v>
      </c>
      <c r="S322" s="2">
        <v>442316</v>
      </c>
      <c r="T322" s="2">
        <v>32778</v>
      </c>
      <c r="U322" s="2">
        <v>0</v>
      </c>
      <c r="V322" s="2">
        <v>0</v>
      </c>
      <c r="W322" s="2">
        <v>0</v>
      </c>
      <c r="X322" s="30" t="s">
        <v>141</v>
      </c>
    </row>
    <row r="323" spans="1:24">
      <c r="A323" s="5" t="s">
        <v>796</v>
      </c>
      <c r="B323" s="2" t="s">
        <v>797</v>
      </c>
      <c r="C323" s="26">
        <v>45547</v>
      </c>
      <c r="D323" s="2" t="s">
        <v>169</v>
      </c>
      <c r="E323" s="2" t="s">
        <v>132</v>
      </c>
      <c r="F323" s="2" t="s">
        <v>133</v>
      </c>
      <c r="G323" s="2" t="s">
        <v>134</v>
      </c>
      <c r="H323" s="2">
        <v>36</v>
      </c>
      <c r="I323" s="2">
        <v>5230500</v>
      </c>
      <c r="J323" s="2">
        <v>8.23</v>
      </c>
      <c r="K323" s="2">
        <v>164460</v>
      </c>
      <c r="L323" s="2">
        <v>1064439</v>
      </c>
      <c r="M323" s="2">
        <v>751</v>
      </c>
      <c r="N323" s="2" t="s">
        <v>160</v>
      </c>
      <c r="O323" s="2">
        <v>0.54</v>
      </c>
      <c r="P323" s="2">
        <v>0.64</v>
      </c>
      <c r="Q323" s="2">
        <v>8166200</v>
      </c>
      <c r="R323" s="2">
        <v>15</v>
      </c>
      <c r="S323" s="2">
        <v>2181392</v>
      </c>
      <c r="T323" s="2">
        <v>3264343</v>
      </c>
      <c r="U323" s="2">
        <v>45</v>
      </c>
      <c r="V323" s="2">
        <v>0</v>
      </c>
      <c r="W323" s="2">
        <v>0</v>
      </c>
      <c r="X323" s="30" t="s">
        <v>136</v>
      </c>
    </row>
    <row r="324" spans="1:24">
      <c r="A324" s="5" t="s">
        <v>798</v>
      </c>
      <c r="B324" s="2" t="s">
        <v>799</v>
      </c>
      <c r="C324" s="26">
        <v>45545</v>
      </c>
      <c r="D324" s="2" t="s">
        <v>158</v>
      </c>
      <c r="E324" s="2" t="s">
        <v>144</v>
      </c>
      <c r="F324" s="2" t="s">
        <v>170</v>
      </c>
      <c r="G324" s="2" t="s">
        <v>134</v>
      </c>
      <c r="H324" s="2">
        <v>360</v>
      </c>
      <c r="I324" s="2">
        <v>1501500</v>
      </c>
      <c r="J324" s="2">
        <v>16.989999999999998</v>
      </c>
      <c r="K324" s="2">
        <v>21394</v>
      </c>
      <c r="L324" s="2">
        <v>1221798</v>
      </c>
      <c r="M324" s="2">
        <v>660</v>
      </c>
      <c r="N324" s="2" t="s">
        <v>140</v>
      </c>
      <c r="O324" s="2">
        <v>0.52</v>
      </c>
      <c r="P324" s="2">
        <v>0.7</v>
      </c>
      <c r="Q324" s="2">
        <v>2144900</v>
      </c>
      <c r="R324" s="2">
        <v>15</v>
      </c>
      <c r="S324" s="2">
        <v>295893</v>
      </c>
      <c r="T324" s="2">
        <v>1333159</v>
      </c>
      <c r="U324" s="2">
        <v>15</v>
      </c>
      <c r="V324" s="2">
        <v>0</v>
      </c>
      <c r="W324" s="2">
        <v>0</v>
      </c>
      <c r="X324" s="30" t="s">
        <v>148</v>
      </c>
    </row>
    <row r="325" spans="1:24">
      <c r="A325" s="5" t="s">
        <v>800</v>
      </c>
      <c r="B325" s="2" t="s">
        <v>801</v>
      </c>
      <c r="C325" s="26">
        <v>45526</v>
      </c>
      <c r="D325" s="2" t="s">
        <v>169</v>
      </c>
      <c r="E325" s="2" t="s">
        <v>144</v>
      </c>
      <c r="F325" s="2" t="s">
        <v>139</v>
      </c>
      <c r="G325" s="2" t="s">
        <v>134</v>
      </c>
      <c r="H325" s="2">
        <v>120</v>
      </c>
      <c r="I325" s="2">
        <v>4593600</v>
      </c>
      <c r="J325" s="2">
        <v>11.92</v>
      </c>
      <c r="K325" s="2">
        <v>65693</v>
      </c>
      <c r="L325" s="2">
        <v>1435260</v>
      </c>
      <c r="M325" s="2">
        <v>672</v>
      </c>
      <c r="N325" s="2" t="s">
        <v>140</v>
      </c>
      <c r="O325" s="2">
        <v>0.52</v>
      </c>
      <c r="P325" s="2">
        <v>0.72</v>
      </c>
      <c r="Q325" s="2">
        <v>6409300</v>
      </c>
      <c r="R325" s="2">
        <v>16</v>
      </c>
      <c r="S325" s="2">
        <v>1019050</v>
      </c>
      <c r="T325" s="2">
        <v>3866580</v>
      </c>
      <c r="U325" s="2">
        <v>0</v>
      </c>
      <c r="V325" s="2">
        <v>0</v>
      </c>
      <c r="W325" s="2">
        <v>0</v>
      </c>
      <c r="X325" s="30" t="s">
        <v>148</v>
      </c>
    </row>
    <row r="326" spans="1:24">
      <c r="A326" s="5" t="s">
        <v>802</v>
      </c>
      <c r="B326" s="2" t="s">
        <v>803</v>
      </c>
      <c r="C326" s="26">
        <v>45564</v>
      </c>
      <c r="D326" s="2" t="s">
        <v>169</v>
      </c>
      <c r="E326" s="2" t="s">
        <v>144</v>
      </c>
      <c r="F326" s="2" t="s">
        <v>151</v>
      </c>
      <c r="G326" s="2" t="s">
        <v>152</v>
      </c>
      <c r="H326" s="2">
        <v>36</v>
      </c>
      <c r="I326" s="2">
        <v>50000</v>
      </c>
      <c r="J326" s="2">
        <v>9.1999999999999993</v>
      </c>
      <c r="K326" s="2">
        <v>1595</v>
      </c>
      <c r="L326" s="2">
        <v>862012</v>
      </c>
      <c r="M326" s="2">
        <v>708</v>
      </c>
      <c r="N326" s="2" t="s">
        <v>135</v>
      </c>
      <c r="O326" s="2">
        <v>0.51</v>
      </c>
      <c r="P326" s="2">
        <v>0.54</v>
      </c>
      <c r="Q326" s="2">
        <v>93400</v>
      </c>
      <c r="R326" s="2">
        <v>15</v>
      </c>
      <c r="S326" s="2">
        <v>24234</v>
      </c>
      <c r="T326" s="2">
        <v>28066</v>
      </c>
      <c r="U326" s="2">
        <v>0</v>
      </c>
      <c r="V326" s="2">
        <v>0</v>
      </c>
      <c r="W326" s="2">
        <v>0</v>
      </c>
      <c r="X326" s="30" t="s">
        <v>148</v>
      </c>
    </row>
    <row r="327" spans="1:24">
      <c r="A327" s="5" t="s">
        <v>804</v>
      </c>
      <c r="B327" s="2" t="s">
        <v>805</v>
      </c>
      <c r="C327" s="26">
        <v>45495</v>
      </c>
      <c r="D327" s="2" t="s">
        <v>131</v>
      </c>
      <c r="E327" s="2" t="s">
        <v>144</v>
      </c>
      <c r="F327" s="2" t="s">
        <v>170</v>
      </c>
      <c r="G327" s="2" t="s">
        <v>152</v>
      </c>
      <c r="H327" s="2">
        <v>180</v>
      </c>
      <c r="I327" s="2">
        <v>443200</v>
      </c>
      <c r="J327" s="2">
        <v>16.39</v>
      </c>
      <c r="K327" s="2">
        <v>6630</v>
      </c>
      <c r="L327" s="2">
        <v>1212830</v>
      </c>
      <c r="M327" s="2">
        <v>711</v>
      </c>
      <c r="N327" s="2" t="s">
        <v>135</v>
      </c>
      <c r="O327" s="2">
        <v>0.49</v>
      </c>
      <c r="P327" s="2">
        <v>0.78</v>
      </c>
      <c r="Q327" s="2">
        <v>0</v>
      </c>
      <c r="R327" s="2">
        <v>17</v>
      </c>
      <c r="S327" s="2">
        <v>103716</v>
      </c>
      <c r="T327" s="2">
        <v>380647</v>
      </c>
      <c r="U327" s="2">
        <v>0</v>
      </c>
      <c r="V327" s="2">
        <v>0</v>
      </c>
      <c r="W327" s="2">
        <v>0</v>
      </c>
      <c r="X327" s="30" t="s">
        <v>148</v>
      </c>
    </row>
    <row r="328" spans="1:24">
      <c r="A328" s="5" t="s">
        <v>806</v>
      </c>
      <c r="B328" s="2" t="s">
        <v>807</v>
      </c>
      <c r="C328" s="26">
        <v>45492</v>
      </c>
      <c r="D328" s="2" t="s">
        <v>131</v>
      </c>
      <c r="E328" s="2" t="s">
        <v>144</v>
      </c>
      <c r="F328" s="2" t="s">
        <v>139</v>
      </c>
      <c r="G328" s="2" t="s">
        <v>152</v>
      </c>
      <c r="H328" s="2">
        <v>120</v>
      </c>
      <c r="I328" s="2">
        <v>726300</v>
      </c>
      <c r="J328" s="2">
        <v>22.05</v>
      </c>
      <c r="K328" s="2">
        <v>15037</v>
      </c>
      <c r="L328" s="2">
        <v>985639</v>
      </c>
      <c r="M328" s="2">
        <v>610</v>
      </c>
      <c r="N328" s="2" t="s">
        <v>147</v>
      </c>
      <c r="O328" s="2">
        <v>0.48</v>
      </c>
      <c r="P328" s="2">
        <v>0.82</v>
      </c>
      <c r="Q328" s="2">
        <v>0</v>
      </c>
      <c r="R328" s="2">
        <v>17</v>
      </c>
      <c r="S328" s="2">
        <v>250708</v>
      </c>
      <c r="T328" s="2">
        <v>566343</v>
      </c>
      <c r="U328" s="2">
        <v>0</v>
      </c>
      <c r="V328" s="2">
        <v>0</v>
      </c>
      <c r="W328" s="2">
        <v>0</v>
      </c>
      <c r="X328" s="30" t="s">
        <v>148</v>
      </c>
    </row>
    <row r="329" spans="1:24">
      <c r="A329" s="5" t="s">
        <v>808</v>
      </c>
      <c r="B329" s="2" t="s">
        <v>809</v>
      </c>
      <c r="C329" s="26">
        <v>45522</v>
      </c>
      <c r="D329" s="2" t="s">
        <v>163</v>
      </c>
      <c r="E329" s="2" t="s">
        <v>159</v>
      </c>
      <c r="F329" s="2" t="s">
        <v>139</v>
      </c>
      <c r="G329" s="2" t="s">
        <v>134</v>
      </c>
      <c r="H329" s="2">
        <v>18</v>
      </c>
      <c r="I329" s="2">
        <v>649000</v>
      </c>
      <c r="J329" s="2">
        <v>11.05</v>
      </c>
      <c r="K329" s="2">
        <v>39292</v>
      </c>
      <c r="L329" s="2">
        <v>1162418</v>
      </c>
      <c r="M329" s="2">
        <v>702</v>
      </c>
      <c r="N329" s="2" t="s">
        <v>135</v>
      </c>
      <c r="O329" s="2">
        <v>0.48</v>
      </c>
      <c r="P329" s="2">
        <v>0.93</v>
      </c>
      <c r="Q329" s="2">
        <v>697400</v>
      </c>
      <c r="R329" s="2">
        <v>16</v>
      </c>
      <c r="S329" s="2">
        <v>567039</v>
      </c>
      <c r="T329" s="2">
        <v>120209</v>
      </c>
      <c r="U329" s="2">
        <v>5</v>
      </c>
      <c r="V329" s="2">
        <v>1</v>
      </c>
      <c r="W329" s="2">
        <v>0</v>
      </c>
      <c r="X329" s="30" t="s">
        <v>141</v>
      </c>
    </row>
    <row r="330" spans="1:24">
      <c r="A330" s="5" t="s">
        <v>810</v>
      </c>
      <c r="B330" s="2" t="s">
        <v>811</v>
      </c>
      <c r="C330" s="26">
        <v>45492</v>
      </c>
      <c r="D330" s="2" t="s">
        <v>158</v>
      </c>
      <c r="E330" s="2" t="s">
        <v>132</v>
      </c>
      <c r="F330" s="2" t="s">
        <v>139</v>
      </c>
      <c r="G330" s="2" t="s">
        <v>152</v>
      </c>
      <c r="H330" s="2">
        <v>24</v>
      </c>
      <c r="I330" s="2">
        <v>795600</v>
      </c>
      <c r="J330" s="2">
        <v>9.93</v>
      </c>
      <c r="K330" s="2">
        <v>36687</v>
      </c>
      <c r="L330" s="2">
        <v>1001922</v>
      </c>
      <c r="M330" s="2">
        <v>805</v>
      </c>
      <c r="N330" s="2" t="s">
        <v>160</v>
      </c>
      <c r="O330" s="2">
        <v>0.48</v>
      </c>
      <c r="P330" s="2">
        <v>0.72</v>
      </c>
      <c r="Q330" s="2">
        <v>1097500</v>
      </c>
      <c r="R330" s="2">
        <v>17</v>
      </c>
      <c r="S330" s="2">
        <v>594126</v>
      </c>
      <c r="T330" s="2">
        <v>246242</v>
      </c>
      <c r="U330" s="2">
        <v>0</v>
      </c>
      <c r="V330" s="2">
        <v>0</v>
      </c>
      <c r="W330" s="2">
        <v>0</v>
      </c>
      <c r="X330" s="30" t="s">
        <v>148</v>
      </c>
    </row>
    <row r="331" spans="1:24">
      <c r="A331" s="5" t="s">
        <v>812</v>
      </c>
      <c r="B331" s="2" t="s">
        <v>813</v>
      </c>
      <c r="C331" s="26">
        <v>45527</v>
      </c>
      <c r="D331" s="2" t="s">
        <v>177</v>
      </c>
      <c r="E331" s="2" t="s">
        <v>213</v>
      </c>
      <c r="F331" s="2" t="s">
        <v>145</v>
      </c>
      <c r="G331" s="2" t="s">
        <v>134</v>
      </c>
      <c r="H331" s="2">
        <v>60</v>
      </c>
      <c r="I331" s="2">
        <v>1418000</v>
      </c>
      <c r="J331" s="2">
        <v>12.28</v>
      </c>
      <c r="K331" s="2">
        <v>31744</v>
      </c>
      <c r="L331" s="2">
        <v>814485</v>
      </c>
      <c r="M331" s="2">
        <v>678</v>
      </c>
      <c r="N331" s="2" t="s">
        <v>140</v>
      </c>
      <c r="O331" s="2">
        <v>0.37</v>
      </c>
      <c r="P331" s="2">
        <v>0.79</v>
      </c>
      <c r="Q331" s="2">
        <v>0</v>
      </c>
      <c r="R331" s="2">
        <v>16</v>
      </c>
      <c r="S331" s="2">
        <v>440768</v>
      </c>
      <c r="T331" s="2">
        <v>1070102</v>
      </c>
      <c r="U331" s="2">
        <v>0</v>
      </c>
      <c r="V331" s="2">
        <v>0</v>
      </c>
      <c r="W331" s="2">
        <v>0</v>
      </c>
      <c r="X331" s="30" t="s">
        <v>148</v>
      </c>
    </row>
    <row r="332" spans="1:24">
      <c r="A332" s="5" t="s">
        <v>814</v>
      </c>
      <c r="B332" s="2" t="s">
        <v>815</v>
      </c>
      <c r="C332" s="26">
        <v>45474</v>
      </c>
      <c r="D332" s="2" t="s">
        <v>169</v>
      </c>
      <c r="E332" s="2" t="s">
        <v>132</v>
      </c>
      <c r="F332" s="2" t="s">
        <v>151</v>
      </c>
      <c r="G332" s="2" t="s">
        <v>134</v>
      </c>
      <c r="H332" s="2">
        <v>360</v>
      </c>
      <c r="I332" s="2">
        <v>4550500</v>
      </c>
      <c r="J332" s="2">
        <v>7</v>
      </c>
      <c r="K332" s="2">
        <v>30275</v>
      </c>
      <c r="L332" s="2">
        <v>1426577</v>
      </c>
      <c r="M332" s="2">
        <v>803</v>
      </c>
      <c r="N332" s="2" t="s">
        <v>160</v>
      </c>
      <c r="O332" s="2">
        <v>0.37</v>
      </c>
      <c r="P332" s="2">
        <v>0.92</v>
      </c>
      <c r="Q332" s="2">
        <v>4929600</v>
      </c>
      <c r="R332" s="2">
        <v>17</v>
      </c>
      <c r="S332" s="2">
        <v>482121</v>
      </c>
      <c r="T332" s="2">
        <v>4248882</v>
      </c>
      <c r="U332" s="2">
        <v>0</v>
      </c>
      <c r="V332" s="2">
        <v>0</v>
      </c>
      <c r="W332" s="2">
        <v>0</v>
      </c>
      <c r="X332" s="30" t="s">
        <v>148</v>
      </c>
    </row>
    <row r="333" spans="1:24">
      <c r="A333" s="5" t="s">
        <v>816</v>
      </c>
      <c r="B333" s="2" t="s">
        <v>817</v>
      </c>
      <c r="C333" s="26">
        <v>45527</v>
      </c>
      <c r="D333" s="2" t="s">
        <v>163</v>
      </c>
      <c r="E333" s="2" t="s">
        <v>144</v>
      </c>
      <c r="F333" s="2" t="s">
        <v>145</v>
      </c>
      <c r="G333" s="2" t="s">
        <v>134</v>
      </c>
      <c r="H333" s="2">
        <v>120</v>
      </c>
      <c r="I333" s="2">
        <v>1347300</v>
      </c>
      <c r="J333" s="2">
        <v>7.79</v>
      </c>
      <c r="K333" s="2">
        <v>16197</v>
      </c>
      <c r="L333" s="2">
        <v>956672</v>
      </c>
      <c r="M333" s="2">
        <v>769</v>
      </c>
      <c r="N333" s="2" t="s">
        <v>160</v>
      </c>
      <c r="O333" s="2">
        <v>0.37</v>
      </c>
      <c r="P333" s="2">
        <v>0.8</v>
      </c>
      <c r="Q333" s="2">
        <v>1679800</v>
      </c>
      <c r="R333" s="2">
        <v>16</v>
      </c>
      <c r="S333" s="2">
        <v>249474</v>
      </c>
      <c r="T333" s="2">
        <v>1153802</v>
      </c>
      <c r="U333" s="2">
        <v>15</v>
      </c>
      <c r="V333" s="2">
        <v>0</v>
      </c>
      <c r="W333" s="2">
        <v>0</v>
      </c>
      <c r="X333" s="30" t="s">
        <v>148</v>
      </c>
    </row>
    <row r="334" spans="1:24">
      <c r="A334" s="5" t="s">
        <v>818</v>
      </c>
      <c r="B334" s="2" t="s">
        <v>819</v>
      </c>
      <c r="C334" s="26">
        <v>45527</v>
      </c>
      <c r="D334" s="2" t="s">
        <v>169</v>
      </c>
      <c r="E334" s="2" t="s">
        <v>132</v>
      </c>
      <c r="F334" s="2" t="s">
        <v>139</v>
      </c>
      <c r="G334" s="2" t="s">
        <v>134</v>
      </c>
      <c r="H334" s="2">
        <v>60</v>
      </c>
      <c r="I334" s="2">
        <v>4741700</v>
      </c>
      <c r="J334" s="2">
        <v>7.61</v>
      </c>
      <c r="K334" s="2">
        <v>95262</v>
      </c>
      <c r="L334" s="2">
        <v>943309</v>
      </c>
      <c r="M334" s="2">
        <v>754</v>
      </c>
      <c r="N334" s="2" t="s">
        <v>160</v>
      </c>
      <c r="O334" s="2">
        <v>0.36</v>
      </c>
      <c r="P334" s="2">
        <v>0.76</v>
      </c>
      <c r="Q334" s="2">
        <v>6220900</v>
      </c>
      <c r="R334" s="2">
        <v>16</v>
      </c>
      <c r="S334" s="2">
        <v>1337033</v>
      </c>
      <c r="T334" s="2">
        <v>3597117</v>
      </c>
      <c r="U334" s="2">
        <v>0</v>
      </c>
      <c r="V334" s="2">
        <v>0</v>
      </c>
      <c r="W334" s="2">
        <v>0</v>
      </c>
      <c r="X334" s="30" t="s">
        <v>148</v>
      </c>
    </row>
    <row r="335" spans="1:24">
      <c r="A335" s="5" t="s">
        <v>820</v>
      </c>
      <c r="B335" s="2" t="s">
        <v>821</v>
      </c>
      <c r="C335" s="26">
        <v>45501</v>
      </c>
      <c r="D335" s="2" t="s">
        <v>169</v>
      </c>
      <c r="E335" s="2" t="s">
        <v>132</v>
      </c>
      <c r="F335" s="2" t="s">
        <v>133</v>
      </c>
      <c r="G335" s="2" t="s">
        <v>134</v>
      </c>
      <c r="H335" s="2">
        <v>72</v>
      </c>
      <c r="I335" s="2">
        <v>50000</v>
      </c>
      <c r="J335" s="2">
        <v>7</v>
      </c>
      <c r="K335" s="2">
        <v>852</v>
      </c>
      <c r="L335" s="2">
        <v>961495</v>
      </c>
      <c r="M335" s="2">
        <v>783</v>
      </c>
      <c r="N335" s="2" t="s">
        <v>160</v>
      </c>
      <c r="O335" s="2">
        <v>0.33</v>
      </c>
      <c r="P335" s="2">
        <v>0.95</v>
      </c>
      <c r="Q335" s="2">
        <v>52600</v>
      </c>
      <c r="R335" s="2">
        <v>17</v>
      </c>
      <c r="S335" s="2">
        <v>13835</v>
      </c>
      <c r="T335" s="2">
        <v>38148</v>
      </c>
      <c r="U335" s="2">
        <v>0</v>
      </c>
      <c r="V335" s="2">
        <v>0</v>
      </c>
      <c r="W335" s="2">
        <v>0</v>
      </c>
      <c r="X335" s="30" t="s">
        <v>148</v>
      </c>
    </row>
    <row r="336" spans="1:24">
      <c r="A336" s="5" t="s">
        <v>822</v>
      </c>
      <c r="B336" s="2" t="s">
        <v>823</v>
      </c>
      <c r="C336" s="26">
        <v>45549</v>
      </c>
      <c r="D336" s="2" t="s">
        <v>158</v>
      </c>
      <c r="E336" s="2" t="s">
        <v>132</v>
      </c>
      <c r="F336" s="2" t="s">
        <v>139</v>
      </c>
      <c r="G336" s="2" t="s">
        <v>134</v>
      </c>
      <c r="H336" s="2">
        <v>36</v>
      </c>
      <c r="I336" s="2">
        <v>2970700</v>
      </c>
      <c r="J336" s="2">
        <v>14.88</v>
      </c>
      <c r="K336" s="2">
        <v>102806</v>
      </c>
      <c r="L336" s="2">
        <v>1373576</v>
      </c>
      <c r="M336" s="2">
        <v>687</v>
      </c>
      <c r="N336" s="2" t="s">
        <v>140</v>
      </c>
      <c r="O336" s="2">
        <v>0.33</v>
      </c>
      <c r="P336" s="2">
        <v>0.87</v>
      </c>
      <c r="Q336" s="2">
        <v>3409500</v>
      </c>
      <c r="R336" s="2">
        <v>15</v>
      </c>
      <c r="S336" s="2">
        <v>1494654</v>
      </c>
      <c r="T336" s="2">
        <v>1697066</v>
      </c>
      <c r="U336" s="2">
        <v>0</v>
      </c>
      <c r="V336" s="2">
        <v>0</v>
      </c>
      <c r="W336" s="2">
        <v>0</v>
      </c>
      <c r="X336" s="30" t="s">
        <v>148</v>
      </c>
    </row>
    <row r="337" spans="1:24">
      <c r="A337" s="5" t="s">
        <v>824</v>
      </c>
      <c r="B337" s="2" t="s">
        <v>825</v>
      </c>
      <c r="C337" s="26">
        <v>45522</v>
      </c>
      <c r="D337" s="2" t="s">
        <v>177</v>
      </c>
      <c r="E337" s="2" t="s">
        <v>132</v>
      </c>
      <c r="F337" s="2" t="s">
        <v>133</v>
      </c>
      <c r="G337" s="2" t="s">
        <v>134</v>
      </c>
      <c r="H337" s="2">
        <v>48</v>
      </c>
      <c r="I337" s="2">
        <v>972300</v>
      </c>
      <c r="J337" s="2">
        <v>14.03</v>
      </c>
      <c r="K337" s="2">
        <v>26584</v>
      </c>
      <c r="L337" s="2">
        <v>254758</v>
      </c>
      <c r="M337" s="2">
        <v>673</v>
      </c>
      <c r="N337" s="2" t="s">
        <v>140</v>
      </c>
      <c r="O337" s="2">
        <v>0.32</v>
      </c>
      <c r="P337" s="2">
        <v>0.54</v>
      </c>
      <c r="Q337" s="2">
        <v>0</v>
      </c>
      <c r="R337" s="2">
        <v>16</v>
      </c>
      <c r="S337" s="2">
        <v>403274</v>
      </c>
      <c r="T337" s="2">
        <v>641780</v>
      </c>
      <c r="U337" s="2">
        <v>0</v>
      </c>
      <c r="V337" s="2">
        <v>0</v>
      </c>
      <c r="W337" s="2">
        <v>0</v>
      </c>
      <c r="X337" s="30" t="s">
        <v>148</v>
      </c>
    </row>
    <row r="338" spans="1:24">
      <c r="A338" s="5" t="s">
        <v>826</v>
      </c>
      <c r="B338" s="2" t="s">
        <v>827</v>
      </c>
      <c r="C338" s="26">
        <v>45496</v>
      </c>
      <c r="D338" s="2" t="s">
        <v>163</v>
      </c>
      <c r="E338" s="2" t="s">
        <v>213</v>
      </c>
      <c r="F338" s="2" t="s">
        <v>170</v>
      </c>
      <c r="G338" s="2" t="s">
        <v>134</v>
      </c>
      <c r="H338" s="2">
        <v>36</v>
      </c>
      <c r="I338" s="2">
        <v>1098500</v>
      </c>
      <c r="J338" s="2">
        <v>9.9700000000000006</v>
      </c>
      <c r="K338" s="2">
        <v>35430</v>
      </c>
      <c r="L338" s="2">
        <v>1283622</v>
      </c>
      <c r="M338" s="2">
        <v>740</v>
      </c>
      <c r="N338" s="2" t="s">
        <v>135</v>
      </c>
      <c r="O338" s="2">
        <v>0.31</v>
      </c>
      <c r="P338" s="2">
        <v>0.89</v>
      </c>
      <c r="Q338" s="2">
        <v>1240100</v>
      </c>
      <c r="R338" s="2">
        <v>17</v>
      </c>
      <c r="S338" s="2">
        <v>586662</v>
      </c>
      <c r="T338" s="2">
        <v>573900</v>
      </c>
      <c r="U338" s="2">
        <v>0</v>
      </c>
      <c r="V338" s="2">
        <v>0</v>
      </c>
      <c r="W338" s="2">
        <v>0</v>
      </c>
      <c r="X338" s="30" t="s">
        <v>148</v>
      </c>
    </row>
    <row r="339" spans="1:24">
      <c r="A339" s="5" t="s">
        <v>828</v>
      </c>
      <c r="B339" s="2" t="s">
        <v>829</v>
      </c>
      <c r="C339" s="26">
        <v>45490</v>
      </c>
      <c r="D339" s="2" t="s">
        <v>158</v>
      </c>
      <c r="E339" s="2" t="s">
        <v>144</v>
      </c>
      <c r="F339" s="2" t="s">
        <v>133</v>
      </c>
      <c r="G339" s="2" t="s">
        <v>134</v>
      </c>
      <c r="H339" s="2">
        <v>36</v>
      </c>
      <c r="I339" s="2">
        <v>2826200</v>
      </c>
      <c r="J339" s="2">
        <v>12.53</v>
      </c>
      <c r="K339" s="2">
        <v>94587</v>
      </c>
      <c r="L339" s="2">
        <v>964020</v>
      </c>
      <c r="M339" s="2">
        <v>740</v>
      </c>
      <c r="N339" s="2" t="s">
        <v>135</v>
      </c>
      <c r="O339" s="2">
        <v>0.31</v>
      </c>
      <c r="P339" s="2">
        <v>0.92</v>
      </c>
      <c r="Q339" s="2">
        <v>3058400</v>
      </c>
      <c r="R339" s="2">
        <v>17</v>
      </c>
      <c r="S339" s="2">
        <v>1521348</v>
      </c>
      <c r="T339" s="2">
        <v>1505522</v>
      </c>
      <c r="U339" s="2">
        <v>0</v>
      </c>
      <c r="V339" s="2">
        <v>0</v>
      </c>
      <c r="W339" s="2">
        <v>0</v>
      </c>
      <c r="X339" s="30" t="s">
        <v>148</v>
      </c>
    </row>
    <row r="340" spans="1:24">
      <c r="A340" s="5" t="s">
        <v>830</v>
      </c>
      <c r="B340" s="2" t="s">
        <v>831</v>
      </c>
      <c r="C340" s="26">
        <v>45491</v>
      </c>
      <c r="D340" s="2" t="s">
        <v>169</v>
      </c>
      <c r="E340" s="2" t="s">
        <v>132</v>
      </c>
      <c r="F340" s="2" t="s">
        <v>170</v>
      </c>
      <c r="G340" s="2" t="s">
        <v>152</v>
      </c>
      <c r="H340" s="2">
        <v>60</v>
      </c>
      <c r="I340" s="2">
        <v>8486900</v>
      </c>
      <c r="J340" s="2">
        <v>12.81</v>
      </c>
      <c r="K340" s="2">
        <v>192279</v>
      </c>
      <c r="L340" s="2">
        <v>752104</v>
      </c>
      <c r="M340" s="2">
        <v>648</v>
      </c>
      <c r="N340" s="2" t="s">
        <v>147</v>
      </c>
      <c r="O340" s="2">
        <v>0.3</v>
      </c>
      <c r="P340" s="2">
        <v>0.71</v>
      </c>
      <c r="Q340" s="2">
        <v>11942000</v>
      </c>
      <c r="R340" s="2">
        <v>17</v>
      </c>
      <c r="S340" s="2">
        <v>3082392</v>
      </c>
      <c r="T340" s="2">
        <v>6020572</v>
      </c>
      <c r="U340" s="2">
        <v>30</v>
      </c>
      <c r="V340" s="2">
        <v>0</v>
      </c>
      <c r="W340" s="2">
        <v>0</v>
      </c>
      <c r="X340" s="30" t="s">
        <v>136</v>
      </c>
    </row>
    <row r="341" spans="1:24">
      <c r="A341" s="5" t="s">
        <v>832</v>
      </c>
      <c r="B341" s="2" t="s">
        <v>833</v>
      </c>
      <c r="C341" s="26">
        <v>45560</v>
      </c>
      <c r="D341" s="2" t="s">
        <v>177</v>
      </c>
      <c r="E341" s="2" t="s">
        <v>144</v>
      </c>
      <c r="F341" s="2" t="s">
        <v>133</v>
      </c>
      <c r="G341" s="2" t="s">
        <v>134</v>
      </c>
      <c r="H341" s="2">
        <v>12</v>
      </c>
      <c r="I341" s="2">
        <v>843900</v>
      </c>
      <c r="J341" s="2">
        <v>11.57</v>
      </c>
      <c r="K341" s="2">
        <v>74810</v>
      </c>
      <c r="L341" s="2">
        <v>1580609</v>
      </c>
      <c r="M341" s="2">
        <v>694</v>
      </c>
      <c r="N341" s="2" t="s">
        <v>140</v>
      </c>
      <c r="O341" s="2">
        <v>0.28999999999999998</v>
      </c>
      <c r="P341" s="2">
        <v>0.63</v>
      </c>
      <c r="Q341" s="2">
        <v>0</v>
      </c>
      <c r="R341" s="2">
        <v>12</v>
      </c>
      <c r="S341" s="2">
        <v>790484</v>
      </c>
      <c r="T341" s="2">
        <v>92472</v>
      </c>
      <c r="U341" s="2">
        <v>0</v>
      </c>
      <c r="V341" s="2">
        <v>0</v>
      </c>
      <c r="W341" s="2">
        <v>0</v>
      </c>
      <c r="X341" s="30" t="s">
        <v>141</v>
      </c>
    </row>
    <row r="342" spans="1:24">
      <c r="A342" s="5" t="s">
        <v>834</v>
      </c>
      <c r="B342" s="2" t="s">
        <v>835</v>
      </c>
      <c r="C342" s="26">
        <v>45517</v>
      </c>
      <c r="D342" s="2" t="s">
        <v>131</v>
      </c>
      <c r="E342" s="2" t="s">
        <v>132</v>
      </c>
      <c r="F342" s="2" t="s">
        <v>170</v>
      </c>
      <c r="G342" s="2" t="s">
        <v>152</v>
      </c>
      <c r="H342" s="2">
        <v>12</v>
      </c>
      <c r="I342" s="2">
        <v>229200</v>
      </c>
      <c r="J342" s="2">
        <v>18.010000000000002</v>
      </c>
      <c r="K342" s="2">
        <v>21014</v>
      </c>
      <c r="L342" s="2">
        <v>1168084</v>
      </c>
      <c r="M342" s="2">
        <v>686</v>
      </c>
      <c r="N342" s="2" t="s">
        <v>140</v>
      </c>
      <c r="O342" s="2">
        <v>0.28999999999999998</v>
      </c>
      <c r="P342" s="2">
        <v>0.7</v>
      </c>
      <c r="Q342" s="2">
        <v>0</v>
      </c>
      <c r="R342" s="2">
        <v>12</v>
      </c>
      <c r="S342" s="2">
        <v>253417</v>
      </c>
      <c r="T342" s="2">
        <v>0</v>
      </c>
      <c r="U342" s="2">
        <v>0</v>
      </c>
      <c r="V342" s="2">
        <v>0</v>
      </c>
      <c r="W342" s="2">
        <v>0</v>
      </c>
      <c r="X342" s="30" t="s">
        <v>141</v>
      </c>
    </row>
    <row r="343" spans="1:24">
      <c r="A343" s="5" t="s">
        <v>836</v>
      </c>
      <c r="B343" s="2" t="s">
        <v>837</v>
      </c>
      <c r="C343" s="26">
        <v>45533</v>
      </c>
      <c r="D343" s="2" t="s">
        <v>131</v>
      </c>
      <c r="E343" s="2" t="s">
        <v>132</v>
      </c>
      <c r="F343" s="2" t="s">
        <v>151</v>
      </c>
      <c r="G343" s="2" t="s">
        <v>134</v>
      </c>
      <c r="H343" s="2">
        <v>180</v>
      </c>
      <c r="I343" s="2">
        <v>630700</v>
      </c>
      <c r="J343" s="2">
        <v>14.9</v>
      </c>
      <c r="K343" s="2">
        <v>8784</v>
      </c>
      <c r="L343" s="2">
        <v>1238704</v>
      </c>
      <c r="M343" s="2">
        <v>760</v>
      </c>
      <c r="N343" s="2" t="s">
        <v>160</v>
      </c>
      <c r="O343" s="2">
        <v>0.27</v>
      </c>
      <c r="P343" s="2">
        <v>0.56999999999999995</v>
      </c>
      <c r="Q343" s="2">
        <v>0</v>
      </c>
      <c r="R343" s="2">
        <v>16</v>
      </c>
      <c r="S343" s="2">
        <v>128064</v>
      </c>
      <c r="T343" s="2">
        <v>552756</v>
      </c>
      <c r="U343" s="2">
        <v>60</v>
      </c>
      <c r="V343" s="2">
        <v>0</v>
      </c>
      <c r="W343" s="2">
        <v>0</v>
      </c>
      <c r="X343" s="30" t="s">
        <v>136</v>
      </c>
    </row>
    <row r="344" spans="1:24">
      <c r="A344" s="5" t="s">
        <v>838</v>
      </c>
      <c r="B344" s="2" t="s">
        <v>839</v>
      </c>
      <c r="C344" s="26">
        <v>45530</v>
      </c>
      <c r="D344" s="2" t="s">
        <v>163</v>
      </c>
      <c r="E344" s="2" t="s">
        <v>144</v>
      </c>
      <c r="F344" s="2" t="s">
        <v>151</v>
      </c>
      <c r="G344" s="2" t="s">
        <v>134</v>
      </c>
      <c r="H344" s="2">
        <v>36</v>
      </c>
      <c r="I344" s="2">
        <v>709000</v>
      </c>
      <c r="J344" s="2">
        <v>14.09</v>
      </c>
      <c r="K344" s="2">
        <v>24263</v>
      </c>
      <c r="L344" s="2">
        <v>1126651</v>
      </c>
      <c r="M344" s="2">
        <v>635</v>
      </c>
      <c r="N344" s="2" t="s">
        <v>147</v>
      </c>
      <c r="O344" s="2">
        <v>0.23</v>
      </c>
      <c r="P344" s="2">
        <v>0.63</v>
      </c>
      <c r="Q344" s="2">
        <v>1125900</v>
      </c>
      <c r="R344" s="2">
        <v>16</v>
      </c>
      <c r="S344" s="2">
        <v>359040</v>
      </c>
      <c r="T344" s="2">
        <v>403239</v>
      </c>
      <c r="U344" s="2">
        <v>0</v>
      </c>
      <c r="V344" s="2">
        <v>1</v>
      </c>
      <c r="W344" s="2">
        <v>0</v>
      </c>
      <c r="X344" s="30" t="s">
        <v>141</v>
      </c>
    </row>
    <row r="345" spans="1:24">
      <c r="A345" s="5" t="s">
        <v>840</v>
      </c>
      <c r="B345" s="2" t="s">
        <v>841</v>
      </c>
      <c r="C345" s="26">
        <v>45491</v>
      </c>
      <c r="D345" s="2" t="s">
        <v>163</v>
      </c>
      <c r="E345" s="2" t="s">
        <v>213</v>
      </c>
      <c r="F345" s="2" t="s">
        <v>133</v>
      </c>
      <c r="G345" s="2" t="s">
        <v>134</v>
      </c>
      <c r="H345" s="2">
        <v>18</v>
      </c>
      <c r="I345" s="2">
        <v>725200</v>
      </c>
      <c r="J345" s="2">
        <v>7.94</v>
      </c>
      <c r="K345" s="2">
        <v>42869</v>
      </c>
      <c r="L345" s="2">
        <v>1037630</v>
      </c>
      <c r="M345" s="2">
        <v>757</v>
      </c>
      <c r="N345" s="2" t="s">
        <v>160</v>
      </c>
      <c r="O345" s="2">
        <v>0.19</v>
      </c>
      <c r="P345" s="2">
        <v>0.47</v>
      </c>
      <c r="Q345" s="2">
        <v>1527700</v>
      </c>
      <c r="R345" s="2">
        <v>17</v>
      </c>
      <c r="S345" s="2">
        <v>626866</v>
      </c>
      <c r="T345" s="2">
        <v>130963</v>
      </c>
      <c r="U345" s="2">
        <v>0</v>
      </c>
      <c r="V345" s="2">
        <v>0</v>
      </c>
      <c r="W345" s="2">
        <v>0</v>
      </c>
      <c r="X345" s="30" t="s">
        <v>148</v>
      </c>
    </row>
    <row r="346" spans="1:24">
      <c r="A346" s="5" t="s">
        <v>842</v>
      </c>
      <c r="B346" s="2" t="s">
        <v>843</v>
      </c>
      <c r="C346" s="26">
        <v>45497</v>
      </c>
      <c r="D346" s="2" t="s">
        <v>131</v>
      </c>
      <c r="E346" s="2" t="s">
        <v>213</v>
      </c>
      <c r="F346" s="2" t="s">
        <v>151</v>
      </c>
      <c r="G346" s="2" t="s">
        <v>152</v>
      </c>
      <c r="H346" s="2">
        <v>12</v>
      </c>
      <c r="I346" s="2">
        <v>604500</v>
      </c>
      <c r="J346" s="2">
        <v>20.12</v>
      </c>
      <c r="K346" s="2">
        <v>56032</v>
      </c>
      <c r="L346" s="2">
        <v>805018</v>
      </c>
      <c r="M346" s="2">
        <v>650</v>
      </c>
      <c r="N346" s="2" t="s">
        <v>140</v>
      </c>
      <c r="O346" s="2">
        <v>0.19</v>
      </c>
      <c r="P346" s="2">
        <v>0.61</v>
      </c>
      <c r="Q346" s="2">
        <v>0</v>
      </c>
      <c r="R346" s="2">
        <v>12</v>
      </c>
      <c r="S346" s="2">
        <v>626787</v>
      </c>
      <c r="T346" s="2">
        <v>26363</v>
      </c>
      <c r="U346" s="2">
        <v>0</v>
      </c>
      <c r="V346" s="2">
        <v>0</v>
      </c>
      <c r="W346" s="2">
        <v>0</v>
      </c>
      <c r="X346" s="30" t="s">
        <v>141</v>
      </c>
    </row>
    <row r="347" spans="1:24">
      <c r="A347" s="5" t="s">
        <v>844</v>
      </c>
      <c r="B347" s="2" t="s">
        <v>845</v>
      </c>
      <c r="C347" s="26">
        <v>45478</v>
      </c>
      <c r="D347" s="2" t="s">
        <v>169</v>
      </c>
      <c r="E347" s="2" t="s">
        <v>132</v>
      </c>
      <c r="F347" s="2" t="s">
        <v>139</v>
      </c>
      <c r="G347" s="2" t="s">
        <v>134</v>
      </c>
      <c r="H347" s="2">
        <v>240</v>
      </c>
      <c r="I347" s="2">
        <v>5013400</v>
      </c>
      <c r="J347" s="2">
        <v>11.43</v>
      </c>
      <c r="K347" s="2">
        <v>53223</v>
      </c>
      <c r="L347" s="2">
        <v>1497369</v>
      </c>
      <c r="M347" s="2">
        <v>667</v>
      </c>
      <c r="N347" s="2" t="s">
        <v>140</v>
      </c>
      <c r="O347" s="2">
        <v>0.15</v>
      </c>
      <c r="P347" s="2">
        <v>0.77</v>
      </c>
      <c r="Q347" s="2">
        <v>6482800</v>
      </c>
      <c r="R347" s="2">
        <v>17</v>
      </c>
      <c r="S347" s="2">
        <v>896777</v>
      </c>
      <c r="T347" s="2">
        <v>4441341</v>
      </c>
      <c r="U347" s="2">
        <v>0</v>
      </c>
      <c r="V347" s="2">
        <v>0</v>
      </c>
      <c r="W347" s="2">
        <v>0</v>
      </c>
      <c r="X347" s="30" t="s">
        <v>148</v>
      </c>
    </row>
    <row r="348" spans="1:24">
      <c r="A348" s="5" t="s">
        <v>846</v>
      </c>
      <c r="B348" s="2" t="s">
        <v>847</v>
      </c>
      <c r="C348" s="26">
        <v>45562</v>
      </c>
      <c r="D348" s="2" t="s">
        <v>131</v>
      </c>
      <c r="E348" s="2" t="s">
        <v>213</v>
      </c>
      <c r="F348" s="2" t="s">
        <v>133</v>
      </c>
      <c r="G348" s="2" t="s">
        <v>134</v>
      </c>
      <c r="H348" s="2">
        <v>72</v>
      </c>
      <c r="I348" s="2">
        <v>431000</v>
      </c>
      <c r="J348" s="2">
        <v>19.829999999999998</v>
      </c>
      <c r="K348" s="2">
        <v>10281</v>
      </c>
      <c r="L348" s="2">
        <v>1266118</v>
      </c>
      <c r="M348" s="2">
        <v>635</v>
      </c>
      <c r="N348" s="2" t="s">
        <v>147</v>
      </c>
      <c r="O348" s="2">
        <v>0.12</v>
      </c>
      <c r="P348" s="2">
        <v>0.77</v>
      </c>
      <c r="Q348" s="2">
        <v>0</v>
      </c>
      <c r="R348" s="2">
        <v>15</v>
      </c>
      <c r="S348" s="2">
        <v>132918</v>
      </c>
      <c r="T348" s="2">
        <v>340816</v>
      </c>
      <c r="U348" s="2">
        <v>30</v>
      </c>
      <c r="V348" s="2">
        <v>0</v>
      </c>
      <c r="W348" s="2">
        <v>0</v>
      </c>
      <c r="X348" s="30" t="s">
        <v>136</v>
      </c>
    </row>
    <row r="349" spans="1:24">
      <c r="A349" s="5" t="s">
        <v>848</v>
      </c>
      <c r="B349" s="2" t="s">
        <v>849</v>
      </c>
      <c r="C349" s="26">
        <v>45520</v>
      </c>
      <c r="D349" s="2" t="s">
        <v>163</v>
      </c>
      <c r="E349" s="2" t="s">
        <v>132</v>
      </c>
      <c r="F349" s="2" t="s">
        <v>133</v>
      </c>
      <c r="G349" s="2" t="s">
        <v>134</v>
      </c>
      <c r="H349" s="2">
        <v>60</v>
      </c>
      <c r="I349" s="2">
        <v>959000</v>
      </c>
      <c r="J349" s="2">
        <v>13.2</v>
      </c>
      <c r="K349" s="2">
        <v>21919</v>
      </c>
      <c r="L349" s="2">
        <v>1033445</v>
      </c>
      <c r="M349" s="2">
        <v>634</v>
      </c>
      <c r="N349" s="2" t="s">
        <v>147</v>
      </c>
      <c r="O349" s="2">
        <v>0.09</v>
      </c>
      <c r="P349" s="2">
        <v>0.63</v>
      </c>
      <c r="Q349" s="2">
        <v>1515500</v>
      </c>
      <c r="R349" s="2">
        <v>16</v>
      </c>
      <c r="S349" s="2">
        <v>354264</v>
      </c>
      <c r="T349" s="2">
        <v>672250</v>
      </c>
      <c r="U349" s="2">
        <v>0</v>
      </c>
      <c r="V349" s="2">
        <v>0</v>
      </c>
      <c r="W349" s="2">
        <v>0</v>
      </c>
      <c r="X349" s="30" t="s">
        <v>148</v>
      </c>
    </row>
    <row r="350" spans="1:24">
      <c r="A350" s="5" t="s">
        <v>850</v>
      </c>
      <c r="B350" s="2" t="s">
        <v>851</v>
      </c>
      <c r="C350" s="26">
        <v>45888</v>
      </c>
      <c r="D350" s="2" t="s">
        <v>163</v>
      </c>
      <c r="E350" s="2" t="s">
        <v>132</v>
      </c>
      <c r="F350" s="2" t="s">
        <v>151</v>
      </c>
      <c r="G350" s="2" t="s">
        <v>134</v>
      </c>
      <c r="H350" s="2">
        <v>120</v>
      </c>
      <c r="I350" s="2">
        <v>1388000</v>
      </c>
      <c r="J350" s="2">
        <v>10.56</v>
      </c>
      <c r="K350" s="2">
        <v>18776</v>
      </c>
      <c r="L350" s="2">
        <v>845703</v>
      </c>
      <c r="M350" s="2">
        <v>726</v>
      </c>
      <c r="N350" s="2" t="s">
        <v>135</v>
      </c>
      <c r="O350" s="2">
        <v>0.56000000000000005</v>
      </c>
      <c r="P350" s="2">
        <v>0.73</v>
      </c>
      <c r="Q350" s="2">
        <v>1905200</v>
      </c>
      <c r="R350" s="2">
        <v>4</v>
      </c>
      <c r="S350" s="2">
        <v>71356</v>
      </c>
      <c r="T350" s="2">
        <v>1336187</v>
      </c>
      <c r="U350" s="2">
        <v>0</v>
      </c>
      <c r="V350" s="2">
        <v>1</v>
      </c>
      <c r="W350" s="2">
        <v>0</v>
      </c>
      <c r="X350" s="30" t="s">
        <v>141</v>
      </c>
    </row>
    <row r="351" spans="1:24">
      <c r="A351" s="5" t="s">
        <v>852</v>
      </c>
      <c r="B351" s="2" t="s">
        <v>853</v>
      </c>
      <c r="C351" s="26">
        <v>45876</v>
      </c>
      <c r="D351" s="2" t="s">
        <v>177</v>
      </c>
      <c r="E351" s="2" t="s">
        <v>144</v>
      </c>
      <c r="F351" s="2" t="s">
        <v>133</v>
      </c>
      <c r="G351" s="2" t="s">
        <v>134</v>
      </c>
      <c r="H351" s="2">
        <v>24</v>
      </c>
      <c r="I351" s="2">
        <v>1565900</v>
      </c>
      <c r="J351" s="2">
        <v>11.5</v>
      </c>
      <c r="K351" s="2">
        <v>73347</v>
      </c>
      <c r="L351" s="2">
        <v>790838</v>
      </c>
      <c r="M351" s="2">
        <v>722</v>
      </c>
      <c r="N351" s="2" t="s">
        <v>135</v>
      </c>
      <c r="O351" s="2">
        <v>0.51</v>
      </c>
      <c r="P351" s="2">
        <v>0.72</v>
      </c>
      <c r="Q351" s="2">
        <v>0</v>
      </c>
      <c r="R351" s="2">
        <v>4</v>
      </c>
      <c r="S351" s="2">
        <v>266058</v>
      </c>
      <c r="T351" s="2">
        <v>1323852</v>
      </c>
      <c r="U351" s="2">
        <v>45</v>
      </c>
      <c r="V351" s="2">
        <v>0</v>
      </c>
      <c r="W351" s="2">
        <v>0</v>
      </c>
      <c r="X351" s="30" t="s">
        <v>136</v>
      </c>
    </row>
    <row r="352" spans="1:24">
      <c r="A352" s="5" t="s">
        <v>854</v>
      </c>
      <c r="B352" s="2" t="s">
        <v>855</v>
      </c>
      <c r="C352" s="26">
        <v>45928</v>
      </c>
      <c r="D352" s="2" t="s">
        <v>163</v>
      </c>
      <c r="E352" s="2" t="s">
        <v>132</v>
      </c>
      <c r="F352" s="2" t="s">
        <v>133</v>
      </c>
      <c r="G352" s="2" t="s">
        <v>152</v>
      </c>
      <c r="H352" s="2">
        <v>360</v>
      </c>
      <c r="I352" s="2">
        <v>1174400</v>
      </c>
      <c r="J352" s="2">
        <v>13.85</v>
      </c>
      <c r="K352" s="2">
        <v>13776</v>
      </c>
      <c r="L352" s="2">
        <v>1299284</v>
      </c>
      <c r="M352" s="2">
        <v>647</v>
      </c>
      <c r="N352" s="2" t="s">
        <v>147</v>
      </c>
      <c r="O352" s="2">
        <v>0.47</v>
      </c>
      <c r="P352" s="2">
        <v>0.65</v>
      </c>
      <c r="Q352" s="2">
        <v>1806700</v>
      </c>
      <c r="R352" s="2">
        <v>3</v>
      </c>
      <c r="S352" s="2">
        <v>42017</v>
      </c>
      <c r="T352" s="2">
        <v>1148648</v>
      </c>
      <c r="U352" s="2">
        <v>10</v>
      </c>
      <c r="V352" s="2">
        <v>0</v>
      </c>
      <c r="W352" s="2">
        <v>0</v>
      </c>
      <c r="X352" s="30" t="s">
        <v>148</v>
      </c>
    </row>
    <row r="353" spans="1:24">
      <c r="A353" s="5" t="s">
        <v>856</v>
      </c>
      <c r="B353" s="2" t="s">
        <v>857</v>
      </c>
      <c r="C353" s="26">
        <v>45907</v>
      </c>
      <c r="D353" s="2" t="s">
        <v>163</v>
      </c>
      <c r="E353" s="2" t="s">
        <v>144</v>
      </c>
      <c r="F353" s="2" t="s">
        <v>145</v>
      </c>
      <c r="G353" s="2" t="s">
        <v>152</v>
      </c>
      <c r="H353" s="2">
        <v>120</v>
      </c>
      <c r="I353" s="2">
        <v>1203000</v>
      </c>
      <c r="J353" s="2">
        <v>15.32</v>
      </c>
      <c r="K353" s="2">
        <v>19645</v>
      </c>
      <c r="L353" s="2">
        <v>748230</v>
      </c>
      <c r="M353" s="2">
        <v>631</v>
      </c>
      <c r="N353" s="2" t="s">
        <v>147</v>
      </c>
      <c r="O353" s="2">
        <v>0.44</v>
      </c>
      <c r="P353" s="2">
        <v>0.79</v>
      </c>
      <c r="Q353" s="2">
        <v>1519200</v>
      </c>
      <c r="R353" s="2">
        <v>3</v>
      </c>
      <c r="S353" s="2">
        <v>51015</v>
      </c>
      <c r="T353" s="2">
        <v>1170415</v>
      </c>
      <c r="U353" s="2">
        <v>0</v>
      </c>
      <c r="V353" s="2">
        <v>0</v>
      </c>
      <c r="W353" s="2">
        <v>0</v>
      </c>
      <c r="X353" s="30" t="s">
        <v>148</v>
      </c>
    </row>
    <row r="354" spans="1:24">
      <c r="A354" s="5" t="s">
        <v>858</v>
      </c>
      <c r="B354" s="2" t="s">
        <v>859</v>
      </c>
      <c r="C354" s="26">
        <v>45842</v>
      </c>
      <c r="D354" s="2" t="s">
        <v>163</v>
      </c>
      <c r="E354" s="2" t="s">
        <v>144</v>
      </c>
      <c r="F354" s="2" t="s">
        <v>139</v>
      </c>
      <c r="G354" s="2" t="s">
        <v>134</v>
      </c>
      <c r="H354" s="2">
        <v>18</v>
      </c>
      <c r="I354" s="2">
        <v>1182600</v>
      </c>
      <c r="J354" s="2">
        <v>16.7</v>
      </c>
      <c r="K354" s="2">
        <v>74726</v>
      </c>
      <c r="L354" s="2">
        <v>735547</v>
      </c>
      <c r="M354" s="2">
        <v>602</v>
      </c>
      <c r="N354" s="2" t="s">
        <v>147</v>
      </c>
      <c r="O354" s="2">
        <v>0.43</v>
      </c>
      <c r="P354" s="2">
        <v>0.81</v>
      </c>
      <c r="Q354" s="2">
        <v>1468900</v>
      </c>
      <c r="R354" s="2">
        <v>5</v>
      </c>
      <c r="S354" s="2">
        <v>328424</v>
      </c>
      <c r="T354" s="2">
        <v>887092</v>
      </c>
      <c r="U354" s="2">
        <v>0</v>
      </c>
      <c r="V354" s="2">
        <v>1</v>
      </c>
      <c r="W354" s="2">
        <v>0</v>
      </c>
      <c r="X354" s="30" t="s">
        <v>141</v>
      </c>
    </row>
    <row r="355" spans="1:24">
      <c r="A355" s="5" t="s">
        <v>860</v>
      </c>
      <c r="B355" s="2" t="s">
        <v>861</v>
      </c>
      <c r="C355" s="26">
        <v>45894</v>
      </c>
      <c r="D355" s="2" t="s">
        <v>131</v>
      </c>
      <c r="E355" s="2" t="s">
        <v>132</v>
      </c>
      <c r="F355" s="2" t="s">
        <v>151</v>
      </c>
      <c r="G355" s="2" t="s">
        <v>134</v>
      </c>
      <c r="H355" s="2">
        <v>240</v>
      </c>
      <c r="I355" s="2">
        <v>359200</v>
      </c>
      <c r="J355" s="2">
        <v>21.21</v>
      </c>
      <c r="K355" s="2">
        <v>6445</v>
      </c>
      <c r="L355" s="2">
        <v>940227</v>
      </c>
      <c r="M355" s="2">
        <v>604</v>
      </c>
      <c r="N355" s="2" t="s">
        <v>147</v>
      </c>
      <c r="O355" s="2">
        <v>0.41</v>
      </c>
      <c r="P355" s="2">
        <v>0.9</v>
      </c>
      <c r="Q355" s="2">
        <v>0</v>
      </c>
      <c r="R355" s="2">
        <v>4</v>
      </c>
      <c r="S355" s="2">
        <v>26055</v>
      </c>
      <c r="T355" s="2">
        <v>343303</v>
      </c>
      <c r="U355" s="2">
        <v>0</v>
      </c>
      <c r="V355" s="2">
        <v>0</v>
      </c>
      <c r="W355" s="2">
        <v>0</v>
      </c>
      <c r="X355" s="30" t="s">
        <v>148</v>
      </c>
    </row>
    <row r="356" spans="1:24">
      <c r="A356" s="5" t="s">
        <v>862</v>
      </c>
      <c r="B356" s="2" t="s">
        <v>863</v>
      </c>
      <c r="C356" s="26">
        <v>45885</v>
      </c>
      <c r="D356" s="2" t="s">
        <v>131</v>
      </c>
      <c r="E356" s="2" t="s">
        <v>159</v>
      </c>
      <c r="F356" s="2" t="s">
        <v>139</v>
      </c>
      <c r="G356" s="2" t="s">
        <v>134</v>
      </c>
      <c r="H356" s="2">
        <v>18</v>
      </c>
      <c r="I356" s="2">
        <v>279300</v>
      </c>
      <c r="J356" s="2">
        <v>9.33</v>
      </c>
      <c r="K356" s="2">
        <v>16688</v>
      </c>
      <c r="L356" s="2">
        <v>689489</v>
      </c>
      <c r="M356" s="2">
        <v>843</v>
      </c>
      <c r="N356" s="2" t="s">
        <v>160</v>
      </c>
      <c r="O356" s="2">
        <v>0.38</v>
      </c>
      <c r="P356" s="2">
        <v>0.79</v>
      </c>
      <c r="Q356" s="2">
        <v>0</v>
      </c>
      <c r="R356" s="2">
        <v>4</v>
      </c>
      <c r="S356" s="2">
        <v>60345</v>
      </c>
      <c r="T356" s="2">
        <v>222429</v>
      </c>
      <c r="U356" s="2">
        <v>0</v>
      </c>
      <c r="V356" s="2">
        <v>0</v>
      </c>
      <c r="W356" s="2">
        <v>0</v>
      </c>
      <c r="X356" s="30" t="s">
        <v>148</v>
      </c>
    </row>
    <row r="357" spans="1:24">
      <c r="A357" s="5" t="s">
        <v>864</v>
      </c>
      <c r="B357" s="2" t="s">
        <v>865</v>
      </c>
      <c r="C357" s="26">
        <v>45852</v>
      </c>
      <c r="D357" s="2" t="s">
        <v>158</v>
      </c>
      <c r="E357" s="2" t="s">
        <v>132</v>
      </c>
      <c r="F357" s="2" t="s">
        <v>139</v>
      </c>
      <c r="G357" s="2" t="s">
        <v>152</v>
      </c>
      <c r="H357" s="2">
        <v>24</v>
      </c>
      <c r="I357" s="2">
        <v>2723000</v>
      </c>
      <c r="J357" s="2">
        <v>18.82</v>
      </c>
      <c r="K357" s="2">
        <v>137025</v>
      </c>
      <c r="L357" s="2">
        <v>1162552</v>
      </c>
      <c r="M357" s="2">
        <v>633</v>
      </c>
      <c r="N357" s="2" t="s">
        <v>147</v>
      </c>
      <c r="O357" s="2">
        <v>0.37</v>
      </c>
      <c r="P357" s="2">
        <v>0.94</v>
      </c>
      <c r="Q357" s="2">
        <v>2907800</v>
      </c>
      <c r="R357" s="2">
        <v>5</v>
      </c>
      <c r="S357" s="2">
        <v>651922</v>
      </c>
      <c r="T357" s="2">
        <v>2156489</v>
      </c>
      <c r="U357" s="2">
        <v>30</v>
      </c>
      <c r="V357" s="2">
        <v>0</v>
      </c>
      <c r="W357" s="2">
        <v>0</v>
      </c>
      <c r="X357" s="30" t="s">
        <v>136</v>
      </c>
    </row>
    <row r="358" spans="1:24">
      <c r="A358" s="5" t="s">
        <v>866</v>
      </c>
      <c r="B358" s="2" t="s">
        <v>867</v>
      </c>
      <c r="C358" s="26">
        <v>45844</v>
      </c>
      <c r="D358" s="2" t="s">
        <v>158</v>
      </c>
      <c r="E358" s="2" t="s">
        <v>132</v>
      </c>
      <c r="F358" s="2" t="s">
        <v>151</v>
      </c>
      <c r="G358" s="2" t="s">
        <v>152</v>
      </c>
      <c r="H358" s="2">
        <v>48</v>
      </c>
      <c r="I358" s="2">
        <v>5442100</v>
      </c>
      <c r="J358" s="2">
        <v>14.48</v>
      </c>
      <c r="K358" s="2">
        <v>150027</v>
      </c>
      <c r="L358" s="2">
        <v>1573574</v>
      </c>
      <c r="M358" s="2">
        <v>694</v>
      </c>
      <c r="N358" s="2" t="s">
        <v>140</v>
      </c>
      <c r="O358" s="2">
        <v>0.35</v>
      </c>
      <c r="P358" s="2">
        <v>0.8</v>
      </c>
      <c r="Q358" s="2">
        <v>6791100</v>
      </c>
      <c r="R358" s="2">
        <v>5</v>
      </c>
      <c r="S358" s="2">
        <v>683704</v>
      </c>
      <c r="T358" s="2">
        <v>4889732</v>
      </c>
      <c r="U358" s="2">
        <v>60</v>
      </c>
      <c r="V358" s="2">
        <v>0</v>
      </c>
      <c r="W358" s="2">
        <v>0</v>
      </c>
      <c r="X358" s="30" t="s">
        <v>136</v>
      </c>
    </row>
    <row r="359" spans="1:24">
      <c r="A359" s="5" t="s">
        <v>868</v>
      </c>
      <c r="B359" s="2" t="s">
        <v>869</v>
      </c>
      <c r="C359" s="26">
        <v>45853</v>
      </c>
      <c r="D359" s="2" t="s">
        <v>158</v>
      </c>
      <c r="E359" s="2" t="s">
        <v>213</v>
      </c>
      <c r="F359" s="2" t="s">
        <v>133</v>
      </c>
      <c r="G359" s="2" t="s">
        <v>146</v>
      </c>
      <c r="H359" s="2">
        <v>24</v>
      </c>
      <c r="I359" s="2">
        <v>2819600</v>
      </c>
      <c r="J359" s="2">
        <v>14.5</v>
      </c>
      <c r="K359" s="2">
        <v>136044</v>
      </c>
      <c r="L359" s="2">
        <v>1737437</v>
      </c>
      <c r="M359" s="2">
        <v>706</v>
      </c>
      <c r="N359" s="2" t="s">
        <v>135</v>
      </c>
      <c r="O359" s="2">
        <v>0.33</v>
      </c>
      <c r="P359" s="2">
        <v>0.51</v>
      </c>
      <c r="Q359" s="2">
        <v>5478500</v>
      </c>
      <c r="R359" s="2">
        <v>5</v>
      </c>
      <c r="S359" s="2">
        <v>617220</v>
      </c>
      <c r="T359" s="2">
        <v>2270520</v>
      </c>
      <c r="U359" s="2">
        <v>0</v>
      </c>
      <c r="V359" s="2">
        <v>0</v>
      </c>
      <c r="W359" s="2">
        <v>0</v>
      </c>
      <c r="X359" s="30" t="s">
        <v>148</v>
      </c>
    </row>
    <row r="360" spans="1:24">
      <c r="A360" s="5" t="s">
        <v>870</v>
      </c>
      <c r="B360" s="2" t="s">
        <v>871</v>
      </c>
      <c r="C360" s="26">
        <v>45879</v>
      </c>
      <c r="D360" s="2" t="s">
        <v>169</v>
      </c>
      <c r="E360" s="2" t="s">
        <v>159</v>
      </c>
      <c r="F360" s="2" t="s">
        <v>133</v>
      </c>
      <c r="G360" s="2" t="s">
        <v>152</v>
      </c>
      <c r="H360" s="2">
        <v>48</v>
      </c>
      <c r="I360" s="2">
        <v>4970700</v>
      </c>
      <c r="J360" s="2">
        <v>7.44</v>
      </c>
      <c r="K360" s="2">
        <v>120047</v>
      </c>
      <c r="L360" s="2">
        <v>1186686</v>
      </c>
      <c r="M360" s="2">
        <v>766</v>
      </c>
      <c r="N360" s="2" t="s">
        <v>160</v>
      </c>
      <c r="O360" s="2">
        <v>0.32</v>
      </c>
      <c r="P360" s="2">
        <v>0.73</v>
      </c>
      <c r="Q360" s="2">
        <v>6764800</v>
      </c>
      <c r="R360" s="2">
        <v>4</v>
      </c>
      <c r="S360" s="2">
        <v>408370</v>
      </c>
      <c r="T360" s="2">
        <v>4611639</v>
      </c>
      <c r="U360" s="2">
        <v>0</v>
      </c>
      <c r="V360" s="2">
        <v>0</v>
      </c>
      <c r="W360" s="2">
        <v>0</v>
      </c>
      <c r="X360" s="30" t="s">
        <v>148</v>
      </c>
    </row>
    <row r="361" spans="1:24">
      <c r="A361" s="5" t="s">
        <v>872</v>
      </c>
      <c r="B361" s="2" t="s">
        <v>873</v>
      </c>
      <c r="C361" s="26">
        <v>45925</v>
      </c>
      <c r="D361" s="2" t="s">
        <v>131</v>
      </c>
      <c r="E361" s="2" t="s">
        <v>144</v>
      </c>
      <c r="F361" s="2" t="s">
        <v>151</v>
      </c>
      <c r="G361" s="2" t="s">
        <v>152</v>
      </c>
      <c r="H361" s="2">
        <v>72</v>
      </c>
      <c r="I361" s="2">
        <v>485500</v>
      </c>
      <c r="J361" s="2">
        <v>15.82</v>
      </c>
      <c r="K361" s="2">
        <v>10483</v>
      </c>
      <c r="L361" s="2">
        <v>873831</v>
      </c>
      <c r="M361" s="2">
        <v>736</v>
      </c>
      <c r="N361" s="2" t="s">
        <v>135</v>
      </c>
      <c r="O361" s="2">
        <v>0.3</v>
      </c>
      <c r="P361" s="2">
        <v>0.81</v>
      </c>
      <c r="Q361" s="2">
        <v>0</v>
      </c>
      <c r="R361" s="2">
        <v>3</v>
      </c>
      <c r="S361" s="2">
        <v>31856</v>
      </c>
      <c r="T361" s="2">
        <v>461325</v>
      </c>
      <c r="U361" s="2">
        <v>90</v>
      </c>
      <c r="V361" s="2">
        <v>0</v>
      </c>
      <c r="W361" s="2">
        <v>1</v>
      </c>
      <c r="X361" s="30" t="s">
        <v>153</v>
      </c>
    </row>
    <row r="362" spans="1:24">
      <c r="A362" s="5" t="s">
        <v>874</v>
      </c>
      <c r="B362" s="2" t="s">
        <v>875</v>
      </c>
      <c r="C362" s="26">
        <v>45884</v>
      </c>
      <c r="D362" s="2" t="s">
        <v>169</v>
      </c>
      <c r="E362" s="2" t="s">
        <v>132</v>
      </c>
      <c r="F362" s="2" t="s">
        <v>145</v>
      </c>
      <c r="G362" s="2" t="s">
        <v>146</v>
      </c>
      <c r="H362" s="2">
        <v>48</v>
      </c>
      <c r="I362" s="2">
        <v>5399800</v>
      </c>
      <c r="J362" s="2">
        <v>11.23</v>
      </c>
      <c r="K362" s="2">
        <v>140165</v>
      </c>
      <c r="L362" s="2">
        <v>838325</v>
      </c>
      <c r="M362" s="2">
        <v>668</v>
      </c>
      <c r="N362" s="2" t="s">
        <v>140</v>
      </c>
      <c r="O362" s="2">
        <v>0.28999999999999998</v>
      </c>
      <c r="P362" s="2">
        <v>0.71</v>
      </c>
      <c r="Q362" s="2">
        <v>7642500</v>
      </c>
      <c r="R362" s="2">
        <v>4</v>
      </c>
      <c r="S362" s="2">
        <v>563369</v>
      </c>
      <c r="T362" s="2">
        <v>4917284</v>
      </c>
      <c r="U362" s="2">
        <v>0</v>
      </c>
      <c r="V362" s="2">
        <v>0</v>
      </c>
      <c r="W362" s="2">
        <v>0</v>
      </c>
      <c r="X362" s="30" t="s">
        <v>148</v>
      </c>
    </row>
    <row r="363" spans="1:24">
      <c r="A363" s="5" t="s">
        <v>876</v>
      </c>
      <c r="B363" s="2" t="s">
        <v>877</v>
      </c>
      <c r="C363" s="26">
        <v>45873</v>
      </c>
      <c r="D363" s="2" t="s">
        <v>169</v>
      </c>
      <c r="E363" s="2" t="s">
        <v>132</v>
      </c>
      <c r="F363" s="2" t="s">
        <v>170</v>
      </c>
      <c r="G363" s="2" t="s">
        <v>134</v>
      </c>
      <c r="H363" s="2">
        <v>18</v>
      </c>
      <c r="I363" s="2">
        <v>3115400</v>
      </c>
      <c r="J363" s="2">
        <v>8.2799999999999994</v>
      </c>
      <c r="K363" s="2">
        <v>184644</v>
      </c>
      <c r="L363" s="2">
        <v>762721</v>
      </c>
      <c r="M363" s="2">
        <v>741</v>
      </c>
      <c r="N363" s="2" t="s">
        <v>135</v>
      </c>
      <c r="O363" s="2">
        <v>0.26</v>
      </c>
      <c r="P363" s="2">
        <v>0.81</v>
      </c>
      <c r="Q363" s="2">
        <v>3840800</v>
      </c>
      <c r="R363" s="2">
        <v>4</v>
      </c>
      <c r="S363" s="2">
        <v>661833</v>
      </c>
      <c r="T363" s="2">
        <v>2487961</v>
      </c>
      <c r="U363" s="2">
        <v>0</v>
      </c>
      <c r="V363" s="2">
        <v>0</v>
      </c>
      <c r="W363" s="2">
        <v>0</v>
      </c>
      <c r="X363" s="30" t="s">
        <v>148</v>
      </c>
    </row>
    <row r="364" spans="1:24">
      <c r="A364" s="5" t="s">
        <v>878</v>
      </c>
      <c r="B364" s="2" t="s">
        <v>879</v>
      </c>
      <c r="C364" s="26">
        <v>45852</v>
      </c>
      <c r="D364" s="2" t="s">
        <v>158</v>
      </c>
      <c r="E364" s="2" t="s">
        <v>144</v>
      </c>
      <c r="F364" s="2" t="s">
        <v>151</v>
      </c>
      <c r="G364" s="2" t="s">
        <v>134</v>
      </c>
      <c r="H364" s="2">
        <v>360</v>
      </c>
      <c r="I364" s="2">
        <v>3380200</v>
      </c>
      <c r="J364" s="2">
        <v>16.43</v>
      </c>
      <c r="K364" s="2">
        <v>46629</v>
      </c>
      <c r="L364" s="2">
        <v>1535784</v>
      </c>
      <c r="M364" s="2">
        <v>684</v>
      </c>
      <c r="N364" s="2" t="s">
        <v>140</v>
      </c>
      <c r="O364" s="2">
        <v>0.26</v>
      </c>
      <c r="P364" s="2">
        <v>0.78</v>
      </c>
      <c r="Q364" s="2">
        <v>4319400</v>
      </c>
      <c r="R364" s="2">
        <v>5</v>
      </c>
      <c r="S364" s="2">
        <v>228756</v>
      </c>
      <c r="T364" s="2">
        <v>3244005</v>
      </c>
      <c r="U364" s="2">
        <v>0</v>
      </c>
      <c r="V364" s="2">
        <v>0</v>
      </c>
      <c r="W364" s="2">
        <v>0</v>
      </c>
      <c r="X364" s="30" t="s">
        <v>148</v>
      </c>
    </row>
    <row r="365" spans="1:24">
      <c r="A365" s="5" t="s">
        <v>880</v>
      </c>
      <c r="B365" s="2" t="s">
        <v>881</v>
      </c>
      <c r="C365" s="26">
        <v>45862</v>
      </c>
      <c r="D365" s="2" t="s">
        <v>131</v>
      </c>
      <c r="E365" s="2" t="s">
        <v>144</v>
      </c>
      <c r="F365" s="2" t="s">
        <v>133</v>
      </c>
      <c r="G365" s="2" t="s">
        <v>134</v>
      </c>
      <c r="H365" s="2">
        <v>24</v>
      </c>
      <c r="I365" s="2">
        <v>434200</v>
      </c>
      <c r="J365" s="2">
        <v>20.12</v>
      </c>
      <c r="K365" s="2">
        <v>22124</v>
      </c>
      <c r="L365" s="2">
        <v>1000412</v>
      </c>
      <c r="M365" s="2">
        <v>647</v>
      </c>
      <c r="N365" s="2" t="s">
        <v>147</v>
      </c>
      <c r="O365" s="2">
        <v>0.25</v>
      </c>
      <c r="P365" s="2">
        <v>0.85</v>
      </c>
      <c r="Q365" s="2">
        <v>0</v>
      </c>
      <c r="R365" s="2">
        <v>5</v>
      </c>
      <c r="S365" s="2">
        <v>98220</v>
      </c>
      <c r="T365" s="2">
        <v>350540</v>
      </c>
      <c r="U365" s="2">
        <v>0</v>
      </c>
      <c r="V365" s="2">
        <v>0</v>
      </c>
      <c r="W365" s="2">
        <v>0</v>
      </c>
      <c r="X365" s="30" t="s">
        <v>148</v>
      </c>
    </row>
    <row r="366" spans="1:24">
      <c r="A366" s="5" t="s">
        <v>882</v>
      </c>
      <c r="B366" s="2" t="s">
        <v>883</v>
      </c>
      <c r="C366" s="26">
        <v>45922</v>
      </c>
      <c r="D366" s="2" t="s">
        <v>163</v>
      </c>
      <c r="E366" s="2" t="s">
        <v>132</v>
      </c>
      <c r="F366" s="2" t="s">
        <v>133</v>
      </c>
      <c r="G366" s="2" t="s">
        <v>134</v>
      </c>
      <c r="H366" s="2">
        <v>72</v>
      </c>
      <c r="I366" s="2">
        <v>812300</v>
      </c>
      <c r="J366" s="2">
        <v>10.34</v>
      </c>
      <c r="K366" s="2">
        <v>15188</v>
      </c>
      <c r="L366" s="2">
        <v>1760385</v>
      </c>
      <c r="M366" s="2">
        <v>749</v>
      </c>
      <c r="N366" s="2" t="s">
        <v>135</v>
      </c>
      <c r="O366" s="2">
        <v>0.24</v>
      </c>
      <c r="P366" s="2">
        <v>0.73</v>
      </c>
      <c r="Q366" s="2">
        <v>1113100</v>
      </c>
      <c r="R366" s="2">
        <v>3</v>
      </c>
      <c r="S366" s="2">
        <v>45279</v>
      </c>
      <c r="T366" s="2">
        <v>775420</v>
      </c>
      <c r="U366" s="2">
        <v>0</v>
      </c>
      <c r="V366" s="2">
        <v>0</v>
      </c>
      <c r="W366" s="2">
        <v>0</v>
      </c>
      <c r="X366" s="30" t="s">
        <v>148</v>
      </c>
    </row>
    <row r="367" spans="1:24">
      <c r="A367" s="5" t="s">
        <v>884</v>
      </c>
      <c r="B367" s="2" t="s">
        <v>885</v>
      </c>
      <c r="C367" s="26">
        <v>45860</v>
      </c>
      <c r="D367" s="2" t="s">
        <v>131</v>
      </c>
      <c r="E367" s="2" t="s">
        <v>144</v>
      </c>
      <c r="F367" s="2" t="s">
        <v>170</v>
      </c>
      <c r="G367" s="2" t="s">
        <v>134</v>
      </c>
      <c r="H367" s="2">
        <v>36</v>
      </c>
      <c r="I367" s="2">
        <v>527300</v>
      </c>
      <c r="J367" s="2">
        <v>19.21</v>
      </c>
      <c r="K367" s="2">
        <v>19385</v>
      </c>
      <c r="L367" s="2">
        <v>490636</v>
      </c>
      <c r="M367" s="2">
        <v>661</v>
      </c>
      <c r="N367" s="2" t="s">
        <v>140</v>
      </c>
      <c r="O367" s="2">
        <v>0.23</v>
      </c>
      <c r="P367" s="2">
        <v>0.89</v>
      </c>
      <c r="Q367" s="2">
        <v>0</v>
      </c>
      <c r="R367" s="2">
        <v>5</v>
      </c>
      <c r="S367" s="2">
        <v>96966</v>
      </c>
      <c r="T367" s="2">
        <v>447216</v>
      </c>
      <c r="U367" s="2">
        <v>45</v>
      </c>
      <c r="V367" s="2">
        <v>0</v>
      </c>
      <c r="W367" s="2">
        <v>0</v>
      </c>
      <c r="X367" s="30" t="s">
        <v>136</v>
      </c>
    </row>
    <row r="368" spans="1:24">
      <c r="A368" s="5" t="s">
        <v>886</v>
      </c>
      <c r="B368" s="2" t="s">
        <v>887</v>
      </c>
      <c r="C368" s="26">
        <v>45861</v>
      </c>
      <c r="D368" s="2" t="s">
        <v>158</v>
      </c>
      <c r="E368" s="2" t="s">
        <v>132</v>
      </c>
      <c r="F368" s="2" t="s">
        <v>170</v>
      </c>
      <c r="G368" s="2" t="s">
        <v>134</v>
      </c>
      <c r="H368" s="2">
        <v>36</v>
      </c>
      <c r="I368" s="2">
        <v>1238300</v>
      </c>
      <c r="J368" s="2">
        <v>17.68</v>
      </c>
      <c r="K368" s="2">
        <v>44569</v>
      </c>
      <c r="L368" s="2">
        <v>551508</v>
      </c>
      <c r="M368" s="2">
        <v>664</v>
      </c>
      <c r="N368" s="2" t="s">
        <v>140</v>
      </c>
      <c r="O368" s="2">
        <v>0.23</v>
      </c>
      <c r="P368" s="2">
        <v>0.87</v>
      </c>
      <c r="Q368" s="2">
        <v>1418800</v>
      </c>
      <c r="R368" s="2">
        <v>5</v>
      </c>
      <c r="S368" s="2">
        <v>213118</v>
      </c>
      <c r="T368" s="2">
        <v>1061671</v>
      </c>
      <c r="U368" s="2">
        <v>0</v>
      </c>
      <c r="V368" s="2">
        <v>0</v>
      </c>
      <c r="W368" s="2">
        <v>0</v>
      </c>
      <c r="X368" s="30" t="s">
        <v>148</v>
      </c>
    </row>
    <row r="369" spans="1:24">
      <c r="A369" s="5" t="s">
        <v>888</v>
      </c>
      <c r="B369" s="2" t="s">
        <v>889</v>
      </c>
      <c r="C369" s="26">
        <v>45878</v>
      </c>
      <c r="D369" s="2" t="s">
        <v>131</v>
      </c>
      <c r="E369" s="2" t="s">
        <v>213</v>
      </c>
      <c r="F369" s="2" t="s">
        <v>151</v>
      </c>
      <c r="G369" s="2" t="s">
        <v>146</v>
      </c>
      <c r="H369" s="2">
        <v>240</v>
      </c>
      <c r="I369" s="2">
        <v>601800</v>
      </c>
      <c r="J369" s="2">
        <v>18.579999999999998</v>
      </c>
      <c r="K369" s="2">
        <v>9557</v>
      </c>
      <c r="L369" s="2">
        <v>1562567</v>
      </c>
      <c r="M369" s="2">
        <v>679</v>
      </c>
      <c r="N369" s="2" t="s">
        <v>140</v>
      </c>
      <c r="O369" s="2">
        <v>0.21</v>
      </c>
      <c r="P369" s="2">
        <v>0.62</v>
      </c>
      <c r="Q369" s="2">
        <v>0</v>
      </c>
      <c r="R369" s="2">
        <v>4</v>
      </c>
      <c r="S369" s="2">
        <v>35320</v>
      </c>
      <c r="T369" s="2">
        <v>581389</v>
      </c>
      <c r="U369" s="2">
        <v>0</v>
      </c>
      <c r="V369" s="2">
        <v>0</v>
      </c>
      <c r="W369" s="2">
        <v>0</v>
      </c>
      <c r="X369" s="30" t="s">
        <v>148</v>
      </c>
    </row>
    <row r="370" spans="1:24">
      <c r="A370" s="5" t="s">
        <v>890</v>
      </c>
      <c r="B370" s="2" t="s">
        <v>891</v>
      </c>
      <c r="C370" s="26">
        <v>45898</v>
      </c>
      <c r="D370" s="2" t="s">
        <v>177</v>
      </c>
      <c r="E370" s="2" t="s">
        <v>144</v>
      </c>
      <c r="F370" s="2" t="s">
        <v>145</v>
      </c>
      <c r="G370" s="2" t="s">
        <v>134</v>
      </c>
      <c r="H370" s="2">
        <v>48</v>
      </c>
      <c r="I370" s="2">
        <v>2070100</v>
      </c>
      <c r="J370" s="2">
        <v>13.29</v>
      </c>
      <c r="K370" s="2">
        <v>55834</v>
      </c>
      <c r="L370" s="2">
        <v>1079030</v>
      </c>
      <c r="M370" s="2">
        <v>688</v>
      </c>
      <c r="N370" s="2" t="s">
        <v>140</v>
      </c>
      <c r="O370" s="2">
        <v>0.2</v>
      </c>
      <c r="P370" s="2">
        <v>0.7</v>
      </c>
      <c r="Q370" s="2">
        <v>0</v>
      </c>
      <c r="R370" s="2">
        <v>4</v>
      </c>
      <c r="S370" s="2">
        <v>198457</v>
      </c>
      <c r="T370" s="2">
        <v>1908325</v>
      </c>
      <c r="U370" s="2">
        <v>10</v>
      </c>
      <c r="V370" s="2">
        <v>0</v>
      </c>
      <c r="W370" s="2">
        <v>0</v>
      </c>
      <c r="X370" s="30" t="s">
        <v>148</v>
      </c>
    </row>
    <row r="371" spans="1:24">
      <c r="A371" s="5" t="s">
        <v>892</v>
      </c>
      <c r="B371" s="2" t="s">
        <v>893</v>
      </c>
      <c r="C371" s="26">
        <v>45852</v>
      </c>
      <c r="D371" s="2" t="s">
        <v>158</v>
      </c>
      <c r="E371" s="2" t="s">
        <v>132</v>
      </c>
      <c r="F371" s="2" t="s">
        <v>170</v>
      </c>
      <c r="G371" s="2" t="s">
        <v>152</v>
      </c>
      <c r="H371" s="2">
        <v>120</v>
      </c>
      <c r="I371" s="2">
        <v>3956100</v>
      </c>
      <c r="J371" s="2">
        <v>20.420000000000002</v>
      </c>
      <c r="K371" s="2">
        <v>77559</v>
      </c>
      <c r="L371" s="2">
        <v>662871</v>
      </c>
      <c r="M371" s="2">
        <v>590</v>
      </c>
      <c r="N371" s="2" t="s">
        <v>166</v>
      </c>
      <c r="O371" s="2">
        <v>0.2</v>
      </c>
      <c r="P371" s="2">
        <v>0.66</v>
      </c>
      <c r="Q371" s="2">
        <v>5964100</v>
      </c>
      <c r="R371" s="2">
        <v>5</v>
      </c>
      <c r="S371" s="2">
        <v>349708</v>
      </c>
      <c r="T371" s="2">
        <v>3741031</v>
      </c>
      <c r="U371" s="2">
        <v>0</v>
      </c>
      <c r="V371" s="2">
        <v>1</v>
      </c>
      <c r="W371" s="2">
        <v>0</v>
      </c>
      <c r="X371" s="30" t="s">
        <v>141</v>
      </c>
    </row>
    <row r="372" spans="1:24">
      <c r="A372" s="5" t="s">
        <v>894</v>
      </c>
      <c r="B372" s="2" t="s">
        <v>895</v>
      </c>
      <c r="C372" s="26">
        <v>45893</v>
      </c>
      <c r="D372" s="2" t="s">
        <v>158</v>
      </c>
      <c r="E372" s="2" t="s">
        <v>144</v>
      </c>
      <c r="F372" s="2" t="s">
        <v>145</v>
      </c>
      <c r="G372" s="2" t="s">
        <v>146</v>
      </c>
      <c r="H372" s="2">
        <v>36</v>
      </c>
      <c r="I372" s="2">
        <v>1711000</v>
      </c>
      <c r="J372" s="2">
        <v>18.309999999999999</v>
      </c>
      <c r="K372" s="2">
        <v>62123</v>
      </c>
      <c r="L372" s="2">
        <v>928951</v>
      </c>
      <c r="M372" s="2">
        <v>614</v>
      </c>
      <c r="N372" s="2" t="s">
        <v>147</v>
      </c>
      <c r="O372" s="2">
        <v>0.2</v>
      </c>
      <c r="P372" s="2">
        <v>0.63</v>
      </c>
      <c r="Q372" s="2">
        <v>2700300</v>
      </c>
      <c r="R372" s="2">
        <v>4</v>
      </c>
      <c r="S372" s="2">
        <v>214943</v>
      </c>
      <c r="T372" s="2">
        <v>1537828</v>
      </c>
      <c r="U372" s="2">
        <v>90</v>
      </c>
      <c r="V372" s="2">
        <v>0</v>
      </c>
      <c r="W372" s="2">
        <v>1</v>
      </c>
      <c r="X372" s="30" t="s">
        <v>153</v>
      </c>
    </row>
    <row r="373" spans="1:24">
      <c r="A373" s="5" t="s">
        <v>896</v>
      </c>
      <c r="B373" s="2" t="s">
        <v>897</v>
      </c>
      <c r="C373" s="26">
        <v>45870</v>
      </c>
      <c r="D373" s="2" t="s">
        <v>131</v>
      </c>
      <c r="E373" s="2" t="s">
        <v>144</v>
      </c>
      <c r="F373" s="2" t="s">
        <v>151</v>
      </c>
      <c r="G373" s="2" t="s">
        <v>152</v>
      </c>
      <c r="H373" s="2">
        <v>36</v>
      </c>
      <c r="I373" s="2">
        <v>515200</v>
      </c>
      <c r="J373" s="2">
        <v>18.03</v>
      </c>
      <c r="K373" s="2">
        <v>18633</v>
      </c>
      <c r="L373" s="2">
        <v>809868</v>
      </c>
      <c r="M373" s="2">
        <v>686</v>
      </c>
      <c r="N373" s="2" t="s">
        <v>140</v>
      </c>
      <c r="O373" s="2">
        <v>0.19</v>
      </c>
      <c r="P373" s="2">
        <v>0.65</v>
      </c>
      <c r="Q373" s="2">
        <v>0</v>
      </c>
      <c r="R373" s="2">
        <v>4</v>
      </c>
      <c r="S373" s="2">
        <v>75678</v>
      </c>
      <c r="T373" s="2">
        <v>451907</v>
      </c>
      <c r="U373" s="2">
        <v>0</v>
      </c>
      <c r="V373" s="2">
        <v>0</v>
      </c>
      <c r="W373" s="2">
        <v>0</v>
      </c>
      <c r="X373" s="30" t="s">
        <v>148</v>
      </c>
    </row>
    <row r="374" spans="1:24">
      <c r="A374" s="5" t="s">
        <v>898</v>
      </c>
      <c r="B374" s="2" t="s">
        <v>899</v>
      </c>
      <c r="C374" s="26">
        <v>45859</v>
      </c>
      <c r="D374" s="2" t="s">
        <v>131</v>
      </c>
      <c r="E374" s="2" t="s">
        <v>213</v>
      </c>
      <c r="F374" s="2" t="s">
        <v>170</v>
      </c>
      <c r="G374" s="2" t="s">
        <v>152</v>
      </c>
      <c r="H374" s="2">
        <v>48</v>
      </c>
      <c r="I374" s="2">
        <v>208000</v>
      </c>
      <c r="J374" s="2">
        <v>22.28</v>
      </c>
      <c r="K374" s="2">
        <v>6585</v>
      </c>
      <c r="L374" s="2">
        <v>862118</v>
      </c>
      <c r="M374" s="2">
        <v>629</v>
      </c>
      <c r="N374" s="2" t="s">
        <v>147</v>
      </c>
      <c r="O374" s="2">
        <v>0.18</v>
      </c>
      <c r="P374" s="2">
        <v>0.73</v>
      </c>
      <c r="Q374" s="2">
        <v>0</v>
      </c>
      <c r="R374" s="2">
        <v>5</v>
      </c>
      <c r="S374" s="2">
        <v>30451</v>
      </c>
      <c r="T374" s="2">
        <v>185273</v>
      </c>
      <c r="U374" s="2">
        <v>0</v>
      </c>
      <c r="V374" s="2">
        <v>0</v>
      </c>
      <c r="W374" s="2">
        <v>0</v>
      </c>
      <c r="X374" s="30" t="s">
        <v>148</v>
      </c>
    </row>
    <row r="375" spans="1:24">
      <c r="A375" s="5" t="s">
        <v>900</v>
      </c>
      <c r="B375" s="2" t="s">
        <v>901</v>
      </c>
      <c r="C375" s="26">
        <v>45903</v>
      </c>
      <c r="D375" s="2" t="s">
        <v>169</v>
      </c>
      <c r="E375" s="2" t="s">
        <v>132</v>
      </c>
      <c r="F375" s="2" t="s">
        <v>133</v>
      </c>
      <c r="G375" s="2" t="s">
        <v>134</v>
      </c>
      <c r="H375" s="2">
        <v>240</v>
      </c>
      <c r="I375" s="2">
        <v>4816600</v>
      </c>
      <c r="J375" s="2">
        <v>13.34</v>
      </c>
      <c r="K375" s="2">
        <v>57601</v>
      </c>
      <c r="L375" s="2">
        <v>613855</v>
      </c>
      <c r="M375" s="2">
        <v>620</v>
      </c>
      <c r="N375" s="2" t="s">
        <v>147</v>
      </c>
      <c r="O375" s="2">
        <v>0.17</v>
      </c>
      <c r="P375" s="2">
        <v>0.76</v>
      </c>
      <c r="Q375" s="2">
        <v>6306800</v>
      </c>
      <c r="R375" s="2">
        <v>3</v>
      </c>
      <c r="S375" s="2">
        <v>147142</v>
      </c>
      <c r="T375" s="2">
        <v>4733711</v>
      </c>
      <c r="U375" s="2">
        <v>0</v>
      </c>
      <c r="V375" s="2">
        <v>0</v>
      </c>
      <c r="W375" s="2">
        <v>0</v>
      </c>
      <c r="X375" s="30" t="s">
        <v>148</v>
      </c>
    </row>
    <row r="376" spans="1:24">
      <c r="A376" s="5" t="s">
        <v>902</v>
      </c>
      <c r="B376" s="2" t="s">
        <v>903</v>
      </c>
      <c r="C376" s="26">
        <v>45920</v>
      </c>
      <c r="D376" s="2" t="s">
        <v>131</v>
      </c>
      <c r="E376" s="2" t="s">
        <v>144</v>
      </c>
      <c r="F376" s="2" t="s">
        <v>145</v>
      </c>
      <c r="G376" s="2" t="s">
        <v>146</v>
      </c>
      <c r="H376" s="2">
        <v>180</v>
      </c>
      <c r="I376" s="2">
        <v>318900</v>
      </c>
      <c r="J376" s="2">
        <v>16.37</v>
      </c>
      <c r="K376" s="2">
        <v>4766</v>
      </c>
      <c r="L376" s="2">
        <v>519874</v>
      </c>
      <c r="M376" s="2">
        <v>722</v>
      </c>
      <c r="N376" s="2" t="s">
        <v>135</v>
      </c>
      <c r="O376" s="2">
        <v>0.11</v>
      </c>
      <c r="P376" s="2">
        <v>0.46</v>
      </c>
      <c r="Q376" s="2">
        <v>0</v>
      </c>
      <c r="R376" s="2">
        <v>3</v>
      </c>
      <c r="S376" s="2">
        <v>13109</v>
      </c>
      <c r="T376" s="2">
        <v>311011</v>
      </c>
      <c r="U376" s="2">
        <v>0</v>
      </c>
      <c r="V376" s="2">
        <v>0</v>
      </c>
      <c r="W376" s="2">
        <v>0</v>
      </c>
      <c r="X376" s="30" t="s">
        <v>148</v>
      </c>
    </row>
    <row r="377" spans="1:24">
      <c r="A377" s="5" t="s">
        <v>904</v>
      </c>
      <c r="B377" s="2" t="s">
        <v>905</v>
      </c>
      <c r="C377" s="26">
        <v>45845</v>
      </c>
      <c r="D377" s="2" t="s">
        <v>169</v>
      </c>
      <c r="E377" s="2" t="s">
        <v>213</v>
      </c>
      <c r="F377" s="2" t="s">
        <v>145</v>
      </c>
      <c r="G377" s="2" t="s">
        <v>134</v>
      </c>
      <c r="H377" s="2">
        <v>72</v>
      </c>
      <c r="I377" s="2">
        <v>6964300</v>
      </c>
      <c r="J377" s="2">
        <v>13.07</v>
      </c>
      <c r="K377" s="2">
        <v>140060</v>
      </c>
      <c r="L377" s="2">
        <v>1025078</v>
      </c>
      <c r="M377" s="2">
        <v>618</v>
      </c>
      <c r="N377" s="2" t="s">
        <v>147</v>
      </c>
      <c r="O377" s="2">
        <v>0.05</v>
      </c>
      <c r="P377" s="2">
        <v>0.72</v>
      </c>
      <c r="Q377" s="2">
        <v>9691900</v>
      </c>
      <c r="R377" s="2">
        <v>5</v>
      </c>
      <c r="S377" s="2">
        <v>618952</v>
      </c>
      <c r="T377" s="2">
        <v>6497054</v>
      </c>
      <c r="U377" s="2">
        <v>0</v>
      </c>
      <c r="V377" s="2">
        <v>0</v>
      </c>
      <c r="W377" s="2">
        <v>0</v>
      </c>
      <c r="X377" s="30" t="s">
        <v>148</v>
      </c>
    </row>
    <row r="378" spans="1:24">
      <c r="A378" s="5" t="s">
        <v>906</v>
      </c>
      <c r="B378" s="2" t="s">
        <v>907</v>
      </c>
      <c r="C378" s="26">
        <v>44913</v>
      </c>
      <c r="D378" s="2" t="s">
        <v>158</v>
      </c>
      <c r="E378" s="2" t="s">
        <v>213</v>
      </c>
      <c r="F378" s="2" t="s">
        <v>151</v>
      </c>
      <c r="G378" s="2" t="s">
        <v>146</v>
      </c>
      <c r="H378" s="2">
        <v>60</v>
      </c>
      <c r="I378" s="2">
        <v>3745900</v>
      </c>
      <c r="J378" s="2">
        <v>16.489999999999998</v>
      </c>
      <c r="K378" s="2">
        <v>92071</v>
      </c>
      <c r="L378" s="2">
        <v>927516</v>
      </c>
      <c r="M378" s="2">
        <v>673</v>
      </c>
      <c r="N378" s="2" t="s">
        <v>140</v>
      </c>
      <c r="O378" s="2">
        <v>0.53</v>
      </c>
      <c r="P378" s="2">
        <v>0.68</v>
      </c>
      <c r="Q378" s="2">
        <v>5511700</v>
      </c>
      <c r="R378" s="2">
        <v>36</v>
      </c>
      <c r="S378" s="2">
        <v>3142746</v>
      </c>
      <c r="T378" s="2">
        <v>1344393</v>
      </c>
      <c r="U378" s="2">
        <v>0</v>
      </c>
      <c r="V378" s="2">
        <v>0</v>
      </c>
      <c r="W378" s="2">
        <v>0</v>
      </c>
      <c r="X378" s="30" t="s">
        <v>148</v>
      </c>
    </row>
    <row r="379" spans="1:24">
      <c r="A379" s="5" t="s">
        <v>908</v>
      </c>
      <c r="B379" s="2" t="s">
        <v>909</v>
      </c>
      <c r="C379" s="26">
        <v>44889</v>
      </c>
      <c r="D379" s="2" t="s">
        <v>169</v>
      </c>
      <c r="E379" s="2" t="s">
        <v>132</v>
      </c>
      <c r="F379" s="2" t="s">
        <v>139</v>
      </c>
      <c r="G379" s="2" t="s">
        <v>134</v>
      </c>
      <c r="H379" s="2">
        <v>12</v>
      </c>
      <c r="I379" s="2">
        <v>8283400</v>
      </c>
      <c r="J379" s="2">
        <v>12.2</v>
      </c>
      <c r="K379" s="2">
        <v>736745</v>
      </c>
      <c r="L379" s="2">
        <v>1460017</v>
      </c>
      <c r="M379" s="2">
        <v>663</v>
      </c>
      <c r="N379" s="2" t="s">
        <v>140</v>
      </c>
      <c r="O379" s="2">
        <v>0.48</v>
      </c>
      <c r="P379" s="2">
        <v>0.8</v>
      </c>
      <c r="Q379" s="2">
        <v>10417400</v>
      </c>
      <c r="R379" s="2">
        <v>12</v>
      </c>
      <c r="S379" s="2">
        <v>8717593</v>
      </c>
      <c r="T379" s="2">
        <v>0</v>
      </c>
      <c r="U379" s="2">
        <v>0</v>
      </c>
      <c r="V379" s="2">
        <v>0</v>
      </c>
      <c r="W379" s="2">
        <v>0</v>
      </c>
      <c r="X379" s="30" t="s">
        <v>141</v>
      </c>
    </row>
    <row r="380" spans="1:24">
      <c r="A380" s="5" t="s">
        <v>910</v>
      </c>
      <c r="B380" s="2" t="s">
        <v>911</v>
      </c>
      <c r="C380" s="26">
        <v>44907</v>
      </c>
      <c r="D380" s="2" t="s">
        <v>131</v>
      </c>
      <c r="E380" s="2" t="s">
        <v>159</v>
      </c>
      <c r="F380" s="2" t="s">
        <v>151</v>
      </c>
      <c r="G380" s="2" t="s">
        <v>134</v>
      </c>
      <c r="H380" s="2">
        <v>360</v>
      </c>
      <c r="I380" s="2">
        <v>396300</v>
      </c>
      <c r="J380" s="2">
        <v>17.91</v>
      </c>
      <c r="K380" s="2">
        <v>5943</v>
      </c>
      <c r="L380" s="2">
        <v>1389698</v>
      </c>
      <c r="M380" s="2">
        <v>682</v>
      </c>
      <c r="N380" s="2" t="s">
        <v>140</v>
      </c>
      <c r="O380" s="2">
        <v>0.47</v>
      </c>
      <c r="P380" s="2">
        <v>0.91</v>
      </c>
      <c r="Q380" s="2">
        <v>0</v>
      </c>
      <c r="R380" s="2">
        <v>36</v>
      </c>
      <c r="S380" s="2">
        <v>191798</v>
      </c>
      <c r="T380" s="2">
        <v>289675</v>
      </c>
      <c r="U380" s="2">
        <v>0</v>
      </c>
      <c r="V380" s="2">
        <v>0</v>
      </c>
      <c r="W380" s="2">
        <v>0</v>
      </c>
      <c r="X380" s="30" t="s">
        <v>148</v>
      </c>
    </row>
    <row r="381" spans="1:24">
      <c r="A381" s="5" t="s">
        <v>912</v>
      </c>
      <c r="B381" s="2" t="s">
        <v>913</v>
      </c>
      <c r="C381" s="26">
        <v>44875</v>
      </c>
      <c r="D381" s="2" t="s">
        <v>169</v>
      </c>
      <c r="E381" s="2" t="s">
        <v>159</v>
      </c>
      <c r="F381" s="2" t="s">
        <v>151</v>
      </c>
      <c r="G381" s="2" t="s">
        <v>152</v>
      </c>
      <c r="H381" s="2">
        <v>120</v>
      </c>
      <c r="I381" s="2">
        <v>3964200</v>
      </c>
      <c r="J381" s="2">
        <v>12.18</v>
      </c>
      <c r="K381" s="2">
        <v>57288</v>
      </c>
      <c r="L381" s="2">
        <v>1100677</v>
      </c>
      <c r="M381" s="2">
        <v>661</v>
      </c>
      <c r="N381" s="2" t="s">
        <v>140</v>
      </c>
      <c r="O381" s="2">
        <v>0.42</v>
      </c>
      <c r="P381" s="2">
        <v>0.96</v>
      </c>
      <c r="Q381" s="2">
        <v>4137600</v>
      </c>
      <c r="R381" s="2">
        <v>37</v>
      </c>
      <c r="S381" s="2">
        <v>2078564</v>
      </c>
      <c r="T381" s="2">
        <v>2481138</v>
      </c>
      <c r="U381" s="2">
        <v>5</v>
      </c>
      <c r="V381" s="2">
        <v>0</v>
      </c>
      <c r="W381" s="2">
        <v>0</v>
      </c>
      <c r="X381" s="30" t="s">
        <v>148</v>
      </c>
    </row>
    <row r="382" spans="1:24">
      <c r="A382" s="5" t="s">
        <v>914</v>
      </c>
      <c r="B382" s="2" t="s">
        <v>915</v>
      </c>
      <c r="C382" s="26">
        <v>44897</v>
      </c>
      <c r="D382" s="2" t="s">
        <v>163</v>
      </c>
      <c r="E382" s="2" t="s">
        <v>132</v>
      </c>
      <c r="F382" s="2" t="s">
        <v>151</v>
      </c>
      <c r="G382" s="2" t="s">
        <v>152</v>
      </c>
      <c r="H382" s="2">
        <v>72</v>
      </c>
      <c r="I382" s="2">
        <v>269300</v>
      </c>
      <c r="J382" s="2">
        <v>7.84</v>
      </c>
      <c r="K382" s="2">
        <v>4701</v>
      </c>
      <c r="L382" s="2">
        <v>444323</v>
      </c>
      <c r="M382" s="2">
        <v>788</v>
      </c>
      <c r="N382" s="2" t="s">
        <v>160</v>
      </c>
      <c r="O382" s="2">
        <v>0.4</v>
      </c>
      <c r="P382" s="2">
        <v>0.83</v>
      </c>
      <c r="Q382" s="2">
        <v>323800</v>
      </c>
      <c r="R382" s="2">
        <v>36</v>
      </c>
      <c r="S382" s="2">
        <v>145317</v>
      </c>
      <c r="T382" s="2">
        <v>149319</v>
      </c>
      <c r="U382" s="2">
        <v>15</v>
      </c>
      <c r="V382" s="2">
        <v>0</v>
      </c>
      <c r="W382" s="2">
        <v>0</v>
      </c>
      <c r="X382" s="30" t="s">
        <v>148</v>
      </c>
    </row>
    <row r="383" spans="1:24">
      <c r="A383" s="5" t="s">
        <v>916</v>
      </c>
      <c r="B383" s="2" t="s">
        <v>917</v>
      </c>
      <c r="C383" s="26">
        <v>44839</v>
      </c>
      <c r="D383" s="2" t="s">
        <v>169</v>
      </c>
      <c r="E383" s="2" t="s">
        <v>213</v>
      </c>
      <c r="F383" s="2" t="s">
        <v>170</v>
      </c>
      <c r="G383" s="2" t="s">
        <v>134</v>
      </c>
      <c r="H383" s="2">
        <v>120</v>
      </c>
      <c r="I383" s="2">
        <v>6919400</v>
      </c>
      <c r="J383" s="2">
        <v>13.95</v>
      </c>
      <c r="K383" s="2">
        <v>107227</v>
      </c>
      <c r="L383" s="2">
        <v>1402252</v>
      </c>
      <c r="M383" s="2">
        <v>646</v>
      </c>
      <c r="N383" s="2" t="s">
        <v>147</v>
      </c>
      <c r="O383" s="2">
        <v>0.39</v>
      </c>
      <c r="P383" s="2">
        <v>0.82</v>
      </c>
      <c r="Q383" s="2">
        <v>8474100</v>
      </c>
      <c r="R383" s="2">
        <v>38</v>
      </c>
      <c r="S383" s="2">
        <v>4008423</v>
      </c>
      <c r="T383" s="2">
        <v>4133635</v>
      </c>
      <c r="U383" s="2">
        <v>45</v>
      </c>
      <c r="V383" s="2">
        <v>0</v>
      </c>
      <c r="W383" s="2">
        <v>0</v>
      </c>
      <c r="X383" s="30" t="s">
        <v>136</v>
      </c>
    </row>
    <row r="384" spans="1:24">
      <c r="A384" s="5" t="s">
        <v>918</v>
      </c>
      <c r="B384" s="2" t="s">
        <v>919</v>
      </c>
      <c r="C384" s="26">
        <v>44913</v>
      </c>
      <c r="D384" s="2" t="s">
        <v>131</v>
      </c>
      <c r="E384" s="2" t="s">
        <v>144</v>
      </c>
      <c r="F384" s="2" t="s">
        <v>151</v>
      </c>
      <c r="G384" s="2" t="s">
        <v>134</v>
      </c>
      <c r="H384" s="2">
        <v>84</v>
      </c>
      <c r="I384" s="2">
        <v>536500</v>
      </c>
      <c r="J384" s="2">
        <v>16.010000000000002</v>
      </c>
      <c r="K384" s="2">
        <v>10659</v>
      </c>
      <c r="L384" s="2">
        <v>1248579</v>
      </c>
      <c r="M384" s="2">
        <v>725</v>
      </c>
      <c r="N384" s="2" t="s">
        <v>135</v>
      </c>
      <c r="O384" s="2">
        <v>0.35</v>
      </c>
      <c r="P384" s="2">
        <v>0.64</v>
      </c>
      <c r="Q384" s="2">
        <v>0</v>
      </c>
      <c r="R384" s="2">
        <v>36</v>
      </c>
      <c r="S384" s="2">
        <v>347507</v>
      </c>
      <c r="T384" s="2">
        <v>292065</v>
      </c>
      <c r="U384" s="2">
        <v>0</v>
      </c>
      <c r="V384" s="2">
        <v>0</v>
      </c>
      <c r="W384" s="2">
        <v>0</v>
      </c>
      <c r="X384" s="30" t="s">
        <v>148</v>
      </c>
    </row>
    <row r="385" spans="1:24">
      <c r="A385" s="5" t="s">
        <v>920</v>
      </c>
      <c r="B385" s="2" t="s">
        <v>921</v>
      </c>
      <c r="C385" s="26">
        <v>44850</v>
      </c>
      <c r="D385" s="2" t="s">
        <v>177</v>
      </c>
      <c r="E385" s="2" t="s">
        <v>132</v>
      </c>
      <c r="F385" s="2" t="s">
        <v>139</v>
      </c>
      <c r="G385" s="2" t="s">
        <v>134</v>
      </c>
      <c r="H385" s="2">
        <v>36</v>
      </c>
      <c r="I385" s="2">
        <v>636600</v>
      </c>
      <c r="J385" s="2">
        <v>9.1300000000000008</v>
      </c>
      <c r="K385" s="2">
        <v>20282</v>
      </c>
      <c r="L385" s="2">
        <v>229552</v>
      </c>
      <c r="M385" s="2">
        <v>736</v>
      </c>
      <c r="N385" s="2" t="s">
        <v>135</v>
      </c>
      <c r="O385" s="2">
        <v>0.34</v>
      </c>
      <c r="P385" s="2">
        <v>1.01</v>
      </c>
      <c r="Q385" s="2">
        <v>0</v>
      </c>
      <c r="R385" s="2">
        <v>36</v>
      </c>
      <c r="S385" s="2">
        <v>727869</v>
      </c>
      <c r="T385" s="2">
        <v>0</v>
      </c>
      <c r="U385" s="2">
        <v>30</v>
      </c>
      <c r="V385" s="2">
        <v>0</v>
      </c>
      <c r="W385" s="2">
        <v>0</v>
      </c>
      <c r="X385" s="30" t="s">
        <v>141</v>
      </c>
    </row>
    <row r="386" spans="1:24">
      <c r="A386" s="5" t="s">
        <v>922</v>
      </c>
      <c r="B386" s="2" t="s">
        <v>923</v>
      </c>
      <c r="C386" s="26">
        <v>44896</v>
      </c>
      <c r="D386" s="2" t="s">
        <v>177</v>
      </c>
      <c r="E386" s="2" t="s">
        <v>132</v>
      </c>
      <c r="F386" s="2" t="s">
        <v>151</v>
      </c>
      <c r="G386" s="2" t="s">
        <v>134</v>
      </c>
      <c r="H386" s="2">
        <v>48</v>
      </c>
      <c r="I386" s="2">
        <v>1117800</v>
      </c>
      <c r="J386" s="2">
        <v>14.57</v>
      </c>
      <c r="K386" s="2">
        <v>30866</v>
      </c>
      <c r="L386" s="2">
        <v>891026</v>
      </c>
      <c r="M386" s="2">
        <v>658</v>
      </c>
      <c r="N386" s="2" t="s">
        <v>140</v>
      </c>
      <c r="O386" s="2">
        <v>0.33</v>
      </c>
      <c r="P386" s="2">
        <v>0.9</v>
      </c>
      <c r="Q386" s="2">
        <v>0</v>
      </c>
      <c r="R386" s="2">
        <v>36</v>
      </c>
      <c r="S386" s="2">
        <v>1067590</v>
      </c>
      <c r="T386" s="2">
        <v>245646</v>
      </c>
      <c r="U386" s="2">
        <v>0</v>
      </c>
      <c r="V386" s="2">
        <v>0</v>
      </c>
      <c r="W386" s="2">
        <v>0</v>
      </c>
      <c r="X386" s="30" t="s">
        <v>148</v>
      </c>
    </row>
    <row r="387" spans="1:24">
      <c r="A387" s="5" t="s">
        <v>924</v>
      </c>
      <c r="B387" s="2" t="s">
        <v>925</v>
      </c>
      <c r="C387" s="26">
        <v>44879</v>
      </c>
      <c r="D387" s="2" t="s">
        <v>177</v>
      </c>
      <c r="E387" s="2" t="s">
        <v>144</v>
      </c>
      <c r="F387" s="2" t="s">
        <v>170</v>
      </c>
      <c r="G387" s="2" t="s">
        <v>146</v>
      </c>
      <c r="H387" s="2">
        <v>72</v>
      </c>
      <c r="I387" s="2">
        <v>2151300</v>
      </c>
      <c r="J387" s="2">
        <v>15.14</v>
      </c>
      <c r="K387" s="2">
        <v>45653</v>
      </c>
      <c r="L387" s="2">
        <v>1200024</v>
      </c>
      <c r="M387" s="2">
        <v>653</v>
      </c>
      <c r="N387" s="2" t="s">
        <v>140</v>
      </c>
      <c r="O387" s="2">
        <v>0.31</v>
      </c>
      <c r="P387" s="2">
        <v>0.63</v>
      </c>
      <c r="Q387" s="2">
        <v>0</v>
      </c>
      <c r="R387" s="2">
        <v>37</v>
      </c>
      <c r="S387" s="2">
        <v>1521370</v>
      </c>
      <c r="T387" s="2">
        <v>1031635</v>
      </c>
      <c r="U387" s="2">
        <v>90</v>
      </c>
      <c r="V387" s="2">
        <v>0</v>
      </c>
      <c r="W387" s="2">
        <v>1</v>
      </c>
      <c r="X387" s="30" t="s">
        <v>153</v>
      </c>
    </row>
    <row r="388" spans="1:24">
      <c r="A388" s="5" t="s">
        <v>926</v>
      </c>
      <c r="B388" s="2" t="s">
        <v>927</v>
      </c>
      <c r="C388" s="26">
        <v>44902</v>
      </c>
      <c r="D388" s="2" t="s">
        <v>169</v>
      </c>
      <c r="E388" s="2" t="s">
        <v>144</v>
      </c>
      <c r="F388" s="2" t="s">
        <v>170</v>
      </c>
      <c r="G388" s="2" t="s">
        <v>152</v>
      </c>
      <c r="H388" s="2">
        <v>48</v>
      </c>
      <c r="I388" s="2">
        <v>3168700</v>
      </c>
      <c r="J388" s="2">
        <v>7</v>
      </c>
      <c r="K388" s="2">
        <v>75878</v>
      </c>
      <c r="L388" s="2">
        <v>1005790</v>
      </c>
      <c r="M388" s="2">
        <v>756</v>
      </c>
      <c r="N388" s="2" t="s">
        <v>160</v>
      </c>
      <c r="O388" s="2">
        <v>0.3</v>
      </c>
      <c r="P388" s="2">
        <v>0.89</v>
      </c>
      <c r="Q388" s="2">
        <v>3576900</v>
      </c>
      <c r="R388" s="2">
        <v>36</v>
      </c>
      <c r="S388" s="2">
        <v>2499931</v>
      </c>
      <c r="T388" s="2">
        <v>934940</v>
      </c>
      <c r="U388" s="2">
        <v>0</v>
      </c>
      <c r="V388" s="2">
        <v>0</v>
      </c>
      <c r="W388" s="2">
        <v>0</v>
      </c>
      <c r="X388" s="30" t="s">
        <v>148</v>
      </c>
    </row>
    <row r="389" spans="1:24">
      <c r="A389" s="5" t="s">
        <v>928</v>
      </c>
      <c r="B389" s="2" t="s">
        <v>929</v>
      </c>
      <c r="C389" s="26">
        <v>44837</v>
      </c>
      <c r="D389" s="2" t="s">
        <v>169</v>
      </c>
      <c r="E389" s="2" t="s">
        <v>132</v>
      </c>
      <c r="F389" s="2" t="s">
        <v>139</v>
      </c>
      <c r="G389" s="2" t="s">
        <v>134</v>
      </c>
      <c r="H389" s="2">
        <v>120</v>
      </c>
      <c r="I389" s="2">
        <v>2844400</v>
      </c>
      <c r="J389" s="2">
        <v>13.98</v>
      </c>
      <c r="K389" s="2">
        <v>44130</v>
      </c>
      <c r="L389" s="2">
        <v>165278</v>
      </c>
      <c r="M389" s="2">
        <v>661</v>
      </c>
      <c r="N389" s="2" t="s">
        <v>140</v>
      </c>
      <c r="O389" s="2">
        <v>0.28999999999999998</v>
      </c>
      <c r="P389" s="2">
        <v>0.85</v>
      </c>
      <c r="Q389" s="2">
        <v>3336300</v>
      </c>
      <c r="R389" s="2">
        <v>38</v>
      </c>
      <c r="S389" s="2">
        <v>1658093</v>
      </c>
      <c r="T389" s="2">
        <v>1689993</v>
      </c>
      <c r="U389" s="2">
        <v>120</v>
      </c>
      <c r="V389" s="2">
        <v>0</v>
      </c>
      <c r="W389" s="2">
        <v>1</v>
      </c>
      <c r="X389" s="30" t="s">
        <v>153</v>
      </c>
    </row>
    <row r="390" spans="1:24">
      <c r="A390" s="5" t="s">
        <v>930</v>
      </c>
      <c r="B390" s="2" t="s">
        <v>931</v>
      </c>
      <c r="C390" s="26">
        <v>44926</v>
      </c>
      <c r="D390" s="2" t="s">
        <v>131</v>
      </c>
      <c r="E390" s="2" t="s">
        <v>144</v>
      </c>
      <c r="F390" s="2" t="s">
        <v>170</v>
      </c>
      <c r="G390" s="2" t="s">
        <v>134</v>
      </c>
      <c r="H390" s="2">
        <v>36</v>
      </c>
      <c r="I390" s="2">
        <v>633800</v>
      </c>
      <c r="J390" s="2">
        <v>13.57</v>
      </c>
      <c r="K390" s="2">
        <v>21530</v>
      </c>
      <c r="L390" s="2">
        <v>1037024</v>
      </c>
      <c r="M390" s="2">
        <v>765</v>
      </c>
      <c r="N390" s="2" t="s">
        <v>160</v>
      </c>
      <c r="O390" s="2">
        <v>0.28999999999999998</v>
      </c>
      <c r="P390" s="2">
        <v>0.71</v>
      </c>
      <c r="Q390" s="2">
        <v>0</v>
      </c>
      <c r="R390" s="2">
        <v>36</v>
      </c>
      <c r="S390" s="2">
        <v>687111</v>
      </c>
      <c r="T390" s="2">
        <v>49897</v>
      </c>
      <c r="U390" s="2">
        <v>0</v>
      </c>
      <c r="V390" s="2">
        <v>0</v>
      </c>
      <c r="W390" s="2">
        <v>0</v>
      </c>
      <c r="X390" s="30" t="s">
        <v>141</v>
      </c>
    </row>
    <row r="391" spans="1:24">
      <c r="A391" s="5" t="s">
        <v>932</v>
      </c>
      <c r="B391" s="2" t="s">
        <v>933</v>
      </c>
      <c r="C391" s="26">
        <v>44894</v>
      </c>
      <c r="D391" s="2" t="s">
        <v>131</v>
      </c>
      <c r="E391" s="2" t="s">
        <v>144</v>
      </c>
      <c r="F391" s="2" t="s">
        <v>133</v>
      </c>
      <c r="G391" s="2" t="s">
        <v>134</v>
      </c>
      <c r="H391" s="2">
        <v>48</v>
      </c>
      <c r="I391" s="2">
        <v>438900</v>
      </c>
      <c r="J391" s="2">
        <v>20.440000000000001</v>
      </c>
      <c r="K391" s="2">
        <v>13459</v>
      </c>
      <c r="L391" s="2">
        <v>766987</v>
      </c>
      <c r="M391" s="2">
        <v>616</v>
      </c>
      <c r="N391" s="2" t="s">
        <v>147</v>
      </c>
      <c r="O391" s="2">
        <v>0.28999999999999998</v>
      </c>
      <c r="P391" s="2">
        <v>0.79</v>
      </c>
      <c r="Q391" s="2">
        <v>0</v>
      </c>
      <c r="R391" s="2">
        <v>37</v>
      </c>
      <c r="S391" s="2">
        <v>462045</v>
      </c>
      <c r="T391" s="2">
        <v>87499</v>
      </c>
      <c r="U391" s="2">
        <v>60</v>
      </c>
      <c r="V391" s="2">
        <v>0</v>
      </c>
      <c r="W391" s="2">
        <v>0</v>
      </c>
      <c r="X391" s="30" t="s">
        <v>136</v>
      </c>
    </row>
    <row r="392" spans="1:24">
      <c r="A392" s="5" t="s">
        <v>934</v>
      </c>
      <c r="B392" s="2" t="s">
        <v>935</v>
      </c>
      <c r="C392" s="26">
        <v>44870</v>
      </c>
      <c r="D392" s="2" t="s">
        <v>163</v>
      </c>
      <c r="E392" s="2" t="s">
        <v>132</v>
      </c>
      <c r="F392" s="2" t="s">
        <v>170</v>
      </c>
      <c r="G392" s="2" t="s">
        <v>134</v>
      </c>
      <c r="H392" s="2">
        <v>180</v>
      </c>
      <c r="I392" s="2">
        <v>1154800</v>
      </c>
      <c r="J392" s="2">
        <v>15.16</v>
      </c>
      <c r="K392" s="2">
        <v>16289</v>
      </c>
      <c r="L392" s="2">
        <v>1318719</v>
      </c>
      <c r="M392" s="2">
        <v>620</v>
      </c>
      <c r="N392" s="2" t="s">
        <v>147</v>
      </c>
      <c r="O392" s="2">
        <v>0.28000000000000003</v>
      </c>
      <c r="P392" s="2">
        <v>0.74</v>
      </c>
      <c r="Q392" s="2">
        <v>1552600</v>
      </c>
      <c r="R392" s="2">
        <v>37</v>
      </c>
      <c r="S392" s="2">
        <v>537390</v>
      </c>
      <c r="T392" s="2">
        <v>833327</v>
      </c>
      <c r="U392" s="2">
        <v>0</v>
      </c>
      <c r="V392" s="2">
        <v>0</v>
      </c>
      <c r="W392" s="2">
        <v>0</v>
      </c>
      <c r="X392" s="30" t="s">
        <v>148</v>
      </c>
    </row>
    <row r="393" spans="1:24">
      <c r="A393" s="5" t="s">
        <v>936</v>
      </c>
      <c r="B393" s="2" t="s">
        <v>937</v>
      </c>
      <c r="C393" s="26">
        <v>44860</v>
      </c>
      <c r="D393" s="2" t="s">
        <v>158</v>
      </c>
      <c r="E393" s="2" t="s">
        <v>132</v>
      </c>
      <c r="F393" s="2" t="s">
        <v>151</v>
      </c>
      <c r="G393" s="2" t="s">
        <v>192</v>
      </c>
      <c r="H393" s="2">
        <v>36</v>
      </c>
      <c r="I393" s="2">
        <v>1677900</v>
      </c>
      <c r="J393" s="2">
        <v>16.39</v>
      </c>
      <c r="K393" s="2">
        <v>59314</v>
      </c>
      <c r="L393" s="2">
        <v>694720</v>
      </c>
      <c r="M393" s="2">
        <v>653</v>
      </c>
      <c r="N393" s="2" t="s">
        <v>140</v>
      </c>
      <c r="O393" s="2">
        <v>0.28000000000000003</v>
      </c>
      <c r="P393" s="2">
        <v>0.73</v>
      </c>
      <c r="Q393" s="2">
        <v>2313400</v>
      </c>
      <c r="R393" s="2">
        <v>36</v>
      </c>
      <c r="S393" s="2">
        <v>2006761</v>
      </c>
      <c r="T393" s="2">
        <v>1148</v>
      </c>
      <c r="U393" s="2">
        <v>90</v>
      </c>
      <c r="V393" s="2">
        <v>0</v>
      </c>
      <c r="W393" s="2">
        <v>1</v>
      </c>
      <c r="X393" s="30" t="s">
        <v>153</v>
      </c>
    </row>
    <row r="394" spans="1:24">
      <c r="A394" s="5" t="s">
        <v>938</v>
      </c>
      <c r="B394" s="2" t="s">
        <v>939</v>
      </c>
      <c r="C394" s="26">
        <v>44835</v>
      </c>
      <c r="D394" s="2" t="s">
        <v>163</v>
      </c>
      <c r="E394" s="2" t="s">
        <v>144</v>
      </c>
      <c r="F394" s="2" t="s">
        <v>170</v>
      </c>
      <c r="G394" s="2" t="s">
        <v>146</v>
      </c>
      <c r="H394" s="2">
        <v>24</v>
      </c>
      <c r="I394" s="2">
        <v>360900</v>
      </c>
      <c r="J394" s="2">
        <v>11.52</v>
      </c>
      <c r="K394" s="2">
        <v>16908</v>
      </c>
      <c r="L394" s="2">
        <v>660918</v>
      </c>
      <c r="M394" s="2">
        <v>702</v>
      </c>
      <c r="N394" s="2" t="s">
        <v>135</v>
      </c>
      <c r="O394" s="2">
        <v>0.24</v>
      </c>
      <c r="P394" s="2">
        <v>0.84</v>
      </c>
      <c r="Q394" s="2">
        <v>432100</v>
      </c>
      <c r="R394" s="2">
        <v>24</v>
      </c>
      <c r="S394" s="2">
        <v>368338</v>
      </c>
      <c r="T394" s="2">
        <v>25823</v>
      </c>
      <c r="U394" s="2">
        <v>0</v>
      </c>
      <c r="V394" s="2">
        <v>0</v>
      </c>
      <c r="W394" s="2">
        <v>0</v>
      </c>
      <c r="X394" s="30" t="s">
        <v>141</v>
      </c>
    </row>
    <row r="395" spans="1:24">
      <c r="A395" s="5" t="s">
        <v>940</v>
      </c>
      <c r="B395" s="2" t="s">
        <v>941</v>
      </c>
      <c r="C395" s="26">
        <v>44858</v>
      </c>
      <c r="D395" s="2" t="s">
        <v>131</v>
      </c>
      <c r="E395" s="2" t="s">
        <v>132</v>
      </c>
      <c r="F395" s="2" t="s">
        <v>139</v>
      </c>
      <c r="G395" s="2" t="s">
        <v>134</v>
      </c>
      <c r="H395" s="2">
        <v>24</v>
      </c>
      <c r="I395" s="2">
        <v>432400</v>
      </c>
      <c r="J395" s="2">
        <v>14.42</v>
      </c>
      <c r="K395" s="2">
        <v>20847</v>
      </c>
      <c r="L395" s="2">
        <v>1540834</v>
      </c>
      <c r="M395" s="2">
        <v>751</v>
      </c>
      <c r="N395" s="2" t="s">
        <v>160</v>
      </c>
      <c r="O395" s="2">
        <v>0.24</v>
      </c>
      <c r="P395" s="2">
        <v>0.78</v>
      </c>
      <c r="Q395" s="2">
        <v>0</v>
      </c>
      <c r="R395" s="2">
        <v>24</v>
      </c>
      <c r="S395" s="2">
        <v>487005</v>
      </c>
      <c r="T395" s="2">
        <v>0</v>
      </c>
      <c r="U395" s="2">
        <v>90</v>
      </c>
      <c r="V395" s="2">
        <v>0</v>
      </c>
      <c r="W395" s="2">
        <v>1</v>
      </c>
      <c r="X395" s="30" t="s">
        <v>153</v>
      </c>
    </row>
    <row r="396" spans="1:24">
      <c r="A396" s="5" t="s">
        <v>942</v>
      </c>
      <c r="B396" s="2" t="s">
        <v>943</v>
      </c>
      <c r="C396" s="26">
        <v>44901</v>
      </c>
      <c r="D396" s="2" t="s">
        <v>177</v>
      </c>
      <c r="E396" s="2" t="s">
        <v>132</v>
      </c>
      <c r="F396" s="2" t="s">
        <v>145</v>
      </c>
      <c r="G396" s="2" t="s">
        <v>152</v>
      </c>
      <c r="H396" s="2">
        <v>72</v>
      </c>
      <c r="I396" s="2">
        <v>1471100</v>
      </c>
      <c r="J396" s="2">
        <v>12.52</v>
      </c>
      <c r="K396" s="2">
        <v>29160</v>
      </c>
      <c r="L396" s="2">
        <v>762227</v>
      </c>
      <c r="M396" s="2">
        <v>687</v>
      </c>
      <c r="N396" s="2" t="s">
        <v>140</v>
      </c>
      <c r="O396" s="2">
        <v>0.24</v>
      </c>
      <c r="P396" s="2">
        <v>0.68</v>
      </c>
      <c r="Q396" s="2">
        <v>0</v>
      </c>
      <c r="R396" s="2">
        <v>36</v>
      </c>
      <c r="S396" s="2">
        <v>933136</v>
      </c>
      <c r="T396" s="2">
        <v>758982</v>
      </c>
      <c r="U396" s="2">
        <v>10</v>
      </c>
      <c r="V396" s="2">
        <v>0</v>
      </c>
      <c r="W396" s="2">
        <v>0</v>
      </c>
      <c r="X396" s="30" t="s">
        <v>148</v>
      </c>
    </row>
    <row r="397" spans="1:24">
      <c r="A397" s="5" t="s">
        <v>944</v>
      </c>
      <c r="B397" s="2" t="s">
        <v>945</v>
      </c>
      <c r="C397" s="26">
        <v>44911</v>
      </c>
      <c r="D397" s="2" t="s">
        <v>158</v>
      </c>
      <c r="E397" s="2" t="s">
        <v>159</v>
      </c>
      <c r="F397" s="2" t="s">
        <v>133</v>
      </c>
      <c r="G397" s="2" t="s">
        <v>134</v>
      </c>
      <c r="H397" s="2">
        <v>24</v>
      </c>
      <c r="I397" s="2">
        <v>1965500</v>
      </c>
      <c r="J397" s="2">
        <v>12.11</v>
      </c>
      <c r="K397" s="2">
        <v>92624</v>
      </c>
      <c r="L397" s="2">
        <v>312311</v>
      </c>
      <c r="M397" s="2">
        <v>755</v>
      </c>
      <c r="N397" s="2" t="s">
        <v>160</v>
      </c>
      <c r="O397" s="2">
        <v>0.23</v>
      </c>
      <c r="P397" s="2">
        <v>0.86</v>
      </c>
      <c r="Q397" s="2">
        <v>2297200</v>
      </c>
      <c r="R397" s="2">
        <v>24</v>
      </c>
      <c r="S397" s="2">
        <v>2168605</v>
      </c>
      <c r="T397" s="2">
        <v>0</v>
      </c>
      <c r="U397" s="2">
        <v>45</v>
      </c>
      <c r="V397" s="2">
        <v>0</v>
      </c>
      <c r="W397" s="2">
        <v>0</v>
      </c>
      <c r="X397" s="30" t="s">
        <v>141</v>
      </c>
    </row>
    <row r="398" spans="1:24">
      <c r="A398" s="5" t="s">
        <v>946</v>
      </c>
      <c r="B398" s="2" t="s">
        <v>947</v>
      </c>
      <c r="C398" s="26">
        <v>44891</v>
      </c>
      <c r="D398" s="2" t="s">
        <v>131</v>
      </c>
      <c r="E398" s="2" t="s">
        <v>132</v>
      </c>
      <c r="F398" s="2" t="s">
        <v>145</v>
      </c>
      <c r="G398" s="2" t="s">
        <v>192</v>
      </c>
      <c r="H398" s="2">
        <v>48</v>
      </c>
      <c r="I398" s="2">
        <v>319600</v>
      </c>
      <c r="J398" s="2">
        <v>14.93</v>
      </c>
      <c r="K398" s="2">
        <v>8883</v>
      </c>
      <c r="L398" s="2">
        <v>454467</v>
      </c>
      <c r="M398" s="2">
        <v>759</v>
      </c>
      <c r="N398" s="2" t="s">
        <v>160</v>
      </c>
      <c r="O398" s="2">
        <v>0.19</v>
      </c>
      <c r="P398" s="2">
        <v>0.56000000000000005</v>
      </c>
      <c r="Q398" s="2">
        <v>0</v>
      </c>
      <c r="R398" s="2">
        <v>37</v>
      </c>
      <c r="S398" s="2">
        <v>312943</v>
      </c>
      <c r="T398" s="2">
        <v>65507</v>
      </c>
      <c r="U398" s="2">
        <v>0</v>
      </c>
      <c r="V398" s="2">
        <v>0</v>
      </c>
      <c r="W398" s="2">
        <v>0</v>
      </c>
      <c r="X398" s="30" t="s">
        <v>148</v>
      </c>
    </row>
    <row r="399" spans="1:24">
      <c r="A399" s="5" t="s">
        <v>948</v>
      </c>
      <c r="B399" s="2" t="s">
        <v>949</v>
      </c>
      <c r="C399" s="26">
        <v>44920</v>
      </c>
      <c r="D399" s="2" t="s">
        <v>131</v>
      </c>
      <c r="E399" s="2" t="s">
        <v>132</v>
      </c>
      <c r="F399" s="2" t="s">
        <v>151</v>
      </c>
      <c r="G399" s="2" t="s">
        <v>134</v>
      </c>
      <c r="H399" s="2">
        <v>12</v>
      </c>
      <c r="I399" s="2">
        <v>226500</v>
      </c>
      <c r="J399" s="2">
        <v>20.100000000000001</v>
      </c>
      <c r="K399" s="2">
        <v>20993</v>
      </c>
      <c r="L399" s="2">
        <v>878644</v>
      </c>
      <c r="M399" s="2">
        <v>650</v>
      </c>
      <c r="N399" s="2" t="s">
        <v>140</v>
      </c>
      <c r="O399" s="2">
        <v>0.18</v>
      </c>
      <c r="P399" s="2">
        <v>0.85</v>
      </c>
      <c r="Q399" s="2">
        <v>0</v>
      </c>
      <c r="R399" s="2">
        <v>12</v>
      </c>
      <c r="S399" s="2">
        <v>250114</v>
      </c>
      <c r="T399" s="2">
        <v>0</v>
      </c>
      <c r="U399" s="2">
        <v>0</v>
      </c>
      <c r="V399" s="2">
        <v>0</v>
      </c>
      <c r="W399" s="2">
        <v>0</v>
      </c>
      <c r="X399" s="30" t="s">
        <v>141</v>
      </c>
    </row>
    <row r="400" spans="1:24">
      <c r="A400" s="5" t="s">
        <v>950</v>
      </c>
      <c r="B400" s="2" t="s">
        <v>951</v>
      </c>
      <c r="C400" s="26">
        <v>44898</v>
      </c>
      <c r="D400" s="2" t="s">
        <v>169</v>
      </c>
      <c r="E400" s="2" t="s">
        <v>213</v>
      </c>
      <c r="F400" s="2" t="s">
        <v>133</v>
      </c>
      <c r="G400" s="2" t="s">
        <v>146</v>
      </c>
      <c r="H400" s="2">
        <v>120</v>
      </c>
      <c r="I400" s="2">
        <v>1392400</v>
      </c>
      <c r="J400" s="2">
        <v>12.35</v>
      </c>
      <c r="K400" s="2">
        <v>20260</v>
      </c>
      <c r="L400" s="2">
        <v>1772874</v>
      </c>
      <c r="M400" s="2">
        <v>673</v>
      </c>
      <c r="N400" s="2" t="s">
        <v>140</v>
      </c>
      <c r="O400" s="2">
        <v>0.18</v>
      </c>
      <c r="P400" s="2">
        <v>0.51</v>
      </c>
      <c r="Q400" s="2">
        <v>2731600</v>
      </c>
      <c r="R400" s="2">
        <v>36</v>
      </c>
      <c r="S400" s="2">
        <v>649831</v>
      </c>
      <c r="T400" s="2">
        <v>948923</v>
      </c>
      <c r="U400" s="2">
        <v>0</v>
      </c>
      <c r="V400" s="2">
        <v>0</v>
      </c>
      <c r="W400" s="2">
        <v>0</v>
      </c>
      <c r="X400" s="30" t="s">
        <v>148</v>
      </c>
    </row>
    <row r="401" spans="1:24">
      <c r="A401" s="5" t="s">
        <v>952</v>
      </c>
      <c r="B401" s="2" t="s">
        <v>953</v>
      </c>
      <c r="C401" s="26">
        <v>44910</v>
      </c>
      <c r="D401" s="2" t="s">
        <v>158</v>
      </c>
      <c r="E401" s="2" t="s">
        <v>132</v>
      </c>
      <c r="F401" s="2" t="s">
        <v>151</v>
      </c>
      <c r="G401" s="2" t="s">
        <v>152</v>
      </c>
      <c r="H401" s="2">
        <v>12</v>
      </c>
      <c r="I401" s="2">
        <v>1171300</v>
      </c>
      <c r="J401" s="2">
        <v>12.09</v>
      </c>
      <c r="K401" s="2">
        <v>104118</v>
      </c>
      <c r="L401" s="2">
        <v>1053831</v>
      </c>
      <c r="M401" s="2">
        <v>718</v>
      </c>
      <c r="N401" s="2" t="s">
        <v>135</v>
      </c>
      <c r="O401" s="2">
        <v>0.18</v>
      </c>
      <c r="P401" s="2">
        <v>0.73</v>
      </c>
      <c r="Q401" s="2">
        <v>1603900</v>
      </c>
      <c r="R401" s="2">
        <v>12</v>
      </c>
      <c r="S401" s="2">
        <v>1242275</v>
      </c>
      <c r="T401" s="2">
        <v>0</v>
      </c>
      <c r="U401" s="2">
        <v>15</v>
      </c>
      <c r="V401" s="2">
        <v>0</v>
      </c>
      <c r="W401" s="2">
        <v>0</v>
      </c>
      <c r="X401" s="30" t="s">
        <v>141</v>
      </c>
    </row>
    <row r="402" spans="1:24">
      <c r="A402" s="5" t="s">
        <v>954</v>
      </c>
      <c r="B402" s="2" t="s">
        <v>955</v>
      </c>
      <c r="C402" s="26">
        <v>44904</v>
      </c>
      <c r="D402" s="2" t="s">
        <v>131</v>
      </c>
      <c r="E402" s="2" t="s">
        <v>159</v>
      </c>
      <c r="F402" s="2" t="s">
        <v>170</v>
      </c>
      <c r="G402" s="2" t="s">
        <v>134</v>
      </c>
      <c r="H402" s="2">
        <v>12</v>
      </c>
      <c r="I402" s="2">
        <v>740300</v>
      </c>
      <c r="J402" s="2">
        <v>15.53</v>
      </c>
      <c r="K402" s="2">
        <v>67004</v>
      </c>
      <c r="L402" s="2">
        <v>1185361</v>
      </c>
      <c r="M402" s="2">
        <v>732</v>
      </c>
      <c r="N402" s="2" t="s">
        <v>135</v>
      </c>
      <c r="O402" s="2">
        <v>0.17</v>
      </c>
      <c r="P402" s="2">
        <v>0.78</v>
      </c>
      <c r="Q402" s="2">
        <v>0</v>
      </c>
      <c r="R402" s="2">
        <v>12</v>
      </c>
      <c r="S402" s="2">
        <v>719713</v>
      </c>
      <c r="T402" s="2">
        <v>66574</v>
      </c>
      <c r="U402" s="2">
        <v>0</v>
      </c>
      <c r="V402" s="2">
        <v>0</v>
      </c>
      <c r="W402" s="2">
        <v>0</v>
      </c>
      <c r="X402" s="30" t="s">
        <v>141</v>
      </c>
    </row>
    <row r="403" spans="1:24">
      <c r="A403" s="5" t="s">
        <v>956</v>
      </c>
      <c r="B403" s="2" t="s">
        <v>957</v>
      </c>
      <c r="C403" s="26">
        <v>44848</v>
      </c>
      <c r="D403" s="2" t="s">
        <v>169</v>
      </c>
      <c r="E403" s="2" t="s">
        <v>132</v>
      </c>
      <c r="F403" s="2" t="s">
        <v>170</v>
      </c>
      <c r="G403" s="2" t="s">
        <v>134</v>
      </c>
      <c r="H403" s="2">
        <v>36</v>
      </c>
      <c r="I403" s="2">
        <v>3655400</v>
      </c>
      <c r="J403" s="2">
        <v>13.27</v>
      </c>
      <c r="K403" s="2">
        <v>123641</v>
      </c>
      <c r="L403" s="2">
        <v>1278823</v>
      </c>
      <c r="M403" s="2">
        <v>635</v>
      </c>
      <c r="N403" s="2" t="s">
        <v>147</v>
      </c>
      <c r="O403" s="2">
        <v>0.14000000000000001</v>
      </c>
      <c r="P403" s="2">
        <v>0.72</v>
      </c>
      <c r="Q403" s="2">
        <v>5090800</v>
      </c>
      <c r="R403" s="2">
        <v>36</v>
      </c>
      <c r="S403" s="2">
        <v>3990510</v>
      </c>
      <c r="T403" s="2">
        <v>246976</v>
      </c>
      <c r="U403" s="2">
        <v>0</v>
      </c>
      <c r="V403" s="2">
        <v>0</v>
      </c>
      <c r="W403" s="2">
        <v>0</v>
      </c>
      <c r="X403" s="30" t="s">
        <v>141</v>
      </c>
    </row>
    <row r="404" spans="1:24">
      <c r="A404" s="5" t="s">
        <v>958</v>
      </c>
      <c r="B404" s="2" t="s">
        <v>959</v>
      </c>
      <c r="C404" s="26">
        <v>44907</v>
      </c>
      <c r="D404" s="2" t="s">
        <v>177</v>
      </c>
      <c r="E404" s="2" t="s">
        <v>144</v>
      </c>
      <c r="F404" s="2" t="s">
        <v>139</v>
      </c>
      <c r="G404" s="2" t="s">
        <v>152</v>
      </c>
      <c r="H404" s="2">
        <v>240</v>
      </c>
      <c r="I404" s="2">
        <v>1494700</v>
      </c>
      <c r="J404" s="2">
        <v>12.15</v>
      </c>
      <c r="K404" s="2">
        <v>16615</v>
      </c>
      <c r="L404" s="2">
        <v>534158</v>
      </c>
      <c r="M404" s="2">
        <v>675</v>
      </c>
      <c r="N404" s="2" t="s">
        <v>140</v>
      </c>
      <c r="O404" s="2">
        <v>0.05</v>
      </c>
      <c r="P404" s="2">
        <v>0.79</v>
      </c>
      <c r="Q404" s="2">
        <v>0</v>
      </c>
      <c r="R404" s="2">
        <v>36</v>
      </c>
      <c r="S404" s="2">
        <v>545517</v>
      </c>
      <c r="T404" s="2">
        <v>1167110</v>
      </c>
      <c r="U404" s="2">
        <v>0</v>
      </c>
      <c r="V404" s="2">
        <v>0</v>
      </c>
      <c r="W404" s="2">
        <v>0</v>
      </c>
      <c r="X404" s="30" t="s">
        <v>148</v>
      </c>
    </row>
    <row r="405" spans="1:24">
      <c r="A405" s="5" t="s">
        <v>960</v>
      </c>
      <c r="B405" s="2" t="s">
        <v>961</v>
      </c>
      <c r="C405" s="26">
        <v>45283</v>
      </c>
      <c r="D405" s="2" t="s">
        <v>163</v>
      </c>
      <c r="E405" s="2" t="s">
        <v>144</v>
      </c>
      <c r="F405" s="2" t="s">
        <v>145</v>
      </c>
      <c r="G405" s="2" t="s">
        <v>192</v>
      </c>
      <c r="H405" s="2">
        <v>48</v>
      </c>
      <c r="I405" s="2">
        <v>709100</v>
      </c>
      <c r="J405" s="2">
        <v>16.57</v>
      </c>
      <c r="K405" s="2">
        <v>20304</v>
      </c>
      <c r="L405" s="2">
        <v>612054</v>
      </c>
      <c r="M405" s="2">
        <v>616</v>
      </c>
      <c r="N405" s="2" t="s">
        <v>147</v>
      </c>
      <c r="O405" s="2">
        <v>0.62</v>
      </c>
      <c r="P405" s="2">
        <v>0.51</v>
      </c>
      <c r="Q405" s="2">
        <v>1388800</v>
      </c>
      <c r="R405" s="2">
        <v>24</v>
      </c>
      <c r="S405" s="2">
        <v>438611</v>
      </c>
      <c r="T405" s="2">
        <v>364487</v>
      </c>
      <c r="U405" s="2">
        <v>0</v>
      </c>
      <c r="V405" s="2">
        <v>0</v>
      </c>
      <c r="W405" s="2">
        <v>0</v>
      </c>
      <c r="X405" s="30" t="s">
        <v>148</v>
      </c>
    </row>
    <row r="406" spans="1:24">
      <c r="A406" s="5" t="s">
        <v>962</v>
      </c>
      <c r="B406" s="2" t="s">
        <v>963</v>
      </c>
      <c r="C406" s="26">
        <v>45243</v>
      </c>
      <c r="D406" s="2" t="s">
        <v>131</v>
      </c>
      <c r="E406" s="2" t="s">
        <v>132</v>
      </c>
      <c r="F406" s="2" t="s">
        <v>170</v>
      </c>
      <c r="G406" s="2" t="s">
        <v>134</v>
      </c>
      <c r="H406" s="2">
        <v>60</v>
      </c>
      <c r="I406" s="2">
        <v>614100</v>
      </c>
      <c r="J406" s="2">
        <v>21.86</v>
      </c>
      <c r="K406" s="2">
        <v>16912</v>
      </c>
      <c r="L406" s="2">
        <v>1970836</v>
      </c>
      <c r="M406" s="2">
        <v>630</v>
      </c>
      <c r="N406" s="2" t="s">
        <v>147</v>
      </c>
      <c r="O406" s="2">
        <v>0.52</v>
      </c>
      <c r="P406" s="2">
        <v>0.66</v>
      </c>
      <c r="Q406" s="2">
        <v>0</v>
      </c>
      <c r="R406" s="2">
        <v>25</v>
      </c>
      <c r="S406" s="2">
        <v>409131</v>
      </c>
      <c r="T406" s="2">
        <v>316838</v>
      </c>
      <c r="U406" s="2">
        <v>0</v>
      </c>
      <c r="V406" s="2">
        <v>0</v>
      </c>
      <c r="W406" s="2">
        <v>0</v>
      </c>
      <c r="X406" s="30" t="s">
        <v>148</v>
      </c>
    </row>
    <row r="407" spans="1:24">
      <c r="A407" s="5" t="s">
        <v>964</v>
      </c>
      <c r="B407" s="2" t="s">
        <v>965</v>
      </c>
      <c r="C407" s="26">
        <v>45288</v>
      </c>
      <c r="D407" s="2" t="s">
        <v>169</v>
      </c>
      <c r="E407" s="2" t="s">
        <v>132</v>
      </c>
      <c r="F407" s="2" t="s">
        <v>151</v>
      </c>
      <c r="G407" s="2" t="s">
        <v>134</v>
      </c>
      <c r="H407" s="2">
        <v>120</v>
      </c>
      <c r="I407" s="2">
        <v>5751700</v>
      </c>
      <c r="J407" s="2">
        <v>12.79</v>
      </c>
      <c r="K407" s="2">
        <v>85168</v>
      </c>
      <c r="L407" s="2">
        <v>1281731</v>
      </c>
      <c r="M407" s="2">
        <v>658</v>
      </c>
      <c r="N407" s="2" t="s">
        <v>140</v>
      </c>
      <c r="O407" s="2">
        <v>0.49</v>
      </c>
      <c r="P407" s="2">
        <v>0.82</v>
      </c>
      <c r="Q407" s="2">
        <v>7029300</v>
      </c>
      <c r="R407" s="2">
        <v>24</v>
      </c>
      <c r="S407" s="2">
        <v>2083842</v>
      </c>
      <c r="T407" s="2">
        <v>4256372</v>
      </c>
      <c r="U407" s="2">
        <v>0</v>
      </c>
      <c r="V407" s="2">
        <v>0</v>
      </c>
      <c r="W407" s="2">
        <v>0</v>
      </c>
      <c r="X407" s="30" t="s">
        <v>148</v>
      </c>
    </row>
    <row r="408" spans="1:24">
      <c r="A408" s="5" t="s">
        <v>966</v>
      </c>
      <c r="B408" s="2" t="s">
        <v>967</v>
      </c>
      <c r="C408" s="26">
        <v>45288</v>
      </c>
      <c r="D408" s="2" t="s">
        <v>131</v>
      </c>
      <c r="E408" s="2" t="s">
        <v>144</v>
      </c>
      <c r="F408" s="2" t="s">
        <v>145</v>
      </c>
      <c r="G408" s="2" t="s">
        <v>152</v>
      </c>
      <c r="H408" s="2">
        <v>36</v>
      </c>
      <c r="I408" s="2">
        <v>554700</v>
      </c>
      <c r="J408" s="2">
        <v>18.18</v>
      </c>
      <c r="K408" s="2">
        <v>20104</v>
      </c>
      <c r="L408" s="2">
        <v>1269735</v>
      </c>
      <c r="M408" s="2">
        <v>697</v>
      </c>
      <c r="N408" s="2" t="s">
        <v>140</v>
      </c>
      <c r="O408" s="2">
        <v>0.45</v>
      </c>
      <c r="P408" s="2">
        <v>0.79</v>
      </c>
      <c r="Q408" s="2">
        <v>0</v>
      </c>
      <c r="R408" s="2">
        <v>24</v>
      </c>
      <c r="S408" s="2">
        <v>469622</v>
      </c>
      <c r="T408" s="2">
        <v>165754</v>
      </c>
      <c r="U408" s="2">
        <v>0</v>
      </c>
      <c r="V408" s="2">
        <v>0</v>
      </c>
      <c r="W408" s="2">
        <v>0</v>
      </c>
      <c r="X408" s="30" t="s">
        <v>148</v>
      </c>
    </row>
    <row r="409" spans="1:24">
      <c r="A409" s="5" t="s">
        <v>968</v>
      </c>
      <c r="B409" s="2" t="s">
        <v>969</v>
      </c>
      <c r="C409" s="26">
        <v>45205</v>
      </c>
      <c r="D409" s="2" t="s">
        <v>158</v>
      </c>
      <c r="E409" s="2" t="s">
        <v>144</v>
      </c>
      <c r="F409" s="2" t="s">
        <v>133</v>
      </c>
      <c r="G409" s="2" t="s">
        <v>146</v>
      </c>
      <c r="H409" s="2">
        <v>72</v>
      </c>
      <c r="I409" s="2">
        <v>4208100</v>
      </c>
      <c r="J409" s="2">
        <v>20.54</v>
      </c>
      <c r="K409" s="2">
        <v>102117</v>
      </c>
      <c r="L409" s="2">
        <v>750352</v>
      </c>
      <c r="M409" s="2">
        <v>565</v>
      </c>
      <c r="N409" s="2" t="s">
        <v>166</v>
      </c>
      <c r="O409" s="2">
        <v>0.45</v>
      </c>
      <c r="P409" s="2">
        <v>0.79</v>
      </c>
      <c r="Q409" s="2">
        <v>5318700</v>
      </c>
      <c r="R409" s="2">
        <v>26</v>
      </c>
      <c r="S409" s="2">
        <v>2320839</v>
      </c>
      <c r="T409" s="2">
        <v>2636359</v>
      </c>
      <c r="U409" s="2">
        <v>30</v>
      </c>
      <c r="V409" s="2">
        <v>0</v>
      </c>
      <c r="W409" s="2">
        <v>0</v>
      </c>
      <c r="X409" s="30" t="s">
        <v>136</v>
      </c>
    </row>
    <row r="410" spans="1:24">
      <c r="A410" s="5" t="s">
        <v>970</v>
      </c>
      <c r="B410" s="2" t="s">
        <v>971</v>
      </c>
      <c r="C410" s="26">
        <v>45279</v>
      </c>
      <c r="D410" s="2" t="s">
        <v>131</v>
      </c>
      <c r="E410" s="2" t="s">
        <v>132</v>
      </c>
      <c r="F410" s="2" t="s">
        <v>151</v>
      </c>
      <c r="G410" s="2" t="s">
        <v>134</v>
      </c>
      <c r="H410" s="2">
        <v>120</v>
      </c>
      <c r="I410" s="2">
        <v>433600</v>
      </c>
      <c r="J410" s="2">
        <v>21.73</v>
      </c>
      <c r="K410" s="2">
        <v>8883</v>
      </c>
      <c r="L410" s="2">
        <v>857271</v>
      </c>
      <c r="M410" s="2">
        <v>611</v>
      </c>
      <c r="N410" s="2" t="s">
        <v>147</v>
      </c>
      <c r="O410" s="2">
        <v>0.44</v>
      </c>
      <c r="P410" s="2">
        <v>0.87</v>
      </c>
      <c r="Q410" s="2">
        <v>0</v>
      </c>
      <c r="R410" s="2">
        <v>24</v>
      </c>
      <c r="S410" s="2">
        <v>197583</v>
      </c>
      <c r="T410" s="2">
        <v>311394</v>
      </c>
      <c r="U410" s="2">
        <v>0</v>
      </c>
      <c r="V410" s="2">
        <v>0</v>
      </c>
      <c r="W410" s="2">
        <v>0</v>
      </c>
      <c r="X410" s="30" t="s">
        <v>148</v>
      </c>
    </row>
    <row r="411" spans="1:24">
      <c r="A411" s="5" t="s">
        <v>972</v>
      </c>
      <c r="B411" s="2" t="s">
        <v>973</v>
      </c>
      <c r="C411" s="26">
        <v>45275</v>
      </c>
      <c r="D411" s="2" t="s">
        <v>169</v>
      </c>
      <c r="E411" s="2" t="s">
        <v>159</v>
      </c>
      <c r="F411" s="2" t="s">
        <v>170</v>
      </c>
      <c r="G411" s="2" t="s">
        <v>146</v>
      </c>
      <c r="H411" s="2">
        <v>36</v>
      </c>
      <c r="I411" s="2">
        <v>4166000</v>
      </c>
      <c r="J411" s="2">
        <v>10.45</v>
      </c>
      <c r="K411" s="2">
        <v>135307</v>
      </c>
      <c r="L411" s="2">
        <v>585877</v>
      </c>
      <c r="M411" s="2">
        <v>693</v>
      </c>
      <c r="N411" s="2" t="s">
        <v>140</v>
      </c>
      <c r="O411" s="2">
        <v>0.42</v>
      </c>
      <c r="P411" s="2">
        <v>0.84</v>
      </c>
      <c r="Q411" s="2">
        <v>4954500</v>
      </c>
      <c r="R411" s="2">
        <v>24</v>
      </c>
      <c r="S411" s="2">
        <v>3036603</v>
      </c>
      <c r="T411" s="2">
        <v>1477675</v>
      </c>
      <c r="U411" s="2">
        <v>45</v>
      </c>
      <c r="V411" s="2">
        <v>0</v>
      </c>
      <c r="W411" s="2">
        <v>0</v>
      </c>
      <c r="X411" s="30" t="s">
        <v>136</v>
      </c>
    </row>
    <row r="412" spans="1:24">
      <c r="A412" s="5" t="s">
        <v>974</v>
      </c>
      <c r="B412" s="2" t="s">
        <v>975</v>
      </c>
      <c r="C412" s="26">
        <v>45282</v>
      </c>
      <c r="D412" s="2" t="s">
        <v>158</v>
      </c>
      <c r="E412" s="2" t="s">
        <v>132</v>
      </c>
      <c r="F412" s="2" t="s">
        <v>170</v>
      </c>
      <c r="G412" s="2" t="s">
        <v>152</v>
      </c>
      <c r="H412" s="2">
        <v>24</v>
      </c>
      <c r="I412" s="2">
        <v>1334600</v>
      </c>
      <c r="J412" s="2">
        <v>13.85</v>
      </c>
      <c r="K412" s="2">
        <v>63983</v>
      </c>
      <c r="L412" s="2">
        <v>758893</v>
      </c>
      <c r="M412" s="2">
        <v>739</v>
      </c>
      <c r="N412" s="2" t="s">
        <v>135</v>
      </c>
      <c r="O412" s="2">
        <v>0.4</v>
      </c>
      <c r="P412" s="2">
        <v>1.05</v>
      </c>
      <c r="Q412" s="2">
        <v>1271200</v>
      </c>
      <c r="R412" s="2">
        <v>24</v>
      </c>
      <c r="S412" s="2">
        <v>1553051</v>
      </c>
      <c r="T412" s="2">
        <v>0</v>
      </c>
      <c r="U412" s="2">
        <v>0</v>
      </c>
      <c r="V412" s="2">
        <v>0</v>
      </c>
      <c r="W412" s="2">
        <v>0</v>
      </c>
      <c r="X412" s="30" t="s">
        <v>141</v>
      </c>
    </row>
    <row r="413" spans="1:24">
      <c r="A413" s="5" t="s">
        <v>976</v>
      </c>
      <c r="B413" s="2" t="s">
        <v>977</v>
      </c>
      <c r="C413" s="26">
        <v>45212</v>
      </c>
      <c r="D413" s="2" t="s">
        <v>158</v>
      </c>
      <c r="E413" s="2" t="s">
        <v>132</v>
      </c>
      <c r="F413" s="2" t="s">
        <v>133</v>
      </c>
      <c r="G413" s="2" t="s">
        <v>134</v>
      </c>
      <c r="H413" s="2">
        <v>12</v>
      </c>
      <c r="I413" s="2">
        <v>1443800</v>
      </c>
      <c r="J413" s="2">
        <v>13.38</v>
      </c>
      <c r="K413" s="2">
        <v>129214</v>
      </c>
      <c r="L413" s="2">
        <v>407725</v>
      </c>
      <c r="M413" s="2">
        <v>744</v>
      </c>
      <c r="N413" s="2" t="s">
        <v>135</v>
      </c>
      <c r="O413" s="2">
        <v>0.4</v>
      </c>
      <c r="P413" s="2">
        <v>0.68</v>
      </c>
      <c r="Q413" s="2">
        <v>2124900</v>
      </c>
      <c r="R413" s="2">
        <v>12</v>
      </c>
      <c r="S413" s="2">
        <v>1363582</v>
      </c>
      <c r="T413" s="2">
        <v>157490</v>
      </c>
      <c r="U413" s="2">
        <v>0</v>
      </c>
      <c r="V413" s="2">
        <v>0</v>
      </c>
      <c r="W413" s="2">
        <v>0</v>
      </c>
      <c r="X413" s="30" t="s">
        <v>141</v>
      </c>
    </row>
    <row r="414" spans="1:24">
      <c r="A414" s="5" t="s">
        <v>978</v>
      </c>
      <c r="B414" s="2" t="s">
        <v>979</v>
      </c>
      <c r="C414" s="26">
        <v>45281</v>
      </c>
      <c r="D414" s="2" t="s">
        <v>158</v>
      </c>
      <c r="E414" s="2" t="s">
        <v>132</v>
      </c>
      <c r="F414" s="2" t="s">
        <v>139</v>
      </c>
      <c r="G414" s="2" t="s">
        <v>192</v>
      </c>
      <c r="H414" s="2">
        <v>36</v>
      </c>
      <c r="I414" s="2">
        <v>2460000</v>
      </c>
      <c r="J414" s="2">
        <v>11.13</v>
      </c>
      <c r="K414" s="2">
        <v>80689</v>
      </c>
      <c r="L414" s="2">
        <v>838761</v>
      </c>
      <c r="M414" s="2">
        <v>761</v>
      </c>
      <c r="N414" s="2" t="s">
        <v>160</v>
      </c>
      <c r="O414" s="2">
        <v>0.38</v>
      </c>
      <c r="P414" s="2">
        <v>0.65</v>
      </c>
      <c r="Q414" s="2">
        <v>3809200</v>
      </c>
      <c r="R414" s="2">
        <v>24</v>
      </c>
      <c r="S414" s="2">
        <v>1710621</v>
      </c>
      <c r="T414" s="2">
        <v>968417</v>
      </c>
      <c r="U414" s="2">
        <v>0</v>
      </c>
      <c r="V414" s="2">
        <v>0</v>
      </c>
      <c r="W414" s="2">
        <v>0</v>
      </c>
      <c r="X414" s="30" t="s">
        <v>148</v>
      </c>
    </row>
    <row r="415" spans="1:24">
      <c r="A415" s="5" t="s">
        <v>980</v>
      </c>
      <c r="B415" s="2" t="s">
        <v>981</v>
      </c>
      <c r="C415" s="26">
        <v>45262</v>
      </c>
      <c r="D415" s="2" t="s">
        <v>177</v>
      </c>
      <c r="E415" s="2" t="s">
        <v>132</v>
      </c>
      <c r="F415" s="2" t="s">
        <v>133</v>
      </c>
      <c r="G415" s="2" t="s">
        <v>192</v>
      </c>
      <c r="H415" s="2">
        <v>120</v>
      </c>
      <c r="I415" s="2">
        <v>1191500</v>
      </c>
      <c r="J415" s="2">
        <v>15.55</v>
      </c>
      <c r="K415" s="2">
        <v>19626</v>
      </c>
      <c r="L415" s="2">
        <v>816080</v>
      </c>
      <c r="M415" s="2">
        <v>643</v>
      </c>
      <c r="N415" s="2" t="s">
        <v>147</v>
      </c>
      <c r="O415" s="2">
        <v>0.37</v>
      </c>
      <c r="P415" s="2">
        <v>0.69</v>
      </c>
      <c r="Q415" s="2">
        <v>0</v>
      </c>
      <c r="R415" s="2">
        <v>24</v>
      </c>
      <c r="S415" s="2">
        <v>407057</v>
      </c>
      <c r="T415" s="2">
        <v>932666</v>
      </c>
      <c r="U415" s="2">
        <v>0</v>
      </c>
      <c r="V415" s="2">
        <v>0</v>
      </c>
      <c r="W415" s="2">
        <v>0</v>
      </c>
      <c r="X415" s="30" t="s">
        <v>148</v>
      </c>
    </row>
    <row r="416" spans="1:24">
      <c r="A416" s="5" t="s">
        <v>982</v>
      </c>
      <c r="B416" s="2" t="s">
        <v>983</v>
      </c>
      <c r="C416" s="26">
        <v>45263</v>
      </c>
      <c r="D416" s="2" t="s">
        <v>163</v>
      </c>
      <c r="E416" s="2" t="s">
        <v>159</v>
      </c>
      <c r="F416" s="2" t="s">
        <v>170</v>
      </c>
      <c r="G416" s="2" t="s">
        <v>134</v>
      </c>
      <c r="H416" s="2">
        <v>24</v>
      </c>
      <c r="I416" s="2">
        <v>1096000</v>
      </c>
      <c r="J416" s="2">
        <v>12.1</v>
      </c>
      <c r="K416" s="2">
        <v>51644</v>
      </c>
      <c r="L416" s="2">
        <v>647302</v>
      </c>
      <c r="M416" s="2">
        <v>691</v>
      </c>
      <c r="N416" s="2" t="s">
        <v>140</v>
      </c>
      <c r="O416" s="2">
        <v>0.36</v>
      </c>
      <c r="P416" s="2">
        <v>0.89</v>
      </c>
      <c r="Q416" s="2">
        <v>1231000</v>
      </c>
      <c r="R416" s="2">
        <v>24</v>
      </c>
      <c r="S416" s="2">
        <v>1108313</v>
      </c>
      <c r="T416" s="2">
        <v>93780</v>
      </c>
      <c r="U416" s="2">
        <v>0</v>
      </c>
      <c r="V416" s="2">
        <v>0</v>
      </c>
      <c r="W416" s="2">
        <v>0</v>
      </c>
      <c r="X416" s="30" t="s">
        <v>141</v>
      </c>
    </row>
    <row r="417" spans="1:24">
      <c r="A417" s="5" t="s">
        <v>984</v>
      </c>
      <c r="B417" s="2" t="s">
        <v>985</v>
      </c>
      <c r="C417" s="26">
        <v>45204</v>
      </c>
      <c r="D417" s="2" t="s">
        <v>131</v>
      </c>
      <c r="E417" s="2" t="s">
        <v>132</v>
      </c>
      <c r="F417" s="2" t="s">
        <v>170</v>
      </c>
      <c r="G417" s="2" t="s">
        <v>134</v>
      </c>
      <c r="H417" s="2">
        <v>36</v>
      </c>
      <c r="I417" s="2">
        <v>353900</v>
      </c>
      <c r="J417" s="2">
        <v>17.739999999999998</v>
      </c>
      <c r="K417" s="2">
        <v>12748</v>
      </c>
      <c r="L417" s="2">
        <v>713268</v>
      </c>
      <c r="M417" s="2">
        <v>711</v>
      </c>
      <c r="N417" s="2" t="s">
        <v>135</v>
      </c>
      <c r="O417" s="2">
        <v>0.36</v>
      </c>
      <c r="P417" s="2">
        <v>0.68</v>
      </c>
      <c r="Q417" s="2">
        <v>0</v>
      </c>
      <c r="R417" s="2">
        <v>26</v>
      </c>
      <c r="S417" s="2">
        <v>297900</v>
      </c>
      <c r="T417" s="2">
        <v>110411</v>
      </c>
      <c r="U417" s="2">
        <v>0</v>
      </c>
      <c r="V417" s="2">
        <v>0</v>
      </c>
      <c r="W417" s="2">
        <v>0</v>
      </c>
      <c r="X417" s="30" t="s">
        <v>148</v>
      </c>
    </row>
    <row r="418" spans="1:24">
      <c r="A418" s="5" t="s">
        <v>986</v>
      </c>
      <c r="B418" s="2" t="s">
        <v>987</v>
      </c>
      <c r="C418" s="26">
        <v>45261</v>
      </c>
      <c r="D418" s="2" t="s">
        <v>177</v>
      </c>
      <c r="E418" s="2" t="s">
        <v>132</v>
      </c>
      <c r="F418" s="2" t="s">
        <v>170</v>
      </c>
      <c r="G418" s="2" t="s">
        <v>152</v>
      </c>
      <c r="H418" s="2">
        <v>18</v>
      </c>
      <c r="I418" s="2">
        <v>695900</v>
      </c>
      <c r="J418" s="2">
        <v>9.4700000000000006</v>
      </c>
      <c r="K418" s="2">
        <v>41624</v>
      </c>
      <c r="L418" s="2">
        <v>150000</v>
      </c>
      <c r="M418" s="2">
        <v>724</v>
      </c>
      <c r="N418" s="2" t="s">
        <v>135</v>
      </c>
      <c r="O418" s="2">
        <v>0.35</v>
      </c>
      <c r="P418" s="2">
        <v>0.85</v>
      </c>
      <c r="Q418" s="2">
        <v>0</v>
      </c>
      <c r="R418" s="2">
        <v>18</v>
      </c>
      <c r="S418" s="2">
        <v>710562</v>
      </c>
      <c r="T418" s="2">
        <v>24879</v>
      </c>
      <c r="U418" s="2">
        <v>0</v>
      </c>
      <c r="V418" s="2">
        <v>1</v>
      </c>
      <c r="W418" s="2">
        <v>0</v>
      </c>
      <c r="X418" s="30" t="s">
        <v>141</v>
      </c>
    </row>
    <row r="419" spans="1:24">
      <c r="A419" s="5" t="s">
        <v>988</v>
      </c>
      <c r="B419" s="2" t="s">
        <v>989</v>
      </c>
      <c r="C419" s="26">
        <v>45229</v>
      </c>
      <c r="D419" s="2" t="s">
        <v>131</v>
      </c>
      <c r="E419" s="2" t="s">
        <v>132</v>
      </c>
      <c r="F419" s="2" t="s">
        <v>139</v>
      </c>
      <c r="G419" s="2" t="s">
        <v>134</v>
      </c>
      <c r="H419" s="2">
        <v>36</v>
      </c>
      <c r="I419" s="2">
        <v>579500</v>
      </c>
      <c r="J419" s="2">
        <v>16.190000000000001</v>
      </c>
      <c r="K419" s="2">
        <v>20428</v>
      </c>
      <c r="L419" s="2">
        <v>1094334</v>
      </c>
      <c r="M419" s="2">
        <v>715</v>
      </c>
      <c r="N419" s="2" t="s">
        <v>135</v>
      </c>
      <c r="O419" s="2">
        <v>0.32</v>
      </c>
      <c r="P419" s="2">
        <v>0.7</v>
      </c>
      <c r="Q419" s="2">
        <v>0</v>
      </c>
      <c r="R419" s="2">
        <v>26</v>
      </c>
      <c r="S419" s="2">
        <v>490052</v>
      </c>
      <c r="T419" s="2">
        <v>170760</v>
      </c>
      <c r="U419" s="2">
        <v>0</v>
      </c>
      <c r="V419" s="2">
        <v>0</v>
      </c>
      <c r="W419" s="2">
        <v>0</v>
      </c>
      <c r="X419" s="30" t="s">
        <v>148</v>
      </c>
    </row>
    <row r="420" spans="1:24">
      <c r="A420" s="5" t="s">
        <v>990</v>
      </c>
      <c r="B420" s="2" t="s">
        <v>991</v>
      </c>
      <c r="C420" s="26">
        <v>45287</v>
      </c>
      <c r="D420" s="2" t="s">
        <v>169</v>
      </c>
      <c r="E420" s="2" t="s">
        <v>132</v>
      </c>
      <c r="F420" s="2" t="s">
        <v>145</v>
      </c>
      <c r="G420" s="2" t="s">
        <v>134</v>
      </c>
      <c r="H420" s="2">
        <v>360</v>
      </c>
      <c r="I420" s="2">
        <v>1326500</v>
      </c>
      <c r="J420" s="2">
        <v>10.79</v>
      </c>
      <c r="K420" s="2">
        <v>12423</v>
      </c>
      <c r="L420" s="2">
        <v>547092</v>
      </c>
      <c r="M420" s="2">
        <v>687</v>
      </c>
      <c r="N420" s="2" t="s">
        <v>140</v>
      </c>
      <c r="O420" s="2">
        <v>0.32</v>
      </c>
      <c r="P420" s="2">
        <v>0.56999999999999995</v>
      </c>
      <c r="Q420" s="2">
        <v>2340000</v>
      </c>
      <c r="R420" s="2">
        <v>24</v>
      </c>
      <c r="S420" s="2">
        <v>279136</v>
      </c>
      <c r="T420" s="2">
        <v>1161867</v>
      </c>
      <c r="U420" s="2">
        <v>0</v>
      </c>
      <c r="V420" s="2">
        <v>0</v>
      </c>
      <c r="W420" s="2">
        <v>0</v>
      </c>
      <c r="X420" s="30" t="s">
        <v>148</v>
      </c>
    </row>
    <row r="421" spans="1:24">
      <c r="A421" s="5" t="s">
        <v>992</v>
      </c>
      <c r="B421" s="2" t="s">
        <v>993</v>
      </c>
      <c r="C421" s="26">
        <v>45281</v>
      </c>
      <c r="D421" s="2" t="s">
        <v>163</v>
      </c>
      <c r="E421" s="2" t="s">
        <v>144</v>
      </c>
      <c r="F421" s="2" t="s">
        <v>139</v>
      </c>
      <c r="G421" s="2" t="s">
        <v>152</v>
      </c>
      <c r="H421" s="2">
        <v>48</v>
      </c>
      <c r="I421" s="2">
        <v>727900</v>
      </c>
      <c r="J421" s="2">
        <v>12.47</v>
      </c>
      <c r="K421" s="2">
        <v>19337</v>
      </c>
      <c r="L421" s="2">
        <v>1136593</v>
      </c>
      <c r="M421" s="2">
        <v>701</v>
      </c>
      <c r="N421" s="2" t="s">
        <v>135</v>
      </c>
      <c r="O421" s="2">
        <v>0.31</v>
      </c>
      <c r="P421" s="2">
        <v>0.55000000000000004</v>
      </c>
      <c r="Q421" s="2">
        <v>1334200</v>
      </c>
      <c r="R421" s="2">
        <v>24</v>
      </c>
      <c r="S421" s="2">
        <v>460753</v>
      </c>
      <c r="T421" s="2">
        <v>339762</v>
      </c>
      <c r="U421" s="2">
        <v>45</v>
      </c>
      <c r="V421" s="2">
        <v>0</v>
      </c>
      <c r="W421" s="2">
        <v>0</v>
      </c>
      <c r="X421" s="30" t="s">
        <v>136</v>
      </c>
    </row>
    <row r="422" spans="1:24">
      <c r="A422" s="5" t="s">
        <v>994</v>
      </c>
      <c r="B422" s="2" t="s">
        <v>995</v>
      </c>
      <c r="C422" s="26">
        <v>45205</v>
      </c>
      <c r="D422" s="2" t="s">
        <v>131</v>
      </c>
      <c r="E422" s="2" t="s">
        <v>144</v>
      </c>
      <c r="F422" s="2" t="s">
        <v>151</v>
      </c>
      <c r="G422" s="2" t="s">
        <v>152</v>
      </c>
      <c r="H422" s="2">
        <v>72</v>
      </c>
      <c r="I422" s="2">
        <v>246700</v>
      </c>
      <c r="J422" s="2">
        <v>17.7</v>
      </c>
      <c r="K422" s="2">
        <v>5585</v>
      </c>
      <c r="L422" s="2">
        <v>388140</v>
      </c>
      <c r="M422" s="2">
        <v>679</v>
      </c>
      <c r="N422" s="2" t="s">
        <v>140</v>
      </c>
      <c r="O422" s="2">
        <v>0.31</v>
      </c>
      <c r="P422" s="2">
        <v>0.82</v>
      </c>
      <c r="Q422" s="2">
        <v>0</v>
      </c>
      <c r="R422" s="2">
        <v>26</v>
      </c>
      <c r="S422" s="2">
        <v>130293</v>
      </c>
      <c r="T422" s="2">
        <v>154251</v>
      </c>
      <c r="U422" s="2">
        <v>0</v>
      </c>
      <c r="V422" s="2">
        <v>0</v>
      </c>
      <c r="W422" s="2">
        <v>0</v>
      </c>
      <c r="X422" s="30" t="s">
        <v>148</v>
      </c>
    </row>
    <row r="423" spans="1:24">
      <c r="A423" s="5" t="s">
        <v>996</v>
      </c>
      <c r="B423" s="2" t="s">
        <v>997</v>
      </c>
      <c r="C423" s="26">
        <v>45272</v>
      </c>
      <c r="D423" s="2" t="s">
        <v>177</v>
      </c>
      <c r="E423" s="2" t="s">
        <v>213</v>
      </c>
      <c r="F423" s="2" t="s">
        <v>139</v>
      </c>
      <c r="G423" s="2" t="s">
        <v>134</v>
      </c>
      <c r="H423" s="2">
        <v>180</v>
      </c>
      <c r="I423" s="2">
        <v>831600</v>
      </c>
      <c r="J423" s="2">
        <v>12.25</v>
      </c>
      <c r="K423" s="2">
        <v>10115</v>
      </c>
      <c r="L423" s="2">
        <v>674754</v>
      </c>
      <c r="M423" s="2">
        <v>700</v>
      </c>
      <c r="N423" s="2" t="s">
        <v>135</v>
      </c>
      <c r="O423" s="2">
        <v>0.31</v>
      </c>
      <c r="P423" s="2">
        <v>0.72</v>
      </c>
      <c r="Q423" s="2">
        <v>0</v>
      </c>
      <c r="R423" s="2">
        <v>24</v>
      </c>
      <c r="S423" s="2">
        <v>214682</v>
      </c>
      <c r="T423" s="2">
        <v>698415</v>
      </c>
      <c r="U423" s="2">
        <v>15</v>
      </c>
      <c r="V423" s="2">
        <v>0</v>
      </c>
      <c r="W423" s="2">
        <v>0</v>
      </c>
      <c r="X423" s="30" t="s">
        <v>148</v>
      </c>
    </row>
    <row r="424" spans="1:24">
      <c r="A424" s="5" t="s">
        <v>998</v>
      </c>
      <c r="B424" s="2" t="s">
        <v>999</v>
      </c>
      <c r="C424" s="26">
        <v>45226</v>
      </c>
      <c r="D424" s="2" t="s">
        <v>169</v>
      </c>
      <c r="E424" s="2" t="s">
        <v>132</v>
      </c>
      <c r="F424" s="2" t="s">
        <v>133</v>
      </c>
      <c r="G424" s="2" t="s">
        <v>134</v>
      </c>
      <c r="H424" s="2">
        <v>48</v>
      </c>
      <c r="I424" s="2">
        <v>4201100</v>
      </c>
      <c r="J424" s="2">
        <v>12.6</v>
      </c>
      <c r="K424" s="2">
        <v>111873</v>
      </c>
      <c r="L424" s="2">
        <v>538789</v>
      </c>
      <c r="M424" s="2">
        <v>637</v>
      </c>
      <c r="N424" s="2" t="s">
        <v>147</v>
      </c>
      <c r="O424" s="2">
        <v>0.31</v>
      </c>
      <c r="P424" s="2">
        <v>0.85</v>
      </c>
      <c r="Q424" s="2">
        <v>4960800</v>
      </c>
      <c r="R424" s="2">
        <v>26</v>
      </c>
      <c r="S424" s="2">
        <v>2856715</v>
      </c>
      <c r="T424" s="2">
        <v>1803145</v>
      </c>
      <c r="U424" s="2">
        <v>15</v>
      </c>
      <c r="V424" s="2">
        <v>0</v>
      </c>
      <c r="W424" s="2">
        <v>0</v>
      </c>
      <c r="X424" s="30" t="s">
        <v>148</v>
      </c>
    </row>
    <row r="425" spans="1:24">
      <c r="A425" s="5" t="s">
        <v>1000</v>
      </c>
      <c r="B425" s="2" t="s">
        <v>1001</v>
      </c>
      <c r="C425" s="26">
        <v>45267</v>
      </c>
      <c r="D425" s="2" t="s">
        <v>131</v>
      </c>
      <c r="E425" s="2" t="s">
        <v>144</v>
      </c>
      <c r="F425" s="2" t="s">
        <v>145</v>
      </c>
      <c r="G425" s="2" t="s">
        <v>146</v>
      </c>
      <c r="H425" s="2">
        <v>120</v>
      </c>
      <c r="I425" s="2">
        <v>418400</v>
      </c>
      <c r="J425" s="2">
        <v>17.27</v>
      </c>
      <c r="K425" s="2">
        <v>7343</v>
      </c>
      <c r="L425" s="2">
        <v>1488834</v>
      </c>
      <c r="M425" s="2">
        <v>701</v>
      </c>
      <c r="N425" s="2" t="s">
        <v>135</v>
      </c>
      <c r="O425" s="2">
        <v>0.3</v>
      </c>
      <c r="P425" s="2">
        <v>0.66</v>
      </c>
      <c r="Q425" s="2">
        <v>0</v>
      </c>
      <c r="R425" s="2">
        <v>24</v>
      </c>
      <c r="S425" s="2">
        <v>174120</v>
      </c>
      <c r="T425" s="2">
        <v>302086</v>
      </c>
      <c r="U425" s="2">
        <v>0</v>
      </c>
      <c r="V425" s="2">
        <v>0</v>
      </c>
      <c r="W425" s="2">
        <v>0</v>
      </c>
      <c r="X425" s="30" t="s">
        <v>148</v>
      </c>
    </row>
    <row r="426" spans="1:24">
      <c r="A426" s="5" t="s">
        <v>1002</v>
      </c>
      <c r="B426" s="2" t="s">
        <v>1003</v>
      </c>
      <c r="C426" s="26">
        <v>45220</v>
      </c>
      <c r="D426" s="2" t="s">
        <v>177</v>
      </c>
      <c r="E426" s="2" t="s">
        <v>132</v>
      </c>
      <c r="F426" s="2" t="s">
        <v>145</v>
      </c>
      <c r="G426" s="2" t="s">
        <v>146</v>
      </c>
      <c r="H426" s="2">
        <v>60</v>
      </c>
      <c r="I426" s="2">
        <v>382600</v>
      </c>
      <c r="J426" s="2">
        <v>7</v>
      </c>
      <c r="K426" s="2">
        <v>7576</v>
      </c>
      <c r="L426" s="2">
        <v>993857</v>
      </c>
      <c r="M426" s="2">
        <v>850</v>
      </c>
      <c r="N426" s="2" t="s">
        <v>160</v>
      </c>
      <c r="O426" s="2">
        <v>0.28999999999999998</v>
      </c>
      <c r="P426" s="2">
        <v>0.79</v>
      </c>
      <c r="Q426" s="2">
        <v>0</v>
      </c>
      <c r="R426" s="2">
        <v>26</v>
      </c>
      <c r="S426" s="2">
        <v>169769</v>
      </c>
      <c r="T426" s="2">
        <v>236042</v>
      </c>
      <c r="U426" s="2">
        <v>0</v>
      </c>
      <c r="V426" s="2">
        <v>0</v>
      </c>
      <c r="W426" s="2">
        <v>0</v>
      </c>
      <c r="X426" s="30" t="s">
        <v>148</v>
      </c>
    </row>
    <row r="427" spans="1:24">
      <c r="A427" s="5" t="s">
        <v>1004</v>
      </c>
      <c r="B427" s="2" t="s">
        <v>1005</v>
      </c>
      <c r="C427" s="26">
        <v>45247</v>
      </c>
      <c r="D427" s="2" t="s">
        <v>163</v>
      </c>
      <c r="E427" s="2" t="s">
        <v>132</v>
      </c>
      <c r="F427" s="2" t="s">
        <v>145</v>
      </c>
      <c r="G427" s="2" t="s">
        <v>134</v>
      </c>
      <c r="H427" s="2">
        <v>18</v>
      </c>
      <c r="I427" s="2">
        <v>154500</v>
      </c>
      <c r="J427" s="2">
        <v>11.05</v>
      </c>
      <c r="K427" s="2">
        <v>9354</v>
      </c>
      <c r="L427" s="2">
        <v>884055</v>
      </c>
      <c r="M427" s="2">
        <v>703</v>
      </c>
      <c r="N427" s="2" t="s">
        <v>135</v>
      </c>
      <c r="O427" s="2">
        <v>0.28999999999999998</v>
      </c>
      <c r="P427" s="2">
        <v>0.61</v>
      </c>
      <c r="Q427" s="2">
        <v>251300</v>
      </c>
      <c r="R427" s="2">
        <v>18</v>
      </c>
      <c r="S427" s="2">
        <v>161863</v>
      </c>
      <c r="T427" s="2">
        <v>2880</v>
      </c>
      <c r="U427" s="2">
        <v>0</v>
      </c>
      <c r="V427" s="2">
        <v>0</v>
      </c>
      <c r="W427" s="2">
        <v>0</v>
      </c>
      <c r="X427" s="30" t="s">
        <v>141</v>
      </c>
    </row>
    <row r="428" spans="1:24">
      <c r="A428" s="5" t="s">
        <v>1006</v>
      </c>
      <c r="B428" s="2" t="s">
        <v>1007</v>
      </c>
      <c r="C428" s="26">
        <v>45204</v>
      </c>
      <c r="D428" s="2" t="s">
        <v>177</v>
      </c>
      <c r="E428" s="2" t="s">
        <v>132</v>
      </c>
      <c r="F428" s="2" t="s">
        <v>151</v>
      </c>
      <c r="G428" s="2" t="s">
        <v>152</v>
      </c>
      <c r="H428" s="2">
        <v>18</v>
      </c>
      <c r="I428" s="2">
        <v>1405200</v>
      </c>
      <c r="J428" s="2">
        <v>7.63</v>
      </c>
      <c r="K428" s="2">
        <v>82867</v>
      </c>
      <c r="L428" s="2">
        <v>1093577</v>
      </c>
      <c r="M428" s="2">
        <v>771</v>
      </c>
      <c r="N428" s="2" t="s">
        <v>160</v>
      </c>
      <c r="O428" s="2">
        <v>0.28999999999999998</v>
      </c>
      <c r="P428" s="2">
        <v>0.77</v>
      </c>
      <c r="Q428" s="2">
        <v>0</v>
      </c>
      <c r="R428" s="2">
        <v>18</v>
      </c>
      <c r="S428" s="2">
        <v>1393963</v>
      </c>
      <c r="T428" s="2">
        <v>75567</v>
      </c>
      <c r="U428" s="2">
        <v>0</v>
      </c>
      <c r="V428" s="2">
        <v>0</v>
      </c>
      <c r="W428" s="2">
        <v>0</v>
      </c>
      <c r="X428" s="30" t="s">
        <v>141</v>
      </c>
    </row>
    <row r="429" spans="1:24">
      <c r="A429" s="5" t="s">
        <v>1008</v>
      </c>
      <c r="B429" s="2" t="s">
        <v>1009</v>
      </c>
      <c r="C429" s="26">
        <v>45204</v>
      </c>
      <c r="D429" s="2" t="s">
        <v>131</v>
      </c>
      <c r="E429" s="2" t="s">
        <v>132</v>
      </c>
      <c r="F429" s="2" t="s">
        <v>145</v>
      </c>
      <c r="G429" s="2" t="s">
        <v>152</v>
      </c>
      <c r="H429" s="2">
        <v>12</v>
      </c>
      <c r="I429" s="2">
        <v>470300</v>
      </c>
      <c r="J429" s="2">
        <v>17.489999999999998</v>
      </c>
      <c r="K429" s="2">
        <v>43003</v>
      </c>
      <c r="L429" s="2">
        <v>1451572</v>
      </c>
      <c r="M429" s="2">
        <v>697</v>
      </c>
      <c r="N429" s="2" t="s">
        <v>140</v>
      </c>
      <c r="O429" s="2">
        <v>0.28000000000000003</v>
      </c>
      <c r="P429" s="2">
        <v>0.9</v>
      </c>
      <c r="Q429" s="2">
        <v>0</v>
      </c>
      <c r="R429" s="2">
        <v>12</v>
      </c>
      <c r="S429" s="2">
        <v>504312</v>
      </c>
      <c r="T429" s="2">
        <v>0</v>
      </c>
      <c r="U429" s="2">
        <v>0</v>
      </c>
      <c r="V429" s="2">
        <v>0</v>
      </c>
      <c r="W429" s="2">
        <v>0</v>
      </c>
      <c r="X429" s="30" t="s">
        <v>141</v>
      </c>
    </row>
    <row r="430" spans="1:24">
      <c r="A430" s="5" t="s">
        <v>1010</v>
      </c>
      <c r="B430" s="2" t="s">
        <v>1011</v>
      </c>
      <c r="C430" s="26">
        <v>45210</v>
      </c>
      <c r="D430" s="2" t="s">
        <v>131</v>
      </c>
      <c r="E430" s="2" t="s">
        <v>213</v>
      </c>
      <c r="F430" s="2" t="s">
        <v>133</v>
      </c>
      <c r="G430" s="2" t="s">
        <v>134</v>
      </c>
      <c r="H430" s="2">
        <v>12</v>
      </c>
      <c r="I430" s="2">
        <v>330200</v>
      </c>
      <c r="J430" s="2">
        <v>17.04</v>
      </c>
      <c r="K430" s="2">
        <v>30122</v>
      </c>
      <c r="L430" s="2">
        <v>772450</v>
      </c>
      <c r="M430" s="2">
        <v>732</v>
      </c>
      <c r="N430" s="2" t="s">
        <v>135</v>
      </c>
      <c r="O430" s="2">
        <v>0.28000000000000003</v>
      </c>
      <c r="P430" s="2">
        <v>0.74</v>
      </c>
      <c r="Q430" s="2">
        <v>0</v>
      </c>
      <c r="R430" s="2">
        <v>12</v>
      </c>
      <c r="S430" s="2">
        <v>336687</v>
      </c>
      <c r="T430" s="2">
        <v>16019</v>
      </c>
      <c r="U430" s="2">
        <v>30</v>
      </c>
      <c r="V430" s="2">
        <v>0</v>
      </c>
      <c r="W430" s="2">
        <v>0</v>
      </c>
      <c r="X430" s="30" t="s">
        <v>141</v>
      </c>
    </row>
    <row r="431" spans="1:24">
      <c r="A431" s="5" t="s">
        <v>1012</v>
      </c>
      <c r="B431" s="2" t="s">
        <v>1013</v>
      </c>
      <c r="C431" s="26">
        <v>45252</v>
      </c>
      <c r="D431" s="2" t="s">
        <v>131</v>
      </c>
      <c r="E431" s="2" t="s">
        <v>144</v>
      </c>
      <c r="F431" s="2" t="s">
        <v>170</v>
      </c>
      <c r="G431" s="2" t="s">
        <v>134</v>
      </c>
      <c r="H431" s="2">
        <v>12</v>
      </c>
      <c r="I431" s="2">
        <v>494500</v>
      </c>
      <c r="J431" s="2">
        <v>14.82</v>
      </c>
      <c r="K431" s="2">
        <v>44591</v>
      </c>
      <c r="L431" s="2">
        <v>1118464</v>
      </c>
      <c r="M431" s="2">
        <v>753</v>
      </c>
      <c r="N431" s="2" t="s">
        <v>160</v>
      </c>
      <c r="O431" s="2">
        <v>0.25</v>
      </c>
      <c r="P431" s="2">
        <v>0.84</v>
      </c>
      <c r="Q431" s="2">
        <v>0</v>
      </c>
      <c r="R431" s="2">
        <v>12</v>
      </c>
      <c r="S431" s="2">
        <v>493726</v>
      </c>
      <c r="T431" s="2">
        <v>30088</v>
      </c>
      <c r="U431" s="2">
        <v>0</v>
      </c>
      <c r="V431" s="2">
        <v>0</v>
      </c>
      <c r="W431" s="2">
        <v>0</v>
      </c>
      <c r="X431" s="30" t="s">
        <v>141</v>
      </c>
    </row>
    <row r="432" spans="1:24">
      <c r="A432" s="5" t="s">
        <v>1014</v>
      </c>
      <c r="B432" s="2" t="s">
        <v>1015</v>
      </c>
      <c r="C432" s="26">
        <v>45233</v>
      </c>
      <c r="D432" s="2" t="s">
        <v>131</v>
      </c>
      <c r="E432" s="2" t="s">
        <v>132</v>
      </c>
      <c r="F432" s="2" t="s">
        <v>145</v>
      </c>
      <c r="G432" s="2" t="s">
        <v>152</v>
      </c>
      <c r="H432" s="2">
        <v>360</v>
      </c>
      <c r="I432" s="2">
        <v>410000</v>
      </c>
      <c r="J432" s="2">
        <v>19.3</v>
      </c>
      <c r="K432" s="2">
        <v>6615</v>
      </c>
      <c r="L432" s="2">
        <v>729510</v>
      </c>
      <c r="M432" s="2">
        <v>666</v>
      </c>
      <c r="N432" s="2" t="s">
        <v>140</v>
      </c>
      <c r="O432" s="2">
        <v>0.24</v>
      </c>
      <c r="P432" s="2">
        <v>0.72</v>
      </c>
      <c r="Q432" s="2">
        <v>0</v>
      </c>
      <c r="R432" s="2">
        <v>25</v>
      </c>
      <c r="S432" s="2">
        <v>152887</v>
      </c>
      <c r="T432" s="2">
        <v>323055</v>
      </c>
      <c r="U432" s="2">
        <v>0</v>
      </c>
      <c r="V432" s="2">
        <v>0</v>
      </c>
      <c r="W432" s="2">
        <v>0</v>
      </c>
      <c r="X432" s="30" t="s">
        <v>148</v>
      </c>
    </row>
    <row r="433" spans="1:24">
      <c r="A433" s="5" t="s">
        <v>1016</v>
      </c>
      <c r="B433" s="2" t="s">
        <v>1017</v>
      </c>
      <c r="C433" s="26">
        <v>45230</v>
      </c>
      <c r="D433" s="2" t="s">
        <v>169</v>
      </c>
      <c r="E433" s="2" t="s">
        <v>144</v>
      </c>
      <c r="F433" s="2" t="s">
        <v>139</v>
      </c>
      <c r="G433" s="2" t="s">
        <v>146</v>
      </c>
      <c r="H433" s="2">
        <v>60</v>
      </c>
      <c r="I433" s="2">
        <v>4037400</v>
      </c>
      <c r="J433" s="2">
        <v>10.87</v>
      </c>
      <c r="K433" s="2">
        <v>87521</v>
      </c>
      <c r="L433" s="2">
        <v>908557</v>
      </c>
      <c r="M433" s="2">
        <v>694</v>
      </c>
      <c r="N433" s="2" t="s">
        <v>140</v>
      </c>
      <c r="O433" s="2">
        <v>0.22</v>
      </c>
      <c r="P433" s="2">
        <v>0.74</v>
      </c>
      <c r="Q433" s="2">
        <v>5491800</v>
      </c>
      <c r="R433" s="2">
        <v>26</v>
      </c>
      <c r="S433" s="2">
        <v>2169718</v>
      </c>
      <c r="T433" s="2">
        <v>2248032</v>
      </c>
      <c r="U433" s="2">
        <v>0</v>
      </c>
      <c r="V433" s="2">
        <v>0</v>
      </c>
      <c r="W433" s="2">
        <v>0</v>
      </c>
      <c r="X433" s="30" t="s">
        <v>148</v>
      </c>
    </row>
    <row r="434" spans="1:24">
      <c r="A434" s="5" t="s">
        <v>1018</v>
      </c>
      <c r="B434" s="2" t="s">
        <v>1019</v>
      </c>
      <c r="C434" s="26">
        <v>45262</v>
      </c>
      <c r="D434" s="2" t="s">
        <v>131</v>
      </c>
      <c r="E434" s="2" t="s">
        <v>132</v>
      </c>
      <c r="F434" s="2" t="s">
        <v>170</v>
      </c>
      <c r="G434" s="2" t="s">
        <v>134</v>
      </c>
      <c r="H434" s="2">
        <v>60</v>
      </c>
      <c r="I434" s="2">
        <v>485300</v>
      </c>
      <c r="J434" s="2">
        <v>19.07</v>
      </c>
      <c r="K434" s="2">
        <v>12608</v>
      </c>
      <c r="L434" s="2">
        <v>1421544</v>
      </c>
      <c r="M434" s="2">
        <v>669</v>
      </c>
      <c r="N434" s="2" t="s">
        <v>140</v>
      </c>
      <c r="O434" s="2">
        <v>0.22</v>
      </c>
      <c r="P434" s="2">
        <v>0.73</v>
      </c>
      <c r="Q434" s="2">
        <v>0</v>
      </c>
      <c r="R434" s="2">
        <v>24</v>
      </c>
      <c r="S434" s="2">
        <v>287182</v>
      </c>
      <c r="T434" s="2">
        <v>272155</v>
      </c>
      <c r="U434" s="2">
        <v>0</v>
      </c>
      <c r="V434" s="2">
        <v>0</v>
      </c>
      <c r="W434" s="2">
        <v>0</v>
      </c>
      <c r="X434" s="30" t="s">
        <v>148</v>
      </c>
    </row>
    <row r="435" spans="1:24">
      <c r="A435" s="5" t="s">
        <v>1020</v>
      </c>
      <c r="B435" s="2" t="s">
        <v>1021</v>
      </c>
      <c r="C435" s="26">
        <v>45202</v>
      </c>
      <c r="D435" s="2" t="s">
        <v>169</v>
      </c>
      <c r="E435" s="2" t="s">
        <v>132</v>
      </c>
      <c r="F435" s="2" t="s">
        <v>151</v>
      </c>
      <c r="G435" s="2" t="s">
        <v>134</v>
      </c>
      <c r="H435" s="2">
        <v>36</v>
      </c>
      <c r="I435" s="2">
        <v>6928900</v>
      </c>
      <c r="J435" s="2">
        <v>8.7899999999999991</v>
      </c>
      <c r="K435" s="2">
        <v>219661</v>
      </c>
      <c r="L435" s="2">
        <v>1413171</v>
      </c>
      <c r="M435" s="2">
        <v>717</v>
      </c>
      <c r="N435" s="2" t="s">
        <v>135</v>
      </c>
      <c r="O435" s="2">
        <v>0.21</v>
      </c>
      <c r="P435" s="2">
        <v>0.7</v>
      </c>
      <c r="Q435" s="2">
        <v>9892200</v>
      </c>
      <c r="R435" s="2">
        <v>26</v>
      </c>
      <c r="S435" s="2">
        <v>5097897</v>
      </c>
      <c r="T435" s="2">
        <v>2358847</v>
      </c>
      <c r="U435" s="2">
        <v>0</v>
      </c>
      <c r="V435" s="2">
        <v>1</v>
      </c>
      <c r="W435" s="2">
        <v>0</v>
      </c>
      <c r="X435" s="30" t="s">
        <v>141</v>
      </c>
    </row>
    <row r="436" spans="1:24">
      <c r="A436" s="5" t="s">
        <v>1022</v>
      </c>
      <c r="B436" s="2" t="s">
        <v>1023</v>
      </c>
      <c r="C436" s="26">
        <v>45288</v>
      </c>
      <c r="D436" s="2" t="s">
        <v>158</v>
      </c>
      <c r="E436" s="2" t="s">
        <v>213</v>
      </c>
      <c r="F436" s="2" t="s">
        <v>133</v>
      </c>
      <c r="G436" s="2" t="s">
        <v>146</v>
      </c>
      <c r="H436" s="2">
        <v>36</v>
      </c>
      <c r="I436" s="2">
        <v>965600</v>
      </c>
      <c r="J436" s="2">
        <v>12.89</v>
      </c>
      <c r="K436" s="2">
        <v>32484</v>
      </c>
      <c r="L436" s="2">
        <v>380061</v>
      </c>
      <c r="M436" s="2">
        <v>735</v>
      </c>
      <c r="N436" s="2" t="s">
        <v>135</v>
      </c>
      <c r="O436" s="2">
        <v>0.19</v>
      </c>
      <c r="P436" s="2">
        <v>0.74</v>
      </c>
      <c r="Q436" s="2">
        <v>1311500</v>
      </c>
      <c r="R436" s="2">
        <v>24</v>
      </c>
      <c r="S436" s="2">
        <v>667104</v>
      </c>
      <c r="T436" s="2">
        <v>398069</v>
      </c>
      <c r="U436" s="2">
        <v>0</v>
      </c>
      <c r="V436" s="2">
        <v>0</v>
      </c>
      <c r="W436" s="2">
        <v>0</v>
      </c>
      <c r="X436" s="30" t="s">
        <v>148</v>
      </c>
    </row>
    <row r="437" spans="1:24">
      <c r="A437" s="5" t="s">
        <v>1024</v>
      </c>
      <c r="B437" s="2" t="s">
        <v>1025</v>
      </c>
      <c r="C437" s="26">
        <v>45234</v>
      </c>
      <c r="D437" s="2" t="s">
        <v>158</v>
      </c>
      <c r="E437" s="2" t="s">
        <v>144</v>
      </c>
      <c r="F437" s="2" t="s">
        <v>151</v>
      </c>
      <c r="G437" s="2" t="s">
        <v>152</v>
      </c>
      <c r="H437" s="2">
        <v>24</v>
      </c>
      <c r="I437" s="2">
        <v>1065000</v>
      </c>
      <c r="J437" s="2">
        <v>14.91</v>
      </c>
      <c r="K437" s="2">
        <v>51593</v>
      </c>
      <c r="L437" s="2">
        <v>940943</v>
      </c>
      <c r="M437" s="2">
        <v>689</v>
      </c>
      <c r="N437" s="2" t="s">
        <v>140</v>
      </c>
      <c r="O437" s="2">
        <v>0.17</v>
      </c>
      <c r="P437" s="2">
        <v>0.85</v>
      </c>
      <c r="Q437" s="2">
        <v>1247300</v>
      </c>
      <c r="R437" s="2">
        <v>24</v>
      </c>
      <c r="S437" s="2">
        <v>1188546</v>
      </c>
      <c r="T437" s="2">
        <v>3487</v>
      </c>
      <c r="U437" s="2">
        <v>0</v>
      </c>
      <c r="V437" s="2">
        <v>0</v>
      </c>
      <c r="W437" s="2">
        <v>0</v>
      </c>
      <c r="X437" s="30" t="s">
        <v>141</v>
      </c>
    </row>
    <row r="438" spans="1:24">
      <c r="A438" s="5" t="s">
        <v>1026</v>
      </c>
      <c r="B438" s="2" t="s">
        <v>1027</v>
      </c>
      <c r="C438" s="26">
        <v>45259</v>
      </c>
      <c r="D438" s="2" t="s">
        <v>158</v>
      </c>
      <c r="E438" s="2" t="s">
        <v>144</v>
      </c>
      <c r="F438" s="2" t="s">
        <v>151</v>
      </c>
      <c r="G438" s="2" t="s">
        <v>134</v>
      </c>
      <c r="H438" s="2">
        <v>120</v>
      </c>
      <c r="I438" s="2">
        <v>2097100</v>
      </c>
      <c r="J438" s="2">
        <v>15.61</v>
      </c>
      <c r="K438" s="2">
        <v>34621</v>
      </c>
      <c r="L438" s="2">
        <v>582334</v>
      </c>
      <c r="M438" s="2">
        <v>698</v>
      </c>
      <c r="N438" s="2" t="s">
        <v>140</v>
      </c>
      <c r="O438" s="2">
        <v>0.16</v>
      </c>
      <c r="P438" s="2">
        <v>0.65</v>
      </c>
      <c r="Q438" s="2">
        <v>3210900</v>
      </c>
      <c r="R438" s="2">
        <v>25</v>
      </c>
      <c r="S438" s="2">
        <v>797893</v>
      </c>
      <c r="T438" s="2">
        <v>1572005</v>
      </c>
      <c r="U438" s="2">
        <v>0</v>
      </c>
      <c r="V438" s="2">
        <v>0</v>
      </c>
      <c r="W438" s="2">
        <v>0</v>
      </c>
      <c r="X438" s="30" t="s">
        <v>148</v>
      </c>
    </row>
    <row r="439" spans="1:24">
      <c r="A439" s="5" t="s">
        <v>1028</v>
      </c>
      <c r="B439" s="2" t="s">
        <v>1029</v>
      </c>
      <c r="C439" s="26">
        <v>45202</v>
      </c>
      <c r="D439" s="2" t="s">
        <v>163</v>
      </c>
      <c r="E439" s="2" t="s">
        <v>132</v>
      </c>
      <c r="F439" s="2" t="s">
        <v>151</v>
      </c>
      <c r="G439" s="2" t="s">
        <v>134</v>
      </c>
      <c r="H439" s="2">
        <v>48</v>
      </c>
      <c r="I439" s="2">
        <v>433900</v>
      </c>
      <c r="J439" s="2">
        <v>9.5500000000000007</v>
      </c>
      <c r="K439" s="2">
        <v>10911</v>
      </c>
      <c r="L439" s="2">
        <v>1265974</v>
      </c>
      <c r="M439" s="2">
        <v>722</v>
      </c>
      <c r="N439" s="2" t="s">
        <v>135</v>
      </c>
      <c r="O439" s="2">
        <v>0.16</v>
      </c>
      <c r="P439" s="2">
        <v>0.76</v>
      </c>
      <c r="Q439" s="2">
        <v>570200</v>
      </c>
      <c r="R439" s="2">
        <v>26</v>
      </c>
      <c r="S439" s="2">
        <v>282776</v>
      </c>
      <c r="T439" s="2">
        <v>187036</v>
      </c>
      <c r="U439" s="2">
        <v>5</v>
      </c>
      <c r="V439" s="2">
        <v>0</v>
      </c>
      <c r="W439" s="2">
        <v>0</v>
      </c>
      <c r="X439" s="30" t="s">
        <v>148</v>
      </c>
    </row>
    <row r="440" spans="1:24">
      <c r="A440" s="5" t="s">
        <v>1030</v>
      </c>
      <c r="B440" s="2" t="s">
        <v>1031</v>
      </c>
      <c r="C440" s="26">
        <v>45268</v>
      </c>
      <c r="D440" s="2" t="s">
        <v>177</v>
      </c>
      <c r="E440" s="2" t="s">
        <v>144</v>
      </c>
      <c r="F440" s="2" t="s">
        <v>151</v>
      </c>
      <c r="G440" s="2" t="s">
        <v>134</v>
      </c>
      <c r="H440" s="2">
        <v>12</v>
      </c>
      <c r="I440" s="2">
        <v>388300</v>
      </c>
      <c r="J440" s="2">
        <v>14.01</v>
      </c>
      <c r="K440" s="2">
        <v>34866</v>
      </c>
      <c r="L440" s="2">
        <v>440391</v>
      </c>
      <c r="M440" s="2">
        <v>688</v>
      </c>
      <c r="N440" s="2" t="s">
        <v>140</v>
      </c>
      <c r="O440" s="2">
        <v>0.15</v>
      </c>
      <c r="P440" s="2">
        <v>0.91</v>
      </c>
      <c r="Q440" s="2">
        <v>0</v>
      </c>
      <c r="R440" s="2">
        <v>12</v>
      </c>
      <c r="S440" s="2">
        <v>383017</v>
      </c>
      <c r="T440" s="2">
        <v>27043</v>
      </c>
      <c r="U440" s="2">
        <v>0</v>
      </c>
      <c r="V440" s="2">
        <v>0</v>
      </c>
      <c r="W440" s="2">
        <v>0</v>
      </c>
      <c r="X440" s="30" t="s">
        <v>141</v>
      </c>
    </row>
    <row r="441" spans="1:24">
      <c r="A441" s="5" t="s">
        <v>1032</v>
      </c>
      <c r="B441" s="2" t="s">
        <v>1033</v>
      </c>
      <c r="C441" s="26">
        <v>45244</v>
      </c>
      <c r="D441" s="2" t="s">
        <v>131</v>
      </c>
      <c r="E441" s="2" t="s">
        <v>213</v>
      </c>
      <c r="F441" s="2" t="s">
        <v>151</v>
      </c>
      <c r="G441" s="2" t="s">
        <v>134</v>
      </c>
      <c r="H441" s="2">
        <v>36</v>
      </c>
      <c r="I441" s="2">
        <v>444500</v>
      </c>
      <c r="J441" s="2">
        <v>16.489999999999998</v>
      </c>
      <c r="K441" s="2">
        <v>15735</v>
      </c>
      <c r="L441" s="2">
        <v>845252</v>
      </c>
      <c r="M441" s="2">
        <v>714</v>
      </c>
      <c r="N441" s="2" t="s">
        <v>135</v>
      </c>
      <c r="O441" s="2">
        <v>0.14000000000000001</v>
      </c>
      <c r="P441" s="2">
        <v>0.5</v>
      </c>
      <c r="Q441" s="2">
        <v>0</v>
      </c>
      <c r="R441" s="2">
        <v>25</v>
      </c>
      <c r="S441" s="2">
        <v>380243</v>
      </c>
      <c r="T441" s="2">
        <v>125339</v>
      </c>
      <c r="U441" s="2">
        <v>0</v>
      </c>
      <c r="V441" s="2">
        <v>0</v>
      </c>
      <c r="W441" s="2">
        <v>0</v>
      </c>
      <c r="X441" s="30" t="s">
        <v>148</v>
      </c>
    </row>
    <row r="442" spans="1:24">
      <c r="A442" s="5" t="s">
        <v>1034</v>
      </c>
      <c r="B442" s="2" t="s">
        <v>1035</v>
      </c>
      <c r="C442" s="26">
        <v>45270</v>
      </c>
      <c r="D442" s="2" t="s">
        <v>158</v>
      </c>
      <c r="E442" s="2" t="s">
        <v>132</v>
      </c>
      <c r="F442" s="2" t="s">
        <v>151</v>
      </c>
      <c r="G442" s="2" t="s">
        <v>192</v>
      </c>
      <c r="H442" s="2">
        <v>12</v>
      </c>
      <c r="I442" s="2">
        <v>4548700</v>
      </c>
      <c r="J442" s="2">
        <v>13.39</v>
      </c>
      <c r="K442" s="2">
        <v>407110</v>
      </c>
      <c r="L442" s="2">
        <v>1096115</v>
      </c>
      <c r="M442" s="2">
        <v>719</v>
      </c>
      <c r="N442" s="2" t="s">
        <v>135</v>
      </c>
      <c r="O442" s="2">
        <v>0.12</v>
      </c>
      <c r="P442" s="2">
        <v>0.71</v>
      </c>
      <c r="Q442" s="2">
        <v>6442800</v>
      </c>
      <c r="R442" s="2">
        <v>12</v>
      </c>
      <c r="S442" s="2">
        <v>4922349</v>
      </c>
      <c r="T442" s="2">
        <v>0</v>
      </c>
      <c r="U442" s="2">
        <v>10</v>
      </c>
      <c r="V442" s="2">
        <v>0</v>
      </c>
      <c r="W442" s="2">
        <v>0</v>
      </c>
      <c r="X442" s="30" t="s">
        <v>141</v>
      </c>
    </row>
    <row r="443" spans="1:24">
      <c r="A443" s="5" t="s">
        <v>1036</v>
      </c>
      <c r="B443" s="2" t="s">
        <v>1037</v>
      </c>
      <c r="C443" s="26">
        <v>45648</v>
      </c>
      <c r="D443" s="2" t="s">
        <v>131</v>
      </c>
      <c r="E443" s="2" t="s">
        <v>144</v>
      </c>
      <c r="F443" s="2" t="s">
        <v>139</v>
      </c>
      <c r="G443" s="2" t="s">
        <v>134</v>
      </c>
      <c r="H443" s="2">
        <v>240</v>
      </c>
      <c r="I443" s="2">
        <v>635600</v>
      </c>
      <c r="J443" s="2">
        <v>15.61</v>
      </c>
      <c r="K443" s="2">
        <v>8657</v>
      </c>
      <c r="L443" s="2">
        <v>1256829</v>
      </c>
      <c r="M443" s="2">
        <v>722</v>
      </c>
      <c r="N443" s="2" t="s">
        <v>135</v>
      </c>
      <c r="O443" s="2">
        <v>0.66</v>
      </c>
      <c r="P443" s="2">
        <v>0.77</v>
      </c>
      <c r="Q443" s="2">
        <v>0</v>
      </c>
      <c r="R443" s="2">
        <v>12</v>
      </c>
      <c r="S443" s="2">
        <v>93530</v>
      </c>
      <c r="T443" s="2">
        <v>581757</v>
      </c>
      <c r="U443" s="2">
        <v>0</v>
      </c>
      <c r="V443" s="2">
        <v>0</v>
      </c>
      <c r="W443" s="2">
        <v>0</v>
      </c>
      <c r="X443" s="30" t="s">
        <v>148</v>
      </c>
    </row>
    <row r="444" spans="1:24">
      <c r="A444" s="5" t="s">
        <v>1038</v>
      </c>
      <c r="B444" s="2" t="s">
        <v>1039</v>
      </c>
      <c r="C444" s="26">
        <v>45611</v>
      </c>
      <c r="D444" s="2" t="s">
        <v>163</v>
      </c>
      <c r="E444" s="2" t="s">
        <v>144</v>
      </c>
      <c r="F444" s="2" t="s">
        <v>139</v>
      </c>
      <c r="G444" s="2" t="s">
        <v>134</v>
      </c>
      <c r="H444" s="2">
        <v>24</v>
      </c>
      <c r="I444" s="2">
        <v>873600</v>
      </c>
      <c r="J444" s="2">
        <v>18.670000000000002</v>
      </c>
      <c r="K444" s="2">
        <v>43897</v>
      </c>
      <c r="L444" s="2">
        <v>1027921</v>
      </c>
      <c r="M444" s="2">
        <v>576</v>
      </c>
      <c r="N444" s="2" t="s">
        <v>166</v>
      </c>
      <c r="O444" s="2">
        <v>0.56000000000000005</v>
      </c>
      <c r="P444" s="2">
        <v>0.67</v>
      </c>
      <c r="Q444" s="2">
        <v>1296900</v>
      </c>
      <c r="R444" s="2">
        <v>13</v>
      </c>
      <c r="S444" s="2">
        <v>488838</v>
      </c>
      <c r="T444" s="2">
        <v>455439</v>
      </c>
      <c r="U444" s="2">
        <v>30</v>
      </c>
      <c r="V444" s="2">
        <v>0</v>
      </c>
      <c r="W444" s="2">
        <v>0</v>
      </c>
      <c r="X444" s="30" t="s">
        <v>136</v>
      </c>
    </row>
    <row r="445" spans="1:24">
      <c r="A445" s="5" t="s">
        <v>1040</v>
      </c>
      <c r="B445" s="2" t="s">
        <v>1041</v>
      </c>
      <c r="C445" s="26">
        <v>45610</v>
      </c>
      <c r="D445" s="2" t="s">
        <v>177</v>
      </c>
      <c r="E445" s="2" t="s">
        <v>144</v>
      </c>
      <c r="F445" s="2" t="s">
        <v>133</v>
      </c>
      <c r="G445" s="2" t="s">
        <v>134</v>
      </c>
      <c r="H445" s="2">
        <v>36</v>
      </c>
      <c r="I445" s="2">
        <v>316400</v>
      </c>
      <c r="J445" s="2">
        <v>14.32</v>
      </c>
      <c r="K445" s="2">
        <v>10863</v>
      </c>
      <c r="L445" s="2">
        <v>1089396</v>
      </c>
      <c r="M445" s="2">
        <v>671</v>
      </c>
      <c r="N445" s="2" t="s">
        <v>140</v>
      </c>
      <c r="O445" s="2">
        <v>0.55000000000000004</v>
      </c>
      <c r="P445" s="2">
        <v>0.73</v>
      </c>
      <c r="Q445" s="2">
        <v>0</v>
      </c>
      <c r="R445" s="2">
        <v>13</v>
      </c>
      <c r="S445" s="2">
        <v>133783</v>
      </c>
      <c r="T445" s="2">
        <v>202251</v>
      </c>
      <c r="U445" s="2">
        <v>5</v>
      </c>
      <c r="V445" s="2">
        <v>0</v>
      </c>
      <c r="W445" s="2">
        <v>0</v>
      </c>
      <c r="X445" s="30" t="s">
        <v>148</v>
      </c>
    </row>
    <row r="446" spans="1:24">
      <c r="A446" s="5" t="s">
        <v>1042</v>
      </c>
      <c r="B446" s="2" t="s">
        <v>1043</v>
      </c>
      <c r="C446" s="26">
        <v>45619</v>
      </c>
      <c r="D446" s="2" t="s">
        <v>131</v>
      </c>
      <c r="E446" s="2" t="s">
        <v>132</v>
      </c>
      <c r="F446" s="2" t="s">
        <v>170</v>
      </c>
      <c r="G446" s="2" t="s">
        <v>134</v>
      </c>
      <c r="H446" s="2">
        <v>36</v>
      </c>
      <c r="I446" s="2">
        <v>50000</v>
      </c>
      <c r="J446" s="2">
        <v>19.98</v>
      </c>
      <c r="K446" s="2">
        <v>1858</v>
      </c>
      <c r="L446" s="2">
        <v>770251</v>
      </c>
      <c r="M446" s="2">
        <v>652</v>
      </c>
      <c r="N446" s="2" t="s">
        <v>140</v>
      </c>
      <c r="O446" s="2">
        <v>0.49</v>
      </c>
      <c r="P446" s="2">
        <v>0.79</v>
      </c>
      <c r="Q446" s="2">
        <v>0</v>
      </c>
      <c r="R446" s="2">
        <v>13</v>
      </c>
      <c r="S446" s="2">
        <v>21110</v>
      </c>
      <c r="T446" s="2">
        <v>33219</v>
      </c>
      <c r="U446" s="2">
        <v>0</v>
      </c>
      <c r="V446" s="2">
        <v>0</v>
      </c>
      <c r="W446" s="2">
        <v>0</v>
      </c>
      <c r="X446" s="30" t="s">
        <v>148</v>
      </c>
    </row>
    <row r="447" spans="1:24">
      <c r="A447" s="5" t="s">
        <v>1044</v>
      </c>
      <c r="B447" s="2" t="s">
        <v>1045</v>
      </c>
      <c r="C447" s="26">
        <v>45567</v>
      </c>
      <c r="D447" s="2" t="s">
        <v>131</v>
      </c>
      <c r="E447" s="2" t="s">
        <v>132</v>
      </c>
      <c r="F447" s="2" t="s">
        <v>145</v>
      </c>
      <c r="G447" s="2" t="s">
        <v>152</v>
      </c>
      <c r="H447" s="2">
        <v>180</v>
      </c>
      <c r="I447" s="2">
        <v>478900</v>
      </c>
      <c r="J447" s="2">
        <v>14.16</v>
      </c>
      <c r="K447" s="2">
        <v>6429</v>
      </c>
      <c r="L447" s="2">
        <v>825116</v>
      </c>
      <c r="M447" s="2">
        <v>759</v>
      </c>
      <c r="N447" s="2" t="s">
        <v>160</v>
      </c>
      <c r="O447" s="2">
        <v>0.48</v>
      </c>
      <c r="P447" s="2">
        <v>0.77</v>
      </c>
      <c r="Q447" s="2">
        <v>0</v>
      </c>
      <c r="R447" s="2">
        <v>14</v>
      </c>
      <c r="S447" s="2">
        <v>80377</v>
      </c>
      <c r="T447" s="2">
        <v>430169</v>
      </c>
      <c r="U447" s="2">
        <v>45</v>
      </c>
      <c r="V447" s="2">
        <v>0</v>
      </c>
      <c r="W447" s="2">
        <v>0</v>
      </c>
      <c r="X447" s="30" t="s">
        <v>136</v>
      </c>
    </row>
    <row r="448" spans="1:24">
      <c r="A448" s="5" t="s">
        <v>1046</v>
      </c>
      <c r="B448" s="2" t="s">
        <v>1047</v>
      </c>
      <c r="C448" s="26">
        <v>45637</v>
      </c>
      <c r="D448" s="2" t="s">
        <v>169</v>
      </c>
      <c r="E448" s="2" t="s">
        <v>132</v>
      </c>
      <c r="F448" s="2" t="s">
        <v>170</v>
      </c>
      <c r="G448" s="2" t="s">
        <v>134</v>
      </c>
      <c r="H448" s="2">
        <v>60</v>
      </c>
      <c r="I448" s="2">
        <v>3418900</v>
      </c>
      <c r="J448" s="2">
        <v>10.91</v>
      </c>
      <c r="K448" s="2">
        <v>74182</v>
      </c>
      <c r="L448" s="2">
        <v>1004621</v>
      </c>
      <c r="M448" s="2">
        <v>670</v>
      </c>
      <c r="N448" s="2" t="s">
        <v>140</v>
      </c>
      <c r="O448" s="2">
        <v>0.47</v>
      </c>
      <c r="P448" s="2">
        <v>0.75</v>
      </c>
      <c r="Q448" s="2">
        <v>4540300</v>
      </c>
      <c r="R448" s="2">
        <v>12</v>
      </c>
      <c r="S448" s="2">
        <v>880043</v>
      </c>
      <c r="T448" s="2">
        <v>2688058</v>
      </c>
      <c r="U448" s="2">
        <v>0</v>
      </c>
      <c r="V448" s="2">
        <v>0</v>
      </c>
      <c r="W448" s="2">
        <v>0</v>
      </c>
      <c r="X448" s="30" t="s">
        <v>148</v>
      </c>
    </row>
    <row r="449" spans="1:24">
      <c r="A449" s="5" t="s">
        <v>1048</v>
      </c>
      <c r="B449" s="2" t="s">
        <v>1049</v>
      </c>
      <c r="C449" s="26">
        <v>45571</v>
      </c>
      <c r="D449" s="2" t="s">
        <v>163</v>
      </c>
      <c r="E449" s="2" t="s">
        <v>159</v>
      </c>
      <c r="F449" s="2" t="s">
        <v>170</v>
      </c>
      <c r="G449" s="2" t="s">
        <v>134</v>
      </c>
      <c r="H449" s="2">
        <v>120</v>
      </c>
      <c r="I449" s="2">
        <v>390900</v>
      </c>
      <c r="J449" s="2">
        <v>15.54</v>
      </c>
      <c r="K449" s="2">
        <v>6436</v>
      </c>
      <c r="L449" s="2">
        <v>864896</v>
      </c>
      <c r="M449" s="2">
        <v>604</v>
      </c>
      <c r="N449" s="2" t="s">
        <v>147</v>
      </c>
      <c r="O449" s="2">
        <v>0.42</v>
      </c>
      <c r="P449" s="2">
        <v>0.64</v>
      </c>
      <c r="Q449" s="2">
        <v>615400</v>
      </c>
      <c r="R449" s="2">
        <v>14</v>
      </c>
      <c r="S449" s="2">
        <v>91782</v>
      </c>
      <c r="T449" s="2">
        <v>327466</v>
      </c>
      <c r="U449" s="2">
        <v>60</v>
      </c>
      <c r="V449" s="2">
        <v>0</v>
      </c>
      <c r="W449" s="2">
        <v>0</v>
      </c>
      <c r="X449" s="30" t="s">
        <v>136</v>
      </c>
    </row>
    <row r="450" spans="1:24">
      <c r="A450" s="5" t="s">
        <v>1050</v>
      </c>
      <c r="B450" s="2" t="s">
        <v>1051</v>
      </c>
      <c r="C450" s="26">
        <v>45598</v>
      </c>
      <c r="D450" s="2" t="s">
        <v>158</v>
      </c>
      <c r="E450" s="2" t="s">
        <v>144</v>
      </c>
      <c r="F450" s="2" t="s">
        <v>145</v>
      </c>
      <c r="G450" s="2" t="s">
        <v>134</v>
      </c>
      <c r="H450" s="2">
        <v>24</v>
      </c>
      <c r="I450" s="2">
        <v>2149400</v>
      </c>
      <c r="J450" s="2">
        <v>17.36</v>
      </c>
      <c r="K450" s="2">
        <v>106643</v>
      </c>
      <c r="L450" s="2">
        <v>553113</v>
      </c>
      <c r="M450" s="2">
        <v>660</v>
      </c>
      <c r="N450" s="2" t="s">
        <v>140</v>
      </c>
      <c r="O450" s="2">
        <v>0.4</v>
      </c>
      <c r="P450" s="2">
        <v>0.88</v>
      </c>
      <c r="Q450" s="2">
        <v>2431500</v>
      </c>
      <c r="R450" s="2">
        <v>13</v>
      </c>
      <c r="S450" s="2">
        <v>1349877</v>
      </c>
      <c r="T450" s="2">
        <v>961215</v>
      </c>
      <c r="U450" s="2">
        <v>45</v>
      </c>
      <c r="V450" s="2">
        <v>0</v>
      </c>
      <c r="W450" s="2">
        <v>0</v>
      </c>
      <c r="X450" s="30" t="s">
        <v>136</v>
      </c>
    </row>
    <row r="451" spans="1:24">
      <c r="A451" s="5" t="s">
        <v>1052</v>
      </c>
      <c r="B451" s="2" t="s">
        <v>1053</v>
      </c>
      <c r="C451" s="26">
        <v>45634</v>
      </c>
      <c r="D451" s="2" t="s">
        <v>131</v>
      </c>
      <c r="E451" s="2" t="s">
        <v>132</v>
      </c>
      <c r="F451" s="2" t="s">
        <v>133</v>
      </c>
      <c r="G451" s="2" t="s">
        <v>134</v>
      </c>
      <c r="H451" s="2">
        <v>180</v>
      </c>
      <c r="I451" s="2">
        <v>386100</v>
      </c>
      <c r="J451" s="2">
        <v>17.32</v>
      </c>
      <c r="K451" s="2">
        <v>6030</v>
      </c>
      <c r="L451" s="2">
        <v>1078031</v>
      </c>
      <c r="M451" s="2">
        <v>702</v>
      </c>
      <c r="N451" s="2" t="s">
        <v>135</v>
      </c>
      <c r="O451" s="2">
        <v>0.39</v>
      </c>
      <c r="P451" s="2">
        <v>0.78</v>
      </c>
      <c r="Q451" s="2">
        <v>0</v>
      </c>
      <c r="R451" s="2">
        <v>12</v>
      </c>
      <c r="S451" s="2">
        <v>67656</v>
      </c>
      <c r="T451" s="2">
        <v>345193</v>
      </c>
      <c r="U451" s="2">
        <v>0</v>
      </c>
      <c r="V451" s="2">
        <v>0</v>
      </c>
      <c r="W451" s="2">
        <v>0</v>
      </c>
      <c r="X451" s="30" t="s">
        <v>148</v>
      </c>
    </row>
    <row r="452" spans="1:24">
      <c r="A452" s="5" t="s">
        <v>1054</v>
      </c>
      <c r="B452" s="2" t="s">
        <v>1055</v>
      </c>
      <c r="C452" s="26">
        <v>45638</v>
      </c>
      <c r="D452" s="2" t="s">
        <v>169</v>
      </c>
      <c r="E452" s="2" t="s">
        <v>132</v>
      </c>
      <c r="F452" s="2" t="s">
        <v>145</v>
      </c>
      <c r="G452" s="2" t="s">
        <v>134</v>
      </c>
      <c r="H452" s="2">
        <v>360</v>
      </c>
      <c r="I452" s="2">
        <v>3166500</v>
      </c>
      <c r="J452" s="2">
        <v>11.37</v>
      </c>
      <c r="K452" s="2">
        <v>31044</v>
      </c>
      <c r="L452" s="2">
        <v>1216841</v>
      </c>
      <c r="M452" s="2">
        <v>672</v>
      </c>
      <c r="N452" s="2" t="s">
        <v>140</v>
      </c>
      <c r="O452" s="2">
        <v>0.39</v>
      </c>
      <c r="P452" s="2">
        <v>0.63</v>
      </c>
      <c r="Q452" s="2">
        <v>5017800</v>
      </c>
      <c r="R452" s="2">
        <v>12</v>
      </c>
      <c r="S452" s="2">
        <v>332312</v>
      </c>
      <c r="T452" s="2">
        <v>2978200</v>
      </c>
      <c r="U452" s="2">
        <v>30</v>
      </c>
      <c r="V452" s="2">
        <v>0</v>
      </c>
      <c r="W452" s="2">
        <v>0</v>
      </c>
      <c r="X452" s="30" t="s">
        <v>136</v>
      </c>
    </row>
    <row r="453" spans="1:24">
      <c r="A453" s="5" t="s">
        <v>1056</v>
      </c>
      <c r="B453" s="2" t="s">
        <v>1057</v>
      </c>
      <c r="C453" s="26">
        <v>45643</v>
      </c>
      <c r="D453" s="2" t="s">
        <v>163</v>
      </c>
      <c r="E453" s="2" t="s">
        <v>213</v>
      </c>
      <c r="F453" s="2" t="s">
        <v>170</v>
      </c>
      <c r="G453" s="2" t="s">
        <v>134</v>
      </c>
      <c r="H453" s="2">
        <v>12</v>
      </c>
      <c r="I453" s="2">
        <v>574000</v>
      </c>
      <c r="J453" s="2">
        <v>15.08</v>
      </c>
      <c r="K453" s="2">
        <v>51830</v>
      </c>
      <c r="L453" s="2">
        <v>903844</v>
      </c>
      <c r="M453" s="2">
        <v>649</v>
      </c>
      <c r="N453" s="2" t="s">
        <v>147</v>
      </c>
      <c r="O453" s="2">
        <v>0.37</v>
      </c>
      <c r="P453" s="2">
        <v>0.94</v>
      </c>
      <c r="Q453" s="2">
        <v>613200</v>
      </c>
      <c r="R453" s="2">
        <v>12</v>
      </c>
      <c r="S453" s="2">
        <v>587088</v>
      </c>
      <c r="T453" s="2">
        <v>21536</v>
      </c>
      <c r="U453" s="2">
        <v>0</v>
      </c>
      <c r="V453" s="2">
        <v>0</v>
      </c>
      <c r="W453" s="2">
        <v>0</v>
      </c>
      <c r="X453" s="30" t="s">
        <v>141</v>
      </c>
    </row>
    <row r="454" spans="1:24">
      <c r="A454" s="5" t="s">
        <v>1058</v>
      </c>
      <c r="B454" s="2" t="s">
        <v>1059</v>
      </c>
      <c r="C454" s="26">
        <v>45570</v>
      </c>
      <c r="D454" s="2" t="s">
        <v>158</v>
      </c>
      <c r="E454" s="2" t="s">
        <v>132</v>
      </c>
      <c r="F454" s="2" t="s">
        <v>151</v>
      </c>
      <c r="G454" s="2" t="s">
        <v>134</v>
      </c>
      <c r="H454" s="2">
        <v>12</v>
      </c>
      <c r="I454" s="2">
        <v>1148500</v>
      </c>
      <c r="J454" s="2">
        <v>10.44</v>
      </c>
      <c r="K454" s="2">
        <v>101207</v>
      </c>
      <c r="L454" s="2">
        <v>1025579</v>
      </c>
      <c r="M454" s="2">
        <v>759</v>
      </c>
      <c r="N454" s="2" t="s">
        <v>160</v>
      </c>
      <c r="O454" s="2">
        <v>0.37</v>
      </c>
      <c r="P454" s="2">
        <v>0.8</v>
      </c>
      <c r="Q454" s="2">
        <v>1433700</v>
      </c>
      <c r="R454" s="2">
        <v>12</v>
      </c>
      <c r="S454" s="2">
        <v>1078722</v>
      </c>
      <c r="T454" s="2">
        <v>117739</v>
      </c>
      <c r="U454" s="2">
        <v>45</v>
      </c>
      <c r="V454" s="2">
        <v>0</v>
      </c>
      <c r="W454" s="2">
        <v>0</v>
      </c>
      <c r="X454" s="30" t="s">
        <v>141</v>
      </c>
    </row>
    <row r="455" spans="1:24">
      <c r="A455" s="5" t="s">
        <v>1060</v>
      </c>
      <c r="B455" s="2" t="s">
        <v>1061</v>
      </c>
      <c r="C455" s="26">
        <v>45609</v>
      </c>
      <c r="D455" s="2" t="s">
        <v>169</v>
      </c>
      <c r="E455" s="2" t="s">
        <v>144</v>
      </c>
      <c r="F455" s="2" t="s">
        <v>145</v>
      </c>
      <c r="G455" s="2" t="s">
        <v>146</v>
      </c>
      <c r="H455" s="2">
        <v>48</v>
      </c>
      <c r="I455" s="2">
        <v>3448700</v>
      </c>
      <c r="J455" s="2">
        <v>9.0500000000000007</v>
      </c>
      <c r="K455" s="2">
        <v>85903</v>
      </c>
      <c r="L455" s="2">
        <v>654971</v>
      </c>
      <c r="M455" s="2">
        <v>726</v>
      </c>
      <c r="N455" s="2" t="s">
        <v>135</v>
      </c>
      <c r="O455" s="2">
        <v>0.37</v>
      </c>
      <c r="P455" s="2">
        <v>0.56999999999999995</v>
      </c>
      <c r="Q455" s="2">
        <v>6078400</v>
      </c>
      <c r="R455" s="2">
        <v>13</v>
      </c>
      <c r="S455" s="2">
        <v>1003592</v>
      </c>
      <c r="T455" s="2">
        <v>2580355</v>
      </c>
      <c r="U455" s="2">
        <v>0</v>
      </c>
      <c r="V455" s="2">
        <v>0</v>
      </c>
      <c r="W455" s="2">
        <v>0</v>
      </c>
      <c r="X455" s="30" t="s">
        <v>148</v>
      </c>
    </row>
    <row r="456" spans="1:24">
      <c r="A456" s="5" t="s">
        <v>1062</v>
      </c>
      <c r="B456" s="2" t="s">
        <v>1063</v>
      </c>
      <c r="C456" s="26">
        <v>45652</v>
      </c>
      <c r="D456" s="2" t="s">
        <v>158</v>
      </c>
      <c r="E456" s="2" t="s">
        <v>144</v>
      </c>
      <c r="F456" s="2" t="s">
        <v>133</v>
      </c>
      <c r="G456" s="2" t="s">
        <v>152</v>
      </c>
      <c r="H456" s="2">
        <v>360</v>
      </c>
      <c r="I456" s="2">
        <v>3528000</v>
      </c>
      <c r="J456" s="2">
        <v>7.69</v>
      </c>
      <c r="K456" s="2">
        <v>25129</v>
      </c>
      <c r="L456" s="2">
        <v>1263779</v>
      </c>
      <c r="M456" s="2">
        <v>835</v>
      </c>
      <c r="N456" s="2" t="s">
        <v>160</v>
      </c>
      <c r="O456" s="2">
        <v>0.37</v>
      </c>
      <c r="P456" s="2">
        <v>0.96</v>
      </c>
      <c r="Q456" s="2">
        <v>3661700</v>
      </c>
      <c r="R456" s="2">
        <v>12</v>
      </c>
      <c r="S456" s="2">
        <v>305260</v>
      </c>
      <c r="T456" s="2">
        <v>3331261</v>
      </c>
      <c r="U456" s="2">
        <v>45</v>
      </c>
      <c r="V456" s="2">
        <v>1</v>
      </c>
      <c r="W456" s="2">
        <v>0</v>
      </c>
      <c r="X456" s="30" t="s">
        <v>141</v>
      </c>
    </row>
    <row r="457" spans="1:24">
      <c r="A457" s="5" t="s">
        <v>1064</v>
      </c>
      <c r="B457" s="2" t="s">
        <v>1065</v>
      </c>
      <c r="C457" s="26">
        <v>45642</v>
      </c>
      <c r="D457" s="2" t="s">
        <v>169</v>
      </c>
      <c r="E457" s="2" t="s">
        <v>132</v>
      </c>
      <c r="F457" s="2" t="s">
        <v>151</v>
      </c>
      <c r="G457" s="2" t="s">
        <v>152</v>
      </c>
      <c r="H457" s="2">
        <v>240</v>
      </c>
      <c r="I457" s="2">
        <v>5254000</v>
      </c>
      <c r="J457" s="2">
        <v>11.91</v>
      </c>
      <c r="K457" s="2">
        <v>57522</v>
      </c>
      <c r="L457" s="2">
        <v>1042705</v>
      </c>
      <c r="M457" s="2">
        <v>682</v>
      </c>
      <c r="N457" s="2" t="s">
        <v>140</v>
      </c>
      <c r="O457" s="2">
        <v>0.36</v>
      </c>
      <c r="P457" s="2">
        <v>0.72</v>
      </c>
      <c r="Q457" s="2">
        <v>7293700</v>
      </c>
      <c r="R457" s="2">
        <v>12</v>
      </c>
      <c r="S457" s="2">
        <v>617932</v>
      </c>
      <c r="T457" s="2">
        <v>4886369</v>
      </c>
      <c r="U457" s="2">
        <v>0</v>
      </c>
      <c r="V457" s="2">
        <v>0</v>
      </c>
      <c r="W457" s="2">
        <v>0</v>
      </c>
      <c r="X457" s="30" t="s">
        <v>148</v>
      </c>
    </row>
    <row r="458" spans="1:24">
      <c r="A458" s="5" t="s">
        <v>1066</v>
      </c>
      <c r="B458" s="2" t="s">
        <v>1067</v>
      </c>
      <c r="C458" s="26">
        <v>45592</v>
      </c>
      <c r="D458" s="2" t="s">
        <v>131</v>
      </c>
      <c r="E458" s="2" t="s">
        <v>213</v>
      </c>
      <c r="F458" s="2" t="s">
        <v>170</v>
      </c>
      <c r="G458" s="2" t="s">
        <v>134</v>
      </c>
      <c r="H458" s="2">
        <v>240</v>
      </c>
      <c r="I458" s="2">
        <v>216300</v>
      </c>
      <c r="J458" s="2">
        <v>21.38</v>
      </c>
      <c r="K458" s="2">
        <v>3910</v>
      </c>
      <c r="L458" s="2">
        <v>235765</v>
      </c>
      <c r="M458" s="2">
        <v>631</v>
      </c>
      <c r="N458" s="2" t="s">
        <v>147</v>
      </c>
      <c r="O458" s="2">
        <v>0.35</v>
      </c>
      <c r="P458" s="2">
        <v>0.93</v>
      </c>
      <c r="Q458" s="2">
        <v>0</v>
      </c>
      <c r="R458" s="2">
        <v>14</v>
      </c>
      <c r="S458" s="2">
        <v>53218</v>
      </c>
      <c r="T458" s="2">
        <v>184663</v>
      </c>
      <c r="U458" s="2">
        <v>0</v>
      </c>
      <c r="V458" s="2">
        <v>0</v>
      </c>
      <c r="W458" s="2">
        <v>0</v>
      </c>
      <c r="X458" s="30" t="s">
        <v>148</v>
      </c>
    </row>
    <row r="459" spans="1:24">
      <c r="A459" s="5" t="s">
        <v>1068</v>
      </c>
      <c r="B459" s="2" t="s">
        <v>1069</v>
      </c>
      <c r="C459" s="26">
        <v>45581</v>
      </c>
      <c r="D459" s="2" t="s">
        <v>177</v>
      </c>
      <c r="E459" s="2" t="s">
        <v>144</v>
      </c>
      <c r="F459" s="2" t="s">
        <v>151</v>
      </c>
      <c r="G459" s="2" t="s">
        <v>134</v>
      </c>
      <c r="H459" s="2">
        <v>60</v>
      </c>
      <c r="I459" s="2">
        <v>704200</v>
      </c>
      <c r="J459" s="2">
        <v>8.84</v>
      </c>
      <c r="K459" s="2">
        <v>14563</v>
      </c>
      <c r="L459" s="2">
        <v>519888</v>
      </c>
      <c r="M459" s="2">
        <v>755</v>
      </c>
      <c r="N459" s="2" t="s">
        <v>160</v>
      </c>
      <c r="O459" s="2">
        <v>0.35</v>
      </c>
      <c r="P459" s="2">
        <v>0.69</v>
      </c>
      <c r="Q459" s="2">
        <v>0</v>
      </c>
      <c r="R459" s="2">
        <v>14</v>
      </c>
      <c r="S459" s="2">
        <v>179802</v>
      </c>
      <c r="T459" s="2">
        <v>553449</v>
      </c>
      <c r="U459" s="2">
        <v>10</v>
      </c>
      <c r="V459" s="2">
        <v>0</v>
      </c>
      <c r="W459" s="2">
        <v>0</v>
      </c>
      <c r="X459" s="30" t="s">
        <v>148</v>
      </c>
    </row>
    <row r="460" spans="1:24">
      <c r="A460" s="5" t="s">
        <v>1070</v>
      </c>
      <c r="B460" s="2" t="s">
        <v>1071</v>
      </c>
      <c r="C460" s="26">
        <v>45652</v>
      </c>
      <c r="D460" s="2" t="s">
        <v>131</v>
      </c>
      <c r="E460" s="2" t="s">
        <v>132</v>
      </c>
      <c r="F460" s="2" t="s">
        <v>151</v>
      </c>
      <c r="G460" s="2" t="s">
        <v>146</v>
      </c>
      <c r="H460" s="2">
        <v>60</v>
      </c>
      <c r="I460" s="2">
        <v>53300</v>
      </c>
      <c r="J460" s="2">
        <v>23.37</v>
      </c>
      <c r="K460" s="2">
        <v>1514</v>
      </c>
      <c r="L460" s="2">
        <v>562679</v>
      </c>
      <c r="M460" s="2">
        <v>578</v>
      </c>
      <c r="N460" s="2" t="s">
        <v>166</v>
      </c>
      <c r="O460" s="2">
        <v>0.34</v>
      </c>
      <c r="P460" s="2">
        <v>0.68</v>
      </c>
      <c r="Q460" s="2">
        <v>0</v>
      </c>
      <c r="R460" s="2">
        <v>12</v>
      </c>
      <c r="S460" s="2">
        <v>16311</v>
      </c>
      <c r="T460" s="2">
        <v>41971</v>
      </c>
      <c r="U460" s="2">
        <v>45</v>
      </c>
      <c r="V460" s="2">
        <v>0</v>
      </c>
      <c r="W460" s="2">
        <v>0</v>
      </c>
      <c r="X460" s="30" t="s">
        <v>136</v>
      </c>
    </row>
    <row r="461" spans="1:24">
      <c r="A461" s="5" t="s">
        <v>1072</v>
      </c>
      <c r="B461" s="2" t="s">
        <v>1073</v>
      </c>
      <c r="C461" s="26">
        <v>45576</v>
      </c>
      <c r="D461" s="2" t="s">
        <v>169</v>
      </c>
      <c r="E461" s="2" t="s">
        <v>144</v>
      </c>
      <c r="F461" s="2" t="s">
        <v>170</v>
      </c>
      <c r="G461" s="2" t="s">
        <v>146</v>
      </c>
      <c r="H461" s="2">
        <v>36</v>
      </c>
      <c r="I461" s="2">
        <v>6123600</v>
      </c>
      <c r="J461" s="2">
        <v>9.5399999999999991</v>
      </c>
      <c r="K461" s="2">
        <v>196271</v>
      </c>
      <c r="L461" s="2">
        <v>1382208</v>
      </c>
      <c r="M461" s="2">
        <v>704</v>
      </c>
      <c r="N461" s="2" t="s">
        <v>135</v>
      </c>
      <c r="O461" s="2">
        <v>0.33</v>
      </c>
      <c r="P461" s="2">
        <v>0.9</v>
      </c>
      <c r="Q461" s="2">
        <v>6837700</v>
      </c>
      <c r="R461" s="2">
        <v>14</v>
      </c>
      <c r="S461" s="2">
        <v>2554236</v>
      </c>
      <c r="T461" s="2">
        <v>3841987</v>
      </c>
      <c r="U461" s="2">
        <v>0</v>
      </c>
      <c r="V461" s="2">
        <v>0</v>
      </c>
      <c r="W461" s="2">
        <v>0</v>
      </c>
      <c r="X461" s="30" t="s">
        <v>148</v>
      </c>
    </row>
    <row r="462" spans="1:24">
      <c r="A462" s="5" t="s">
        <v>1074</v>
      </c>
      <c r="B462" s="2" t="s">
        <v>1075</v>
      </c>
      <c r="C462" s="26">
        <v>45625</v>
      </c>
      <c r="D462" s="2" t="s">
        <v>169</v>
      </c>
      <c r="E462" s="2" t="s">
        <v>144</v>
      </c>
      <c r="F462" s="2" t="s">
        <v>139</v>
      </c>
      <c r="G462" s="2" t="s">
        <v>146</v>
      </c>
      <c r="H462" s="2">
        <v>36</v>
      </c>
      <c r="I462" s="2">
        <v>4710600</v>
      </c>
      <c r="J462" s="2">
        <v>9.86</v>
      </c>
      <c r="K462" s="2">
        <v>151688</v>
      </c>
      <c r="L462" s="2">
        <v>869564</v>
      </c>
      <c r="M462" s="2">
        <v>705</v>
      </c>
      <c r="N462" s="2" t="s">
        <v>135</v>
      </c>
      <c r="O462" s="2">
        <v>0.33</v>
      </c>
      <c r="P462" s="2">
        <v>0.75</v>
      </c>
      <c r="Q462" s="2">
        <v>6279800</v>
      </c>
      <c r="R462" s="2">
        <v>13</v>
      </c>
      <c r="S462" s="2">
        <v>2003923</v>
      </c>
      <c r="T462" s="2">
        <v>2907945</v>
      </c>
      <c r="U462" s="2">
        <v>0</v>
      </c>
      <c r="V462" s="2">
        <v>0</v>
      </c>
      <c r="W462" s="2">
        <v>0</v>
      </c>
      <c r="X462" s="30" t="s">
        <v>148</v>
      </c>
    </row>
    <row r="463" spans="1:24">
      <c r="A463" s="5" t="s">
        <v>1076</v>
      </c>
      <c r="B463" s="2" t="s">
        <v>1077</v>
      </c>
      <c r="C463" s="26">
        <v>45624</v>
      </c>
      <c r="D463" s="2" t="s">
        <v>169</v>
      </c>
      <c r="E463" s="2" t="s">
        <v>144</v>
      </c>
      <c r="F463" s="2" t="s">
        <v>170</v>
      </c>
      <c r="G463" s="2" t="s">
        <v>134</v>
      </c>
      <c r="H463" s="2">
        <v>60</v>
      </c>
      <c r="I463" s="2">
        <v>4995000</v>
      </c>
      <c r="J463" s="2">
        <v>7</v>
      </c>
      <c r="K463" s="2">
        <v>98907</v>
      </c>
      <c r="L463" s="2">
        <v>801976</v>
      </c>
      <c r="M463" s="2">
        <v>839</v>
      </c>
      <c r="N463" s="2" t="s">
        <v>160</v>
      </c>
      <c r="O463" s="2">
        <v>0.32</v>
      </c>
      <c r="P463" s="2">
        <v>0.84</v>
      </c>
      <c r="Q463" s="2">
        <v>5940900</v>
      </c>
      <c r="R463" s="2">
        <v>13</v>
      </c>
      <c r="S463" s="2">
        <v>1191476</v>
      </c>
      <c r="T463" s="2">
        <v>3955039</v>
      </c>
      <c r="U463" s="2">
        <v>0</v>
      </c>
      <c r="V463" s="2">
        <v>0</v>
      </c>
      <c r="W463" s="2">
        <v>0</v>
      </c>
      <c r="X463" s="30" t="s">
        <v>148</v>
      </c>
    </row>
    <row r="464" spans="1:24">
      <c r="A464" s="5" t="s">
        <v>1078</v>
      </c>
      <c r="B464" s="2" t="s">
        <v>1079</v>
      </c>
      <c r="C464" s="26">
        <v>45620</v>
      </c>
      <c r="D464" s="2" t="s">
        <v>131</v>
      </c>
      <c r="E464" s="2" t="s">
        <v>132</v>
      </c>
      <c r="F464" s="2" t="s">
        <v>145</v>
      </c>
      <c r="G464" s="2" t="s">
        <v>134</v>
      </c>
      <c r="H464" s="2">
        <v>120</v>
      </c>
      <c r="I464" s="2">
        <v>503500</v>
      </c>
      <c r="J464" s="2">
        <v>16.600000000000001</v>
      </c>
      <c r="K464" s="2">
        <v>8624</v>
      </c>
      <c r="L464" s="2">
        <v>695118</v>
      </c>
      <c r="M464" s="2">
        <v>707</v>
      </c>
      <c r="N464" s="2" t="s">
        <v>135</v>
      </c>
      <c r="O464" s="2">
        <v>0.31</v>
      </c>
      <c r="P464" s="2">
        <v>0.65</v>
      </c>
      <c r="Q464" s="2">
        <v>0</v>
      </c>
      <c r="R464" s="2">
        <v>13</v>
      </c>
      <c r="S464" s="2">
        <v>114064</v>
      </c>
      <c r="T464" s="2">
        <v>425654</v>
      </c>
      <c r="U464" s="2">
        <v>0</v>
      </c>
      <c r="V464" s="2">
        <v>0</v>
      </c>
      <c r="W464" s="2">
        <v>0</v>
      </c>
      <c r="X464" s="30" t="s">
        <v>148</v>
      </c>
    </row>
    <row r="465" spans="1:24">
      <c r="A465" s="5" t="s">
        <v>1080</v>
      </c>
      <c r="B465" s="2" t="s">
        <v>1081</v>
      </c>
      <c r="C465" s="26">
        <v>45623</v>
      </c>
      <c r="D465" s="2" t="s">
        <v>131</v>
      </c>
      <c r="E465" s="2" t="s">
        <v>132</v>
      </c>
      <c r="F465" s="2" t="s">
        <v>151</v>
      </c>
      <c r="G465" s="2" t="s">
        <v>134</v>
      </c>
      <c r="H465" s="2">
        <v>120</v>
      </c>
      <c r="I465" s="2">
        <v>345900</v>
      </c>
      <c r="J465" s="2">
        <v>15.68</v>
      </c>
      <c r="K465" s="2">
        <v>5725</v>
      </c>
      <c r="L465" s="2">
        <v>980735</v>
      </c>
      <c r="M465" s="2">
        <v>722</v>
      </c>
      <c r="N465" s="2" t="s">
        <v>135</v>
      </c>
      <c r="O465" s="2">
        <v>0.3</v>
      </c>
      <c r="P465" s="2">
        <v>0.68</v>
      </c>
      <c r="Q465" s="2">
        <v>0</v>
      </c>
      <c r="R465" s="2">
        <v>13</v>
      </c>
      <c r="S465" s="2">
        <v>68489</v>
      </c>
      <c r="T465" s="2">
        <v>300914</v>
      </c>
      <c r="U465" s="2">
        <v>0</v>
      </c>
      <c r="V465" s="2">
        <v>0</v>
      </c>
      <c r="W465" s="2">
        <v>0</v>
      </c>
      <c r="X465" s="30" t="s">
        <v>148</v>
      </c>
    </row>
    <row r="466" spans="1:24">
      <c r="A466" s="5" t="s">
        <v>1082</v>
      </c>
      <c r="B466" s="2" t="s">
        <v>1083</v>
      </c>
      <c r="C466" s="26">
        <v>45612</v>
      </c>
      <c r="D466" s="2" t="s">
        <v>131</v>
      </c>
      <c r="E466" s="2" t="s">
        <v>144</v>
      </c>
      <c r="F466" s="2" t="s">
        <v>151</v>
      </c>
      <c r="G466" s="2" t="s">
        <v>134</v>
      </c>
      <c r="H466" s="2">
        <v>24</v>
      </c>
      <c r="I466" s="2">
        <v>465000</v>
      </c>
      <c r="J466" s="2">
        <v>19.46</v>
      </c>
      <c r="K466" s="2">
        <v>23544</v>
      </c>
      <c r="L466" s="2">
        <v>624971</v>
      </c>
      <c r="M466" s="2">
        <v>658</v>
      </c>
      <c r="N466" s="2" t="s">
        <v>140</v>
      </c>
      <c r="O466" s="2">
        <v>0.28000000000000003</v>
      </c>
      <c r="P466" s="2">
        <v>0.63</v>
      </c>
      <c r="Q466" s="2">
        <v>0</v>
      </c>
      <c r="R466" s="2">
        <v>13</v>
      </c>
      <c r="S466" s="2">
        <v>307151</v>
      </c>
      <c r="T466" s="2">
        <v>197061</v>
      </c>
      <c r="U466" s="2">
        <v>0</v>
      </c>
      <c r="V466" s="2">
        <v>0</v>
      </c>
      <c r="W466" s="2">
        <v>0</v>
      </c>
      <c r="X466" s="30" t="s">
        <v>148</v>
      </c>
    </row>
    <row r="467" spans="1:24">
      <c r="A467" s="5" t="s">
        <v>1084</v>
      </c>
      <c r="B467" s="2" t="s">
        <v>1085</v>
      </c>
      <c r="C467" s="26">
        <v>45576</v>
      </c>
      <c r="D467" s="2" t="s">
        <v>177</v>
      </c>
      <c r="E467" s="2" t="s">
        <v>132</v>
      </c>
      <c r="F467" s="2" t="s">
        <v>145</v>
      </c>
      <c r="G467" s="2" t="s">
        <v>134</v>
      </c>
      <c r="H467" s="2">
        <v>36</v>
      </c>
      <c r="I467" s="2">
        <v>822600</v>
      </c>
      <c r="J467" s="2">
        <v>12.4</v>
      </c>
      <c r="K467" s="2">
        <v>27480</v>
      </c>
      <c r="L467" s="2">
        <v>656937</v>
      </c>
      <c r="M467" s="2">
        <v>697</v>
      </c>
      <c r="N467" s="2" t="s">
        <v>140</v>
      </c>
      <c r="O467" s="2">
        <v>0.27</v>
      </c>
      <c r="P467" s="2">
        <v>0.78</v>
      </c>
      <c r="Q467" s="2">
        <v>0</v>
      </c>
      <c r="R467" s="2">
        <v>14</v>
      </c>
      <c r="S467" s="2">
        <v>388014</v>
      </c>
      <c r="T467" s="2">
        <v>482187</v>
      </c>
      <c r="U467" s="2">
        <v>0</v>
      </c>
      <c r="V467" s="2">
        <v>0</v>
      </c>
      <c r="W467" s="2">
        <v>0</v>
      </c>
      <c r="X467" s="30" t="s">
        <v>148</v>
      </c>
    </row>
    <row r="468" spans="1:24">
      <c r="A468" s="5" t="s">
        <v>1086</v>
      </c>
      <c r="B468" s="2" t="s">
        <v>1087</v>
      </c>
      <c r="C468" s="26">
        <v>45650</v>
      </c>
      <c r="D468" s="2" t="s">
        <v>169</v>
      </c>
      <c r="E468" s="2" t="s">
        <v>144</v>
      </c>
      <c r="F468" s="2" t="s">
        <v>145</v>
      </c>
      <c r="G468" s="2" t="s">
        <v>134</v>
      </c>
      <c r="H468" s="2">
        <v>24</v>
      </c>
      <c r="I468" s="2">
        <v>2888500</v>
      </c>
      <c r="J468" s="2">
        <v>11.45</v>
      </c>
      <c r="K468" s="2">
        <v>135231</v>
      </c>
      <c r="L468" s="2">
        <v>720227</v>
      </c>
      <c r="M468" s="2">
        <v>683</v>
      </c>
      <c r="N468" s="2" t="s">
        <v>140</v>
      </c>
      <c r="O468" s="2">
        <v>0.27</v>
      </c>
      <c r="P468" s="2">
        <v>1</v>
      </c>
      <c r="Q468" s="2">
        <v>2890600</v>
      </c>
      <c r="R468" s="2">
        <v>12</v>
      </c>
      <c r="S468" s="2">
        <v>1570584</v>
      </c>
      <c r="T468" s="2">
        <v>1450209</v>
      </c>
      <c r="U468" s="2">
        <v>0</v>
      </c>
      <c r="V468" s="2">
        <v>0</v>
      </c>
      <c r="W468" s="2">
        <v>0</v>
      </c>
      <c r="X468" s="30" t="s">
        <v>148</v>
      </c>
    </row>
    <row r="469" spans="1:24">
      <c r="A469" s="5" t="s">
        <v>1088</v>
      </c>
      <c r="B469" s="2" t="s">
        <v>1089</v>
      </c>
      <c r="C469" s="26">
        <v>45579</v>
      </c>
      <c r="D469" s="2" t="s">
        <v>131</v>
      </c>
      <c r="E469" s="2" t="s">
        <v>132</v>
      </c>
      <c r="F469" s="2" t="s">
        <v>151</v>
      </c>
      <c r="G469" s="2" t="s">
        <v>152</v>
      </c>
      <c r="H469" s="2">
        <v>180</v>
      </c>
      <c r="I469" s="2">
        <v>663700</v>
      </c>
      <c r="J469" s="2">
        <v>22.09</v>
      </c>
      <c r="K469" s="2">
        <v>12694</v>
      </c>
      <c r="L469" s="2">
        <v>824664</v>
      </c>
      <c r="M469" s="2">
        <v>610</v>
      </c>
      <c r="N469" s="2" t="s">
        <v>147</v>
      </c>
      <c r="O469" s="2">
        <v>0.23</v>
      </c>
      <c r="P469" s="2">
        <v>0.77</v>
      </c>
      <c r="Q469" s="2">
        <v>0</v>
      </c>
      <c r="R469" s="2">
        <v>14</v>
      </c>
      <c r="S469" s="2">
        <v>156525</v>
      </c>
      <c r="T469" s="2">
        <v>575594</v>
      </c>
      <c r="U469" s="2">
        <v>0</v>
      </c>
      <c r="V469" s="2">
        <v>0</v>
      </c>
      <c r="W469" s="2">
        <v>0</v>
      </c>
      <c r="X469" s="30" t="s">
        <v>148</v>
      </c>
    </row>
    <row r="470" spans="1:24">
      <c r="A470" s="5" t="s">
        <v>1090</v>
      </c>
      <c r="B470" s="2" t="s">
        <v>1091</v>
      </c>
      <c r="C470" s="26">
        <v>45588</v>
      </c>
      <c r="D470" s="2" t="s">
        <v>158</v>
      </c>
      <c r="E470" s="2" t="s">
        <v>144</v>
      </c>
      <c r="F470" s="2" t="s">
        <v>151</v>
      </c>
      <c r="G470" s="2" t="s">
        <v>134</v>
      </c>
      <c r="H470" s="2">
        <v>36</v>
      </c>
      <c r="I470" s="2">
        <v>3181700</v>
      </c>
      <c r="J470" s="2">
        <v>18.29</v>
      </c>
      <c r="K470" s="2">
        <v>115489</v>
      </c>
      <c r="L470" s="2">
        <v>1822159</v>
      </c>
      <c r="M470" s="2">
        <v>616</v>
      </c>
      <c r="N470" s="2" t="s">
        <v>147</v>
      </c>
      <c r="O470" s="2">
        <v>0.21</v>
      </c>
      <c r="P470" s="2">
        <v>0.69</v>
      </c>
      <c r="Q470" s="2">
        <v>4613100</v>
      </c>
      <c r="R470" s="2">
        <v>14</v>
      </c>
      <c r="S470" s="2">
        <v>1445629</v>
      </c>
      <c r="T470" s="2">
        <v>2007640</v>
      </c>
      <c r="U470" s="2">
        <v>0</v>
      </c>
      <c r="V470" s="2">
        <v>0</v>
      </c>
      <c r="W470" s="2">
        <v>0</v>
      </c>
      <c r="X470" s="30" t="s">
        <v>148</v>
      </c>
    </row>
    <row r="471" spans="1:24">
      <c r="A471" s="5" t="s">
        <v>1092</v>
      </c>
      <c r="B471" s="2" t="s">
        <v>1093</v>
      </c>
      <c r="C471" s="26">
        <v>45596</v>
      </c>
      <c r="D471" s="2" t="s">
        <v>131</v>
      </c>
      <c r="E471" s="2" t="s">
        <v>213</v>
      </c>
      <c r="F471" s="2" t="s">
        <v>139</v>
      </c>
      <c r="G471" s="2" t="s">
        <v>152</v>
      </c>
      <c r="H471" s="2">
        <v>240</v>
      </c>
      <c r="I471" s="2">
        <v>638100</v>
      </c>
      <c r="J471" s="2">
        <v>10.44</v>
      </c>
      <c r="K471" s="2">
        <v>6345</v>
      </c>
      <c r="L471" s="2">
        <v>1364855</v>
      </c>
      <c r="M471" s="2">
        <v>850</v>
      </c>
      <c r="N471" s="2" t="s">
        <v>160</v>
      </c>
      <c r="O471" s="2">
        <v>0.17</v>
      </c>
      <c r="P471" s="2">
        <v>0.66</v>
      </c>
      <c r="Q471" s="2">
        <v>0</v>
      </c>
      <c r="R471" s="2">
        <v>14</v>
      </c>
      <c r="S471" s="2">
        <v>79852</v>
      </c>
      <c r="T471" s="2">
        <v>589336</v>
      </c>
      <c r="U471" s="2">
        <v>0</v>
      </c>
      <c r="V471" s="2">
        <v>0</v>
      </c>
      <c r="W471" s="2">
        <v>0</v>
      </c>
      <c r="X471" s="30" t="s">
        <v>148</v>
      </c>
    </row>
    <row r="472" spans="1:24">
      <c r="A472" s="5" t="s">
        <v>1094</v>
      </c>
      <c r="B472" s="2" t="s">
        <v>1095</v>
      </c>
      <c r="C472" s="26">
        <v>45582</v>
      </c>
      <c r="D472" s="2" t="s">
        <v>131</v>
      </c>
      <c r="E472" s="2" t="s">
        <v>159</v>
      </c>
      <c r="F472" s="2" t="s">
        <v>151</v>
      </c>
      <c r="G472" s="2" t="s">
        <v>134</v>
      </c>
      <c r="H472" s="2">
        <v>48</v>
      </c>
      <c r="I472" s="2">
        <v>614400</v>
      </c>
      <c r="J472" s="2">
        <v>17.63</v>
      </c>
      <c r="K472" s="2">
        <v>17929</v>
      </c>
      <c r="L472" s="2">
        <v>1106024</v>
      </c>
      <c r="M472" s="2">
        <v>678</v>
      </c>
      <c r="N472" s="2" t="s">
        <v>140</v>
      </c>
      <c r="O472" s="2">
        <v>0.13</v>
      </c>
      <c r="P472" s="2">
        <v>0.72</v>
      </c>
      <c r="Q472" s="2">
        <v>0</v>
      </c>
      <c r="R472" s="2">
        <v>14</v>
      </c>
      <c r="S472" s="2">
        <v>247077</v>
      </c>
      <c r="T472" s="2">
        <v>417872</v>
      </c>
      <c r="U472" s="2">
        <v>0</v>
      </c>
      <c r="V472" s="2">
        <v>0</v>
      </c>
      <c r="W472" s="2">
        <v>0</v>
      </c>
      <c r="X472" s="30" t="s">
        <v>148</v>
      </c>
    </row>
    <row r="473" spans="1:24">
      <c r="A473" s="5" t="s">
        <v>1096</v>
      </c>
      <c r="B473" s="2" t="s">
        <v>1097</v>
      </c>
      <c r="C473" s="26">
        <v>45607</v>
      </c>
      <c r="D473" s="2" t="s">
        <v>163</v>
      </c>
      <c r="E473" s="2" t="s">
        <v>144</v>
      </c>
      <c r="F473" s="2" t="s">
        <v>139</v>
      </c>
      <c r="G473" s="2" t="s">
        <v>152</v>
      </c>
      <c r="H473" s="2">
        <v>24</v>
      </c>
      <c r="I473" s="2">
        <v>551200</v>
      </c>
      <c r="J473" s="2">
        <v>14.94</v>
      </c>
      <c r="K473" s="2">
        <v>26710</v>
      </c>
      <c r="L473" s="2">
        <v>188933</v>
      </c>
      <c r="M473" s="2">
        <v>639</v>
      </c>
      <c r="N473" s="2" t="s">
        <v>147</v>
      </c>
      <c r="O473" s="2">
        <v>0.06</v>
      </c>
      <c r="P473" s="2">
        <v>0.78</v>
      </c>
      <c r="Q473" s="2">
        <v>706100</v>
      </c>
      <c r="R473" s="2">
        <v>13</v>
      </c>
      <c r="S473" s="2">
        <v>333755</v>
      </c>
      <c r="T473" s="2">
        <v>253130</v>
      </c>
      <c r="U473" s="2">
        <v>0</v>
      </c>
      <c r="V473" s="2">
        <v>1</v>
      </c>
      <c r="W473" s="2">
        <v>0</v>
      </c>
      <c r="X473" s="30" t="s">
        <v>141</v>
      </c>
    </row>
    <row r="474" spans="1:24">
      <c r="A474" s="5" t="s">
        <v>1098</v>
      </c>
      <c r="B474" s="2" t="s">
        <v>1099</v>
      </c>
      <c r="C474" s="26">
        <v>45619</v>
      </c>
      <c r="D474" s="2" t="s">
        <v>131</v>
      </c>
      <c r="E474" s="2" t="s">
        <v>144</v>
      </c>
      <c r="F474" s="2" t="s">
        <v>133</v>
      </c>
      <c r="G474" s="2" t="s">
        <v>134</v>
      </c>
      <c r="H474" s="2">
        <v>24</v>
      </c>
      <c r="I474" s="2">
        <v>144100</v>
      </c>
      <c r="J474" s="2">
        <v>20.079999999999998</v>
      </c>
      <c r="K474" s="2">
        <v>7340</v>
      </c>
      <c r="L474" s="2">
        <v>867095</v>
      </c>
      <c r="M474" s="2">
        <v>638</v>
      </c>
      <c r="N474" s="2" t="s">
        <v>147</v>
      </c>
      <c r="O474" s="2">
        <v>0.05</v>
      </c>
      <c r="P474" s="2">
        <v>0.6</v>
      </c>
      <c r="Q474" s="2">
        <v>0</v>
      </c>
      <c r="R474" s="2">
        <v>13</v>
      </c>
      <c r="S474" s="2">
        <v>96979</v>
      </c>
      <c r="T474" s="2">
        <v>59660</v>
      </c>
      <c r="U474" s="2">
        <v>0</v>
      </c>
      <c r="V474" s="2">
        <v>0</v>
      </c>
      <c r="W474" s="2">
        <v>0</v>
      </c>
      <c r="X474" s="30" t="s">
        <v>148</v>
      </c>
    </row>
    <row r="475" spans="1:24">
      <c r="A475" s="5" t="s">
        <v>1100</v>
      </c>
      <c r="B475" s="2" t="s">
        <v>1101</v>
      </c>
      <c r="C475" s="26">
        <v>45965</v>
      </c>
      <c r="D475" s="2" t="s">
        <v>169</v>
      </c>
      <c r="E475" s="2" t="s">
        <v>213</v>
      </c>
      <c r="F475" s="2" t="s">
        <v>151</v>
      </c>
      <c r="G475" s="2" t="s">
        <v>134</v>
      </c>
      <c r="H475" s="2">
        <v>24</v>
      </c>
      <c r="I475" s="2">
        <v>3354500</v>
      </c>
      <c r="J475" s="2">
        <v>7</v>
      </c>
      <c r="K475" s="2">
        <v>150190</v>
      </c>
      <c r="L475" s="2">
        <v>869233</v>
      </c>
      <c r="M475" s="2">
        <v>850</v>
      </c>
      <c r="N475" s="2" t="s">
        <v>160</v>
      </c>
      <c r="O475" s="2">
        <v>0.52</v>
      </c>
      <c r="P475" s="2">
        <v>1.19</v>
      </c>
      <c r="Q475" s="2">
        <v>2821200</v>
      </c>
      <c r="R475" s="2">
        <v>1</v>
      </c>
      <c r="S475" s="2">
        <v>131404</v>
      </c>
      <c r="T475" s="2">
        <v>3230923</v>
      </c>
      <c r="U475" s="2">
        <v>0</v>
      </c>
      <c r="V475" s="2">
        <v>1</v>
      </c>
      <c r="W475" s="2">
        <v>0</v>
      </c>
      <c r="X475" s="30" t="s">
        <v>141</v>
      </c>
    </row>
    <row r="476" spans="1:24">
      <c r="A476" s="5" t="s">
        <v>1102</v>
      </c>
      <c r="B476" s="2" t="s">
        <v>1103</v>
      </c>
      <c r="C476" s="26">
        <v>45976</v>
      </c>
      <c r="D476" s="2" t="s">
        <v>131</v>
      </c>
      <c r="E476" s="2" t="s">
        <v>132</v>
      </c>
      <c r="F476" s="2" t="s">
        <v>145</v>
      </c>
      <c r="G476" s="2" t="s">
        <v>134</v>
      </c>
      <c r="H476" s="2">
        <v>24</v>
      </c>
      <c r="I476" s="2">
        <v>751300</v>
      </c>
      <c r="J476" s="2">
        <v>18.989999999999998</v>
      </c>
      <c r="K476" s="2">
        <v>37868</v>
      </c>
      <c r="L476" s="2">
        <v>1138837</v>
      </c>
      <c r="M476" s="2">
        <v>691</v>
      </c>
      <c r="N476" s="2" t="s">
        <v>140</v>
      </c>
      <c r="O476" s="2">
        <v>0.51</v>
      </c>
      <c r="P476" s="2">
        <v>0.61</v>
      </c>
      <c r="Q476" s="2">
        <v>0</v>
      </c>
      <c r="R476" s="2">
        <v>1</v>
      </c>
      <c r="S476" s="2">
        <v>37205</v>
      </c>
      <c r="T476" s="2">
        <v>718851</v>
      </c>
      <c r="U476" s="2">
        <v>90</v>
      </c>
      <c r="V476" s="2">
        <v>0</v>
      </c>
      <c r="W476" s="2">
        <v>1</v>
      </c>
      <c r="X476" s="30" t="s">
        <v>153</v>
      </c>
    </row>
    <row r="477" spans="1:24">
      <c r="A477" s="5" t="s">
        <v>1104</v>
      </c>
      <c r="B477" s="2" t="s">
        <v>1105</v>
      </c>
      <c r="C477" s="26">
        <v>45970</v>
      </c>
      <c r="D477" s="2" t="s">
        <v>177</v>
      </c>
      <c r="E477" s="2" t="s">
        <v>213</v>
      </c>
      <c r="F477" s="2" t="s">
        <v>170</v>
      </c>
      <c r="G477" s="2" t="s">
        <v>134</v>
      </c>
      <c r="H477" s="2">
        <v>60</v>
      </c>
      <c r="I477" s="2">
        <v>1120400</v>
      </c>
      <c r="J477" s="2">
        <v>11.13</v>
      </c>
      <c r="K477" s="2">
        <v>24433</v>
      </c>
      <c r="L477" s="2">
        <v>1474124</v>
      </c>
      <c r="M477" s="2">
        <v>744</v>
      </c>
      <c r="N477" s="2" t="s">
        <v>135</v>
      </c>
      <c r="O477" s="2">
        <v>0.49</v>
      </c>
      <c r="P477" s="2">
        <v>0.75</v>
      </c>
      <c r="Q477" s="2">
        <v>0</v>
      </c>
      <c r="R477" s="2">
        <v>1</v>
      </c>
      <c r="S477" s="2">
        <v>21142</v>
      </c>
      <c r="T477" s="2">
        <v>1103415</v>
      </c>
      <c r="U477" s="2">
        <v>0</v>
      </c>
      <c r="V477" s="2">
        <v>0</v>
      </c>
      <c r="W477" s="2">
        <v>0</v>
      </c>
      <c r="X477" s="30" t="s">
        <v>148</v>
      </c>
    </row>
    <row r="478" spans="1:24">
      <c r="A478" s="5" t="s">
        <v>1106</v>
      </c>
      <c r="B478" s="2" t="s">
        <v>1107</v>
      </c>
      <c r="C478" s="26">
        <v>45971</v>
      </c>
      <c r="D478" s="2" t="s">
        <v>177</v>
      </c>
      <c r="E478" s="2" t="s">
        <v>144</v>
      </c>
      <c r="F478" s="2" t="s">
        <v>133</v>
      </c>
      <c r="G478" s="2" t="s">
        <v>134</v>
      </c>
      <c r="H478" s="2">
        <v>24</v>
      </c>
      <c r="I478" s="2">
        <v>674600</v>
      </c>
      <c r="J478" s="2">
        <v>16.75</v>
      </c>
      <c r="K478" s="2">
        <v>33273</v>
      </c>
      <c r="L478" s="2">
        <v>231583</v>
      </c>
      <c r="M478" s="2">
        <v>601</v>
      </c>
      <c r="N478" s="2" t="s">
        <v>147</v>
      </c>
      <c r="O478" s="2">
        <v>0.48</v>
      </c>
      <c r="P478" s="2">
        <v>1.02</v>
      </c>
      <c r="Q478" s="2">
        <v>0</v>
      </c>
      <c r="R478" s="2">
        <v>1</v>
      </c>
      <c r="S478" s="2">
        <v>28982</v>
      </c>
      <c r="T478" s="2">
        <v>649385</v>
      </c>
      <c r="U478" s="2">
        <v>0</v>
      </c>
      <c r="V478" s="2">
        <v>0</v>
      </c>
      <c r="W478" s="2">
        <v>0</v>
      </c>
      <c r="X478" s="30" t="s">
        <v>148</v>
      </c>
    </row>
    <row r="479" spans="1:24">
      <c r="A479" s="5" t="s">
        <v>1108</v>
      </c>
      <c r="B479" s="2" t="s">
        <v>1109</v>
      </c>
      <c r="C479" s="26">
        <v>45932</v>
      </c>
      <c r="D479" s="2" t="s">
        <v>169</v>
      </c>
      <c r="E479" s="2" t="s">
        <v>132</v>
      </c>
      <c r="F479" s="2" t="s">
        <v>170</v>
      </c>
      <c r="G479" s="2" t="s">
        <v>192</v>
      </c>
      <c r="H479" s="2">
        <v>36</v>
      </c>
      <c r="I479" s="2">
        <v>334200</v>
      </c>
      <c r="J479" s="2">
        <v>7</v>
      </c>
      <c r="K479" s="2">
        <v>10319</v>
      </c>
      <c r="L479" s="2">
        <v>150000</v>
      </c>
      <c r="M479" s="2">
        <v>842</v>
      </c>
      <c r="N479" s="2" t="s">
        <v>160</v>
      </c>
      <c r="O479" s="2">
        <v>0.45</v>
      </c>
      <c r="P479" s="2">
        <v>0.71</v>
      </c>
      <c r="Q479" s="2">
        <v>472000</v>
      </c>
      <c r="R479" s="2">
        <v>2</v>
      </c>
      <c r="S479" s="2">
        <v>20527</v>
      </c>
      <c r="T479" s="2">
        <v>315233</v>
      </c>
      <c r="U479" s="2">
        <v>0</v>
      </c>
      <c r="V479" s="2">
        <v>0</v>
      </c>
      <c r="W479" s="2">
        <v>0</v>
      </c>
      <c r="X479" s="30" t="s">
        <v>148</v>
      </c>
    </row>
    <row r="480" spans="1:24">
      <c r="A480" s="5" t="s">
        <v>1110</v>
      </c>
      <c r="B480" s="2" t="s">
        <v>1111</v>
      </c>
      <c r="C480" s="26">
        <v>45938</v>
      </c>
      <c r="D480" s="2" t="s">
        <v>163</v>
      </c>
      <c r="E480" s="2" t="s">
        <v>132</v>
      </c>
      <c r="F480" s="2" t="s">
        <v>170</v>
      </c>
      <c r="G480" s="2" t="s">
        <v>134</v>
      </c>
      <c r="H480" s="2">
        <v>36</v>
      </c>
      <c r="I480" s="2">
        <v>830100</v>
      </c>
      <c r="J480" s="2">
        <v>15.41</v>
      </c>
      <c r="K480" s="2">
        <v>28943</v>
      </c>
      <c r="L480" s="2">
        <v>360743</v>
      </c>
      <c r="M480" s="2">
        <v>586</v>
      </c>
      <c r="N480" s="2" t="s">
        <v>166</v>
      </c>
      <c r="O480" s="2">
        <v>0.44</v>
      </c>
      <c r="P480" s="2">
        <v>0.65</v>
      </c>
      <c r="Q480" s="2">
        <v>1283100</v>
      </c>
      <c r="R480" s="2">
        <v>2</v>
      </c>
      <c r="S480" s="2">
        <v>54571</v>
      </c>
      <c r="T480" s="2">
        <v>784057</v>
      </c>
      <c r="U480" s="2">
        <v>0</v>
      </c>
      <c r="V480" s="2">
        <v>0</v>
      </c>
      <c r="W480" s="2">
        <v>0</v>
      </c>
      <c r="X480" s="30" t="s">
        <v>148</v>
      </c>
    </row>
    <row r="481" spans="1:24">
      <c r="A481" s="5" t="s">
        <v>1112</v>
      </c>
      <c r="B481" s="2" t="s">
        <v>1113</v>
      </c>
      <c r="C481" s="26">
        <v>45985</v>
      </c>
      <c r="D481" s="2" t="s">
        <v>163</v>
      </c>
      <c r="E481" s="2" t="s">
        <v>132</v>
      </c>
      <c r="F481" s="2" t="s">
        <v>133</v>
      </c>
      <c r="G481" s="2" t="s">
        <v>134</v>
      </c>
      <c r="H481" s="2">
        <v>18</v>
      </c>
      <c r="I481" s="2">
        <v>558000</v>
      </c>
      <c r="J481" s="2">
        <v>8.89</v>
      </c>
      <c r="K481" s="2">
        <v>33227</v>
      </c>
      <c r="L481" s="2">
        <v>1025635</v>
      </c>
      <c r="M481" s="2">
        <v>767</v>
      </c>
      <c r="N481" s="2" t="s">
        <v>160</v>
      </c>
      <c r="O481" s="2">
        <v>0.41</v>
      </c>
      <c r="P481" s="2">
        <v>0.77</v>
      </c>
      <c r="Q481" s="2">
        <v>722900</v>
      </c>
      <c r="R481" s="2">
        <v>1</v>
      </c>
      <c r="S481" s="2">
        <v>31301</v>
      </c>
      <c r="T481" s="2">
        <v>528353</v>
      </c>
      <c r="U481" s="2">
        <v>0</v>
      </c>
      <c r="V481" s="2">
        <v>0</v>
      </c>
      <c r="W481" s="2">
        <v>0</v>
      </c>
      <c r="X481" s="30" t="s">
        <v>148</v>
      </c>
    </row>
    <row r="482" spans="1:24">
      <c r="A482" s="5" t="s">
        <v>1114</v>
      </c>
      <c r="B482" s="2" t="s">
        <v>1115</v>
      </c>
      <c r="C482" s="26">
        <v>45939</v>
      </c>
      <c r="D482" s="2" t="s">
        <v>163</v>
      </c>
      <c r="E482" s="2" t="s">
        <v>144</v>
      </c>
      <c r="F482" s="2" t="s">
        <v>170</v>
      </c>
      <c r="G482" s="2" t="s">
        <v>134</v>
      </c>
      <c r="H482" s="2">
        <v>48</v>
      </c>
      <c r="I482" s="2">
        <v>1199600</v>
      </c>
      <c r="J482" s="2">
        <v>12.54</v>
      </c>
      <c r="K482" s="2">
        <v>31909</v>
      </c>
      <c r="L482" s="2">
        <v>610617</v>
      </c>
      <c r="M482" s="2">
        <v>681</v>
      </c>
      <c r="N482" s="2" t="s">
        <v>140</v>
      </c>
      <c r="O482" s="2">
        <v>0.41</v>
      </c>
      <c r="P482" s="2">
        <v>0.63</v>
      </c>
      <c r="Q482" s="2">
        <v>1901300</v>
      </c>
      <c r="R482" s="2">
        <v>2</v>
      </c>
      <c r="S482" s="2">
        <v>57795</v>
      </c>
      <c r="T482" s="2">
        <v>1151834</v>
      </c>
      <c r="U482" s="2">
        <v>0</v>
      </c>
      <c r="V482" s="2">
        <v>0</v>
      </c>
      <c r="W482" s="2">
        <v>0</v>
      </c>
      <c r="X482" s="30" t="s">
        <v>148</v>
      </c>
    </row>
    <row r="483" spans="1:24">
      <c r="A483" s="5" t="s">
        <v>1116</v>
      </c>
      <c r="B483" s="2" t="s">
        <v>1117</v>
      </c>
      <c r="C483" s="26">
        <v>45969</v>
      </c>
      <c r="D483" s="2" t="s">
        <v>163</v>
      </c>
      <c r="E483" s="2" t="s">
        <v>144</v>
      </c>
      <c r="F483" s="2" t="s">
        <v>151</v>
      </c>
      <c r="G483" s="2" t="s">
        <v>134</v>
      </c>
      <c r="H483" s="2">
        <v>12</v>
      </c>
      <c r="I483" s="2">
        <v>725600</v>
      </c>
      <c r="J483" s="2">
        <v>10.83</v>
      </c>
      <c r="K483" s="2">
        <v>64072</v>
      </c>
      <c r="L483" s="2">
        <v>703843</v>
      </c>
      <c r="M483" s="2">
        <v>716</v>
      </c>
      <c r="N483" s="2" t="s">
        <v>135</v>
      </c>
      <c r="O483" s="2">
        <v>0.4</v>
      </c>
      <c r="P483" s="2">
        <v>0.73</v>
      </c>
      <c r="Q483" s="2">
        <v>989000</v>
      </c>
      <c r="R483" s="2">
        <v>1</v>
      </c>
      <c r="S483" s="2">
        <v>64695</v>
      </c>
      <c r="T483" s="2">
        <v>663524</v>
      </c>
      <c r="U483" s="2">
        <v>0</v>
      </c>
      <c r="V483" s="2">
        <v>0</v>
      </c>
      <c r="W483" s="2">
        <v>0</v>
      </c>
      <c r="X483" s="30" t="s">
        <v>148</v>
      </c>
    </row>
    <row r="484" spans="1:24">
      <c r="A484" s="5" t="s">
        <v>1118</v>
      </c>
      <c r="B484" s="2" t="s">
        <v>1119</v>
      </c>
      <c r="C484" s="26">
        <v>45969</v>
      </c>
      <c r="D484" s="2" t="s">
        <v>177</v>
      </c>
      <c r="E484" s="2" t="s">
        <v>159</v>
      </c>
      <c r="F484" s="2" t="s">
        <v>151</v>
      </c>
      <c r="G484" s="2" t="s">
        <v>134</v>
      </c>
      <c r="H484" s="2">
        <v>36</v>
      </c>
      <c r="I484" s="2">
        <v>1487900</v>
      </c>
      <c r="J484" s="2">
        <v>14.69</v>
      </c>
      <c r="K484" s="2">
        <v>51353</v>
      </c>
      <c r="L484" s="2">
        <v>1094016</v>
      </c>
      <c r="M484" s="2">
        <v>674</v>
      </c>
      <c r="N484" s="2" t="s">
        <v>140</v>
      </c>
      <c r="O484" s="2">
        <v>0.39</v>
      </c>
      <c r="P484" s="2">
        <v>0.76</v>
      </c>
      <c r="Q484" s="2">
        <v>0</v>
      </c>
      <c r="R484" s="2">
        <v>1</v>
      </c>
      <c r="S484" s="2">
        <v>51921</v>
      </c>
      <c r="T484" s="2">
        <v>1443265</v>
      </c>
      <c r="U484" s="2">
        <v>60</v>
      </c>
      <c r="V484" s="2">
        <v>0</v>
      </c>
      <c r="W484" s="2">
        <v>0</v>
      </c>
      <c r="X484" s="30" t="s">
        <v>136</v>
      </c>
    </row>
    <row r="485" spans="1:24">
      <c r="A485" s="5" t="s">
        <v>1120</v>
      </c>
      <c r="B485" s="2" t="s">
        <v>1121</v>
      </c>
      <c r="C485" s="26">
        <v>45985</v>
      </c>
      <c r="D485" s="2" t="s">
        <v>131</v>
      </c>
      <c r="E485" s="2" t="s">
        <v>132</v>
      </c>
      <c r="F485" s="2" t="s">
        <v>133</v>
      </c>
      <c r="G485" s="2" t="s">
        <v>192</v>
      </c>
      <c r="H485" s="2">
        <v>60</v>
      </c>
      <c r="I485" s="2">
        <v>1078600</v>
      </c>
      <c r="J485" s="2">
        <v>19.43</v>
      </c>
      <c r="K485" s="2">
        <v>28235</v>
      </c>
      <c r="L485" s="2">
        <v>1331156</v>
      </c>
      <c r="M485" s="2">
        <v>668</v>
      </c>
      <c r="N485" s="2" t="s">
        <v>140</v>
      </c>
      <c r="O485" s="2">
        <v>0.39</v>
      </c>
      <c r="P485" s="2">
        <v>0.57999999999999996</v>
      </c>
      <c r="Q485" s="2">
        <v>0</v>
      </c>
      <c r="R485" s="2">
        <v>1</v>
      </c>
      <c r="S485" s="2">
        <v>28005</v>
      </c>
      <c r="T485" s="2">
        <v>1057581</v>
      </c>
      <c r="U485" s="2">
        <v>45</v>
      </c>
      <c r="V485" s="2">
        <v>0</v>
      </c>
      <c r="W485" s="2">
        <v>0</v>
      </c>
      <c r="X485" s="30" t="s">
        <v>136</v>
      </c>
    </row>
    <row r="486" spans="1:24">
      <c r="A486" s="5" t="s">
        <v>1122</v>
      </c>
      <c r="B486" s="2" t="s">
        <v>1123</v>
      </c>
      <c r="C486" s="26">
        <v>45969</v>
      </c>
      <c r="D486" s="2" t="s">
        <v>163</v>
      </c>
      <c r="E486" s="2" t="s">
        <v>144</v>
      </c>
      <c r="F486" s="2" t="s">
        <v>145</v>
      </c>
      <c r="G486" s="2" t="s">
        <v>152</v>
      </c>
      <c r="H486" s="2">
        <v>60</v>
      </c>
      <c r="I486" s="2">
        <v>1013600</v>
      </c>
      <c r="J486" s="2">
        <v>9.69</v>
      </c>
      <c r="K486" s="2">
        <v>21382</v>
      </c>
      <c r="L486" s="2">
        <v>1402592</v>
      </c>
      <c r="M486" s="2">
        <v>735</v>
      </c>
      <c r="N486" s="2" t="s">
        <v>135</v>
      </c>
      <c r="O486" s="2">
        <v>0.38</v>
      </c>
      <c r="P486" s="2">
        <v>0.82</v>
      </c>
      <c r="Q486" s="2">
        <v>1237700</v>
      </c>
      <c r="R486" s="2">
        <v>1</v>
      </c>
      <c r="S486" s="2">
        <v>19055</v>
      </c>
      <c r="T486" s="2">
        <v>997819</v>
      </c>
      <c r="U486" s="2">
        <v>0</v>
      </c>
      <c r="V486" s="2">
        <v>1</v>
      </c>
      <c r="W486" s="2">
        <v>0</v>
      </c>
      <c r="X486" s="30" t="s">
        <v>141</v>
      </c>
    </row>
    <row r="487" spans="1:24">
      <c r="A487" s="5" t="s">
        <v>1124</v>
      </c>
      <c r="B487" s="2" t="s">
        <v>1125</v>
      </c>
      <c r="C487" s="26">
        <v>45931</v>
      </c>
      <c r="D487" s="2" t="s">
        <v>177</v>
      </c>
      <c r="E487" s="2" t="s">
        <v>132</v>
      </c>
      <c r="F487" s="2" t="s">
        <v>151</v>
      </c>
      <c r="G487" s="2" t="s">
        <v>134</v>
      </c>
      <c r="H487" s="2">
        <v>60</v>
      </c>
      <c r="I487" s="2">
        <v>1232500</v>
      </c>
      <c r="J487" s="2">
        <v>11.2</v>
      </c>
      <c r="K487" s="2">
        <v>26921</v>
      </c>
      <c r="L487" s="2">
        <v>875495</v>
      </c>
      <c r="M487" s="2">
        <v>738</v>
      </c>
      <c r="N487" s="2" t="s">
        <v>135</v>
      </c>
      <c r="O487" s="2">
        <v>0.37</v>
      </c>
      <c r="P487" s="2">
        <v>0.66</v>
      </c>
      <c r="Q487" s="2">
        <v>0</v>
      </c>
      <c r="R487" s="2">
        <v>2</v>
      </c>
      <c r="S487" s="2">
        <v>49665</v>
      </c>
      <c r="T487" s="2">
        <v>1192038</v>
      </c>
      <c r="U487" s="2">
        <v>0</v>
      </c>
      <c r="V487" s="2">
        <v>0</v>
      </c>
      <c r="W487" s="2">
        <v>0</v>
      </c>
      <c r="X487" s="30" t="s">
        <v>148</v>
      </c>
    </row>
    <row r="488" spans="1:24">
      <c r="A488" s="5" t="s">
        <v>1126</v>
      </c>
      <c r="B488" s="2" t="s">
        <v>1127</v>
      </c>
      <c r="C488" s="26">
        <v>45959</v>
      </c>
      <c r="D488" s="2" t="s">
        <v>169</v>
      </c>
      <c r="E488" s="2" t="s">
        <v>132</v>
      </c>
      <c r="F488" s="2" t="s">
        <v>145</v>
      </c>
      <c r="G488" s="2" t="s">
        <v>134</v>
      </c>
      <c r="H488" s="2">
        <v>240</v>
      </c>
      <c r="I488" s="2">
        <v>4194900</v>
      </c>
      <c r="J488" s="2">
        <v>10.039999999999999</v>
      </c>
      <c r="K488" s="2">
        <v>40593</v>
      </c>
      <c r="L488" s="2">
        <v>543084</v>
      </c>
      <c r="M488" s="2">
        <v>699</v>
      </c>
      <c r="N488" s="2" t="s">
        <v>140</v>
      </c>
      <c r="O488" s="2">
        <v>0.35</v>
      </c>
      <c r="P488" s="2">
        <v>0.79</v>
      </c>
      <c r="Q488" s="2">
        <v>5325400</v>
      </c>
      <c r="R488" s="2">
        <v>2</v>
      </c>
      <c r="S488" s="2">
        <v>78658</v>
      </c>
      <c r="T488" s="2">
        <v>4144320</v>
      </c>
      <c r="U488" s="2">
        <v>0</v>
      </c>
      <c r="V488" s="2">
        <v>0</v>
      </c>
      <c r="W488" s="2">
        <v>0</v>
      </c>
      <c r="X488" s="30" t="s">
        <v>148</v>
      </c>
    </row>
    <row r="489" spans="1:24">
      <c r="A489" s="5" t="s">
        <v>1128</v>
      </c>
      <c r="B489" s="2" t="s">
        <v>1129</v>
      </c>
      <c r="C489" s="26">
        <v>45948</v>
      </c>
      <c r="D489" s="2" t="s">
        <v>163</v>
      </c>
      <c r="E489" s="2" t="s">
        <v>132</v>
      </c>
      <c r="F489" s="2" t="s">
        <v>170</v>
      </c>
      <c r="G489" s="2" t="s">
        <v>134</v>
      </c>
      <c r="H489" s="2">
        <v>360</v>
      </c>
      <c r="I489" s="2">
        <v>1516500</v>
      </c>
      <c r="J489" s="2">
        <v>17.100000000000001</v>
      </c>
      <c r="K489" s="2">
        <v>21744</v>
      </c>
      <c r="L489" s="2">
        <v>670490</v>
      </c>
      <c r="M489" s="2">
        <v>613</v>
      </c>
      <c r="N489" s="2" t="s">
        <v>147</v>
      </c>
      <c r="O489" s="2">
        <v>0.34</v>
      </c>
      <c r="P489" s="2">
        <v>0.81</v>
      </c>
      <c r="Q489" s="2">
        <v>1882700</v>
      </c>
      <c r="R489" s="2">
        <v>2</v>
      </c>
      <c r="S489" s="2">
        <v>42821</v>
      </c>
      <c r="T489" s="2">
        <v>1490967</v>
      </c>
      <c r="U489" s="2">
        <v>10</v>
      </c>
      <c r="V489" s="2">
        <v>0</v>
      </c>
      <c r="W489" s="2">
        <v>0</v>
      </c>
      <c r="X489" s="30" t="s">
        <v>148</v>
      </c>
    </row>
    <row r="490" spans="1:24">
      <c r="A490" s="5" t="s">
        <v>1130</v>
      </c>
      <c r="B490" s="2" t="s">
        <v>1131</v>
      </c>
      <c r="C490" s="26">
        <v>45936</v>
      </c>
      <c r="D490" s="2" t="s">
        <v>158</v>
      </c>
      <c r="E490" s="2" t="s">
        <v>144</v>
      </c>
      <c r="F490" s="2" t="s">
        <v>145</v>
      </c>
      <c r="G490" s="2" t="s">
        <v>134</v>
      </c>
      <c r="H490" s="2">
        <v>24</v>
      </c>
      <c r="I490" s="2">
        <v>2343200</v>
      </c>
      <c r="J490" s="2">
        <v>18.309999999999999</v>
      </c>
      <c r="K490" s="2">
        <v>117333</v>
      </c>
      <c r="L490" s="2">
        <v>760158</v>
      </c>
      <c r="M490" s="2">
        <v>633</v>
      </c>
      <c r="N490" s="2" t="s">
        <v>147</v>
      </c>
      <c r="O490" s="2">
        <v>0.32</v>
      </c>
      <c r="P490" s="2">
        <v>0.59</v>
      </c>
      <c r="Q490" s="2">
        <v>3957400</v>
      </c>
      <c r="R490" s="2">
        <v>2</v>
      </c>
      <c r="S490" s="2">
        <v>222654</v>
      </c>
      <c r="T490" s="2">
        <v>2149149</v>
      </c>
      <c r="U490" s="2">
        <v>10</v>
      </c>
      <c r="V490" s="2">
        <v>0</v>
      </c>
      <c r="W490" s="2">
        <v>0</v>
      </c>
      <c r="X490" s="30" t="s">
        <v>148</v>
      </c>
    </row>
    <row r="491" spans="1:24">
      <c r="A491" s="5" t="s">
        <v>1132</v>
      </c>
      <c r="B491" s="2" t="s">
        <v>1133</v>
      </c>
      <c r="C491" s="26">
        <v>45978</v>
      </c>
      <c r="D491" s="2" t="s">
        <v>158</v>
      </c>
      <c r="E491" s="2" t="s">
        <v>144</v>
      </c>
      <c r="F491" s="2" t="s">
        <v>133</v>
      </c>
      <c r="G491" s="2" t="s">
        <v>192</v>
      </c>
      <c r="H491" s="2">
        <v>60</v>
      </c>
      <c r="I491" s="2">
        <v>2939500</v>
      </c>
      <c r="J491" s="2">
        <v>14.33</v>
      </c>
      <c r="K491" s="2">
        <v>68901</v>
      </c>
      <c r="L491" s="2">
        <v>1089768</v>
      </c>
      <c r="M491" s="2">
        <v>727</v>
      </c>
      <c r="N491" s="2" t="s">
        <v>135</v>
      </c>
      <c r="O491" s="2">
        <v>0.3</v>
      </c>
      <c r="P491" s="2">
        <v>0.68</v>
      </c>
      <c r="Q491" s="2">
        <v>4322900</v>
      </c>
      <c r="R491" s="2">
        <v>1</v>
      </c>
      <c r="S491" s="2">
        <v>68298</v>
      </c>
      <c r="T491" s="2">
        <v>2885243</v>
      </c>
      <c r="U491" s="2">
        <v>0</v>
      </c>
      <c r="V491" s="2">
        <v>0</v>
      </c>
      <c r="W491" s="2">
        <v>0</v>
      </c>
      <c r="X491" s="30" t="s">
        <v>148</v>
      </c>
    </row>
    <row r="492" spans="1:24">
      <c r="A492" s="5" t="s">
        <v>1134</v>
      </c>
      <c r="B492" s="2" t="s">
        <v>1135</v>
      </c>
      <c r="C492" s="26">
        <v>45933</v>
      </c>
      <c r="D492" s="2" t="s">
        <v>131</v>
      </c>
      <c r="E492" s="2" t="s">
        <v>144</v>
      </c>
      <c r="F492" s="2" t="s">
        <v>139</v>
      </c>
      <c r="G492" s="2" t="s">
        <v>152</v>
      </c>
      <c r="H492" s="2">
        <v>24</v>
      </c>
      <c r="I492" s="2">
        <v>347200</v>
      </c>
      <c r="J492" s="2">
        <v>15.31</v>
      </c>
      <c r="K492" s="2">
        <v>16886</v>
      </c>
      <c r="L492" s="2">
        <v>1195111</v>
      </c>
      <c r="M492" s="2">
        <v>740</v>
      </c>
      <c r="N492" s="2" t="s">
        <v>135</v>
      </c>
      <c r="O492" s="2">
        <v>0.28000000000000003</v>
      </c>
      <c r="P492" s="2">
        <v>1.1299999999999999</v>
      </c>
      <c r="Q492" s="2">
        <v>0</v>
      </c>
      <c r="R492" s="2">
        <v>2</v>
      </c>
      <c r="S492" s="2">
        <v>32739</v>
      </c>
      <c r="T492" s="2">
        <v>318005</v>
      </c>
      <c r="U492" s="2">
        <v>0</v>
      </c>
      <c r="V492" s="2">
        <v>0</v>
      </c>
      <c r="W492" s="2">
        <v>0</v>
      </c>
      <c r="X492" s="30" t="s">
        <v>148</v>
      </c>
    </row>
    <row r="493" spans="1:24">
      <c r="A493" s="5" t="s">
        <v>1136</v>
      </c>
      <c r="B493" s="2" t="s">
        <v>1137</v>
      </c>
      <c r="C493" s="26">
        <v>45964</v>
      </c>
      <c r="D493" s="2" t="s">
        <v>131</v>
      </c>
      <c r="E493" s="2" t="s">
        <v>144</v>
      </c>
      <c r="F493" s="2" t="s">
        <v>133</v>
      </c>
      <c r="G493" s="2" t="s">
        <v>134</v>
      </c>
      <c r="H493" s="2">
        <v>72</v>
      </c>
      <c r="I493" s="2">
        <v>510700</v>
      </c>
      <c r="J493" s="2">
        <v>15.97</v>
      </c>
      <c r="K493" s="2">
        <v>11070</v>
      </c>
      <c r="L493" s="2">
        <v>903211</v>
      </c>
      <c r="M493" s="2">
        <v>749</v>
      </c>
      <c r="N493" s="2" t="s">
        <v>135</v>
      </c>
      <c r="O493" s="2">
        <v>0.28000000000000003</v>
      </c>
      <c r="P493" s="2">
        <v>0.62</v>
      </c>
      <c r="Q493" s="2">
        <v>0</v>
      </c>
      <c r="R493" s="2">
        <v>1</v>
      </c>
      <c r="S493" s="2">
        <v>11227</v>
      </c>
      <c r="T493" s="2">
        <v>502192</v>
      </c>
      <c r="U493" s="2">
        <v>0</v>
      </c>
      <c r="V493" s="2">
        <v>0</v>
      </c>
      <c r="W493" s="2">
        <v>0</v>
      </c>
      <c r="X493" s="30" t="s">
        <v>148</v>
      </c>
    </row>
    <row r="494" spans="1:24">
      <c r="A494" s="5" t="s">
        <v>1138</v>
      </c>
      <c r="B494" s="2" t="s">
        <v>1139</v>
      </c>
      <c r="C494" s="26">
        <v>45988</v>
      </c>
      <c r="D494" s="2" t="s">
        <v>163</v>
      </c>
      <c r="E494" s="2" t="s">
        <v>144</v>
      </c>
      <c r="F494" s="2" t="s">
        <v>139</v>
      </c>
      <c r="G494" s="2" t="s">
        <v>192</v>
      </c>
      <c r="H494" s="2">
        <v>24</v>
      </c>
      <c r="I494" s="2">
        <v>1420900</v>
      </c>
      <c r="J494" s="2">
        <v>16.09</v>
      </c>
      <c r="K494" s="2">
        <v>69633</v>
      </c>
      <c r="L494" s="2">
        <v>742681</v>
      </c>
      <c r="M494" s="2">
        <v>623</v>
      </c>
      <c r="N494" s="2" t="s">
        <v>147</v>
      </c>
      <c r="O494" s="2">
        <v>0.26</v>
      </c>
      <c r="P494" s="2">
        <v>0.79</v>
      </c>
      <c r="Q494" s="2">
        <v>1790000</v>
      </c>
      <c r="R494" s="2">
        <v>1</v>
      </c>
      <c r="S494" s="2">
        <v>69836</v>
      </c>
      <c r="T494" s="2">
        <v>1358685</v>
      </c>
      <c r="U494" s="2">
        <v>0</v>
      </c>
      <c r="V494" s="2">
        <v>0</v>
      </c>
      <c r="W494" s="2">
        <v>0</v>
      </c>
      <c r="X494" s="30" t="s">
        <v>148</v>
      </c>
    </row>
    <row r="495" spans="1:24">
      <c r="A495" s="5" t="s">
        <v>1140</v>
      </c>
      <c r="B495" s="2" t="s">
        <v>1141</v>
      </c>
      <c r="C495" s="26">
        <v>45939</v>
      </c>
      <c r="D495" s="2" t="s">
        <v>131</v>
      </c>
      <c r="E495" s="2" t="s">
        <v>144</v>
      </c>
      <c r="F495" s="2" t="s">
        <v>145</v>
      </c>
      <c r="G495" s="2" t="s">
        <v>192</v>
      </c>
      <c r="H495" s="2">
        <v>18</v>
      </c>
      <c r="I495" s="2">
        <v>433100</v>
      </c>
      <c r="J495" s="2">
        <v>18.559999999999999</v>
      </c>
      <c r="K495" s="2">
        <v>27750</v>
      </c>
      <c r="L495" s="2">
        <v>752822</v>
      </c>
      <c r="M495" s="2">
        <v>679</v>
      </c>
      <c r="N495" s="2" t="s">
        <v>140</v>
      </c>
      <c r="O495" s="2">
        <v>0.26</v>
      </c>
      <c r="P495" s="2">
        <v>0.75</v>
      </c>
      <c r="Q495" s="2">
        <v>0</v>
      </c>
      <c r="R495" s="2">
        <v>2</v>
      </c>
      <c r="S495" s="2">
        <v>49366</v>
      </c>
      <c r="T495" s="2">
        <v>389093</v>
      </c>
      <c r="U495" s="2">
        <v>0</v>
      </c>
      <c r="V495" s="2">
        <v>1</v>
      </c>
      <c r="W495" s="2">
        <v>0</v>
      </c>
      <c r="X495" s="30" t="s">
        <v>141</v>
      </c>
    </row>
    <row r="496" spans="1:24">
      <c r="A496" s="5" t="s">
        <v>1142</v>
      </c>
      <c r="B496" s="2" t="s">
        <v>1143</v>
      </c>
      <c r="C496" s="26">
        <v>45989</v>
      </c>
      <c r="D496" s="2" t="s">
        <v>169</v>
      </c>
      <c r="E496" s="2" t="s">
        <v>132</v>
      </c>
      <c r="F496" s="2" t="s">
        <v>139</v>
      </c>
      <c r="G496" s="2" t="s">
        <v>152</v>
      </c>
      <c r="H496" s="2">
        <v>12</v>
      </c>
      <c r="I496" s="2">
        <v>3405300</v>
      </c>
      <c r="J496" s="2">
        <v>7</v>
      </c>
      <c r="K496" s="2">
        <v>294650</v>
      </c>
      <c r="L496" s="2">
        <v>688958</v>
      </c>
      <c r="M496" s="2">
        <v>795</v>
      </c>
      <c r="N496" s="2" t="s">
        <v>160</v>
      </c>
      <c r="O496" s="2">
        <v>0.25</v>
      </c>
      <c r="P496" s="2">
        <v>0.66</v>
      </c>
      <c r="Q496" s="2">
        <v>5187500</v>
      </c>
      <c r="R496" s="2">
        <v>1</v>
      </c>
      <c r="S496" s="2">
        <v>269464</v>
      </c>
      <c r="T496" s="2">
        <v>3143782</v>
      </c>
      <c r="U496" s="2">
        <v>0</v>
      </c>
      <c r="V496" s="2">
        <v>0</v>
      </c>
      <c r="W496" s="2">
        <v>0</v>
      </c>
      <c r="X496" s="30" t="s">
        <v>148</v>
      </c>
    </row>
    <row r="497" spans="1:24">
      <c r="A497" s="5" t="s">
        <v>1144</v>
      </c>
      <c r="B497" s="2" t="s">
        <v>1145</v>
      </c>
      <c r="C497" s="26">
        <v>45984</v>
      </c>
      <c r="D497" s="2" t="s">
        <v>158</v>
      </c>
      <c r="E497" s="2" t="s">
        <v>132</v>
      </c>
      <c r="F497" s="2" t="s">
        <v>145</v>
      </c>
      <c r="G497" s="2" t="s">
        <v>134</v>
      </c>
      <c r="H497" s="2">
        <v>12</v>
      </c>
      <c r="I497" s="2">
        <v>565900</v>
      </c>
      <c r="J497" s="2">
        <v>19.21</v>
      </c>
      <c r="K497" s="2">
        <v>52208</v>
      </c>
      <c r="L497" s="2">
        <v>459916</v>
      </c>
      <c r="M497" s="2">
        <v>607</v>
      </c>
      <c r="N497" s="2" t="s">
        <v>147</v>
      </c>
      <c r="O497" s="2">
        <v>0.19</v>
      </c>
      <c r="P497" s="2">
        <v>0.87</v>
      </c>
      <c r="Q497" s="2">
        <v>653500</v>
      </c>
      <c r="R497" s="2">
        <v>1</v>
      </c>
      <c r="S497" s="2">
        <v>51045</v>
      </c>
      <c r="T497" s="2">
        <v>518479</v>
      </c>
      <c r="U497" s="2">
        <v>0</v>
      </c>
      <c r="V497" s="2">
        <v>0</v>
      </c>
      <c r="W497" s="2">
        <v>0</v>
      </c>
      <c r="X497" s="30" t="s">
        <v>148</v>
      </c>
    </row>
    <row r="498" spans="1:24">
      <c r="A498" s="5" t="s">
        <v>1146</v>
      </c>
      <c r="B498" s="2" t="s">
        <v>1147</v>
      </c>
      <c r="C498" s="26">
        <v>45949</v>
      </c>
      <c r="D498" s="2" t="s">
        <v>163</v>
      </c>
      <c r="E498" s="2" t="s">
        <v>159</v>
      </c>
      <c r="F498" s="2" t="s">
        <v>139</v>
      </c>
      <c r="G498" s="2" t="s">
        <v>152</v>
      </c>
      <c r="H498" s="2">
        <v>360</v>
      </c>
      <c r="I498" s="2">
        <v>1937600</v>
      </c>
      <c r="J498" s="2">
        <v>9.51</v>
      </c>
      <c r="K498" s="2">
        <v>16307</v>
      </c>
      <c r="L498" s="2">
        <v>1448023</v>
      </c>
      <c r="M498" s="2">
        <v>746</v>
      </c>
      <c r="N498" s="2" t="s">
        <v>135</v>
      </c>
      <c r="O498" s="2">
        <v>0.19</v>
      </c>
      <c r="P498" s="2">
        <v>0.79</v>
      </c>
      <c r="Q498" s="2">
        <v>2442500</v>
      </c>
      <c r="R498" s="2">
        <v>2</v>
      </c>
      <c r="S498" s="2">
        <v>28427</v>
      </c>
      <c r="T498" s="2">
        <v>1921457</v>
      </c>
      <c r="U498" s="2">
        <v>0</v>
      </c>
      <c r="V498" s="2">
        <v>0</v>
      </c>
      <c r="W498" s="2">
        <v>0</v>
      </c>
      <c r="X498" s="30" t="s">
        <v>148</v>
      </c>
    </row>
    <row r="499" spans="1:24">
      <c r="A499" s="5" t="s">
        <v>1148</v>
      </c>
      <c r="B499" s="2" t="s">
        <v>1149</v>
      </c>
      <c r="C499" s="26">
        <v>45939</v>
      </c>
      <c r="D499" s="2" t="s">
        <v>131</v>
      </c>
      <c r="E499" s="2" t="s">
        <v>144</v>
      </c>
      <c r="F499" s="2" t="s">
        <v>170</v>
      </c>
      <c r="G499" s="2" t="s">
        <v>152</v>
      </c>
      <c r="H499" s="2">
        <v>60</v>
      </c>
      <c r="I499" s="2">
        <v>421600</v>
      </c>
      <c r="J499" s="2">
        <v>20.77</v>
      </c>
      <c r="K499" s="2">
        <v>11351</v>
      </c>
      <c r="L499" s="2">
        <v>285233</v>
      </c>
      <c r="M499" s="2">
        <v>626</v>
      </c>
      <c r="N499" s="2" t="s">
        <v>147</v>
      </c>
      <c r="O499" s="2">
        <v>0.17</v>
      </c>
      <c r="P499" s="2">
        <v>0.79</v>
      </c>
      <c r="Q499" s="2">
        <v>0</v>
      </c>
      <c r="R499" s="2">
        <v>2</v>
      </c>
      <c r="S499" s="2">
        <v>20305</v>
      </c>
      <c r="T499" s="2">
        <v>407133</v>
      </c>
      <c r="U499" s="2">
        <v>0</v>
      </c>
      <c r="V499" s="2">
        <v>0</v>
      </c>
      <c r="W499" s="2">
        <v>0</v>
      </c>
      <c r="X499" s="30" t="s">
        <v>148</v>
      </c>
    </row>
    <row r="500" spans="1:24">
      <c r="A500" s="5" t="s">
        <v>1150</v>
      </c>
      <c r="B500" s="2" t="s">
        <v>1151</v>
      </c>
      <c r="C500" s="26">
        <v>45960</v>
      </c>
      <c r="D500" s="2" t="s">
        <v>169</v>
      </c>
      <c r="E500" s="2" t="s">
        <v>144</v>
      </c>
      <c r="F500" s="2" t="s">
        <v>133</v>
      </c>
      <c r="G500" s="2" t="s">
        <v>134</v>
      </c>
      <c r="H500" s="2">
        <v>12</v>
      </c>
      <c r="I500" s="2">
        <v>2997100</v>
      </c>
      <c r="J500" s="2">
        <v>13.87</v>
      </c>
      <c r="K500" s="2">
        <v>268918</v>
      </c>
      <c r="L500" s="2">
        <v>771999</v>
      </c>
      <c r="M500" s="2">
        <v>613</v>
      </c>
      <c r="N500" s="2" t="s">
        <v>147</v>
      </c>
      <c r="O500" s="2">
        <v>0.16</v>
      </c>
      <c r="P500" s="2">
        <v>0.61</v>
      </c>
      <c r="Q500" s="2">
        <v>4916800</v>
      </c>
      <c r="R500" s="2">
        <v>2</v>
      </c>
      <c r="S500" s="2">
        <v>543875</v>
      </c>
      <c r="T500" s="2">
        <v>2480938</v>
      </c>
      <c r="U500" s="2">
        <v>0</v>
      </c>
      <c r="V500" s="2">
        <v>0</v>
      </c>
      <c r="W500" s="2">
        <v>0</v>
      </c>
      <c r="X500" s="30" t="s">
        <v>148</v>
      </c>
    </row>
    <row r="501" spans="1:24">
      <c r="A501" s="5" t="s">
        <v>1152</v>
      </c>
      <c r="B501" s="2" t="s">
        <v>1153</v>
      </c>
      <c r="C501" s="26">
        <v>45934</v>
      </c>
      <c r="D501" s="2" t="s">
        <v>163</v>
      </c>
      <c r="E501" s="2" t="s">
        <v>159</v>
      </c>
      <c r="F501" s="2" t="s">
        <v>170</v>
      </c>
      <c r="G501" s="2" t="s">
        <v>152</v>
      </c>
      <c r="H501" s="2">
        <v>24</v>
      </c>
      <c r="I501" s="2">
        <v>424000</v>
      </c>
      <c r="J501" s="2">
        <v>17.52</v>
      </c>
      <c r="K501" s="2">
        <v>21070</v>
      </c>
      <c r="L501" s="2">
        <v>1047566</v>
      </c>
      <c r="M501" s="2">
        <v>578</v>
      </c>
      <c r="N501" s="2" t="s">
        <v>166</v>
      </c>
      <c r="O501" s="2">
        <v>0.15</v>
      </c>
      <c r="P501" s="2">
        <v>0.91</v>
      </c>
      <c r="Q501" s="2">
        <v>467700</v>
      </c>
      <c r="R501" s="2">
        <v>2</v>
      </c>
      <c r="S501" s="2">
        <v>37556</v>
      </c>
      <c r="T501" s="2">
        <v>391396</v>
      </c>
      <c r="U501" s="2">
        <v>0</v>
      </c>
      <c r="V501" s="2">
        <v>0</v>
      </c>
      <c r="W501" s="2">
        <v>0</v>
      </c>
      <c r="X501" s="30" t="s">
        <v>148</v>
      </c>
    </row>
    <row r="502" spans="1:24">
      <c r="A502" s="9" t="s">
        <v>1154</v>
      </c>
      <c r="B502" s="10" t="s">
        <v>1155</v>
      </c>
      <c r="C502" s="27">
        <v>45990</v>
      </c>
      <c r="D502" s="10" t="s">
        <v>131</v>
      </c>
      <c r="E502" s="10" t="s">
        <v>144</v>
      </c>
      <c r="F502" s="10" t="s">
        <v>170</v>
      </c>
      <c r="G502" s="10" t="s">
        <v>134</v>
      </c>
      <c r="H502" s="10">
        <v>180</v>
      </c>
      <c r="I502" s="10">
        <v>665400</v>
      </c>
      <c r="J502" s="10">
        <v>20.11</v>
      </c>
      <c r="K502" s="10">
        <v>11741</v>
      </c>
      <c r="L502" s="10">
        <v>546196</v>
      </c>
      <c r="M502" s="10">
        <v>664</v>
      </c>
      <c r="N502" s="10" t="s">
        <v>140</v>
      </c>
      <c r="O502" s="10">
        <v>0.09</v>
      </c>
      <c r="P502" s="10">
        <v>0.62</v>
      </c>
      <c r="Q502" s="10">
        <v>0</v>
      </c>
      <c r="R502" s="10">
        <v>1</v>
      </c>
      <c r="S502" s="10">
        <v>11605</v>
      </c>
      <c r="T502" s="10">
        <v>658255</v>
      </c>
      <c r="U502" s="10">
        <v>0</v>
      </c>
      <c r="V502" s="10">
        <v>0</v>
      </c>
      <c r="W502" s="10">
        <v>0</v>
      </c>
      <c r="X502" s="29" t="s">
        <v>148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L517"/>
  <sheetViews>
    <sheetView topLeftCell="A18" zoomScale="80" zoomScaleNormal="80" workbookViewId="0">
      <pane xSplit="1" topLeftCell="AK1" activePane="topRight" state="frozen"/>
      <selection pane="topRight" activeCell="AU17" sqref="AU17"/>
    </sheetView>
  </sheetViews>
  <sheetFormatPr defaultColWidth="8.85546875" defaultRowHeight="18" customHeight="1"/>
  <cols>
    <col min="2" max="2" width="14.7109375" customWidth="1"/>
    <col min="3" max="3" width="20.28515625" customWidth="1"/>
    <col min="4" max="4" width="18" customWidth="1"/>
    <col min="5" max="7" width="16.28515625" customWidth="1"/>
    <col min="8" max="8" width="18.140625" customWidth="1"/>
    <col min="9" max="9" width="14.28515625" customWidth="1"/>
    <col min="10" max="10" width="14.140625" customWidth="1"/>
    <col min="11" max="11" width="17.42578125" customWidth="1"/>
    <col min="12" max="12" width="10.28515625" customWidth="1"/>
    <col min="13" max="13" width="15.7109375" customWidth="1"/>
    <col min="14" max="14" width="13.140625" customWidth="1"/>
    <col min="15" max="15" width="11.140625" customWidth="1"/>
    <col min="16" max="16" width="10.85546875" customWidth="1"/>
    <col min="17" max="17" width="9.85546875" customWidth="1"/>
    <col min="18" max="18" width="16" customWidth="1"/>
    <col min="19" max="19" width="17.7109375" customWidth="1"/>
    <col min="20" max="20" width="21.7109375" customWidth="1"/>
    <col min="21" max="21" width="21.42578125" customWidth="1"/>
    <col min="22" max="22" width="7.28515625" customWidth="1"/>
    <col min="23" max="23" width="17.140625" customWidth="1"/>
    <col min="24" max="24" width="12.85546875" customWidth="1"/>
    <col min="25" max="25" width="13.85546875" customWidth="1"/>
    <col min="26" max="26" width="25" customWidth="1"/>
    <col min="27" max="27" width="23.85546875" customWidth="1"/>
    <col min="28" max="28" width="24.85546875" customWidth="1"/>
    <col min="29" max="29" width="22" customWidth="1"/>
    <col min="30" max="30" width="20.28515625" customWidth="1"/>
    <col min="31" max="31" width="24.7109375" customWidth="1"/>
    <col min="32" max="32" width="36.28515625" customWidth="1"/>
    <col min="33" max="33" width="16.7109375" customWidth="1"/>
    <col min="34" max="34" width="30.140625" customWidth="1"/>
    <col min="35" max="35" width="26.7109375" customWidth="1"/>
    <col min="36" max="36" width="31.85546875" customWidth="1"/>
    <col min="37" max="37" width="20.42578125" customWidth="1"/>
    <col min="38" max="39" width="21" customWidth="1"/>
    <col min="40" max="40" width="21.140625" customWidth="1"/>
    <col min="41" max="41" width="11.7109375" customWidth="1"/>
    <col min="42" max="42" width="18.7109375" style="23" customWidth="1"/>
    <col min="43" max="43" width="16.7109375" customWidth="1"/>
    <col min="44" max="44" width="23.28515625" customWidth="1"/>
    <col min="46" max="46" width="10.28515625" customWidth="1"/>
    <col min="47" max="47" width="18" customWidth="1"/>
    <col min="48" max="48" width="11.42578125" style="32" customWidth="1"/>
    <col min="51" max="51" width="27.28515625" customWidth="1"/>
    <col min="52" max="52" width="23" customWidth="1"/>
    <col min="53" max="53" width="17.85546875" customWidth="1"/>
  </cols>
  <sheetData>
    <row r="2" spans="1:51" ht="18" customHeight="1">
      <c r="A2" t="s">
        <v>1156</v>
      </c>
      <c r="J2" s="19">
        <f>MIN(Table1[loan_amount])</f>
        <v>50000</v>
      </c>
      <c r="Q2">
        <f>MIN(Table1[ltv_ratio])</f>
        <v>0.4</v>
      </c>
    </row>
    <row r="3" spans="1:51" ht="18" customHeight="1">
      <c r="A3" t="s">
        <v>1157</v>
      </c>
      <c r="J3" s="19">
        <f>_xlfn.PERCENTILE.INC(Table1[loan_amount],0.25)</f>
        <v>494500</v>
      </c>
      <c r="Q3">
        <f>_xlfn.PERCENTILE.INC(Table1[ltv_ratio], 0.25)</f>
        <v>0.65</v>
      </c>
      <c r="AQ3">
        <v>50000</v>
      </c>
    </row>
    <row r="4" spans="1:51" ht="18" customHeight="1">
      <c r="A4" t="s">
        <v>1158</v>
      </c>
      <c r="J4" s="19">
        <f>_xlfn.PERCENTILE.INC(Table1[loan_amount],0.5)</f>
        <v>941150</v>
      </c>
      <c r="Q4">
        <f>_xlfn.PERCENTILE.INC(Table1[ltv_ratio],0.5)</f>
        <v>0.73</v>
      </c>
      <c r="AQ4">
        <v>494500</v>
      </c>
    </row>
    <row r="5" spans="1:51" ht="18" customHeight="1">
      <c r="A5" t="s">
        <v>1159</v>
      </c>
      <c r="J5" s="19">
        <f>AVERAGE(Table1[loan_amount])</f>
        <v>1669562</v>
      </c>
      <c r="Q5">
        <f>AVERAGE(Table1[ltv_ratio])</f>
        <v>0.7385400000000002</v>
      </c>
      <c r="AQ5">
        <v>941150</v>
      </c>
    </row>
    <row r="6" spans="1:51" ht="18" customHeight="1">
      <c r="A6" t="s">
        <v>1160</v>
      </c>
      <c r="J6" s="20">
        <f>MEDIAN(Table1[loan_amount])</f>
        <v>941150</v>
      </c>
      <c r="Q6" s="4">
        <f>MEDIAN(Table1[ltv_ratio])</f>
        <v>0.73</v>
      </c>
      <c r="AQ6">
        <v>1669562</v>
      </c>
    </row>
    <row r="7" spans="1:51" ht="18" customHeight="1">
      <c r="A7" t="s">
        <v>1161</v>
      </c>
      <c r="J7" s="19">
        <f>_xlfn.PERCENTILE.INC(Table1[loan_amount],0.75)</f>
        <v>2268975</v>
      </c>
      <c r="Q7">
        <f>_xlfn.PERCENTILE.EXC(Table1[ltv_ratio],0.75)</f>
        <v>0.81</v>
      </c>
      <c r="AQ7">
        <v>941150</v>
      </c>
    </row>
    <row r="8" spans="1:51" ht="18" customHeight="1">
      <c r="A8" t="s">
        <v>1162</v>
      </c>
      <c r="J8" s="19">
        <f>_xlfn.PERCENTILE.INC(Table1[loan_amount],0.85)</f>
        <v>3398840</v>
      </c>
      <c r="Q8">
        <f>_xlfn.PERCENTILE.EXC(Table1[ltv_ratio],0.85)</f>
        <v>0.87</v>
      </c>
      <c r="AQ8">
        <v>2268975</v>
      </c>
      <c r="AT8" t="s">
        <v>1163</v>
      </c>
    </row>
    <row r="9" spans="1:51" ht="18" customHeight="1">
      <c r="A9" t="s">
        <v>1164</v>
      </c>
      <c r="J9" s="19">
        <f>_xlfn.PERCENTILE.INC(Table1[loan_amount],0.95)</f>
        <v>5454119.9999999953</v>
      </c>
      <c r="Q9">
        <f>_xlfn.PERCENTILE.EXC(Table1[ltv_ratio],0.95)</f>
        <v>0.9594999999999998</v>
      </c>
      <c r="AQ9">
        <v>3398840</v>
      </c>
    </row>
    <row r="10" spans="1:51" ht="18" customHeight="1">
      <c r="A10" t="s">
        <v>1165</v>
      </c>
      <c r="J10" s="19">
        <f>_xlfn.PERCENTILE.INC(Table1[loan_amount],0.99)</f>
        <v>7689994.9999999963</v>
      </c>
      <c r="Q10">
        <f>_xlfn.PERCENTILE.EXC(Table1[ltv_ratio],0.99)</f>
        <v>1.0499000000000001</v>
      </c>
      <c r="AQ10">
        <v>5454119.9999999953</v>
      </c>
    </row>
    <row r="11" spans="1:51" ht="18" customHeight="1">
      <c r="A11" t="s">
        <v>1166</v>
      </c>
      <c r="J11" s="19">
        <f>MAX(Table1[loan_amount])</f>
        <v>8719200</v>
      </c>
      <c r="Q11">
        <f>MAX(Table1[ltv_ratio])</f>
        <v>1.19</v>
      </c>
      <c r="AQ11">
        <v>7689994.9999999963</v>
      </c>
    </row>
    <row r="12" spans="1:51" ht="18" customHeight="1">
      <c r="A12" t="s">
        <v>1167</v>
      </c>
      <c r="J12" s="21">
        <f>J11-J2</f>
        <v>8669200</v>
      </c>
      <c r="Q12">
        <f>Q11-Q2</f>
        <v>0.78999999999999992</v>
      </c>
      <c r="AQ12">
        <v>8719200</v>
      </c>
    </row>
    <row r="13" spans="1:51" ht="18" customHeight="1">
      <c r="A13" t="s">
        <v>1168</v>
      </c>
      <c r="D13" s="28"/>
      <c r="J13" s="21">
        <f>J7-J3</f>
        <v>1774475</v>
      </c>
      <c r="AQ13">
        <v>8669200</v>
      </c>
    </row>
    <row r="14" spans="1:51" ht="18" customHeight="1">
      <c r="A14" t="s">
        <v>1169</v>
      </c>
      <c r="J14" s="22">
        <f>J7+(1.5*J13)</f>
        <v>4930687.5</v>
      </c>
    </row>
    <row r="15" spans="1:51" ht="18" customHeight="1">
      <c r="A15" t="s">
        <v>1170</v>
      </c>
      <c r="J15" s="22">
        <f>J2-(1.5*J13)</f>
        <v>-2611712.5</v>
      </c>
      <c r="AY15" s="4" t="s">
        <v>1171</v>
      </c>
    </row>
    <row r="16" spans="1:51" ht="18" customHeight="1">
      <c r="A16" t="s">
        <v>1172</v>
      </c>
      <c r="B16">
        <f>COUNTA(_xlfn.UNIQUE(Table1[loan_id]))</f>
        <v>500</v>
      </c>
      <c r="C16">
        <f>COUNTA(_xlfn.UNIQUE(Table1[customer_id]))</f>
        <v>500</v>
      </c>
      <c r="D16">
        <f>COUNTA(_xlfn.UNIQUE(Table1[origination_date]))</f>
        <v>435</v>
      </c>
      <c r="E16">
        <f>COUNTA(_xlfn.UNIQUE(Table1[product]))</f>
        <v>5</v>
      </c>
      <c r="F16">
        <f>COUNTA(_xlfn.UNIQUE(Table1[channel]))</f>
        <v>4</v>
      </c>
      <c r="G16">
        <f>COUNTA(_xlfn.UNIQUE(Table1[region]))</f>
        <v>5</v>
      </c>
      <c r="H16">
        <f>COUNTA(_xlfn.UNIQUE(Table1[employment_type]))</f>
        <v>4</v>
      </c>
      <c r="I16">
        <f>COUNTA(_xlfn.UNIQUE(Table1[origination_date]))</f>
        <v>435</v>
      </c>
      <c r="J16">
        <f>COUNTA(_xlfn.UNIQUE(Table1[loan_amount]))</f>
        <v>488</v>
      </c>
      <c r="K16">
        <f>COUNTA(_xlfn.UNIQUE(Table1[interest_rate_pct]))</f>
        <v>401</v>
      </c>
      <c r="L16">
        <f>COUNTA(_xlfn.UNIQUE(Table1[emi]))</f>
        <v>498</v>
      </c>
      <c r="M16">
        <f>COUNTA(_xlfn.UNIQUE(Table1[annual_income]))</f>
        <v>496</v>
      </c>
      <c r="N16">
        <f>COUNTA(_xlfn.UNIQUE(Table1[credit_score]))</f>
        <v>218</v>
      </c>
      <c r="O16">
        <f>COUNTA(_xlfn.UNIQUE(Table1[risk_band]))</f>
        <v>5</v>
      </c>
      <c r="P16">
        <f>COUNTA(_xlfn.UNIQUE(Table1[dti_ratio]))</f>
        <v>58</v>
      </c>
      <c r="Q16">
        <f>COUNTA(_xlfn.UNIQUE(Table1[ltv_ratio]))</f>
        <v>66</v>
      </c>
      <c r="R16">
        <f>COUNTA(_xlfn.UNIQUE(Table1[collateral_value]))</f>
        <v>283</v>
      </c>
      <c r="S16">
        <f>COUNTA(_xlfn.UNIQUE(Table1[months_on_book]))</f>
        <v>47</v>
      </c>
      <c r="T16">
        <f>COUNTA(_xlfn.UNIQUE(Table1[paid_amount_to_date]))</f>
        <v>499</v>
      </c>
      <c r="U16">
        <f>COUNTA(_xlfn.UNIQUE(Table1[current_balance]))</f>
        <v>462</v>
      </c>
      <c r="V16">
        <f>COUNTA(_xlfn.UNIQUE(Table1[dpd]))</f>
        <v>9</v>
      </c>
      <c r="W16">
        <f>COUNTA(_xlfn.UNIQUE(Table1[prepayment_flag]))</f>
        <v>2</v>
      </c>
      <c r="X16">
        <f>COUNTA(_xlfn.UNIQUE(Table1[default_flag]))</f>
        <v>2</v>
      </c>
      <c r="Y16">
        <f>COUNTA(_xlfn.UNIQUE(Table1[loan_status]))</f>
        <v>4</v>
      </c>
      <c r="Z16" s="56" t="s">
        <v>1173</v>
      </c>
      <c r="AA16" s="56"/>
      <c r="AB16" s="56"/>
      <c r="AC16" s="56"/>
      <c r="AD16" s="56"/>
      <c r="AE16" s="56"/>
      <c r="AF16" s="56"/>
      <c r="AG16" s="56"/>
      <c r="AH16" s="56"/>
      <c r="AI16" s="56"/>
      <c r="AJ16" s="56"/>
      <c r="AK16" s="56"/>
      <c r="AL16" s="56"/>
      <c r="AM16" s="56"/>
      <c r="AN16" s="56"/>
      <c r="AO16" s="56"/>
      <c r="AP16" s="56"/>
      <c r="AQ16" s="56"/>
      <c r="AR16" s="56"/>
      <c r="AS16" s="56"/>
      <c r="AT16" s="56"/>
      <c r="AU16" s="56"/>
    </row>
    <row r="17" spans="2:55" ht="18" customHeight="1">
      <c r="B17" s="6" t="s">
        <v>105</v>
      </c>
      <c r="C17" s="7" t="s">
        <v>106</v>
      </c>
      <c r="D17" s="7" t="s">
        <v>107</v>
      </c>
      <c r="E17" s="7" t="s">
        <v>108</v>
      </c>
      <c r="F17" s="7" t="s">
        <v>109</v>
      </c>
      <c r="G17" s="7" t="s">
        <v>110</v>
      </c>
      <c r="H17" s="7" t="s">
        <v>111</v>
      </c>
      <c r="I17" s="7" t="s">
        <v>112</v>
      </c>
      <c r="J17" s="7" t="s">
        <v>113</v>
      </c>
      <c r="K17" s="7" t="s">
        <v>114</v>
      </c>
      <c r="L17" s="7" t="s">
        <v>115</v>
      </c>
      <c r="M17" s="7" t="s">
        <v>116</v>
      </c>
      <c r="N17" s="7" t="s">
        <v>117</v>
      </c>
      <c r="O17" s="7" t="s">
        <v>118</v>
      </c>
      <c r="P17" s="7" t="s">
        <v>119</v>
      </c>
      <c r="Q17" s="7" t="s">
        <v>120</v>
      </c>
      <c r="R17" s="7" t="s">
        <v>121</v>
      </c>
      <c r="S17" s="7" t="s">
        <v>122</v>
      </c>
      <c r="T17" s="7" t="s">
        <v>123</v>
      </c>
      <c r="U17" s="7" t="s">
        <v>124</v>
      </c>
      <c r="V17" s="7" t="s">
        <v>125</v>
      </c>
      <c r="W17" s="7" t="s">
        <v>126</v>
      </c>
      <c r="X17" s="7" t="s">
        <v>127</v>
      </c>
      <c r="Y17" s="7" t="s">
        <v>128</v>
      </c>
      <c r="Z17" s="8" t="s">
        <v>1174</v>
      </c>
      <c r="AA17" s="7" t="s">
        <v>1175</v>
      </c>
      <c r="AB17" s="1" t="s">
        <v>1176</v>
      </c>
      <c r="AC17" s="1" t="s">
        <v>1177</v>
      </c>
      <c r="AD17" s="1" t="s">
        <v>61</v>
      </c>
      <c r="AE17" s="1" t="s">
        <v>1178</v>
      </c>
      <c r="AF17" s="1" t="s">
        <v>1179</v>
      </c>
      <c r="AG17" s="7" t="s">
        <v>1180</v>
      </c>
      <c r="AH17" s="7" t="s">
        <v>1181</v>
      </c>
      <c r="AI17" s="7" t="s">
        <v>1182</v>
      </c>
      <c r="AJ17" s="7" t="s">
        <v>1183</v>
      </c>
      <c r="AK17" s="7" t="s">
        <v>1184</v>
      </c>
      <c r="AL17" s="7" t="s">
        <v>1185</v>
      </c>
      <c r="AM17" s="7" t="s">
        <v>1186</v>
      </c>
      <c r="AN17" s="7" t="s">
        <v>1187</v>
      </c>
      <c r="AO17" s="7" t="s">
        <v>1188</v>
      </c>
      <c r="AP17" s="25" t="s">
        <v>1189</v>
      </c>
      <c r="AQ17" s="7" t="s">
        <v>1190</v>
      </c>
      <c r="AR17" s="7" t="s">
        <v>1191</v>
      </c>
      <c r="AS17" s="25" t="s">
        <v>1192</v>
      </c>
      <c r="AT17" s="8" t="s">
        <v>1193</v>
      </c>
      <c r="AU17" s="45" t="s">
        <v>1194</v>
      </c>
      <c r="AV17" s="46" t="s">
        <v>1195</v>
      </c>
      <c r="AW17" s="7" t="s">
        <v>1196</v>
      </c>
      <c r="AY17" s="4" t="s">
        <v>1197</v>
      </c>
    </row>
    <row r="18" spans="2:55" ht="18" customHeight="1">
      <c r="B18" s="5" t="s">
        <v>129</v>
      </c>
      <c r="C18" s="2" t="s">
        <v>130</v>
      </c>
      <c r="D18" s="3">
        <v>44568</v>
      </c>
      <c r="E18" s="2" t="s">
        <v>131</v>
      </c>
      <c r="F18" s="2" t="s">
        <v>132</v>
      </c>
      <c r="G18" s="2" t="s">
        <v>133</v>
      </c>
      <c r="H18" s="2" t="s">
        <v>134</v>
      </c>
      <c r="I18" s="2">
        <v>72</v>
      </c>
      <c r="J18" s="2">
        <v>649600</v>
      </c>
      <c r="K18" s="2">
        <v>15.63</v>
      </c>
      <c r="L18" s="2">
        <v>13959</v>
      </c>
      <c r="M18" s="2">
        <v>817697</v>
      </c>
      <c r="N18" s="2">
        <v>738</v>
      </c>
      <c r="O18" s="2" t="s">
        <v>135</v>
      </c>
      <c r="P18" s="2">
        <v>0.51</v>
      </c>
      <c r="Q18" s="2">
        <v>0.77</v>
      </c>
      <c r="R18" s="2">
        <v>0</v>
      </c>
      <c r="S18" s="2">
        <v>47</v>
      </c>
      <c r="T18" s="2">
        <v>621896</v>
      </c>
      <c r="U18" s="2">
        <v>186772</v>
      </c>
      <c r="V18" s="2">
        <v>60</v>
      </c>
      <c r="W18" s="2">
        <v>0</v>
      </c>
      <c r="X18" s="2">
        <v>0</v>
      </c>
      <c r="Y18" s="2" t="s">
        <v>136</v>
      </c>
      <c r="Z18" s="12">
        <f>SUMIF(Table1[product],Table1[[#This Row],[product]],Table1[loan_amount])</f>
        <v>74897600</v>
      </c>
      <c r="AA18" s="14">
        <f>SUMIF(Table1[region],Table1[[#This Row],[region]],Table1[current_balance])</f>
        <v>94548000</v>
      </c>
      <c r="AB18" s="2">
        <f>COUNTIF(Table1[loan_status],Table1[[#This Row],[loan_status]])</f>
        <v>47</v>
      </c>
      <c r="AC18" s="2">
        <f>COUNTIF(Table1[default_flag],1)/ROWS(Table1[loan_id])</f>
        <v>2.5999999999999999E-2</v>
      </c>
      <c r="AD18" s="2">
        <f>COUNTIFS(Table1[region],Table1[[#This Row],[region]],Table1[default_flag],1)/COUNTIF(Table1[region],Table1[[#This Row],[region]])</f>
        <v>0</v>
      </c>
      <c r="AE18" s="2">
        <f>COUNTIFS(Table1[channel],Table1[[#This Row],[channel]],Table1[prepayment_flag],1)/COUNTIF(Table1[channel],Table1[[#This Row],[channel]])</f>
        <v>7.1090047393364927E-2</v>
      </c>
      <c r="AF18" s="2">
        <f>AVERAGEIFS(Table1[interest_rate_pct],Table1[product],Table1[[#This Row],[product]],Table1[risk_band],Table1[[#This Row],[risk_band]])</f>
        <v>16.500166666666669</v>
      </c>
      <c r="AG18" s="2" t="str" cm="1">
        <f t="array" ref="AG18">_xlfn.IFS(Table1[[#This Row],[dti_ratio]] &lt; 0.2, " less than 0.2", Table1[[#This Row],[dti_ratio]] &lt; 0.3, "0.2 - 0.3", Table1[[#This Row],[dti_ratio]] &lt;= 0.5, "0.35 - 0.5", Table1[[#This Row],[dti_ratio]] &gt; 0.5, "greater than 0.5")</f>
        <v>greater than 0.5</v>
      </c>
      <c r="AH18" s="17">
        <f>COUNTIF(Table1[DTI band],Table1[[#This Row],[DTI band]])</f>
        <v>32</v>
      </c>
      <c r="AI18" s="17" t="str" cm="1">
        <f t="array" ref="AI18">_xlfn.IFS(Table1[[#This Row],[ltv_ratio]] &lt; 0.6, "less than 0.6 -less risky", Table1[[#This Row],[ltv_ratio]]  &lt;= 0.8, "0.6 - 0.8 -medium risky",Table1[[#This Row],[ltv_ratio]] &gt; 0.8, "greater than 0.8 -highly risky")</f>
        <v>0.6 - 0.8 -medium risky</v>
      </c>
      <c r="AJ18" s="17">
        <f>COUNTIF(Table1[LTV band],Table1[[#This Row],[LTV band]])</f>
        <v>302</v>
      </c>
      <c r="AK18" s="17">
        <f>COUNTIFS(Table1[count_loan_perband],Table1[[#This Row],[count_loan_perband]],Table1[default_flag],1)/COUNTIF(Table1[count_loan_perband],Table1[[#This Row],[count_loan_perband]])</f>
        <v>3.6423841059602648E-2</v>
      </c>
      <c r="AL18" s="17" t="str" cm="1">
        <f t="array" ref="AL18">_xlfn.IFS(Table1[[#This Row],[loan_amount]] &lt; 900000, "lower size (&lt; 9L)", Table1[[#This Row],[loan_amount]] &lt;=3300000, "medium size (&lt;=33L)", Table1[[#This Row],[loan_amount]] &gt; 3300000, "larger size (&gt; 33L)")</f>
        <v>lower size (&lt; 9L)</v>
      </c>
      <c r="AM18" s="17">
        <f>IF(Table1[[#This Row],[dpd]] &gt;=30,1,0)</f>
        <v>1</v>
      </c>
      <c r="AN18" s="2">
        <f>COUNTIFS(Table1[Loan size],Table1[[#This Row],[Loan size]],Table1[dpd flag],1)/COUNTIF(Table1[Loan size],Table1[[#This Row],[Loan size]])</f>
        <v>0.13934426229508196</v>
      </c>
      <c r="AO18" s="17" t="str">
        <f>IF(OR(Table1[[#This Row],[credit_score]] &lt; 600, Table1[ [#This Row],[dti_ratio] ] &gt; 0.5, Table1[[#This Row],[dpd]] &gt;=30), "high risk", " not riskY")</f>
        <v>high risk</v>
      </c>
      <c r="AP18" s="24">
        <f>EOMONTH(Table1[[#This Row],[origination_date]],0)</f>
        <v>44592</v>
      </c>
      <c r="AQ18" s="17">
        <f>SUMIFS(Table1[loan_amount],Table1[origination month],Table1[[#This Row],[origination month]])</f>
        <v>19161700</v>
      </c>
      <c r="AR18" s="17">
        <f>AVERAGEIFS(Table1[months_on_book],Table1[product],Table1[[#This Row],[product]])</f>
        <v>21.092024539877301</v>
      </c>
      <c r="AS18" s="17" t="str">
        <f ca="1">IF(EDATE(Table1[[#This Row],[origination_date]],6) &gt;= TODAY(), "New Loan", "Old Loan")</f>
        <v>Old Loan</v>
      </c>
      <c r="AT18" s="17" t="str">
        <f>"Q"&amp;ROUNDUP(MONTH(Table1[[#This Row],[origination_date]])/3,0)&amp;YEAR(Table1[[#This Row],[origination_date]])</f>
        <v>Q12022</v>
      </c>
      <c r="AU18" s="17">
        <f>SUMIFS(Table1[loan_amount],Table1[quarter],Table1[[#This Row],[quarter]])</f>
        <v>65393800</v>
      </c>
      <c r="AV18" s="33" t="str">
        <f>_xlfn.TEXTJOIN("|",TRUE,Table1[[#This Row],[loan_id]:[loan_status]])</f>
        <v>L95839557|C8428595|44568|Personal Loan|Online|South|Salaried|72|649600|15.63|13959|817697|738|B|0.51|0.77|0|47|621896|186772|60|0|0|Delinquent</v>
      </c>
      <c r="AW18" s="43">
        <f>YEAR(Loan_Table[ [#This Row],[origination_date] ])</f>
        <v>2022</v>
      </c>
    </row>
    <row r="19" spans="2:55" ht="18" customHeight="1">
      <c r="B19" s="5" t="s">
        <v>137</v>
      </c>
      <c r="C19" s="2" t="s">
        <v>138</v>
      </c>
      <c r="D19" s="3">
        <v>44581</v>
      </c>
      <c r="E19" s="2" t="s">
        <v>131</v>
      </c>
      <c r="F19" s="2" t="s">
        <v>132</v>
      </c>
      <c r="G19" s="2" t="s">
        <v>139</v>
      </c>
      <c r="H19" s="2" t="s">
        <v>134</v>
      </c>
      <c r="I19" s="2">
        <v>12</v>
      </c>
      <c r="J19" s="2">
        <v>826700</v>
      </c>
      <c r="K19" s="2">
        <v>20.059999999999999</v>
      </c>
      <c r="L19" s="2">
        <v>76605</v>
      </c>
      <c r="M19" s="2">
        <v>1296749</v>
      </c>
      <c r="N19" s="2">
        <v>671</v>
      </c>
      <c r="O19" s="2" t="s">
        <v>140</v>
      </c>
      <c r="P19" s="2">
        <v>0.49</v>
      </c>
      <c r="Q19" s="2">
        <v>0.76</v>
      </c>
      <c r="R19" s="2">
        <v>0</v>
      </c>
      <c r="S19" s="2">
        <v>12</v>
      </c>
      <c r="T19" s="2">
        <v>915274</v>
      </c>
      <c r="U19" s="2">
        <v>0</v>
      </c>
      <c r="V19" s="2">
        <v>0</v>
      </c>
      <c r="W19" s="2">
        <v>0</v>
      </c>
      <c r="X19" s="2">
        <v>0</v>
      </c>
      <c r="Y19" s="2" t="s">
        <v>141</v>
      </c>
      <c r="Z19" s="12">
        <f>SUMIF(Table1[product],Table1[[#This Row],[product]],Table1[loan_amount])</f>
        <v>74897600</v>
      </c>
      <c r="AA19" s="15">
        <f>SUMIF(Table1[region],Table1[[#This Row],[region]],Table1[current_balance])</f>
        <v>83903255</v>
      </c>
      <c r="AB19" s="2">
        <f>COUNTIF(Table1[loan_status],Table1[[#This Row],[loan_status]])</f>
        <v>139</v>
      </c>
      <c r="AC19" s="2">
        <f>COUNTIF(Table1[default_flag],1)/ROWS(Table1[loan_id])</f>
        <v>2.5999999999999999E-2</v>
      </c>
      <c r="AD19" s="2">
        <f>COUNTIFS(Table1[region],Table1[[#This Row],[region]],Table1[default_flag],1)/COUNTIF(Table1[region],Table1[[#This Row],[region]])</f>
        <v>4.2553191489361701E-2</v>
      </c>
      <c r="AE19" s="2">
        <f>COUNTIFS(Table1[channel],Table1[[#This Row],[channel]],Table1[prepayment_flag],1)/COUNTIF(Table1[channel],Table1[[#This Row],[channel]])</f>
        <v>7.1090047393364927E-2</v>
      </c>
      <c r="AF19" s="2">
        <f>AVERAGEIFS(Table1[interest_rate_pct],Table1[product],Table1[[#This Row],[product]],Table1[risk_band],Table1[[#This Row],[risk_band]])</f>
        <v>18.603181818181817</v>
      </c>
      <c r="AG19" s="2" t="str" cm="1">
        <f t="array" ref="AG19">_xlfn.IFS(Table1[[#This Row],[dti_ratio]] &lt; 0.2, " less than 0.2", Table1[[#This Row],[dti_ratio]] &lt; 0.3, "0.2 - 0.3", Table1[[#This Row],[dti_ratio]] &lt;= 0.5, "0.35 - 0.5", Table1[[#This Row],[dti_ratio]] &gt; 0.5, "greater than 0.5")</f>
        <v>0.35 - 0.5</v>
      </c>
      <c r="AH19" s="2">
        <f>COUNTIF(Table1[DTI band],Table1[[#This Row],[DTI band]])</f>
        <v>260</v>
      </c>
      <c r="AI19" s="2" t="str" cm="1">
        <f t="array" ref="AI19">_xlfn.IFS(Table1[[#This Row],[ltv_ratio]] &lt; 0.6, "less than 0.6 -less risky", Table1[[#This Row],[ltv_ratio]]  &lt;= 0.8, "0.6 - 0.8 -medium risky",Table1[[#This Row],[ltv_ratio]] &gt; 0.8, "greater than 0.8 -highly risky")</f>
        <v>0.6 - 0.8 -medium risky</v>
      </c>
      <c r="AJ19" s="2">
        <f>COUNTIF(Table1[LTV band],Table1[[#This Row],[LTV band]])</f>
        <v>302</v>
      </c>
      <c r="AK19" s="2">
        <f>COUNTIFS(Table1[count_loan_perband],Table1[[#This Row],[count_loan_perband]],Table1[default_flag],1)/COUNTIF(Table1[count_loan_perband],Table1[[#This Row],[count_loan_perband]])</f>
        <v>3.6423841059602648E-2</v>
      </c>
      <c r="AL19" s="2" t="str" cm="1">
        <f t="array" ref="AL19">_xlfn.IFS(Table1[[#This Row],[loan_amount]] &lt; 900000, "lower size (&lt; 9L)", Table1[[#This Row],[loan_amount]] &lt;=3300000, "medium size (&lt;=33L)", Table1[[#This Row],[loan_amount]] &gt; 3300000, "larger size (&gt; 33L)")</f>
        <v>lower size (&lt; 9L)</v>
      </c>
      <c r="AM19" s="2">
        <f>IF(Table1[[#This Row],[dpd]] &gt;=30,1,0)</f>
        <v>0</v>
      </c>
      <c r="AN19" s="2">
        <f>COUNTIFS(Table1[Loan size],Table1[[#This Row],[Loan size]],Table1[dpd flag],1)/COUNTIF(Table1[Loan size],Table1[[#This Row],[Loan size]])</f>
        <v>0.13934426229508196</v>
      </c>
      <c r="AO19" s="2" t="str">
        <f>IF(OR(Table1[[#This Row],[credit_score]] &lt; 600, Table1[ [#This Row],[dti_ratio] ] &gt; 0.5, Table1[[#This Row],[dpd]] &gt;=30), "high risk", " not riskY")</f>
        <v xml:space="preserve"> not riskY</v>
      </c>
      <c r="AP19" s="26">
        <f>EOMONTH(Table1[[#This Row],[origination_date]],0)</f>
        <v>44592</v>
      </c>
      <c r="AQ19" s="2">
        <f>SUMIFS(Table1[loan_amount],Table1[origination month],Table1[[#This Row],[origination month]])</f>
        <v>19161700</v>
      </c>
      <c r="AR19" s="2">
        <f>AVERAGEIFS(Table1[months_on_book],Table1[product],Table1[[#This Row],[product]])</f>
        <v>21.092024539877301</v>
      </c>
      <c r="AS19" s="2" t="str">
        <f ca="1">IF(EDATE(Table1[[#This Row],[origination_date]],6) &gt;= TODAY(), "New Loan", "Old Loan")</f>
        <v>Old Loan</v>
      </c>
      <c r="AT19" s="2" t="str">
        <f>"Q"&amp;ROUNDUP(MONTH(Table1[[#This Row],[origination_date]])/3,0)&amp;YEAR(Table1[[#This Row],[origination_date]])</f>
        <v>Q12022</v>
      </c>
      <c r="AU19" s="2">
        <f>SUMIFS(Table1[loan_amount],Table1[quarter],Table1[[#This Row],[quarter]])</f>
        <v>65393800</v>
      </c>
      <c r="AV19" s="34" t="str">
        <f>_xlfn.TEXTJOIN("|",TRUE,Table1[[#This Row],[loan_id]:[loan_status]])</f>
        <v>L20307706|C4902567|44581|Personal Loan|Online|West|Salaried|12|826700|20.06|76605|1296749|671|C|0.49|0.76|0|12|915274|0|0|0|0|Closed</v>
      </c>
      <c r="AW19" s="42">
        <f>YEAR(Loan_Table[ [#This Row],[origination_date] ])</f>
        <v>2022</v>
      </c>
      <c r="AY19" s="31" t="s">
        <v>1198</v>
      </c>
      <c r="AZ19" s="31" t="s">
        <v>1199</v>
      </c>
      <c r="BA19" s="31" t="s">
        <v>1200</v>
      </c>
      <c r="BB19" s="31" t="s">
        <v>1201</v>
      </c>
      <c r="BC19" s="31" t="s">
        <v>1202</v>
      </c>
    </row>
    <row r="20" spans="2:55" ht="18" customHeight="1">
      <c r="B20" s="5" t="s">
        <v>142</v>
      </c>
      <c r="C20" s="2" t="s">
        <v>143</v>
      </c>
      <c r="D20" s="3">
        <v>44603</v>
      </c>
      <c r="E20" s="2" t="s">
        <v>131</v>
      </c>
      <c r="F20" s="2" t="s">
        <v>144</v>
      </c>
      <c r="G20" s="2" t="s">
        <v>145</v>
      </c>
      <c r="H20" s="2" t="s">
        <v>146</v>
      </c>
      <c r="I20" s="2">
        <v>240</v>
      </c>
      <c r="J20" s="2">
        <v>193300</v>
      </c>
      <c r="K20" s="2">
        <v>20.86</v>
      </c>
      <c r="L20" s="2">
        <v>3415</v>
      </c>
      <c r="M20" s="2">
        <v>281563</v>
      </c>
      <c r="N20" s="2">
        <v>648</v>
      </c>
      <c r="O20" s="2" t="s">
        <v>147</v>
      </c>
      <c r="P20" s="2">
        <v>0.46</v>
      </c>
      <c r="Q20" s="2">
        <v>0.69</v>
      </c>
      <c r="R20" s="2">
        <v>0</v>
      </c>
      <c r="S20" s="2">
        <v>46</v>
      </c>
      <c r="T20" s="2">
        <v>152501</v>
      </c>
      <c r="U20" s="2">
        <v>102627</v>
      </c>
      <c r="V20" s="2">
        <v>0</v>
      </c>
      <c r="W20" s="2">
        <v>0</v>
      </c>
      <c r="X20" s="2">
        <v>0</v>
      </c>
      <c r="Y20" s="2" t="s">
        <v>148</v>
      </c>
      <c r="Z20" s="12">
        <f>SUMIF(Table1[product],Table1[[#This Row],[product]],Table1[loan_amount])</f>
        <v>74897600</v>
      </c>
      <c r="AA20" s="15">
        <f>SUMIF(Table1[region],Table1[[#This Row],[region]],Table1[current_balance])</f>
        <v>98928695</v>
      </c>
      <c r="AB20" s="2">
        <f>COUNTIF(Table1[loan_status],Table1[[#This Row],[loan_status]])</f>
        <v>301</v>
      </c>
      <c r="AC20" s="2">
        <f>COUNTIF(Table1[default_flag],1)/ROWS(Table1[loan_id])</f>
        <v>2.5999999999999999E-2</v>
      </c>
      <c r="AD20" s="2">
        <f>COUNTIFS(Table1[region],Table1[[#This Row],[region]],Table1[default_flag],1)/COUNTIF(Table1[region],Table1[[#This Row],[region]])</f>
        <v>2.8571428571428571E-2</v>
      </c>
      <c r="AE20" s="2">
        <f>COUNTIFS(Table1[channel],Table1[[#This Row],[channel]],Table1[prepayment_flag],1)/COUNTIF(Table1[channel],Table1[[#This Row],[channel]])</f>
        <v>5.8201058201058198E-2</v>
      </c>
      <c r="AF20" s="2">
        <f>AVERAGEIFS(Table1[interest_rate_pct],Table1[product],Table1[[#This Row],[product]],Table1[risk_band],Table1[[#This Row],[risk_band]])</f>
        <v>20.962592592592593</v>
      </c>
      <c r="AG20" s="2" t="str" cm="1">
        <f t="array" ref="AG20">_xlfn.IFS(Table1[[#This Row],[dti_ratio]] &lt; 0.2, " less than 0.2", Table1[[#This Row],[dti_ratio]] &lt; 0.3, "0.2 - 0.3", Table1[[#This Row],[dti_ratio]] &lt;= 0.5, "0.35 - 0.5", Table1[[#This Row],[dti_ratio]] &gt; 0.5, "greater than 0.5")</f>
        <v>0.35 - 0.5</v>
      </c>
      <c r="AH20" s="2">
        <f>COUNTIF(Table1[DTI band],Table1[[#This Row],[DTI band]])</f>
        <v>260</v>
      </c>
      <c r="AI20" s="2" t="str" cm="1">
        <f t="array" ref="AI20">_xlfn.IFS(Table1[[#This Row],[ltv_ratio]] &lt; 0.6, "less than 0.6 -less risky", Table1[[#This Row],[ltv_ratio]]  &lt;= 0.8, "0.6 - 0.8 -medium risky",Table1[[#This Row],[ltv_ratio]] &gt; 0.8, "greater than 0.8 -highly risky")</f>
        <v>0.6 - 0.8 -medium risky</v>
      </c>
      <c r="AJ20" s="2">
        <f>COUNTIF(Table1[LTV band],Table1[[#This Row],[LTV band]])</f>
        <v>302</v>
      </c>
      <c r="AK20" s="2">
        <f>COUNTIFS(Table1[count_loan_perband],Table1[[#This Row],[count_loan_perband]],Table1[default_flag],1)/COUNTIF(Table1[count_loan_perband],Table1[[#This Row],[count_loan_perband]])</f>
        <v>3.6423841059602648E-2</v>
      </c>
      <c r="AL20" s="2" t="str" cm="1">
        <f t="array" ref="AL20">_xlfn.IFS(Table1[[#This Row],[loan_amount]] &lt; 900000, "lower size (&lt; 9L)", Table1[[#This Row],[loan_amount]] &lt;=3300000, "medium size (&lt;=33L)", Table1[[#This Row],[loan_amount]] &gt; 3300000, "larger size (&gt; 33L)")</f>
        <v>lower size (&lt; 9L)</v>
      </c>
      <c r="AM20" s="2">
        <f>IF(Table1[[#This Row],[dpd]] &gt;=30,1,0)</f>
        <v>0</v>
      </c>
      <c r="AN20" s="2">
        <f>COUNTIFS(Table1[Loan size],Table1[[#This Row],[Loan size]],Table1[dpd flag],1)/COUNTIF(Table1[Loan size],Table1[[#This Row],[Loan size]])</f>
        <v>0.13934426229508196</v>
      </c>
      <c r="AO20" s="2" t="str">
        <f>IF(OR(Table1[[#This Row],[credit_score]] &lt; 600, Table1[ [#This Row],[dti_ratio] ] &gt; 0.5, Table1[[#This Row],[dpd]] &gt;=30), "high risk", " not riskY")</f>
        <v xml:space="preserve"> not riskY</v>
      </c>
      <c r="AP20" s="26">
        <f>EOMONTH(Table1[[#This Row],[origination_date]],0)</f>
        <v>44620</v>
      </c>
      <c r="AQ20" s="2">
        <f>SUMIFS(Table1[loan_amount],Table1[origination month],Table1[[#This Row],[origination month]])</f>
        <v>20575600</v>
      </c>
      <c r="AR20" s="2">
        <f>AVERAGEIFS(Table1[months_on_book],Table1[product],Table1[[#This Row],[product]])</f>
        <v>21.092024539877301</v>
      </c>
      <c r="AS20" s="2" t="str">
        <f ca="1">IF(EDATE(Table1[[#This Row],[origination_date]],6) &gt;= TODAY(), "New Loan", "Old Loan")</f>
        <v>Old Loan</v>
      </c>
      <c r="AT20" s="2" t="str">
        <f>"Q"&amp;ROUNDUP(MONTH(Table1[[#This Row],[origination_date]])/3,0)&amp;YEAR(Table1[[#This Row],[origination_date]])</f>
        <v>Q12022</v>
      </c>
      <c r="AU20" s="2">
        <f>SUMIFS(Table1[loan_amount],Table1[quarter],Table1[[#This Row],[quarter]])</f>
        <v>65393800</v>
      </c>
      <c r="AV20" s="34" t="str">
        <f>_xlfn.TEXTJOIN("|",TRUE,Table1[[#This Row],[loan_id]:[loan_status]])</f>
        <v>L77801817|C2772757|44603|Personal Loan|Branch|Central|Contract|240|193300|20.86|3415|281563|648|D|0.46|0.69|0|46|152501|102627|0|0|0|Active</v>
      </c>
      <c r="AW20" s="42">
        <f>YEAR(Loan_Table[ [#This Row],[origination_date] ])</f>
        <v>2022</v>
      </c>
      <c r="AZ20" s="2">
        <f>ROWS(INDEX(Loan_Table[],,MATCH(AY65,Loan_Table[#Headers],0)))</f>
        <v>500</v>
      </c>
      <c r="BA20" s="2">
        <f>COUNTA(INDEX(Loan_Table[],,MATCH(AY65,Loan_Table[#Headers],0)))</f>
        <v>500</v>
      </c>
      <c r="BB20" s="2">
        <f>COUNTBLANK(INDEX(Loan_Table[],,MATCH(AY65,Loan_Table[#Headers],0)))</f>
        <v>0</v>
      </c>
      <c r="BC20" s="2">
        <f>BA20/AZ20*100</f>
        <v>100</v>
      </c>
    </row>
    <row r="21" spans="2:55" ht="18" customHeight="1">
      <c r="B21" s="5" t="s">
        <v>149</v>
      </c>
      <c r="C21" s="2" t="s">
        <v>150</v>
      </c>
      <c r="D21" s="3">
        <v>44597</v>
      </c>
      <c r="E21" s="2" t="s">
        <v>131</v>
      </c>
      <c r="F21" s="2" t="s">
        <v>132</v>
      </c>
      <c r="G21" s="2" t="s">
        <v>151</v>
      </c>
      <c r="H21" s="2" t="s">
        <v>152</v>
      </c>
      <c r="I21" s="2">
        <v>180</v>
      </c>
      <c r="J21" s="2">
        <v>551400</v>
      </c>
      <c r="K21" s="2">
        <v>16.5</v>
      </c>
      <c r="L21" s="2">
        <v>8291</v>
      </c>
      <c r="M21" s="2">
        <v>974011</v>
      </c>
      <c r="N21" s="2">
        <v>725</v>
      </c>
      <c r="O21" s="2" t="s">
        <v>135</v>
      </c>
      <c r="P21" s="2">
        <v>0.45</v>
      </c>
      <c r="Q21" s="2">
        <v>0.79</v>
      </c>
      <c r="R21" s="2">
        <v>0</v>
      </c>
      <c r="S21" s="2">
        <v>46</v>
      </c>
      <c r="T21" s="2">
        <v>326163</v>
      </c>
      <c r="U21" s="2">
        <v>364741</v>
      </c>
      <c r="V21" s="2">
        <v>90</v>
      </c>
      <c r="W21" s="2">
        <v>0</v>
      </c>
      <c r="X21" s="2">
        <v>1</v>
      </c>
      <c r="Y21" s="2" t="s">
        <v>153</v>
      </c>
      <c r="Z21" s="12">
        <f>SUMIF(Table1[product],Table1[[#This Row],[product]],Table1[loan_amount])</f>
        <v>74897600</v>
      </c>
      <c r="AA21" s="15">
        <f>SUMIF(Table1[region],Table1[[#This Row],[region]],Table1[current_balance])</f>
        <v>105779369</v>
      </c>
      <c r="AB21" s="2">
        <f>COUNTIF(Table1[loan_status],Table1[[#This Row],[loan_status]])</f>
        <v>13</v>
      </c>
      <c r="AC21" s="2">
        <f>COUNTIF(Table1[default_flag],1)/ROWS(Table1[loan_id])</f>
        <v>2.5999999999999999E-2</v>
      </c>
      <c r="AD21" s="2">
        <f>COUNTIFS(Table1[region],Table1[[#This Row],[region]],Table1[default_flag],1)/COUNTIF(Table1[region],Table1[[#This Row],[region]])</f>
        <v>2.6548672566371681E-2</v>
      </c>
      <c r="AE21" s="2">
        <f>COUNTIFS(Table1[channel],Table1[[#This Row],[channel]],Table1[prepayment_flag],1)/COUNTIF(Table1[channel],Table1[[#This Row],[channel]])</f>
        <v>7.1090047393364927E-2</v>
      </c>
      <c r="AF21" s="2">
        <f>AVERAGEIFS(Table1[interest_rate_pct],Table1[product],Table1[[#This Row],[product]],Table1[risk_band],Table1[[#This Row],[risk_band]])</f>
        <v>16.500166666666669</v>
      </c>
      <c r="AG21" s="2" t="str" cm="1">
        <f t="array" ref="AG21">_xlfn.IFS(Table1[[#This Row],[dti_ratio]] &lt; 0.2, " less than 0.2", Table1[[#This Row],[dti_ratio]] &lt; 0.3, "0.2 - 0.3", Table1[[#This Row],[dti_ratio]] &lt;= 0.5, "0.35 - 0.5", Table1[[#This Row],[dti_ratio]] &gt; 0.5, "greater than 0.5")</f>
        <v>0.35 - 0.5</v>
      </c>
      <c r="AH21" s="2">
        <f>COUNTIF(Table1[DTI band],Table1[[#This Row],[DTI band]])</f>
        <v>260</v>
      </c>
      <c r="AI21" s="2" t="str" cm="1">
        <f t="array" ref="AI21">_xlfn.IFS(Table1[[#This Row],[ltv_ratio]] &lt; 0.6, "less than 0.6 -less risky", Table1[[#This Row],[ltv_ratio]]  &lt;= 0.8, "0.6 - 0.8 -medium risky",Table1[[#This Row],[ltv_ratio]] &gt; 0.8, "greater than 0.8 -highly risky")</f>
        <v>0.6 - 0.8 -medium risky</v>
      </c>
      <c r="AJ21" s="2">
        <f>COUNTIF(Table1[LTV band],Table1[[#This Row],[LTV band]])</f>
        <v>302</v>
      </c>
      <c r="AK21" s="2">
        <f>COUNTIFS(Table1[count_loan_perband],Table1[[#This Row],[count_loan_perband]],Table1[default_flag],1)/COUNTIF(Table1[count_loan_perband],Table1[[#This Row],[count_loan_perband]])</f>
        <v>3.6423841059602648E-2</v>
      </c>
      <c r="AL21" s="2" t="str" cm="1">
        <f t="array" ref="AL21">_xlfn.IFS(Table1[[#This Row],[loan_amount]] &lt; 900000, "lower size (&lt; 9L)", Table1[[#This Row],[loan_amount]] &lt;=3300000, "medium size (&lt;=33L)", Table1[[#This Row],[loan_amount]] &gt; 3300000, "larger size (&gt; 33L)")</f>
        <v>lower size (&lt; 9L)</v>
      </c>
      <c r="AM21" s="2">
        <f>IF(Table1[[#This Row],[dpd]] &gt;=30,1,0)</f>
        <v>1</v>
      </c>
      <c r="AN21" s="2">
        <f>COUNTIFS(Table1[Loan size],Table1[[#This Row],[Loan size]],Table1[dpd flag],1)/COUNTIF(Table1[Loan size],Table1[[#This Row],[Loan size]])</f>
        <v>0.13934426229508196</v>
      </c>
      <c r="AO21" s="2" t="str">
        <f>IF(OR(Table1[[#This Row],[credit_score]] &lt; 600, Table1[ [#This Row],[dti_ratio] ] &gt; 0.5, Table1[[#This Row],[dpd]] &gt;=30), "high risk", " not riskY")</f>
        <v>high risk</v>
      </c>
      <c r="AP21" s="26">
        <f>EOMONTH(Table1[[#This Row],[origination_date]],0)</f>
        <v>44620</v>
      </c>
      <c r="AQ21" s="2">
        <f>SUMIFS(Table1[loan_amount],Table1[origination month],Table1[[#This Row],[origination month]])</f>
        <v>20575600</v>
      </c>
      <c r="AR21" s="2">
        <f>AVERAGEIFS(Table1[months_on_book],Table1[product],Table1[[#This Row],[product]])</f>
        <v>21.092024539877301</v>
      </c>
      <c r="AS21" s="2" t="str">
        <f ca="1">IF(EDATE(Table1[[#This Row],[origination_date]],6) &gt;= TODAY(), "New Loan", "Old Loan")</f>
        <v>Old Loan</v>
      </c>
      <c r="AT21" s="2" t="str">
        <f>"Q"&amp;ROUNDUP(MONTH(Table1[[#This Row],[origination_date]])/3,0)&amp;YEAR(Table1[[#This Row],[origination_date]])</f>
        <v>Q12022</v>
      </c>
      <c r="AU21" s="2">
        <f>SUMIFS(Table1[loan_amount],Table1[quarter],Table1[[#This Row],[quarter]])</f>
        <v>65393800</v>
      </c>
      <c r="AV21" s="34" t="str">
        <f>_xlfn.TEXTJOIN("|",TRUE,Table1[[#This Row],[loan_id]:[loan_status]])</f>
        <v>L91055951|C9423458|44597|Personal Loan|Online|North|Self-Employed|180|551400|16.5|8291|974011|725|B|0.45|0.79|0|46|326163|364741|90|0|1|Default</v>
      </c>
      <c r="AW21" s="42">
        <f>YEAR(Loan_Table[ [#This Row],[origination_date] ])</f>
        <v>2022</v>
      </c>
      <c r="AZ21" s="2">
        <f>ROWS(INDEX(Loan_Table[],,MATCH(AY66,Loan_Table[#Headers],0)))</f>
        <v>500</v>
      </c>
      <c r="BA21" s="2">
        <f>COUNTA(INDEX(Loan_Table[],,MATCH(AY66,Loan_Table[#Headers],0)))</f>
        <v>500</v>
      </c>
      <c r="BB21" s="2">
        <f>COUNTBLANK(INDEX(Loan_Table[],,MATCH(AY66,Loan_Table[#Headers],0)))</f>
        <v>0</v>
      </c>
      <c r="BC21" s="2">
        <f t="shared" ref="BC21:BC43" si="0">BA21/AZ21*100</f>
        <v>100</v>
      </c>
    </row>
    <row r="22" spans="2:55" ht="18" customHeight="1">
      <c r="B22" s="5" t="s">
        <v>154</v>
      </c>
      <c r="C22" s="2" t="s">
        <v>155</v>
      </c>
      <c r="D22" s="3">
        <v>44577</v>
      </c>
      <c r="E22" s="2" t="s">
        <v>131</v>
      </c>
      <c r="F22" s="2" t="s">
        <v>132</v>
      </c>
      <c r="G22" s="2" t="s">
        <v>133</v>
      </c>
      <c r="H22" s="2" t="s">
        <v>134</v>
      </c>
      <c r="I22" s="2">
        <v>60</v>
      </c>
      <c r="J22" s="2">
        <v>461700</v>
      </c>
      <c r="K22" s="2">
        <v>17.32</v>
      </c>
      <c r="L22" s="2">
        <v>11554</v>
      </c>
      <c r="M22" s="2">
        <v>1181708</v>
      </c>
      <c r="N22" s="2">
        <v>698</v>
      </c>
      <c r="O22" s="2" t="s">
        <v>140</v>
      </c>
      <c r="P22" s="2">
        <v>0.45</v>
      </c>
      <c r="Q22" s="2">
        <v>0.96</v>
      </c>
      <c r="R22" s="2">
        <v>0</v>
      </c>
      <c r="S22" s="2">
        <v>47</v>
      </c>
      <c r="T22" s="2">
        <v>514908</v>
      </c>
      <c r="U22" s="2">
        <v>72073</v>
      </c>
      <c r="V22" s="2">
        <v>0</v>
      </c>
      <c r="W22" s="2">
        <v>0</v>
      </c>
      <c r="X22" s="2">
        <v>0</v>
      </c>
      <c r="Y22" s="2" t="s">
        <v>148</v>
      </c>
      <c r="Z22" s="12">
        <f>SUMIF(Table1[product],Table1[[#This Row],[product]],Table1[loan_amount])</f>
        <v>74897600</v>
      </c>
      <c r="AA22" s="15">
        <f>SUMIF(Table1[region],Table1[[#This Row],[region]],Table1[current_balance])</f>
        <v>94548000</v>
      </c>
      <c r="AB22" s="2">
        <f>COUNTIF(Table1[loan_status],Table1[[#This Row],[loan_status]])</f>
        <v>301</v>
      </c>
      <c r="AC22" s="2">
        <f>COUNTIF(Table1[default_flag],1)/ROWS(Table1[loan_id])</f>
        <v>2.5999999999999999E-2</v>
      </c>
      <c r="AD22" s="2">
        <f>COUNTIFS(Table1[region],Table1[[#This Row],[region]],Table1[default_flag],1)/COUNTIF(Table1[region],Table1[[#This Row],[region]])</f>
        <v>0</v>
      </c>
      <c r="AE22" s="2">
        <f>COUNTIFS(Table1[channel],Table1[[#This Row],[channel]],Table1[prepayment_flag],1)/COUNTIF(Table1[channel],Table1[[#This Row],[channel]])</f>
        <v>7.1090047393364927E-2</v>
      </c>
      <c r="AF22" s="2">
        <f>AVERAGEIFS(Table1[interest_rate_pct],Table1[product],Table1[[#This Row],[product]],Table1[risk_band],Table1[[#This Row],[risk_band]])</f>
        <v>18.603181818181817</v>
      </c>
      <c r="AG22" s="2" t="str" cm="1">
        <f t="array" ref="AG22">_xlfn.IFS(Table1[[#This Row],[dti_ratio]] &lt; 0.2, " less than 0.2", Table1[[#This Row],[dti_ratio]] &lt; 0.3, "0.2 - 0.3", Table1[[#This Row],[dti_ratio]] &lt;= 0.5, "0.35 - 0.5", Table1[[#This Row],[dti_ratio]] &gt; 0.5, "greater than 0.5")</f>
        <v>0.35 - 0.5</v>
      </c>
      <c r="AH22" s="2">
        <f>COUNTIF(Table1[DTI band],Table1[[#This Row],[DTI band]])</f>
        <v>260</v>
      </c>
      <c r="AI22" s="2" t="str" cm="1">
        <f t="array" ref="AI22">_xlfn.IFS(Table1[[#This Row],[ltv_ratio]] &lt; 0.6, "less than 0.6 -less risky", Table1[[#This Row],[ltv_ratio]]  &lt;= 0.8, "0.6 - 0.8 -medium risky",Table1[[#This Row],[ltv_ratio]] &gt; 0.8, "greater than 0.8 -highly risky")</f>
        <v>greater than 0.8 -highly risky</v>
      </c>
      <c r="AJ22" s="2">
        <f>COUNTIF(Table1[LTV band],Table1[[#This Row],[LTV band]])</f>
        <v>141</v>
      </c>
      <c r="AK22" s="2">
        <f>COUNTIFS(Table1[count_loan_perband],Table1[[#This Row],[count_loan_perband]],Table1[default_flag],1)/COUNTIF(Table1[count_loan_perband],Table1[[#This Row],[count_loan_perband]])</f>
        <v>1.4184397163120567E-2</v>
      </c>
      <c r="AL22" s="2" t="str" cm="1">
        <f t="array" ref="AL22">_xlfn.IFS(Table1[[#This Row],[loan_amount]] &lt; 900000, "lower size (&lt; 9L)", Table1[[#This Row],[loan_amount]] &lt;=3300000, "medium size (&lt;=33L)", Table1[[#This Row],[loan_amount]] &gt; 3300000, "larger size (&gt; 33L)")</f>
        <v>lower size (&lt; 9L)</v>
      </c>
      <c r="AM22" s="2">
        <f>IF(Table1[[#This Row],[dpd]] &gt;=30,1,0)</f>
        <v>0</v>
      </c>
      <c r="AN22" s="2">
        <f>COUNTIFS(Table1[Loan size],Table1[[#This Row],[Loan size]],Table1[dpd flag],1)/COUNTIF(Table1[Loan size],Table1[[#This Row],[Loan size]])</f>
        <v>0.13934426229508196</v>
      </c>
      <c r="AO22" s="2" t="str">
        <f>IF(OR(Table1[[#This Row],[credit_score]] &lt; 600, Table1[ [#This Row],[dti_ratio] ] &gt; 0.5, Table1[[#This Row],[dpd]] &gt;=30), "high risk", " not riskY")</f>
        <v xml:space="preserve"> not riskY</v>
      </c>
      <c r="AP22" s="26">
        <f>EOMONTH(Table1[[#This Row],[origination_date]],0)</f>
        <v>44592</v>
      </c>
      <c r="AQ22" s="2">
        <f>SUMIFS(Table1[loan_amount],Table1[origination month],Table1[[#This Row],[origination month]])</f>
        <v>19161700</v>
      </c>
      <c r="AR22" s="2">
        <f>AVERAGEIFS(Table1[months_on_book],Table1[product],Table1[[#This Row],[product]])</f>
        <v>21.092024539877301</v>
      </c>
      <c r="AS22" s="2" t="str">
        <f ca="1">IF(EDATE(Table1[[#This Row],[origination_date]],6) &gt;= TODAY(), "New Loan", "Old Loan")</f>
        <v>Old Loan</v>
      </c>
      <c r="AT22" s="2" t="str">
        <f>"Q"&amp;ROUNDUP(MONTH(Table1[[#This Row],[origination_date]])/3,0)&amp;YEAR(Table1[[#This Row],[origination_date]])</f>
        <v>Q12022</v>
      </c>
      <c r="AU22" s="2">
        <f>SUMIFS(Table1[loan_amount],Table1[quarter],Table1[[#This Row],[quarter]])</f>
        <v>65393800</v>
      </c>
      <c r="AV22" s="34" t="str">
        <f>_xlfn.TEXTJOIN("|",TRUE,Table1[[#This Row],[loan_id]:[loan_status]])</f>
        <v>L91498218|C6141093|44577|Personal Loan|Online|South|Salaried|60|461700|17.32|11554|1181708|698|C|0.45|0.96|0|47|514908|72073|0|0|0|Active</v>
      </c>
      <c r="AW22" s="42">
        <f>YEAR(Loan_Table[ [#This Row],[origination_date] ])</f>
        <v>2022</v>
      </c>
      <c r="AZ22" s="2">
        <f>ROWS(INDEX(Loan_Table[],,MATCH(AY67,Loan_Table[#Headers],0)))</f>
        <v>500</v>
      </c>
      <c r="BA22" s="2">
        <f>COUNTA(INDEX(Loan_Table[],,MATCH(AY67,Loan_Table[#Headers],0)))</f>
        <v>500</v>
      </c>
      <c r="BB22" s="2">
        <f>COUNTBLANK(INDEX(Loan_Table[],,MATCH(AY67,Loan_Table[#Headers],0)))</f>
        <v>0</v>
      </c>
      <c r="BC22" s="2">
        <f t="shared" si="0"/>
        <v>100</v>
      </c>
    </row>
    <row r="23" spans="2:55" ht="18" customHeight="1">
      <c r="B23" s="5" t="s">
        <v>156</v>
      </c>
      <c r="C23" s="2" t="s">
        <v>157</v>
      </c>
      <c r="D23" s="3">
        <v>44582</v>
      </c>
      <c r="E23" s="2" t="s">
        <v>158</v>
      </c>
      <c r="F23" s="2" t="s">
        <v>159</v>
      </c>
      <c r="G23" s="2" t="s">
        <v>139</v>
      </c>
      <c r="H23" s="2" t="s">
        <v>134</v>
      </c>
      <c r="I23" s="2">
        <v>36</v>
      </c>
      <c r="J23" s="2">
        <v>1485500</v>
      </c>
      <c r="K23" s="2">
        <v>9.61</v>
      </c>
      <c r="L23" s="2">
        <v>47661</v>
      </c>
      <c r="M23" s="2">
        <v>591567</v>
      </c>
      <c r="N23" s="2">
        <v>790</v>
      </c>
      <c r="O23" s="2" t="s">
        <v>160</v>
      </c>
      <c r="P23" s="2">
        <v>0.43</v>
      </c>
      <c r="Q23" s="2">
        <v>0.71</v>
      </c>
      <c r="R23" s="2">
        <v>2101800</v>
      </c>
      <c r="S23" s="2">
        <v>36</v>
      </c>
      <c r="T23" s="2">
        <v>1565725</v>
      </c>
      <c r="U23" s="2">
        <v>91083</v>
      </c>
      <c r="V23" s="2">
        <v>90</v>
      </c>
      <c r="W23" s="2">
        <v>0</v>
      </c>
      <c r="X23" s="2">
        <v>1</v>
      </c>
      <c r="Y23" s="2" t="s">
        <v>153</v>
      </c>
      <c r="Z23" s="12">
        <f>SUMIF(Table1[product],Table1[[#This Row],[product]],Table1[loan_amount])</f>
        <v>201475100</v>
      </c>
      <c r="AA23" s="15">
        <f>SUMIF(Table1[region],Table1[[#This Row],[region]],Table1[current_balance])</f>
        <v>83903255</v>
      </c>
      <c r="AB23" s="2">
        <f>COUNTIF(Table1[loan_status],Table1[[#This Row],[loan_status]])</f>
        <v>13</v>
      </c>
      <c r="AC23" s="2">
        <f>COUNTIF(Table1[default_flag],1)/ROWS(Table1[loan_id])</f>
        <v>2.5999999999999999E-2</v>
      </c>
      <c r="AD23" s="2">
        <f>COUNTIFS(Table1[region],Table1[[#This Row],[region]],Table1[default_flag],1)/COUNTIF(Table1[region],Table1[[#This Row],[region]])</f>
        <v>4.2553191489361701E-2</v>
      </c>
      <c r="AE23" s="2">
        <f>COUNTIFS(Table1[channel],Table1[[#This Row],[channel]],Table1[prepayment_flag],1)/COUNTIF(Table1[channel],Table1[[#This Row],[channel]])</f>
        <v>0.1</v>
      </c>
      <c r="AF23" s="2">
        <f>AVERAGEIFS(Table1[interest_rate_pct],Table1[product],Table1[[#This Row],[product]],Table1[risk_band],Table1[[#This Row],[risk_band]])</f>
        <v>10.537499999999998</v>
      </c>
      <c r="AG23" s="2" t="str" cm="1">
        <f t="array" ref="AG23">_xlfn.IFS(Table1[[#This Row],[dti_ratio]] &lt; 0.2, " less than 0.2", Table1[[#This Row],[dti_ratio]] &lt; 0.3, "0.2 - 0.3", Table1[[#This Row],[dti_ratio]] &lt;= 0.5, "0.35 - 0.5", Table1[[#This Row],[dti_ratio]] &gt; 0.5, "greater than 0.5")</f>
        <v>0.35 - 0.5</v>
      </c>
      <c r="AH23" s="2">
        <f>COUNTIF(Table1[DTI band],Table1[[#This Row],[DTI band]])</f>
        <v>260</v>
      </c>
      <c r="AI23" s="2" t="str" cm="1">
        <f t="array" ref="AI23">_xlfn.IFS(Table1[[#This Row],[ltv_ratio]] &lt; 0.6, "less than 0.6 -less risky", Table1[[#This Row],[ltv_ratio]]  &lt;= 0.8, "0.6 - 0.8 -medium risky",Table1[[#This Row],[ltv_ratio]] &gt; 0.8, "greater than 0.8 -highly risky")</f>
        <v>0.6 - 0.8 -medium risky</v>
      </c>
      <c r="AJ23" s="2">
        <f>COUNTIF(Table1[LTV band],Table1[[#This Row],[LTV band]])</f>
        <v>302</v>
      </c>
      <c r="AK23" s="2">
        <f>COUNTIFS(Table1[count_loan_perband],Table1[[#This Row],[count_loan_perband]],Table1[default_flag],1)/COUNTIF(Table1[count_loan_perband],Table1[[#This Row],[count_loan_perband]])</f>
        <v>3.6423841059602648E-2</v>
      </c>
      <c r="AL23" s="2" t="str" cm="1">
        <f t="array" ref="AL23">_xlfn.IFS(Table1[[#This Row],[loan_amount]] &lt; 900000, "lower size (&lt; 9L)", Table1[[#This Row],[loan_amount]] &lt;=3300000, "medium size (&lt;=33L)", Table1[[#This Row],[loan_amount]] &gt; 3300000, "larger size (&gt; 33L)")</f>
        <v>medium size (&lt;=33L)</v>
      </c>
      <c r="AM23" s="2">
        <f>IF(Table1[[#This Row],[dpd]] &gt;=30,1,0)</f>
        <v>1</v>
      </c>
      <c r="AN23" s="2">
        <f>COUNTIFS(Table1[Loan size],Table1[[#This Row],[Loan size]],Table1[dpd flag],1)/COUNTIF(Table1[Loan size],Table1[[#This Row],[Loan size]])</f>
        <v>0.15909090909090909</v>
      </c>
      <c r="AO23" s="2" t="str">
        <f>IF(OR(Table1[[#This Row],[credit_score]] &lt; 600, Table1[ [#This Row],[dti_ratio] ] &gt; 0.5, Table1[[#This Row],[dpd]] &gt;=30), "high risk", " not riskY")</f>
        <v>high risk</v>
      </c>
      <c r="AP23" s="26">
        <f>EOMONTH(Table1[[#This Row],[origination_date]],0)</f>
        <v>44592</v>
      </c>
      <c r="AQ23" s="2">
        <f>SUMIFS(Table1[loan_amount],Table1[origination month],Table1[[#This Row],[origination month]])</f>
        <v>19161700</v>
      </c>
      <c r="AR23" s="2">
        <f>AVERAGEIFS(Table1[months_on_book],Table1[product],Table1[[#This Row],[product]])</f>
        <v>19.091954022988507</v>
      </c>
      <c r="AS23" s="2" t="str">
        <f ca="1">IF(EDATE(Table1[[#This Row],[origination_date]],6) &gt;= TODAY(), "New Loan", "Old Loan")</f>
        <v>Old Loan</v>
      </c>
      <c r="AT23" s="2" t="str">
        <f>"Q"&amp;ROUNDUP(MONTH(Table1[[#This Row],[origination_date]])/3,0)&amp;YEAR(Table1[[#This Row],[origination_date]])</f>
        <v>Q12022</v>
      </c>
      <c r="AU23" s="2">
        <f>SUMIFS(Table1[loan_amount],Table1[quarter],Table1[[#This Row],[quarter]])</f>
        <v>65393800</v>
      </c>
      <c r="AV23" s="34" t="str">
        <f>_xlfn.TEXTJOIN("|",TRUE,Table1[[#This Row],[loan_id]:[loan_status]])</f>
        <v>L59912630|C2039410|44582|SME Loan|Partner|West|Salaried|36|1485500|9.61|47661|591567|790|A|0.43|0.71|2101800|36|1565725|91083|90|0|1|Default</v>
      </c>
      <c r="AW23" s="42">
        <f>YEAR(Loan_Table[ [#This Row],[origination_date] ])</f>
        <v>2022</v>
      </c>
      <c r="AZ23" s="2">
        <f>ROWS(INDEX(Loan_Table[],,MATCH(AY86,Loan_Table[#Headers],0)))</f>
        <v>500</v>
      </c>
      <c r="BA23" s="2">
        <f>COUNTA(INDEX(Loan_Table[],,MATCH(AY86,Loan_Table[#Headers],0)))</f>
        <v>500</v>
      </c>
      <c r="BB23" s="2">
        <f>COUNTBLANK(INDEX(Loan_Table[],,MATCH(AY86,Loan_Table[#Headers],0)))</f>
        <v>0</v>
      </c>
      <c r="BC23" s="2">
        <f t="shared" si="0"/>
        <v>100</v>
      </c>
    </row>
    <row r="24" spans="2:55" ht="18" customHeight="1">
      <c r="B24" s="5" t="s">
        <v>161</v>
      </c>
      <c r="C24" s="2" t="s">
        <v>162</v>
      </c>
      <c r="D24" s="3">
        <v>44564</v>
      </c>
      <c r="E24" s="2" t="s">
        <v>163</v>
      </c>
      <c r="F24" s="2" t="s">
        <v>132</v>
      </c>
      <c r="G24" s="2" t="s">
        <v>145</v>
      </c>
      <c r="H24" s="2" t="s">
        <v>152</v>
      </c>
      <c r="I24" s="2">
        <v>12</v>
      </c>
      <c r="J24" s="2">
        <v>756000</v>
      </c>
      <c r="K24" s="2">
        <v>9.7899999999999991</v>
      </c>
      <c r="L24" s="2">
        <v>66391</v>
      </c>
      <c r="M24" s="2">
        <v>1214494</v>
      </c>
      <c r="N24" s="2">
        <v>714</v>
      </c>
      <c r="O24" s="2" t="s">
        <v>135</v>
      </c>
      <c r="P24" s="2">
        <v>0.43</v>
      </c>
      <c r="Q24" s="2">
        <v>0.83</v>
      </c>
      <c r="R24" s="2">
        <v>905800</v>
      </c>
      <c r="S24" s="2">
        <v>12</v>
      </c>
      <c r="T24" s="2">
        <v>712425</v>
      </c>
      <c r="U24" s="2">
        <v>73180</v>
      </c>
      <c r="V24" s="2">
        <v>0</v>
      </c>
      <c r="W24" s="2">
        <v>0</v>
      </c>
      <c r="X24" s="2">
        <v>0</v>
      </c>
      <c r="Y24" s="2" t="s">
        <v>141</v>
      </c>
      <c r="Z24" s="12">
        <f>SUMIF(Table1[product],Table1[[#This Row],[product]],Table1[loan_amount])</f>
        <v>92273000</v>
      </c>
      <c r="AA24" s="15">
        <f>SUMIF(Table1[region],Table1[[#This Row],[region]],Table1[current_balance])</f>
        <v>98928695</v>
      </c>
      <c r="AB24" s="2">
        <f>COUNTIF(Table1[loan_status],Table1[[#This Row],[loan_status]])</f>
        <v>139</v>
      </c>
      <c r="AC24" s="2">
        <f>COUNTIF(Table1[default_flag],1)/ROWS(Table1[loan_id])</f>
        <v>2.5999999999999999E-2</v>
      </c>
      <c r="AD24" s="2">
        <f>COUNTIFS(Table1[region],Table1[[#This Row],[region]],Table1[default_flag],1)/COUNTIF(Table1[region],Table1[[#This Row],[region]])</f>
        <v>2.8571428571428571E-2</v>
      </c>
      <c r="AE24" s="2">
        <f>COUNTIFS(Table1[channel],Table1[[#This Row],[channel]],Table1[prepayment_flag],1)/COUNTIF(Table1[channel],Table1[[#This Row],[channel]])</f>
        <v>7.1090047393364927E-2</v>
      </c>
      <c r="AF24" s="2">
        <f>AVERAGEIFS(Table1[interest_rate_pct],Table1[product],Table1[[#This Row],[product]],Table1[risk_band],Table1[[#This Row],[risk_band]])</f>
        <v>10.611923076923079</v>
      </c>
      <c r="AG24" s="2" t="str" cm="1">
        <f t="array" ref="AG24">_xlfn.IFS(Table1[[#This Row],[dti_ratio]] &lt; 0.2, " less than 0.2", Table1[[#This Row],[dti_ratio]] &lt; 0.3, "0.2 - 0.3", Table1[[#This Row],[dti_ratio]] &lt;= 0.5, "0.35 - 0.5", Table1[[#This Row],[dti_ratio]] &gt; 0.5, "greater than 0.5")</f>
        <v>0.35 - 0.5</v>
      </c>
      <c r="AH24" s="2">
        <f>COUNTIF(Table1[DTI band],Table1[[#This Row],[DTI band]])</f>
        <v>260</v>
      </c>
      <c r="AI24" s="2" t="str" cm="1">
        <f t="array" ref="AI24">_xlfn.IFS(Table1[[#This Row],[ltv_ratio]] &lt; 0.6, "less than 0.6 -less risky", Table1[[#This Row],[ltv_ratio]]  &lt;= 0.8, "0.6 - 0.8 -medium risky",Table1[[#This Row],[ltv_ratio]] &gt; 0.8, "greater than 0.8 -highly risky")</f>
        <v>greater than 0.8 -highly risky</v>
      </c>
      <c r="AJ24" s="2">
        <f>COUNTIF(Table1[LTV band],Table1[[#This Row],[LTV band]])</f>
        <v>141</v>
      </c>
      <c r="AK24" s="2">
        <f>COUNTIFS(Table1[count_loan_perband],Table1[[#This Row],[count_loan_perband]],Table1[default_flag],1)/COUNTIF(Table1[count_loan_perband],Table1[[#This Row],[count_loan_perband]])</f>
        <v>1.4184397163120567E-2</v>
      </c>
      <c r="AL24" s="2" t="str" cm="1">
        <f t="array" ref="AL24">_xlfn.IFS(Table1[[#This Row],[loan_amount]] &lt; 900000, "lower size (&lt; 9L)", Table1[[#This Row],[loan_amount]] &lt;=3300000, "medium size (&lt;=33L)", Table1[[#This Row],[loan_amount]] &gt; 3300000, "larger size (&gt; 33L)")</f>
        <v>lower size (&lt; 9L)</v>
      </c>
      <c r="AM24" s="2">
        <f>IF(Table1[[#This Row],[dpd]] &gt;=30,1,0)</f>
        <v>0</v>
      </c>
      <c r="AN24" s="2">
        <f>COUNTIFS(Table1[Loan size],Table1[[#This Row],[Loan size]],Table1[dpd flag],1)/COUNTIF(Table1[Loan size],Table1[[#This Row],[Loan size]])</f>
        <v>0.13934426229508196</v>
      </c>
      <c r="AO24" s="2" t="str">
        <f>IF(OR(Table1[[#This Row],[credit_score]] &lt; 600, Table1[ [#This Row],[dti_ratio] ] &gt; 0.5, Table1[[#This Row],[dpd]] &gt;=30), "high risk", " not riskY")</f>
        <v xml:space="preserve"> not riskY</v>
      </c>
      <c r="AP24" s="26">
        <f>EOMONTH(Table1[[#This Row],[origination_date]],0)</f>
        <v>44592</v>
      </c>
      <c r="AQ24" s="2">
        <f>SUMIFS(Table1[loan_amount],Table1[origination month],Table1[[#This Row],[origination month]])</f>
        <v>19161700</v>
      </c>
      <c r="AR24" s="2">
        <f>AVERAGEIFS(Table1[months_on_book],Table1[product],Table1[[#This Row],[product]])</f>
        <v>20.262135922330096</v>
      </c>
      <c r="AS24" s="2" t="str">
        <f ca="1">IF(EDATE(Table1[[#This Row],[origination_date]],6) &gt;= TODAY(), "New Loan", "Old Loan")</f>
        <v>Old Loan</v>
      </c>
      <c r="AT24" s="2" t="str">
        <f>"Q"&amp;ROUNDUP(MONTH(Table1[[#This Row],[origination_date]])/3,0)&amp;YEAR(Table1[[#This Row],[origination_date]])</f>
        <v>Q12022</v>
      </c>
      <c r="AU24" s="2">
        <f>SUMIFS(Table1[loan_amount],Table1[quarter],Table1[[#This Row],[quarter]])</f>
        <v>65393800</v>
      </c>
      <c r="AV24" s="34" t="str">
        <f>_xlfn.TEXTJOIN("|",TRUE,Table1[[#This Row],[loan_id]:[loan_status]])</f>
        <v>L84648575|C7318019|44564|Auto Loan|Online|Central|Self-Employed|12|756000|9.79|66391|1214494|714|B|0.43|0.83|905800|12|712425|73180|0|0|0|Closed</v>
      </c>
      <c r="AW24" s="42">
        <f>YEAR(Loan_Table[ [#This Row],[origination_date] ])</f>
        <v>2022</v>
      </c>
      <c r="AZ24" s="2">
        <f>ROWS(INDEX(Loan_Table[],,MATCH(AY87,Loan_Table[#Headers],0)))</f>
        <v>500</v>
      </c>
      <c r="BA24" s="2">
        <f>COUNTA(INDEX(Loan_Table[],,MATCH(AY87,Loan_Table[#Headers],0)))</f>
        <v>500</v>
      </c>
      <c r="BB24" s="2">
        <f>COUNTBLANK(INDEX(Loan_Table[],,MATCH(AY87,Loan_Table[#Headers],0)))</f>
        <v>0</v>
      </c>
      <c r="BC24" s="2">
        <f t="shared" si="0"/>
        <v>100</v>
      </c>
    </row>
    <row r="25" spans="2:55" ht="18" customHeight="1">
      <c r="B25" s="5" t="s">
        <v>164</v>
      </c>
      <c r="C25" s="2" t="s">
        <v>165</v>
      </c>
      <c r="D25" s="3">
        <v>44573</v>
      </c>
      <c r="E25" s="2" t="s">
        <v>163</v>
      </c>
      <c r="F25" s="2" t="s">
        <v>159</v>
      </c>
      <c r="G25" s="2" t="s">
        <v>151</v>
      </c>
      <c r="H25" s="2" t="s">
        <v>152</v>
      </c>
      <c r="I25" s="2">
        <v>360</v>
      </c>
      <c r="J25" s="2">
        <v>927500</v>
      </c>
      <c r="K25" s="2">
        <v>17.8</v>
      </c>
      <c r="L25" s="2">
        <v>13827</v>
      </c>
      <c r="M25" s="2">
        <v>292886</v>
      </c>
      <c r="N25" s="2">
        <v>582</v>
      </c>
      <c r="O25" s="2" t="s">
        <v>166</v>
      </c>
      <c r="P25" s="2">
        <v>0.43</v>
      </c>
      <c r="Q25" s="2">
        <v>1.17</v>
      </c>
      <c r="R25" s="2">
        <v>796000</v>
      </c>
      <c r="S25" s="2">
        <v>47</v>
      </c>
      <c r="T25" s="2">
        <v>608625</v>
      </c>
      <c r="U25" s="2">
        <v>577524</v>
      </c>
      <c r="V25" s="2">
        <v>30</v>
      </c>
      <c r="W25" s="2">
        <v>0</v>
      </c>
      <c r="X25" s="2">
        <v>0</v>
      </c>
      <c r="Y25" s="2" t="s">
        <v>136</v>
      </c>
      <c r="Z25" s="12">
        <f>SUMIF(Table1[product],Table1[[#This Row],[product]],Table1[loan_amount])</f>
        <v>92273000</v>
      </c>
      <c r="AA25" s="15">
        <f>SUMIF(Table1[region],Table1[[#This Row],[region]],Table1[current_balance])</f>
        <v>105779369</v>
      </c>
      <c r="AB25" s="2">
        <f>COUNTIF(Table1[loan_status],Table1[[#This Row],[loan_status]])</f>
        <v>47</v>
      </c>
      <c r="AC25" s="2">
        <f>COUNTIF(Table1[default_flag],1)/ROWS(Table1[loan_id])</f>
        <v>2.5999999999999999E-2</v>
      </c>
      <c r="AD25" s="2">
        <f>COUNTIFS(Table1[region],Table1[[#This Row],[region]],Table1[default_flag],1)/COUNTIF(Table1[region],Table1[[#This Row],[region]])</f>
        <v>2.6548672566371681E-2</v>
      </c>
      <c r="AE25" s="2">
        <f>COUNTIFS(Table1[channel],Table1[[#This Row],[channel]],Table1[prepayment_flag],1)/COUNTIF(Table1[channel],Table1[[#This Row],[channel]])</f>
        <v>0.1</v>
      </c>
      <c r="AF25" s="2">
        <f>AVERAGEIFS(Table1[interest_rate_pct],Table1[product],Table1[[#This Row],[product]],Table1[risk_band],Table1[[#This Row],[risk_band]])</f>
        <v>17.744166666666668</v>
      </c>
      <c r="AG25" s="2" t="str" cm="1">
        <f t="array" ref="AG25">_xlfn.IFS(Table1[[#This Row],[dti_ratio]] &lt; 0.2, " less than 0.2", Table1[[#This Row],[dti_ratio]] &lt; 0.3, "0.2 - 0.3", Table1[[#This Row],[dti_ratio]] &lt;= 0.5, "0.35 - 0.5", Table1[[#This Row],[dti_ratio]] &gt; 0.5, "greater than 0.5")</f>
        <v>0.35 - 0.5</v>
      </c>
      <c r="AH25" s="2">
        <f>COUNTIF(Table1[DTI band],Table1[[#This Row],[DTI band]])</f>
        <v>260</v>
      </c>
      <c r="AI25" s="2" t="str" cm="1">
        <f t="array" ref="AI25">_xlfn.IFS(Table1[[#This Row],[ltv_ratio]] &lt; 0.6, "less than 0.6 -less risky", Table1[[#This Row],[ltv_ratio]]  &lt;= 0.8, "0.6 - 0.8 -medium risky",Table1[[#This Row],[ltv_ratio]] &gt; 0.8, "greater than 0.8 -highly risky")</f>
        <v>greater than 0.8 -highly risky</v>
      </c>
      <c r="AJ25" s="2">
        <f>COUNTIF(Table1[LTV band],Table1[[#This Row],[LTV band]])</f>
        <v>141</v>
      </c>
      <c r="AK25" s="2">
        <f>COUNTIFS(Table1[count_loan_perband],Table1[[#This Row],[count_loan_perband]],Table1[default_flag],1)/COUNTIF(Table1[count_loan_perband],Table1[[#This Row],[count_loan_perband]])</f>
        <v>1.4184397163120567E-2</v>
      </c>
      <c r="AL25" s="2" t="str" cm="1">
        <f t="array" ref="AL25">_xlfn.IFS(Table1[[#This Row],[loan_amount]] &lt; 900000, "lower size (&lt; 9L)", Table1[[#This Row],[loan_amount]] &lt;=3300000, "medium size (&lt;=33L)", Table1[[#This Row],[loan_amount]] &gt; 3300000, "larger size (&gt; 33L)")</f>
        <v>medium size (&lt;=33L)</v>
      </c>
      <c r="AM25" s="2">
        <f>IF(Table1[[#This Row],[dpd]] &gt;=30,1,0)</f>
        <v>1</v>
      </c>
      <c r="AN25" s="2">
        <f>COUNTIFS(Table1[Loan size],Table1[[#This Row],[Loan size]],Table1[dpd flag],1)/COUNTIF(Table1[Loan size],Table1[[#This Row],[Loan size]])</f>
        <v>0.15909090909090909</v>
      </c>
      <c r="AO25" s="2" t="str">
        <f>IF(OR(Table1[[#This Row],[credit_score]] &lt; 600, Table1[ [#This Row],[dti_ratio] ] &gt; 0.5, Table1[[#This Row],[dpd]] &gt;=30), "high risk", " not riskY")</f>
        <v>high risk</v>
      </c>
      <c r="AP25" s="26">
        <f>EOMONTH(Table1[[#This Row],[origination_date]],0)</f>
        <v>44592</v>
      </c>
      <c r="AQ25" s="2">
        <f>SUMIFS(Table1[loan_amount],Table1[origination month],Table1[[#This Row],[origination month]])</f>
        <v>19161700</v>
      </c>
      <c r="AR25" s="2">
        <f>AVERAGEIFS(Table1[months_on_book],Table1[product],Table1[[#This Row],[product]])</f>
        <v>20.262135922330096</v>
      </c>
      <c r="AS25" s="2" t="str">
        <f ca="1">IF(EDATE(Table1[[#This Row],[origination_date]],6) &gt;= TODAY(), "New Loan", "Old Loan")</f>
        <v>Old Loan</v>
      </c>
      <c r="AT25" s="2" t="str">
        <f>"Q"&amp;ROUNDUP(MONTH(Table1[[#This Row],[origination_date]])/3,0)&amp;YEAR(Table1[[#This Row],[origination_date]])</f>
        <v>Q12022</v>
      </c>
      <c r="AU25" s="2">
        <f>SUMIFS(Table1[loan_amount],Table1[quarter],Table1[[#This Row],[quarter]])</f>
        <v>65393800</v>
      </c>
      <c r="AV25" s="34" t="str">
        <f>_xlfn.TEXTJOIN("|",TRUE,Table1[[#This Row],[loan_id]:[loan_status]])</f>
        <v>L80446170|C3438704|44573|Auto Loan|Partner|North|Self-Employed|360|927500|17.8|13827|292886|582|E|0.43|1.17|796000|47|608625|577524|30|0|0|Delinquent</v>
      </c>
      <c r="AW25" s="42">
        <f>YEAR(Loan_Table[ [#This Row],[origination_date] ])</f>
        <v>2022</v>
      </c>
      <c r="AZ25" s="2">
        <f>ROWS(INDEX(Loan_Table[],,MATCH(AY88,Loan_Table[#Headers],0)))</f>
        <v>500</v>
      </c>
      <c r="BA25" s="2">
        <f>COUNTA(INDEX(Loan_Table[],,MATCH(AY88,Loan_Table[#Headers],0)))</f>
        <v>500</v>
      </c>
      <c r="BB25" s="2">
        <f>COUNTBLANK(INDEX(Loan_Table[],,MATCH(AY88,Loan_Table[#Headers],0)))</f>
        <v>0</v>
      </c>
      <c r="BC25" s="2">
        <f t="shared" si="0"/>
        <v>100</v>
      </c>
    </row>
    <row r="26" spans="2:55" ht="18" customHeight="1">
      <c r="B26" s="5" t="s">
        <v>167</v>
      </c>
      <c r="C26" s="2" t="s">
        <v>168</v>
      </c>
      <c r="D26" s="3">
        <v>44641</v>
      </c>
      <c r="E26" s="2" t="s">
        <v>169</v>
      </c>
      <c r="F26" s="2" t="s">
        <v>159</v>
      </c>
      <c r="G26" s="2" t="s">
        <v>170</v>
      </c>
      <c r="H26" s="2" t="s">
        <v>146</v>
      </c>
      <c r="I26" s="2">
        <v>180</v>
      </c>
      <c r="J26" s="2">
        <v>3036000</v>
      </c>
      <c r="K26" s="2">
        <v>11.56</v>
      </c>
      <c r="L26" s="2">
        <v>35582</v>
      </c>
      <c r="M26" s="2">
        <v>905645</v>
      </c>
      <c r="N26" s="2">
        <v>688</v>
      </c>
      <c r="O26" s="2" t="s">
        <v>140</v>
      </c>
      <c r="P26" s="2">
        <v>0.43</v>
      </c>
      <c r="Q26" s="2">
        <v>0.61</v>
      </c>
      <c r="R26" s="2">
        <v>5014200</v>
      </c>
      <c r="S26" s="2">
        <v>45</v>
      </c>
      <c r="T26" s="2">
        <v>1568365</v>
      </c>
      <c r="U26" s="2">
        <v>1994077</v>
      </c>
      <c r="V26" s="2">
        <v>90</v>
      </c>
      <c r="W26" s="2">
        <v>0</v>
      </c>
      <c r="X26" s="2">
        <v>1</v>
      </c>
      <c r="Y26" s="2" t="s">
        <v>153</v>
      </c>
      <c r="Z26" s="12">
        <f>SUMIF(Table1[product],Table1[[#This Row],[product]],Table1[loan_amount])</f>
        <v>403369500</v>
      </c>
      <c r="AA26" s="15">
        <f>SUMIF(Table1[region],Table1[[#This Row],[region]],Table1[current_balance])</f>
        <v>83297251</v>
      </c>
      <c r="AB26" s="2">
        <f>COUNTIF(Table1[loan_status],Table1[[#This Row],[loan_status]])</f>
        <v>13</v>
      </c>
      <c r="AC26" s="2">
        <f>COUNTIF(Table1[default_flag],1)/ROWS(Table1[loan_id])</f>
        <v>2.5999999999999999E-2</v>
      </c>
      <c r="AD26" s="2">
        <f>COUNTIFS(Table1[region],Table1[[#This Row],[region]],Table1[default_flag],1)/COUNTIF(Table1[region],Table1[[#This Row],[region]])</f>
        <v>3.1914893617021274E-2</v>
      </c>
      <c r="AE26" s="2">
        <f>COUNTIFS(Table1[channel],Table1[[#This Row],[channel]],Table1[prepayment_flag],1)/COUNTIF(Table1[channel],Table1[[#This Row],[channel]])</f>
        <v>0.1</v>
      </c>
      <c r="AF26" s="2">
        <f>AVERAGEIFS(Table1[interest_rate_pct],Table1[product],Table1[[#This Row],[product]],Table1[risk_band],Table1[[#This Row],[risk_band]])</f>
        <v>11.719736842105268</v>
      </c>
      <c r="AG26" s="2" t="str" cm="1">
        <f t="array" ref="AG26">_xlfn.IFS(Table1[[#This Row],[dti_ratio]] &lt; 0.2, " less than 0.2", Table1[[#This Row],[dti_ratio]] &lt; 0.3, "0.2 - 0.3", Table1[[#This Row],[dti_ratio]] &lt;= 0.5, "0.35 - 0.5", Table1[[#This Row],[dti_ratio]] &gt; 0.5, "greater than 0.5")</f>
        <v>0.35 - 0.5</v>
      </c>
      <c r="AH26" s="2">
        <f>COUNTIF(Table1[DTI band],Table1[[#This Row],[DTI band]])</f>
        <v>260</v>
      </c>
      <c r="AI26" s="2" t="str" cm="1">
        <f t="array" ref="AI26">_xlfn.IFS(Table1[[#This Row],[ltv_ratio]] &lt; 0.6, "less than 0.6 -less risky", Table1[[#This Row],[ltv_ratio]]  &lt;= 0.8, "0.6 - 0.8 -medium risky",Table1[[#This Row],[ltv_ratio]] &gt; 0.8, "greater than 0.8 -highly risky")</f>
        <v>0.6 - 0.8 -medium risky</v>
      </c>
      <c r="AJ26" s="2">
        <f>COUNTIF(Table1[LTV band],Table1[[#This Row],[LTV band]])</f>
        <v>302</v>
      </c>
      <c r="AK26" s="2">
        <f>COUNTIFS(Table1[count_loan_perband],Table1[[#This Row],[count_loan_perband]],Table1[default_flag],1)/COUNTIF(Table1[count_loan_perband],Table1[[#This Row],[count_loan_perband]])</f>
        <v>3.6423841059602648E-2</v>
      </c>
      <c r="AL26" s="2" t="str" cm="1">
        <f t="array" ref="AL26">_xlfn.IFS(Table1[[#This Row],[loan_amount]] &lt; 900000, "lower size (&lt; 9L)", Table1[[#This Row],[loan_amount]] &lt;=3300000, "medium size (&lt;=33L)", Table1[[#This Row],[loan_amount]] &gt; 3300000, "larger size (&gt; 33L)")</f>
        <v>medium size (&lt;=33L)</v>
      </c>
      <c r="AM26" s="2">
        <f>IF(Table1[[#This Row],[dpd]] &gt;=30,1,0)</f>
        <v>1</v>
      </c>
      <c r="AN26" s="2">
        <f>COUNTIFS(Table1[Loan size],Table1[[#This Row],[Loan size]],Table1[dpd flag],1)/COUNTIF(Table1[Loan size],Table1[[#This Row],[Loan size]])</f>
        <v>0.15909090909090909</v>
      </c>
      <c r="AO26" s="2" t="str">
        <f>IF(OR(Table1[[#This Row],[credit_score]] &lt; 600, Table1[ [#This Row],[dti_ratio] ] &gt; 0.5, Table1[[#This Row],[dpd]] &gt;=30), "high risk", " not riskY")</f>
        <v>high risk</v>
      </c>
      <c r="AP26" s="26">
        <f>EOMONTH(Table1[[#This Row],[origination_date]],0)</f>
        <v>44651</v>
      </c>
      <c r="AQ26" s="2">
        <f>SUMIFS(Table1[loan_amount],Table1[origination month],Table1[[#This Row],[origination month]])</f>
        <v>25656500</v>
      </c>
      <c r="AR26" s="2">
        <f>AVERAGEIFS(Table1[months_on_book],Table1[product],Table1[[#This Row],[product]])</f>
        <v>20.516129032258064</v>
      </c>
      <c r="AS26" s="2" t="str">
        <f ca="1">IF(EDATE(Table1[[#This Row],[origination_date]],6) &gt;= TODAY(), "New Loan", "Old Loan")</f>
        <v>Old Loan</v>
      </c>
      <c r="AT26" s="2" t="str">
        <f>"Q"&amp;ROUNDUP(MONTH(Table1[[#This Row],[origination_date]])/3,0)&amp;YEAR(Table1[[#This Row],[origination_date]])</f>
        <v>Q12022</v>
      </c>
      <c r="AU26" s="2">
        <f>SUMIFS(Table1[loan_amount],Table1[quarter],Table1[[#This Row],[quarter]])</f>
        <v>65393800</v>
      </c>
      <c r="AV26" s="34" t="str">
        <f>_xlfn.TEXTJOIN("|",TRUE,Table1[[#This Row],[loan_id]:[loan_status]])</f>
        <v>L43371822|C3793012|44641|Home Loan|Partner|East|Contract|180|3036000|11.56|35582|905645|688|C|0.43|0.61|5014200|45|1568365|1994077|90|0|1|Default</v>
      </c>
      <c r="AW26" s="42">
        <f>YEAR(Loan_Table[ [#This Row],[origination_date] ])</f>
        <v>2022</v>
      </c>
      <c r="AZ26" s="2">
        <f>ROWS(INDEX(Loan_Table[],,MATCH(AY89,Loan_Table[#Headers],0)))</f>
        <v>500</v>
      </c>
      <c r="BA26" s="2">
        <f>COUNTA(INDEX(Loan_Table[],,MATCH(AY89,Loan_Table[#Headers],0)))</f>
        <v>500</v>
      </c>
      <c r="BB26" s="2">
        <f>COUNTBLANK(INDEX(Loan_Table[],,MATCH(AY89,Loan_Table[#Headers],0)))</f>
        <v>0</v>
      </c>
      <c r="BC26" s="2">
        <f t="shared" si="0"/>
        <v>100</v>
      </c>
    </row>
    <row r="27" spans="2:55" ht="18" customHeight="1">
      <c r="B27" s="5" t="s">
        <v>171</v>
      </c>
      <c r="C27" s="2" t="s">
        <v>172</v>
      </c>
      <c r="D27" s="3">
        <v>44563</v>
      </c>
      <c r="E27" s="2" t="s">
        <v>169</v>
      </c>
      <c r="F27" s="2" t="s">
        <v>159</v>
      </c>
      <c r="G27" s="2" t="s">
        <v>145</v>
      </c>
      <c r="H27" s="2" t="s">
        <v>134</v>
      </c>
      <c r="I27" s="2">
        <v>12</v>
      </c>
      <c r="J27" s="2">
        <v>3166600</v>
      </c>
      <c r="K27" s="2">
        <v>7.1</v>
      </c>
      <c r="L27" s="2">
        <v>274142</v>
      </c>
      <c r="M27" s="2">
        <v>1204387</v>
      </c>
      <c r="N27" s="2">
        <v>781</v>
      </c>
      <c r="O27" s="2" t="s">
        <v>160</v>
      </c>
      <c r="P27" s="2">
        <v>0.41</v>
      </c>
      <c r="Q27" s="2">
        <v>0.52</v>
      </c>
      <c r="R27" s="2">
        <v>6033900</v>
      </c>
      <c r="S27" s="2">
        <v>12</v>
      </c>
      <c r="T27" s="2">
        <v>2982681</v>
      </c>
      <c r="U27" s="2">
        <v>273850</v>
      </c>
      <c r="V27" s="2">
        <v>0</v>
      </c>
      <c r="W27" s="2">
        <v>0</v>
      </c>
      <c r="X27" s="2">
        <v>0</v>
      </c>
      <c r="Y27" s="2" t="s">
        <v>141</v>
      </c>
      <c r="Z27" s="12">
        <f>SUMIF(Table1[product],Table1[[#This Row],[product]],Table1[loan_amount])</f>
        <v>403369500</v>
      </c>
      <c r="AA27" s="15">
        <f>SUMIF(Table1[region],Table1[[#This Row],[region]],Table1[current_balance])</f>
        <v>98928695</v>
      </c>
      <c r="AB27" s="2">
        <f>COUNTIF(Table1[loan_status],Table1[[#This Row],[loan_status]])</f>
        <v>139</v>
      </c>
      <c r="AC27" s="2">
        <f>COUNTIF(Table1[default_flag],1)/ROWS(Table1[loan_id])</f>
        <v>2.5999999999999999E-2</v>
      </c>
      <c r="AD27" s="2">
        <f>COUNTIFS(Table1[region],Table1[[#This Row],[region]],Table1[default_flag],1)/COUNTIF(Table1[region],Table1[[#This Row],[region]])</f>
        <v>2.8571428571428571E-2</v>
      </c>
      <c r="AE27" s="2">
        <f>COUNTIFS(Table1[channel],Table1[[#This Row],[channel]],Table1[prepayment_flag],1)/COUNTIF(Table1[channel],Table1[[#This Row],[channel]])</f>
        <v>0.1</v>
      </c>
      <c r="AF27" s="2">
        <f>AVERAGEIFS(Table1[interest_rate_pct],Table1[product],Table1[[#This Row],[product]],Table1[risk_band],Table1[[#This Row],[risk_band]])</f>
        <v>7.1876190476190471</v>
      </c>
      <c r="AG27" s="2" t="str" cm="1">
        <f t="array" ref="AG27">_xlfn.IFS(Table1[[#This Row],[dti_ratio]] &lt; 0.2, " less than 0.2", Table1[[#This Row],[dti_ratio]] &lt; 0.3, "0.2 - 0.3", Table1[[#This Row],[dti_ratio]] &lt;= 0.5, "0.35 - 0.5", Table1[[#This Row],[dti_ratio]] &gt; 0.5, "greater than 0.5")</f>
        <v>0.35 - 0.5</v>
      </c>
      <c r="AH27" s="2">
        <f>COUNTIF(Table1[DTI band],Table1[[#This Row],[DTI band]])</f>
        <v>260</v>
      </c>
      <c r="AI27" s="2" t="str" cm="1">
        <f t="array" ref="AI27">_xlfn.IFS(Table1[[#This Row],[ltv_ratio]] &lt; 0.6, "less than 0.6 -less risky", Table1[[#This Row],[ltv_ratio]]  &lt;= 0.8, "0.6 - 0.8 -medium risky",Table1[[#This Row],[ltv_ratio]] &gt; 0.8, "greater than 0.8 -highly risky")</f>
        <v>less than 0.6 -less risky</v>
      </c>
      <c r="AJ27" s="2">
        <f>COUNTIF(Table1[LTV band],Table1[[#This Row],[LTV band]])</f>
        <v>57</v>
      </c>
      <c r="AK27" s="2">
        <f>COUNTIFS(Table1[count_loan_perband],Table1[[#This Row],[count_loan_perband]],Table1[default_flag],1)/COUNTIF(Table1[count_loan_perband],Table1[[#This Row],[count_loan_perband]])</f>
        <v>0</v>
      </c>
      <c r="AL27" s="2" t="str" cm="1">
        <f t="array" ref="AL27">_xlfn.IFS(Table1[[#This Row],[loan_amount]] &lt; 900000, "lower size (&lt; 9L)", Table1[[#This Row],[loan_amount]] &lt;=3300000, "medium size (&lt;=33L)", Table1[[#This Row],[loan_amount]] &gt; 3300000, "larger size (&gt; 33L)")</f>
        <v>medium size (&lt;=33L)</v>
      </c>
      <c r="AM27" s="2">
        <f>IF(Table1[[#This Row],[dpd]] &gt;=30,1,0)</f>
        <v>0</v>
      </c>
      <c r="AN27" s="2">
        <f>COUNTIFS(Table1[Loan size],Table1[[#This Row],[Loan size]],Table1[dpd flag],1)/COUNTIF(Table1[Loan size],Table1[[#This Row],[Loan size]])</f>
        <v>0.15909090909090909</v>
      </c>
      <c r="AO27" s="2" t="str">
        <f>IF(OR(Table1[[#This Row],[credit_score]] &lt; 600, Table1[ [#This Row],[dti_ratio] ] &gt; 0.5, Table1[[#This Row],[dpd]] &gt;=30), "high risk", " not riskY")</f>
        <v xml:space="preserve"> not riskY</v>
      </c>
      <c r="AP27" s="26">
        <f>EOMONTH(Table1[[#This Row],[origination_date]],0)</f>
        <v>44592</v>
      </c>
      <c r="AQ27" s="2">
        <f>SUMIFS(Table1[loan_amount],Table1[origination month],Table1[[#This Row],[origination month]])</f>
        <v>19161700</v>
      </c>
      <c r="AR27" s="2">
        <f>AVERAGEIFS(Table1[months_on_book],Table1[product],Table1[[#This Row],[product]])</f>
        <v>20.516129032258064</v>
      </c>
      <c r="AS27" s="2" t="str">
        <f ca="1">IF(EDATE(Table1[[#This Row],[origination_date]],6) &gt;= TODAY(), "New Loan", "Old Loan")</f>
        <v>Old Loan</v>
      </c>
      <c r="AT27" s="2" t="str">
        <f>"Q"&amp;ROUNDUP(MONTH(Table1[[#This Row],[origination_date]])/3,0)&amp;YEAR(Table1[[#This Row],[origination_date]])</f>
        <v>Q12022</v>
      </c>
      <c r="AU27" s="2">
        <f>SUMIFS(Table1[loan_amount],Table1[quarter],Table1[[#This Row],[quarter]])</f>
        <v>65393800</v>
      </c>
      <c r="AV27" s="34" t="str">
        <f>_xlfn.TEXTJOIN("|",TRUE,Table1[[#This Row],[loan_id]:[loan_status]])</f>
        <v>L57769263|C3845927|44563|Home Loan|Partner|Central|Salaried|12|3166600|7.1|274142|1204387|781|A|0.41|0.52|6033900|12|2982681|273850|0|0|0|Closed</v>
      </c>
      <c r="AW27" s="42">
        <f>YEAR(Loan_Table[ [#This Row],[origination_date] ])</f>
        <v>2022</v>
      </c>
      <c r="AZ27" s="2">
        <f>ROWS(INDEX(Loan_Table[],,MATCH(AY68,Loan_Table[#Headers],0)))</f>
        <v>500</v>
      </c>
      <c r="BA27" s="2">
        <f>COUNTA(INDEX(Loan_Table[],,MATCH(AY68,Loan_Table[#Headers],0)))</f>
        <v>500</v>
      </c>
      <c r="BB27" s="2">
        <f>COUNTBLANK(INDEX(Loan_Table[],,MATCH(AY68,Loan_Table[#Headers],0)))</f>
        <v>0</v>
      </c>
      <c r="BC27" s="2">
        <f t="shared" si="0"/>
        <v>100</v>
      </c>
    </row>
    <row r="28" spans="2:55" ht="18" customHeight="1">
      <c r="B28" s="5" t="s">
        <v>173</v>
      </c>
      <c r="C28" s="2" t="s">
        <v>174</v>
      </c>
      <c r="D28" s="3">
        <v>44593</v>
      </c>
      <c r="E28" s="2" t="s">
        <v>131</v>
      </c>
      <c r="F28" s="2" t="s">
        <v>144</v>
      </c>
      <c r="G28" s="2" t="s">
        <v>133</v>
      </c>
      <c r="H28" s="2" t="s">
        <v>134</v>
      </c>
      <c r="I28" s="2">
        <v>360</v>
      </c>
      <c r="J28" s="2">
        <v>50000</v>
      </c>
      <c r="K28" s="2">
        <v>16.559999999999999</v>
      </c>
      <c r="L28" s="2">
        <v>695</v>
      </c>
      <c r="M28" s="2">
        <v>316188</v>
      </c>
      <c r="N28" s="2">
        <v>705</v>
      </c>
      <c r="O28" s="2" t="s">
        <v>135</v>
      </c>
      <c r="P28" s="2">
        <v>0.4</v>
      </c>
      <c r="Q28" s="2">
        <v>0.81</v>
      </c>
      <c r="R28" s="2">
        <v>0</v>
      </c>
      <c r="S28" s="2">
        <v>46</v>
      </c>
      <c r="T28" s="2">
        <v>28496</v>
      </c>
      <c r="U28" s="2">
        <v>34200</v>
      </c>
      <c r="V28" s="2">
        <v>0</v>
      </c>
      <c r="W28" s="2">
        <v>0</v>
      </c>
      <c r="X28" s="2">
        <v>0</v>
      </c>
      <c r="Y28" s="2" t="s">
        <v>148</v>
      </c>
      <c r="Z28" s="12">
        <f>SUMIF(Table1[product],Table1[[#This Row],[product]],Table1[loan_amount])</f>
        <v>74897600</v>
      </c>
      <c r="AA28" s="15">
        <f>SUMIF(Table1[region],Table1[[#This Row],[region]],Table1[current_balance])</f>
        <v>94548000</v>
      </c>
      <c r="AB28" s="2">
        <f>COUNTIF(Table1[loan_status],Table1[[#This Row],[loan_status]])</f>
        <v>301</v>
      </c>
      <c r="AC28" s="2">
        <f>COUNTIF(Table1[default_flag],1)/ROWS(Table1[loan_id])</f>
        <v>2.5999999999999999E-2</v>
      </c>
      <c r="AD28" s="2">
        <f>COUNTIFS(Table1[region],Table1[[#This Row],[region]],Table1[default_flag],1)/COUNTIF(Table1[region],Table1[[#This Row],[region]])</f>
        <v>0</v>
      </c>
      <c r="AE28" s="2">
        <f>COUNTIFS(Table1[channel],Table1[[#This Row],[channel]],Table1[prepayment_flag],1)/COUNTIF(Table1[channel],Table1[[#This Row],[channel]])</f>
        <v>5.8201058201058198E-2</v>
      </c>
      <c r="AF28" s="2">
        <f>AVERAGEIFS(Table1[interest_rate_pct],Table1[product],Table1[[#This Row],[product]],Table1[risk_band],Table1[[#This Row],[risk_band]])</f>
        <v>16.500166666666669</v>
      </c>
      <c r="AG28" s="2" t="str" cm="1">
        <f t="array" ref="AG28">_xlfn.IFS(Table1[[#This Row],[dti_ratio]] &lt; 0.2, " less than 0.2", Table1[[#This Row],[dti_ratio]] &lt; 0.3, "0.2 - 0.3", Table1[[#This Row],[dti_ratio]] &lt;= 0.5, "0.35 - 0.5", Table1[[#This Row],[dti_ratio]] &gt; 0.5, "greater than 0.5")</f>
        <v>0.35 - 0.5</v>
      </c>
      <c r="AH28" s="2">
        <f>COUNTIF(Table1[DTI band],Table1[[#This Row],[DTI band]])</f>
        <v>260</v>
      </c>
      <c r="AI28" s="2" t="str" cm="1">
        <f t="array" ref="AI28">_xlfn.IFS(Table1[[#This Row],[ltv_ratio]] &lt; 0.6, "less than 0.6 -less risky", Table1[[#This Row],[ltv_ratio]]  &lt;= 0.8, "0.6 - 0.8 -medium risky",Table1[[#This Row],[ltv_ratio]] &gt; 0.8, "greater than 0.8 -highly risky")</f>
        <v>greater than 0.8 -highly risky</v>
      </c>
      <c r="AJ28" s="2">
        <f>COUNTIF(Table1[LTV band],Table1[[#This Row],[LTV band]])</f>
        <v>141</v>
      </c>
      <c r="AK28" s="2">
        <f>COUNTIFS(Table1[count_loan_perband],Table1[[#This Row],[count_loan_perband]],Table1[default_flag],1)/COUNTIF(Table1[count_loan_perband],Table1[[#This Row],[count_loan_perband]])</f>
        <v>1.4184397163120567E-2</v>
      </c>
      <c r="AL28" s="2" t="str" cm="1">
        <f t="array" ref="AL28">_xlfn.IFS(Table1[[#This Row],[loan_amount]] &lt; 900000, "lower size (&lt; 9L)", Table1[[#This Row],[loan_amount]] &lt;=3300000, "medium size (&lt;=33L)", Table1[[#This Row],[loan_amount]] &gt; 3300000, "larger size (&gt; 33L)")</f>
        <v>lower size (&lt; 9L)</v>
      </c>
      <c r="AM28" s="2">
        <f>IF(Table1[[#This Row],[dpd]] &gt;=30,1,0)</f>
        <v>0</v>
      </c>
      <c r="AN28" s="2">
        <f>COUNTIFS(Table1[Loan size],Table1[[#This Row],[Loan size]],Table1[dpd flag],1)/COUNTIF(Table1[Loan size],Table1[[#This Row],[Loan size]])</f>
        <v>0.13934426229508196</v>
      </c>
      <c r="AO28" s="2" t="str">
        <f>IF(OR(Table1[[#This Row],[credit_score]] &lt; 600, Table1[ [#This Row],[dti_ratio] ] &gt; 0.5, Table1[[#This Row],[dpd]] &gt;=30), "high risk", " not riskY")</f>
        <v xml:space="preserve"> not riskY</v>
      </c>
      <c r="AP28" s="26">
        <f>EOMONTH(Table1[[#This Row],[origination_date]],0)</f>
        <v>44620</v>
      </c>
      <c r="AQ28" s="2">
        <f>SUMIFS(Table1[loan_amount],Table1[origination month],Table1[[#This Row],[origination month]])</f>
        <v>20575600</v>
      </c>
      <c r="AR28" s="2">
        <f>AVERAGEIFS(Table1[months_on_book],Table1[product],Table1[[#This Row],[product]])</f>
        <v>21.092024539877301</v>
      </c>
      <c r="AS28" s="2" t="str">
        <f ca="1">IF(EDATE(Table1[[#This Row],[origination_date]],6) &gt;= TODAY(), "New Loan", "Old Loan")</f>
        <v>Old Loan</v>
      </c>
      <c r="AT28" s="2" t="str">
        <f>"Q"&amp;ROUNDUP(MONTH(Table1[[#This Row],[origination_date]])/3,0)&amp;YEAR(Table1[[#This Row],[origination_date]])</f>
        <v>Q12022</v>
      </c>
      <c r="AU28" s="2">
        <f>SUMIFS(Table1[loan_amount],Table1[quarter],Table1[[#This Row],[quarter]])</f>
        <v>65393800</v>
      </c>
      <c r="AV28" s="34" t="str">
        <f>_xlfn.TEXTJOIN("|",TRUE,Table1[[#This Row],[loan_id]:[loan_status]])</f>
        <v>L83261834|C5529744|44593|Personal Loan|Branch|South|Salaried|360|50000|16.56|695|316188|705|B|0.4|0.81|0|46|28496|34200|0|0|0|Active</v>
      </c>
      <c r="AW28" s="42">
        <f>YEAR(Loan_Table[ [#This Row],[origination_date] ])</f>
        <v>2022</v>
      </c>
      <c r="AZ28" s="2">
        <f>ROWS(INDEX(Loan_Table[],,MATCH(AY69,Loan_Table[#Headers],0)))</f>
        <v>500</v>
      </c>
      <c r="BA28" s="2">
        <f>COUNTA(INDEX(Loan_Table[],,MATCH(AY69,Loan_Table[#Headers],0)))</f>
        <v>500</v>
      </c>
      <c r="BB28" s="2">
        <f>COUNTBLANK(INDEX(Loan_Table[],,MATCH(AY69,Loan_Table[#Headers],0)))</f>
        <v>0</v>
      </c>
      <c r="BC28" s="2">
        <f t="shared" si="0"/>
        <v>100</v>
      </c>
    </row>
    <row r="29" spans="2:55" ht="18" customHeight="1">
      <c r="B29" s="5" t="s">
        <v>175</v>
      </c>
      <c r="C29" s="2" t="s">
        <v>176</v>
      </c>
      <c r="D29" s="3">
        <v>44604</v>
      </c>
      <c r="E29" s="2" t="s">
        <v>177</v>
      </c>
      <c r="F29" s="2" t="s">
        <v>132</v>
      </c>
      <c r="G29" s="2" t="s">
        <v>170</v>
      </c>
      <c r="H29" s="2" t="s">
        <v>146</v>
      </c>
      <c r="I29" s="2">
        <v>120</v>
      </c>
      <c r="J29" s="2">
        <v>1202400</v>
      </c>
      <c r="K29" s="2">
        <v>10.210000000000001</v>
      </c>
      <c r="L29" s="2">
        <v>16030</v>
      </c>
      <c r="M29" s="2">
        <v>278271</v>
      </c>
      <c r="N29" s="2">
        <v>707</v>
      </c>
      <c r="O29" s="2" t="s">
        <v>135</v>
      </c>
      <c r="P29" s="2">
        <v>0.4</v>
      </c>
      <c r="Q29" s="2">
        <v>0.64</v>
      </c>
      <c r="R29" s="2">
        <v>0</v>
      </c>
      <c r="S29" s="2">
        <v>46</v>
      </c>
      <c r="T29" s="2">
        <v>713625</v>
      </c>
      <c r="U29" s="2">
        <v>677015</v>
      </c>
      <c r="V29" s="2">
        <v>0</v>
      </c>
      <c r="W29" s="2">
        <v>0</v>
      </c>
      <c r="X29" s="2">
        <v>0</v>
      </c>
      <c r="Y29" s="2" t="s">
        <v>148</v>
      </c>
      <c r="Z29" s="12">
        <f>SUMIF(Table1[product],Table1[[#This Row],[product]],Table1[loan_amount])</f>
        <v>62765800</v>
      </c>
      <c r="AA29" s="15">
        <f>SUMIF(Table1[region],Table1[[#This Row],[region]],Table1[current_balance])</f>
        <v>83297251</v>
      </c>
      <c r="AB29" s="2">
        <f>COUNTIF(Table1[loan_status],Table1[[#This Row],[loan_status]])</f>
        <v>301</v>
      </c>
      <c r="AC29" s="2">
        <f>COUNTIF(Table1[default_flag],1)/ROWS(Table1[loan_id])</f>
        <v>2.5999999999999999E-2</v>
      </c>
      <c r="AD29" s="2">
        <f>COUNTIFS(Table1[region],Table1[[#This Row],[region]],Table1[default_flag],1)/COUNTIF(Table1[region],Table1[[#This Row],[region]])</f>
        <v>3.1914893617021274E-2</v>
      </c>
      <c r="AE29" s="2">
        <f>COUNTIFS(Table1[channel],Table1[[#This Row],[channel]],Table1[prepayment_flag],1)/COUNTIF(Table1[channel],Table1[[#This Row],[channel]])</f>
        <v>7.1090047393364927E-2</v>
      </c>
      <c r="AF29" s="2">
        <f>AVERAGEIFS(Table1[interest_rate_pct],Table1[product],Table1[[#This Row],[product]],Table1[risk_band],Table1[[#This Row],[risk_band]])</f>
        <v>10.832666666666663</v>
      </c>
      <c r="AG29" s="2" t="str" cm="1">
        <f t="array" ref="AG29">_xlfn.IFS(Table1[[#This Row],[dti_ratio]] &lt; 0.2, " less than 0.2", Table1[[#This Row],[dti_ratio]] &lt; 0.3, "0.2 - 0.3", Table1[[#This Row],[dti_ratio]] &lt;= 0.5, "0.35 - 0.5", Table1[[#This Row],[dti_ratio]] &gt; 0.5, "greater than 0.5")</f>
        <v>0.35 - 0.5</v>
      </c>
      <c r="AH29" s="2">
        <f>COUNTIF(Table1[DTI band],Table1[[#This Row],[DTI band]])</f>
        <v>260</v>
      </c>
      <c r="AI29" s="2" t="str" cm="1">
        <f t="array" ref="AI29">_xlfn.IFS(Table1[[#This Row],[ltv_ratio]] &lt; 0.6, "less than 0.6 -less risky", Table1[[#This Row],[ltv_ratio]]  &lt;= 0.8, "0.6 - 0.8 -medium risky",Table1[[#This Row],[ltv_ratio]] &gt; 0.8, "greater than 0.8 -highly risky")</f>
        <v>0.6 - 0.8 -medium risky</v>
      </c>
      <c r="AJ29" s="2">
        <f>COUNTIF(Table1[LTV band],Table1[[#This Row],[LTV band]])</f>
        <v>302</v>
      </c>
      <c r="AK29" s="2">
        <f>COUNTIFS(Table1[count_loan_perband],Table1[[#This Row],[count_loan_perband]],Table1[default_flag],1)/COUNTIF(Table1[count_loan_perband],Table1[[#This Row],[count_loan_perband]])</f>
        <v>3.6423841059602648E-2</v>
      </c>
      <c r="AL29" s="2" t="str" cm="1">
        <f t="array" ref="AL29">_xlfn.IFS(Table1[[#This Row],[loan_amount]] &lt; 900000, "lower size (&lt; 9L)", Table1[[#This Row],[loan_amount]] &lt;=3300000, "medium size (&lt;=33L)", Table1[[#This Row],[loan_amount]] &gt; 3300000, "larger size (&gt; 33L)")</f>
        <v>medium size (&lt;=33L)</v>
      </c>
      <c r="AM29" s="2">
        <f>IF(Table1[[#This Row],[dpd]] &gt;=30,1,0)</f>
        <v>0</v>
      </c>
      <c r="AN29" s="2">
        <f>COUNTIFS(Table1[Loan size],Table1[[#This Row],[Loan size]],Table1[dpd flag],1)/COUNTIF(Table1[Loan size],Table1[[#This Row],[Loan size]])</f>
        <v>0.15909090909090909</v>
      </c>
      <c r="AO29" s="2" t="str">
        <f>IF(OR(Table1[[#This Row],[credit_score]] &lt; 600, Table1[ [#This Row],[dti_ratio] ] &gt; 0.5, Table1[[#This Row],[dpd]] &gt;=30), "high risk", " not riskY")</f>
        <v xml:space="preserve"> not riskY</v>
      </c>
      <c r="AP29" s="26">
        <f>EOMONTH(Table1[[#This Row],[origination_date]],0)</f>
        <v>44620</v>
      </c>
      <c r="AQ29" s="2">
        <f>SUMIFS(Table1[loan_amount],Table1[origination month],Table1[[#This Row],[origination month]])</f>
        <v>20575600</v>
      </c>
      <c r="AR29" s="2">
        <f>AVERAGEIFS(Table1[months_on_book],Table1[product],Table1[[#This Row],[product]])</f>
        <v>21.962962962962962</v>
      </c>
      <c r="AS29" s="2" t="str">
        <f ca="1">IF(EDATE(Table1[[#This Row],[origination_date]],6) &gt;= TODAY(), "New Loan", "Old Loan")</f>
        <v>Old Loan</v>
      </c>
      <c r="AT29" s="2" t="str">
        <f>"Q"&amp;ROUNDUP(MONTH(Table1[[#This Row],[origination_date]])/3,0)&amp;YEAR(Table1[[#This Row],[origination_date]])</f>
        <v>Q12022</v>
      </c>
      <c r="AU29" s="2">
        <f>SUMIFS(Table1[loan_amount],Table1[quarter],Table1[[#This Row],[quarter]])</f>
        <v>65393800</v>
      </c>
      <c r="AV29" s="34" t="str">
        <f>_xlfn.TEXTJOIN("|",TRUE,Table1[[#This Row],[loan_id]:[loan_status]])</f>
        <v>L35610306|C4980827|44604|Education Loan|Online|East|Contract|120|1202400|10.21|16030|278271|707|B|0.4|0.64|0|46|713625|677015|0|0|0|Active</v>
      </c>
      <c r="AW29" s="42">
        <f>YEAR(Loan_Table[ [#This Row],[origination_date] ])</f>
        <v>2022</v>
      </c>
      <c r="AZ29" s="2">
        <f>ROWS(INDEX(Loan_Table[],,MATCH(AY70,Loan_Table[#Headers],0)))</f>
        <v>500</v>
      </c>
      <c r="BA29" s="2">
        <f>COUNTA(INDEX(Loan_Table[],,MATCH(AY70,Loan_Table[#Headers],0)))</f>
        <v>500</v>
      </c>
      <c r="BB29" s="2">
        <f>COUNTBLANK(INDEX(Loan_Table[],,MATCH(AY70,Loan_Table[#Headers],0)))</f>
        <v>0</v>
      </c>
      <c r="BC29" s="2">
        <f t="shared" si="0"/>
        <v>100</v>
      </c>
    </row>
    <row r="30" spans="2:55" ht="18" customHeight="1">
      <c r="B30" s="5" t="s">
        <v>178</v>
      </c>
      <c r="C30" s="2" t="s">
        <v>179</v>
      </c>
      <c r="D30" s="3">
        <v>44640</v>
      </c>
      <c r="E30" s="2" t="s">
        <v>158</v>
      </c>
      <c r="F30" s="2" t="s">
        <v>132</v>
      </c>
      <c r="G30" s="2" t="s">
        <v>170</v>
      </c>
      <c r="H30" s="2" t="s">
        <v>134</v>
      </c>
      <c r="I30" s="2">
        <v>36</v>
      </c>
      <c r="J30" s="2">
        <v>2959800</v>
      </c>
      <c r="K30" s="2">
        <v>14.64</v>
      </c>
      <c r="L30" s="2">
        <v>102081</v>
      </c>
      <c r="M30" s="2">
        <v>882280</v>
      </c>
      <c r="N30" s="2">
        <v>693</v>
      </c>
      <c r="O30" s="2" t="s">
        <v>140</v>
      </c>
      <c r="P30" s="2">
        <v>0.38</v>
      </c>
      <c r="Q30" s="2">
        <v>0.74</v>
      </c>
      <c r="R30" s="2">
        <v>3975900</v>
      </c>
      <c r="S30" s="2">
        <v>36</v>
      </c>
      <c r="T30" s="2">
        <v>3488574</v>
      </c>
      <c r="U30" s="2">
        <v>0</v>
      </c>
      <c r="V30" s="2">
        <v>0</v>
      </c>
      <c r="W30" s="2">
        <v>0</v>
      </c>
      <c r="X30" s="2">
        <v>0</v>
      </c>
      <c r="Y30" s="2" t="s">
        <v>141</v>
      </c>
      <c r="Z30" s="12">
        <f>SUMIF(Table1[product],Table1[[#This Row],[product]],Table1[loan_amount])</f>
        <v>201475100</v>
      </c>
      <c r="AA30" s="15">
        <f>SUMIF(Table1[region],Table1[[#This Row],[region]],Table1[current_balance])</f>
        <v>83297251</v>
      </c>
      <c r="AB30" s="2">
        <f>COUNTIF(Table1[loan_status],Table1[[#This Row],[loan_status]])</f>
        <v>139</v>
      </c>
      <c r="AC30" s="2">
        <f>COUNTIF(Table1[default_flag],1)/ROWS(Table1[loan_id])</f>
        <v>2.5999999999999999E-2</v>
      </c>
      <c r="AD30" s="2">
        <f>COUNTIFS(Table1[region],Table1[[#This Row],[region]],Table1[default_flag],1)/COUNTIF(Table1[region],Table1[[#This Row],[region]])</f>
        <v>3.1914893617021274E-2</v>
      </c>
      <c r="AE30" s="2">
        <f>COUNTIFS(Table1[channel],Table1[[#This Row],[channel]],Table1[prepayment_flag],1)/COUNTIF(Table1[channel],Table1[[#This Row],[channel]])</f>
        <v>7.1090047393364927E-2</v>
      </c>
      <c r="AF30" s="2">
        <f>AVERAGEIFS(Table1[interest_rate_pct],Table1[product],Table1[[#This Row],[product]],Table1[risk_band],Table1[[#This Row],[risk_band]])</f>
        <v>15.841379310344831</v>
      </c>
      <c r="AG30" s="2" t="str" cm="1">
        <f t="array" ref="AG30">_xlfn.IFS(Table1[[#This Row],[dti_ratio]] &lt; 0.2, " less than 0.2", Table1[[#This Row],[dti_ratio]] &lt; 0.3, "0.2 - 0.3", Table1[[#This Row],[dti_ratio]] &lt;= 0.5, "0.35 - 0.5", Table1[[#This Row],[dti_ratio]] &gt; 0.5, "greater than 0.5")</f>
        <v>0.35 - 0.5</v>
      </c>
      <c r="AH30" s="2">
        <f>COUNTIF(Table1[DTI band],Table1[[#This Row],[DTI band]])</f>
        <v>260</v>
      </c>
      <c r="AI30" s="2" t="str" cm="1">
        <f t="array" ref="AI30">_xlfn.IFS(Table1[[#This Row],[ltv_ratio]] &lt; 0.6, "less than 0.6 -less risky", Table1[[#This Row],[ltv_ratio]]  &lt;= 0.8, "0.6 - 0.8 -medium risky",Table1[[#This Row],[ltv_ratio]] &gt; 0.8, "greater than 0.8 -highly risky")</f>
        <v>0.6 - 0.8 -medium risky</v>
      </c>
      <c r="AJ30" s="2">
        <f>COUNTIF(Table1[LTV band],Table1[[#This Row],[LTV band]])</f>
        <v>302</v>
      </c>
      <c r="AK30" s="2">
        <f>COUNTIFS(Table1[count_loan_perband],Table1[[#This Row],[count_loan_perband]],Table1[default_flag],1)/COUNTIF(Table1[count_loan_perband],Table1[[#This Row],[count_loan_perband]])</f>
        <v>3.6423841059602648E-2</v>
      </c>
      <c r="AL30" s="2" t="str" cm="1">
        <f t="array" ref="AL30">_xlfn.IFS(Table1[[#This Row],[loan_amount]] &lt; 900000, "lower size (&lt; 9L)", Table1[[#This Row],[loan_amount]] &lt;=3300000, "medium size (&lt;=33L)", Table1[[#This Row],[loan_amount]] &gt; 3300000, "larger size (&gt; 33L)")</f>
        <v>medium size (&lt;=33L)</v>
      </c>
      <c r="AM30" s="2">
        <f>IF(Table1[[#This Row],[dpd]] &gt;=30,1,0)</f>
        <v>0</v>
      </c>
      <c r="AN30" s="2">
        <f>COUNTIFS(Table1[Loan size],Table1[[#This Row],[Loan size]],Table1[dpd flag],1)/COUNTIF(Table1[Loan size],Table1[[#This Row],[Loan size]])</f>
        <v>0.15909090909090909</v>
      </c>
      <c r="AO30" s="2" t="str">
        <f>IF(OR(Table1[[#This Row],[credit_score]] &lt; 600, Table1[ [#This Row],[dti_ratio] ] &gt; 0.5, Table1[[#This Row],[dpd]] &gt;=30), "high risk", " not riskY")</f>
        <v xml:space="preserve"> not riskY</v>
      </c>
      <c r="AP30" s="26">
        <f>EOMONTH(Table1[[#This Row],[origination_date]],0)</f>
        <v>44651</v>
      </c>
      <c r="AQ30" s="2">
        <f>SUMIFS(Table1[loan_amount],Table1[origination month],Table1[[#This Row],[origination month]])</f>
        <v>25656500</v>
      </c>
      <c r="AR30" s="2">
        <f>AVERAGEIFS(Table1[months_on_book],Table1[product],Table1[[#This Row],[product]])</f>
        <v>19.091954022988507</v>
      </c>
      <c r="AS30" s="2" t="str">
        <f ca="1">IF(EDATE(Table1[[#This Row],[origination_date]],6) &gt;= TODAY(), "New Loan", "Old Loan")</f>
        <v>Old Loan</v>
      </c>
      <c r="AT30" s="2" t="str">
        <f>"Q"&amp;ROUNDUP(MONTH(Table1[[#This Row],[origination_date]])/3,0)&amp;YEAR(Table1[[#This Row],[origination_date]])</f>
        <v>Q12022</v>
      </c>
      <c r="AU30" s="2">
        <f>SUMIFS(Table1[loan_amount],Table1[quarter],Table1[[#This Row],[quarter]])</f>
        <v>65393800</v>
      </c>
      <c r="AV30" s="34" t="str">
        <f>_xlfn.TEXTJOIN("|",TRUE,Table1[[#This Row],[loan_id]:[loan_status]])</f>
        <v>L62295502|C6514082|44640|SME Loan|Online|East|Salaried|36|2959800|14.64|102081|882280|693|C|0.38|0.74|3975900|36|3488574|0|0|0|0|Closed</v>
      </c>
      <c r="AW30" s="42">
        <f>YEAR(Loan_Table[ [#This Row],[origination_date] ])</f>
        <v>2022</v>
      </c>
      <c r="AZ30" s="2">
        <f>ROWS(INDEX(Loan_Table[],,MATCH(AY71,Loan_Table[#Headers],0)))</f>
        <v>500</v>
      </c>
      <c r="BA30" s="2">
        <f>COUNTA(INDEX(Loan_Table[],,MATCH(AY71,Loan_Table[#Headers],0)))</f>
        <v>500</v>
      </c>
      <c r="BB30" s="2">
        <f>COUNTBLANK(INDEX(Loan_Table[],,MATCH(AY71,Loan_Table[#Headers],0)))</f>
        <v>0</v>
      </c>
      <c r="BC30" s="2">
        <f t="shared" si="0"/>
        <v>100</v>
      </c>
    </row>
    <row r="31" spans="2:55" ht="18" customHeight="1">
      <c r="B31" s="5" t="s">
        <v>180</v>
      </c>
      <c r="C31" s="2" t="s">
        <v>181</v>
      </c>
      <c r="D31" s="3">
        <v>44642</v>
      </c>
      <c r="E31" s="2" t="s">
        <v>163</v>
      </c>
      <c r="F31" s="2" t="s">
        <v>144</v>
      </c>
      <c r="G31" s="2" t="s">
        <v>145</v>
      </c>
      <c r="H31" s="2" t="s">
        <v>134</v>
      </c>
      <c r="I31" s="2">
        <v>18</v>
      </c>
      <c r="J31" s="2">
        <v>601500</v>
      </c>
      <c r="K31" s="2">
        <v>12.92</v>
      </c>
      <c r="L31" s="2">
        <v>36938</v>
      </c>
      <c r="M31" s="2">
        <v>654036</v>
      </c>
      <c r="N31" s="2">
        <v>692</v>
      </c>
      <c r="O31" s="2" t="s">
        <v>140</v>
      </c>
      <c r="P31" s="2">
        <v>0.38</v>
      </c>
      <c r="Q31" s="2">
        <v>0.71</v>
      </c>
      <c r="R31" s="2">
        <v>848500</v>
      </c>
      <c r="S31" s="2">
        <v>18</v>
      </c>
      <c r="T31" s="2">
        <v>657812</v>
      </c>
      <c r="U31" s="2">
        <v>0</v>
      </c>
      <c r="V31" s="2">
        <v>0</v>
      </c>
      <c r="W31" s="2">
        <v>0</v>
      </c>
      <c r="X31" s="2">
        <v>0</v>
      </c>
      <c r="Y31" s="2" t="s">
        <v>141</v>
      </c>
      <c r="Z31" s="12">
        <f>SUMIF(Table1[product],Table1[[#This Row],[product]],Table1[loan_amount])</f>
        <v>92273000</v>
      </c>
      <c r="AA31" s="15">
        <f>SUMIF(Table1[region],Table1[[#This Row],[region]],Table1[current_balance])</f>
        <v>98928695</v>
      </c>
      <c r="AB31" s="2">
        <f>COUNTIF(Table1[loan_status],Table1[[#This Row],[loan_status]])</f>
        <v>139</v>
      </c>
      <c r="AC31" s="2">
        <f>COUNTIF(Table1[default_flag],1)/ROWS(Table1[loan_id])</f>
        <v>2.5999999999999999E-2</v>
      </c>
      <c r="AD31" s="2">
        <f>COUNTIFS(Table1[region],Table1[[#This Row],[region]],Table1[default_flag],1)/COUNTIF(Table1[region],Table1[[#This Row],[region]])</f>
        <v>2.8571428571428571E-2</v>
      </c>
      <c r="AE31" s="2">
        <f>COUNTIFS(Table1[channel],Table1[[#This Row],[channel]],Table1[prepayment_flag],1)/COUNTIF(Table1[channel],Table1[[#This Row],[channel]])</f>
        <v>5.8201058201058198E-2</v>
      </c>
      <c r="AF31" s="2">
        <f>AVERAGEIFS(Table1[interest_rate_pct],Table1[product],Table1[[#This Row],[product]],Table1[risk_band],Table1[[#This Row],[risk_band]])</f>
        <v>13.246500000000001</v>
      </c>
      <c r="AG31" s="2" t="str" cm="1">
        <f t="array" ref="AG31">_xlfn.IFS(Table1[[#This Row],[dti_ratio]] &lt; 0.2, " less than 0.2", Table1[[#This Row],[dti_ratio]] &lt; 0.3, "0.2 - 0.3", Table1[[#This Row],[dti_ratio]] &lt;= 0.5, "0.35 - 0.5", Table1[[#This Row],[dti_ratio]] &gt; 0.5, "greater than 0.5")</f>
        <v>0.35 - 0.5</v>
      </c>
      <c r="AH31" s="2">
        <f>COUNTIF(Table1[DTI band],Table1[[#This Row],[DTI band]])</f>
        <v>260</v>
      </c>
      <c r="AI31" s="2" t="str" cm="1">
        <f t="array" ref="AI31">_xlfn.IFS(Table1[[#This Row],[ltv_ratio]] &lt; 0.6, "less than 0.6 -less risky", Table1[[#This Row],[ltv_ratio]]  &lt;= 0.8, "0.6 - 0.8 -medium risky",Table1[[#This Row],[ltv_ratio]] &gt; 0.8, "greater than 0.8 -highly risky")</f>
        <v>0.6 - 0.8 -medium risky</v>
      </c>
      <c r="AJ31" s="2">
        <f>COUNTIF(Table1[LTV band],Table1[[#This Row],[LTV band]])</f>
        <v>302</v>
      </c>
      <c r="AK31" s="2">
        <f>COUNTIFS(Table1[count_loan_perband],Table1[[#This Row],[count_loan_perband]],Table1[default_flag],1)/COUNTIF(Table1[count_loan_perband],Table1[[#This Row],[count_loan_perband]])</f>
        <v>3.6423841059602648E-2</v>
      </c>
      <c r="AL31" s="2" t="str" cm="1">
        <f t="array" ref="AL31">_xlfn.IFS(Table1[[#This Row],[loan_amount]] &lt; 900000, "lower size (&lt; 9L)", Table1[[#This Row],[loan_amount]] &lt;=3300000, "medium size (&lt;=33L)", Table1[[#This Row],[loan_amount]] &gt; 3300000, "larger size (&gt; 33L)")</f>
        <v>lower size (&lt; 9L)</v>
      </c>
      <c r="AM31" s="2">
        <f>IF(Table1[[#This Row],[dpd]] &gt;=30,1,0)</f>
        <v>0</v>
      </c>
      <c r="AN31" s="2">
        <f>COUNTIFS(Table1[Loan size],Table1[[#This Row],[Loan size]],Table1[dpd flag],1)/COUNTIF(Table1[Loan size],Table1[[#This Row],[Loan size]])</f>
        <v>0.13934426229508196</v>
      </c>
      <c r="AO31" s="2" t="str">
        <f>IF(OR(Table1[[#This Row],[credit_score]] &lt; 600, Table1[ [#This Row],[dti_ratio] ] &gt; 0.5, Table1[[#This Row],[dpd]] &gt;=30), "high risk", " not riskY")</f>
        <v xml:space="preserve"> not riskY</v>
      </c>
      <c r="AP31" s="26">
        <f>EOMONTH(Table1[[#This Row],[origination_date]],0)</f>
        <v>44651</v>
      </c>
      <c r="AQ31" s="2">
        <f>SUMIFS(Table1[loan_amount],Table1[origination month],Table1[[#This Row],[origination month]])</f>
        <v>25656500</v>
      </c>
      <c r="AR31" s="2">
        <f>AVERAGEIFS(Table1[months_on_book],Table1[product],Table1[[#This Row],[product]])</f>
        <v>20.262135922330096</v>
      </c>
      <c r="AS31" s="2" t="str">
        <f ca="1">IF(EDATE(Table1[[#This Row],[origination_date]],6) &gt;= TODAY(), "New Loan", "Old Loan")</f>
        <v>Old Loan</v>
      </c>
      <c r="AT31" s="2" t="str">
        <f>"Q"&amp;ROUNDUP(MONTH(Table1[[#This Row],[origination_date]])/3,0)&amp;YEAR(Table1[[#This Row],[origination_date]])</f>
        <v>Q12022</v>
      </c>
      <c r="AU31" s="2">
        <f>SUMIFS(Table1[loan_amount],Table1[quarter],Table1[[#This Row],[quarter]])</f>
        <v>65393800</v>
      </c>
      <c r="AV31" s="34" t="str">
        <f>_xlfn.TEXTJOIN("|",TRUE,Table1[[#This Row],[loan_id]:[loan_status]])</f>
        <v>L56190391|C4220749|44642|Auto Loan|Branch|Central|Salaried|18|601500|12.92|36938|654036|692|C|0.38|0.71|848500|18|657812|0|0|0|0|Closed</v>
      </c>
      <c r="AW31" s="42">
        <f>YEAR(Loan_Table[ [#This Row],[origination_date] ])</f>
        <v>2022</v>
      </c>
      <c r="AZ31" s="2">
        <f>ROWS(INDEX(Loan_Table[],,MATCH(AY72,Loan_Table[#Headers],0)))</f>
        <v>500</v>
      </c>
      <c r="BA31" s="2">
        <f>COUNTA(INDEX(Loan_Table[],,MATCH(AY72,Loan_Table[#Headers],0)))</f>
        <v>500</v>
      </c>
      <c r="BB31" s="2">
        <f>COUNTBLANK(INDEX(Loan_Table[],,MATCH(AY72,Loan_Table[#Headers],0)))</f>
        <v>0</v>
      </c>
      <c r="BC31" s="2">
        <f t="shared" si="0"/>
        <v>100</v>
      </c>
    </row>
    <row r="32" spans="2:55" ht="18" customHeight="1">
      <c r="B32" s="5" t="s">
        <v>182</v>
      </c>
      <c r="C32" s="2" t="s">
        <v>183</v>
      </c>
      <c r="D32" s="3">
        <v>44587</v>
      </c>
      <c r="E32" s="2" t="s">
        <v>163</v>
      </c>
      <c r="F32" s="2" t="s">
        <v>132</v>
      </c>
      <c r="G32" s="2" t="s">
        <v>170</v>
      </c>
      <c r="H32" s="2" t="s">
        <v>134</v>
      </c>
      <c r="I32" s="2">
        <v>360</v>
      </c>
      <c r="J32" s="2">
        <v>879200</v>
      </c>
      <c r="K32" s="2">
        <v>13.25</v>
      </c>
      <c r="L32" s="2">
        <v>9898</v>
      </c>
      <c r="M32" s="2">
        <v>418385</v>
      </c>
      <c r="N32" s="2">
        <v>661</v>
      </c>
      <c r="O32" s="2" t="s">
        <v>140</v>
      </c>
      <c r="P32" s="2">
        <v>0.37</v>
      </c>
      <c r="Q32" s="2">
        <v>0.43</v>
      </c>
      <c r="R32" s="2">
        <v>2040600</v>
      </c>
      <c r="S32" s="2">
        <v>47</v>
      </c>
      <c r="T32" s="2">
        <v>422243</v>
      </c>
      <c r="U32" s="2">
        <v>639464</v>
      </c>
      <c r="V32" s="2">
        <v>0</v>
      </c>
      <c r="W32" s="2">
        <v>1</v>
      </c>
      <c r="X32" s="2">
        <v>0</v>
      </c>
      <c r="Y32" s="2" t="s">
        <v>141</v>
      </c>
      <c r="Z32" s="12">
        <f>SUMIF(Table1[product],Table1[[#This Row],[product]],Table1[loan_amount])</f>
        <v>92273000</v>
      </c>
      <c r="AA32" s="15">
        <f>SUMIF(Table1[region],Table1[[#This Row],[region]],Table1[current_balance])</f>
        <v>83297251</v>
      </c>
      <c r="AB32" s="2">
        <f>COUNTIF(Table1[loan_status],Table1[[#This Row],[loan_status]])</f>
        <v>139</v>
      </c>
      <c r="AC32" s="2">
        <f>COUNTIF(Table1[default_flag],1)/ROWS(Table1[loan_id])</f>
        <v>2.5999999999999999E-2</v>
      </c>
      <c r="AD32" s="2">
        <f>COUNTIFS(Table1[region],Table1[[#This Row],[region]],Table1[default_flag],1)/COUNTIF(Table1[region],Table1[[#This Row],[region]])</f>
        <v>3.1914893617021274E-2</v>
      </c>
      <c r="AE32" s="2">
        <f>COUNTIFS(Table1[channel],Table1[[#This Row],[channel]],Table1[prepayment_flag],1)/COUNTIF(Table1[channel],Table1[[#This Row],[channel]])</f>
        <v>7.1090047393364927E-2</v>
      </c>
      <c r="AF32" s="2">
        <f>AVERAGEIFS(Table1[interest_rate_pct],Table1[product],Table1[[#This Row],[product]],Table1[risk_band],Table1[[#This Row],[risk_band]])</f>
        <v>13.246500000000001</v>
      </c>
      <c r="AG32" s="2" t="str" cm="1">
        <f t="array" ref="AG32">_xlfn.IFS(Table1[[#This Row],[dti_ratio]] &lt; 0.2, " less than 0.2", Table1[[#This Row],[dti_ratio]] &lt; 0.3, "0.2 - 0.3", Table1[[#This Row],[dti_ratio]] &lt;= 0.5, "0.35 - 0.5", Table1[[#This Row],[dti_ratio]] &gt; 0.5, "greater than 0.5")</f>
        <v>0.35 - 0.5</v>
      </c>
      <c r="AH32" s="2">
        <f>COUNTIF(Table1[DTI band],Table1[[#This Row],[DTI band]])</f>
        <v>260</v>
      </c>
      <c r="AI32" s="2" t="str" cm="1">
        <f t="array" ref="AI32">_xlfn.IFS(Table1[[#This Row],[ltv_ratio]] &lt; 0.6, "less than 0.6 -less risky", Table1[[#This Row],[ltv_ratio]]  &lt;= 0.8, "0.6 - 0.8 -medium risky",Table1[[#This Row],[ltv_ratio]] &gt; 0.8, "greater than 0.8 -highly risky")</f>
        <v>less than 0.6 -less risky</v>
      </c>
      <c r="AJ32" s="2">
        <f>COUNTIF(Table1[LTV band],Table1[[#This Row],[LTV band]])</f>
        <v>57</v>
      </c>
      <c r="AK32" s="2">
        <f>COUNTIFS(Table1[count_loan_perband],Table1[[#This Row],[count_loan_perband]],Table1[default_flag],1)/COUNTIF(Table1[count_loan_perband],Table1[[#This Row],[count_loan_perband]])</f>
        <v>0</v>
      </c>
      <c r="AL32" s="2" t="str" cm="1">
        <f t="array" ref="AL32">_xlfn.IFS(Table1[[#This Row],[loan_amount]] &lt; 900000, "lower size (&lt; 9L)", Table1[[#This Row],[loan_amount]] &lt;=3300000, "medium size (&lt;=33L)", Table1[[#This Row],[loan_amount]] &gt; 3300000, "larger size (&gt; 33L)")</f>
        <v>lower size (&lt; 9L)</v>
      </c>
      <c r="AM32" s="2">
        <f>IF(Table1[[#This Row],[dpd]] &gt;=30,1,0)</f>
        <v>0</v>
      </c>
      <c r="AN32" s="2">
        <f>COUNTIFS(Table1[Loan size],Table1[[#This Row],[Loan size]],Table1[dpd flag],1)/COUNTIF(Table1[Loan size],Table1[[#This Row],[Loan size]])</f>
        <v>0.13934426229508196</v>
      </c>
      <c r="AO32" s="2" t="str">
        <f>IF(OR(Table1[[#This Row],[credit_score]] &lt; 600, Table1[ [#This Row],[dti_ratio] ] &gt; 0.5, Table1[[#This Row],[dpd]] &gt;=30), "high risk", " not riskY")</f>
        <v xml:space="preserve"> not riskY</v>
      </c>
      <c r="AP32" s="26">
        <f>EOMONTH(Table1[[#This Row],[origination_date]],0)</f>
        <v>44592</v>
      </c>
      <c r="AQ32" s="2">
        <f>SUMIFS(Table1[loan_amount],Table1[origination month],Table1[[#This Row],[origination month]])</f>
        <v>19161700</v>
      </c>
      <c r="AR32" s="2">
        <f>AVERAGEIFS(Table1[months_on_book],Table1[product],Table1[[#This Row],[product]])</f>
        <v>20.262135922330096</v>
      </c>
      <c r="AS32" s="2" t="str">
        <f ca="1">IF(EDATE(Table1[[#This Row],[origination_date]],6) &gt;= TODAY(), "New Loan", "Old Loan")</f>
        <v>Old Loan</v>
      </c>
      <c r="AT32" s="2" t="str">
        <f>"Q"&amp;ROUNDUP(MONTH(Table1[[#This Row],[origination_date]])/3,0)&amp;YEAR(Table1[[#This Row],[origination_date]])</f>
        <v>Q12022</v>
      </c>
      <c r="AU32" s="2">
        <f>SUMIFS(Table1[loan_amount],Table1[quarter],Table1[[#This Row],[quarter]])</f>
        <v>65393800</v>
      </c>
      <c r="AV32" s="34" t="str">
        <f>_xlfn.TEXTJOIN("|",TRUE,Table1[[#This Row],[loan_id]:[loan_status]])</f>
        <v>L20438281|C7283087|44587|Auto Loan|Online|East|Salaried|360|879200|13.25|9898|418385|661|C|0.37|0.43|2040600|47|422243|639464|0|1|0|Closed</v>
      </c>
      <c r="AW32" s="42">
        <f>YEAR(Loan_Table[ [#This Row],[origination_date] ])</f>
        <v>2022</v>
      </c>
      <c r="AZ32" s="2">
        <f>ROWS(INDEX(Loan_Table[],,MATCH(AY73,Loan_Table[#Headers],0)))</f>
        <v>500</v>
      </c>
      <c r="BA32" s="2">
        <f>COUNTA(INDEX(Loan_Table[],,MATCH(AY73,Loan_Table[#Headers],0)))</f>
        <v>500</v>
      </c>
      <c r="BB32" s="2">
        <f>COUNTBLANK(INDEX(Loan_Table[],,MATCH(AY73,Loan_Table[#Headers],0)))</f>
        <v>0</v>
      </c>
      <c r="BC32" s="2">
        <f t="shared" si="0"/>
        <v>100</v>
      </c>
    </row>
    <row r="33" spans="2:55" ht="18" customHeight="1">
      <c r="B33" s="5" t="s">
        <v>184</v>
      </c>
      <c r="C33" s="2" t="s">
        <v>185</v>
      </c>
      <c r="D33" s="3">
        <v>44597</v>
      </c>
      <c r="E33" s="2" t="s">
        <v>131</v>
      </c>
      <c r="F33" s="2" t="s">
        <v>144</v>
      </c>
      <c r="G33" s="2" t="s">
        <v>139</v>
      </c>
      <c r="H33" s="2" t="s">
        <v>152</v>
      </c>
      <c r="I33" s="2">
        <v>120</v>
      </c>
      <c r="J33" s="2">
        <v>658700</v>
      </c>
      <c r="K33" s="2">
        <v>12.36</v>
      </c>
      <c r="L33" s="2">
        <v>9588</v>
      </c>
      <c r="M33" s="2">
        <v>1103139</v>
      </c>
      <c r="N33" s="2">
        <v>800</v>
      </c>
      <c r="O33" s="2" t="s">
        <v>160</v>
      </c>
      <c r="P33" s="2">
        <v>0.36</v>
      </c>
      <c r="Q33" s="2">
        <v>0.73</v>
      </c>
      <c r="R33" s="2">
        <v>0</v>
      </c>
      <c r="S33" s="2">
        <v>46</v>
      </c>
      <c r="T33" s="2">
        <v>447028</v>
      </c>
      <c r="U33" s="2">
        <v>336509</v>
      </c>
      <c r="V33" s="2">
        <v>5</v>
      </c>
      <c r="W33" s="2">
        <v>0</v>
      </c>
      <c r="X33" s="2">
        <v>0</v>
      </c>
      <c r="Y33" s="2" t="s">
        <v>148</v>
      </c>
      <c r="Z33" s="12">
        <f>SUMIF(Table1[product],Table1[[#This Row],[product]],Table1[loan_amount])</f>
        <v>74897600</v>
      </c>
      <c r="AA33" s="15">
        <f>SUMIF(Table1[region],Table1[[#This Row],[region]],Table1[current_balance])</f>
        <v>83903255</v>
      </c>
      <c r="AB33" s="2">
        <f>COUNTIF(Table1[loan_status],Table1[[#This Row],[loan_status]])</f>
        <v>301</v>
      </c>
      <c r="AC33" s="2">
        <f>COUNTIF(Table1[default_flag],1)/ROWS(Table1[loan_id])</f>
        <v>2.5999999999999999E-2</v>
      </c>
      <c r="AD33" s="2">
        <f>COUNTIFS(Table1[region],Table1[[#This Row],[region]],Table1[default_flag],1)/COUNTIF(Table1[region],Table1[[#This Row],[region]])</f>
        <v>4.2553191489361701E-2</v>
      </c>
      <c r="AE33" s="2">
        <f>COUNTIFS(Table1[channel],Table1[[#This Row],[channel]],Table1[prepayment_flag],1)/COUNTIF(Table1[channel],Table1[[#This Row],[channel]])</f>
        <v>5.8201058201058198E-2</v>
      </c>
      <c r="AF33" s="2">
        <f>AVERAGEIFS(Table1[interest_rate_pct],Table1[product],Table1[[#This Row],[product]],Table1[risk_band],Table1[[#This Row],[risk_band]])</f>
        <v>13.328333333333335</v>
      </c>
      <c r="AG33" s="2" t="str" cm="1">
        <f t="array" ref="AG33">_xlfn.IFS(Table1[[#This Row],[dti_ratio]] &lt; 0.2, " less than 0.2", Table1[[#This Row],[dti_ratio]] &lt; 0.3, "0.2 - 0.3", Table1[[#This Row],[dti_ratio]] &lt;= 0.5, "0.35 - 0.5", Table1[[#This Row],[dti_ratio]] &gt; 0.5, "greater than 0.5")</f>
        <v>0.35 - 0.5</v>
      </c>
      <c r="AH33" s="2">
        <f>COUNTIF(Table1[DTI band],Table1[[#This Row],[DTI band]])</f>
        <v>260</v>
      </c>
      <c r="AI33" s="2" t="str" cm="1">
        <f t="array" ref="AI33">_xlfn.IFS(Table1[[#This Row],[ltv_ratio]] &lt; 0.6, "less than 0.6 -less risky", Table1[[#This Row],[ltv_ratio]]  &lt;= 0.8, "0.6 - 0.8 -medium risky",Table1[[#This Row],[ltv_ratio]] &gt; 0.8, "greater than 0.8 -highly risky")</f>
        <v>0.6 - 0.8 -medium risky</v>
      </c>
      <c r="AJ33" s="2">
        <f>COUNTIF(Table1[LTV band],Table1[[#This Row],[LTV band]])</f>
        <v>302</v>
      </c>
      <c r="AK33" s="2">
        <f>COUNTIFS(Table1[count_loan_perband],Table1[[#This Row],[count_loan_perband]],Table1[default_flag],1)/COUNTIF(Table1[count_loan_perband],Table1[[#This Row],[count_loan_perband]])</f>
        <v>3.6423841059602648E-2</v>
      </c>
      <c r="AL33" s="2" t="str" cm="1">
        <f t="array" ref="AL33">_xlfn.IFS(Table1[[#This Row],[loan_amount]] &lt; 900000, "lower size (&lt; 9L)", Table1[[#This Row],[loan_amount]] &lt;=3300000, "medium size (&lt;=33L)", Table1[[#This Row],[loan_amount]] &gt; 3300000, "larger size (&gt; 33L)")</f>
        <v>lower size (&lt; 9L)</v>
      </c>
      <c r="AM33" s="2">
        <f>IF(Table1[[#This Row],[dpd]] &gt;=30,1,0)</f>
        <v>0</v>
      </c>
      <c r="AN33" s="2">
        <f>COUNTIFS(Table1[Loan size],Table1[[#This Row],[Loan size]],Table1[dpd flag],1)/COUNTIF(Table1[Loan size],Table1[[#This Row],[Loan size]])</f>
        <v>0.13934426229508196</v>
      </c>
      <c r="AO33" s="2" t="str">
        <f>IF(OR(Table1[[#This Row],[credit_score]] &lt; 600, Table1[ [#This Row],[dti_ratio] ] &gt; 0.5, Table1[[#This Row],[dpd]] &gt;=30), "high risk", " not riskY")</f>
        <v xml:space="preserve"> not riskY</v>
      </c>
      <c r="AP33" s="26">
        <f>EOMONTH(Table1[[#This Row],[origination_date]],0)</f>
        <v>44620</v>
      </c>
      <c r="AQ33" s="2">
        <f>SUMIFS(Table1[loan_amount],Table1[origination month],Table1[[#This Row],[origination month]])</f>
        <v>20575600</v>
      </c>
      <c r="AR33" s="2">
        <f>AVERAGEIFS(Table1[months_on_book],Table1[product],Table1[[#This Row],[product]])</f>
        <v>21.092024539877301</v>
      </c>
      <c r="AS33" s="2" t="str">
        <f ca="1">IF(EDATE(Table1[[#This Row],[origination_date]],6) &gt;= TODAY(), "New Loan", "Old Loan")</f>
        <v>Old Loan</v>
      </c>
      <c r="AT33" s="2" t="str">
        <f>"Q"&amp;ROUNDUP(MONTH(Table1[[#This Row],[origination_date]])/3,0)&amp;YEAR(Table1[[#This Row],[origination_date]])</f>
        <v>Q12022</v>
      </c>
      <c r="AU33" s="2">
        <f>SUMIFS(Table1[loan_amount],Table1[quarter],Table1[[#This Row],[quarter]])</f>
        <v>65393800</v>
      </c>
      <c r="AV33" s="34" t="str">
        <f>_xlfn.TEXTJOIN("|",TRUE,Table1[[#This Row],[loan_id]:[loan_status]])</f>
        <v>L35245775|C1631811|44597|Personal Loan|Branch|West|Self-Employed|120|658700|12.36|9588|1103139|800|A|0.36|0.73|0|46|447028|336509|5|0|0|Active</v>
      </c>
      <c r="AW33" s="42">
        <f>YEAR(Loan_Table[ [#This Row],[origination_date] ])</f>
        <v>2022</v>
      </c>
      <c r="AZ33" s="2">
        <f>ROWS(INDEX(Loan_Table[],,MATCH(AY74,Loan_Table[#Headers],0)))</f>
        <v>500</v>
      </c>
      <c r="BA33" s="2">
        <f>COUNTA(INDEX(Loan_Table[],,MATCH(AY74,Loan_Table[#Headers],0)))</f>
        <v>500</v>
      </c>
      <c r="BB33" s="2">
        <f>COUNTBLANK(INDEX(Loan_Table[],,MATCH(AY74,Loan_Table[#Headers],0)))</f>
        <v>0</v>
      </c>
      <c r="BC33" s="2">
        <f t="shared" si="0"/>
        <v>100</v>
      </c>
    </row>
    <row r="34" spans="2:55" ht="18" customHeight="1">
      <c r="B34" s="5" t="s">
        <v>186</v>
      </c>
      <c r="C34" s="2" t="s">
        <v>187</v>
      </c>
      <c r="D34" s="3">
        <v>44574</v>
      </c>
      <c r="E34" s="2" t="s">
        <v>163</v>
      </c>
      <c r="F34" s="2" t="s">
        <v>132</v>
      </c>
      <c r="G34" s="2" t="s">
        <v>145</v>
      </c>
      <c r="H34" s="2" t="s">
        <v>134</v>
      </c>
      <c r="I34" s="2">
        <v>60</v>
      </c>
      <c r="J34" s="2">
        <v>575700</v>
      </c>
      <c r="K34" s="2">
        <v>14.45</v>
      </c>
      <c r="L34" s="2">
        <v>13530</v>
      </c>
      <c r="M34" s="2">
        <v>630069</v>
      </c>
      <c r="N34" s="2">
        <v>636</v>
      </c>
      <c r="O34" s="2" t="s">
        <v>147</v>
      </c>
      <c r="P34" s="2">
        <v>0.36</v>
      </c>
      <c r="Q34" s="2">
        <v>0.65</v>
      </c>
      <c r="R34" s="2">
        <v>888200</v>
      </c>
      <c r="S34" s="2">
        <v>47</v>
      </c>
      <c r="T34" s="2">
        <v>564611</v>
      </c>
      <c r="U34" s="2">
        <v>141418</v>
      </c>
      <c r="V34" s="2">
        <v>5</v>
      </c>
      <c r="W34" s="2">
        <v>0</v>
      </c>
      <c r="X34" s="2">
        <v>0</v>
      </c>
      <c r="Y34" s="2" t="s">
        <v>148</v>
      </c>
      <c r="Z34" s="12">
        <f>SUMIF(Table1[product],Table1[[#This Row],[product]],Table1[loan_amount])</f>
        <v>92273000</v>
      </c>
      <c r="AA34" s="15">
        <f>SUMIF(Table1[region],Table1[[#This Row],[region]],Table1[current_balance])</f>
        <v>98928695</v>
      </c>
      <c r="AB34" s="2">
        <f>COUNTIF(Table1[loan_status],Table1[[#This Row],[loan_status]])</f>
        <v>301</v>
      </c>
      <c r="AC34" s="2">
        <f>COUNTIF(Table1[default_flag],1)/ROWS(Table1[loan_id])</f>
        <v>2.5999999999999999E-2</v>
      </c>
      <c r="AD34" s="2">
        <f>COUNTIFS(Table1[region],Table1[[#This Row],[region]],Table1[default_flag],1)/COUNTIF(Table1[region],Table1[[#This Row],[region]])</f>
        <v>2.8571428571428571E-2</v>
      </c>
      <c r="AE34" s="2">
        <f>COUNTIFS(Table1[channel],Table1[[#This Row],[channel]],Table1[prepayment_flag],1)/COUNTIF(Table1[channel],Table1[[#This Row],[channel]])</f>
        <v>7.1090047393364927E-2</v>
      </c>
      <c r="AF34" s="2">
        <f>AVERAGEIFS(Table1[interest_rate_pct],Table1[product],Table1[[#This Row],[product]],Table1[risk_band],Table1[[#This Row],[risk_band]])</f>
        <v>15.092000000000001</v>
      </c>
      <c r="AG34" s="2" t="str" cm="1">
        <f t="array" ref="AG34">_xlfn.IFS(Table1[[#This Row],[dti_ratio]] &lt; 0.2, " less than 0.2", Table1[[#This Row],[dti_ratio]] &lt; 0.3, "0.2 - 0.3", Table1[[#This Row],[dti_ratio]] &lt;= 0.5, "0.35 - 0.5", Table1[[#This Row],[dti_ratio]] &gt; 0.5, "greater than 0.5")</f>
        <v>0.35 - 0.5</v>
      </c>
      <c r="AH34" s="2">
        <f>COUNTIF(Table1[DTI band],Table1[[#This Row],[DTI band]])</f>
        <v>260</v>
      </c>
      <c r="AI34" s="2" t="str" cm="1">
        <f t="array" ref="AI34">_xlfn.IFS(Table1[[#This Row],[ltv_ratio]] &lt; 0.6, "less than 0.6 -less risky", Table1[[#This Row],[ltv_ratio]]  &lt;= 0.8, "0.6 - 0.8 -medium risky",Table1[[#This Row],[ltv_ratio]] &gt; 0.8, "greater than 0.8 -highly risky")</f>
        <v>0.6 - 0.8 -medium risky</v>
      </c>
      <c r="AJ34" s="2">
        <f>COUNTIF(Table1[LTV band],Table1[[#This Row],[LTV band]])</f>
        <v>302</v>
      </c>
      <c r="AK34" s="2">
        <f>COUNTIFS(Table1[count_loan_perband],Table1[[#This Row],[count_loan_perband]],Table1[default_flag],1)/COUNTIF(Table1[count_loan_perband],Table1[[#This Row],[count_loan_perband]])</f>
        <v>3.6423841059602648E-2</v>
      </c>
      <c r="AL34" s="2" t="str" cm="1">
        <f t="array" ref="AL34">_xlfn.IFS(Table1[[#This Row],[loan_amount]] &lt; 900000, "lower size (&lt; 9L)", Table1[[#This Row],[loan_amount]] &lt;=3300000, "medium size (&lt;=33L)", Table1[[#This Row],[loan_amount]] &gt; 3300000, "larger size (&gt; 33L)")</f>
        <v>lower size (&lt; 9L)</v>
      </c>
      <c r="AM34" s="2">
        <f>IF(Table1[[#This Row],[dpd]] &gt;=30,1,0)</f>
        <v>0</v>
      </c>
      <c r="AN34" s="2">
        <f>COUNTIFS(Table1[Loan size],Table1[[#This Row],[Loan size]],Table1[dpd flag],1)/COUNTIF(Table1[Loan size],Table1[[#This Row],[Loan size]])</f>
        <v>0.13934426229508196</v>
      </c>
      <c r="AO34" s="2" t="str">
        <f>IF(OR(Table1[[#This Row],[credit_score]] &lt; 600, Table1[ [#This Row],[dti_ratio] ] &gt; 0.5, Table1[[#This Row],[dpd]] &gt;=30), "high risk", " not riskY")</f>
        <v xml:space="preserve"> not riskY</v>
      </c>
      <c r="AP34" s="26">
        <f>EOMONTH(Table1[[#This Row],[origination_date]],0)</f>
        <v>44592</v>
      </c>
      <c r="AQ34" s="2">
        <f>SUMIFS(Table1[loan_amount],Table1[origination month],Table1[[#This Row],[origination month]])</f>
        <v>19161700</v>
      </c>
      <c r="AR34" s="2">
        <f>AVERAGEIFS(Table1[months_on_book],Table1[product],Table1[[#This Row],[product]])</f>
        <v>20.262135922330096</v>
      </c>
      <c r="AS34" s="2" t="str">
        <f ca="1">IF(EDATE(Table1[[#This Row],[origination_date]],6) &gt;= TODAY(), "New Loan", "Old Loan")</f>
        <v>Old Loan</v>
      </c>
      <c r="AT34" s="2" t="str">
        <f>"Q"&amp;ROUNDUP(MONTH(Table1[[#This Row],[origination_date]])/3,0)&amp;YEAR(Table1[[#This Row],[origination_date]])</f>
        <v>Q12022</v>
      </c>
      <c r="AU34" s="2">
        <f>SUMIFS(Table1[loan_amount],Table1[quarter],Table1[[#This Row],[quarter]])</f>
        <v>65393800</v>
      </c>
      <c r="AV34" s="34" t="str">
        <f>_xlfn.TEXTJOIN("|",TRUE,Table1[[#This Row],[loan_id]:[loan_status]])</f>
        <v>L75012341|C6596846|44574|Auto Loan|Online|Central|Salaried|60|575700|14.45|13530|630069|636|D|0.36|0.65|888200|47|564611|141418|5|0|0|Active</v>
      </c>
      <c r="AW34" s="42">
        <f>YEAR(Loan_Table[ [#This Row],[origination_date] ])</f>
        <v>2022</v>
      </c>
      <c r="AZ34" s="2">
        <f>ROWS(INDEX(Loan_Table[],,MATCH(AY75,Loan_Table[#Headers],0)))</f>
        <v>500</v>
      </c>
      <c r="BA34" s="2">
        <f>COUNTA(INDEX(Loan_Table[],,MATCH(AY75,Loan_Table[#Headers],0)))</f>
        <v>500</v>
      </c>
      <c r="BB34" s="2">
        <f>COUNTBLANK(INDEX(Loan_Table[],,MATCH(AY75,Loan_Table[#Headers],0)))</f>
        <v>0</v>
      </c>
      <c r="BC34" s="2">
        <f t="shared" si="0"/>
        <v>100</v>
      </c>
    </row>
    <row r="35" spans="2:55" ht="18" customHeight="1">
      <c r="B35" s="5" t="s">
        <v>188</v>
      </c>
      <c r="C35" s="2" t="s">
        <v>189</v>
      </c>
      <c r="D35" s="3">
        <v>44632</v>
      </c>
      <c r="E35" s="2" t="s">
        <v>169</v>
      </c>
      <c r="F35" s="2" t="s">
        <v>132</v>
      </c>
      <c r="G35" s="2" t="s">
        <v>133</v>
      </c>
      <c r="H35" s="2" t="s">
        <v>134</v>
      </c>
      <c r="I35" s="2">
        <v>240</v>
      </c>
      <c r="J35" s="2">
        <v>3087000</v>
      </c>
      <c r="K35" s="2">
        <v>16.04</v>
      </c>
      <c r="L35" s="2">
        <v>43041</v>
      </c>
      <c r="M35" s="2">
        <v>457449</v>
      </c>
      <c r="N35" s="2">
        <v>596</v>
      </c>
      <c r="O35" s="2" t="s">
        <v>166</v>
      </c>
      <c r="P35" s="2">
        <v>0.35</v>
      </c>
      <c r="Q35" s="2">
        <v>0.86</v>
      </c>
      <c r="R35" s="2">
        <v>3599400</v>
      </c>
      <c r="S35" s="2">
        <v>45</v>
      </c>
      <c r="T35" s="2">
        <v>1969122</v>
      </c>
      <c r="U35" s="2">
        <v>1860610</v>
      </c>
      <c r="V35" s="2">
        <v>10</v>
      </c>
      <c r="W35" s="2">
        <v>0</v>
      </c>
      <c r="X35" s="2">
        <v>0</v>
      </c>
      <c r="Y35" s="2" t="s">
        <v>148</v>
      </c>
      <c r="Z35" s="12">
        <f>SUMIF(Table1[product],Table1[[#This Row],[product]],Table1[loan_amount])</f>
        <v>403369500</v>
      </c>
      <c r="AA35" s="15">
        <f>SUMIF(Table1[region],Table1[[#This Row],[region]],Table1[current_balance])</f>
        <v>94548000</v>
      </c>
      <c r="AB35" s="2">
        <f>COUNTIF(Table1[loan_status],Table1[[#This Row],[loan_status]])</f>
        <v>301</v>
      </c>
      <c r="AC35" s="2">
        <f>COUNTIF(Table1[default_flag],1)/ROWS(Table1[loan_id])</f>
        <v>2.5999999999999999E-2</v>
      </c>
      <c r="AD35" s="2">
        <f>COUNTIFS(Table1[region],Table1[[#This Row],[region]],Table1[default_flag],1)/COUNTIF(Table1[region],Table1[[#This Row],[region]])</f>
        <v>0</v>
      </c>
      <c r="AE35" s="2">
        <f>COUNTIFS(Table1[channel],Table1[[#This Row],[channel]],Table1[prepayment_flag],1)/COUNTIF(Table1[channel],Table1[[#This Row],[channel]])</f>
        <v>7.1090047393364927E-2</v>
      </c>
      <c r="AF35" s="2">
        <f>AVERAGEIFS(Table1[interest_rate_pct],Table1[product],Table1[[#This Row],[product]],Table1[risk_band],Table1[[#This Row],[risk_band]])</f>
        <v>15.4275</v>
      </c>
      <c r="AG35" s="2" t="str" cm="1">
        <f t="array" ref="AG35">_xlfn.IFS(Table1[[#This Row],[dti_ratio]] &lt; 0.2, " less than 0.2", Table1[[#This Row],[dti_ratio]] &lt; 0.3, "0.2 - 0.3", Table1[[#This Row],[dti_ratio]] &lt;= 0.5, "0.35 - 0.5", Table1[[#This Row],[dti_ratio]] &gt; 0.5, "greater than 0.5")</f>
        <v>0.35 - 0.5</v>
      </c>
      <c r="AH35" s="2">
        <f>COUNTIF(Table1[DTI band],Table1[[#This Row],[DTI band]])</f>
        <v>260</v>
      </c>
      <c r="AI35" s="2" t="str" cm="1">
        <f t="array" ref="AI35">_xlfn.IFS(Table1[[#This Row],[ltv_ratio]] &lt; 0.6, "less than 0.6 -less risky", Table1[[#This Row],[ltv_ratio]]  &lt;= 0.8, "0.6 - 0.8 -medium risky",Table1[[#This Row],[ltv_ratio]] &gt; 0.8, "greater than 0.8 -highly risky")</f>
        <v>greater than 0.8 -highly risky</v>
      </c>
      <c r="AJ35" s="2">
        <f>COUNTIF(Table1[LTV band],Table1[[#This Row],[LTV band]])</f>
        <v>141</v>
      </c>
      <c r="AK35" s="2">
        <f>COUNTIFS(Table1[count_loan_perband],Table1[[#This Row],[count_loan_perband]],Table1[default_flag],1)/COUNTIF(Table1[count_loan_perband],Table1[[#This Row],[count_loan_perband]])</f>
        <v>1.4184397163120567E-2</v>
      </c>
      <c r="AL35" s="2" t="str" cm="1">
        <f t="array" ref="AL35">_xlfn.IFS(Table1[[#This Row],[loan_amount]] &lt; 900000, "lower size (&lt; 9L)", Table1[[#This Row],[loan_amount]] &lt;=3300000, "medium size (&lt;=33L)", Table1[[#This Row],[loan_amount]] &gt; 3300000, "larger size (&gt; 33L)")</f>
        <v>medium size (&lt;=33L)</v>
      </c>
      <c r="AM35" s="2">
        <f>IF(Table1[[#This Row],[dpd]] &gt;=30,1,0)</f>
        <v>0</v>
      </c>
      <c r="AN35" s="2">
        <f>COUNTIFS(Table1[Loan size],Table1[[#This Row],[Loan size]],Table1[dpd flag],1)/COUNTIF(Table1[Loan size],Table1[[#This Row],[Loan size]])</f>
        <v>0.15909090909090909</v>
      </c>
      <c r="AO35" s="2" t="str">
        <f>IF(OR(Table1[[#This Row],[credit_score]] &lt; 600, Table1[ [#This Row],[dti_ratio] ] &gt; 0.5, Table1[[#This Row],[dpd]] &gt;=30), "high risk", " not riskY")</f>
        <v>high risk</v>
      </c>
      <c r="AP35" s="26">
        <f>EOMONTH(Table1[[#This Row],[origination_date]],0)</f>
        <v>44651</v>
      </c>
      <c r="AQ35" s="2">
        <f>SUMIFS(Table1[loan_amount],Table1[origination month],Table1[[#This Row],[origination month]])</f>
        <v>25656500</v>
      </c>
      <c r="AR35" s="2">
        <f>AVERAGEIFS(Table1[months_on_book],Table1[product],Table1[[#This Row],[product]])</f>
        <v>20.516129032258064</v>
      </c>
      <c r="AS35" s="2" t="str">
        <f ca="1">IF(EDATE(Table1[[#This Row],[origination_date]],6) &gt;= TODAY(), "New Loan", "Old Loan")</f>
        <v>Old Loan</v>
      </c>
      <c r="AT35" s="2" t="str">
        <f>"Q"&amp;ROUNDUP(MONTH(Table1[[#This Row],[origination_date]])/3,0)&amp;YEAR(Table1[[#This Row],[origination_date]])</f>
        <v>Q12022</v>
      </c>
      <c r="AU35" s="2">
        <f>SUMIFS(Table1[loan_amount],Table1[quarter],Table1[[#This Row],[quarter]])</f>
        <v>65393800</v>
      </c>
      <c r="AV35" s="34" t="str">
        <f>_xlfn.TEXTJOIN("|",TRUE,Table1[[#This Row],[loan_id]:[loan_status]])</f>
        <v>L49705126|C6294321|44632|Home Loan|Online|South|Salaried|240|3087000|16.04|43041|457449|596|E|0.35|0.86|3599400|45|1969122|1860610|10|0|0|Active</v>
      </c>
      <c r="AW35" s="42">
        <f>YEAR(Loan_Table[ [#This Row],[origination_date] ])</f>
        <v>2022</v>
      </c>
      <c r="AZ35" s="2">
        <f>ROWS(INDEX(Loan_Table[],,MATCH(AY76,Loan_Table[#Headers],0)))</f>
        <v>500</v>
      </c>
      <c r="BA35" s="2">
        <f>COUNTA(INDEX(Loan_Table[],,MATCH(AY76,Loan_Table[#Headers],0)))</f>
        <v>500</v>
      </c>
      <c r="BB35" s="2">
        <f>COUNTBLANK(INDEX(Loan_Table[],,MATCH(AY76,Loan_Table[#Headers],0)))</f>
        <v>0</v>
      </c>
      <c r="BC35" s="2">
        <f t="shared" si="0"/>
        <v>100</v>
      </c>
    </row>
    <row r="36" spans="2:55" ht="18" customHeight="1">
      <c r="B36" s="5" t="s">
        <v>190</v>
      </c>
      <c r="C36" s="2" t="s">
        <v>191</v>
      </c>
      <c r="D36" s="3">
        <v>44648</v>
      </c>
      <c r="E36" s="2" t="s">
        <v>163</v>
      </c>
      <c r="F36" s="2" t="s">
        <v>132</v>
      </c>
      <c r="G36" s="2" t="s">
        <v>145</v>
      </c>
      <c r="H36" s="2" t="s">
        <v>192</v>
      </c>
      <c r="I36" s="2">
        <v>48</v>
      </c>
      <c r="J36" s="2">
        <v>785000</v>
      </c>
      <c r="K36" s="2">
        <v>13.24</v>
      </c>
      <c r="L36" s="2">
        <v>21153</v>
      </c>
      <c r="M36" s="2">
        <v>612338</v>
      </c>
      <c r="N36" s="2">
        <v>668</v>
      </c>
      <c r="O36" s="2" t="s">
        <v>140</v>
      </c>
      <c r="P36" s="2">
        <v>0.33</v>
      </c>
      <c r="Q36" s="2">
        <v>0.61</v>
      </c>
      <c r="R36" s="2">
        <v>1294400</v>
      </c>
      <c r="S36" s="2">
        <v>45</v>
      </c>
      <c r="T36" s="2">
        <v>836666</v>
      </c>
      <c r="U36" s="2">
        <v>104235</v>
      </c>
      <c r="V36" s="2">
        <v>0</v>
      </c>
      <c r="W36" s="2">
        <v>0</v>
      </c>
      <c r="X36" s="2">
        <v>0</v>
      </c>
      <c r="Y36" s="2" t="s">
        <v>148</v>
      </c>
      <c r="Z36" s="12">
        <f>SUMIF(Table1[product],Table1[[#This Row],[product]],Table1[loan_amount])</f>
        <v>92273000</v>
      </c>
      <c r="AA36" s="15">
        <f>SUMIF(Table1[region],Table1[[#This Row],[region]],Table1[current_balance])</f>
        <v>98928695</v>
      </c>
      <c r="AB36" s="2">
        <f>COUNTIF(Table1[loan_status],Table1[[#This Row],[loan_status]])</f>
        <v>301</v>
      </c>
      <c r="AC36" s="2">
        <f>COUNTIF(Table1[default_flag],1)/ROWS(Table1[loan_id])</f>
        <v>2.5999999999999999E-2</v>
      </c>
      <c r="AD36" s="2">
        <f>COUNTIFS(Table1[region],Table1[[#This Row],[region]],Table1[default_flag],1)/COUNTIF(Table1[region],Table1[[#This Row],[region]])</f>
        <v>2.8571428571428571E-2</v>
      </c>
      <c r="AE36" s="2">
        <f>COUNTIFS(Table1[channel],Table1[[#This Row],[channel]],Table1[prepayment_flag],1)/COUNTIF(Table1[channel],Table1[[#This Row],[channel]])</f>
        <v>7.1090047393364927E-2</v>
      </c>
      <c r="AF36" s="2">
        <f>AVERAGEIFS(Table1[interest_rate_pct],Table1[product],Table1[[#This Row],[product]],Table1[risk_band],Table1[[#This Row],[risk_band]])</f>
        <v>13.246500000000001</v>
      </c>
      <c r="AG36" s="2" t="str" cm="1">
        <f t="array" ref="AG36">_xlfn.IFS(Table1[[#This Row],[dti_ratio]] &lt; 0.2, " less than 0.2", Table1[[#This Row],[dti_ratio]] &lt; 0.3, "0.2 - 0.3", Table1[[#This Row],[dti_ratio]] &lt;= 0.5, "0.35 - 0.5", Table1[[#This Row],[dti_ratio]] &gt; 0.5, "greater than 0.5")</f>
        <v>0.35 - 0.5</v>
      </c>
      <c r="AH36" s="2">
        <f>COUNTIF(Table1[DTI band],Table1[[#This Row],[DTI band]])</f>
        <v>260</v>
      </c>
      <c r="AI36" s="2" t="str" cm="1">
        <f t="array" ref="AI36">_xlfn.IFS(Table1[[#This Row],[ltv_ratio]] &lt; 0.6, "less than 0.6 -less risky", Table1[[#This Row],[ltv_ratio]]  &lt;= 0.8, "0.6 - 0.8 -medium risky",Table1[[#This Row],[ltv_ratio]] &gt; 0.8, "greater than 0.8 -highly risky")</f>
        <v>0.6 - 0.8 -medium risky</v>
      </c>
      <c r="AJ36" s="2">
        <f>COUNTIF(Table1[LTV band],Table1[[#This Row],[LTV band]])</f>
        <v>302</v>
      </c>
      <c r="AK36" s="2">
        <f>COUNTIFS(Table1[count_loan_perband],Table1[[#This Row],[count_loan_perband]],Table1[default_flag],1)/COUNTIF(Table1[count_loan_perband],Table1[[#This Row],[count_loan_perband]])</f>
        <v>3.6423841059602648E-2</v>
      </c>
      <c r="AL36" s="2" t="str" cm="1">
        <f t="array" ref="AL36">_xlfn.IFS(Table1[[#This Row],[loan_amount]] &lt; 900000, "lower size (&lt; 9L)", Table1[[#This Row],[loan_amount]] &lt;=3300000, "medium size (&lt;=33L)", Table1[[#This Row],[loan_amount]] &gt; 3300000, "larger size (&gt; 33L)")</f>
        <v>lower size (&lt; 9L)</v>
      </c>
      <c r="AM36" s="2">
        <f>IF(Table1[[#This Row],[dpd]] &gt;=30,1,0)</f>
        <v>0</v>
      </c>
      <c r="AN36" s="2">
        <f>COUNTIFS(Table1[Loan size],Table1[[#This Row],[Loan size]],Table1[dpd flag],1)/COUNTIF(Table1[Loan size],Table1[[#This Row],[Loan size]])</f>
        <v>0.13934426229508196</v>
      </c>
      <c r="AO36" s="2" t="str">
        <f>IF(OR(Table1[[#This Row],[credit_score]] &lt; 600, Table1[ [#This Row],[dti_ratio] ] &gt; 0.5, Table1[[#This Row],[dpd]] &gt;=30), "high risk", " not riskY")</f>
        <v xml:space="preserve"> not riskY</v>
      </c>
      <c r="AP36" s="26">
        <f>EOMONTH(Table1[[#This Row],[origination_date]],0)</f>
        <v>44651</v>
      </c>
      <c r="AQ36" s="2">
        <f>SUMIFS(Table1[loan_amount],Table1[origination month],Table1[[#This Row],[origination month]])</f>
        <v>25656500</v>
      </c>
      <c r="AR36" s="2">
        <f>AVERAGEIFS(Table1[months_on_book],Table1[product],Table1[[#This Row],[product]])</f>
        <v>20.262135922330096</v>
      </c>
      <c r="AS36" s="2" t="str">
        <f ca="1">IF(EDATE(Table1[[#This Row],[origination_date]],6) &gt;= TODAY(), "New Loan", "Old Loan")</f>
        <v>Old Loan</v>
      </c>
      <c r="AT36" s="2" t="str">
        <f>"Q"&amp;ROUNDUP(MONTH(Table1[[#This Row],[origination_date]])/3,0)&amp;YEAR(Table1[[#This Row],[origination_date]])</f>
        <v>Q12022</v>
      </c>
      <c r="AU36" s="2">
        <f>SUMIFS(Table1[loan_amount],Table1[quarter],Table1[[#This Row],[quarter]])</f>
        <v>65393800</v>
      </c>
      <c r="AV36" s="34" t="str">
        <f>_xlfn.TEXTJOIN("|",TRUE,Table1[[#This Row],[loan_id]:[loan_status]])</f>
        <v>L25685067|C7932278|44648|Auto Loan|Online|Central|Unemployed|48|785000|13.24|21153|612338|668|C|0.33|0.61|1294400|45|836666|104235|0|0|0|Active</v>
      </c>
      <c r="AW36" s="42">
        <f>YEAR(Loan_Table[ [#This Row],[origination_date] ])</f>
        <v>2022</v>
      </c>
      <c r="AZ36" s="2">
        <f>ROWS(INDEX(Loan_Table[],,MATCH(AY77,Loan_Table[#Headers],0)))</f>
        <v>500</v>
      </c>
      <c r="BA36" s="2">
        <f>COUNTA(INDEX(Loan_Table[],,MATCH(AY77,Loan_Table[#Headers],0)))</f>
        <v>500</v>
      </c>
      <c r="BB36" s="2">
        <f>COUNTBLANK(INDEX(Loan_Table[],,MATCH(AY77,Loan_Table[#Headers],0)))</f>
        <v>0</v>
      </c>
      <c r="BC36" s="2">
        <f t="shared" si="0"/>
        <v>100</v>
      </c>
    </row>
    <row r="37" spans="2:55" ht="18" customHeight="1">
      <c r="B37" s="5" t="s">
        <v>193</v>
      </c>
      <c r="C37" s="2" t="s">
        <v>194</v>
      </c>
      <c r="D37" s="3">
        <v>44631</v>
      </c>
      <c r="E37" s="2" t="s">
        <v>158</v>
      </c>
      <c r="F37" s="2" t="s">
        <v>144</v>
      </c>
      <c r="G37" s="2" t="s">
        <v>151</v>
      </c>
      <c r="H37" s="2" t="s">
        <v>152</v>
      </c>
      <c r="I37" s="2">
        <v>180</v>
      </c>
      <c r="J37" s="2">
        <v>3676500</v>
      </c>
      <c r="K37" s="2">
        <v>18.059999999999999</v>
      </c>
      <c r="L37" s="2">
        <v>59366</v>
      </c>
      <c r="M37" s="2">
        <v>500928</v>
      </c>
      <c r="N37" s="2">
        <v>623</v>
      </c>
      <c r="O37" s="2" t="s">
        <v>147</v>
      </c>
      <c r="P37" s="2">
        <v>0.33</v>
      </c>
      <c r="Q37" s="2">
        <v>0.72</v>
      </c>
      <c r="R37" s="2">
        <v>5087200</v>
      </c>
      <c r="S37" s="2">
        <v>45</v>
      </c>
      <c r="T37" s="2">
        <v>2409295</v>
      </c>
      <c r="U37" s="2">
        <v>2263169</v>
      </c>
      <c r="V37" s="2">
        <v>10</v>
      </c>
      <c r="W37" s="2">
        <v>0</v>
      </c>
      <c r="X37" s="2">
        <v>0</v>
      </c>
      <c r="Y37" s="2" t="s">
        <v>148</v>
      </c>
      <c r="Z37" s="12">
        <f>SUMIF(Table1[product],Table1[[#This Row],[product]],Table1[loan_amount])</f>
        <v>201475100</v>
      </c>
      <c r="AA37" s="15">
        <f>SUMIF(Table1[region],Table1[[#This Row],[region]],Table1[current_balance])</f>
        <v>105779369</v>
      </c>
      <c r="AB37" s="2">
        <f>COUNTIF(Table1[loan_status],Table1[[#This Row],[loan_status]])</f>
        <v>301</v>
      </c>
      <c r="AC37" s="2">
        <f>COUNTIF(Table1[default_flag],1)/ROWS(Table1[loan_id])</f>
        <v>2.5999999999999999E-2</v>
      </c>
      <c r="AD37" s="2">
        <f>COUNTIFS(Table1[region],Table1[[#This Row],[region]],Table1[default_flag],1)/COUNTIF(Table1[region],Table1[[#This Row],[region]])</f>
        <v>2.6548672566371681E-2</v>
      </c>
      <c r="AE37" s="2">
        <f>COUNTIFS(Table1[channel],Table1[[#This Row],[channel]],Table1[prepayment_flag],1)/COUNTIF(Table1[channel],Table1[[#This Row],[channel]])</f>
        <v>5.8201058201058198E-2</v>
      </c>
      <c r="AF37" s="2">
        <f>AVERAGEIFS(Table1[interest_rate_pct],Table1[product],Table1[[#This Row],[product]],Table1[risk_band],Table1[[#This Row],[risk_band]])</f>
        <v>18.241249999999997</v>
      </c>
      <c r="AG37" s="2" t="str" cm="1">
        <f t="array" ref="AG37">_xlfn.IFS(Table1[[#This Row],[dti_ratio]] &lt; 0.2, " less than 0.2", Table1[[#This Row],[dti_ratio]] &lt; 0.3, "0.2 - 0.3", Table1[[#This Row],[dti_ratio]] &lt;= 0.5, "0.35 - 0.5", Table1[[#This Row],[dti_ratio]] &gt; 0.5, "greater than 0.5")</f>
        <v>0.35 - 0.5</v>
      </c>
      <c r="AH37" s="2">
        <f>COUNTIF(Table1[DTI band],Table1[[#This Row],[DTI band]])</f>
        <v>260</v>
      </c>
      <c r="AI37" s="2" t="str" cm="1">
        <f t="array" ref="AI37">_xlfn.IFS(Table1[[#This Row],[ltv_ratio]] &lt; 0.6, "less than 0.6 -less risky", Table1[[#This Row],[ltv_ratio]]  &lt;= 0.8, "0.6 - 0.8 -medium risky",Table1[[#This Row],[ltv_ratio]] &gt; 0.8, "greater than 0.8 -highly risky")</f>
        <v>0.6 - 0.8 -medium risky</v>
      </c>
      <c r="AJ37" s="2">
        <f>COUNTIF(Table1[LTV band],Table1[[#This Row],[LTV band]])</f>
        <v>302</v>
      </c>
      <c r="AK37" s="2">
        <f>COUNTIFS(Table1[count_loan_perband],Table1[[#This Row],[count_loan_perband]],Table1[default_flag],1)/COUNTIF(Table1[count_loan_perband],Table1[[#This Row],[count_loan_perband]])</f>
        <v>3.6423841059602648E-2</v>
      </c>
      <c r="AL37" s="2" t="str" cm="1">
        <f t="array" ref="AL37">_xlfn.IFS(Table1[[#This Row],[loan_amount]] &lt; 900000, "lower size (&lt; 9L)", Table1[[#This Row],[loan_amount]] &lt;=3300000, "medium size (&lt;=33L)", Table1[[#This Row],[loan_amount]] &gt; 3300000, "larger size (&gt; 33L)")</f>
        <v>larger size (&gt; 33L)</v>
      </c>
      <c r="AM37" s="2">
        <f>IF(Table1[[#This Row],[dpd]] &gt;=30,1,0)</f>
        <v>0</v>
      </c>
      <c r="AN37" s="2">
        <f>COUNTIFS(Table1[Loan size],Table1[[#This Row],[Loan size]],Table1[dpd flag],1)/COUNTIF(Table1[Loan size],Table1[[#This Row],[Loan size]])</f>
        <v>0.16250000000000001</v>
      </c>
      <c r="AO37" s="2" t="str">
        <f>IF(OR(Table1[[#This Row],[credit_score]] &lt; 600, Table1[ [#This Row],[dti_ratio] ] &gt; 0.5, Table1[[#This Row],[dpd]] &gt;=30), "high risk", " not riskY")</f>
        <v xml:space="preserve"> not riskY</v>
      </c>
      <c r="AP37" s="26">
        <f>EOMONTH(Table1[[#This Row],[origination_date]],0)</f>
        <v>44651</v>
      </c>
      <c r="AQ37" s="2">
        <f>SUMIFS(Table1[loan_amount],Table1[origination month],Table1[[#This Row],[origination month]])</f>
        <v>25656500</v>
      </c>
      <c r="AR37" s="2">
        <f>AVERAGEIFS(Table1[months_on_book],Table1[product],Table1[[#This Row],[product]])</f>
        <v>19.091954022988507</v>
      </c>
      <c r="AS37" s="2" t="str">
        <f ca="1">IF(EDATE(Table1[[#This Row],[origination_date]],6) &gt;= TODAY(), "New Loan", "Old Loan")</f>
        <v>Old Loan</v>
      </c>
      <c r="AT37" s="2" t="str">
        <f>"Q"&amp;ROUNDUP(MONTH(Table1[[#This Row],[origination_date]])/3,0)&amp;YEAR(Table1[[#This Row],[origination_date]])</f>
        <v>Q12022</v>
      </c>
      <c r="AU37" s="2">
        <f>SUMIFS(Table1[loan_amount],Table1[quarter],Table1[[#This Row],[quarter]])</f>
        <v>65393800</v>
      </c>
      <c r="AV37" s="34" t="str">
        <f>_xlfn.TEXTJOIN("|",TRUE,Table1[[#This Row],[loan_id]:[loan_status]])</f>
        <v>L65120672|C4387235|44631|SME Loan|Branch|North|Self-Employed|180|3676500|18.06|59366|500928|623|D|0.33|0.72|5087200|45|2409295|2263169|10|0|0|Active</v>
      </c>
      <c r="AW37" s="42">
        <f>YEAR(Loan_Table[ [#This Row],[origination_date] ])</f>
        <v>2022</v>
      </c>
      <c r="AZ37" s="2">
        <f>ROWS(INDEX(Loan_Table[],,MATCH(AY78,Loan_Table[#Headers],0)))</f>
        <v>500</v>
      </c>
      <c r="BA37" s="2">
        <f>COUNTA(INDEX(Loan_Table[],,MATCH(AY78,Loan_Table[#Headers],0)))</f>
        <v>500</v>
      </c>
      <c r="BB37" s="2">
        <f>COUNTBLANK(INDEX(Loan_Table[],,MATCH(AY78,Loan_Table[#Headers],0)))</f>
        <v>0</v>
      </c>
      <c r="BC37" s="2">
        <f t="shared" si="0"/>
        <v>100</v>
      </c>
    </row>
    <row r="38" spans="2:55" ht="18" customHeight="1">
      <c r="B38" s="5" t="s">
        <v>195</v>
      </c>
      <c r="C38" s="2" t="s">
        <v>196</v>
      </c>
      <c r="D38" s="3">
        <v>44572</v>
      </c>
      <c r="E38" s="2" t="s">
        <v>163</v>
      </c>
      <c r="F38" s="2" t="s">
        <v>132</v>
      </c>
      <c r="G38" s="2" t="s">
        <v>139</v>
      </c>
      <c r="H38" s="2" t="s">
        <v>134</v>
      </c>
      <c r="I38" s="2">
        <v>18</v>
      </c>
      <c r="J38" s="2">
        <v>421800</v>
      </c>
      <c r="K38" s="2">
        <v>13.75</v>
      </c>
      <c r="L38" s="2">
        <v>26066</v>
      </c>
      <c r="M38" s="2">
        <v>901863</v>
      </c>
      <c r="N38" s="2">
        <v>649</v>
      </c>
      <c r="O38" s="2" t="s">
        <v>147</v>
      </c>
      <c r="P38" s="2">
        <v>0.3</v>
      </c>
      <c r="Q38" s="2">
        <v>0.73</v>
      </c>
      <c r="R38" s="2">
        <v>577200</v>
      </c>
      <c r="S38" s="2">
        <v>18</v>
      </c>
      <c r="T38" s="2">
        <v>435157</v>
      </c>
      <c r="U38" s="2">
        <v>21442</v>
      </c>
      <c r="V38" s="2">
        <v>0</v>
      </c>
      <c r="W38" s="2">
        <v>0</v>
      </c>
      <c r="X38" s="2">
        <v>0</v>
      </c>
      <c r="Y38" s="2" t="s">
        <v>141</v>
      </c>
      <c r="Z38" s="12">
        <f>SUMIF(Table1[product],Table1[[#This Row],[product]],Table1[loan_amount])</f>
        <v>92273000</v>
      </c>
      <c r="AA38" s="15">
        <f>SUMIF(Table1[region],Table1[[#This Row],[region]],Table1[current_balance])</f>
        <v>83903255</v>
      </c>
      <c r="AB38" s="2">
        <f>COUNTIF(Table1[loan_status],Table1[[#This Row],[loan_status]])</f>
        <v>139</v>
      </c>
      <c r="AC38" s="2">
        <f>COUNTIF(Table1[default_flag],1)/ROWS(Table1[loan_id])</f>
        <v>2.5999999999999999E-2</v>
      </c>
      <c r="AD38" s="2">
        <f>COUNTIFS(Table1[region],Table1[[#This Row],[region]],Table1[default_flag],1)/COUNTIF(Table1[region],Table1[[#This Row],[region]])</f>
        <v>4.2553191489361701E-2</v>
      </c>
      <c r="AE38" s="2">
        <f>COUNTIFS(Table1[channel],Table1[[#This Row],[channel]],Table1[prepayment_flag],1)/COUNTIF(Table1[channel],Table1[[#This Row],[channel]])</f>
        <v>7.1090047393364927E-2</v>
      </c>
      <c r="AF38" s="2">
        <f>AVERAGEIFS(Table1[interest_rate_pct],Table1[product],Table1[[#This Row],[product]],Table1[risk_band],Table1[[#This Row],[risk_band]])</f>
        <v>15.092000000000001</v>
      </c>
      <c r="AG38" s="2" t="str" cm="1">
        <f t="array" ref="AG38">_xlfn.IFS(Table1[[#This Row],[dti_ratio]] &lt; 0.2, " less than 0.2", Table1[[#This Row],[dti_ratio]] &lt; 0.3, "0.2 - 0.3", Table1[[#This Row],[dti_ratio]] &lt;= 0.5, "0.35 - 0.5", Table1[[#This Row],[dti_ratio]] &gt; 0.5, "greater than 0.5")</f>
        <v>0.35 - 0.5</v>
      </c>
      <c r="AH38" s="2">
        <f>COUNTIF(Table1[DTI band],Table1[[#This Row],[DTI band]])</f>
        <v>260</v>
      </c>
      <c r="AI38" s="2" t="str" cm="1">
        <f t="array" ref="AI38">_xlfn.IFS(Table1[[#This Row],[ltv_ratio]] &lt; 0.6, "less than 0.6 -less risky", Table1[[#This Row],[ltv_ratio]]  &lt;= 0.8, "0.6 - 0.8 -medium risky",Table1[[#This Row],[ltv_ratio]] &gt; 0.8, "greater than 0.8 -highly risky")</f>
        <v>0.6 - 0.8 -medium risky</v>
      </c>
      <c r="AJ38" s="2">
        <f>COUNTIF(Table1[LTV band],Table1[[#This Row],[LTV band]])</f>
        <v>302</v>
      </c>
      <c r="AK38" s="2">
        <f>COUNTIFS(Table1[count_loan_perband],Table1[[#This Row],[count_loan_perband]],Table1[default_flag],1)/COUNTIF(Table1[count_loan_perband],Table1[[#This Row],[count_loan_perband]])</f>
        <v>3.6423841059602648E-2</v>
      </c>
      <c r="AL38" s="2" t="str" cm="1">
        <f t="array" ref="AL38">_xlfn.IFS(Table1[[#This Row],[loan_amount]] &lt; 900000, "lower size (&lt; 9L)", Table1[[#This Row],[loan_amount]] &lt;=3300000, "medium size (&lt;=33L)", Table1[[#This Row],[loan_amount]] &gt; 3300000, "larger size (&gt; 33L)")</f>
        <v>lower size (&lt; 9L)</v>
      </c>
      <c r="AM38" s="2">
        <f>IF(Table1[[#This Row],[dpd]] &gt;=30,1,0)</f>
        <v>0</v>
      </c>
      <c r="AN38" s="2">
        <f>COUNTIFS(Table1[Loan size],Table1[[#This Row],[Loan size]],Table1[dpd flag],1)/COUNTIF(Table1[Loan size],Table1[[#This Row],[Loan size]])</f>
        <v>0.13934426229508196</v>
      </c>
      <c r="AO38" s="2" t="str">
        <f>IF(OR(Table1[[#This Row],[credit_score]] &lt; 600, Table1[ [#This Row],[dti_ratio] ] &gt; 0.5, Table1[[#This Row],[dpd]] &gt;=30), "high risk", " not riskY")</f>
        <v xml:space="preserve"> not riskY</v>
      </c>
      <c r="AP38" s="26">
        <f>EOMONTH(Table1[[#This Row],[origination_date]],0)</f>
        <v>44592</v>
      </c>
      <c r="AQ38" s="2">
        <f>SUMIFS(Table1[loan_amount],Table1[origination month],Table1[[#This Row],[origination month]])</f>
        <v>19161700</v>
      </c>
      <c r="AR38" s="2">
        <f>AVERAGEIFS(Table1[months_on_book],Table1[product],Table1[[#This Row],[product]])</f>
        <v>20.262135922330096</v>
      </c>
      <c r="AS38" s="2" t="str">
        <f ca="1">IF(EDATE(Table1[[#This Row],[origination_date]],6) &gt;= TODAY(), "New Loan", "Old Loan")</f>
        <v>Old Loan</v>
      </c>
      <c r="AT38" s="2" t="str">
        <f>"Q"&amp;ROUNDUP(MONTH(Table1[[#This Row],[origination_date]])/3,0)&amp;YEAR(Table1[[#This Row],[origination_date]])</f>
        <v>Q12022</v>
      </c>
      <c r="AU38" s="2">
        <f>SUMIFS(Table1[loan_amount],Table1[quarter],Table1[[#This Row],[quarter]])</f>
        <v>65393800</v>
      </c>
      <c r="AV38" s="34" t="str">
        <f>_xlfn.TEXTJOIN("|",TRUE,Table1[[#This Row],[loan_id]:[loan_status]])</f>
        <v>L31488963|C8043616|44572|Auto Loan|Online|West|Salaried|18|421800|13.75|26066|901863|649|D|0.3|0.73|577200|18|435157|21442|0|0|0|Closed</v>
      </c>
      <c r="AW38" s="42">
        <f>YEAR(Loan_Table[ [#This Row],[origination_date] ])</f>
        <v>2022</v>
      </c>
      <c r="AZ38" s="2">
        <f>ROWS(INDEX(Loan_Table[],,MATCH(AY79,Loan_Table[#Headers],0)))</f>
        <v>500</v>
      </c>
      <c r="BA38" s="2">
        <f>COUNTA(INDEX(Loan_Table[],,MATCH(AY79,Loan_Table[#Headers],0)))</f>
        <v>500</v>
      </c>
      <c r="BB38" s="2">
        <f>COUNTBLANK(INDEX(Loan_Table[],,MATCH(AY79,Loan_Table[#Headers],0)))</f>
        <v>0</v>
      </c>
      <c r="BC38" s="2">
        <f t="shared" si="0"/>
        <v>100</v>
      </c>
    </row>
    <row r="39" spans="2:55" ht="18" customHeight="1">
      <c r="B39" s="5" t="s">
        <v>197</v>
      </c>
      <c r="C39" s="2" t="s">
        <v>198</v>
      </c>
      <c r="D39" s="3">
        <v>44620</v>
      </c>
      <c r="E39" s="2" t="s">
        <v>163</v>
      </c>
      <c r="F39" s="2" t="s">
        <v>144</v>
      </c>
      <c r="G39" s="2" t="s">
        <v>145</v>
      </c>
      <c r="H39" s="2" t="s">
        <v>152</v>
      </c>
      <c r="I39" s="2">
        <v>36</v>
      </c>
      <c r="J39" s="2">
        <v>984700</v>
      </c>
      <c r="K39" s="2">
        <v>13.39</v>
      </c>
      <c r="L39" s="2">
        <v>33364</v>
      </c>
      <c r="M39" s="2">
        <v>787811</v>
      </c>
      <c r="N39" s="2">
        <v>632</v>
      </c>
      <c r="O39" s="2" t="s">
        <v>147</v>
      </c>
      <c r="P39" s="2">
        <v>0.3</v>
      </c>
      <c r="Q39" s="2">
        <v>0.74</v>
      </c>
      <c r="R39" s="2">
        <v>1338000</v>
      </c>
      <c r="S39" s="2">
        <v>36</v>
      </c>
      <c r="T39" s="2">
        <v>1143457</v>
      </c>
      <c r="U39" s="2">
        <v>0</v>
      </c>
      <c r="V39" s="2">
        <v>45</v>
      </c>
      <c r="W39" s="2">
        <v>0</v>
      </c>
      <c r="X39" s="2">
        <v>0</v>
      </c>
      <c r="Y39" s="2" t="s">
        <v>141</v>
      </c>
      <c r="Z39" s="12">
        <f>SUMIF(Table1[product],Table1[[#This Row],[product]],Table1[loan_amount])</f>
        <v>92273000</v>
      </c>
      <c r="AA39" s="15">
        <f>SUMIF(Table1[region],Table1[[#This Row],[region]],Table1[current_balance])</f>
        <v>98928695</v>
      </c>
      <c r="AB39" s="2">
        <f>COUNTIF(Table1[loan_status],Table1[[#This Row],[loan_status]])</f>
        <v>139</v>
      </c>
      <c r="AC39" s="2">
        <f>COUNTIF(Table1[default_flag],1)/ROWS(Table1[loan_id])</f>
        <v>2.5999999999999999E-2</v>
      </c>
      <c r="AD39" s="2">
        <f>COUNTIFS(Table1[region],Table1[[#This Row],[region]],Table1[default_flag],1)/COUNTIF(Table1[region],Table1[[#This Row],[region]])</f>
        <v>2.8571428571428571E-2</v>
      </c>
      <c r="AE39" s="2">
        <f>COUNTIFS(Table1[channel],Table1[[#This Row],[channel]],Table1[prepayment_flag],1)/COUNTIF(Table1[channel],Table1[[#This Row],[channel]])</f>
        <v>5.8201058201058198E-2</v>
      </c>
      <c r="AF39" s="2">
        <f>AVERAGEIFS(Table1[interest_rate_pct],Table1[product],Table1[[#This Row],[product]],Table1[risk_band],Table1[[#This Row],[risk_band]])</f>
        <v>15.092000000000001</v>
      </c>
      <c r="AG39" s="2" t="str" cm="1">
        <f t="array" ref="AG39">_xlfn.IFS(Table1[[#This Row],[dti_ratio]] &lt; 0.2, " less than 0.2", Table1[[#This Row],[dti_ratio]] &lt; 0.3, "0.2 - 0.3", Table1[[#This Row],[dti_ratio]] &lt;= 0.5, "0.35 - 0.5", Table1[[#This Row],[dti_ratio]] &gt; 0.5, "greater than 0.5")</f>
        <v>0.35 - 0.5</v>
      </c>
      <c r="AH39" s="2">
        <f>COUNTIF(Table1[DTI band],Table1[[#This Row],[DTI band]])</f>
        <v>260</v>
      </c>
      <c r="AI39" s="2" t="str" cm="1">
        <f t="array" ref="AI39">_xlfn.IFS(Table1[[#This Row],[ltv_ratio]] &lt; 0.6, "less than 0.6 -less risky", Table1[[#This Row],[ltv_ratio]]  &lt;= 0.8, "0.6 - 0.8 -medium risky",Table1[[#This Row],[ltv_ratio]] &gt; 0.8, "greater than 0.8 -highly risky")</f>
        <v>0.6 - 0.8 -medium risky</v>
      </c>
      <c r="AJ39" s="2">
        <f>COUNTIF(Table1[LTV band],Table1[[#This Row],[LTV band]])</f>
        <v>302</v>
      </c>
      <c r="AK39" s="2">
        <f>COUNTIFS(Table1[count_loan_perband],Table1[[#This Row],[count_loan_perband]],Table1[default_flag],1)/COUNTIF(Table1[count_loan_perband],Table1[[#This Row],[count_loan_perband]])</f>
        <v>3.6423841059602648E-2</v>
      </c>
      <c r="AL39" s="2" t="str" cm="1">
        <f t="array" ref="AL39">_xlfn.IFS(Table1[[#This Row],[loan_amount]] &lt; 900000, "lower size (&lt; 9L)", Table1[[#This Row],[loan_amount]] &lt;=3300000, "medium size (&lt;=33L)", Table1[[#This Row],[loan_amount]] &gt; 3300000, "larger size (&gt; 33L)")</f>
        <v>medium size (&lt;=33L)</v>
      </c>
      <c r="AM39" s="2">
        <f>IF(Table1[[#This Row],[dpd]] &gt;=30,1,0)</f>
        <v>1</v>
      </c>
      <c r="AN39" s="2">
        <f>COUNTIFS(Table1[Loan size],Table1[[#This Row],[Loan size]],Table1[dpd flag],1)/COUNTIF(Table1[Loan size],Table1[[#This Row],[Loan size]])</f>
        <v>0.15909090909090909</v>
      </c>
      <c r="AO39" s="2" t="str">
        <f>IF(OR(Table1[[#This Row],[credit_score]] &lt; 600, Table1[ [#This Row],[dti_ratio] ] &gt; 0.5, Table1[[#This Row],[dpd]] &gt;=30), "high risk", " not riskY")</f>
        <v>high risk</v>
      </c>
      <c r="AP39" s="26">
        <f>EOMONTH(Table1[[#This Row],[origination_date]],0)</f>
        <v>44620</v>
      </c>
      <c r="AQ39" s="2">
        <f>SUMIFS(Table1[loan_amount],Table1[origination month],Table1[[#This Row],[origination month]])</f>
        <v>20575600</v>
      </c>
      <c r="AR39" s="2">
        <f>AVERAGEIFS(Table1[months_on_book],Table1[product],Table1[[#This Row],[product]])</f>
        <v>20.262135922330096</v>
      </c>
      <c r="AS39" s="2" t="str">
        <f ca="1">IF(EDATE(Table1[[#This Row],[origination_date]],6) &gt;= TODAY(), "New Loan", "Old Loan")</f>
        <v>Old Loan</v>
      </c>
      <c r="AT39" s="2" t="str">
        <f>"Q"&amp;ROUNDUP(MONTH(Table1[[#This Row],[origination_date]])/3,0)&amp;YEAR(Table1[[#This Row],[origination_date]])</f>
        <v>Q12022</v>
      </c>
      <c r="AU39" s="2">
        <f>SUMIFS(Table1[loan_amount],Table1[quarter],Table1[[#This Row],[quarter]])</f>
        <v>65393800</v>
      </c>
      <c r="AV39" s="34" t="str">
        <f>_xlfn.TEXTJOIN("|",TRUE,Table1[[#This Row],[loan_id]:[loan_status]])</f>
        <v>L71424595|C6650374|44620|Auto Loan|Branch|Central|Self-Employed|36|984700|13.39|33364|787811|632|D|0.3|0.74|1338000|36|1143457|0|45|0|0|Closed</v>
      </c>
      <c r="AW39" s="42">
        <f>YEAR(Loan_Table[ [#This Row],[origination_date] ])</f>
        <v>2023</v>
      </c>
      <c r="AZ39" s="2">
        <f>ROWS(INDEX(Loan_Table[],,MATCH(AY80,Loan_Table[#Headers],0)))</f>
        <v>500</v>
      </c>
      <c r="BA39" s="2">
        <f>COUNTA(INDEX(Loan_Table[],,MATCH(AY80,Loan_Table[#Headers],0)))</f>
        <v>500</v>
      </c>
      <c r="BB39" s="2">
        <f>COUNTBLANK(INDEX(Loan_Table[],,MATCH(AY80,Loan_Table[#Headers],0)))</f>
        <v>0</v>
      </c>
      <c r="BC39" s="2">
        <f t="shared" si="0"/>
        <v>100</v>
      </c>
    </row>
    <row r="40" spans="2:55" ht="18" customHeight="1">
      <c r="B40" s="5" t="s">
        <v>199</v>
      </c>
      <c r="C40" s="2" t="s">
        <v>200</v>
      </c>
      <c r="D40" s="3">
        <v>44614</v>
      </c>
      <c r="E40" s="2" t="s">
        <v>169</v>
      </c>
      <c r="F40" s="2" t="s">
        <v>132</v>
      </c>
      <c r="G40" s="2" t="s">
        <v>151</v>
      </c>
      <c r="H40" s="2" t="s">
        <v>152</v>
      </c>
      <c r="I40" s="2">
        <v>360</v>
      </c>
      <c r="J40" s="2">
        <v>5407100</v>
      </c>
      <c r="K40" s="2">
        <v>12.53</v>
      </c>
      <c r="L40" s="2">
        <v>57834</v>
      </c>
      <c r="M40" s="2">
        <v>860326</v>
      </c>
      <c r="N40" s="2">
        <v>654</v>
      </c>
      <c r="O40" s="2" t="s">
        <v>140</v>
      </c>
      <c r="P40" s="2">
        <v>0.28999999999999998</v>
      </c>
      <c r="Q40" s="2">
        <v>0.7</v>
      </c>
      <c r="R40" s="2">
        <v>7776200</v>
      </c>
      <c r="S40" s="2">
        <v>46</v>
      </c>
      <c r="T40" s="2">
        <v>2557940</v>
      </c>
      <c r="U40" s="2">
        <v>3888008</v>
      </c>
      <c r="V40" s="2">
        <v>0</v>
      </c>
      <c r="W40" s="2">
        <v>0</v>
      </c>
      <c r="X40" s="2">
        <v>0</v>
      </c>
      <c r="Y40" s="2" t="s">
        <v>148</v>
      </c>
      <c r="Z40" s="12">
        <f>SUMIF(Table1[product],Table1[[#This Row],[product]],Table1[loan_amount])</f>
        <v>403369500</v>
      </c>
      <c r="AA40" s="15">
        <f>SUMIF(Table1[region],Table1[[#This Row],[region]],Table1[current_balance])</f>
        <v>105779369</v>
      </c>
      <c r="AB40" s="2">
        <f>COUNTIF(Table1[loan_status],Table1[[#This Row],[loan_status]])</f>
        <v>301</v>
      </c>
      <c r="AC40" s="2">
        <f>COUNTIF(Table1[default_flag],1)/ROWS(Table1[loan_id])</f>
        <v>2.5999999999999999E-2</v>
      </c>
      <c r="AD40" s="2">
        <f>COUNTIFS(Table1[region],Table1[[#This Row],[region]],Table1[default_flag],1)/COUNTIF(Table1[region],Table1[[#This Row],[region]])</f>
        <v>2.6548672566371681E-2</v>
      </c>
      <c r="AE40" s="2">
        <f>COUNTIFS(Table1[channel],Table1[[#This Row],[channel]],Table1[prepayment_flag],1)/COUNTIF(Table1[channel],Table1[[#This Row],[channel]])</f>
        <v>7.1090047393364927E-2</v>
      </c>
      <c r="AF40" s="2">
        <f>AVERAGEIFS(Table1[interest_rate_pct],Table1[product],Table1[[#This Row],[product]],Table1[risk_band],Table1[[#This Row],[risk_band]])</f>
        <v>11.719736842105268</v>
      </c>
      <c r="AG40" s="2" t="str" cm="1">
        <f t="array" ref="AG40">_xlfn.IFS(Table1[[#This Row],[dti_ratio]] &lt; 0.2, " less than 0.2", Table1[[#This Row],[dti_ratio]] &lt; 0.3, "0.2 - 0.3", Table1[[#This Row],[dti_ratio]] &lt;= 0.5, "0.35 - 0.5", Table1[[#This Row],[dti_ratio]] &gt; 0.5, "greater than 0.5")</f>
        <v>0.2 - 0.3</v>
      </c>
      <c r="AH40" s="2">
        <f>COUNTIF(Table1[DTI band],Table1[[#This Row],[DTI band]])</f>
        <v>122</v>
      </c>
      <c r="AI40" s="2" t="str" cm="1">
        <f t="array" ref="AI40">_xlfn.IFS(Table1[[#This Row],[ltv_ratio]] &lt; 0.6, "less than 0.6 -less risky", Table1[[#This Row],[ltv_ratio]]  &lt;= 0.8, "0.6 - 0.8 -medium risky",Table1[[#This Row],[ltv_ratio]] &gt; 0.8, "greater than 0.8 -highly risky")</f>
        <v>0.6 - 0.8 -medium risky</v>
      </c>
      <c r="AJ40" s="2">
        <f>COUNTIF(Table1[LTV band],Table1[[#This Row],[LTV band]])</f>
        <v>302</v>
      </c>
      <c r="AK40" s="2">
        <f>COUNTIFS(Table1[count_loan_perband],Table1[[#This Row],[count_loan_perband]],Table1[default_flag],1)/COUNTIF(Table1[count_loan_perband],Table1[[#This Row],[count_loan_perband]])</f>
        <v>3.6423841059602648E-2</v>
      </c>
      <c r="AL40" s="2" t="str" cm="1">
        <f t="array" ref="AL40">_xlfn.IFS(Table1[[#This Row],[loan_amount]] &lt; 900000, "lower size (&lt; 9L)", Table1[[#This Row],[loan_amount]] &lt;=3300000, "medium size (&lt;=33L)", Table1[[#This Row],[loan_amount]] &gt; 3300000, "larger size (&gt; 33L)")</f>
        <v>larger size (&gt; 33L)</v>
      </c>
      <c r="AM40" s="2">
        <f>IF(Table1[[#This Row],[dpd]] &gt;=30,1,0)</f>
        <v>0</v>
      </c>
      <c r="AN40" s="2">
        <f>COUNTIFS(Table1[Loan size],Table1[[#This Row],[Loan size]],Table1[dpd flag],1)/COUNTIF(Table1[Loan size],Table1[[#This Row],[Loan size]])</f>
        <v>0.16250000000000001</v>
      </c>
      <c r="AO40" s="2" t="str">
        <f>IF(OR(Table1[[#This Row],[credit_score]] &lt; 600, Table1[ [#This Row],[dti_ratio] ] &gt; 0.5, Table1[[#This Row],[dpd]] &gt;=30), "high risk", " not riskY")</f>
        <v xml:space="preserve"> not riskY</v>
      </c>
      <c r="AP40" s="26">
        <f>EOMONTH(Table1[[#This Row],[origination_date]],0)</f>
        <v>44620</v>
      </c>
      <c r="AQ40" s="2">
        <f>SUMIFS(Table1[loan_amount],Table1[origination month],Table1[[#This Row],[origination month]])</f>
        <v>20575600</v>
      </c>
      <c r="AR40" s="2">
        <f>AVERAGEIFS(Table1[months_on_book],Table1[product],Table1[[#This Row],[product]])</f>
        <v>20.516129032258064</v>
      </c>
      <c r="AS40" s="2" t="str">
        <f ca="1">IF(EDATE(Table1[[#This Row],[origination_date]],6) &gt;= TODAY(), "New Loan", "Old Loan")</f>
        <v>Old Loan</v>
      </c>
      <c r="AT40" s="2" t="str">
        <f>"Q"&amp;ROUNDUP(MONTH(Table1[[#This Row],[origination_date]])/3,0)&amp;YEAR(Table1[[#This Row],[origination_date]])</f>
        <v>Q12022</v>
      </c>
      <c r="AU40" s="2">
        <f>SUMIFS(Table1[loan_amount],Table1[quarter],Table1[[#This Row],[quarter]])</f>
        <v>65393800</v>
      </c>
      <c r="AV40" s="34" t="str">
        <f>_xlfn.TEXTJOIN("|",TRUE,Table1[[#This Row],[loan_id]:[loan_status]])</f>
        <v>L99071532|C8022713|44614|Home Loan|Online|North|Self-Employed|360|5407100|12.53|57834|860326|654|C|0.29|0.7|7776200|46|2557940|3888008|0|0|0|Active</v>
      </c>
      <c r="AW40" s="42">
        <f>YEAR(Loan_Table[ [#This Row],[origination_date] ])</f>
        <v>2023</v>
      </c>
      <c r="AZ40" s="2">
        <f>ROWS(INDEX(Loan_Table[],,MATCH(AY81,Loan_Table[#Headers],0)))</f>
        <v>500</v>
      </c>
      <c r="BA40" s="2">
        <f>COUNTA(INDEX(Loan_Table[],,MATCH(AY81,Loan_Table[#Headers],0)))</f>
        <v>500</v>
      </c>
      <c r="BB40" s="2">
        <f>COUNTBLANK(INDEX(Loan_Table[],,MATCH(AY81,Loan_Table[#Headers],0)))</f>
        <v>0</v>
      </c>
      <c r="BC40" s="2">
        <f t="shared" si="0"/>
        <v>100</v>
      </c>
    </row>
    <row r="41" spans="2:55" ht="18" customHeight="1">
      <c r="B41" s="5" t="s">
        <v>201</v>
      </c>
      <c r="C41" s="2" t="s">
        <v>202</v>
      </c>
      <c r="D41" s="3">
        <v>44620</v>
      </c>
      <c r="E41" s="2" t="s">
        <v>163</v>
      </c>
      <c r="F41" s="2" t="s">
        <v>132</v>
      </c>
      <c r="G41" s="2" t="s">
        <v>170</v>
      </c>
      <c r="H41" s="2" t="s">
        <v>152</v>
      </c>
      <c r="I41" s="2">
        <v>12</v>
      </c>
      <c r="J41" s="2">
        <v>1746800</v>
      </c>
      <c r="K41" s="2">
        <v>10.33</v>
      </c>
      <c r="L41" s="2">
        <v>153840</v>
      </c>
      <c r="M41" s="2">
        <v>658460</v>
      </c>
      <c r="N41" s="2">
        <v>727</v>
      </c>
      <c r="O41" s="2" t="s">
        <v>135</v>
      </c>
      <c r="P41" s="2">
        <v>0.27</v>
      </c>
      <c r="Q41" s="2">
        <v>1.05</v>
      </c>
      <c r="R41" s="2">
        <v>1669600</v>
      </c>
      <c r="S41" s="2">
        <v>12</v>
      </c>
      <c r="T41" s="2">
        <v>1787037</v>
      </c>
      <c r="U41" s="2">
        <v>31941</v>
      </c>
      <c r="V41" s="2">
        <v>0</v>
      </c>
      <c r="W41" s="2">
        <v>0</v>
      </c>
      <c r="X41" s="2">
        <v>0</v>
      </c>
      <c r="Y41" s="2" t="s">
        <v>141</v>
      </c>
      <c r="Z41" s="12">
        <f>SUMIF(Table1[product],Table1[[#This Row],[product]],Table1[loan_amount])</f>
        <v>92273000</v>
      </c>
      <c r="AA41" s="15">
        <f>SUMIF(Table1[region],Table1[[#This Row],[region]],Table1[current_balance])</f>
        <v>83297251</v>
      </c>
      <c r="AB41" s="2">
        <f>COUNTIF(Table1[loan_status],Table1[[#This Row],[loan_status]])</f>
        <v>139</v>
      </c>
      <c r="AC41" s="2">
        <f>COUNTIF(Table1[default_flag],1)/ROWS(Table1[loan_id])</f>
        <v>2.5999999999999999E-2</v>
      </c>
      <c r="AD41" s="2">
        <f>COUNTIFS(Table1[region],Table1[[#This Row],[region]],Table1[default_flag],1)/COUNTIF(Table1[region],Table1[[#This Row],[region]])</f>
        <v>3.1914893617021274E-2</v>
      </c>
      <c r="AE41" s="2">
        <f>COUNTIFS(Table1[channel],Table1[[#This Row],[channel]],Table1[prepayment_flag],1)/COUNTIF(Table1[channel],Table1[[#This Row],[channel]])</f>
        <v>7.1090047393364927E-2</v>
      </c>
      <c r="AF41" s="2">
        <f>AVERAGEIFS(Table1[interest_rate_pct],Table1[product],Table1[[#This Row],[product]],Table1[risk_band],Table1[[#This Row],[risk_band]])</f>
        <v>10.611923076923079</v>
      </c>
      <c r="AG41" s="2" t="str" cm="1">
        <f t="array" ref="AG41">_xlfn.IFS(Table1[[#This Row],[dti_ratio]] &lt; 0.2, " less than 0.2", Table1[[#This Row],[dti_ratio]] &lt; 0.3, "0.2 - 0.3", Table1[[#This Row],[dti_ratio]] &lt;= 0.5, "0.35 - 0.5", Table1[[#This Row],[dti_ratio]] &gt; 0.5, "greater than 0.5")</f>
        <v>0.2 - 0.3</v>
      </c>
      <c r="AH41" s="2">
        <f>COUNTIF(Table1[DTI band],Table1[[#This Row],[DTI band]])</f>
        <v>122</v>
      </c>
      <c r="AI41" s="2" t="str" cm="1">
        <f t="array" ref="AI41">_xlfn.IFS(Table1[[#This Row],[ltv_ratio]] &lt; 0.6, "less than 0.6 -less risky", Table1[[#This Row],[ltv_ratio]]  &lt;= 0.8, "0.6 - 0.8 -medium risky",Table1[[#This Row],[ltv_ratio]] &gt; 0.8, "greater than 0.8 -highly risky")</f>
        <v>greater than 0.8 -highly risky</v>
      </c>
      <c r="AJ41" s="2">
        <f>COUNTIF(Table1[LTV band],Table1[[#This Row],[LTV band]])</f>
        <v>141</v>
      </c>
      <c r="AK41" s="2">
        <f>COUNTIFS(Table1[count_loan_perband],Table1[[#This Row],[count_loan_perband]],Table1[default_flag],1)/COUNTIF(Table1[count_loan_perband],Table1[[#This Row],[count_loan_perband]])</f>
        <v>1.4184397163120567E-2</v>
      </c>
      <c r="AL41" s="2" t="str" cm="1">
        <f t="array" ref="AL41">_xlfn.IFS(Table1[[#This Row],[loan_amount]] &lt; 900000, "lower size (&lt; 9L)", Table1[[#This Row],[loan_amount]] &lt;=3300000, "medium size (&lt;=33L)", Table1[[#This Row],[loan_amount]] &gt; 3300000, "larger size (&gt; 33L)")</f>
        <v>medium size (&lt;=33L)</v>
      </c>
      <c r="AM41" s="2">
        <f>IF(Table1[[#This Row],[dpd]] &gt;=30,1,0)</f>
        <v>0</v>
      </c>
      <c r="AN41" s="2">
        <f>COUNTIFS(Table1[Loan size],Table1[[#This Row],[Loan size]],Table1[dpd flag],1)/COUNTIF(Table1[Loan size],Table1[[#This Row],[Loan size]])</f>
        <v>0.15909090909090909</v>
      </c>
      <c r="AO41" s="2" t="str">
        <f>IF(OR(Table1[[#This Row],[credit_score]] &lt; 600, Table1[ [#This Row],[dti_ratio] ] &gt; 0.5, Table1[[#This Row],[dpd]] &gt;=30), "high risk", " not riskY")</f>
        <v xml:space="preserve"> not riskY</v>
      </c>
      <c r="AP41" s="26">
        <f>EOMONTH(Table1[[#This Row],[origination_date]],0)</f>
        <v>44620</v>
      </c>
      <c r="AQ41" s="2">
        <f>SUMIFS(Table1[loan_amount],Table1[origination month],Table1[[#This Row],[origination month]])</f>
        <v>20575600</v>
      </c>
      <c r="AR41" s="2">
        <f>AVERAGEIFS(Table1[months_on_book],Table1[product],Table1[[#This Row],[product]])</f>
        <v>20.262135922330096</v>
      </c>
      <c r="AS41" s="2" t="str">
        <f ca="1">IF(EDATE(Table1[[#This Row],[origination_date]],6) &gt;= TODAY(), "New Loan", "Old Loan")</f>
        <v>Old Loan</v>
      </c>
      <c r="AT41" s="2" t="str">
        <f>"Q"&amp;ROUNDUP(MONTH(Table1[[#This Row],[origination_date]])/3,0)&amp;YEAR(Table1[[#This Row],[origination_date]])</f>
        <v>Q12022</v>
      </c>
      <c r="AU41" s="2">
        <f>SUMIFS(Table1[loan_amount],Table1[quarter],Table1[[#This Row],[quarter]])</f>
        <v>65393800</v>
      </c>
      <c r="AV41" s="34" t="str">
        <f>_xlfn.TEXTJOIN("|",TRUE,Table1[[#This Row],[loan_id]:[loan_status]])</f>
        <v>L37780048|C9085298|44620|Auto Loan|Online|East|Self-Employed|12|1746800|10.33|153840|658460|727|B|0.27|1.05|1669600|12|1787037|31941|0|0|0|Closed</v>
      </c>
      <c r="AW41" s="42">
        <f>YEAR(Loan_Table[ [#This Row],[origination_date] ])</f>
        <v>2023</v>
      </c>
      <c r="AZ41" s="2">
        <f>ROWS(INDEX(Loan_Table[],,MATCH(AY90,Loan_Table[#Headers],0)))</f>
        <v>500</v>
      </c>
      <c r="BA41" s="2">
        <f>COUNTA(INDEX(Loan_Table[],,MATCH(AY90,Loan_Table[#Headers],0)))</f>
        <v>500</v>
      </c>
      <c r="BB41" s="2">
        <f>COUNTBLANK(INDEX(Loan_Table[],,MATCH(AY90,Loan_Table[#Headers],0)))</f>
        <v>0</v>
      </c>
      <c r="BC41" s="2">
        <f t="shared" si="0"/>
        <v>100</v>
      </c>
    </row>
    <row r="42" spans="2:55" ht="18" customHeight="1">
      <c r="B42" s="5" t="s">
        <v>203</v>
      </c>
      <c r="C42" s="2" t="s">
        <v>204</v>
      </c>
      <c r="D42" s="3">
        <v>44568</v>
      </c>
      <c r="E42" s="2" t="s">
        <v>169</v>
      </c>
      <c r="F42" s="2" t="s">
        <v>132</v>
      </c>
      <c r="G42" s="2" t="s">
        <v>151</v>
      </c>
      <c r="H42" s="2" t="s">
        <v>152</v>
      </c>
      <c r="I42" s="2">
        <v>24</v>
      </c>
      <c r="J42" s="2">
        <v>8493400</v>
      </c>
      <c r="K42" s="2">
        <v>13.77</v>
      </c>
      <c r="L42" s="2">
        <v>406870</v>
      </c>
      <c r="M42" s="2">
        <v>1331502</v>
      </c>
      <c r="N42" s="2">
        <v>626</v>
      </c>
      <c r="O42" s="2" t="s">
        <v>147</v>
      </c>
      <c r="P42" s="2">
        <v>0.24</v>
      </c>
      <c r="Q42" s="2">
        <v>0.9</v>
      </c>
      <c r="R42" s="2">
        <v>9473000</v>
      </c>
      <c r="S42" s="2">
        <v>24</v>
      </c>
      <c r="T42" s="2">
        <v>8328855</v>
      </c>
      <c r="U42" s="2">
        <v>1100178</v>
      </c>
      <c r="V42" s="2">
        <v>0</v>
      </c>
      <c r="W42" s="2">
        <v>0</v>
      </c>
      <c r="X42" s="2">
        <v>0</v>
      </c>
      <c r="Y42" s="2" t="s">
        <v>141</v>
      </c>
      <c r="Z42" s="12">
        <f>SUMIF(Table1[product],Table1[[#This Row],[product]],Table1[loan_amount])</f>
        <v>403369500</v>
      </c>
      <c r="AA42" s="15">
        <f>SUMIF(Table1[region],Table1[[#This Row],[region]],Table1[current_balance])</f>
        <v>105779369</v>
      </c>
      <c r="AB42" s="2">
        <f>COUNTIF(Table1[loan_status],Table1[[#This Row],[loan_status]])</f>
        <v>139</v>
      </c>
      <c r="AC42" s="2">
        <f>COUNTIF(Table1[default_flag],1)/ROWS(Table1[loan_id])</f>
        <v>2.5999999999999999E-2</v>
      </c>
      <c r="AD42" s="2">
        <f>COUNTIFS(Table1[region],Table1[[#This Row],[region]],Table1[default_flag],1)/COUNTIF(Table1[region],Table1[[#This Row],[region]])</f>
        <v>2.6548672566371681E-2</v>
      </c>
      <c r="AE42" s="2">
        <f>COUNTIFS(Table1[channel],Table1[[#This Row],[channel]],Table1[prepayment_flag],1)/COUNTIF(Table1[channel],Table1[[#This Row],[channel]])</f>
        <v>7.1090047393364927E-2</v>
      </c>
      <c r="AF42" s="2">
        <f>AVERAGEIFS(Table1[interest_rate_pct],Table1[product],Table1[[#This Row],[product]],Table1[risk_band],Table1[[#This Row],[risk_band]])</f>
        <v>13.406874999999999</v>
      </c>
      <c r="AG42" s="2" t="str" cm="1">
        <f t="array" ref="AG42">_xlfn.IFS(Table1[[#This Row],[dti_ratio]] &lt; 0.2, " less than 0.2", Table1[[#This Row],[dti_ratio]] &lt; 0.3, "0.2 - 0.3", Table1[[#This Row],[dti_ratio]] &lt;= 0.5, "0.35 - 0.5", Table1[[#This Row],[dti_ratio]] &gt; 0.5, "greater than 0.5")</f>
        <v>0.2 - 0.3</v>
      </c>
      <c r="AH42" s="2">
        <f>COUNTIF(Table1[DTI band],Table1[[#This Row],[DTI band]])</f>
        <v>122</v>
      </c>
      <c r="AI42" s="2" t="str" cm="1">
        <f t="array" ref="AI42">_xlfn.IFS(Table1[[#This Row],[ltv_ratio]] &lt; 0.6, "less than 0.6 -less risky", Table1[[#This Row],[ltv_ratio]]  &lt;= 0.8, "0.6 - 0.8 -medium risky",Table1[[#This Row],[ltv_ratio]] &gt; 0.8, "greater than 0.8 -highly risky")</f>
        <v>greater than 0.8 -highly risky</v>
      </c>
      <c r="AJ42" s="2">
        <f>COUNTIF(Table1[LTV band],Table1[[#This Row],[LTV band]])</f>
        <v>141</v>
      </c>
      <c r="AK42" s="2">
        <f>COUNTIFS(Table1[count_loan_perband],Table1[[#This Row],[count_loan_perband]],Table1[default_flag],1)/COUNTIF(Table1[count_loan_perband],Table1[[#This Row],[count_loan_perband]])</f>
        <v>1.4184397163120567E-2</v>
      </c>
      <c r="AL42" s="2" t="str" cm="1">
        <f t="array" ref="AL42">_xlfn.IFS(Table1[[#This Row],[loan_amount]] &lt; 900000, "lower size (&lt; 9L)", Table1[[#This Row],[loan_amount]] &lt;=3300000, "medium size (&lt;=33L)", Table1[[#This Row],[loan_amount]] &gt; 3300000, "larger size (&gt; 33L)")</f>
        <v>larger size (&gt; 33L)</v>
      </c>
      <c r="AM42" s="2">
        <f>IF(Table1[[#This Row],[dpd]] &gt;=30,1,0)</f>
        <v>0</v>
      </c>
      <c r="AN42" s="2">
        <f>COUNTIFS(Table1[Loan size],Table1[[#This Row],[Loan size]],Table1[dpd flag],1)/COUNTIF(Table1[Loan size],Table1[[#This Row],[Loan size]])</f>
        <v>0.16250000000000001</v>
      </c>
      <c r="AO42" s="2" t="str">
        <f>IF(OR(Table1[[#This Row],[credit_score]] &lt; 600, Table1[ [#This Row],[dti_ratio] ] &gt; 0.5, Table1[[#This Row],[dpd]] &gt;=30), "high risk", " not riskY")</f>
        <v xml:space="preserve"> not riskY</v>
      </c>
      <c r="AP42" s="26">
        <f>EOMONTH(Table1[[#This Row],[origination_date]],0)</f>
        <v>44592</v>
      </c>
      <c r="AQ42" s="2">
        <f>SUMIFS(Table1[loan_amount],Table1[origination month],Table1[[#This Row],[origination month]])</f>
        <v>19161700</v>
      </c>
      <c r="AR42" s="2">
        <f>AVERAGEIFS(Table1[months_on_book],Table1[product],Table1[[#This Row],[product]])</f>
        <v>20.516129032258064</v>
      </c>
      <c r="AS42" s="2" t="str">
        <f ca="1">IF(EDATE(Table1[[#This Row],[origination_date]],6) &gt;= TODAY(), "New Loan", "Old Loan")</f>
        <v>Old Loan</v>
      </c>
      <c r="AT42" s="2" t="str">
        <f>"Q"&amp;ROUNDUP(MONTH(Table1[[#This Row],[origination_date]])/3,0)&amp;YEAR(Table1[[#This Row],[origination_date]])</f>
        <v>Q12022</v>
      </c>
      <c r="AU42" s="2">
        <f>SUMIFS(Table1[loan_amount],Table1[quarter],Table1[[#This Row],[quarter]])</f>
        <v>65393800</v>
      </c>
      <c r="AV42" s="34" t="str">
        <f>_xlfn.TEXTJOIN("|",TRUE,Table1[[#This Row],[loan_id]:[loan_status]])</f>
        <v>L74751666|C7574811|44568|Home Loan|Online|North|Self-Employed|24|8493400|13.77|406870|1331502|626|D|0.24|0.9|9473000|24|8328855|1100178|0|0|0|Closed</v>
      </c>
      <c r="AW42" s="42">
        <f>YEAR(Loan_Table[ [#This Row],[origination_date] ])</f>
        <v>2023</v>
      </c>
      <c r="AZ42" s="2">
        <f>ROWS(INDEX(Loan_Table[],,MATCH(AY91,Loan_Table[#Headers],0)))</f>
        <v>500</v>
      </c>
      <c r="BA42" s="2">
        <f>COUNTA(INDEX(Loan_Table[],,MATCH(AY91,Loan_Table[#Headers],0)))</f>
        <v>500</v>
      </c>
      <c r="BB42" s="2">
        <f>COUNTBLANK(INDEX(Loan_Table[],,MATCH(AY91,Loan_Table[#Headers],0)))</f>
        <v>0</v>
      </c>
      <c r="BC42" s="2">
        <f t="shared" si="0"/>
        <v>100</v>
      </c>
    </row>
    <row r="43" spans="2:55" ht="18" customHeight="1">
      <c r="B43" s="5" t="s">
        <v>205</v>
      </c>
      <c r="C43" s="2" t="s">
        <v>206</v>
      </c>
      <c r="D43" s="3">
        <v>44613</v>
      </c>
      <c r="E43" s="2" t="s">
        <v>169</v>
      </c>
      <c r="F43" s="2" t="s">
        <v>144</v>
      </c>
      <c r="G43" s="2" t="s">
        <v>139</v>
      </c>
      <c r="H43" s="2" t="s">
        <v>134</v>
      </c>
      <c r="I43" s="2">
        <v>360</v>
      </c>
      <c r="J43" s="2">
        <v>6309600</v>
      </c>
      <c r="K43" s="2">
        <v>12.29</v>
      </c>
      <c r="L43" s="2">
        <v>66313</v>
      </c>
      <c r="M43" s="2">
        <v>783645</v>
      </c>
      <c r="N43" s="2">
        <v>657</v>
      </c>
      <c r="O43" s="2" t="s">
        <v>140</v>
      </c>
      <c r="P43" s="2">
        <v>0.23</v>
      </c>
      <c r="Q43" s="2">
        <v>0.95</v>
      </c>
      <c r="R43" s="2">
        <v>6658400</v>
      </c>
      <c r="S43" s="2">
        <v>46</v>
      </c>
      <c r="T43" s="2">
        <v>2846256</v>
      </c>
      <c r="U43" s="2">
        <v>4652367</v>
      </c>
      <c r="V43" s="2">
        <v>0</v>
      </c>
      <c r="W43" s="2">
        <v>0</v>
      </c>
      <c r="X43" s="2">
        <v>0</v>
      </c>
      <c r="Y43" s="2" t="s">
        <v>148</v>
      </c>
      <c r="Z43" s="12">
        <f>SUMIF(Table1[product],Table1[[#This Row],[product]],Table1[loan_amount])</f>
        <v>403369500</v>
      </c>
      <c r="AA43" s="15">
        <f>SUMIF(Table1[region],Table1[[#This Row],[region]],Table1[current_balance])</f>
        <v>83903255</v>
      </c>
      <c r="AB43" s="2">
        <f>COUNTIF(Table1[loan_status],Table1[[#This Row],[loan_status]])</f>
        <v>301</v>
      </c>
      <c r="AC43" s="2">
        <f>COUNTIF(Table1[default_flag],1)/ROWS(Table1[loan_id])</f>
        <v>2.5999999999999999E-2</v>
      </c>
      <c r="AD43" s="2">
        <f>COUNTIFS(Table1[region],Table1[[#This Row],[region]],Table1[default_flag],1)/COUNTIF(Table1[region],Table1[[#This Row],[region]])</f>
        <v>4.2553191489361701E-2</v>
      </c>
      <c r="AE43" s="2">
        <f>COUNTIFS(Table1[channel],Table1[[#This Row],[channel]],Table1[prepayment_flag],1)/COUNTIF(Table1[channel],Table1[[#This Row],[channel]])</f>
        <v>5.8201058201058198E-2</v>
      </c>
      <c r="AF43" s="2">
        <f>AVERAGEIFS(Table1[interest_rate_pct],Table1[product],Table1[[#This Row],[product]],Table1[risk_band],Table1[[#This Row],[risk_band]])</f>
        <v>11.719736842105268</v>
      </c>
      <c r="AG43" s="2" t="str" cm="1">
        <f t="array" ref="AG43">_xlfn.IFS(Table1[[#This Row],[dti_ratio]] &lt; 0.2, " less than 0.2", Table1[[#This Row],[dti_ratio]] &lt; 0.3, "0.2 - 0.3", Table1[[#This Row],[dti_ratio]] &lt;= 0.5, "0.35 - 0.5", Table1[[#This Row],[dti_ratio]] &gt; 0.5, "greater than 0.5")</f>
        <v>0.2 - 0.3</v>
      </c>
      <c r="AH43" s="2">
        <f>COUNTIF(Table1[DTI band],Table1[[#This Row],[DTI band]])</f>
        <v>122</v>
      </c>
      <c r="AI43" s="2" t="str" cm="1">
        <f t="array" ref="AI43">_xlfn.IFS(Table1[[#This Row],[ltv_ratio]] &lt; 0.6, "less than 0.6 -less risky", Table1[[#This Row],[ltv_ratio]]  &lt;= 0.8, "0.6 - 0.8 -medium risky",Table1[[#This Row],[ltv_ratio]] &gt; 0.8, "greater than 0.8 -highly risky")</f>
        <v>greater than 0.8 -highly risky</v>
      </c>
      <c r="AJ43" s="2">
        <f>COUNTIF(Table1[LTV band],Table1[[#This Row],[LTV band]])</f>
        <v>141</v>
      </c>
      <c r="AK43" s="2">
        <f>COUNTIFS(Table1[count_loan_perband],Table1[[#This Row],[count_loan_perband]],Table1[default_flag],1)/COUNTIF(Table1[count_loan_perband],Table1[[#This Row],[count_loan_perband]])</f>
        <v>1.4184397163120567E-2</v>
      </c>
      <c r="AL43" s="2" t="str" cm="1">
        <f t="array" ref="AL43">_xlfn.IFS(Table1[[#This Row],[loan_amount]] &lt; 900000, "lower size (&lt; 9L)", Table1[[#This Row],[loan_amount]] &lt;=3300000, "medium size (&lt;=33L)", Table1[[#This Row],[loan_amount]] &gt; 3300000, "larger size (&gt; 33L)")</f>
        <v>larger size (&gt; 33L)</v>
      </c>
      <c r="AM43" s="2">
        <f>IF(Table1[[#This Row],[dpd]] &gt;=30,1,0)</f>
        <v>0</v>
      </c>
      <c r="AN43" s="2">
        <f>COUNTIFS(Table1[Loan size],Table1[[#This Row],[Loan size]],Table1[dpd flag],1)/COUNTIF(Table1[Loan size],Table1[[#This Row],[Loan size]])</f>
        <v>0.16250000000000001</v>
      </c>
      <c r="AO43" s="2" t="str">
        <f>IF(OR(Table1[[#This Row],[credit_score]] &lt; 600, Table1[ [#This Row],[dti_ratio] ] &gt; 0.5, Table1[[#This Row],[dpd]] &gt;=30), "high risk", " not riskY")</f>
        <v xml:space="preserve"> not riskY</v>
      </c>
      <c r="AP43" s="26">
        <f>EOMONTH(Table1[[#This Row],[origination_date]],0)</f>
        <v>44620</v>
      </c>
      <c r="AQ43" s="2">
        <f>SUMIFS(Table1[loan_amount],Table1[origination month],Table1[[#This Row],[origination month]])</f>
        <v>20575600</v>
      </c>
      <c r="AR43" s="2">
        <f>AVERAGEIFS(Table1[months_on_book],Table1[product],Table1[[#This Row],[product]])</f>
        <v>20.516129032258064</v>
      </c>
      <c r="AS43" s="2" t="str">
        <f ca="1">IF(EDATE(Table1[[#This Row],[origination_date]],6) &gt;= TODAY(), "New Loan", "Old Loan")</f>
        <v>Old Loan</v>
      </c>
      <c r="AT43" s="2" t="str">
        <f>"Q"&amp;ROUNDUP(MONTH(Table1[[#This Row],[origination_date]])/3,0)&amp;YEAR(Table1[[#This Row],[origination_date]])</f>
        <v>Q12022</v>
      </c>
      <c r="AU43" s="2">
        <f>SUMIFS(Table1[loan_amount],Table1[quarter],Table1[[#This Row],[quarter]])</f>
        <v>65393800</v>
      </c>
      <c r="AV43" s="34" t="str">
        <f>_xlfn.TEXTJOIN("|",TRUE,Table1[[#This Row],[loan_id]:[loan_status]])</f>
        <v>L69657779|C2072957|44613|Home Loan|Branch|West|Salaried|360|6309600|12.29|66313|783645|657|C|0.23|0.95|6658400|46|2846256|4652367|0|0|0|Active</v>
      </c>
      <c r="AW43" s="42">
        <f>YEAR(Loan_Table[ [#This Row],[origination_date] ])</f>
        <v>2023</v>
      </c>
      <c r="AZ43" s="2">
        <f>ROWS(INDEX(Loan_Table[],,MATCH(AY92,Loan_Table[#Headers],0)))</f>
        <v>500</v>
      </c>
      <c r="BA43" s="2">
        <f>COUNTA(INDEX(Loan_Table[],,MATCH(AY92,Loan_Table[#Headers],0)))</f>
        <v>500</v>
      </c>
      <c r="BB43" s="2">
        <f>COUNTBLANK(INDEX(Loan_Table[],,MATCH(AY92,Loan_Table[#Headers],0)))</f>
        <v>0</v>
      </c>
      <c r="BC43" s="2">
        <f t="shared" si="0"/>
        <v>100</v>
      </c>
    </row>
    <row r="44" spans="2:55" ht="18" customHeight="1">
      <c r="B44" s="5" t="s">
        <v>207</v>
      </c>
      <c r="C44" s="2" t="s">
        <v>208</v>
      </c>
      <c r="D44" s="3">
        <v>44634</v>
      </c>
      <c r="E44" s="2" t="s">
        <v>163</v>
      </c>
      <c r="F44" s="2" t="s">
        <v>132</v>
      </c>
      <c r="G44" s="2" t="s">
        <v>133</v>
      </c>
      <c r="H44" s="2" t="s">
        <v>152</v>
      </c>
      <c r="I44" s="2">
        <v>180</v>
      </c>
      <c r="J44" s="2">
        <v>913200</v>
      </c>
      <c r="K44" s="2">
        <v>7</v>
      </c>
      <c r="L44" s="2">
        <v>8208</v>
      </c>
      <c r="M44" s="2">
        <v>907013</v>
      </c>
      <c r="N44" s="2">
        <v>799</v>
      </c>
      <c r="O44" s="2" t="s">
        <v>160</v>
      </c>
      <c r="P44" s="2">
        <v>0.19</v>
      </c>
      <c r="Q44" s="2">
        <v>0.77</v>
      </c>
      <c r="R44" s="2">
        <v>1183200</v>
      </c>
      <c r="S44" s="2">
        <v>45</v>
      </c>
      <c r="T44" s="2">
        <v>376133</v>
      </c>
      <c r="U44" s="2">
        <v>632953</v>
      </c>
      <c r="V44" s="2">
        <v>0</v>
      </c>
      <c r="W44" s="2">
        <v>0</v>
      </c>
      <c r="X44" s="2">
        <v>0</v>
      </c>
      <c r="Y44" s="2" t="s">
        <v>148</v>
      </c>
      <c r="Z44" s="12">
        <f>SUMIF(Table1[product],Table1[[#This Row],[product]],Table1[loan_amount])</f>
        <v>92273000</v>
      </c>
      <c r="AA44" s="15">
        <f>SUMIF(Table1[region],Table1[[#This Row],[region]],Table1[current_balance])</f>
        <v>94548000</v>
      </c>
      <c r="AB44" s="2">
        <f>COUNTIF(Table1[loan_status],Table1[[#This Row],[loan_status]])</f>
        <v>301</v>
      </c>
      <c r="AC44" s="2">
        <f>COUNTIF(Table1[default_flag],1)/ROWS(Table1[loan_id])</f>
        <v>2.5999999999999999E-2</v>
      </c>
      <c r="AD44" s="2">
        <f>COUNTIFS(Table1[region],Table1[[#This Row],[region]],Table1[default_flag],1)/COUNTIF(Table1[region],Table1[[#This Row],[region]])</f>
        <v>0</v>
      </c>
      <c r="AE44" s="2">
        <f>COUNTIFS(Table1[channel],Table1[[#This Row],[channel]],Table1[prepayment_flag],1)/COUNTIF(Table1[channel],Table1[[#This Row],[channel]])</f>
        <v>7.1090047393364927E-2</v>
      </c>
      <c r="AF44" s="2">
        <f>AVERAGEIFS(Table1[interest_rate_pct],Table1[product],Table1[[#This Row],[product]],Table1[risk_band],Table1[[#This Row],[risk_band]])</f>
        <v>7.9444999999999997</v>
      </c>
      <c r="AG44" s="2" t="str" cm="1">
        <f t="array" ref="AG44">_xlfn.IFS(Table1[[#This Row],[dti_ratio]] &lt; 0.2, " less than 0.2", Table1[[#This Row],[dti_ratio]] &lt; 0.3, "0.2 - 0.3", Table1[[#This Row],[dti_ratio]] &lt;= 0.5, "0.35 - 0.5", Table1[[#This Row],[dti_ratio]] &gt; 0.5, "greater than 0.5")</f>
        <v xml:space="preserve"> less than 0.2</v>
      </c>
      <c r="AH44" s="2">
        <f>COUNTIF(Table1[DTI band],Table1[[#This Row],[DTI band]])</f>
        <v>86</v>
      </c>
      <c r="AI44" s="2" t="str" cm="1">
        <f t="array" ref="AI44">_xlfn.IFS(Table1[[#This Row],[ltv_ratio]] &lt; 0.6, "less than 0.6 -less risky", Table1[[#This Row],[ltv_ratio]]  &lt;= 0.8, "0.6 - 0.8 -medium risky",Table1[[#This Row],[ltv_ratio]] &gt; 0.8, "greater than 0.8 -highly risky")</f>
        <v>0.6 - 0.8 -medium risky</v>
      </c>
      <c r="AJ44" s="2">
        <f>COUNTIF(Table1[LTV band],Table1[[#This Row],[LTV band]])</f>
        <v>302</v>
      </c>
      <c r="AK44" s="2">
        <f>COUNTIFS(Table1[count_loan_perband],Table1[[#This Row],[count_loan_perband]],Table1[default_flag],1)/COUNTIF(Table1[count_loan_perband],Table1[[#This Row],[count_loan_perband]])</f>
        <v>3.6423841059602648E-2</v>
      </c>
      <c r="AL44" s="2" t="str" cm="1">
        <f t="array" ref="AL44">_xlfn.IFS(Table1[[#This Row],[loan_amount]] &lt; 900000, "lower size (&lt; 9L)", Table1[[#This Row],[loan_amount]] &lt;=3300000, "medium size (&lt;=33L)", Table1[[#This Row],[loan_amount]] &gt; 3300000, "larger size (&gt; 33L)")</f>
        <v>medium size (&lt;=33L)</v>
      </c>
      <c r="AM44" s="2">
        <f>IF(Table1[[#This Row],[dpd]] &gt;=30,1,0)</f>
        <v>0</v>
      </c>
      <c r="AN44" s="2">
        <f>COUNTIFS(Table1[Loan size],Table1[[#This Row],[Loan size]],Table1[dpd flag],1)/COUNTIF(Table1[Loan size],Table1[[#This Row],[Loan size]])</f>
        <v>0.15909090909090909</v>
      </c>
      <c r="AO44" s="2" t="str">
        <f>IF(OR(Table1[[#This Row],[credit_score]] &lt; 600, Table1[ [#This Row],[dti_ratio] ] &gt; 0.5, Table1[[#This Row],[dpd]] &gt;=30), "high risk", " not riskY")</f>
        <v xml:space="preserve"> not riskY</v>
      </c>
      <c r="AP44" s="26">
        <f>EOMONTH(Table1[[#This Row],[origination_date]],0)</f>
        <v>44651</v>
      </c>
      <c r="AQ44" s="2">
        <f>SUMIFS(Table1[loan_amount],Table1[origination month],Table1[[#This Row],[origination month]])</f>
        <v>25656500</v>
      </c>
      <c r="AR44" s="2">
        <f>AVERAGEIFS(Table1[months_on_book],Table1[product],Table1[[#This Row],[product]])</f>
        <v>20.262135922330096</v>
      </c>
      <c r="AS44" s="2" t="str">
        <f ca="1">IF(EDATE(Table1[[#This Row],[origination_date]],6) &gt;= TODAY(), "New Loan", "Old Loan")</f>
        <v>Old Loan</v>
      </c>
      <c r="AT44" s="2" t="str">
        <f>"Q"&amp;ROUNDUP(MONTH(Table1[[#This Row],[origination_date]])/3,0)&amp;YEAR(Table1[[#This Row],[origination_date]])</f>
        <v>Q12022</v>
      </c>
      <c r="AU44" s="2">
        <f>SUMIFS(Table1[loan_amount],Table1[quarter],Table1[[#This Row],[quarter]])</f>
        <v>65393800</v>
      </c>
      <c r="AV44" s="34" t="str">
        <f>_xlfn.TEXTJOIN("|",TRUE,Table1[[#This Row],[loan_id]:[loan_status]])</f>
        <v>L47720288|C2958656|44634|Auto Loan|Online|South|Self-Employed|180|913200|7|8208|907013|799|A|0.19|0.77|1183200|45|376133|632953|0|0|0|Active</v>
      </c>
      <c r="AW44" s="42">
        <f>YEAR(Loan_Table[ [#This Row],[origination_date] ])</f>
        <v>2023</v>
      </c>
    </row>
    <row r="45" spans="2:55" ht="18" customHeight="1">
      <c r="B45" s="5" t="s">
        <v>209</v>
      </c>
      <c r="C45" s="2" t="s">
        <v>210</v>
      </c>
      <c r="D45" s="3">
        <v>44645</v>
      </c>
      <c r="E45" s="2" t="s">
        <v>158</v>
      </c>
      <c r="F45" s="2" t="s">
        <v>132</v>
      </c>
      <c r="G45" s="2" t="s">
        <v>139</v>
      </c>
      <c r="H45" s="2" t="s">
        <v>152</v>
      </c>
      <c r="I45" s="2">
        <v>48</v>
      </c>
      <c r="J45" s="2">
        <v>3628200</v>
      </c>
      <c r="K45" s="2">
        <v>11.84</v>
      </c>
      <c r="L45" s="2">
        <v>95260</v>
      </c>
      <c r="M45" s="2">
        <v>1380320</v>
      </c>
      <c r="N45" s="2">
        <v>758</v>
      </c>
      <c r="O45" s="2" t="s">
        <v>160</v>
      </c>
      <c r="P45" s="2">
        <v>0.16</v>
      </c>
      <c r="Q45" s="2">
        <v>0.67</v>
      </c>
      <c r="R45" s="2">
        <v>5385500</v>
      </c>
      <c r="S45" s="2">
        <v>45</v>
      </c>
      <c r="T45" s="2">
        <v>3646511</v>
      </c>
      <c r="U45" s="2">
        <v>626057</v>
      </c>
      <c r="V45" s="2">
        <v>60</v>
      </c>
      <c r="W45" s="2">
        <v>0</v>
      </c>
      <c r="X45" s="2">
        <v>0</v>
      </c>
      <c r="Y45" s="2" t="s">
        <v>136</v>
      </c>
      <c r="Z45" s="12">
        <f>SUMIF(Table1[product],Table1[[#This Row],[product]],Table1[loan_amount])</f>
        <v>201475100</v>
      </c>
      <c r="AA45" s="15">
        <f>SUMIF(Table1[region],Table1[[#This Row],[region]],Table1[current_balance])</f>
        <v>83903255</v>
      </c>
      <c r="AB45" s="2">
        <f>COUNTIF(Table1[loan_status],Table1[[#This Row],[loan_status]])</f>
        <v>47</v>
      </c>
      <c r="AC45" s="2">
        <f>COUNTIF(Table1[default_flag],1)/ROWS(Table1[loan_id])</f>
        <v>2.5999999999999999E-2</v>
      </c>
      <c r="AD45" s="2">
        <f>COUNTIFS(Table1[region],Table1[[#This Row],[region]],Table1[default_flag],1)/COUNTIF(Table1[region],Table1[[#This Row],[region]])</f>
        <v>4.2553191489361701E-2</v>
      </c>
      <c r="AE45" s="2">
        <f>COUNTIFS(Table1[channel],Table1[[#This Row],[channel]],Table1[prepayment_flag],1)/COUNTIF(Table1[channel],Table1[[#This Row],[channel]])</f>
        <v>7.1090047393364927E-2</v>
      </c>
      <c r="AF45" s="2">
        <f>AVERAGEIFS(Table1[interest_rate_pct],Table1[product],Table1[[#This Row],[product]],Table1[risk_band],Table1[[#This Row],[risk_band]])</f>
        <v>10.537499999999998</v>
      </c>
      <c r="AG45" s="2" t="str" cm="1">
        <f t="array" ref="AG45">_xlfn.IFS(Table1[[#This Row],[dti_ratio]] &lt; 0.2, " less than 0.2", Table1[[#This Row],[dti_ratio]] &lt; 0.3, "0.2 - 0.3", Table1[[#This Row],[dti_ratio]] &lt;= 0.5, "0.35 - 0.5", Table1[[#This Row],[dti_ratio]] &gt; 0.5, "greater than 0.5")</f>
        <v xml:space="preserve"> less than 0.2</v>
      </c>
      <c r="AH45" s="2">
        <f>COUNTIF(Table1[DTI band],Table1[[#This Row],[DTI band]])</f>
        <v>86</v>
      </c>
      <c r="AI45" s="2" t="str" cm="1">
        <f t="array" ref="AI45">_xlfn.IFS(Table1[[#This Row],[ltv_ratio]] &lt; 0.6, "less than 0.6 -less risky", Table1[[#This Row],[ltv_ratio]]  &lt;= 0.8, "0.6 - 0.8 -medium risky",Table1[[#This Row],[ltv_ratio]] &gt; 0.8, "greater than 0.8 -highly risky")</f>
        <v>0.6 - 0.8 -medium risky</v>
      </c>
      <c r="AJ45" s="2">
        <f>COUNTIF(Table1[LTV band],Table1[[#This Row],[LTV band]])</f>
        <v>302</v>
      </c>
      <c r="AK45" s="2">
        <f>COUNTIFS(Table1[count_loan_perband],Table1[[#This Row],[count_loan_perband]],Table1[default_flag],1)/COUNTIF(Table1[count_loan_perband],Table1[[#This Row],[count_loan_perband]])</f>
        <v>3.6423841059602648E-2</v>
      </c>
      <c r="AL45" s="2" t="str" cm="1">
        <f t="array" ref="AL45">_xlfn.IFS(Table1[[#This Row],[loan_amount]] &lt; 900000, "lower size (&lt; 9L)", Table1[[#This Row],[loan_amount]] &lt;=3300000, "medium size (&lt;=33L)", Table1[[#This Row],[loan_amount]] &gt; 3300000, "larger size (&gt; 33L)")</f>
        <v>larger size (&gt; 33L)</v>
      </c>
      <c r="AM45" s="2">
        <f>IF(Table1[[#This Row],[dpd]] &gt;=30,1,0)</f>
        <v>1</v>
      </c>
      <c r="AN45" s="2">
        <f>COUNTIFS(Table1[Loan size],Table1[[#This Row],[Loan size]],Table1[dpd flag],1)/COUNTIF(Table1[Loan size],Table1[[#This Row],[Loan size]])</f>
        <v>0.16250000000000001</v>
      </c>
      <c r="AO45" s="2" t="str">
        <f>IF(OR(Table1[[#This Row],[credit_score]] &lt; 600, Table1[ [#This Row],[dti_ratio] ] &gt; 0.5, Table1[[#This Row],[dpd]] &gt;=30), "high risk", " not riskY")</f>
        <v>high risk</v>
      </c>
      <c r="AP45" s="26">
        <f>EOMONTH(Table1[[#This Row],[origination_date]],0)</f>
        <v>44651</v>
      </c>
      <c r="AQ45" s="2">
        <f>SUMIFS(Table1[loan_amount],Table1[origination month],Table1[[#This Row],[origination month]])</f>
        <v>25656500</v>
      </c>
      <c r="AR45" s="2">
        <f>AVERAGEIFS(Table1[months_on_book],Table1[product],Table1[[#This Row],[product]])</f>
        <v>19.091954022988507</v>
      </c>
      <c r="AS45" s="2" t="str">
        <f ca="1">IF(EDATE(Table1[[#This Row],[origination_date]],6) &gt;= TODAY(), "New Loan", "Old Loan")</f>
        <v>Old Loan</v>
      </c>
      <c r="AT45" s="2" t="str">
        <f>"Q"&amp;ROUNDUP(MONTH(Table1[[#This Row],[origination_date]])/3,0)&amp;YEAR(Table1[[#This Row],[origination_date]])</f>
        <v>Q12022</v>
      </c>
      <c r="AU45" s="2">
        <f>SUMIFS(Table1[loan_amount],Table1[quarter],Table1[[#This Row],[quarter]])</f>
        <v>65393800</v>
      </c>
      <c r="AV45" s="34" t="str">
        <f>_xlfn.TEXTJOIN("|",TRUE,Table1[[#This Row],[loan_id]:[loan_status]])</f>
        <v>L81542135|C7171690|44645|SME Loan|Online|West|Self-Employed|48|3628200|11.84|95260|1380320|758|A|0.16|0.67|5385500|45|3646511|626057|60|0|0|Delinquent</v>
      </c>
      <c r="AW45" s="42">
        <f>YEAR(Loan_Table[ [#This Row],[origination_date] ])</f>
        <v>2023</v>
      </c>
      <c r="AY45" s="4" t="s">
        <v>1203</v>
      </c>
    </row>
    <row r="46" spans="2:55" ht="18" customHeight="1">
      <c r="B46" s="5" t="s">
        <v>211</v>
      </c>
      <c r="C46" s="2" t="s">
        <v>212</v>
      </c>
      <c r="D46" s="3">
        <v>44648</v>
      </c>
      <c r="E46" s="2" t="s">
        <v>169</v>
      </c>
      <c r="F46" s="2" t="s">
        <v>213</v>
      </c>
      <c r="G46" s="2" t="s">
        <v>145</v>
      </c>
      <c r="H46" s="2" t="s">
        <v>134</v>
      </c>
      <c r="I46" s="2">
        <v>60</v>
      </c>
      <c r="J46" s="2">
        <v>1357200</v>
      </c>
      <c r="K46" s="2">
        <v>12.5</v>
      </c>
      <c r="L46" s="2">
        <v>30534</v>
      </c>
      <c r="M46" s="2">
        <v>150000</v>
      </c>
      <c r="N46" s="2">
        <v>667</v>
      </c>
      <c r="O46" s="2" t="s">
        <v>140</v>
      </c>
      <c r="P46" s="2">
        <v>0.16</v>
      </c>
      <c r="Q46" s="2">
        <v>0.64</v>
      </c>
      <c r="R46" s="2">
        <v>2113200</v>
      </c>
      <c r="S46" s="2">
        <v>45</v>
      </c>
      <c r="T46" s="2">
        <v>1385523</v>
      </c>
      <c r="U46" s="2">
        <v>226152</v>
      </c>
      <c r="V46" s="2">
        <v>0</v>
      </c>
      <c r="W46" s="2">
        <v>1</v>
      </c>
      <c r="X46" s="2">
        <v>0</v>
      </c>
      <c r="Y46" s="2" t="s">
        <v>141</v>
      </c>
      <c r="Z46" s="12">
        <f>SUMIF(Table1[product],Table1[[#This Row],[product]],Table1[loan_amount])</f>
        <v>403369500</v>
      </c>
      <c r="AA46" s="15">
        <f>SUMIF(Table1[region],Table1[[#This Row],[region]],Table1[current_balance])</f>
        <v>98928695</v>
      </c>
      <c r="AB46" s="2">
        <f>COUNTIF(Table1[loan_status],Table1[[#This Row],[loan_status]])</f>
        <v>139</v>
      </c>
      <c r="AC46" s="2">
        <f>COUNTIF(Table1[default_flag],1)/ROWS(Table1[loan_id])</f>
        <v>2.5999999999999999E-2</v>
      </c>
      <c r="AD46" s="2">
        <f>COUNTIFS(Table1[region],Table1[[#This Row],[region]],Table1[default_flag],1)/COUNTIF(Table1[region],Table1[[#This Row],[region]])</f>
        <v>2.8571428571428571E-2</v>
      </c>
      <c r="AE46" s="2">
        <f>COUNTIFS(Table1[channel],Table1[[#This Row],[channel]],Table1[prepayment_flag],1)/COUNTIF(Table1[channel],Table1[[#This Row],[channel]])</f>
        <v>0.12</v>
      </c>
      <c r="AF46" s="2">
        <f>AVERAGEIFS(Table1[interest_rate_pct],Table1[product],Table1[[#This Row],[product]],Table1[risk_band],Table1[[#This Row],[risk_band]])</f>
        <v>11.719736842105268</v>
      </c>
      <c r="AG46" s="2" t="str" cm="1">
        <f t="array" ref="AG46">_xlfn.IFS(Table1[[#This Row],[dti_ratio]] &lt; 0.2, " less than 0.2", Table1[[#This Row],[dti_ratio]] &lt; 0.3, "0.2 - 0.3", Table1[[#This Row],[dti_ratio]] &lt;= 0.5, "0.35 - 0.5", Table1[[#This Row],[dti_ratio]] &gt; 0.5, "greater than 0.5")</f>
        <v xml:space="preserve"> less than 0.2</v>
      </c>
      <c r="AH46" s="2">
        <f>COUNTIF(Table1[DTI band],Table1[[#This Row],[DTI band]])</f>
        <v>86</v>
      </c>
      <c r="AI46" s="2" t="str" cm="1">
        <f t="array" ref="AI46">_xlfn.IFS(Table1[[#This Row],[ltv_ratio]] &lt; 0.6, "less than 0.6 -less risky", Table1[[#This Row],[ltv_ratio]]  &lt;= 0.8, "0.6 - 0.8 -medium risky",Table1[[#This Row],[ltv_ratio]] &gt; 0.8, "greater than 0.8 -highly risky")</f>
        <v>0.6 - 0.8 -medium risky</v>
      </c>
      <c r="AJ46" s="2">
        <f>COUNTIF(Table1[LTV band],Table1[[#This Row],[LTV band]])</f>
        <v>302</v>
      </c>
      <c r="AK46" s="2">
        <f>COUNTIFS(Table1[count_loan_perband],Table1[[#This Row],[count_loan_perband]],Table1[default_flag],1)/COUNTIF(Table1[count_loan_perband],Table1[[#This Row],[count_loan_perband]])</f>
        <v>3.6423841059602648E-2</v>
      </c>
      <c r="AL46" s="2" t="str" cm="1">
        <f t="array" ref="AL46">_xlfn.IFS(Table1[[#This Row],[loan_amount]] &lt; 900000, "lower size (&lt; 9L)", Table1[[#This Row],[loan_amount]] &lt;=3300000, "medium size (&lt;=33L)", Table1[[#This Row],[loan_amount]] &gt; 3300000, "larger size (&gt; 33L)")</f>
        <v>medium size (&lt;=33L)</v>
      </c>
      <c r="AM46" s="2">
        <f>IF(Table1[[#This Row],[dpd]] &gt;=30,1,0)</f>
        <v>0</v>
      </c>
      <c r="AN46" s="2">
        <f>COUNTIFS(Table1[Loan size],Table1[[#This Row],[Loan size]],Table1[dpd flag],1)/COUNTIF(Table1[Loan size],Table1[[#This Row],[Loan size]])</f>
        <v>0.15909090909090909</v>
      </c>
      <c r="AO46" s="2" t="str">
        <f>IF(OR(Table1[[#This Row],[credit_score]] &lt; 600, Table1[ [#This Row],[dti_ratio] ] &gt; 0.5, Table1[[#This Row],[dpd]] &gt;=30), "high risk", " not riskY")</f>
        <v xml:space="preserve"> not riskY</v>
      </c>
      <c r="AP46" s="26">
        <f>EOMONTH(Table1[[#This Row],[origination_date]],0)</f>
        <v>44651</v>
      </c>
      <c r="AQ46" s="2">
        <f>SUMIFS(Table1[loan_amount],Table1[origination month],Table1[[#This Row],[origination month]])</f>
        <v>25656500</v>
      </c>
      <c r="AR46" s="2">
        <f>AVERAGEIFS(Table1[months_on_book],Table1[product],Table1[[#This Row],[product]])</f>
        <v>20.516129032258064</v>
      </c>
      <c r="AS46" s="2" t="str">
        <f ca="1">IF(EDATE(Table1[[#This Row],[origination_date]],6) &gt;= TODAY(), "New Loan", "Old Loan")</f>
        <v>Old Loan</v>
      </c>
      <c r="AT46" s="2" t="str">
        <f>"Q"&amp;ROUNDUP(MONTH(Table1[[#This Row],[origination_date]])/3,0)&amp;YEAR(Table1[[#This Row],[origination_date]])</f>
        <v>Q12022</v>
      </c>
      <c r="AU46" s="2">
        <f>SUMIFS(Table1[loan_amount],Table1[quarter],Table1[[#This Row],[quarter]])</f>
        <v>65393800</v>
      </c>
      <c r="AV46" s="34" t="str">
        <f>_xlfn.TEXTJOIN("|",TRUE,Table1[[#This Row],[loan_id]:[loan_status]])</f>
        <v>L93972089|C1324538|44648|Home Loan|Call Center|Central|Salaried|60|1357200|12.5|30534|150000|667|C|0.16|0.64|2113200|45|1385523|226152|0|1|0|Closed</v>
      </c>
      <c r="AW46" s="42">
        <f>YEAR(Loan_Table[ [#This Row],[origination_date] ])</f>
        <v>2023</v>
      </c>
    </row>
    <row r="47" spans="2:55" ht="18" customHeight="1">
      <c r="B47" s="5" t="s">
        <v>214</v>
      </c>
      <c r="C47" s="2" t="s">
        <v>215</v>
      </c>
      <c r="D47" s="3">
        <v>44564</v>
      </c>
      <c r="E47" s="2" t="s">
        <v>131</v>
      </c>
      <c r="F47" s="2" t="s">
        <v>144</v>
      </c>
      <c r="G47" s="2" t="s">
        <v>139</v>
      </c>
      <c r="H47" s="2" t="s">
        <v>152</v>
      </c>
      <c r="I47" s="2">
        <v>12</v>
      </c>
      <c r="J47" s="2">
        <v>518000</v>
      </c>
      <c r="K47" s="2">
        <v>13.81</v>
      </c>
      <c r="L47" s="2">
        <v>46463</v>
      </c>
      <c r="M47" s="2">
        <v>1378964</v>
      </c>
      <c r="N47" s="2">
        <v>744</v>
      </c>
      <c r="O47" s="2" t="s">
        <v>135</v>
      </c>
      <c r="P47" s="2">
        <v>0.16</v>
      </c>
      <c r="Q47" s="2">
        <v>0.75</v>
      </c>
      <c r="R47" s="2">
        <v>0</v>
      </c>
      <c r="S47" s="2">
        <v>12</v>
      </c>
      <c r="T47" s="2">
        <v>481837</v>
      </c>
      <c r="U47" s="2">
        <v>64777</v>
      </c>
      <c r="V47" s="2">
        <v>0</v>
      </c>
      <c r="W47" s="2">
        <v>0</v>
      </c>
      <c r="X47" s="2">
        <v>0</v>
      </c>
      <c r="Y47" s="2" t="s">
        <v>141</v>
      </c>
      <c r="Z47" s="12">
        <f>SUMIF(Table1[product],Table1[[#This Row],[product]],Table1[loan_amount])</f>
        <v>74897600</v>
      </c>
      <c r="AA47" s="15">
        <f>SUMIF(Table1[region],Table1[[#This Row],[region]],Table1[current_balance])</f>
        <v>83903255</v>
      </c>
      <c r="AB47" s="2">
        <f>COUNTIF(Table1[loan_status],Table1[[#This Row],[loan_status]])</f>
        <v>139</v>
      </c>
      <c r="AC47" s="2">
        <f>COUNTIF(Table1[default_flag],1)/ROWS(Table1[loan_id])</f>
        <v>2.5999999999999999E-2</v>
      </c>
      <c r="AD47" s="2">
        <f>COUNTIFS(Table1[region],Table1[[#This Row],[region]],Table1[default_flag],1)/COUNTIF(Table1[region],Table1[[#This Row],[region]])</f>
        <v>4.2553191489361701E-2</v>
      </c>
      <c r="AE47" s="2">
        <f>COUNTIFS(Table1[channel],Table1[[#This Row],[channel]],Table1[prepayment_flag],1)/COUNTIF(Table1[channel],Table1[[#This Row],[channel]])</f>
        <v>5.8201058201058198E-2</v>
      </c>
      <c r="AF47" s="2">
        <f>AVERAGEIFS(Table1[interest_rate_pct],Table1[product],Table1[[#This Row],[product]],Table1[risk_band],Table1[[#This Row],[risk_band]])</f>
        <v>16.500166666666669</v>
      </c>
      <c r="AG47" s="2" t="str" cm="1">
        <f t="array" ref="AG47">_xlfn.IFS(Table1[[#This Row],[dti_ratio]] &lt; 0.2, " less than 0.2", Table1[[#This Row],[dti_ratio]] &lt; 0.3, "0.2 - 0.3", Table1[[#This Row],[dti_ratio]] &lt;= 0.5, "0.35 - 0.5", Table1[[#This Row],[dti_ratio]] &gt; 0.5, "greater than 0.5")</f>
        <v xml:space="preserve"> less than 0.2</v>
      </c>
      <c r="AH47" s="2">
        <f>COUNTIF(Table1[DTI band],Table1[[#This Row],[DTI band]])</f>
        <v>86</v>
      </c>
      <c r="AI47" s="2" t="str" cm="1">
        <f t="array" ref="AI47">_xlfn.IFS(Table1[[#This Row],[ltv_ratio]] &lt; 0.6, "less than 0.6 -less risky", Table1[[#This Row],[ltv_ratio]]  &lt;= 0.8, "0.6 - 0.8 -medium risky",Table1[[#This Row],[ltv_ratio]] &gt; 0.8, "greater than 0.8 -highly risky")</f>
        <v>0.6 - 0.8 -medium risky</v>
      </c>
      <c r="AJ47" s="2">
        <f>COUNTIF(Table1[LTV band],Table1[[#This Row],[LTV band]])</f>
        <v>302</v>
      </c>
      <c r="AK47" s="2">
        <f>COUNTIFS(Table1[count_loan_perband],Table1[[#This Row],[count_loan_perband]],Table1[default_flag],1)/COUNTIF(Table1[count_loan_perband],Table1[[#This Row],[count_loan_perband]])</f>
        <v>3.6423841059602648E-2</v>
      </c>
      <c r="AL47" s="2" t="str" cm="1">
        <f t="array" ref="AL47">_xlfn.IFS(Table1[[#This Row],[loan_amount]] &lt; 900000, "lower size (&lt; 9L)", Table1[[#This Row],[loan_amount]] &lt;=3300000, "medium size (&lt;=33L)", Table1[[#This Row],[loan_amount]] &gt; 3300000, "larger size (&gt; 33L)")</f>
        <v>lower size (&lt; 9L)</v>
      </c>
      <c r="AM47" s="2">
        <f>IF(Table1[[#This Row],[dpd]] &gt;=30,1,0)</f>
        <v>0</v>
      </c>
      <c r="AN47" s="2">
        <f>COUNTIFS(Table1[Loan size],Table1[[#This Row],[Loan size]],Table1[dpd flag],1)/COUNTIF(Table1[Loan size],Table1[[#This Row],[Loan size]])</f>
        <v>0.13934426229508196</v>
      </c>
      <c r="AO47" s="2" t="str">
        <f>IF(OR(Table1[[#This Row],[credit_score]] &lt; 600, Table1[ [#This Row],[dti_ratio] ] &gt; 0.5, Table1[[#This Row],[dpd]] &gt;=30), "high risk", " not riskY")</f>
        <v xml:space="preserve"> not riskY</v>
      </c>
      <c r="AP47" s="26">
        <f>EOMONTH(Table1[[#This Row],[origination_date]],0)</f>
        <v>44592</v>
      </c>
      <c r="AQ47" s="2">
        <f>SUMIFS(Table1[loan_amount],Table1[origination month],Table1[[#This Row],[origination month]])</f>
        <v>19161700</v>
      </c>
      <c r="AR47" s="2">
        <f>AVERAGEIFS(Table1[months_on_book],Table1[product],Table1[[#This Row],[product]])</f>
        <v>21.092024539877301</v>
      </c>
      <c r="AS47" s="2" t="str">
        <f ca="1">IF(EDATE(Table1[[#This Row],[origination_date]],6) &gt;= TODAY(), "New Loan", "Old Loan")</f>
        <v>Old Loan</v>
      </c>
      <c r="AT47" s="2" t="str">
        <f>"Q"&amp;ROUNDUP(MONTH(Table1[[#This Row],[origination_date]])/3,0)&amp;YEAR(Table1[[#This Row],[origination_date]])</f>
        <v>Q12022</v>
      </c>
      <c r="AU47" s="2">
        <f>SUMIFS(Table1[loan_amount],Table1[quarter],Table1[[#This Row],[quarter]])</f>
        <v>65393800</v>
      </c>
      <c r="AV47" s="34" t="str">
        <f>_xlfn.TEXTJOIN("|",TRUE,Table1[[#This Row],[loan_id]:[loan_status]])</f>
        <v>L94093523|C4340408|44564|Personal Loan|Branch|West|Self-Employed|12|518000|13.81|46463|1378964|744|B|0.16|0.75|0|12|481837|64777|0|0|0|Closed</v>
      </c>
      <c r="AW47" s="42">
        <f>YEAR(Loan_Table[ [#This Row],[origination_date] ])</f>
        <v>2023</v>
      </c>
      <c r="AY47" s="31" t="s">
        <v>1204</v>
      </c>
      <c r="AZ47" s="31" t="s">
        <v>1205</v>
      </c>
      <c r="BA47" s="31" t="s">
        <v>1206</v>
      </c>
    </row>
    <row r="48" spans="2:55" ht="18" customHeight="1">
      <c r="B48" s="5" t="s">
        <v>216</v>
      </c>
      <c r="C48" s="2" t="s">
        <v>217</v>
      </c>
      <c r="D48" s="3">
        <v>44635</v>
      </c>
      <c r="E48" s="2" t="s">
        <v>158</v>
      </c>
      <c r="F48" s="2" t="s">
        <v>144</v>
      </c>
      <c r="G48" s="2" t="s">
        <v>139</v>
      </c>
      <c r="H48" s="2" t="s">
        <v>134</v>
      </c>
      <c r="I48" s="2">
        <v>60</v>
      </c>
      <c r="J48" s="2">
        <v>3043400</v>
      </c>
      <c r="K48" s="2">
        <v>18.350000000000001</v>
      </c>
      <c r="L48" s="2">
        <v>77863</v>
      </c>
      <c r="M48" s="2">
        <v>1242594</v>
      </c>
      <c r="N48" s="2">
        <v>631</v>
      </c>
      <c r="O48" s="2" t="s">
        <v>147</v>
      </c>
      <c r="P48" s="2">
        <v>0.16</v>
      </c>
      <c r="Q48" s="2">
        <v>0.75</v>
      </c>
      <c r="R48" s="2">
        <v>4065600</v>
      </c>
      <c r="S48" s="2">
        <v>45</v>
      </c>
      <c r="T48" s="2">
        <v>3024070</v>
      </c>
      <c r="U48" s="2">
        <v>857026</v>
      </c>
      <c r="V48" s="2">
        <v>0</v>
      </c>
      <c r="W48" s="2">
        <v>0</v>
      </c>
      <c r="X48" s="2">
        <v>0</v>
      </c>
      <c r="Y48" s="2" t="s">
        <v>148</v>
      </c>
      <c r="Z48" s="12">
        <f>SUMIF(Table1[product],Table1[[#This Row],[product]],Table1[loan_amount])</f>
        <v>201475100</v>
      </c>
      <c r="AA48" s="15">
        <f>SUMIF(Table1[region],Table1[[#This Row],[region]],Table1[current_balance])</f>
        <v>83903255</v>
      </c>
      <c r="AB48" s="2">
        <f>COUNTIF(Table1[loan_status],Table1[[#This Row],[loan_status]])</f>
        <v>301</v>
      </c>
      <c r="AC48" s="2">
        <f>COUNTIF(Table1[default_flag],1)/ROWS(Table1[loan_id])</f>
        <v>2.5999999999999999E-2</v>
      </c>
      <c r="AD48" s="2">
        <f>COUNTIFS(Table1[region],Table1[[#This Row],[region]],Table1[default_flag],1)/COUNTIF(Table1[region],Table1[[#This Row],[region]])</f>
        <v>4.2553191489361701E-2</v>
      </c>
      <c r="AE48" s="2">
        <f>COUNTIFS(Table1[channel],Table1[[#This Row],[channel]],Table1[prepayment_flag],1)/COUNTIF(Table1[channel],Table1[[#This Row],[channel]])</f>
        <v>5.8201058201058198E-2</v>
      </c>
      <c r="AF48" s="2">
        <f>AVERAGEIFS(Table1[interest_rate_pct],Table1[product],Table1[[#This Row],[product]],Table1[risk_band],Table1[[#This Row],[risk_band]])</f>
        <v>18.241249999999997</v>
      </c>
      <c r="AG48" s="2" t="str" cm="1">
        <f t="array" ref="AG48">_xlfn.IFS(Table1[[#This Row],[dti_ratio]] &lt; 0.2, " less than 0.2", Table1[[#This Row],[dti_ratio]] &lt; 0.3, "0.2 - 0.3", Table1[[#This Row],[dti_ratio]] &lt;= 0.5, "0.35 - 0.5", Table1[[#This Row],[dti_ratio]] &gt; 0.5, "greater than 0.5")</f>
        <v xml:space="preserve"> less than 0.2</v>
      </c>
      <c r="AH48" s="2">
        <f>COUNTIF(Table1[DTI band],Table1[[#This Row],[DTI band]])</f>
        <v>86</v>
      </c>
      <c r="AI48" s="2" t="str" cm="1">
        <f t="array" ref="AI48">_xlfn.IFS(Table1[[#This Row],[ltv_ratio]] &lt; 0.6, "less than 0.6 -less risky", Table1[[#This Row],[ltv_ratio]]  &lt;= 0.8, "0.6 - 0.8 -medium risky",Table1[[#This Row],[ltv_ratio]] &gt; 0.8, "greater than 0.8 -highly risky")</f>
        <v>0.6 - 0.8 -medium risky</v>
      </c>
      <c r="AJ48" s="2">
        <f>COUNTIF(Table1[LTV band],Table1[[#This Row],[LTV band]])</f>
        <v>302</v>
      </c>
      <c r="AK48" s="2">
        <f>COUNTIFS(Table1[count_loan_perband],Table1[[#This Row],[count_loan_perband]],Table1[default_flag],1)/COUNTIF(Table1[count_loan_perband],Table1[[#This Row],[count_loan_perband]])</f>
        <v>3.6423841059602648E-2</v>
      </c>
      <c r="AL48" s="2" t="str" cm="1">
        <f t="array" ref="AL48">_xlfn.IFS(Table1[[#This Row],[loan_amount]] &lt; 900000, "lower size (&lt; 9L)", Table1[[#This Row],[loan_amount]] &lt;=3300000, "medium size (&lt;=33L)", Table1[[#This Row],[loan_amount]] &gt; 3300000, "larger size (&gt; 33L)")</f>
        <v>medium size (&lt;=33L)</v>
      </c>
      <c r="AM48" s="2">
        <f>IF(Table1[[#This Row],[dpd]] &gt;=30,1,0)</f>
        <v>0</v>
      </c>
      <c r="AN48" s="2">
        <f>COUNTIFS(Table1[Loan size],Table1[[#This Row],[Loan size]],Table1[dpd flag],1)/COUNTIF(Table1[Loan size],Table1[[#This Row],[Loan size]])</f>
        <v>0.15909090909090909</v>
      </c>
      <c r="AO48" s="2" t="str">
        <f>IF(OR(Table1[[#This Row],[credit_score]] &lt; 600, Table1[ [#This Row],[dti_ratio] ] &gt; 0.5, Table1[[#This Row],[dpd]] &gt;=30), "high risk", " not riskY")</f>
        <v xml:space="preserve"> not riskY</v>
      </c>
      <c r="AP48" s="26">
        <f>EOMONTH(Table1[[#This Row],[origination_date]],0)</f>
        <v>44651</v>
      </c>
      <c r="AQ48" s="2">
        <f>SUMIFS(Table1[loan_amount],Table1[origination month],Table1[[#This Row],[origination month]])</f>
        <v>25656500</v>
      </c>
      <c r="AR48" s="2">
        <f>AVERAGEIFS(Table1[months_on_book],Table1[product],Table1[[#This Row],[product]])</f>
        <v>19.091954022988507</v>
      </c>
      <c r="AS48" s="2" t="str">
        <f ca="1">IF(EDATE(Table1[[#This Row],[origination_date]],6) &gt;= TODAY(), "New Loan", "Old Loan")</f>
        <v>Old Loan</v>
      </c>
      <c r="AT48" s="2" t="str">
        <f>"Q"&amp;ROUNDUP(MONTH(Table1[[#This Row],[origination_date]])/3,0)&amp;YEAR(Table1[[#This Row],[origination_date]])</f>
        <v>Q12022</v>
      </c>
      <c r="AU48" s="2">
        <f>SUMIFS(Table1[loan_amount],Table1[quarter],Table1[[#This Row],[quarter]])</f>
        <v>65393800</v>
      </c>
      <c r="AV48" s="34" t="str">
        <f>_xlfn.TEXTJOIN("|",TRUE,Table1[[#This Row],[loan_id]:[loan_status]])</f>
        <v>L54924829|C6532282|44635|SME Loan|Branch|West|Salaried|60|3043400|18.35|77863|1242594|631|D|0.16|0.75|4065600|45|3024070|857026|0|0|0|Active</v>
      </c>
      <c r="AW48" s="42">
        <f>YEAR(Loan_Table[ [#This Row],[origination_date] ])</f>
        <v>2023</v>
      </c>
      <c r="AY48" s="2" t="s">
        <v>1207</v>
      </c>
      <c r="AZ48" s="2" t="s">
        <v>1208</v>
      </c>
      <c r="BA48" s="2" cm="1">
        <f t="array" ref="BA48">SUM(--(COUNTIF(Loan_Table[loan_id],Loan_Table[loan_id])&gt;1))</f>
        <v>0</v>
      </c>
    </row>
    <row r="49" spans="2:64" ht="18" customHeight="1">
      <c r="B49" s="5" t="s">
        <v>218</v>
      </c>
      <c r="C49" s="2" t="s">
        <v>219</v>
      </c>
      <c r="D49" s="3">
        <v>44621</v>
      </c>
      <c r="E49" s="2" t="s">
        <v>131</v>
      </c>
      <c r="F49" s="2" t="s">
        <v>213</v>
      </c>
      <c r="G49" s="2" t="s">
        <v>139</v>
      </c>
      <c r="H49" s="2" t="s">
        <v>134</v>
      </c>
      <c r="I49" s="2">
        <v>24</v>
      </c>
      <c r="J49" s="2">
        <v>380900</v>
      </c>
      <c r="K49" s="2">
        <v>16.850000000000001</v>
      </c>
      <c r="L49" s="2">
        <v>18805</v>
      </c>
      <c r="M49" s="2">
        <v>845886</v>
      </c>
      <c r="N49" s="2">
        <v>710</v>
      </c>
      <c r="O49" s="2" t="s">
        <v>135</v>
      </c>
      <c r="P49" s="2">
        <v>0.16</v>
      </c>
      <c r="Q49" s="2">
        <v>0.81</v>
      </c>
      <c r="R49" s="2">
        <v>0</v>
      </c>
      <c r="S49" s="2">
        <v>24</v>
      </c>
      <c r="T49" s="2">
        <v>407954</v>
      </c>
      <c r="U49" s="2">
        <v>24291</v>
      </c>
      <c r="V49" s="2">
        <v>10</v>
      </c>
      <c r="W49" s="2">
        <v>0</v>
      </c>
      <c r="X49" s="2">
        <v>0</v>
      </c>
      <c r="Y49" s="2" t="s">
        <v>141</v>
      </c>
      <c r="Z49" s="12">
        <f>SUMIF(Table1[product],Table1[[#This Row],[product]],Table1[loan_amount])</f>
        <v>74897600</v>
      </c>
      <c r="AA49" s="15">
        <f>SUMIF(Table1[region],Table1[[#This Row],[region]],Table1[current_balance])</f>
        <v>83903255</v>
      </c>
      <c r="AB49" s="2">
        <f>COUNTIF(Table1[loan_status],Table1[[#This Row],[loan_status]])</f>
        <v>139</v>
      </c>
      <c r="AC49" s="2">
        <f>COUNTIF(Table1[default_flag],1)/ROWS(Table1[loan_id])</f>
        <v>2.5999999999999999E-2</v>
      </c>
      <c r="AD49" s="2">
        <f>COUNTIFS(Table1[region],Table1[[#This Row],[region]],Table1[default_flag],1)/COUNTIF(Table1[region],Table1[[#This Row],[region]])</f>
        <v>4.2553191489361701E-2</v>
      </c>
      <c r="AE49" s="2">
        <f>COUNTIFS(Table1[channel],Table1[[#This Row],[channel]],Table1[prepayment_flag],1)/COUNTIF(Table1[channel],Table1[[#This Row],[channel]])</f>
        <v>0.12</v>
      </c>
      <c r="AF49" s="2">
        <f>AVERAGEIFS(Table1[interest_rate_pct],Table1[product],Table1[[#This Row],[product]],Table1[risk_band],Table1[[#This Row],[risk_band]])</f>
        <v>16.500166666666669</v>
      </c>
      <c r="AG49" s="2" t="str" cm="1">
        <f t="array" ref="AG49">_xlfn.IFS(Table1[[#This Row],[dti_ratio]] &lt; 0.2, " less than 0.2", Table1[[#This Row],[dti_ratio]] &lt; 0.3, "0.2 - 0.3", Table1[[#This Row],[dti_ratio]] &lt;= 0.5, "0.35 - 0.5", Table1[[#This Row],[dti_ratio]] &gt; 0.5, "greater than 0.5")</f>
        <v xml:space="preserve"> less than 0.2</v>
      </c>
      <c r="AH49" s="2">
        <f>COUNTIF(Table1[DTI band],Table1[[#This Row],[DTI band]])</f>
        <v>86</v>
      </c>
      <c r="AI49" s="2" t="str" cm="1">
        <f t="array" ref="AI49">_xlfn.IFS(Table1[[#This Row],[ltv_ratio]] &lt; 0.6, "less than 0.6 -less risky", Table1[[#This Row],[ltv_ratio]]  &lt;= 0.8, "0.6 - 0.8 -medium risky",Table1[[#This Row],[ltv_ratio]] &gt; 0.8, "greater than 0.8 -highly risky")</f>
        <v>greater than 0.8 -highly risky</v>
      </c>
      <c r="AJ49" s="2">
        <f>COUNTIF(Table1[LTV band],Table1[[#This Row],[LTV band]])</f>
        <v>141</v>
      </c>
      <c r="AK49" s="2">
        <f>COUNTIFS(Table1[count_loan_perband],Table1[[#This Row],[count_loan_perband]],Table1[default_flag],1)/COUNTIF(Table1[count_loan_perband],Table1[[#This Row],[count_loan_perband]])</f>
        <v>1.4184397163120567E-2</v>
      </c>
      <c r="AL49" s="2" t="str" cm="1">
        <f t="array" ref="AL49">_xlfn.IFS(Table1[[#This Row],[loan_amount]] &lt; 900000, "lower size (&lt; 9L)", Table1[[#This Row],[loan_amount]] &lt;=3300000, "medium size (&lt;=33L)", Table1[[#This Row],[loan_amount]] &gt; 3300000, "larger size (&gt; 33L)")</f>
        <v>lower size (&lt; 9L)</v>
      </c>
      <c r="AM49" s="2">
        <f>IF(Table1[[#This Row],[dpd]] &gt;=30,1,0)</f>
        <v>0</v>
      </c>
      <c r="AN49" s="2">
        <f>COUNTIFS(Table1[Loan size],Table1[[#This Row],[Loan size]],Table1[dpd flag],1)/COUNTIF(Table1[Loan size],Table1[[#This Row],[Loan size]])</f>
        <v>0.13934426229508196</v>
      </c>
      <c r="AO49" s="2" t="str">
        <f>IF(OR(Table1[[#This Row],[credit_score]] &lt; 600, Table1[ [#This Row],[dti_ratio] ] &gt; 0.5, Table1[[#This Row],[dpd]] &gt;=30), "high risk", " not riskY")</f>
        <v xml:space="preserve"> not riskY</v>
      </c>
      <c r="AP49" s="26">
        <f>EOMONTH(Table1[[#This Row],[origination_date]],0)</f>
        <v>44651</v>
      </c>
      <c r="AQ49" s="2">
        <f>SUMIFS(Table1[loan_amount],Table1[origination month],Table1[[#This Row],[origination month]])</f>
        <v>25656500</v>
      </c>
      <c r="AR49" s="2">
        <f>AVERAGEIFS(Table1[months_on_book],Table1[product],Table1[[#This Row],[product]])</f>
        <v>21.092024539877301</v>
      </c>
      <c r="AS49" s="2" t="str">
        <f ca="1">IF(EDATE(Table1[[#This Row],[origination_date]],6) &gt;= TODAY(), "New Loan", "Old Loan")</f>
        <v>Old Loan</v>
      </c>
      <c r="AT49" s="2" t="str">
        <f>"Q"&amp;ROUNDUP(MONTH(Table1[[#This Row],[origination_date]])/3,0)&amp;YEAR(Table1[[#This Row],[origination_date]])</f>
        <v>Q12022</v>
      </c>
      <c r="AU49" s="2">
        <f>SUMIFS(Table1[loan_amount],Table1[quarter],Table1[[#This Row],[quarter]])</f>
        <v>65393800</v>
      </c>
      <c r="AV49" s="34" t="str">
        <f>_xlfn.TEXTJOIN("|",TRUE,Table1[[#This Row],[loan_id]:[loan_status]])</f>
        <v>L74572954|C5278789|44621|Personal Loan|Call Center|West|Salaried|24|380900|16.85|18805|845886|710|B|0.16|0.81|0|24|407954|24291|10|0|0|Closed</v>
      </c>
      <c r="AW49" s="42">
        <f>YEAR(Loan_Table[ [#This Row],[origination_date] ])</f>
        <v>2023</v>
      </c>
      <c r="AY49" s="2" t="s">
        <v>1209</v>
      </c>
      <c r="AZ49" s="2" t="s">
        <v>1210</v>
      </c>
      <c r="BA49" s="2" cm="1">
        <f t="array" ref="BA49">SUM(--(COUNTIFS(Loan_Table[customer_id],Loan_Table[customer_id],Loan_Table[origination_date],Loan_Table[origination_date])&gt;1))</f>
        <v>0</v>
      </c>
    </row>
    <row r="50" spans="2:64" ht="18" customHeight="1">
      <c r="B50" s="5" t="s">
        <v>220</v>
      </c>
      <c r="C50" s="2" t="s">
        <v>221</v>
      </c>
      <c r="D50" s="3">
        <v>44648</v>
      </c>
      <c r="E50" s="2" t="s">
        <v>177</v>
      </c>
      <c r="F50" s="2" t="s">
        <v>144</v>
      </c>
      <c r="G50" s="2" t="s">
        <v>145</v>
      </c>
      <c r="H50" s="2" t="s">
        <v>192</v>
      </c>
      <c r="I50" s="2">
        <v>240</v>
      </c>
      <c r="J50" s="2">
        <v>710700</v>
      </c>
      <c r="K50" s="2">
        <v>14</v>
      </c>
      <c r="L50" s="2">
        <v>8838</v>
      </c>
      <c r="M50" s="2">
        <v>1285130</v>
      </c>
      <c r="N50" s="2">
        <v>652</v>
      </c>
      <c r="O50" s="2" t="s">
        <v>140</v>
      </c>
      <c r="P50" s="2">
        <v>0.14000000000000001</v>
      </c>
      <c r="Q50" s="2">
        <v>0.75</v>
      </c>
      <c r="R50" s="2">
        <v>0</v>
      </c>
      <c r="S50" s="2">
        <v>45</v>
      </c>
      <c r="T50" s="2">
        <v>364986</v>
      </c>
      <c r="U50" s="2">
        <v>494961</v>
      </c>
      <c r="V50" s="2">
        <v>0</v>
      </c>
      <c r="W50" s="2">
        <v>0</v>
      </c>
      <c r="X50" s="2">
        <v>0</v>
      </c>
      <c r="Y50" s="2" t="s">
        <v>148</v>
      </c>
      <c r="Z50" s="12">
        <f>SUMIF(Table1[product],Table1[[#This Row],[product]],Table1[loan_amount])</f>
        <v>62765800</v>
      </c>
      <c r="AA50" s="15">
        <f>SUMIF(Table1[region],Table1[[#This Row],[region]],Table1[current_balance])</f>
        <v>98928695</v>
      </c>
      <c r="AB50" s="2">
        <f>COUNTIF(Table1[loan_status],Table1[[#This Row],[loan_status]])</f>
        <v>301</v>
      </c>
      <c r="AC50" s="2">
        <f>COUNTIF(Table1[default_flag],1)/ROWS(Table1[loan_id])</f>
        <v>2.5999999999999999E-2</v>
      </c>
      <c r="AD50" s="2">
        <f>COUNTIFS(Table1[region],Table1[[#This Row],[region]],Table1[default_flag],1)/COUNTIF(Table1[region],Table1[[#This Row],[region]])</f>
        <v>2.8571428571428571E-2</v>
      </c>
      <c r="AE50" s="2">
        <f>COUNTIFS(Table1[channel],Table1[[#This Row],[channel]],Table1[prepayment_flag],1)/COUNTIF(Table1[channel],Table1[[#This Row],[channel]])</f>
        <v>5.8201058201058198E-2</v>
      </c>
      <c r="AF50" s="2">
        <f>AVERAGEIFS(Table1[interest_rate_pct],Table1[product],Table1[[#This Row],[product]],Table1[risk_band],Table1[[#This Row],[risk_band]])</f>
        <v>13.463888888888889</v>
      </c>
      <c r="AG50" s="2" t="str" cm="1">
        <f t="array" ref="AG50">_xlfn.IFS(Table1[[#This Row],[dti_ratio]] &lt; 0.2, " less than 0.2", Table1[[#This Row],[dti_ratio]] &lt; 0.3, "0.2 - 0.3", Table1[[#This Row],[dti_ratio]] &lt;= 0.5, "0.35 - 0.5", Table1[[#This Row],[dti_ratio]] &gt; 0.5, "greater than 0.5")</f>
        <v xml:space="preserve"> less than 0.2</v>
      </c>
      <c r="AH50" s="2">
        <f>COUNTIF(Table1[DTI band],Table1[[#This Row],[DTI band]])</f>
        <v>86</v>
      </c>
      <c r="AI50" s="2" t="str" cm="1">
        <f t="array" ref="AI50">_xlfn.IFS(Table1[[#This Row],[ltv_ratio]] &lt; 0.6, "less than 0.6 -less risky", Table1[[#This Row],[ltv_ratio]]  &lt;= 0.8, "0.6 - 0.8 -medium risky",Table1[[#This Row],[ltv_ratio]] &gt; 0.8, "greater than 0.8 -highly risky")</f>
        <v>0.6 - 0.8 -medium risky</v>
      </c>
      <c r="AJ50" s="2">
        <f>COUNTIF(Table1[LTV band],Table1[[#This Row],[LTV band]])</f>
        <v>302</v>
      </c>
      <c r="AK50" s="2">
        <f>COUNTIFS(Table1[count_loan_perband],Table1[[#This Row],[count_loan_perband]],Table1[default_flag],1)/COUNTIF(Table1[count_loan_perband],Table1[[#This Row],[count_loan_perband]])</f>
        <v>3.6423841059602648E-2</v>
      </c>
      <c r="AL50" s="2" t="str" cm="1">
        <f t="array" ref="AL50">_xlfn.IFS(Table1[[#This Row],[loan_amount]] &lt; 900000, "lower size (&lt; 9L)", Table1[[#This Row],[loan_amount]] &lt;=3300000, "medium size (&lt;=33L)", Table1[[#This Row],[loan_amount]] &gt; 3300000, "larger size (&gt; 33L)")</f>
        <v>lower size (&lt; 9L)</v>
      </c>
      <c r="AM50" s="2">
        <f>IF(Table1[[#This Row],[dpd]] &gt;=30,1,0)</f>
        <v>0</v>
      </c>
      <c r="AN50" s="2">
        <f>COUNTIFS(Table1[Loan size],Table1[[#This Row],[Loan size]],Table1[dpd flag],1)/COUNTIF(Table1[Loan size],Table1[[#This Row],[Loan size]])</f>
        <v>0.13934426229508196</v>
      </c>
      <c r="AO50" s="2" t="str">
        <f>IF(OR(Table1[[#This Row],[credit_score]] &lt; 600, Table1[ [#This Row],[dti_ratio] ] &gt; 0.5, Table1[[#This Row],[dpd]] &gt;=30), "high risk", " not riskY")</f>
        <v xml:space="preserve"> not riskY</v>
      </c>
      <c r="AP50" s="26">
        <f>EOMONTH(Table1[[#This Row],[origination_date]],0)</f>
        <v>44651</v>
      </c>
      <c r="AQ50" s="2">
        <f>SUMIFS(Table1[loan_amount],Table1[origination month],Table1[[#This Row],[origination month]])</f>
        <v>25656500</v>
      </c>
      <c r="AR50" s="2">
        <f>AVERAGEIFS(Table1[months_on_book],Table1[product],Table1[[#This Row],[product]])</f>
        <v>21.962962962962962</v>
      </c>
      <c r="AS50" s="2" t="str">
        <f ca="1">IF(EDATE(Table1[[#This Row],[origination_date]],6) &gt;= TODAY(), "New Loan", "Old Loan")</f>
        <v>Old Loan</v>
      </c>
      <c r="AT50" s="2" t="str">
        <f>"Q"&amp;ROUNDUP(MONTH(Table1[[#This Row],[origination_date]])/3,0)&amp;YEAR(Table1[[#This Row],[origination_date]])</f>
        <v>Q12022</v>
      </c>
      <c r="AU50" s="2">
        <f>SUMIFS(Table1[loan_amount],Table1[quarter],Table1[[#This Row],[quarter]])</f>
        <v>65393800</v>
      </c>
      <c r="AV50" s="34" t="str">
        <f>_xlfn.TEXTJOIN("|",TRUE,Table1[[#This Row],[loan_id]:[loan_status]])</f>
        <v>L24814703|C9820420|44648|Education Loan|Branch|Central|Unemployed|240|710700|14|8838|1285130|652|C|0.14|0.75|0|45|364986|494961|0|0|0|Active</v>
      </c>
      <c r="AW50" s="42">
        <f>YEAR(Loan_Table[ [#This Row],[origination_date] ])</f>
        <v>2023</v>
      </c>
      <c r="AY50" s="2" t="s">
        <v>1211</v>
      </c>
      <c r="AZ50" s="2" t="s">
        <v>1212</v>
      </c>
      <c r="BA50" s="2">
        <f>ROWS(Table1[fullrowconcat])-COUNTA(_xlfn.UNIQUE(Table1[fullrowconcat]))</f>
        <v>0</v>
      </c>
    </row>
    <row r="51" spans="2:64" ht="18" customHeight="1">
      <c r="B51" s="5" t="s">
        <v>222</v>
      </c>
      <c r="C51" s="2" t="s">
        <v>223</v>
      </c>
      <c r="D51" s="3">
        <v>44620</v>
      </c>
      <c r="E51" s="2" t="s">
        <v>169</v>
      </c>
      <c r="F51" s="2" t="s">
        <v>132</v>
      </c>
      <c r="G51" s="2" t="s">
        <v>151</v>
      </c>
      <c r="H51" s="2" t="s">
        <v>134</v>
      </c>
      <c r="I51" s="2">
        <v>120</v>
      </c>
      <c r="J51" s="2">
        <v>3471600</v>
      </c>
      <c r="K51" s="2">
        <v>8.76</v>
      </c>
      <c r="L51" s="2">
        <v>43527</v>
      </c>
      <c r="M51" s="2">
        <v>476360</v>
      </c>
      <c r="N51" s="2">
        <v>729</v>
      </c>
      <c r="O51" s="2" t="s">
        <v>135</v>
      </c>
      <c r="P51" s="2">
        <v>0.13</v>
      </c>
      <c r="Q51" s="2">
        <v>0.77</v>
      </c>
      <c r="R51" s="2">
        <v>4493800</v>
      </c>
      <c r="S51" s="2">
        <v>46</v>
      </c>
      <c r="T51" s="2">
        <v>1911330</v>
      </c>
      <c r="U51" s="2">
        <v>2026575</v>
      </c>
      <c r="V51" s="2">
        <v>0</v>
      </c>
      <c r="W51" s="2">
        <v>0</v>
      </c>
      <c r="X51" s="2">
        <v>0</v>
      </c>
      <c r="Y51" s="2" t="s">
        <v>148</v>
      </c>
      <c r="Z51" s="12">
        <f>SUMIF(Table1[product],Table1[[#This Row],[product]],Table1[loan_amount])</f>
        <v>403369500</v>
      </c>
      <c r="AA51" s="15">
        <f>SUMIF(Table1[region],Table1[[#This Row],[region]],Table1[current_balance])</f>
        <v>105779369</v>
      </c>
      <c r="AB51" s="2">
        <f>COUNTIF(Table1[loan_status],Table1[[#This Row],[loan_status]])</f>
        <v>301</v>
      </c>
      <c r="AC51" s="2">
        <f>COUNTIF(Table1[default_flag],1)/ROWS(Table1[loan_id])</f>
        <v>2.5999999999999999E-2</v>
      </c>
      <c r="AD51" s="2">
        <f>COUNTIFS(Table1[region],Table1[[#This Row],[region]],Table1[default_flag],1)/COUNTIF(Table1[region],Table1[[#This Row],[region]])</f>
        <v>2.6548672566371681E-2</v>
      </c>
      <c r="AE51" s="2">
        <f>COUNTIFS(Table1[channel],Table1[[#This Row],[channel]],Table1[prepayment_flag],1)/COUNTIF(Table1[channel],Table1[[#This Row],[channel]])</f>
        <v>7.1090047393364927E-2</v>
      </c>
      <c r="AF51" s="2">
        <f>AVERAGEIFS(Table1[interest_rate_pct],Table1[product],Table1[[#This Row],[product]],Table1[risk_band],Table1[[#This Row],[risk_band]])</f>
        <v>8.8557142857142868</v>
      </c>
      <c r="AG51" s="2" t="str" cm="1">
        <f t="array" ref="AG51">_xlfn.IFS(Table1[[#This Row],[dti_ratio]] &lt; 0.2, " less than 0.2", Table1[[#This Row],[dti_ratio]] &lt; 0.3, "0.2 - 0.3", Table1[[#This Row],[dti_ratio]] &lt;= 0.5, "0.35 - 0.5", Table1[[#This Row],[dti_ratio]] &gt; 0.5, "greater than 0.5")</f>
        <v xml:space="preserve"> less than 0.2</v>
      </c>
      <c r="AH51" s="2">
        <f>COUNTIF(Table1[DTI band],Table1[[#This Row],[DTI band]])</f>
        <v>86</v>
      </c>
      <c r="AI51" s="2" t="str" cm="1">
        <f t="array" ref="AI51">_xlfn.IFS(Table1[[#This Row],[ltv_ratio]] &lt; 0.6, "less than 0.6 -less risky", Table1[[#This Row],[ltv_ratio]]  &lt;= 0.8, "0.6 - 0.8 -medium risky",Table1[[#This Row],[ltv_ratio]] &gt; 0.8, "greater than 0.8 -highly risky")</f>
        <v>0.6 - 0.8 -medium risky</v>
      </c>
      <c r="AJ51" s="2">
        <f>COUNTIF(Table1[LTV band],Table1[[#This Row],[LTV band]])</f>
        <v>302</v>
      </c>
      <c r="AK51" s="2">
        <f>COUNTIFS(Table1[count_loan_perband],Table1[[#This Row],[count_loan_perband]],Table1[default_flag],1)/COUNTIF(Table1[count_loan_perband],Table1[[#This Row],[count_loan_perband]])</f>
        <v>3.6423841059602648E-2</v>
      </c>
      <c r="AL51" s="2" t="str" cm="1">
        <f t="array" ref="AL51">_xlfn.IFS(Table1[[#This Row],[loan_amount]] &lt; 900000, "lower size (&lt; 9L)", Table1[[#This Row],[loan_amount]] &lt;=3300000, "medium size (&lt;=33L)", Table1[[#This Row],[loan_amount]] &gt; 3300000, "larger size (&gt; 33L)")</f>
        <v>larger size (&gt; 33L)</v>
      </c>
      <c r="AM51" s="2">
        <f>IF(Table1[[#This Row],[dpd]] &gt;=30,1,0)</f>
        <v>0</v>
      </c>
      <c r="AN51" s="2">
        <f>COUNTIFS(Table1[Loan size],Table1[[#This Row],[Loan size]],Table1[dpd flag],1)/COUNTIF(Table1[Loan size],Table1[[#This Row],[Loan size]])</f>
        <v>0.16250000000000001</v>
      </c>
      <c r="AO51" s="2" t="str">
        <f>IF(OR(Table1[[#This Row],[credit_score]] &lt; 600, Table1[ [#This Row],[dti_ratio] ] &gt; 0.5, Table1[[#This Row],[dpd]] &gt;=30), "high risk", " not riskY")</f>
        <v xml:space="preserve"> not riskY</v>
      </c>
      <c r="AP51" s="26">
        <f>EOMONTH(Table1[[#This Row],[origination_date]],0)</f>
        <v>44620</v>
      </c>
      <c r="AQ51" s="2">
        <f>SUMIFS(Table1[loan_amount],Table1[origination month],Table1[[#This Row],[origination month]])</f>
        <v>20575600</v>
      </c>
      <c r="AR51" s="2">
        <f>AVERAGEIFS(Table1[months_on_book],Table1[product],Table1[[#This Row],[product]])</f>
        <v>20.516129032258064</v>
      </c>
      <c r="AS51" s="2" t="str">
        <f ca="1">IF(EDATE(Table1[[#This Row],[origination_date]],6) &gt;= TODAY(), "New Loan", "Old Loan")</f>
        <v>Old Loan</v>
      </c>
      <c r="AT51" s="2" t="str">
        <f>"Q"&amp;ROUNDUP(MONTH(Table1[[#This Row],[origination_date]])/3,0)&amp;YEAR(Table1[[#This Row],[origination_date]])</f>
        <v>Q12022</v>
      </c>
      <c r="AU51" s="2">
        <f>SUMIFS(Table1[loan_amount],Table1[quarter],Table1[[#This Row],[quarter]])</f>
        <v>65393800</v>
      </c>
      <c r="AV51" s="34" t="str">
        <f>_xlfn.TEXTJOIN("|",TRUE,Table1[[#This Row],[loan_id]:[loan_status]])</f>
        <v>L93232758|C3742341|44620|Home Loan|Online|North|Salaried|120|3471600|8.76|43527|476360|729|B|0.13|0.77|4493800|46|1911330|2026575|0|0|0|Active</v>
      </c>
      <c r="AW51" s="42">
        <f>YEAR(Loan_Table[ [#This Row],[origination_date] ])</f>
        <v>2023</v>
      </c>
    </row>
    <row r="52" spans="2:64" ht="18" customHeight="1">
      <c r="B52" s="5" t="s">
        <v>224</v>
      </c>
      <c r="C52" s="2" t="s">
        <v>225</v>
      </c>
      <c r="D52" s="3">
        <v>44629</v>
      </c>
      <c r="E52" s="2" t="s">
        <v>177</v>
      </c>
      <c r="F52" s="2" t="s">
        <v>213</v>
      </c>
      <c r="G52" s="2" t="s">
        <v>145</v>
      </c>
      <c r="H52" s="2" t="s">
        <v>146</v>
      </c>
      <c r="I52" s="2">
        <v>120</v>
      </c>
      <c r="J52" s="2">
        <v>1117400</v>
      </c>
      <c r="K52" s="2">
        <v>9.08</v>
      </c>
      <c r="L52" s="2">
        <v>14203</v>
      </c>
      <c r="M52" s="2">
        <v>1299906</v>
      </c>
      <c r="N52" s="2">
        <v>736</v>
      </c>
      <c r="O52" s="2" t="s">
        <v>135</v>
      </c>
      <c r="P52" s="2">
        <v>0.13</v>
      </c>
      <c r="Q52" s="2">
        <v>0.67</v>
      </c>
      <c r="R52" s="2">
        <v>0</v>
      </c>
      <c r="S52" s="2">
        <v>45</v>
      </c>
      <c r="T52" s="2">
        <v>572009</v>
      </c>
      <c r="U52" s="2">
        <v>697581</v>
      </c>
      <c r="V52" s="2">
        <v>30</v>
      </c>
      <c r="W52" s="2">
        <v>0</v>
      </c>
      <c r="X52" s="2">
        <v>0</v>
      </c>
      <c r="Y52" s="2" t="s">
        <v>136</v>
      </c>
      <c r="Z52" s="12">
        <f>SUMIF(Table1[product],Table1[[#This Row],[product]],Table1[loan_amount])</f>
        <v>62765800</v>
      </c>
      <c r="AA52" s="15">
        <f>SUMIF(Table1[region],Table1[[#This Row],[region]],Table1[current_balance])</f>
        <v>98928695</v>
      </c>
      <c r="AB52" s="2">
        <f>COUNTIF(Table1[loan_status],Table1[[#This Row],[loan_status]])</f>
        <v>47</v>
      </c>
      <c r="AC52" s="2">
        <f>COUNTIF(Table1[default_flag],1)/ROWS(Table1[loan_id])</f>
        <v>2.5999999999999999E-2</v>
      </c>
      <c r="AD52" s="2">
        <f>COUNTIFS(Table1[region],Table1[[#This Row],[region]],Table1[default_flag],1)/COUNTIF(Table1[region],Table1[[#This Row],[region]])</f>
        <v>2.8571428571428571E-2</v>
      </c>
      <c r="AE52" s="2">
        <f>COUNTIFS(Table1[channel],Table1[[#This Row],[channel]],Table1[prepayment_flag],1)/COUNTIF(Table1[channel],Table1[[#This Row],[channel]])</f>
        <v>0.12</v>
      </c>
      <c r="AF52" s="2">
        <f>AVERAGEIFS(Table1[interest_rate_pct],Table1[product],Table1[[#This Row],[product]],Table1[risk_band],Table1[[#This Row],[risk_band]])</f>
        <v>10.832666666666663</v>
      </c>
      <c r="AG52" s="2" t="str" cm="1">
        <f t="array" ref="AG52">_xlfn.IFS(Table1[[#This Row],[dti_ratio]] &lt; 0.2, " less than 0.2", Table1[[#This Row],[dti_ratio]] &lt; 0.3, "0.2 - 0.3", Table1[[#This Row],[dti_ratio]] &lt;= 0.5, "0.35 - 0.5", Table1[[#This Row],[dti_ratio]] &gt; 0.5, "greater than 0.5")</f>
        <v xml:space="preserve"> less than 0.2</v>
      </c>
      <c r="AH52" s="2">
        <f>COUNTIF(Table1[DTI band],Table1[[#This Row],[DTI band]])</f>
        <v>86</v>
      </c>
      <c r="AI52" s="2" t="str" cm="1">
        <f t="array" ref="AI52">_xlfn.IFS(Table1[[#This Row],[ltv_ratio]] &lt; 0.6, "less than 0.6 -less risky", Table1[[#This Row],[ltv_ratio]]  &lt;= 0.8, "0.6 - 0.8 -medium risky",Table1[[#This Row],[ltv_ratio]] &gt; 0.8, "greater than 0.8 -highly risky")</f>
        <v>0.6 - 0.8 -medium risky</v>
      </c>
      <c r="AJ52" s="2">
        <f>COUNTIF(Table1[LTV band],Table1[[#This Row],[LTV band]])</f>
        <v>302</v>
      </c>
      <c r="AK52" s="2">
        <f>COUNTIFS(Table1[count_loan_perband],Table1[[#This Row],[count_loan_perband]],Table1[default_flag],1)/COUNTIF(Table1[count_loan_perband],Table1[[#This Row],[count_loan_perband]])</f>
        <v>3.6423841059602648E-2</v>
      </c>
      <c r="AL52" s="2" t="str" cm="1">
        <f t="array" ref="AL52">_xlfn.IFS(Table1[[#This Row],[loan_amount]] &lt; 900000, "lower size (&lt; 9L)", Table1[[#This Row],[loan_amount]] &lt;=3300000, "medium size (&lt;=33L)", Table1[[#This Row],[loan_amount]] &gt; 3300000, "larger size (&gt; 33L)")</f>
        <v>medium size (&lt;=33L)</v>
      </c>
      <c r="AM52" s="2">
        <f>IF(Table1[[#This Row],[dpd]] &gt;=30,1,0)</f>
        <v>1</v>
      </c>
      <c r="AN52" s="2">
        <f>COUNTIFS(Table1[Loan size],Table1[[#This Row],[Loan size]],Table1[dpd flag],1)/COUNTIF(Table1[Loan size],Table1[[#This Row],[Loan size]])</f>
        <v>0.15909090909090909</v>
      </c>
      <c r="AO52" s="2" t="str">
        <f>IF(OR(Table1[[#This Row],[credit_score]] &lt; 600, Table1[ [#This Row],[dti_ratio] ] &gt; 0.5, Table1[[#This Row],[dpd]] &gt;=30), "high risk", " not riskY")</f>
        <v>high risk</v>
      </c>
      <c r="AP52" s="26">
        <f>EOMONTH(Table1[[#This Row],[origination_date]],0)</f>
        <v>44651</v>
      </c>
      <c r="AQ52" s="2">
        <f>SUMIFS(Table1[loan_amount],Table1[origination month],Table1[[#This Row],[origination month]])</f>
        <v>25656500</v>
      </c>
      <c r="AR52" s="2">
        <f>AVERAGEIFS(Table1[months_on_book],Table1[product],Table1[[#This Row],[product]])</f>
        <v>21.962962962962962</v>
      </c>
      <c r="AS52" s="2" t="str">
        <f ca="1">IF(EDATE(Table1[[#This Row],[origination_date]],6) &gt;= TODAY(), "New Loan", "Old Loan")</f>
        <v>Old Loan</v>
      </c>
      <c r="AT52" s="2" t="str">
        <f>"Q"&amp;ROUNDUP(MONTH(Table1[[#This Row],[origination_date]])/3,0)&amp;YEAR(Table1[[#This Row],[origination_date]])</f>
        <v>Q12022</v>
      </c>
      <c r="AU52" s="2">
        <f>SUMIFS(Table1[loan_amount],Table1[quarter],Table1[[#This Row],[quarter]])</f>
        <v>65393800</v>
      </c>
      <c r="AV52" s="34" t="str">
        <f>_xlfn.TEXTJOIN("|",TRUE,Table1[[#This Row],[loan_id]:[loan_status]])</f>
        <v>L77394364|C8561034|44629|Education Loan|Call Center|Central|Contract|120|1117400|9.08|14203|1299906|736|B|0.13|0.67|0|45|572009|697581|30|0|0|Delinquent</v>
      </c>
      <c r="AW52" s="42">
        <f>YEAR(Loan_Table[ [#This Row],[origination_date] ])</f>
        <v>2023</v>
      </c>
      <c r="AY52" s="4" t="s">
        <v>1213</v>
      </c>
    </row>
    <row r="53" spans="2:64" ht="18" customHeight="1">
      <c r="B53" s="5" t="s">
        <v>226</v>
      </c>
      <c r="C53" s="2" t="s">
        <v>227</v>
      </c>
      <c r="D53" s="3">
        <v>44625</v>
      </c>
      <c r="E53" s="2" t="s">
        <v>163</v>
      </c>
      <c r="F53" s="2" t="s">
        <v>144</v>
      </c>
      <c r="G53" s="2" t="s">
        <v>170</v>
      </c>
      <c r="H53" s="2" t="s">
        <v>192</v>
      </c>
      <c r="I53" s="2">
        <v>240</v>
      </c>
      <c r="J53" s="2">
        <v>359700</v>
      </c>
      <c r="K53" s="2">
        <v>13.63</v>
      </c>
      <c r="L53" s="2">
        <v>4377</v>
      </c>
      <c r="M53" s="2">
        <v>170240</v>
      </c>
      <c r="N53" s="2">
        <v>685</v>
      </c>
      <c r="O53" s="2" t="s">
        <v>140</v>
      </c>
      <c r="P53" s="2">
        <v>0.12</v>
      </c>
      <c r="Q53" s="2">
        <v>0.67</v>
      </c>
      <c r="R53" s="2">
        <v>537200</v>
      </c>
      <c r="S53" s="2">
        <v>45</v>
      </c>
      <c r="T53" s="2">
        <v>182170</v>
      </c>
      <c r="U53" s="2">
        <v>251071</v>
      </c>
      <c r="V53" s="2">
        <v>0</v>
      </c>
      <c r="W53" s="2">
        <v>0</v>
      </c>
      <c r="X53" s="2">
        <v>0</v>
      </c>
      <c r="Y53" s="2" t="s">
        <v>148</v>
      </c>
      <c r="Z53" s="12">
        <f>SUMIF(Table1[product],Table1[[#This Row],[product]],Table1[loan_amount])</f>
        <v>92273000</v>
      </c>
      <c r="AA53" s="15">
        <f>SUMIF(Table1[region],Table1[[#This Row],[region]],Table1[current_balance])</f>
        <v>83297251</v>
      </c>
      <c r="AB53" s="2">
        <f>COUNTIF(Table1[loan_status],Table1[[#This Row],[loan_status]])</f>
        <v>301</v>
      </c>
      <c r="AC53" s="2">
        <f>COUNTIF(Table1[default_flag],1)/ROWS(Table1[loan_id])</f>
        <v>2.5999999999999999E-2</v>
      </c>
      <c r="AD53" s="2">
        <f>COUNTIFS(Table1[region],Table1[[#This Row],[region]],Table1[default_flag],1)/COUNTIF(Table1[region],Table1[[#This Row],[region]])</f>
        <v>3.1914893617021274E-2</v>
      </c>
      <c r="AE53" s="2">
        <f>COUNTIFS(Table1[channel],Table1[[#This Row],[channel]],Table1[prepayment_flag],1)/COUNTIF(Table1[channel],Table1[[#This Row],[channel]])</f>
        <v>5.8201058201058198E-2</v>
      </c>
      <c r="AF53" s="2">
        <f>AVERAGEIFS(Table1[interest_rate_pct],Table1[product],Table1[[#This Row],[product]],Table1[risk_band],Table1[[#This Row],[risk_band]])</f>
        <v>13.246500000000001</v>
      </c>
      <c r="AG53" s="2" t="str" cm="1">
        <f t="array" ref="AG53">_xlfn.IFS(Table1[[#This Row],[dti_ratio]] &lt; 0.2, " less than 0.2", Table1[[#This Row],[dti_ratio]] &lt; 0.3, "0.2 - 0.3", Table1[[#This Row],[dti_ratio]] &lt;= 0.5, "0.35 - 0.5", Table1[[#This Row],[dti_ratio]] &gt; 0.5, "greater than 0.5")</f>
        <v xml:space="preserve"> less than 0.2</v>
      </c>
      <c r="AH53" s="2">
        <f>COUNTIF(Table1[DTI band],Table1[[#This Row],[DTI band]])</f>
        <v>86</v>
      </c>
      <c r="AI53" s="2" t="str" cm="1">
        <f t="array" ref="AI53">_xlfn.IFS(Table1[[#This Row],[ltv_ratio]] &lt; 0.6, "less than 0.6 -less risky", Table1[[#This Row],[ltv_ratio]]  &lt;= 0.8, "0.6 - 0.8 -medium risky",Table1[[#This Row],[ltv_ratio]] &gt; 0.8, "greater than 0.8 -highly risky")</f>
        <v>0.6 - 0.8 -medium risky</v>
      </c>
      <c r="AJ53" s="2">
        <f>COUNTIF(Table1[LTV band],Table1[[#This Row],[LTV band]])</f>
        <v>302</v>
      </c>
      <c r="AK53" s="2">
        <f>COUNTIFS(Table1[count_loan_perband],Table1[[#This Row],[count_loan_perband]],Table1[default_flag],1)/COUNTIF(Table1[count_loan_perband],Table1[[#This Row],[count_loan_perband]])</f>
        <v>3.6423841059602648E-2</v>
      </c>
      <c r="AL53" s="2" t="str" cm="1">
        <f t="array" ref="AL53">_xlfn.IFS(Table1[[#This Row],[loan_amount]] &lt; 900000, "lower size (&lt; 9L)", Table1[[#This Row],[loan_amount]] &lt;=3300000, "medium size (&lt;=33L)", Table1[[#This Row],[loan_amount]] &gt; 3300000, "larger size (&gt; 33L)")</f>
        <v>lower size (&lt; 9L)</v>
      </c>
      <c r="AM53" s="2">
        <f>IF(Table1[[#This Row],[dpd]] &gt;=30,1,0)</f>
        <v>0</v>
      </c>
      <c r="AN53" s="2">
        <f>COUNTIFS(Table1[Loan size],Table1[[#This Row],[Loan size]],Table1[dpd flag],1)/COUNTIF(Table1[Loan size],Table1[[#This Row],[Loan size]])</f>
        <v>0.13934426229508196</v>
      </c>
      <c r="AO53" s="2" t="str">
        <f>IF(OR(Table1[[#This Row],[credit_score]] &lt; 600, Table1[ [#This Row],[dti_ratio] ] &gt; 0.5, Table1[[#This Row],[dpd]] &gt;=30), "high risk", " not riskY")</f>
        <v xml:space="preserve"> not riskY</v>
      </c>
      <c r="AP53" s="26">
        <f>EOMONTH(Table1[[#This Row],[origination_date]],0)</f>
        <v>44651</v>
      </c>
      <c r="AQ53" s="2">
        <f>SUMIFS(Table1[loan_amount],Table1[origination month],Table1[[#This Row],[origination month]])</f>
        <v>25656500</v>
      </c>
      <c r="AR53" s="2">
        <f>AVERAGEIFS(Table1[months_on_book],Table1[product],Table1[[#This Row],[product]])</f>
        <v>20.262135922330096</v>
      </c>
      <c r="AS53" s="2" t="str">
        <f ca="1">IF(EDATE(Table1[[#This Row],[origination_date]],6) &gt;= TODAY(), "New Loan", "Old Loan")</f>
        <v>Old Loan</v>
      </c>
      <c r="AT53" s="2" t="str">
        <f>"Q"&amp;ROUNDUP(MONTH(Table1[[#This Row],[origination_date]])/3,0)&amp;YEAR(Table1[[#This Row],[origination_date]])</f>
        <v>Q12022</v>
      </c>
      <c r="AU53" s="2">
        <f>SUMIFS(Table1[loan_amount],Table1[quarter],Table1[[#This Row],[quarter]])</f>
        <v>65393800</v>
      </c>
      <c r="AV53" s="34" t="str">
        <f>_xlfn.TEXTJOIN("|",TRUE,Table1[[#This Row],[loan_id]:[loan_status]])</f>
        <v>L52441042|C8718149|44625|Auto Loan|Branch|East|Unemployed|240|359700|13.63|4377|170240|685|C|0.12|0.67|537200|45|182170|251071|0|0|0|Active</v>
      </c>
      <c r="AW53" s="42">
        <f>YEAR(Loan_Table[ [#This Row],[origination_date] ])</f>
        <v>2023</v>
      </c>
    </row>
    <row r="54" spans="2:64" ht="18" customHeight="1">
      <c r="B54" s="5" t="s">
        <v>228</v>
      </c>
      <c r="C54" s="2" t="s">
        <v>229</v>
      </c>
      <c r="D54" s="3">
        <v>45008</v>
      </c>
      <c r="E54" s="2" t="s">
        <v>131</v>
      </c>
      <c r="F54" s="2" t="s">
        <v>144</v>
      </c>
      <c r="G54" s="2" t="s">
        <v>170</v>
      </c>
      <c r="H54" s="2" t="s">
        <v>134</v>
      </c>
      <c r="I54" s="2">
        <v>36</v>
      </c>
      <c r="J54" s="2">
        <v>620500</v>
      </c>
      <c r="K54" s="2">
        <v>21.86</v>
      </c>
      <c r="L54" s="2">
        <v>23652</v>
      </c>
      <c r="M54" s="2">
        <v>914413</v>
      </c>
      <c r="N54" s="2">
        <v>609</v>
      </c>
      <c r="O54" s="2" t="s">
        <v>147</v>
      </c>
      <c r="P54" s="2">
        <v>0.61</v>
      </c>
      <c r="Q54" s="2">
        <v>0.91</v>
      </c>
      <c r="R54" s="2">
        <v>0</v>
      </c>
      <c r="S54" s="2">
        <v>33</v>
      </c>
      <c r="T54" s="2">
        <v>672076</v>
      </c>
      <c r="U54" s="2">
        <v>97629</v>
      </c>
      <c r="V54" s="2">
        <v>0</v>
      </c>
      <c r="W54" s="2">
        <v>0</v>
      </c>
      <c r="X54" s="2">
        <v>0</v>
      </c>
      <c r="Y54" s="2" t="s">
        <v>148</v>
      </c>
      <c r="Z54" s="12">
        <f>SUMIF(Table1[product],Table1[[#This Row],[product]],Table1[loan_amount])</f>
        <v>74897600</v>
      </c>
      <c r="AA54" s="15">
        <f>SUMIF(Table1[region],Table1[[#This Row],[region]],Table1[current_balance])</f>
        <v>83297251</v>
      </c>
      <c r="AB54" s="2">
        <f>COUNTIF(Table1[loan_status],Table1[[#This Row],[loan_status]])</f>
        <v>301</v>
      </c>
      <c r="AC54" s="2">
        <f>COUNTIF(Table1[default_flag],1)/ROWS(Table1[loan_id])</f>
        <v>2.5999999999999999E-2</v>
      </c>
      <c r="AD54" s="2">
        <f>COUNTIFS(Table1[region],Table1[[#This Row],[region]],Table1[default_flag],1)/COUNTIF(Table1[region],Table1[[#This Row],[region]])</f>
        <v>3.1914893617021274E-2</v>
      </c>
      <c r="AE54" s="2">
        <f>COUNTIFS(Table1[channel],Table1[[#This Row],[channel]],Table1[prepayment_flag],1)/COUNTIF(Table1[channel],Table1[[#This Row],[channel]])</f>
        <v>5.8201058201058198E-2</v>
      </c>
      <c r="AF54" s="2">
        <f>AVERAGEIFS(Table1[interest_rate_pct],Table1[product],Table1[[#This Row],[product]],Table1[risk_band],Table1[[#This Row],[risk_band]])</f>
        <v>20.962592592592593</v>
      </c>
      <c r="AG54" s="2" t="str" cm="1">
        <f t="array" ref="AG54">_xlfn.IFS(Table1[[#This Row],[dti_ratio]] &lt; 0.2, " less than 0.2", Table1[[#This Row],[dti_ratio]] &lt; 0.3, "0.2 - 0.3", Table1[[#This Row],[dti_ratio]] &lt;= 0.5, "0.35 - 0.5", Table1[[#This Row],[dti_ratio]] &gt; 0.5, "greater than 0.5")</f>
        <v>greater than 0.5</v>
      </c>
      <c r="AH54" s="2">
        <f>COUNTIF(Table1[DTI band],Table1[[#This Row],[DTI band]])</f>
        <v>32</v>
      </c>
      <c r="AI54" s="2" t="str" cm="1">
        <f t="array" ref="AI54">_xlfn.IFS(Table1[[#This Row],[ltv_ratio]] &lt; 0.6, "less than 0.6 -less risky", Table1[[#This Row],[ltv_ratio]]  &lt;= 0.8, "0.6 - 0.8 -medium risky",Table1[[#This Row],[ltv_ratio]] &gt; 0.8, "greater than 0.8 -highly risky")</f>
        <v>greater than 0.8 -highly risky</v>
      </c>
      <c r="AJ54" s="2">
        <f>COUNTIF(Table1[LTV band],Table1[[#This Row],[LTV band]])</f>
        <v>141</v>
      </c>
      <c r="AK54" s="2">
        <f>COUNTIFS(Table1[count_loan_perband],Table1[[#This Row],[count_loan_perband]],Table1[default_flag],1)/COUNTIF(Table1[count_loan_perband],Table1[[#This Row],[count_loan_perband]])</f>
        <v>1.4184397163120567E-2</v>
      </c>
      <c r="AL54" s="2" t="str" cm="1">
        <f t="array" ref="AL54">_xlfn.IFS(Table1[[#This Row],[loan_amount]] &lt; 900000, "lower size (&lt; 9L)", Table1[[#This Row],[loan_amount]] &lt;=3300000, "medium size (&lt;=33L)", Table1[[#This Row],[loan_amount]] &gt; 3300000, "larger size (&gt; 33L)")</f>
        <v>lower size (&lt; 9L)</v>
      </c>
      <c r="AM54" s="2">
        <f>IF(Table1[[#This Row],[dpd]] &gt;=30,1,0)</f>
        <v>0</v>
      </c>
      <c r="AN54" s="2">
        <f>COUNTIFS(Table1[Loan size],Table1[[#This Row],[Loan size]],Table1[dpd flag],1)/COUNTIF(Table1[Loan size],Table1[[#This Row],[Loan size]])</f>
        <v>0.13934426229508196</v>
      </c>
      <c r="AO54" s="2" t="str">
        <f>IF(OR(Table1[[#This Row],[credit_score]] &lt; 600, Table1[ [#This Row],[dti_ratio] ] &gt; 0.5, Table1[[#This Row],[dpd]] &gt;=30), "high risk", " not riskY")</f>
        <v>high risk</v>
      </c>
      <c r="AP54" s="26">
        <f>EOMONTH(Table1[[#This Row],[origination_date]],0)</f>
        <v>45016</v>
      </c>
      <c r="AQ54" s="2">
        <f>SUMIFS(Table1[loan_amount],Table1[origination month],Table1[[#This Row],[origination month]])</f>
        <v>23160200</v>
      </c>
      <c r="AR54" s="2">
        <f>AVERAGEIFS(Table1[months_on_book],Table1[product],Table1[[#This Row],[product]])</f>
        <v>21.092024539877301</v>
      </c>
      <c r="AS54" s="2" t="str">
        <f ca="1">IF(EDATE(Table1[[#This Row],[origination_date]],6) &gt;= TODAY(), "New Loan", "Old Loan")</f>
        <v>Old Loan</v>
      </c>
      <c r="AT54" s="2" t="str">
        <f>"Q"&amp;ROUNDUP(MONTH(Table1[[#This Row],[origination_date]])/3,0)&amp;YEAR(Table1[[#This Row],[origination_date]])</f>
        <v>Q12023</v>
      </c>
      <c r="AU54" s="2">
        <f>SUMIFS(Table1[loan_amount],Table1[quarter],Table1[[#This Row],[quarter]])</f>
        <v>46066100</v>
      </c>
      <c r="AV54" s="34" t="str">
        <f>_xlfn.TEXTJOIN("|",TRUE,Table1[[#This Row],[loan_id]:[loan_status]])</f>
        <v>L22630563|C4679047|45008|Personal Loan|Branch|East|Salaried|36|620500|21.86|23652|914413|609|D|0.61|0.91|0|33|672076|97629|0|0|0|Active</v>
      </c>
      <c r="AW54" s="42">
        <f>YEAR(Loan_Table[ [#This Row],[origination_date] ])</f>
        <v>2023</v>
      </c>
      <c r="AY54" s="31" t="s">
        <v>1204</v>
      </c>
      <c r="AZ54" s="31" t="s">
        <v>1214</v>
      </c>
      <c r="BA54" s="31" t="s">
        <v>1206</v>
      </c>
    </row>
    <row r="55" spans="2:64" ht="18" customHeight="1">
      <c r="B55" s="5" t="s">
        <v>230</v>
      </c>
      <c r="C55" s="2" t="s">
        <v>231</v>
      </c>
      <c r="D55" s="3">
        <v>44990</v>
      </c>
      <c r="E55" s="2" t="s">
        <v>177</v>
      </c>
      <c r="F55" s="2" t="s">
        <v>213</v>
      </c>
      <c r="G55" s="2" t="s">
        <v>170</v>
      </c>
      <c r="H55" s="2" t="s">
        <v>134</v>
      </c>
      <c r="I55" s="2">
        <v>180</v>
      </c>
      <c r="J55" s="2">
        <v>870800</v>
      </c>
      <c r="K55" s="2">
        <v>10.19</v>
      </c>
      <c r="L55" s="2">
        <v>9459</v>
      </c>
      <c r="M55" s="2">
        <v>1156135</v>
      </c>
      <c r="N55" s="2">
        <v>741</v>
      </c>
      <c r="O55" s="2" t="s">
        <v>135</v>
      </c>
      <c r="P55" s="2">
        <v>0.54</v>
      </c>
      <c r="Q55" s="2">
        <v>0.68</v>
      </c>
      <c r="R55" s="2">
        <v>0</v>
      </c>
      <c r="S55" s="2">
        <v>33</v>
      </c>
      <c r="T55" s="2">
        <v>296725</v>
      </c>
      <c r="U55" s="2">
        <v>671683</v>
      </c>
      <c r="V55" s="2">
        <v>0</v>
      </c>
      <c r="W55" s="2">
        <v>0</v>
      </c>
      <c r="X55" s="2">
        <v>0</v>
      </c>
      <c r="Y55" s="2" t="s">
        <v>148</v>
      </c>
      <c r="Z55" s="12">
        <f>SUMIF(Table1[product],Table1[[#This Row],[product]],Table1[loan_amount])</f>
        <v>62765800</v>
      </c>
      <c r="AA55" s="15">
        <f>SUMIF(Table1[region],Table1[[#This Row],[region]],Table1[current_balance])</f>
        <v>83297251</v>
      </c>
      <c r="AB55" s="2">
        <f>COUNTIF(Table1[loan_status],Table1[[#This Row],[loan_status]])</f>
        <v>301</v>
      </c>
      <c r="AC55" s="2">
        <f>COUNTIF(Table1[default_flag],1)/ROWS(Table1[loan_id])</f>
        <v>2.5999999999999999E-2</v>
      </c>
      <c r="AD55" s="2">
        <f>COUNTIFS(Table1[region],Table1[[#This Row],[region]],Table1[default_flag],1)/COUNTIF(Table1[region],Table1[[#This Row],[region]])</f>
        <v>3.1914893617021274E-2</v>
      </c>
      <c r="AE55" s="2">
        <f>COUNTIFS(Table1[channel],Table1[[#This Row],[channel]],Table1[prepayment_flag],1)/COUNTIF(Table1[channel],Table1[[#This Row],[channel]])</f>
        <v>0.12</v>
      </c>
      <c r="AF55" s="2">
        <f>AVERAGEIFS(Table1[interest_rate_pct],Table1[product],Table1[[#This Row],[product]],Table1[risk_band],Table1[[#This Row],[risk_band]])</f>
        <v>10.832666666666663</v>
      </c>
      <c r="AG55" s="2" t="str" cm="1">
        <f t="array" ref="AG55">_xlfn.IFS(Table1[[#This Row],[dti_ratio]] &lt; 0.2, " less than 0.2", Table1[[#This Row],[dti_ratio]] &lt; 0.3, "0.2 - 0.3", Table1[[#This Row],[dti_ratio]] &lt;= 0.5, "0.35 - 0.5", Table1[[#This Row],[dti_ratio]] &gt; 0.5, "greater than 0.5")</f>
        <v>greater than 0.5</v>
      </c>
      <c r="AH55" s="2">
        <f>COUNTIF(Table1[DTI band],Table1[[#This Row],[DTI band]])</f>
        <v>32</v>
      </c>
      <c r="AI55" s="2" t="str" cm="1">
        <f t="array" ref="AI55">_xlfn.IFS(Table1[[#This Row],[ltv_ratio]] &lt; 0.6, "less than 0.6 -less risky", Table1[[#This Row],[ltv_ratio]]  &lt;= 0.8, "0.6 - 0.8 -medium risky",Table1[[#This Row],[ltv_ratio]] &gt; 0.8, "greater than 0.8 -highly risky")</f>
        <v>0.6 - 0.8 -medium risky</v>
      </c>
      <c r="AJ55" s="2">
        <f>COUNTIF(Table1[LTV band],Table1[[#This Row],[LTV band]])</f>
        <v>302</v>
      </c>
      <c r="AK55" s="2">
        <f>COUNTIFS(Table1[count_loan_perband],Table1[[#This Row],[count_loan_perband]],Table1[default_flag],1)/COUNTIF(Table1[count_loan_perband],Table1[[#This Row],[count_loan_perband]])</f>
        <v>3.6423841059602648E-2</v>
      </c>
      <c r="AL55" s="2" t="str" cm="1">
        <f t="array" ref="AL55">_xlfn.IFS(Table1[[#This Row],[loan_amount]] &lt; 900000, "lower size (&lt; 9L)", Table1[[#This Row],[loan_amount]] &lt;=3300000, "medium size (&lt;=33L)", Table1[[#This Row],[loan_amount]] &gt; 3300000, "larger size (&gt; 33L)")</f>
        <v>lower size (&lt; 9L)</v>
      </c>
      <c r="AM55" s="2">
        <f>IF(Table1[[#This Row],[dpd]] &gt;=30,1,0)</f>
        <v>0</v>
      </c>
      <c r="AN55" s="2">
        <f>COUNTIFS(Table1[Loan size],Table1[[#This Row],[Loan size]],Table1[dpd flag],1)/COUNTIF(Table1[Loan size],Table1[[#This Row],[Loan size]])</f>
        <v>0.13934426229508196</v>
      </c>
      <c r="AO55" s="2" t="str">
        <f>IF(OR(Table1[[#This Row],[credit_score]] &lt; 600, Table1[ [#This Row],[dti_ratio] ] &gt; 0.5, Table1[[#This Row],[dpd]] &gt;=30), "high risk", " not riskY")</f>
        <v>high risk</v>
      </c>
      <c r="AP55" s="26">
        <f>EOMONTH(Table1[[#This Row],[origination_date]],0)</f>
        <v>45016</v>
      </c>
      <c r="AQ55" s="2">
        <f>SUMIFS(Table1[loan_amount],Table1[origination month],Table1[[#This Row],[origination month]])</f>
        <v>23160200</v>
      </c>
      <c r="AR55" s="2">
        <f>AVERAGEIFS(Table1[months_on_book],Table1[product],Table1[[#This Row],[product]])</f>
        <v>21.962962962962962</v>
      </c>
      <c r="AS55" s="2" t="str">
        <f ca="1">IF(EDATE(Table1[[#This Row],[origination_date]],6) &gt;= TODAY(), "New Loan", "Old Loan")</f>
        <v>Old Loan</v>
      </c>
      <c r="AT55" s="2" t="str">
        <f>"Q"&amp;ROUNDUP(MONTH(Table1[[#This Row],[origination_date]])/3,0)&amp;YEAR(Table1[[#This Row],[origination_date]])</f>
        <v>Q12023</v>
      </c>
      <c r="AU55" s="2">
        <f>SUMIFS(Table1[loan_amount],Table1[quarter],Table1[[#This Row],[quarter]])</f>
        <v>46066100</v>
      </c>
      <c r="AV55" s="34" t="str">
        <f>_xlfn.TEXTJOIN("|",TRUE,Table1[[#This Row],[loan_id]:[loan_status]])</f>
        <v>L37929130|C6546780|44990|Education Loan|Call Center|East|Salaried|180|870800|10.19|9459|1156135|741|B|0.54|0.68|0|33|296725|671683|0|0|0|Active</v>
      </c>
      <c r="AW55" s="42">
        <f>YEAR(Loan_Table[ [#This Row],[origination_date] ])</f>
        <v>2023</v>
      </c>
      <c r="AY55" s="2" t="s">
        <v>1215</v>
      </c>
      <c r="AZ55" s="2" t="s">
        <v>1216</v>
      </c>
      <c r="BA55" s="2">
        <f>COUNTIFS(Loan_Table[loan_status], "Active", Loan_Table[dpd], "&gt;=30")</f>
        <v>0</v>
      </c>
    </row>
    <row r="56" spans="2:64" ht="18" customHeight="1">
      <c r="B56" s="5" t="s">
        <v>232</v>
      </c>
      <c r="C56" s="2" t="s">
        <v>233</v>
      </c>
      <c r="D56" s="3">
        <v>44946</v>
      </c>
      <c r="E56" s="2" t="s">
        <v>163</v>
      </c>
      <c r="F56" s="2" t="s">
        <v>159</v>
      </c>
      <c r="G56" s="2" t="s">
        <v>133</v>
      </c>
      <c r="H56" s="2" t="s">
        <v>134</v>
      </c>
      <c r="I56" s="2">
        <v>12</v>
      </c>
      <c r="J56" s="2">
        <v>1216700</v>
      </c>
      <c r="K56" s="2">
        <v>18.760000000000002</v>
      </c>
      <c r="L56" s="2">
        <v>111988</v>
      </c>
      <c r="M56" s="2">
        <v>756313</v>
      </c>
      <c r="N56" s="2">
        <v>552</v>
      </c>
      <c r="O56" s="2" t="s">
        <v>166</v>
      </c>
      <c r="P56" s="2">
        <v>0.5</v>
      </c>
      <c r="Q56" s="2">
        <v>0.74</v>
      </c>
      <c r="R56" s="2">
        <v>1636700</v>
      </c>
      <c r="S56" s="2">
        <v>12</v>
      </c>
      <c r="T56" s="2">
        <v>1149342</v>
      </c>
      <c r="U56" s="2">
        <v>158659</v>
      </c>
      <c r="V56" s="2">
        <v>0</v>
      </c>
      <c r="W56" s="2">
        <v>0</v>
      </c>
      <c r="X56" s="2">
        <v>0</v>
      </c>
      <c r="Y56" s="2" t="s">
        <v>141</v>
      </c>
      <c r="Z56" s="12">
        <f>SUMIF(Table1[product],Table1[[#This Row],[product]],Table1[loan_amount])</f>
        <v>92273000</v>
      </c>
      <c r="AA56" s="15">
        <f>SUMIF(Table1[region],Table1[[#This Row],[region]],Table1[current_balance])</f>
        <v>94548000</v>
      </c>
      <c r="AB56" s="2">
        <f>COUNTIF(Table1[loan_status],Table1[[#This Row],[loan_status]])</f>
        <v>139</v>
      </c>
      <c r="AC56" s="2">
        <f>COUNTIF(Table1[default_flag],1)/ROWS(Table1[loan_id])</f>
        <v>2.5999999999999999E-2</v>
      </c>
      <c r="AD56" s="2">
        <f>COUNTIFS(Table1[region],Table1[[#This Row],[region]],Table1[default_flag],1)/COUNTIF(Table1[region],Table1[[#This Row],[region]])</f>
        <v>0</v>
      </c>
      <c r="AE56" s="2">
        <f>COUNTIFS(Table1[channel],Table1[[#This Row],[channel]],Table1[prepayment_flag],1)/COUNTIF(Table1[channel],Table1[[#This Row],[channel]])</f>
        <v>0.1</v>
      </c>
      <c r="AF56" s="2">
        <f>AVERAGEIFS(Table1[interest_rate_pct],Table1[product],Table1[[#This Row],[product]],Table1[risk_band],Table1[[#This Row],[risk_band]])</f>
        <v>17.744166666666668</v>
      </c>
      <c r="AG56" s="2" t="str" cm="1">
        <f t="array" ref="AG56">_xlfn.IFS(Table1[[#This Row],[dti_ratio]] &lt; 0.2, " less than 0.2", Table1[[#This Row],[dti_ratio]] &lt; 0.3, "0.2 - 0.3", Table1[[#This Row],[dti_ratio]] &lt;= 0.5, "0.35 - 0.5", Table1[[#This Row],[dti_ratio]] &gt; 0.5, "greater than 0.5")</f>
        <v>0.35 - 0.5</v>
      </c>
      <c r="AH56" s="2">
        <f>COUNTIF(Table1[DTI band],Table1[[#This Row],[DTI band]])</f>
        <v>260</v>
      </c>
      <c r="AI56" s="2" t="str" cm="1">
        <f t="array" ref="AI56">_xlfn.IFS(Table1[[#This Row],[ltv_ratio]] &lt; 0.6, "less than 0.6 -less risky", Table1[[#This Row],[ltv_ratio]]  &lt;= 0.8, "0.6 - 0.8 -medium risky",Table1[[#This Row],[ltv_ratio]] &gt; 0.8, "greater than 0.8 -highly risky")</f>
        <v>0.6 - 0.8 -medium risky</v>
      </c>
      <c r="AJ56" s="2">
        <f>COUNTIF(Table1[LTV band],Table1[[#This Row],[LTV band]])</f>
        <v>302</v>
      </c>
      <c r="AK56" s="2">
        <f>COUNTIFS(Table1[count_loan_perband],Table1[[#This Row],[count_loan_perband]],Table1[default_flag],1)/COUNTIF(Table1[count_loan_perband],Table1[[#This Row],[count_loan_perband]])</f>
        <v>3.6423841059602648E-2</v>
      </c>
      <c r="AL56" s="2" t="str" cm="1">
        <f t="array" ref="AL56">_xlfn.IFS(Table1[[#This Row],[loan_amount]] &lt; 900000, "lower size (&lt; 9L)", Table1[[#This Row],[loan_amount]] &lt;=3300000, "medium size (&lt;=33L)", Table1[[#This Row],[loan_amount]] &gt; 3300000, "larger size (&gt; 33L)")</f>
        <v>medium size (&lt;=33L)</v>
      </c>
      <c r="AM56" s="2">
        <f>IF(Table1[[#This Row],[dpd]] &gt;=30,1,0)</f>
        <v>0</v>
      </c>
      <c r="AN56" s="2">
        <f>COUNTIFS(Table1[Loan size],Table1[[#This Row],[Loan size]],Table1[dpd flag],1)/COUNTIF(Table1[Loan size],Table1[[#This Row],[Loan size]])</f>
        <v>0.15909090909090909</v>
      </c>
      <c r="AO56" s="2" t="str">
        <f>IF(OR(Table1[[#This Row],[credit_score]] &lt; 600, Table1[ [#This Row],[dti_ratio] ] &gt; 0.5, Table1[[#This Row],[dpd]] &gt;=30), "high risk", " not riskY")</f>
        <v>high risk</v>
      </c>
      <c r="AP56" s="26">
        <f>EOMONTH(Table1[[#This Row],[origination_date]],0)</f>
        <v>44957</v>
      </c>
      <c r="AQ56" s="2">
        <f>SUMIFS(Table1[loan_amount],Table1[origination month],Table1[[#This Row],[origination month]])</f>
        <v>11698400</v>
      </c>
      <c r="AR56" s="2">
        <f>AVERAGEIFS(Table1[months_on_book],Table1[product],Table1[[#This Row],[product]])</f>
        <v>20.262135922330096</v>
      </c>
      <c r="AS56" s="2" t="str">
        <f ca="1">IF(EDATE(Table1[[#This Row],[origination_date]],6) &gt;= TODAY(), "New Loan", "Old Loan")</f>
        <v>Old Loan</v>
      </c>
      <c r="AT56" s="2" t="str">
        <f>"Q"&amp;ROUNDUP(MONTH(Table1[[#This Row],[origination_date]])/3,0)&amp;YEAR(Table1[[#This Row],[origination_date]])</f>
        <v>Q12023</v>
      </c>
      <c r="AU56" s="2">
        <f>SUMIFS(Table1[loan_amount],Table1[quarter],Table1[[#This Row],[quarter]])</f>
        <v>46066100</v>
      </c>
      <c r="AV56" s="34" t="str">
        <f>_xlfn.TEXTJOIN("|",TRUE,Table1[[#This Row],[loan_id]:[loan_status]])</f>
        <v>L17735107|C9951231|44946|Auto Loan|Partner|South|Salaried|12|1216700|18.76|111988|756313|552|E|0.5|0.74|1636700|12|1149342|158659|0|0|0|Closed</v>
      </c>
      <c r="AW56" s="42">
        <f>YEAR(Loan_Table[ [#This Row],[origination_date] ])</f>
        <v>2023</v>
      </c>
      <c r="AY56" s="2" t="s">
        <v>1217</v>
      </c>
      <c r="AZ56" s="2" t="s">
        <v>1218</v>
      </c>
      <c r="BA56" s="2">
        <f>COUNTIFS(Loan_Table[default_flag],1,Loan_Table[dpd], "&lt;90")</f>
        <v>0</v>
      </c>
    </row>
    <row r="57" spans="2:64" ht="18" customHeight="1">
      <c r="B57" s="5" t="s">
        <v>234</v>
      </c>
      <c r="C57" s="2" t="s">
        <v>235</v>
      </c>
      <c r="D57" s="3">
        <v>44999</v>
      </c>
      <c r="E57" s="2" t="s">
        <v>131</v>
      </c>
      <c r="F57" s="2" t="s">
        <v>132</v>
      </c>
      <c r="G57" s="2" t="s">
        <v>145</v>
      </c>
      <c r="H57" s="2" t="s">
        <v>146</v>
      </c>
      <c r="I57" s="2">
        <v>12</v>
      </c>
      <c r="J57" s="2">
        <v>572000</v>
      </c>
      <c r="K57" s="2">
        <v>17.690000000000001</v>
      </c>
      <c r="L57" s="2">
        <v>52357</v>
      </c>
      <c r="M57" s="2">
        <v>1072644</v>
      </c>
      <c r="N57" s="2">
        <v>694</v>
      </c>
      <c r="O57" s="2" t="s">
        <v>140</v>
      </c>
      <c r="P57" s="2">
        <v>0.49</v>
      </c>
      <c r="Q57" s="2">
        <v>0.82</v>
      </c>
      <c r="R57" s="2">
        <v>0</v>
      </c>
      <c r="S57" s="2">
        <v>12</v>
      </c>
      <c r="T57" s="2">
        <v>554900</v>
      </c>
      <c r="U57" s="2">
        <v>57575</v>
      </c>
      <c r="V57" s="2">
        <v>0</v>
      </c>
      <c r="W57" s="2">
        <v>0</v>
      </c>
      <c r="X57" s="2">
        <v>0</v>
      </c>
      <c r="Y57" s="2" t="s">
        <v>141</v>
      </c>
      <c r="Z57" s="12">
        <f>SUMIF(Table1[product],Table1[[#This Row],[product]],Table1[loan_amount])</f>
        <v>74897600</v>
      </c>
      <c r="AA57" s="15">
        <f>SUMIF(Table1[region],Table1[[#This Row],[region]],Table1[current_balance])</f>
        <v>98928695</v>
      </c>
      <c r="AB57" s="2">
        <f>COUNTIF(Table1[loan_status],Table1[[#This Row],[loan_status]])</f>
        <v>139</v>
      </c>
      <c r="AC57" s="2">
        <f>COUNTIF(Table1[default_flag],1)/ROWS(Table1[loan_id])</f>
        <v>2.5999999999999999E-2</v>
      </c>
      <c r="AD57" s="2">
        <f>COUNTIFS(Table1[region],Table1[[#This Row],[region]],Table1[default_flag],1)/COUNTIF(Table1[region],Table1[[#This Row],[region]])</f>
        <v>2.8571428571428571E-2</v>
      </c>
      <c r="AE57" s="2">
        <f>COUNTIFS(Table1[channel],Table1[[#This Row],[channel]],Table1[prepayment_flag],1)/COUNTIF(Table1[channel],Table1[[#This Row],[channel]])</f>
        <v>7.1090047393364927E-2</v>
      </c>
      <c r="AF57" s="2">
        <f>AVERAGEIFS(Table1[interest_rate_pct],Table1[product],Table1[[#This Row],[product]],Table1[risk_band],Table1[[#This Row],[risk_band]])</f>
        <v>18.603181818181817</v>
      </c>
      <c r="AG57" s="2" t="str" cm="1">
        <f t="array" ref="AG57">_xlfn.IFS(Table1[[#This Row],[dti_ratio]] &lt; 0.2, " less than 0.2", Table1[[#This Row],[dti_ratio]] &lt; 0.3, "0.2 - 0.3", Table1[[#This Row],[dti_ratio]] &lt;= 0.5, "0.35 - 0.5", Table1[[#This Row],[dti_ratio]] &gt; 0.5, "greater than 0.5")</f>
        <v>0.35 - 0.5</v>
      </c>
      <c r="AH57" s="2">
        <f>COUNTIF(Table1[DTI band],Table1[[#This Row],[DTI band]])</f>
        <v>260</v>
      </c>
      <c r="AI57" s="2" t="str" cm="1">
        <f t="array" ref="AI57">_xlfn.IFS(Table1[[#This Row],[ltv_ratio]] &lt; 0.6, "less than 0.6 -less risky", Table1[[#This Row],[ltv_ratio]]  &lt;= 0.8, "0.6 - 0.8 -medium risky",Table1[[#This Row],[ltv_ratio]] &gt; 0.8, "greater than 0.8 -highly risky")</f>
        <v>greater than 0.8 -highly risky</v>
      </c>
      <c r="AJ57" s="2">
        <f>COUNTIF(Table1[LTV band],Table1[[#This Row],[LTV band]])</f>
        <v>141</v>
      </c>
      <c r="AK57" s="2">
        <f>COUNTIFS(Table1[count_loan_perband],Table1[[#This Row],[count_loan_perband]],Table1[default_flag],1)/COUNTIF(Table1[count_loan_perband],Table1[[#This Row],[count_loan_perband]])</f>
        <v>1.4184397163120567E-2</v>
      </c>
      <c r="AL57" s="2" t="str" cm="1">
        <f t="array" ref="AL57">_xlfn.IFS(Table1[[#This Row],[loan_amount]] &lt; 900000, "lower size (&lt; 9L)", Table1[[#This Row],[loan_amount]] &lt;=3300000, "medium size (&lt;=33L)", Table1[[#This Row],[loan_amount]] &gt; 3300000, "larger size (&gt; 33L)")</f>
        <v>lower size (&lt; 9L)</v>
      </c>
      <c r="AM57" s="2">
        <f>IF(Table1[[#This Row],[dpd]] &gt;=30,1,0)</f>
        <v>0</v>
      </c>
      <c r="AN57" s="2">
        <f>COUNTIFS(Table1[Loan size],Table1[[#This Row],[Loan size]],Table1[dpd flag],1)/COUNTIF(Table1[Loan size],Table1[[#This Row],[Loan size]])</f>
        <v>0.13934426229508196</v>
      </c>
      <c r="AO57" s="2" t="str">
        <f>IF(OR(Table1[[#This Row],[credit_score]] &lt; 600, Table1[ [#This Row],[dti_ratio] ] &gt; 0.5, Table1[[#This Row],[dpd]] &gt;=30), "high risk", " not riskY")</f>
        <v xml:space="preserve"> not riskY</v>
      </c>
      <c r="AP57" s="26">
        <f>EOMONTH(Table1[[#This Row],[origination_date]],0)</f>
        <v>45016</v>
      </c>
      <c r="AQ57" s="2">
        <f>SUMIFS(Table1[loan_amount],Table1[origination month],Table1[[#This Row],[origination month]])</f>
        <v>23160200</v>
      </c>
      <c r="AR57" s="2">
        <f>AVERAGEIFS(Table1[months_on_book],Table1[product],Table1[[#This Row],[product]])</f>
        <v>21.092024539877301</v>
      </c>
      <c r="AS57" s="2" t="str">
        <f ca="1">IF(EDATE(Table1[[#This Row],[origination_date]],6) &gt;= TODAY(), "New Loan", "Old Loan")</f>
        <v>Old Loan</v>
      </c>
      <c r="AT57" s="2" t="str">
        <f>"Q"&amp;ROUNDUP(MONTH(Table1[[#This Row],[origination_date]])/3,0)&amp;YEAR(Table1[[#This Row],[origination_date]])</f>
        <v>Q12023</v>
      </c>
      <c r="AU57" s="2">
        <f>SUMIFS(Table1[loan_amount],Table1[quarter],Table1[[#This Row],[quarter]])</f>
        <v>46066100</v>
      </c>
      <c r="AV57" s="34" t="str">
        <f>_xlfn.TEXTJOIN("|",TRUE,Table1[[#This Row],[loan_id]:[loan_status]])</f>
        <v>L77206551|C1899823|44999|Personal Loan|Online|Central|Contract|12|572000|17.69|52357|1072644|694|C|0.49|0.82|0|12|554900|57575|0|0|0|Closed</v>
      </c>
      <c r="AW57" s="42">
        <f>YEAR(Loan_Table[ [#This Row],[origination_date] ])</f>
        <v>2023</v>
      </c>
      <c r="AY57" s="2" t="s">
        <v>1219</v>
      </c>
      <c r="AZ57" s="2" t="s">
        <v>1220</v>
      </c>
      <c r="BA57" s="2">
        <f>COUNTIFS(Loan_Table[current_balance], "&lt;0")</f>
        <v>0</v>
      </c>
    </row>
    <row r="58" spans="2:64" ht="18" customHeight="1">
      <c r="B58" s="5" t="s">
        <v>236</v>
      </c>
      <c r="C58" s="2" t="s">
        <v>237</v>
      </c>
      <c r="D58" s="3">
        <v>44954</v>
      </c>
      <c r="E58" s="2" t="s">
        <v>163</v>
      </c>
      <c r="F58" s="2" t="s">
        <v>132</v>
      </c>
      <c r="G58" s="2" t="s">
        <v>139</v>
      </c>
      <c r="H58" s="2" t="s">
        <v>134</v>
      </c>
      <c r="I58" s="2">
        <v>36</v>
      </c>
      <c r="J58" s="2">
        <v>773300</v>
      </c>
      <c r="K58" s="2">
        <v>10.99</v>
      </c>
      <c r="L58" s="2">
        <v>25313</v>
      </c>
      <c r="M58" s="2">
        <v>657085</v>
      </c>
      <c r="N58" s="2">
        <v>716</v>
      </c>
      <c r="O58" s="2" t="s">
        <v>135</v>
      </c>
      <c r="P58" s="2">
        <v>0.46</v>
      </c>
      <c r="Q58" s="2">
        <v>0.68</v>
      </c>
      <c r="R58" s="2">
        <v>1140700</v>
      </c>
      <c r="S58" s="2">
        <v>35</v>
      </c>
      <c r="T58" s="2">
        <v>845530</v>
      </c>
      <c r="U58" s="2">
        <v>26920</v>
      </c>
      <c r="V58" s="2">
        <v>0</v>
      </c>
      <c r="W58" s="2">
        <v>0</v>
      </c>
      <c r="X58" s="2">
        <v>0</v>
      </c>
      <c r="Y58" s="2" t="s">
        <v>148</v>
      </c>
      <c r="Z58" s="12">
        <f>SUMIF(Table1[product],Table1[[#This Row],[product]],Table1[loan_amount])</f>
        <v>92273000</v>
      </c>
      <c r="AA58" s="15">
        <f>SUMIF(Table1[region],Table1[[#This Row],[region]],Table1[current_balance])</f>
        <v>83903255</v>
      </c>
      <c r="AB58" s="2">
        <f>COUNTIF(Table1[loan_status],Table1[[#This Row],[loan_status]])</f>
        <v>301</v>
      </c>
      <c r="AC58" s="2">
        <f>COUNTIF(Table1[default_flag],1)/ROWS(Table1[loan_id])</f>
        <v>2.5999999999999999E-2</v>
      </c>
      <c r="AD58" s="2">
        <f>COUNTIFS(Table1[region],Table1[[#This Row],[region]],Table1[default_flag],1)/COUNTIF(Table1[region],Table1[[#This Row],[region]])</f>
        <v>4.2553191489361701E-2</v>
      </c>
      <c r="AE58" s="2">
        <f>COUNTIFS(Table1[channel],Table1[[#This Row],[channel]],Table1[prepayment_flag],1)/COUNTIF(Table1[channel],Table1[[#This Row],[channel]])</f>
        <v>7.1090047393364927E-2</v>
      </c>
      <c r="AF58" s="2">
        <f>AVERAGEIFS(Table1[interest_rate_pct],Table1[product],Table1[[#This Row],[product]],Table1[risk_band],Table1[[#This Row],[risk_band]])</f>
        <v>10.611923076923079</v>
      </c>
      <c r="AG58" s="2" t="str" cm="1">
        <f t="array" ref="AG58">_xlfn.IFS(Table1[[#This Row],[dti_ratio]] &lt; 0.2, " less than 0.2", Table1[[#This Row],[dti_ratio]] &lt; 0.3, "0.2 - 0.3", Table1[[#This Row],[dti_ratio]] &lt;= 0.5, "0.35 - 0.5", Table1[[#This Row],[dti_ratio]] &gt; 0.5, "greater than 0.5")</f>
        <v>0.35 - 0.5</v>
      </c>
      <c r="AH58" s="2">
        <f>COUNTIF(Table1[DTI band],Table1[[#This Row],[DTI band]])</f>
        <v>260</v>
      </c>
      <c r="AI58" s="2" t="str" cm="1">
        <f t="array" ref="AI58">_xlfn.IFS(Table1[[#This Row],[ltv_ratio]] &lt; 0.6, "less than 0.6 -less risky", Table1[[#This Row],[ltv_ratio]]  &lt;= 0.8, "0.6 - 0.8 -medium risky",Table1[[#This Row],[ltv_ratio]] &gt; 0.8, "greater than 0.8 -highly risky")</f>
        <v>0.6 - 0.8 -medium risky</v>
      </c>
      <c r="AJ58" s="2">
        <f>COUNTIF(Table1[LTV band],Table1[[#This Row],[LTV band]])</f>
        <v>302</v>
      </c>
      <c r="AK58" s="2">
        <f>COUNTIFS(Table1[count_loan_perband],Table1[[#This Row],[count_loan_perband]],Table1[default_flag],1)/COUNTIF(Table1[count_loan_perband],Table1[[#This Row],[count_loan_perband]])</f>
        <v>3.6423841059602648E-2</v>
      </c>
      <c r="AL58" s="2" t="str" cm="1">
        <f t="array" ref="AL58">_xlfn.IFS(Table1[[#This Row],[loan_amount]] &lt; 900000, "lower size (&lt; 9L)", Table1[[#This Row],[loan_amount]] &lt;=3300000, "medium size (&lt;=33L)", Table1[[#This Row],[loan_amount]] &gt; 3300000, "larger size (&gt; 33L)")</f>
        <v>lower size (&lt; 9L)</v>
      </c>
      <c r="AM58" s="2">
        <f>IF(Table1[[#This Row],[dpd]] &gt;=30,1,0)</f>
        <v>0</v>
      </c>
      <c r="AN58" s="2">
        <f>COUNTIFS(Table1[Loan size],Table1[[#This Row],[Loan size]],Table1[dpd flag],1)/COUNTIF(Table1[Loan size],Table1[[#This Row],[Loan size]])</f>
        <v>0.13934426229508196</v>
      </c>
      <c r="AO58" s="2" t="str">
        <f>IF(OR(Table1[[#This Row],[credit_score]] &lt; 600, Table1[ [#This Row],[dti_ratio] ] &gt; 0.5, Table1[[#This Row],[dpd]] &gt;=30), "high risk", " not riskY")</f>
        <v xml:space="preserve"> not riskY</v>
      </c>
      <c r="AP58" s="26">
        <f>EOMONTH(Table1[[#This Row],[origination_date]],0)</f>
        <v>44957</v>
      </c>
      <c r="AQ58" s="2">
        <f>SUMIFS(Table1[loan_amount],Table1[origination month],Table1[[#This Row],[origination month]])</f>
        <v>11698400</v>
      </c>
      <c r="AR58" s="2">
        <f>AVERAGEIFS(Table1[months_on_book],Table1[product],Table1[[#This Row],[product]])</f>
        <v>20.262135922330096</v>
      </c>
      <c r="AS58" s="2" t="str">
        <f ca="1">IF(EDATE(Table1[[#This Row],[origination_date]],6) &gt;= TODAY(), "New Loan", "Old Loan")</f>
        <v>Old Loan</v>
      </c>
      <c r="AT58" s="2" t="str">
        <f>"Q"&amp;ROUNDUP(MONTH(Table1[[#This Row],[origination_date]])/3,0)&amp;YEAR(Table1[[#This Row],[origination_date]])</f>
        <v>Q12023</v>
      </c>
      <c r="AU58" s="2">
        <f>SUMIFS(Table1[loan_amount],Table1[quarter],Table1[[#This Row],[quarter]])</f>
        <v>46066100</v>
      </c>
      <c r="AV58" s="34" t="str">
        <f>_xlfn.TEXTJOIN("|",TRUE,Table1[[#This Row],[loan_id]:[loan_status]])</f>
        <v>L38861149|C6991162|44954|Auto Loan|Online|West|Salaried|36|773300|10.99|25313|657085|716|B|0.46|0.68|1140700|35|845530|26920|0|0|0|Active</v>
      </c>
      <c r="AW58" s="42">
        <f>YEAR(Loan_Table[ [#This Row],[origination_date] ])</f>
        <v>2023</v>
      </c>
      <c r="AY58" s="2" t="s">
        <v>1221</v>
      </c>
      <c r="AZ58" s="2" t="s">
        <v>1222</v>
      </c>
      <c r="BA58" s="2"/>
    </row>
    <row r="59" spans="2:64" ht="18" customHeight="1">
      <c r="B59" s="5" t="s">
        <v>238</v>
      </c>
      <c r="C59" s="2" t="s">
        <v>239</v>
      </c>
      <c r="D59" s="3">
        <v>44969</v>
      </c>
      <c r="E59" s="2" t="s">
        <v>131</v>
      </c>
      <c r="F59" s="2" t="s">
        <v>132</v>
      </c>
      <c r="G59" s="2" t="s">
        <v>139</v>
      </c>
      <c r="H59" s="2" t="s">
        <v>134</v>
      </c>
      <c r="I59" s="2">
        <v>120</v>
      </c>
      <c r="J59" s="2">
        <v>306400</v>
      </c>
      <c r="K59" s="2">
        <v>17.5</v>
      </c>
      <c r="L59" s="2">
        <v>5423</v>
      </c>
      <c r="M59" s="2">
        <v>1350307</v>
      </c>
      <c r="N59" s="2">
        <v>717</v>
      </c>
      <c r="O59" s="2" t="s">
        <v>135</v>
      </c>
      <c r="P59" s="2">
        <v>0.42</v>
      </c>
      <c r="Q59" s="2">
        <v>0.79</v>
      </c>
      <c r="R59" s="2">
        <v>0</v>
      </c>
      <c r="S59" s="2">
        <v>34</v>
      </c>
      <c r="T59" s="2">
        <v>179963</v>
      </c>
      <c r="U59" s="2">
        <v>187206</v>
      </c>
      <c r="V59" s="2">
        <v>0</v>
      </c>
      <c r="W59" s="2">
        <v>0</v>
      </c>
      <c r="X59" s="2">
        <v>0</v>
      </c>
      <c r="Y59" s="2" t="s">
        <v>148</v>
      </c>
      <c r="Z59" s="12">
        <f>SUMIF(Table1[product],Table1[[#This Row],[product]],Table1[loan_amount])</f>
        <v>74897600</v>
      </c>
      <c r="AA59" s="15">
        <f>SUMIF(Table1[region],Table1[[#This Row],[region]],Table1[current_balance])</f>
        <v>83903255</v>
      </c>
      <c r="AB59" s="2">
        <f>COUNTIF(Table1[loan_status],Table1[[#This Row],[loan_status]])</f>
        <v>301</v>
      </c>
      <c r="AC59" s="2">
        <f>COUNTIF(Table1[default_flag],1)/ROWS(Table1[loan_id])</f>
        <v>2.5999999999999999E-2</v>
      </c>
      <c r="AD59" s="2">
        <f>COUNTIFS(Table1[region],Table1[[#This Row],[region]],Table1[default_flag],1)/COUNTIF(Table1[region],Table1[[#This Row],[region]])</f>
        <v>4.2553191489361701E-2</v>
      </c>
      <c r="AE59" s="2">
        <f>COUNTIFS(Table1[channel],Table1[[#This Row],[channel]],Table1[prepayment_flag],1)/COUNTIF(Table1[channel],Table1[[#This Row],[channel]])</f>
        <v>7.1090047393364927E-2</v>
      </c>
      <c r="AF59" s="2">
        <f>AVERAGEIFS(Table1[interest_rate_pct],Table1[product],Table1[[#This Row],[product]],Table1[risk_band],Table1[[#This Row],[risk_band]])</f>
        <v>16.500166666666669</v>
      </c>
      <c r="AG59" s="2" t="str" cm="1">
        <f t="array" ref="AG59">_xlfn.IFS(Table1[[#This Row],[dti_ratio]] &lt; 0.2, " less than 0.2", Table1[[#This Row],[dti_ratio]] &lt; 0.3, "0.2 - 0.3", Table1[[#This Row],[dti_ratio]] &lt;= 0.5, "0.35 - 0.5", Table1[[#This Row],[dti_ratio]] &gt; 0.5, "greater than 0.5")</f>
        <v>0.35 - 0.5</v>
      </c>
      <c r="AH59" s="2">
        <f>COUNTIF(Table1[DTI band],Table1[[#This Row],[DTI band]])</f>
        <v>260</v>
      </c>
      <c r="AI59" s="2" t="str" cm="1">
        <f t="array" ref="AI59">_xlfn.IFS(Table1[[#This Row],[ltv_ratio]] &lt; 0.6, "less than 0.6 -less risky", Table1[[#This Row],[ltv_ratio]]  &lt;= 0.8, "0.6 - 0.8 -medium risky",Table1[[#This Row],[ltv_ratio]] &gt; 0.8, "greater than 0.8 -highly risky")</f>
        <v>0.6 - 0.8 -medium risky</v>
      </c>
      <c r="AJ59" s="2">
        <f>COUNTIF(Table1[LTV band],Table1[[#This Row],[LTV band]])</f>
        <v>302</v>
      </c>
      <c r="AK59" s="2">
        <f>COUNTIFS(Table1[count_loan_perband],Table1[[#This Row],[count_loan_perband]],Table1[default_flag],1)/COUNTIF(Table1[count_loan_perband],Table1[[#This Row],[count_loan_perband]])</f>
        <v>3.6423841059602648E-2</v>
      </c>
      <c r="AL59" s="2" t="str" cm="1">
        <f t="array" ref="AL59">_xlfn.IFS(Table1[[#This Row],[loan_amount]] &lt; 900000, "lower size (&lt; 9L)", Table1[[#This Row],[loan_amount]] &lt;=3300000, "medium size (&lt;=33L)", Table1[[#This Row],[loan_amount]] &gt; 3300000, "larger size (&gt; 33L)")</f>
        <v>lower size (&lt; 9L)</v>
      </c>
      <c r="AM59" s="2">
        <f>IF(Table1[[#This Row],[dpd]] &gt;=30,1,0)</f>
        <v>0</v>
      </c>
      <c r="AN59" s="2">
        <f>COUNTIFS(Table1[Loan size],Table1[[#This Row],[Loan size]],Table1[dpd flag],1)/COUNTIF(Table1[Loan size],Table1[[#This Row],[Loan size]])</f>
        <v>0.13934426229508196</v>
      </c>
      <c r="AO59" s="2" t="str">
        <f>IF(OR(Table1[[#This Row],[credit_score]] &lt; 600, Table1[ [#This Row],[dti_ratio] ] &gt; 0.5, Table1[[#This Row],[dpd]] &gt;=30), "high risk", " not riskY")</f>
        <v xml:space="preserve"> not riskY</v>
      </c>
      <c r="AP59" s="26">
        <f>EOMONTH(Table1[[#This Row],[origination_date]],0)</f>
        <v>44985</v>
      </c>
      <c r="AQ59" s="2">
        <f>SUMIFS(Table1[loan_amount],Table1[origination month],Table1[[#This Row],[origination month]])</f>
        <v>11207500</v>
      </c>
      <c r="AR59" s="2">
        <f>AVERAGEIFS(Table1[months_on_book],Table1[product],Table1[[#This Row],[product]])</f>
        <v>21.092024539877301</v>
      </c>
      <c r="AS59" s="2" t="str">
        <f ca="1">IF(EDATE(Table1[[#This Row],[origination_date]],6) &gt;= TODAY(), "New Loan", "Old Loan")</f>
        <v>Old Loan</v>
      </c>
      <c r="AT59" s="2" t="str">
        <f>"Q"&amp;ROUNDUP(MONTH(Table1[[#This Row],[origination_date]])/3,0)&amp;YEAR(Table1[[#This Row],[origination_date]])</f>
        <v>Q12023</v>
      </c>
      <c r="AU59" s="2">
        <f>SUMIFS(Table1[loan_amount],Table1[quarter],Table1[[#This Row],[quarter]])</f>
        <v>46066100</v>
      </c>
      <c r="AV59" s="34" t="str">
        <f>_xlfn.TEXTJOIN("|",TRUE,Table1[[#This Row],[loan_id]:[loan_status]])</f>
        <v>L97225873|C5283357|44969|Personal Loan|Online|West|Salaried|120|306400|17.5|5423|1350307|717|B|0.42|0.79|0|34|179963|187206|0|0|0|Active</v>
      </c>
      <c r="AW59" s="42">
        <f>YEAR(Loan_Table[ [#This Row],[origination_date] ])</f>
        <v>2023</v>
      </c>
      <c r="AY59" s="2" t="s">
        <v>1223</v>
      </c>
      <c r="AZ59" s="2" t="s">
        <v>1224</v>
      </c>
      <c r="BA59" s="2">
        <f>COUNTIF(Loan_Table[ltv_ratio],"&gt;1")</f>
        <v>11</v>
      </c>
    </row>
    <row r="60" spans="2:64" ht="18" customHeight="1">
      <c r="B60" s="5" t="s">
        <v>240</v>
      </c>
      <c r="C60" s="2" t="s">
        <v>241</v>
      </c>
      <c r="D60" s="3">
        <v>44946</v>
      </c>
      <c r="E60" s="2" t="s">
        <v>131</v>
      </c>
      <c r="F60" s="2" t="s">
        <v>144</v>
      </c>
      <c r="G60" s="2" t="s">
        <v>145</v>
      </c>
      <c r="H60" s="2" t="s">
        <v>152</v>
      </c>
      <c r="I60" s="2">
        <v>120</v>
      </c>
      <c r="J60" s="2">
        <v>726300</v>
      </c>
      <c r="K60" s="2">
        <v>17.809999999999999</v>
      </c>
      <c r="L60" s="2">
        <v>12998</v>
      </c>
      <c r="M60" s="2">
        <v>970471</v>
      </c>
      <c r="N60" s="2">
        <v>707</v>
      </c>
      <c r="O60" s="2" t="s">
        <v>135</v>
      </c>
      <c r="P60" s="2">
        <v>0.41</v>
      </c>
      <c r="Q60" s="2">
        <v>0.63</v>
      </c>
      <c r="R60" s="2">
        <v>0</v>
      </c>
      <c r="S60" s="2">
        <v>35</v>
      </c>
      <c r="T60" s="2">
        <v>456513</v>
      </c>
      <c r="U60" s="2">
        <v>420700</v>
      </c>
      <c r="V60" s="2">
        <v>0</v>
      </c>
      <c r="W60" s="2">
        <v>0</v>
      </c>
      <c r="X60" s="2">
        <v>0</v>
      </c>
      <c r="Y60" s="2" t="s">
        <v>148</v>
      </c>
      <c r="Z60" s="12">
        <f>SUMIF(Table1[product],Table1[[#This Row],[product]],Table1[loan_amount])</f>
        <v>74897600</v>
      </c>
      <c r="AA60" s="15">
        <f>SUMIF(Table1[region],Table1[[#This Row],[region]],Table1[current_balance])</f>
        <v>98928695</v>
      </c>
      <c r="AB60" s="2">
        <f>COUNTIF(Table1[loan_status],Table1[[#This Row],[loan_status]])</f>
        <v>301</v>
      </c>
      <c r="AC60" s="2">
        <f>COUNTIF(Table1[default_flag],1)/ROWS(Table1[loan_id])</f>
        <v>2.5999999999999999E-2</v>
      </c>
      <c r="AD60" s="2">
        <f>COUNTIFS(Table1[region],Table1[[#This Row],[region]],Table1[default_flag],1)/COUNTIF(Table1[region],Table1[[#This Row],[region]])</f>
        <v>2.8571428571428571E-2</v>
      </c>
      <c r="AE60" s="2">
        <f>COUNTIFS(Table1[channel],Table1[[#This Row],[channel]],Table1[prepayment_flag],1)/COUNTIF(Table1[channel],Table1[[#This Row],[channel]])</f>
        <v>5.8201058201058198E-2</v>
      </c>
      <c r="AF60" s="2">
        <f>AVERAGEIFS(Table1[interest_rate_pct],Table1[product],Table1[[#This Row],[product]],Table1[risk_band],Table1[[#This Row],[risk_band]])</f>
        <v>16.500166666666669</v>
      </c>
      <c r="AG60" s="2" t="str" cm="1">
        <f t="array" ref="AG60">_xlfn.IFS(Table1[[#This Row],[dti_ratio]] &lt; 0.2, " less than 0.2", Table1[[#This Row],[dti_ratio]] &lt; 0.3, "0.2 - 0.3", Table1[[#This Row],[dti_ratio]] &lt;= 0.5, "0.35 - 0.5", Table1[[#This Row],[dti_ratio]] &gt; 0.5, "greater than 0.5")</f>
        <v>0.35 - 0.5</v>
      </c>
      <c r="AH60" s="2">
        <f>COUNTIF(Table1[DTI band],Table1[[#This Row],[DTI band]])</f>
        <v>260</v>
      </c>
      <c r="AI60" s="2" t="str" cm="1">
        <f t="array" ref="AI60">_xlfn.IFS(Table1[[#This Row],[ltv_ratio]] &lt; 0.6, "less than 0.6 -less risky", Table1[[#This Row],[ltv_ratio]]  &lt;= 0.8, "0.6 - 0.8 -medium risky",Table1[[#This Row],[ltv_ratio]] &gt; 0.8, "greater than 0.8 -highly risky")</f>
        <v>0.6 - 0.8 -medium risky</v>
      </c>
      <c r="AJ60" s="2">
        <f>COUNTIF(Table1[LTV band],Table1[[#This Row],[LTV band]])</f>
        <v>302</v>
      </c>
      <c r="AK60" s="2">
        <f>COUNTIFS(Table1[count_loan_perband],Table1[[#This Row],[count_loan_perband]],Table1[default_flag],1)/COUNTIF(Table1[count_loan_perband],Table1[[#This Row],[count_loan_perband]])</f>
        <v>3.6423841059602648E-2</v>
      </c>
      <c r="AL60" s="2" t="str" cm="1">
        <f t="array" ref="AL60">_xlfn.IFS(Table1[[#This Row],[loan_amount]] &lt; 900000, "lower size (&lt; 9L)", Table1[[#This Row],[loan_amount]] &lt;=3300000, "medium size (&lt;=33L)", Table1[[#This Row],[loan_amount]] &gt; 3300000, "larger size (&gt; 33L)")</f>
        <v>lower size (&lt; 9L)</v>
      </c>
      <c r="AM60" s="2">
        <f>IF(Table1[[#This Row],[dpd]] &gt;=30,1,0)</f>
        <v>0</v>
      </c>
      <c r="AN60" s="2">
        <f>COUNTIFS(Table1[Loan size],Table1[[#This Row],[Loan size]],Table1[dpd flag],1)/COUNTIF(Table1[Loan size],Table1[[#This Row],[Loan size]])</f>
        <v>0.13934426229508196</v>
      </c>
      <c r="AO60" s="2" t="str">
        <f>IF(OR(Table1[[#This Row],[credit_score]] &lt; 600, Table1[ [#This Row],[dti_ratio] ] &gt; 0.5, Table1[[#This Row],[dpd]] &gt;=30), "high risk", " not riskY")</f>
        <v xml:space="preserve"> not riskY</v>
      </c>
      <c r="AP60" s="26">
        <f>EOMONTH(Table1[[#This Row],[origination_date]],0)</f>
        <v>44957</v>
      </c>
      <c r="AQ60" s="2">
        <f>SUMIFS(Table1[loan_amount],Table1[origination month],Table1[[#This Row],[origination month]])</f>
        <v>11698400</v>
      </c>
      <c r="AR60" s="2">
        <f>AVERAGEIFS(Table1[months_on_book],Table1[product],Table1[[#This Row],[product]])</f>
        <v>21.092024539877301</v>
      </c>
      <c r="AS60" s="2" t="str">
        <f ca="1">IF(EDATE(Table1[[#This Row],[origination_date]],6) &gt;= TODAY(), "New Loan", "Old Loan")</f>
        <v>Old Loan</v>
      </c>
      <c r="AT60" s="2" t="str">
        <f>"Q"&amp;ROUNDUP(MONTH(Table1[[#This Row],[origination_date]])/3,0)&amp;YEAR(Table1[[#This Row],[origination_date]])</f>
        <v>Q12023</v>
      </c>
      <c r="AU60" s="2">
        <f>SUMIFS(Table1[loan_amount],Table1[quarter],Table1[[#This Row],[quarter]])</f>
        <v>46066100</v>
      </c>
      <c r="AV60" s="34" t="str">
        <f>_xlfn.TEXTJOIN("|",TRUE,Table1[[#This Row],[loan_id]:[loan_status]])</f>
        <v>L70156266|C2486086|44946|Personal Loan|Branch|Central|Self-Employed|120|726300|17.81|12998|970471|707|B|0.41|0.63|0|35|456513|420700|0|0|0|Active</v>
      </c>
      <c r="AW60" s="42">
        <f>YEAR(Loan_Table[ [#This Row],[origination_date] ])</f>
        <v>2023</v>
      </c>
      <c r="AY60" s="2" t="s">
        <v>1225</v>
      </c>
      <c r="AZ60" s="2" t="s">
        <v>1226</v>
      </c>
      <c r="BA60" s="2">
        <f>COUNTIF(Loan_Table[dti_ratio],"&gt;1")</f>
        <v>0</v>
      </c>
    </row>
    <row r="61" spans="2:64" ht="18" customHeight="1">
      <c r="B61" s="5" t="s">
        <v>242</v>
      </c>
      <c r="C61" s="2" t="s">
        <v>243</v>
      </c>
      <c r="D61" s="3">
        <v>44976</v>
      </c>
      <c r="E61" s="2" t="s">
        <v>158</v>
      </c>
      <c r="F61" s="2" t="s">
        <v>144</v>
      </c>
      <c r="G61" s="2" t="s">
        <v>151</v>
      </c>
      <c r="H61" s="2" t="s">
        <v>152</v>
      </c>
      <c r="I61" s="2">
        <v>24</v>
      </c>
      <c r="J61" s="2">
        <v>2316700</v>
      </c>
      <c r="K61" s="2">
        <v>14.09</v>
      </c>
      <c r="L61" s="2">
        <v>111330</v>
      </c>
      <c r="M61" s="2">
        <v>1180252</v>
      </c>
      <c r="N61" s="2">
        <v>715</v>
      </c>
      <c r="O61" s="2" t="s">
        <v>135</v>
      </c>
      <c r="P61" s="2">
        <v>0.41</v>
      </c>
      <c r="Q61" s="2">
        <v>0.76</v>
      </c>
      <c r="R61" s="2">
        <v>3039600</v>
      </c>
      <c r="S61" s="2">
        <v>24</v>
      </c>
      <c r="T61" s="2">
        <v>2701082</v>
      </c>
      <c r="U61" s="2">
        <v>0</v>
      </c>
      <c r="V61" s="2">
        <v>0</v>
      </c>
      <c r="W61" s="2">
        <v>0</v>
      </c>
      <c r="X61" s="2">
        <v>0</v>
      </c>
      <c r="Y61" s="2" t="s">
        <v>141</v>
      </c>
      <c r="Z61" s="12">
        <f>SUMIF(Table1[product],Table1[[#This Row],[product]],Table1[loan_amount])</f>
        <v>201475100</v>
      </c>
      <c r="AA61" s="15">
        <f>SUMIF(Table1[region],Table1[[#This Row],[region]],Table1[current_balance])</f>
        <v>105779369</v>
      </c>
      <c r="AB61" s="2">
        <f>COUNTIF(Table1[loan_status],Table1[[#This Row],[loan_status]])</f>
        <v>139</v>
      </c>
      <c r="AC61" s="2">
        <f>COUNTIF(Table1[default_flag],1)/ROWS(Table1[loan_id])</f>
        <v>2.5999999999999999E-2</v>
      </c>
      <c r="AD61" s="2">
        <f>COUNTIFS(Table1[region],Table1[[#This Row],[region]],Table1[default_flag],1)/COUNTIF(Table1[region],Table1[[#This Row],[region]])</f>
        <v>2.6548672566371681E-2</v>
      </c>
      <c r="AE61" s="2">
        <f>COUNTIFS(Table1[channel],Table1[[#This Row],[channel]],Table1[prepayment_flag],1)/COUNTIF(Table1[channel],Table1[[#This Row],[channel]])</f>
        <v>5.8201058201058198E-2</v>
      </c>
      <c r="AF61" s="2">
        <f>AVERAGEIFS(Table1[interest_rate_pct],Table1[product],Table1[[#This Row],[product]],Table1[risk_band],Table1[[#This Row],[risk_band]])</f>
        <v>13.042631578947367</v>
      </c>
      <c r="AG61" s="2" t="str" cm="1">
        <f t="array" ref="AG61">_xlfn.IFS(Table1[[#This Row],[dti_ratio]] &lt; 0.2, " less than 0.2", Table1[[#This Row],[dti_ratio]] &lt; 0.3, "0.2 - 0.3", Table1[[#This Row],[dti_ratio]] &lt;= 0.5, "0.35 - 0.5", Table1[[#This Row],[dti_ratio]] &gt; 0.5, "greater than 0.5")</f>
        <v>0.35 - 0.5</v>
      </c>
      <c r="AH61" s="2">
        <f>COUNTIF(Table1[DTI band],Table1[[#This Row],[DTI band]])</f>
        <v>260</v>
      </c>
      <c r="AI61" s="2" t="str" cm="1">
        <f t="array" ref="AI61">_xlfn.IFS(Table1[[#This Row],[ltv_ratio]] &lt; 0.6, "less than 0.6 -less risky", Table1[[#This Row],[ltv_ratio]]  &lt;= 0.8, "0.6 - 0.8 -medium risky",Table1[[#This Row],[ltv_ratio]] &gt; 0.8, "greater than 0.8 -highly risky")</f>
        <v>0.6 - 0.8 -medium risky</v>
      </c>
      <c r="AJ61" s="2">
        <f>COUNTIF(Table1[LTV band],Table1[[#This Row],[LTV band]])</f>
        <v>302</v>
      </c>
      <c r="AK61" s="2">
        <f>COUNTIFS(Table1[count_loan_perband],Table1[[#This Row],[count_loan_perband]],Table1[default_flag],1)/COUNTIF(Table1[count_loan_perband],Table1[[#This Row],[count_loan_perband]])</f>
        <v>3.6423841059602648E-2</v>
      </c>
      <c r="AL61" s="2" t="str" cm="1">
        <f t="array" ref="AL61">_xlfn.IFS(Table1[[#This Row],[loan_amount]] &lt; 900000, "lower size (&lt; 9L)", Table1[[#This Row],[loan_amount]] &lt;=3300000, "medium size (&lt;=33L)", Table1[[#This Row],[loan_amount]] &gt; 3300000, "larger size (&gt; 33L)")</f>
        <v>medium size (&lt;=33L)</v>
      </c>
      <c r="AM61" s="2">
        <f>IF(Table1[[#This Row],[dpd]] &gt;=30,1,0)</f>
        <v>0</v>
      </c>
      <c r="AN61" s="2">
        <f>COUNTIFS(Table1[Loan size],Table1[[#This Row],[Loan size]],Table1[dpd flag],1)/COUNTIF(Table1[Loan size],Table1[[#This Row],[Loan size]])</f>
        <v>0.15909090909090909</v>
      </c>
      <c r="AO61" s="2" t="str">
        <f>IF(OR(Table1[[#This Row],[credit_score]] &lt; 600, Table1[ [#This Row],[dti_ratio] ] &gt; 0.5, Table1[[#This Row],[dpd]] &gt;=30), "high risk", " not riskY")</f>
        <v xml:space="preserve"> not riskY</v>
      </c>
      <c r="AP61" s="26">
        <f>EOMONTH(Table1[[#This Row],[origination_date]],0)</f>
        <v>44985</v>
      </c>
      <c r="AQ61" s="2">
        <f>SUMIFS(Table1[loan_amount],Table1[origination month],Table1[[#This Row],[origination month]])</f>
        <v>11207500</v>
      </c>
      <c r="AR61" s="2">
        <f>AVERAGEIFS(Table1[months_on_book],Table1[product],Table1[[#This Row],[product]])</f>
        <v>19.091954022988507</v>
      </c>
      <c r="AS61" s="2" t="str">
        <f ca="1">IF(EDATE(Table1[[#This Row],[origination_date]],6) &gt;= TODAY(), "New Loan", "Old Loan")</f>
        <v>Old Loan</v>
      </c>
      <c r="AT61" s="2" t="str">
        <f>"Q"&amp;ROUNDUP(MONTH(Table1[[#This Row],[origination_date]])/3,0)&amp;YEAR(Table1[[#This Row],[origination_date]])</f>
        <v>Q12023</v>
      </c>
      <c r="AU61" s="2">
        <f>SUMIFS(Table1[loan_amount],Table1[quarter],Table1[[#This Row],[quarter]])</f>
        <v>46066100</v>
      </c>
      <c r="AV61" s="34" t="str">
        <f>_xlfn.TEXTJOIN("|",TRUE,Table1[[#This Row],[loan_id]:[loan_status]])</f>
        <v>L32546185|C5923319|44976|SME Loan|Branch|North|Self-Employed|24|2316700|14.09|111330|1180252|715|B|0.41|0.76|3039600|24|2701082|0|0|0|0|Closed</v>
      </c>
      <c r="AW61" s="42">
        <f>YEAR(Loan_Table[ [#This Row],[origination_date] ])</f>
        <v>2023</v>
      </c>
    </row>
    <row r="62" spans="2:64" ht="18" customHeight="1">
      <c r="B62" s="5" t="s">
        <v>244</v>
      </c>
      <c r="C62" s="2" t="s">
        <v>245</v>
      </c>
      <c r="D62" s="3">
        <v>45001</v>
      </c>
      <c r="E62" s="2" t="s">
        <v>131</v>
      </c>
      <c r="F62" s="2" t="s">
        <v>159</v>
      </c>
      <c r="G62" s="2" t="s">
        <v>139</v>
      </c>
      <c r="H62" s="2" t="s">
        <v>146</v>
      </c>
      <c r="I62" s="2">
        <v>120</v>
      </c>
      <c r="J62" s="2">
        <v>304300</v>
      </c>
      <c r="K62" s="2">
        <v>16.420000000000002</v>
      </c>
      <c r="L62" s="2">
        <v>5177</v>
      </c>
      <c r="M62" s="2">
        <v>885148</v>
      </c>
      <c r="N62" s="2">
        <v>714</v>
      </c>
      <c r="O62" s="2" t="s">
        <v>135</v>
      </c>
      <c r="P62" s="2">
        <v>0.4</v>
      </c>
      <c r="Q62" s="2">
        <v>0.61</v>
      </c>
      <c r="R62" s="2">
        <v>0</v>
      </c>
      <c r="S62" s="2">
        <v>33</v>
      </c>
      <c r="T62" s="2">
        <v>154462</v>
      </c>
      <c r="U62" s="2">
        <v>204801</v>
      </c>
      <c r="V62" s="2">
        <v>0</v>
      </c>
      <c r="W62" s="2">
        <v>0</v>
      </c>
      <c r="X62" s="2">
        <v>0</v>
      </c>
      <c r="Y62" s="2" t="s">
        <v>148</v>
      </c>
      <c r="Z62" s="12">
        <f>SUMIF(Table1[product],Table1[[#This Row],[product]],Table1[loan_amount])</f>
        <v>74897600</v>
      </c>
      <c r="AA62" s="15">
        <f>SUMIF(Table1[region],Table1[[#This Row],[region]],Table1[current_balance])</f>
        <v>83903255</v>
      </c>
      <c r="AB62" s="2">
        <f>COUNTIF(Table1[loan_status],Table1[[#This Row],[loan_status]])</f>
        <v>301</v>
      </c>
      <c r="AC62" s="2">
        <f>COUNTIF(Table1[default_flag],1)/ROWS(Table1[loan_id])</f>
        <v>2.5999999999999999E-2</v>
      </c>
      <c r="AD62" s="2">
        <f>COUNTIFS(Table1[region],Table1[[#This Row],[region]],Table1[default_flag],1)/COUNTIF(Table1[region],Table1[[#This Row],[region]])</f>
        <v>4.2553191489361701E-2</v>
      </c>
      <c r="AE62" s="2">
        <f>COUNTIFS(Table1[channel],Table1[[#This Row],[channel]],Table1[prepayment_flag],1)/COUNTIF(Table1[channel],Table1[[#This Row],[channel]])</f>
        <v>0.1</v>
      </c>
      <c r="AF62" s="2">
        <f>AVERAGEIFS(Table1[interest_rate_pct],Table1[product],Table1[[#This Row],[product]],Table1[risk_band],Table1[[#This Row],[risk_band]])</f>
        <v>16.500166666666669</v>
      </c>
      <c r="AG62" s="2" t="str" cm="1">
        <f t="array" ref="AG62">_xlfn.IFS(Table1[[#This Row],[dti_ratio]] &lt; 0.2, " less than 0.2", Table1[[#This Row],[dti_ratio]] &lt; 0.3, "0.2 - 0.3", Table1[[#This Row],[dti_ratio]] &lt;= 0.5, "0.35 - 0.5", Table1[[#This Row],[dti_ratio]] &gt; 0.5, "greater than 0.5")</f>
        <v>0.35 - 0.5</v>
      </c>
      <c r="AH62" s="2">
        <f>COUNTIF(Table1[DTI band],Table1[[#This Row],[DTI band]])</f>
        <v>260</v>
      </c>
      <c r="AI62" s="2" t="str" cm="1">
        <f t="array" ref="AI62">_xlfn.IFS(Table1[[#This Row],[ltv_ratio]] &lt; 0.6, "less than 0.6 -less risky", Table1[[#This Row],[ltv_ratio]]  &lt;= 0.8, "0.6 - 0.8 -medium risky",Table1[[#This Row],[ltv_ratio]] &gt; 0.8, "greater than 0.8 -highly risky")</f>
        <v>0.6 - 0.8 -medium risky</v>
      </c>
      <c r="AJ62" s="2">
        <f>COUNTIF(Table1[LTV band],Table1[[#This Row],[LTV band]])</f>
        <v>302</v>
      </c>
      <c r="AK62" s="2">
        <f>COUNTIFS(Table1[count_loan_perband],Table1[[#This Row],[count_loan_perband]],Table1[default_flag],1)/COUNTIF(Table1[count_loan_perband],Table1[[#This Row],[count_loan_perband]])</f>
        <v>3.6423841059602648E-2</v>
      </c>
      <c r="AL62" s="2" t="str" cm="1">
        <f t="array" ref="AL62">_xlfn.IFS(Table1[[#This Row],[loan_amount]] &lt; 900000, "lower size (&lt; 9L)", Table1[[#This Row],[loan_amount]] &lt;=3300000, "medium size (&lt;=33L)", Table1[[#This Row],[loan_amount]] &gt; 3300000, "larger size (&gt; 33L)")</f>
        <v>lower size (&lt; 9L)</v>
      </c>
      <c r="AM62" s="2">
        <f>IF(Table1[[#This Row],[dpd]] &gt;=30,1,0)</f>
        <v>0</v>
      </c>
      <c r="AN62" s="2">
        <f>COUNTIFS(Table1[Loan size],Table1[[#This Row],[Loan size]],Table1[dpd flag],1)/COUNTIF(Table1[Loan size],Table1[[#This Row],[Loan size]])</f>
        <v>0.13934426229508196</v>
      </c>
      <c r="AO62" s="2" t="str">
        <f>IF(OR(Table1[[#This Row],[credit_score]] &lt; 600, Table1[ [#This Row],[dti_ratio] ] &gt; 0.5, Table1[[#This Row],[dpd]] &gt;=30), "high risk", " not riskY")</f>
        <v xml:space="preserve"> not riskY</v>
      </c>
      <c r="AP62" s="26">
        <f>EOMONTH(Table1[[#This Row],[origination_date]],0)</f>
        <v>45016</v>
      </c>
      <c r="AQ62" s="2">
        <f>SUMIFS(Table1[loan_amount],Table1[origination month],Table1[[#This Row],[origination month]])</f>
        <v>23160200</v>
      </c>
      <c r="AR62" s="2">
        <f>AVERAGEIFS(Table1[months_on_book],Table1[product],Table1[[#This Row],[product]])</f>
        <v>21.092024539877301</v>
      </c>
      <c r="AS62" s="2" t="str">
        <f ca="1">IF(EDATE(Table1[[#This Row],[origination_date]],6) &gt;= TODAY(), "New Loan", "Old Loan")</f>
        <v>Old Loan</v>
      </c>
      <c r="AT62" s="2" t="str">
        <f>"Q"&amp;ROUNDUP(MONTH(Table1[[#This Row],[origination_date]])/3,0)&amp;YEAR(Table1[[#This Row],[origination_date]])</f>
        <v>Q12023</v>
      </c>
      <c r="AU62" s="2">
        <f>SUMIFS(Table1[loan_amount],Table1[quarter],Table1[[#This Row],[quarter]])</f>
        <v>46066100</v>
      </c>
      <c r="AV62" s="34" t="str">
        <f>_xlfn.TEXTJOIN("|",TRUE,Table1[[#This Row],[loan_id]:[loan_status]])</f>
        <v>L54606328|C8207957|45001|Personal Loan|Partner|West|Contract|120|304300|16.42|5177|885148|714|B|0.4|0.61|0|33|154462|204801|0|0|0|Active</v>
      </c>
      <c r="AW62" s="42">
        <f>YEAR(Loan_Table[ [#This Row],[origination_date] ])</f>
        <v>2023</v>
      </c>
      <c r="AY62" s="4" t="s">
        <v>1227</v>
      </c>
    </row>
    <row r="63" spans="2:64" ht="18" customHeight="1">
      <c r="B63" s="5" t="s">
        <v>246</v>
      </c>
      <c r="C63" s="2" t="s">
        <v>247</v>
      </c>
      <c r="D63" s="3">
        <v>44981</v>
      </c>
      <c r="E63" s="2" t="s">
        <v>158</v>
      </c>
      <c r="F63" s="2" t="s">
        <v>144</v>
      </c>
      <c r="G63" s="2" t="s">
        <v>133</v>
      </c>
      <c r="H63" s="2" t="s">
        <v>152</v>
      </c>
      <c r="I63" s="2">
        <v>36</v>
      </c>
      <c r="J63" s="2">
        <v>2003100</v>
      </c>
      <c r="K63" s="2">
        <v>12.16</v>
      </c>
      <c r="L63" s="2">
        <v>66685</v>
      </c>
      <c r="M63" s="2">
        <v>668214</v>
      </c>
      <c r="N63" s="2">
        <v>728</v>
      </c>
      <c r="O63" s="2" t="s">
        <v>135</v>
      </c>
      <c r="P63" s="2">
        <v>0.4</v>
      </c>
      <c r="Q63" s="2">
        <v>0.59</v>
      </c>
      <c r="R63" s="2">
        <v>3401100</v>
      </c>
      <c r="S63" s="2">
        <v>34</v>
      </c>
      <c r="T63" s="2">
        <v>2008329</v>
      </c>
      <c r="U63" s="2">
        <v>270825</v>
      </c>
      <c r="V63" s="2">
        <v>0</v>
      </c>
      <c r="W63" s="2">
        <v>0</v>
      </c>
      <c r="X63" s="2">
        <v>0</v>
      </c>
      <c r="Y63" s="2" t="s">
        <v>148</v>
      </c>
      <c r="Z63" s="12">
        <f>SUMIF(Table1[product],Table1[[#This Row],[product]],Table1[loan_amount])</f>
        <v>201475100</v>
      </c>
      <c r="AA63" s="15">
        <f>SUMIF(Table1[region],Table1[[#This Row],[region]],Table1[current_balance])</f>
        <v>94548000</v>
      </c>
      <c r="AB63" s="2">
        <f>COUNTIF(Table1[loan_status],Table1[[#This Row],[loan_status]])</f>
        <v>301</v>
      </c>
      <c r="AC63" s="2">
        <f>COUNTIF(Table1[default_flag],1)/ROWS(Table1[loan_id])</f>
        <v>2.5999999999999999E-2</v>
      </c>
      <c r="AD63" s="2">
        <f>COUNTIFS(Table1[region],Table1[[#This Row],[region]],Table1[default_flag],1)/COUNTIF(Table1[region],Table1[[#This Row],[region]])</f>
        <v>0</v>
      </c>
      <c r="AE63" s="2">
        <f>COUNTIFS(Table1[channel],Table1[[#This Row],[channel]],Table1[prepayment_flag],1)/COUNTIF(Table1[channel],Table1[[#This Row],[channel]])</f>
        <v>5.8201058201058198E-2</v>
      </c>
      <c r="AF63" s="2">
        <f>AVERAGEIFS(Table1[interest_rate_pct],Table1[product],Table1[[#This Row],[product]],Table1[risk_band],Table1[[#This Row],[risk_band]])</f>
        <v>13.042631578947367</v>
      </c>
      <c r="AG63" s="2" t="str" cm="1">
        <f t="array" ref="AG63">_xlfn.IFS(Table1[[#This Row],[dti_ratio]] &lt; 0.2, " less than 0.2", Table1[[#This Row],[dti_ratio]] &lt; 0.3, "0.2 - 0.3", Table1[[#This Row],[dti_ratio]] &lt;= 0.5, "0.35 - 0.5", Table1[[#This Row],[dti_ratio]] &gt; 0.5, "greater than 0.5")</f>
        <v>0.35 - 0.5</v>
      </c>
      <c r="AH63" s="2">
        <f>COUNTIF(Table1[DTI band],Table1[[#This Row],[DTI band]])</f>
        <v>260</v>
      </c>
      <c r="AI63" s="2" t="str" cm="1">
        <f t="array" ref="AI63">_xlfn.IFS(Table1[[#This Row],[ltv_ratio]] &lt; 0.6, "less than 0.6 -less risky", Table1[[#This Row],[ltv_ratio]]  &lt;= 0.8, "0.6 - 0.8 -medium risky",Table1[[#This Row],[ltv_ratio]] &gt; 0.8, "greater than 0.8 -highly risky")</f>
        <v>less than 0.6 -less risky</v>
      </c>
      <c r="AJ63" s="2">
        <f>COUNTIF(Table1[LTV band],Table1[[#This Row],[LTV band]])</f>
        <v>57</v>
      </c>
      <c r="AK63" s="2">
        <f>COUNTIFS(Table1[count_loan_perband],Table1[[#This Row],[count_loan_perband]],Table1[default_flag],1)/COUNTIF(Table1[count_loan_perband],Table1[[#This Row],[count_loan_perband]])</f>
        <v>0</v>
      </c>
      <c r="AL63" s="2" t="str" cm="1">
        <f t="array" ref="AL63">_xlfn.IFS(Table1[[#This Row],[loan_amount]] &lt; 900000, "lower size (&lt; 9L)", Table1[[#This Row],[loan_amount]] &lt;=3300000, "medium size (&lt;=33L)", Table1[[#This Row],[loan_amount]] &gt; 3300000, "larger size (&gt; 33L)")</f>
        <v>medium size (&lt;=33L)</v>
      </c>
      <c r="AM63" s="2">
        <f>IF(Table1[[#This Row],[dpd]] &gt;=30,1,0)</f>
        <v>0</v>
      </c>
      <c r="AN63" s="2">
        <f>COUNTIFS(Table1[Loan size],Table1[[#This Row],[Loan size]],Table1[dpd flag],1)/COUNTIF(Table1[Loan size],Table1[[#This Row],[Loan size]])</f>
        <v>0.15909090909090909</v>
      </c>
      <c r="AO63" s="2" t="str">
        <f>IF(OR(Table1[[#This Row],[credit_score]] &lt; 600, Table1[ [#This Row],[dti_ratio] ] &gt; 0.5, Table1[[#This Row],[dpd]] &gt;=30), "high risk", " not riskY")</f>
        <v xml:space="preserve"> not riskY</v>
      </c>
      <c r="AP63" s="26">
        <f>EOMONTH(Table1[[#This Row],[origination_date]],0)</f>
        <v>44985</v>
      </c>
      <c r="AQ63" s="2">
        <f>SUMIFS(Table1[loan_amount],Table1[origination month],Table1[[#This Row],[origination month]])</f>
        <v>11207500</v>
      </c>
      <c r="AR63" s="2">
        <f>AVERAGEIFS(Table1[months_on_book],Table1[product],Table1[[#This Row],[product]])</f>
        <v>19.091954022988507</v>
      </c>
      <c r="AS63" s="2" t="str">
        <f ca="1">IF(EDATE(Table1[[#This Row],[origination_date]],6) &gt;= TODAY(), "New Loan", "Old Loan")</f>
        <v>Old Loan</v>
      </c>
      <c r="AT63" s="2" t="str">
        <f>"Q"&amp;ROUNDUP(MONTH(Table1[[#This Row],[origination_date]])/3,0)&amp;YEAR(Table1[[#This Row],[origination_date]])</f>
        <v>Q12023</v>
      </c>
      <c r="AU63" s="2">
        <f>SUMIFS(Table1[loan_amount],Table1[quarter],Table1[[#This Row],[quarter]])</f>
        <v>46066100</v>
      </c>
      <c r="AV63" s="34" t="str">
        <f>_xlfn.TEXTJOIN("|",TRUE,Table1[[#This Row],[loan_id]:[loan_status]])</f>
        <v>L96425600|C1840683|44981|SME Loan|Branch|South|Self-Employed|36|2003100|12.16|66685|668214|728|B|0.4|0.59|3401100|34|2008329|270825|0|0|0|Active</v>
      </c>
      <c r="AW63" s="42">
        <f>YEAR(Loan_Table[ [#This Row],[origination_date] ])</f>
        <v>2023</v>
      </c>
    </row>
    <row r="64" spans="2:64" ht="18" customHeight="1">
      <c r="B64" s="5" t="s">
        <v>248</v>
      </c>
      <c r="C64" s="2" t="s">
        <v>249</v>
      </c>
      <c r="D64" s="3">
        <v>44942</v>
      </c>
      <c r="E64" s="2" t="s">
        <v>131</v>
      </c>
      <c r="F64" s="2" t="s">
        <v>144</v>
      </c>
      <c r="G64" s="2" t="s">
        <v>145</v>
      </c>
      <c r="H64" s="2" t="s">
        <v>152</v>
      </c>
      <c r="I64" s="2">
        <v>120</v>
      </c>
      <c r="J64" s="2">
        <v>232700</v>
      </c>
      <c r="K64" s="2">
        <v>16.23</v>
      </c>
      <c r="L64" s="2">
        <v>3931</v>
      </c>
      <c r="M64" s="2">
        <v>973803</v>
      </c>
      <c r="N64" s="2">
        <v>718</v>
      </c>
      <c r="O64" s="2" t="s">
        <v>135</v>
      </c>
      <c r="P64" s="2">
        <v>0.38</v>
      </c>
      <c r="Q64" s="2">
        <v>0.92</v>
      </c>
      <c r="R64" s="2">
        <v>0</v>
      </c>
      <c r="S64" s="2">
        <v>35</v>
      </c>
      <c r="T64" s="2">
        <v>129472</v>
      </c>
      <c r="U64" s="2">
        <v>147290</v>
      </c>
      <c r="V64" s="2">
        <v>0</v>
      </c>
      <c r="W64" s="2">
        <v>0</v>
      </c>
      <c r="X64" s="2">
        <v>0</v>
      </c>
      <c r="Y64" s="2" t="s">
        <v>148</v>
      </c>
      <c r="Z64" s="12">
        <f>SUMIF(Table1[product],Table1[[#This Row],[product]],Table1[loan_amount])</f>
        <v>74897600</v>
      </c>
      <c r="AA64" s="15">
        <f>SUMIF(Table1[region],Table1[[#This Row],[region]],Table1[current_balance])</f>
        <v>98928695</v>
      </c>
      <c r="AB64" s="2">
        <f>COUNTIF(Table1[loan_status],Table1[[#This Row],[loan_status]])</f>
        <v>301</v>
      </c>
      <c r="AC64" s="2">
        <f>COUNTIF(Table1[default_flag],1)/ROWS(Table1[loan_id])</f>
        <v>2.5999999999999999E-2</v>
      </c>
      <c r="AD64" s="2">
        <f>COUNTIFS(Table1[region],Table1[[#This Row],[region]],Table1[default_flag],1)/COUNTIF(Table1[region],Table1[[#This Row],[region]])</f>
        <v>2.8571428571428571E-2</v>
      </c>
      <c r="AE64" s="2">
        <f>COUNTIFS(Table1[channel],Table1[[#This Row],[channel]],Table1[prepayment_flag],1)/COUNTIF(Table1[channel],Table1[[#This Row],[channel]])</f>
        <v>5.8201058201058198E-2</v>
      </c>
      <c r="AF64" s="2">
        <f>AVERAGEIFS(Table1[interest_rate_pct],Table1[product],Table1[[#This Row],[product]],Table1[risk_band],Table1[[#This Row],[risk_band]])</f>
        <v>16.500166666666669</v>
      </c>
      <c r="AG64" s="2" t="str" cm="1">
        <f t="array" ref="AG64">_xlfn.IFS(Table1[[#This Row],[dti_ratio]] &lt; 0.2, " less than 0.2", Table1[[#This Row],[dti_ratio]] &lt; 0.3, "0.2 - 0.3", Table1[[#This Row],[dti_ratio]] &lt;= 0.5, "0.35 - 0.5", Table1[[#This Row],[dti_ratio]] &gt; 0.5, "greater than 0.5")</f>
        <v>0.35 - 0.5</v>
      </c>
      <c r="AH64" s="2">
        <f>COUNTIF(Table1[DTI band],Table1[[#This Row],[DTI band]])</f>
        <v>260</v>
      </c>
      <c r="AI64" s="2" t="str" cm="1">
        <f t="array" ref="AI64">_xlfn.IFS(Table1[[#This Row],[ltv_ratio]] &lt; 0.6, "less than 0.6 -less risky", Table1[[#This Row],[ltv_ratio]]  &lt;= 0.8, "0.6 - 0.8 -medium risky",Table1[[#This Row],[ltv_ratio]] &gt; 0.8, "greater than 0.8 -highly risky")</f>
        <v>greater than 0.8 -highly risky</v>
      </c>
      <c r="AJ64" s="2">
        <f>COUNTIF(Table1[LTV band],Table1[[#This Row],[LTV band]])</f>
        <v>141</v>
      </c>
      <c r="AK64" s="2">
        <f>COUNTIFS(Table1[count_loan_perband],Table1[[#This Row],[count_loan_perband]],Table1[default_flag],1)/COUNTIF(Table1[count_loan_perband],Table1[[#This Row],[count_loan_perband]])</f>
        <v>1.4184397163120567E-2</v>
      </c>
      <c r="AL64" s="2" t="str" cm="1">
        <f t="array" ref="AL64">_xlfn.IFS(Table1[[#This Row],[loan_amount]] &lt; 900000, "lower size (&lt; 9L)", Table1[[#This Row],[loan_amount]] &lt;=3300000, "medium size (&lt;=33L)", Table1[[#This Row],[loan_amount]] &gt; 3300000, "larger size (&gt; 33L)")</f>
        <v>lower size (&lt; 9L)</v>
      </c>
      <c r="AM64" s="2">
        <f>IF(Table1[[#This Row],[dpd]] &gt;=30,1,0)</f>
        <v>0</v>
      </c>
      <c r="AN64" s="2">
        <f>COUNTIFS(Table1[Loan size],Table1[[#This Row],[Loan size]],Table1[dpd flag],1)/COUNTIF(Table1[Loan size],Table1[[#This Row],[Loan size]])</f>
        <v>0.13934426229508196</v>
      </c>
      <c r="AO64" s="2" t="str">
        <f>IF(OR(Table1[[#This Row],[credit_score]] &lt; 600, Table1[ [#This Row],[dti_ratio] ] &gt; 0.5, Table1[[#This Row],[dpd]] &gt;=30), "high risk", " not riskY")</f>
        <v xml:space="preserve"> not riskY</v>
      </c>
      <c r="AP64" s="26">
        <f>EOMONTH(Table1[[#This Row],[origination_date]],0)</f>
        <v>44957</v>
      </c>
      <c r="AQ64" s="2">
        <f>SUMIFS(Table1[loan_amount],Table1[origination month],Table1[[#This Row],[origination month]])</f>
        <v>11698400</v>
      </c>
      <c r="AR64" s="2">
        <f>AVERAGEIFS(Table1[months_on_book],Table1[product],Table1[[#This Row],[product]])</f>
        <v>21.092024539877301</v>
      </c>
      <c r="AS64" s="2" t="str">
        <f ca="1">IF(EDATE(Table1[[#This Row],[origination_date]],6) &gt;= TODAY(), "New Loan", "Old Loan")</f>
        <v>Old Loan</v>
      </c>
      <c r="AT64" s="2" t="str">
        <f>"Q"&amp;ROUNDUP(MONTH(Table1[[#This Row],[origination_date]])/3,0)&amp;YEAR(Table1[[#This Row],[origination_date]])</f>
        <v>Q12023</v>
      </c>
      <c r="AU64" s="2">
        <f>SUMIFS(Table1[loan_amount],Table1[quarter],Table1[[#This Row],[quarter]])</f>
        <v>46066100</v>
      </c>
      <c r="AV64" s="34" t="str">
        <f>_xlfn.TEXTJOIN("|",TRUE,Table1[[#This Row],[loan_id]:[loan_status]])</f>
        <v>L62888011|C2583995|44942|Personal Loan|Branch|Central|Self-Employed|120|232700|16.23|3931|973803|718|B|0.38|0.92|0|35|129472|147290|0|0|0|Active</v>
      </c>
      <c r="AW64" s="42">
        <f>YEAR(Loan_Table[ [#This Row],[origination_date] ])</f>
        <v>2023</v>
      </c>
      <c r="AY64" t="s">
        <v>1228</v>
      </c>
      <c r="AZ64" t="s">
        <v>1229</v>
      </c>
      <c r="BA64" t="s">
        <v>1157</v>
      </c>
      <c r="BB64" t="s">
        <v>1158</v>
      </c>
      <c r="BC64" t="s">
        <v>1230</v>
      </c>
      <c r="BD64" t="s">
        <v>1160</v>
      </c>
      <c r="BE64" t="s">
        <v>1161</v>
      </c>
      <c r="BF64" t="s">
        <v>1162</v>
      </c>
      <c r="BG64" t="s">
        <v>1165</v>
      </c>
      <c r="BH64" t="s">
        <v>1166</v>
      </c>
      <c r="BI64" t="s">
        <v>1167</v>
      </c>
      <c r="BJ64" t="s">
        <v>1168</v>
      </c>
      <c r="BK64" t="s">
        <v>1231</v>
      </c>
      <c r="BL64" t="s">
        <v>1232</v>
      </c>
    </row>
    <row r="65" spans="2:60" ht="18" customHeight="1">
      <c r="B65" s="5" t="s">
        <v>250</v>
      </c>
      <c r="C65" s="2" t="s">
        <v>251</v>
      </c>
      <c r="D65" s="3">
        <v>44993</v>
      </c>
      <c r="E65" s="2" t="s">
        <v>169</v>
      </c>
      <c r="F65" s="2" t="s">
        <v>144</v>
      </c>
      <c r="G65" s="2" t="s">
        <v>145</v>
      </c>
      <c r="H65" s="2" t="s">
        <v>146</v>
      </c>
      <c r="I65" s="2">
        <v>72</v>
      </c>
      <c r="J65" s="2">
        <v>6951800</v>
      </c>
      <c r="K65" s="2">
        <v>7</v>
      </c>
      <c r="L65" s="2">
        <v>118521</v>
      </c>
      <c r="M65" s="2">
        <v>1219253</v>
      </c>
      <c r="N65" s="2">
        <v>770</v>
      </c>
      <c r="O65" s="2" t="s">
        <v>160</v>
      </c>
      <c r="P65" s="2">
        <v>0.37</v>
      </c>
      <c r="Q65" s="2">
        <v>0.92</v>
      </c>
      <c r="R65" s="2">
        <v>7584600</v>
      </c>
      <c r="S65" s="2">
        <v>33</v>
      </c>
      <c r="T65" s="2">
        <v>3341886</v>
      </c>
      <c r="U65" s="2">
        <v>4145203</v>
      </c>
      <c r="V65" s="2">
        <v>0</v>
      </c>
      <c r="W65" s="2">
        <v>0</v>
      </c>
      <c r="X65" s="2">
        <v>0</v>
      </c>
      <c r="Y65" s="2" t="s">
        <v>148</v>
      </c>
      <c r="Z65" s="12">
        <f>SUMIF(Table1[product],Table1[[#This Row],[product]],Table1[loan_amount])</f>
        <v>403369500</v>
      </c>
      <c r="AA65" s="15">
        <f>SUMIF(Table1[region],Table1[[#This Row],[region]],Table1[current_balance])</f>
        <v>98928695</v>
      </c>
      <c r="AB65" s="2">
        <f>COUNTIF(Table1[loan_status],Table1[[#This Row],[loan_status]])</f>
        <v>301</v>
      </c>
      <c r="AC65" s="2">
        <f>COUNTIF(Table1[default_flag],1)/ROWS(Table1[loan_id])</f>
        <v>2.5999999999999999E-2</v>
      </c>
      <c r="AD65" s="2">
        <f>COUNTIFS(Table1[region],Table1[[#This Row],[region]],Table1[default_flag],1)/COUNTIF(Table1[region],Table1[[#This Row],[region]])</f>
        <v>2.8571428571428571E-2</v>
      </c>
      <c r="AE65" s="2">
        <f>COUNTIFS(Table1[channel],Table1[[#This Row],[channel]],Table1[prepayment_flag],1)/COUNTIF(Table1[channel],Table1[[#This Row],[channel]])</f>
        <v>5.8201058201058198E-2</v>
      </c>
      <c r="AF65" s="2">
        <f>AVERAGEIFS(Table1[interest_rate_pct],Table1[product],Table1[[#This Row],[product]],Table1[risk_band],Table1[[#This Row],[risk_band]])</f>
        <v>7.1876190476190471</v>
      </c>
      <c r="AG65" s="2" t="str" cm="1">
        <f t="array" ref="AG65">_xlfn.IFS(Table1[[#This Row],[dti_ratio]] &lt; 0.2, " less than 0.2", Table1[[#This Row],[dti_ratio]] &lt; 0.3, "0.2 - 0.3", Table1[[#This Row],[dti_ratio]] &lt;= 0.5, "0.35 - 0.5", Table1[[#This Row],[dti_ratio]] &gt; 0.5, "greater than 0.5")</f>
        <v>0.35 - 0.5</v>
      </c>
      <c r="AH65" s="2">
        <f>COUNTIF(Table1[DTI band],Table1[[#This Row],[DTI band]])</f>
        <v>260</v>
      </c>
      <c r="AI65" s="2" t="str" cm="1">
        <f t="array" ref="AI65">_xlfn.IFS(Table1[[#This Row],[ltv_ratio]] &lt; 0.6, "less than 0.6 -less risky", Table1[[#This Row],[ltv_ratio]]  &lt;= 0.8, "0.6 - 0.8 -medium risky",Table1[[#This Row],[ltv_ratio]] &gt; 0.8, "greater than 0.8 -highly risky")</f>
        <v>greater than 0.8 -highly risky</v>
      </c>
      <c r="AJ65" s="2">
        <f>COUNTIF(Table1[LTV band],Table1[[#This Row],[LTV band]])</f>
        <v>141</v>
      </c>
      <c r="AK65" s="2">
        <f>COUNTIFS(Table1[count_loan_perband],Table1[[#This Row],[count_loan_perband]],Table1[default_flag],1)/COUNTIF(Table1[count_loan_perband],Table1[[#This Row],[count_loan_perband]])</f>
        <v>1.4184397163120567E-2</v>
      </c>
      <c r="AL65" s="2" t="str" cm="1">
        <f t="array" ref="AL65">_xlfn.IFS(Table1[[#This Row],[loan_amount]] &lt; 900000, "lower size (&lt; 9L)", Table1[[#This Row],[loan_amount]] &lt;=3300000, "medium size (&lt;=33L)", Table1[[#This Row],[loan_amount]] &gt; 3300000, "larger size (&gt; 33L)")</f>
        <v>larger size (&gt; 33L)</v>
      </c>
      <c r="AM65" s="2">
        <f>IF(Table1[[#This Row],[dpd]] &gt;=30,1,0)</f>
        <v>0</v>
      </c>
      <c r="AN65" s="2">
        <f>COUNTIFS(Table1[Loan size],Table1[[#This Row],[Loan size]],Table1[dpd flag],1)/COUNTIF(Table1[Loan size],Table1[[#This Row],[Loan size]])</f>
        <v>0.16250000000000001</v>
      </c>
      <c r="AO65" s="2" t="str">
        <f>IF(OR(Table1[[#This Row],[credit_score]] &lt; 600, Table1[ [#This Row],[dti_ratio] ] &gt; 0.5, Table1[[#This Row],[dpd]] &gt;=30), "high risk", " not riskY")</f>
        <v xml:space="preserve"> not riskY</v>
      </c>
      <c r="AP65" s="26">
        <f>EOMONTH(Table1[[#This Row],[origination_date]],0)</f>
        <v>45016</v>
      </c>
      <c r="AQ65" s="2">
        <f>SUMIFS(Table1[loan_amount],Table1[origination month],Table1[[#This Row],[origination month]])</f>
        <v>23160200</v>
      </c>
      <c r="AR65" s="2">
        <f>AVERAGEIFS(Table1[months_on_book],Table1[product],Table1[[#This Row],[product]])</f>
        <v>20.516129032258064</v>
      </c>
      <c r="AS65" s="2" t="str">
        <f ca="1">IF(EDATE(Table1[[#This Row],[origination_date]],6) &gt;= TODAY(), "New Loan", "Old Loan")</f>
        <v>Old Loan</v>
      </c>
      <c r="AT65" s="2" t="str">
        <f>"Q"&amp;ROUNDUP(MONTH(Table1[[#This Row],[origination_date]])/3,0)&amp;YEAR(Table1[[#This Row],[origination_date]])</f>
        <v>Q12023</v>
      </c>
      <c r="AU65" s="2">
        <f>SUMIFS(Table1[loan_amount],Table1[quarter],Table1[[#This Row],[quarter]])</f>
        <v>46066100</v>
      </c>
      <c r="AV65" s="34" t="str">
        <f>_xlfn.TEXTJOIN("|",TRUE,Table1[[#This Row],[loan_id]:[loan_status]])</f>
        <v>L80628710|C3030335|44993|Home Loan|Branch|Central|Contract|72|6951800|7|118521|1219253|770|A|0.37|0.92|7584600|33|3341886|4145203|0|0|0|Active</v>
      </c>
      <c r="AW65" s="42">
        <f>YEAR(Loan_Table[ [#This Row],[origination_date] ])</f>
        <v>2023</v>
      </c>
      <c r="AY65" s="2" t="s">
        <v>105</v>
      </c>
      <c r="AZ65">
        <f>MIN(INDEX(Loan_Table[],,MATCH(AY65,Loan_Table[#Headers],0)))</f>
        <v>0</v>
      </c>
      <c r="BA65" t="e">
        <f>_xlfn.PERCENTILE.INC(INDEX(Loan_Table[],,MATCH(AY65,Loan_Table[#Headers],0)),0.25)</f>
        <v>#NUM!</v>
      </c>
      <c r="BB65" t="e">
        <f>_xlfn.PERCENTILE.INC(INDEX(Loan_Table[],,MATCH(AY65,Loan_Table[#Headers],0)),0.5)</f>
        <v>#NUM!</v>
      </c>
      <c r="BC65" t="e">
        <f>AVERAGE(INDEX(Loan_Table[],,MATCH(AY65,Loan_Table[#Headers],0)))</f>
        <v>#DIV/0!</v>
      </c>
      <c r="BD65" t="e">
        <f>MEDIAN(INDEX(Loan_Table[],,MATCH(AY65,Loan_Table[#Headers],0)))</f>
        <v>#NUM!</v>
      </c>
      <c r="BE65" t="e">
        <f>_xlfn.PERCENTILE.INC(INDEX(Loan_Table[],,MATCH(AY65,Loan_Table[#Headers],0)),0.75)</f>
        <v>#NUM!</v>
      </c>
      <c r="BF65" t="e">
        <f>_xlfn.PERCENTILE.INC(INDEX(Loan_Table[],,MATCH(AY65,Loan_Table[#Headers],0)),0.85)</f>
        <v>#NUM!</v>
      </c>
      <c r="BG65" t="e">
        <f>_xlfn.PERCENTILE.INC(INDEX(Loan_Table[],,MATCH(AY65,Loan_Table[#Headers],0)),0.99)</f>
        <v>#NUM!</v>
      </c>
      <c r="BH65">
        <f>MAX(INDEX(Loan_Table[],,MATCH(AY65,Loan_Table[#Headers],0)))</f>
        <v>0</v>
      </c>
    </row>
    <row r="66" spans="2:60" ht="18" customHeight="1">
      <c r="B66" s="5" t="s">
        <v>252</v>
      </c>
      <c r="C66" s="2" t="s">
        <v>253</v>
      </c>
      <c r="D66" s="3">
        <v>44979</v>
      </c>
      <c r="E66" s="2" t="s">
        <v>163</v>
      </c>
      <c r="F66" s="2" t="s">
        <v>213</v>
      </c>
      <c r="G66" s="2" t="s">
        <v>170</v>
      </c>
      <c r="H66" s="2" t="s">
        <v>134</v>
      </c>
      <c r="I66" s="2">
        <v>120</v>
      </c>
      <c r="J66" s="2">
        <v>842900</v>
      </c>
      <c r="K66" s="2">
        <v>13.15</v>
      </c>
      <c r="L66" s="2">
        <v>12660</v>
      </c>
      <c r="M66" s="2">
        <v>1193849</v>
      </c>
      <c r="N66" s="2">
        <v>659</v>
      </c>
      <c r="O66" s="2" t="s">
        <v>140</v>
      </c>
      <c r="P66" s="2">
        <v>0.37</v>
      </c>
      <c r="Q66" s="2">
        <v>0.83</v>
      </c>
      <c r="R66" s="2">
        <v>1012200</v>
      </c>
      <c r="S66" s="2">
        <v>34</v>
      </c>
      <c r="T66" s="2">
        <v>432525</v>
      </c>
      <c r="U66" s="2">
        <v>535995</v>
      </c>
      <c r="V66" s="2">
        <v>0</v>
      </c>
      <c r="W66" s="2">
        <v>0</v>
      </c>
      <c r="X66" s="2">
        <v>0</v>
      </c>
      <c r="Y66" s="2" t="s">
        <v>148</v>
      </c>
      <c r="Z66" s="12">
        <f>SUMIF(Table1[product],Table1[[#This Row],[product]],Table1[loan_amount])</f>
        <v>92273000</v>
      </c>
      <c r="AA66" s="15">
        <f>SUMIF(Table1[region],Table1[[#This Row],[region]],Table1[current_balance])</f>
        <v>83297251</v>
      </c>
      <c r="AB66" s="2">
        <f>COUNTIF(Table1[loan_status],Table1[[#This Row],[loan_status]])</f>
        <v>301</v>
      </c>
      <c r="AC66" s="2">
        <f>COUNTIF(Table1[default_flag],1)/ROWS(Table1[loan_id])</f>
        <v>2.5999999999999999E-2</v>
      </c>
      <c r="AD66" s="2">
        <f>COUNTIFS(Table1[region],Table1[[#This Row],[region]],Table1[default_flag],1)/COUNTIF(Table1[region],Table1[[#This Row],[region]])</f>
        <v>3.1914893617021274E-2</v>
      </c>
      <c r="AE66" s="2">
        <f>COUNTIFS(Table1[channel],Table1[[#This Row],[channel]],Table1[prepayment_flag],1)/COUNTIF(Table1[channel],Table1[[#This Row],[channel]])</f>
        <v>0.12</v>
      </c>
      <c r="AF66" s="2">
        <f>AVERAGEIFS(Table1[interest_rate_pct],Table1[product],Table1[[#This Row],[product]],Table1[risk_band],Table1[[#This Row],[risk_band]])</f>
        <v>13.246500000000001</v>
      </c>
      <c r="AG66" s="2" t="str" cm="1">
        <f t="array" ref="AG66">_xlfn.IFS(Table1[[#This Row],[dti_ratio]] &lt; 0.2, " less than 0.2", Table1[[#This Row],[dti_ratio]] &lt; 0.3, "0.2 - 0.3", Table1[[#This Row],[dti_ratio]] &lt;= 0.5, "0.35 - 0.5", Table1[[#This Row],[dti_ratio]] &gt; 0.5, "greater than 0.5")</f>
        <v>0.35 - 0.5</v>
      </c>
      <c r="AH66" s="2">
        <f>COUNTIF(Table1[DTI band],Table1[[#This Row],[DTI band]])</f>
        <v>260</v>
      </c>
      <c r="AI66" s="2" t="str" cm="1">
        <f t="array" ref="AI66">_xlfn.IFS(Table1[[#This Row],[ltv_ratio]] &lt; 0.6, "less than 0.6 -less risky", Table1[[#This Row],[ltv_ratio]]  &lt;= 0.8, "0.6 - 0.8 -medium risky",Table1[[#This Row],[ltv_ratio]] &gt; 0.8, "greater than 0.8 -highly risky")</f>
        <v>greater than 0.8 -highly risky</v>
      </c>
      <c r="AJ66" s="2">
        <f>COUNTIF(Table1[LTV band],Table1[[#This Row],[LTV band]])</f>
        <v>141</v>
      </c>
      <c r="AK66" s="2">
        <f>COUNTIFS(Table1[count_loan_perband],Table1[[#This Row],[count_loan_perband]],Table1[default_flag],1)/COUNTIF(Table1[count_loan_perband],Table1[[#This Row],[count_loan_perband]])</f>
        <v>1.4184397163120567E-2</v>
      </c>
      <c r="AL66" s="2" t="str" cm="1">
        <f t="array" ref="AL66">_xlfn.IFS(Table1[[#This Row],[loan_amount]] &lt; 900000, "lower size (&lt; 9L)", Table1[[#This Row],[loan_amount]] &lt;=3300000, "medium size (&lt;=33L)", Table1[[#This Row],[loan_amount]] &gt; 3300000, "larger size (&gt; 33L)")</f>
        <v>lower size (&lt; 9L)</v>
      </c>
      <c r="AM66" s="2">
        <f>IF(Table1[[#This Row],[dpd]] &gt;=30,1,0)</f>
        <v>0</v>
      </c>
      <c r="AN66" s="2">
        <f>COUNTIFS(Table1[Loan size],Table1[[#This Row],[Loan size]],Table1[dpd flag],1)/COUNTIF(Table1[Loan size],Table1[[#This Row],[Loan size]])</f>
        <v>0.13934426229508196</v>
      </c>
      <c r="AO66" s="2" t="str">
        <f>IF(OR(Table1[[#This Row],[credit_score]] &lt; 600, Table1[ [#This Row],[dti_ratio] ] &gt; 0.5, Table1[[#This Row],[dpd]] &gt;=30), "high risk", " not riskY")</f>
        <v xml:space="preserve"> not riskY</v>
      </c>
      <c r="AP66" s="26">
        <f>EOMONTH(Table1[[#This Row],[origination_date]],0)</f>
        <v>44985</v>
      </c>
      <c r="AQ66" s="2">
        <f>SUMIFS(Table1[loan_amount],Table1[origination month],Table1[[#This Row],[origination month]])</f>
        <v>11207500</v>
      </c>
      <c r="AR66" s="2">
        <f>AVERAGEIFS(Table1[months_on_book],Table1[product],Table1[[#This Row],[product]])</f>
        <v>20.262135922330096</v>
      </c>
      <c r="AS66" s="2" t="str">
        <f ca="1">IF(EDATE(Table1[[#This Row],[origination_date]],6) &gt;= TODAY(), "New Loan", "Old Loan")</f>
        <v>Old Loan</v>
      </c>
      <c r="AT66" s="2" t="str">
        <f>"Q"&amp;ROUNDUP(MONTH(Table1[[#This Row],[origination_date]])/3,0)&amp;YEAR(Table1[[#This Row],[origination_date]])</f>
        <v>Q12023</v>
      </c>
      <c r="AU66" s="2">
        <f>SUMIFS(Table1[loan_amount],Table1[quarter],Table1[[#This Row],[quarter]])</f>
        <v>46066100</v>
      </c>
      <c r="AV66" s="34" t="str">
        <f>_xlfn.TEXTJOIN("|",TRUE,Table1[[#This Row],[loan_id]:[loan_status]])</f>
        <v>L60008226|C4465805|44979|Auto Loan|Call Center|East|Salaried|120|842900|13.15|12660|1193849|659|C|0.37|0.83|1012200|34|432525|535995|0|0|0|Active</v>
      </c>
      <c r="AW66" s="42">
        <f>YEAR(Loan_Table[ [#This Row],[origination_date] ])</f>
        <v>2023</v>
      </c>
      <c r="AY66" s="2" t="s">
        <v>106</v>
      </c>
      <c r="AZ66">
        <f>MIN(INDEX(Loan_Table[],,MATCH(AY66,Loan_Table[#Headers],0)))</f>
        <v>0</v>
      </c>
      <c r="BA66" t="e">
        <f>_xlfn.PERCENTILE.INC(INDEX(Loan_Table[],,MATCH(AY66,Loan_Table[#Headers],0)),0.25)</f>
        <v>#NUM!</v>
      </c>
      <c r="BB66" t="e">
        <f>_xlfn.PERCENTILE.INC(INDEX(Loan_Table[],,MATCH(AY66,Loan_Table[#Headers],0)),0.5)</f>
        <v>#NUM!</v>
      </c>
      <c r="BC66" t="e">
        <f>AVERAGE(INDEX(Loan_Table[],,MATCH(AY66,Loan_Table[#Headers],0)))</f>
        <v>#DIV/0!</v>
      </c>
      <c r="BD66" t="e">
        <f>MEDIAN(INDEX(Loan_Table[],,MATCH(AY66,Loan_Table[#Headers],0)))</f>
        <v>#NUM!</v>
      </c>
      <c r="BE66" t="e">
        <f>_xlfn.PERCENTILE.INC(INDEX(Loan_Table[],,MATCH(AY66,Loan_Table[#Headers],0)),0.75)</f>
        <v>#NUM!</v>
      </c>
      <c r="BF66" t="e">
        <f>_xlfn.PERCENTILE.INC(INDEX(Loan_Table[],,MATCH(AY66,Loan_Table[#Headers],0)),0.85)</f>
        <v>#NUM!</v>
      </c>
      <c r="BG66" t="e">
        <f>_xlfn.PERCENTILE.INC(INDEX(Loan_Table[],,MATCH(AY66,Loan_Table[#Headers],0)),0.99)</f>
        <v>#NUM!</v>
      </c>
      <c r="BH66">
        <f>MAX(INDEX(Loan_Table[],,MATCH(AY66,Loan_Table[#Headers],0)))</f>
        <v>0</v>
      </c>
    </row>
    <row r="67" spans="2:60" ht="18" customHeight="1">
      <c r="B67" s="5" t="s">
        <v>254</v>
      </c>
      <c r="C67" s="2" t="s">
        <v>255</v>
      </c>
      <c r="D67" s="3">
        <v>44955</v>
      </c>
      <c r="E67" s="2" t="s">
        <v>169</v>
      </c>
      <c r="F67" s="2" t="s">
        <v>132</v>
      </c>
      <c r="G67" s="2" t="s">
        <v>139</v>
      </c>
      <c r="H67" s="2" t="s">
        <v>134</v>
      </c>
      <c r="I67" s="2">
        <v>24</v>
      </c>
      <c r="J67" s="2">
        <v>3369400</v>
      </c>
      <c r="K67" s="2">
        <v>14.16</v>
      </c>
      <c r="L67" s="2">
        <v>162029</v>
      </c>
      <c r="M67" s="2">
        <v>635673</v>
      </c>
      <c r="N67" s="2">
        <v>607</v>
      </c>
      <c r="O67" s="2" t="s">
        <v>147</v>
      </c>
      <c r="P67" s="2">
        <v>0.37</v>
      </c>
      <c r="Q67" s="2">
        <v>0.99</v>
      </c>
      <c r="R67" s="2">
        <v>3410200</v>
      </c>
      <c r="S67" s="2">
        <v>24</v>
      </c>
      <c r="T67" s="2">
        <v>3554137</v>
      </c>
      <c r="U67" s="2">
        <v>196949</v>
      </c>
      <c r="V67" s="2">
        <v>45</v>
      </c>
      <c r="W67" s="2">
        <v>0</v>
      </c>
      <c r="X67" s="2">
        <v>0</v>
      </c>
      <c r="Y67" s="2" t="s">
        <v>141</v>
      </c>
      <c r="Z67" s="12">
        <f>SUMIF(Table1[product],Table1[[#This Row],[product]],Table1[loan_amount])</f>
        <v>403369500</v>
      </c>
      <c r="AA67" s="15">
        <f>SUMIF(Table1[region],Table1[[#This Row],[region]],Table1[current_balance])</f>
        <v>83903255</v>
      </c>
      <c r="AB67" s="2">
        <f>COUNTIF(Table1[loan_status],Table1[[#This Row],[loan_status]])</f>
        <v>139</v>
      </c>
      <c r="AC67" s="2">
        <f>COUNTIF(Table1[default_flag],1)/ROWS(Table1[loan_id])</f>
        <v>2.5999999999999999E-2</v>
      </c>
      <c r="AD67" s="2">
        <f>COUNTIFS(Table1[region],Table1[[#This Row],[region]],Table1[default_flag],1)/COUNTIF(Table1[region],Table1[[#This Row],[region]])</f>
        <v>4.2553191489361701E-2</v>
      </c>
      <c r="AE67" s="2">
        <f>COUNTIFS(Table1[channel],Table1[[#This Row],[channel]],Table1[prepayment_flag],1)/COUNTIF(Table1[channel],Table1[[#This Row],[channel]])</f>
        <v>7.1090047393364927E-2</v>
      </c>
      <c r="AF67" s="2">
        <f>AVERAGEIFS(Table1[interest_rate_pct],Table1[product],Table1[[#This Row],[product]],Table1[risk_band],Table1[[#This Row],[risk_band]])</f>
        <v>13.406874999999999</v>
      </c>
      <c r="AG67" s="2" t="str" cm="1">
        <f t="array" ref="AG67">_xlfn.IFS(Table1[[#This Row],[dti_ratio]] &lt; 0.2, " less than 0.2", Table1[[#This Row],[dti_ratio]] &lt; 0.3, "0.2 - 0.3", Table1[[#This Row],[dti_ratio]] &lt;= 0.5, "0.35 - 0.5", Table1[[#This Row],[dti_ratio]] &gt; 0.5, "greater than 0.5")</f>
        <v>0.35 - 0.5</v>
      </c>
      <c r="AH67" s="2">
        <f>COUNTIF(Table1[DTI band],Table1[[#This Row],[DTI band]])</f>
        <v>260</v>
      </c>
      <c r="AI67" s="2" t="str" cm="1">
        <f t="array" ref="AI67">_xlfn.IFS(Table1[[#This Row],[ltv_ratio]] &lt; 0.6, "less than 0.6 -less risky", Table1[[#This Row],[ltv_ratio]]  &lt;= 0.8, "0.6 - 0.8 -medium risky",Table1[[#This Row],[ltv_ratio]] &gt; 0.8, "greater than 0.8 -highly risky")</f>
        <v>greater than 0.8 -highly risky</v>
      </c>
      <c r="AJ67" s="2">
        <f>COUNTIF(Table1[LTV band],Table1[[#This Row],[LTV band]])</f>
        <v>141</v>
      </c>
      <c r="AK67" s="2">
        <f>COUNTIFS(Table1[count_loan_perband],Table1[[#This Row],[count_loan_perband]],Table1[default_flag],1)/COUNTIF(Table1[count_loan_perband],Table1[[#This Row],[count_loan_perband]])</f>
        <v>1.4184397163120567E-2</v>
      </c>
      <c r="AL67" s="2" t="str" cm="1">
        <f t="array" ref="AL67">_xlfn.IFS(Table1[[#This Row],[loan_amount]] &lt; 900000, "lower size (&lt; 9L)", Table1[[#This Row],[loan_amount]] &lt;=3300000, "medium size (&lt;=33L)", Table1[[#This Row],[loan_amount]] &gt; 3300000, "larger size (&gt; 33L)")</f>
        <v>larger size (&gt; 33L)</v>
      </c>
      <c r="AM67" s="2">
        <f>IF(Table1[[#This Row],[dpd]] &gt;=30,1,0)</f>
        <v>1</v>
      </c>
      <c r="AN67" s="2">
        <f>COUNTIFS(Table1[Loan size],Table1[[#This Row],[Loan size]],Table1[dpd flag],1)/COUNTIF(Table1[Loan size],Table1[[#This Row],[Loan size]])</f>
        <v>0.16250000000000001</v>
      </c>
      <c r="AO67" s="2" t="str">
        <f>IF(OR(Table1[[#This Row],[credit_score]] &lt; 600, Table1[ [#This Row],[dti_ratio] ] &gt; 0.5, Table1[[#This Row],[dpd]] &gt;=30), "high risk", " not riskY")</f>
        <v>high risk</v>
      </c>
      <c r="AP67" s="26">
        <f>EOMONTH(Table1[[#This Row],[origination_date]],0)</f>
        <v>44957</v>
      </c>
      <c r="AQ67" s="2">
        <f>SUMIFS(Table1[loan_amount],Table1[origination month],Table1[[#This Row],[origination month]])</f>
        <v>11698400</v>
      </c>
      <c r="AR67" s="2">
        <f>AVERAGEIFS(Table1[months_on_book],Table1[product],Table1[[#This Row],[product]])</f>
        <v>20.516129032258064</v>
      </c>
      <c r="AS67" s="2" t="str">
        <f ca="1">IF(EDATE(Table1[[#This Row],[origination_date]],6) &gt;= TODAY(), "New Loan", "Old Loan")</f>
        <v>Old Loan</v>
      </c>
      <c r="AT67" s="2" t="str">
        <f>"Q"&amp;ROUNDUP(MONTH(Table1[[#This Row],[origination_date]])/3,0)&amp;YEAR(Table1[[#This Row],[origination_date]])</f>
        <v>Q12023</v>
      </c>
      <c r="AU67" s="2">
        <f>SUMIFS(Table1[loan_amount],Table1[quarter],Table1[[#This Row],[quarter]])</f>
        <v>46066100</v>
      </c>
      <c r="AV67" s="34" t="str">
        <f>_xlfn.TEXTJOIN("|",TRUE,Table1[[#This Row],[loan_id]:[loan_status]])</f>
        <v>L93990145|C4084317|44955|Home Loan|Online|West|Salaried|24|3369400|14.16|162029|635673|607|D|0.37|0.99|3410200|24|3554137|196949|45|0|0|Closed</v>
      </c>
      <c r="AW67" s="42">
        <f>YEAR(Loan_Table[ [#This Row],[origination_date] ])</f>
        <v>2023</v>
      </c>
      <c r="AY67" s="2" t="s">
        <v>107</v>
      </c>
      <c r="AZ67">
        <f>MIN(INDEX(Loan_Table[],,MATCH(AY67,Loan_Table[#Headers],0)))</f>
        <v>44563</v>
      </c>
      <c r="BA67">
        <f>_xlfn.PERCENTILE.INC(INDEX(Loan_Table[],,MATCH(AY67,Loan_Table[#Headers],0)),0.25)</f>
        <v>44946</v>
      </c>
      <c r="BB67">
        <f>_xlfn.PERCENTILE.INC(INDEX(Loan_Table[],,MATCH(AY67,Loan_Table[#Headers],0)),0.5)</f>
        <v>45277</v>
      </c>
      <c r="BC67">
        <f>AVERAGE(INDEX(Loan_Table[],,MATCH(AY67,Loan_Table[#Headers],0)))</f>
        <v>45283.48</v>
      </c>
      <c r="BD67">
        <f>MEDIAN(INDEX(Loan_Table[],,MATCH(AY67,Loan_Table[#Headers],0)))</f>
        <v>45277</v>
      </c>
      <c r="BE67">
        <f>_xlfn.PERCENTILE.INC(INDEX(Loan_Table[],,MATCH(AY67,Loan_Table[#Headers],0)),0.75)</f>
        <v>45648.5</v>
      </c>
      <c r="BF67">
        <f>_xlfn.PERCENTILE.INC(INDEX(Loan_Table[],,MATCH(AY67,Loan_Table[#Headers],0)),0.85)</f>
        <v>45783.15</v>
      </c>
      <c r="BG67">
        <f>_xlfn.PERCENTILE.INC(INDEX(Loan_Table[],,MATCH(AY67,Loan_Table[#Headers],0)),0.99)</f>
        <v>45984.01</v>
      </c>
      <c r="BH67">
        <f>MAX(INDEX(Loan_Table[],,MATCH(AY67,Loan_Table[#Headers],0)))</f>
        <v>45990</v>
      </c>
    </row>
    <row r="68" spans="2:60" ht="18" customHeight="1">
      <c r="B68" s="5" t="s">
        <v>256</v>
      </c>
      <c r="C68" s="2" t="s">
        <v>257</v>
      </c>
      <c r="D68" s="3">
        <v>45014</v>
      </c>
      <c r="E68" s="2" t="s">
        <v>163</v>
      </c>
      <c r="F68" s="2" t="s">
        <v>144</v>
      </c>
      <c r="G68" s="2" t="s">
        <v>170</v>
      </c>
      <c r="H68" s="2" t="s">
        <v>146</v>
      </c>
      <c r="I68" s="2">
        <v>24</v>
      </c>
      <c r="J68" s="2">
        <v>861400</v>
      </c>
      <c r="K68" s="2">
        <v>11.33</v>
      </c>
      <c r="L68" s="2">
        <v>40280</v>
      </c>
      <c r="M68" s="2">
        <v>660405</v>
      </c>
      <c r="N68" s="2">
        <v>712</v>
      </c>
      <c r="O68" s="2" t="s">
        <v>135</v>
      </c>
      <c r="P68" s="2">
        <v>0.36</v>
      </c>
      <c r="Q68" s="2">
        <v>0.66</v>
      </c>
      <c r="R68" s="2">
        <v>1313000</v>
      </c>
      <c r="S68" s="2">
        <v>24</v>
      </c>
      <c r="T68" s="2">
        <v>950069</v>
      </c>
      <c r="U68" s="2">
        <v>0</v>
      </c>
      <c r="V68" s="2">
        <v>0</v>
      </c>
      <c r="W68" s="2">
        <v>0</v>
      </c>
      <c r="X68" s="2">
        <v>0</v>
      </c>
      <c r="Y68" s="2" t="s">
        <v>141</v>
      </c>
      <c r="Z68" s="12">
        <f>SUMIF(Table1[product],Table1[[#This Row],[product]],Table1[loan_amount])</f>
        <v>92273000</v>
      </c>
      <c r="AA68" s="15">
        <f>SUMIF(Table1[region],Table1[[#This Row],[region]],Table1[current_balance])</f>
        <v>83297251</v>
      </c>
      <c r="AB68" s="2">
        <f>COUNTIF(Table1[loan_status],Table1[[#This Row],[loan_status]])</f>
        <v>139</v>
      </c>
      <c r="AC68" s="2">
        <f>COUNTIF(Table1[default_flag],1)/ROWS(Table1[loan_id])</f>
        <v>2.5999999999999999E-2</v>
      </c>
      <c r="AD68" s="2">
        <f>COUNTIFS(Table1[region],Table1[[#This Row],[region]],Table1[default_flag],1)/COUNTIF(Table1[region],Table1[[#This Row],[region]])</f>
        <v>3.1914893617021274E-2</v>
      </c>
      <c r="AE68" s="2">
        <f>COUNTIFS(Table1[channel],Table1[[#This Row],[channel]],Table1[prepayment_flag],1)/COUNTIF(Table1[channel],Table1[[#This Row],[channel]])</f>
        <v>5.8201058201058198E-2</v>
      </c>
      <c r="AF68" s="2">
        <f>AVERAGEIFS(Table1[interest_rate_pct],Table1[product],Table1[[#This Row],[product]],Table1[risk_band],Table1[[#This Row],[risk_band]])</f>
        <v>10.611923076923079</v>
      </c>
      <c r="AG68" s="2" t="str" cm="1">
        <f t="array" ref="AG68">_xlfn.IFS(Table1[[#This Row],[dti_ratio]] &lt; 0.2, " less than 0.2", Table1[[#This Row],[dti_ratio]] &lt; 0.3, "0.2 - 0.3", Table1[[#This Row],[dti_ratio]] &lt;= 0.5, "0.35 - 0.5", Table1[[#This Row],[dti_ratio]] &gt; 0.5, "greater than 0.5")</f>
        <v>0.35 - 0.5</v>
      </c>
      <c r="AH68" s="2">
        <f>COUNTIF(Table1[DTI band],Table1[[#This Row],[DTI band]])</f>
        <v>260</v>
      </c>
      <c r="AI68" s="2" t="str" cm="1">
        <f t="array" ref="AI68">_xlfn.IFS(Table1[[#This Row],[ltv_ratio]] &lt; 0.6, "less than 0.6 -less risky", Table1[[#This Row],[ltv_ratio]]  &lt;= 0.8, "0.6 - 0.8 -medium risky",Table1[[#This Row],[ltv_ratio]] &gt; 0.8, "greater than 0.8 -highly risky")</f>
        <v>0.6 - 0.8 -medium risky</v>
      </c>
      <c r="AJ68" s="2">
        <f>COUNTIF(Table1[LTV band],Table1[[#This Row],[LTV band]])</f>
        <v>302</v>
      </c>
      <c r="AK68" s="2">
        <f>COUNTIFS(Table1[count_loan_perband],Table1[[#This Row],[count_loan_perband]],Table1[default_flag],1)/COUNTIF(Table1[count_loan_perband],Table1[[#This Row],[count_loan_perband]])</f>
        <v>3.6423841059602648E-2</v>
      </c>
      <c r="AL68" s="2" t="str" cm="1">
        <f t="array" ref="AL68">_xlfn.IFS(Table1[[#This Row],[loan_amount]] &lt; 900000, "lower size (&lt; 9L)", Table1[[#This Row],[loan_amount]] &lt;=3300000, "medium size (&lt;=33L)", Table1[[#This Row],[loan_amount]] &gt; 3300000, "larger size (&gt; 33L)")</f>
        <v>lower size (&lt; 9L)</v>
      </c>
      <c r="AM68" s="2">
        <f>IF(Table1[[#This Row],[dpd]] &gt;=30,1,0)</f>
        <v>0</v>
      </c>
      <c r="AN68" s="2">
        <f>COUNTIFS(Table1[Loan size],Table1[[#This Row],[Loan size]],Table1[dpd flag],1)/COUNTIF(Table1[Loan size],Table1[[#This Row],[Loan size]])</f>
        <v>0.13934426229508196</v>
      </c>
      <c r="AO68" s="2" t="str">
        <f>IF(OR(Table1[[#This Row],[credit_score]] &lt; 600, Table1[ [#This Row],[dti_ratio] ] &gt; 0.5, Table1[[#This Row],[dpd]] &gt;=30), "high risk", " not riskY")</f>
        <v xml:space="preserve"> not riskY</v>
      </c>
      <c r="AP68" s="26">
        <f>EOMONTH(Table1[[#This Row],[origination_date]],0)</f>
        <v>45016</v>
      </c>
      <c r="AQ68" s="2">
        <f>SUMIFS(Table1[loan_amount],Table1[origination month],Table1[[#This Row],[origination month]])</f>
        <v>23160200</v>
      </c>
      <c r="AR68" s="2">
        <f>AVERAGEIFS(Table1[months_on_book],Table1[product],Table1[[#This Row],[product]])</f>
        <v>20.262135922330096</v>
      </c>
      <c r="AS68" s="2" t="str">
        <f ca="1">IF(EDATE(Table1[[#This Row],[origination_date]],6) &gt;= TODAY(), "New Loan", "Old Loan")</f>
        <v>Old Loan</v>
      </c>
      <c r="AT68" s="2" t="str">
        <f>"Q"&amp;ROUNDUP(MONTH(Table1[[#This Row],[origination_date]])/3,0)&amp;YEAR(Table1[[#This Row],[origination_date]])</f>
        <v>Q12023</v>
      </c>
      <c r="AU68" s="2">
        <f>SUMIFS(Table1[loan_amount],Table1[quarter],Table1[[#This Row],[quarter]])</f>
        <v>46066100</v>
      </c>
      <c r="AV68" s="34" t="str">
        <f>_xlfn.TEXTJOIN("|",TRUE,Table1[[#This Row],[loan_id]:[loan_status]])</f>
        <v>L51568950|C6227120|45014|Auto Loan|Branch|East|Contract|24|861400|11.33|40280|660405|712|B|0.36|0.66|1313000|24|950069|0|0|0|0|Closed</v>
      </c>
      <c r="AW68" s="42">
        <f>YEAR(Loan_Table[ [#This Row],[origination_date] ])</f>
        <v>2023</v>
      </c>
      <c r="AY68" s="2" t="s">
        <v>112</v>
      </c>
      <c r="AZ68">
        <f>MIN(INDEX(Loan_Table[],,MATCH(AY68,Loan_Table[#Headers],0)))</f>
        <v>12</v>
      </c>
      <c r="BA68">
        <f>_xlfn.PERCENTILE.INC(INDEX(Loan_Table[],,MATCH(AY68,Loan_Table[#Headers],0)),0.25)</f>
        <v>24</v>
      </c>
      <c r="BB68">
        <f>_xlfn.PERCENTILE.INC(INDEX(Loan_Table[],,MATCH(AY68,Loan_Table[#Headers],0)),0.5)</f>
        <v>48</v>
      </c>
      <c r="BC68">
        <f>AVERAGE(INDEX(Loan_Table[],,MATCH(AY68,Loan_Table[#Headers],0)))</f>
        <v>94.188000000000002</v>
      </c>
      <c r="BD68">
        <f>MEDIAN(INDEX(Loan_Table[],,MATCH(AY68,Loan_Table[#Headers],0)))</f>
        <v>48</v>
      </c>
      <c r="BE68">
        <f>_xlfn.PERCENTILE.INC(INDEX(Loan_Table[],,MATCH(AY68,Loan_Table[#Headers],0)),0.75)</f>
        <v>120</v>
      </c>
      <c r="BF68">
        <f>_xlfn.PERCENTILE.INC(INDEX(Loan_Table[],,MATCH(AY68,Loan_Table[#Headers],0)),0.85)</f>
        <v>240</v>
      </c>
      <c r="BG68">
        <f>_xlfn.PERCENTILE.INC(INDEX(Loan_Table[],,MATCH(AY68,Loan_Table[#Headers],0)),0.99)</f>
        <v>360</v>
      </c>
      <c r="BH68">
        <f>MAX(INDEX(Loan_Table[],,MATCH(AY68,Loan_Table[#Headers],0)))</f>
        <v>360</v>
      </c>
    </row>
    <row r="69" spans="2:60" ht="18" customHeight="1">
      <c r="B69" s="5" t="s">
        <v>258</v>
      </c>
      <c r="C69" s="2" t="s">
        <v>259</v>
      </c>
      <c r="D69" s="3">
        <v>44927</v>
      </c>
      <c r="E69" s="2" t="s">
        <v>177</v>
      </c>
      <c r="F69" s="2" t="s">
        <v>132</v>
      </c>
      <c r="G69" s="2" t="s">
        <v>133</v>
      </c>
      <c r="H69" s="2" t="s">
        <v>134</v>
      </c>
      <c r="I69" s="2">
        <v>24</v>
      </c>
      <c r="J69" s="2">
        <v>735300</v>
      </c>
      <c r="K69" s="2">
        <v>12.64</v>
      </c>
      <c r="L69" s="2">
        <v>34833</v>
      </c>
      <c r="M69" s="2">
        <v>922606</v>
      </c>
      <c r="N69" s="2">
        <v>710</v>
      </c>
      <c r="O69" s="2" t="s">
        <v>135</v>
      </c>
      <c r="P69" s="2">
        <v>0.36</v>
      </c>
      <c r="Q69" s="2">
        <v>0.72</v>
      </c>
      <c r="R69" s="2">
        <v>0</v>
      </c>
      <c r="S69" s="2">
        <v>24</v>
      </c>
      <c r="T69" s="2">
        <v>843606</v>
      </c>
      <c r="U69" s="2">
        <v>0</v>
      </c>
      <c r="V69" s="2">
        <v>10</v>
      </c>
      <c r="W69" s="2">
        <v>0</v>
      </c>
      <c r="X69" s="2">
        <v>0</v>
      </c>
      <c r="Y69" s="2" t="s">
        <v>141</v>
      </c>
      <c r="Z69" s="12">
        <f>SUMIF(Table1[product],Table1[[#This Row],[product]],Table1[loan_amount])</f>
        <v>62765800</v>
      </c>
      <c r="AA69" s="15">
        <f>SUMIF(Table1[region],Table1[[#This Row],[region]],Table1[current_balance])</f>
        <v>94548000</v>
      </c>
      <c r="AB69" s="2">
        <f>COUNTIF(Table1[loan_status],Table1[[#This Row],[loan_status]])</f>
        <v>139</v>
      </c>
      <c r="AC69" s="2">
        <f>COUNTIF(Table1[default_flag],1)/ROWS(Table1[loan_id])</f>
        <v>2.5999999999999999E-2</v>
      </c>
      <c r="AD69" s="2">
        <f>COUNTIFS(Table1[region],Table1[[#This Row],[region]],Table1[default_flag],1)/COUNTIF(Table1[region],Table1[[#This Row],[region]])</f>
        <v>0</v>
      </c>
      <c r="AE69" s="2">
        <f>COUNTIFS(Table1[channel],Table1[[#This Row],[channel]],Table1[prepayment_flag],1)/COUNTIF(Table1[channel],Table1[[#This Row],[channel]])</f>
        <v>7.1090047393364927E-2</v>
      </c>
      <c r="AF69" s="2">
        <f>AVERAGEIFS(Table1[interest_rate_pct],Table1[product],Table1[[#This Row],[product]],Table1[risk_band],Table1[[#This Row],[risk_band]])</f>
        <v>10.832666666666663</v>
      </c>
      <c r="AG69" s="2" t="str" cm="1">
        <f t="array" ref="AG69">_xlfn.IFS(Table1[[#This Row],[dti_ratio]] &lt; 0.2, " less than 0.2", Table1[[#This Row],[dti_ratio]] &lt; 0.3, "0.2 - 0.3", Table1[[#This Row],[dti_ratio]] &lt;= 0.5, "0.35 - 0.5", Table1[[#This Row],[dti_ratio]] &gt; 0.5, "greater than 0.5")</f>
        <v>0.35 - 0.5</v>
      </c>
      <c r="AH69" s="2">
        <f>COUNTIF(Table1[DTI band],Table1[[#This Row],[DTI band]])</f>
        <v>260</v>
      </c>
      <c r="AI69" s="2" t="str" cm="1">
        <f t="array" ref="AI69">_xlfn.IFS(Table1[[#This Row],[ltv_ratio]] &lt; 0.6, "less than 0.6 -less risky", Table1[[#This Row],[ltv_ratio]]  &lt;= 0.8, "0.6 - 0.8 -medium risky",Table1[[#This Row],[ltv_ratio]] &gt; 0.8, "greater than 0.8 -highly risky")</f>
        <v>0.6 - 0.8 -medium risky</v>
      </c>
      <c r="AJ69" s="2">
        <f>COUNTIF(Table1[LTV band],Table1[[#This Row],[LTV band]])</f>
        <v>302</v>
      </c>
      <c r="AK69" s="2">
        <f>COUNTIFS(Table1[count_loan_perband],Table1[[#This Row],[count_loan_perband]],Table1[default_flag],1)/COUNTIF(Table1[count_loan_perband],Table1[[#This Row],[count_loan_perband]])</f>
        <v>3.6423841059602648E-2</v>
      </c>
      <c r="AL69" s="2" t="str" cm="1">
        <f t="array" ref="AL69">_xlfn.IFS(Table1[[#This Row],[loan_amount]] &lt; 900000, "lower size (&lt; 9L)", Table1[[#This Row],[loan_amount]] &lt;=3300000, "medium size (&lt;=33L)", Table1[[#This Row],[loan_amount]] &gt; 3300000, "larger size (&gt; 33L)")</f>
        <v>lower size (&lt; 9L)</v>
      </c>
      <c r="AM69" s="2">
        <f>IF(Table1[[#This Row],[dpd]] &gt;=30,1,0)</f>
        <v>0</v>
      </c>
      <c r="AN69" s="2">
        <f>COUNTIFS(Table1[Loan size],Table1[[#This Row],[Loan size]],Table1[dpd flag],1)/COUNTIF(Table1[Loan size],Table1[[#This Row],[Loan size]])</f>
        <v>0.13934426229508196</v>
      </c>
      <c r="AO69" s="2" t="str">
        <f>IF(OR(Table1[[#This Row],[credit_score]] &lt; 600, Table1[ [#This Row],[dti_ratio] ] &gt; 0.5, Table1[[#This Row],[dpd]] &gt;=30), "high risk", " not riskY")</f>
        <v xml:space="preserve"> not riskY</v>
      </c>
      <c r="AP69" s="26">
        <f>EOMONTH(Table1[[#This Row],[origination_date]],0)</f>
        <v>44957</v>
      </c>
      <c r="AQ69" s="2">
        <f>SUMIFS(Table1[loan_amount],Table1[origination month],Table1[[#This Row],[origination month]])</f>
        <v>11698400</v>
      </c>
      <c r="AR69" s="2">
        <f>AVERAGEIFS(Table1[months_on_book],Table1[product],Table1[[#This Row],[product]])</f>
        <v>21.962962962962962</v>
      </c>
      <c r="AS69" s="2" t="str">
        <f ca="1">IF(EDATE(Table1[[#This Row],[origination_date]],6) &gt;= TODAY(), "New Loan", "Old Loan")</f>
        <v>Old Loan</v>
      </c>
      <c r="AT69" s="2" t="str">
        <f>"Q"&amp;ROUNDUP(MONTH(Table1[[#This Row],[origination_date]])/3,0)&amp;YEAR(Table1[[#This Row],[origination_date]])</f>
        <v>Q12023</v>
      </c>
      <c r="AU69" s="2">
        <f>SUMIFS(Table1[loan_amount],Table1[quarter],Table1[[#This Row],[quarter]])</f>
        <v>46066100</v>
      </c>
      <c r="AV69" s="34" t="str">
        <f>_xlfn.TEXTJOIN("|",TRUE,Table1[[#This Row],[loan_id]:[loan_status]])</f>
        <v>L47533220|C3234605|44927|Education Loan|Online|South|Salaried|24|735300|12.64|34833|922606|710|B|0.36|0.72|0|24|843606|0|10|0|0|Closed</v>
      </c>
      <c r="AW69" s="42">
        <f>YEAR(Loan_Table[ [#This Row],[origination_date] ])</f>
        <v>2023</v>
      </c>
      <c r="AY69" s="2" t="s">
        <v>113</v>
      </c>
      <c r="AZ69">
        <f>MIN(INDEX(Loan_Table[],,MATCH(AY69,Loan_Table[#Headers],0)))</f>
        <v>50000</v>
      </c>
      <c r="BA69">
        <f>_xlfn.PERCENTILE.INC(INDEX(Loan_Table[],,MATCH(AY69,Loan_Table[#Headers],0)),0.25)</f>
        <v>494500</v>
      </c>
      <c r="BB69">
        <f>_xlfn.PERCENTILE.INC(INDEX(Loan_Table[],,MATCH(AY69,Loan_Table[#Headers],0)),0.5)</f>
        <v>941150</v>
      </c>
      <c r="BC69">
        <f>AVERAGE(INDEX(Loan_Table[],,MATCH(AY69,Loan_Table[#Headers],0)))</f>
        <v>1669562</v>
      </c>
      <c r="BD69">
        <f>MEDIAN(INDEX(Loan_Table[],,MATCH(AY69,Loan_Table[#Headers],0)))</f>
        <v>941150</v>
      </c>
      <c r="BE69">
        <f>_xlfn.PERCENTILE.INC(INDEX(Loan_Table[],,MATCH(AY69,Loan_Table[#Headers],0)),0.75)</f>
        <v>2268975</v>
      </c>
      <c r="BF69">
        <f>_xlfn.PERCENTILE.INC(INDEX(Loan_Table[],,MATCH(AY69,Loan_Table[#Headers],0)),0.85)</f>
        <v>3398840</v>
      </c>
      <c r="BG69">
        <f>_xlfn.PERCENTILE.INC(INDEX(Loan_Table[],,MATCH(AY69,Loan_Table[#Headers],0)),0.99)</f>
        <v>7689994.9999999963</v>
      </c>
      <c r="BH69">
        <f>MAX(INDEX(Loan_Table[],,MATCH(AY69,Loan_Table[#Headers],0)))</f>
        <v>8719200</v>
      </c>
    </row>
    <row r="70" spans="2:60" ht="18" customHeight="1">
      <c r="B70" s="5" t="s">
        <v>260</v>
      </c>
      <c r="C70" s="2" t="s">
        <v>261</v>
      </c>
      <c r="D70" s="3">
        <v>44993</v>
      </c>
      <c r="E70" s="2" t="s">
        <v>177</v>
      </c>
      <c r="F70" s="2" t="s">
        <v>144</v>
      </c>
      <c r="G70" s="2" t="s">
        <v>170</v>
      </c>
      <c r="H70" s="2" t="s">
        <v>134</v>
      </c>
      <c r="I70" s="2">
        <v>360</v>
      </c>
      <c r="J70" s="2">
        <v>1343300</v>
      </c>
      <c r="K70" s="2">
        <v>13.75</v>
      </c>
      <c r="L70" s="2">
        <v>15651</v>
      </c>
      <c r="M70" s="2">
        <v>677984</v>
      </c>
      <c r="N70" s="2">
        <v>657</v>
      </c>
      <c r="O70" s="2" t="s">
        <v>140</v>
      </c>
      <c r="P70" s="2">
        <v>0.35</v>
      </c>
      <c r="Q70" s="2">
        <v>0.78</v>
      </c>
      <c r="R70" s="2">
        <v>0</v>
      </c>
      <c r="S70" s="2">
        <v>33</v>
      </c>
      <c r="T70" s="2">
        <v>450892</v>
      </c>
      <c r="U70" s="2">
        <v>1095582</v>
      </c>
      <c r="V70" s="2">
        <v>0</v>
      </c>
      <c r="W70" s="2">
        <v>0</v>
      </c>
      <c r="X70" s="2">
        <v>0</v>
      </c>
      <c r="Y70" s="2" t="s">
        <v>148</v>
      </c>
      <c r="Z70" s="12">
        <f>SUMIF(Table1[product],Table1[[#This Row],[product]],Table1[loan_amount])</f>
        <v>62765800</v>
      </c>
      <c r="AA70" s="15">
        <f>SUMIF(Table1[region],Table1[[#This Row],[region]],Table1[current_balance])</f>
        <v>83297251</v>
      </c>
      <c r="AB70" s="2">
        <f>COUNTIF(Table1[loan_status],Table1[[#This Row],[loan_status]])</f>
        <v>301</v>
      </c>
      <c r="AC70" s="2">
        <f>COUNTIF(Table1[default_flag],1)/ROWS(Table1[loan_id])</f>
        <v>2.5999999999999999E-2</v>
      </c>
      <c r="AD70" s="2">
        <f>COUNTIFS(Table1[region],Table1[[#This Row],[region]],Table1[default_flag],1)/COUNTIF(Table1[region],Table1[[#This Row],[region]])</f>
        <v>3.1914893617021274E-2</v>
      </c>
      <c r="AE70" s="2">
        <f>COUNTIFS(Table1[channel],Table1[[#This Row],[channel]],Table1[prepayment_flag],1)/COUNTIF(Table1[channel],Table1[[#This Row],[channel]])</f>
        <v>5.8201058201058198E-2</v>
      </c>
      <c r="AF70" s="2">
        <f>AVERAGEIFS(Table1[interest_rate_pct],Table1[product],Table1[[#This Row],[product]],Table1[risk_band],Table1[[#This Row],[risk_band]])</f>
        <v>13.463888888888889</v>
      </c>
      <c r="AG70" s="2" t="str" cm="1">
        <f t="array" ref="AG70">_xlfn.IFS(Table1[[#This Row],[dti_ratio]] &lt; 0.2, " less than 0.2", Table1[[#This Row],[dti_ratio]] &lt; 0.3, "0.2 - 0.3", Table1[[#This Row],[dti_ratio]] &lt;= 0.5, "0.35 - 0.5", Table1[[#This Row],[dti_ratio]] &gt; 0.5, "greater than 0.5")</f>
        <v>0.35 - 0.5</v>
      </c>
      <c r="AH70" s="2">
        <f>COUNTIF(Table1[DTI band],Table1[[#This Row],[DTI band]])</f>
        <v>260</v>
      </c>
      <c r="AI70" s="2" t="str" cm="1">
        <f t="array" ref="AI70">_xlfn.IFS(Table1[[#This Row],[ltv_ratio]] &lt; 0.6, "less than 0.6 -less risky", Table1[[#This Row],[ltv_ratio]]  &lt;= 0.8, "0.6 - 0.8 -medium risky",Table1[[#This Row],[ltv_ratio]] &gt; 0.8, "greater than 0.8 -highly risky")</f>
        <v>0.6 - 0.8 -medium risky</v>
      </c>
      <c r="AJ70" s="2">
        <f>COUNTIF(Table1[LTV band],Table1[[#This Row],[LTV band]])</f>
        <v>302</v>
      </c>
      <c r="AK70" s="2">
        <f>COUNTIFS(Table1[count_loan_perband],Table1[[#This Row],[count_loan_perband]],Table1[default_flag],1)/COUNTIF(Table1[count_loan_perband],Table1[[#This Row],[count_loan_perband]])</f>
        <v>3.6423841059602648E-2</v>
      </c>
      <c r="AL70" s="2" t="str" cm="1">
        <f t="array" ref="AL70">_xlfn.IFS(Table1[[#This Row],[loan_amount]] &lt; 900000, "lower size (&lt; 9L)", Table1[[#This Row],[loan_amount]] &lt;=3300000, "medium size (&lt;=33L)", Table1[[#This Row],[loan_amount]] &gt; 3300000, "larger size (&gt; 33L)")</f>
        <v>medium size (&lt;=33L)</v>
      </c>
      <c r="AM70" s="2">
        <f>IF(Table1[[#This Row],[dpd]] &gt;=30,1,0)</f>
        <v>0</v>
      </c>
      <c r="AN70" s="2">
        <f>COUNTIFS(Table1[Loan size],Table1[[#This Row],[Loan size]],Table1[dpd flag],1)/COUNTIF(Table1[Loan size],Table1[[#This Row],[Loan size]])</f>
        <v>0.15909090909090909</v>
      </c>
      <c r="AO70" s="2" t="str">
        <f>IF(OR(Table1[[#This Row],[credit_score]] &lt; 600, Table1[ [#This Row],[dti_ratio] ] &gt; 0.5, Table1[[#This Row],[dpd]] &gt;=30), "high risk", " not riskY")</f>
        <v xml:space="preserve"> not riskY</v>
      </c>
      <c r="AP70" s="26">
        <f>EOMONTH(Table1[[#This Row],[origination_date]],0)</f>
        <v>45016</v>
      </c>
      <c r="AQ70" s="2">
        <f>SUMIFS(Table1[loan_amount],Table1[origination month],Table1[[#This Row],[origination month]])</f>
        <v>23160200</v>
      </c>
      <c r="AR70" s="2">
        <f>AVERAGEIFS(Table1[months_on_book],Table1[product],Table1[[#This Row],[product]])</f>
        <v>21.962962962962962</v>
      </c>
      <c r="AS70" s="2" t="str">
        <f ca="1">IF(EDATE(Table1[[#This Row],[origination_date]],6) &gt;= TODAY(), "New Loan", "Old Loan")</f>
        <v>Old Loan</v>
      </c>
      <c r="AT70" s="2" t="str">
        <f>"Q"&amp;ROUNDUP(MONTH(Table1[[#This Row],[origination_date]])/3,0)&amp;YEAR(Table1[[#This Row],[origination_date]])</f>
        <v>Q12023</v>
      </c>
      <c r="AU70" s="2">
        <f>SUMIFS(Table1[loan_amount],Table1[quarter],Table1[[#This Row],[quarter]])</f>
        <v>46066100</v>
      </c>
      <c r="AV70" s="34" t="str">
        <f>_xlfn.TEXTJOIN("|",TRUE,Table1[[#This Row],[loan_id]:[loan_status]])</f>
        <v>L56697252|C8378197|44993|Education Loan|Branch|East|Salaried|360|1343300|13.75|15651|677984|657|C|0.35|0.78|0|33|450892|1095582|0|0|0|Active</v>
      </c>
      <c r="AW70" s="42">
        <f>YEAR(Loan_Table[ [#This Row],[origination_date] ])</f>
        <v>2023</v>
      </c>
      <c r="AY70" s="2" t="s">
        <v>114</v>
      </c>
      <c r="AZ70">
        <f>MIN(INDEX(Loan_Table[],,MATCH(AY70,Loan_Table[#Headers],0)))</f>
        <v>7</v>
      </c>
      <c r="BA70">
        <f>_xlfn.PERCENTILE.INC(INDEX(Loan_Table[],,MATCH(AY70,Loan_Table[#Headers],0)),0.25)</f>
        <v>11.445</v>
      </c>
      <c r="BB70">
        <f>_xlfn.PERCENTILE.INC(INDEX(Loan_Table[],,MATCH(AY70,Loan_Table[#Headers],0)),0.5)</f>
        <v>14.52</v>
      </c>
      <c r="BC70">
        <f>AVERAGE(INDEX(Loan_Table[],,MATCH(AY70,Loan_Table[#Headers],0)))</f>
        <v>14.360659999999985</v>
      </c>
      <c r="BD70">
        <f>MEDIAN(INDEX(Loan_Table[],,MATCH(AY70,Loan_Table[#Headers],0)))</f>
        <v>14.52</v>
      </c>
      <c r="BE70">
        <f>_xlfn.PERCENTILE.INC(INDEX(Loan_Table[],,MATCH(AY70,Loan_Table[#Headers],0)),0.75)</f>
        <v>17.3125</v>
      </c>
      <c r="BF70">
        <f>_xlfn.PERCENTILE.INC(INDEX(Loan_Table[],,MATCH(AY70,Loan_Table[#Headers],0)),0.85)</f>
        <v>18.3415</v>
      </c>
      <c r="BG70">
        <f>_xlfn.PERCENTILE.INC(INDEX(Loan_Table[],,MATCH(AY70,Loan_Table[#Headers],0)),0.99)</f>
        <v>23.000899999999998</v>
      </c>
      <c r="BH70">
        <f>MAX(INDEX(Loan_Table[],,MATCH(AY70,Loan_Table[#Headers],0)))</f>
        <v>26.08</v>
      </c>
    </row>
    <row r="71" spans="2:60" ht="18" customHeight="1">
      <c r="B71" s="5" t="s">
        <v>262</v>
      </c>
      <c r="C71" s="2" t="s">
        <v>263</v>
      </c>
      <c r="D71" s="3">
        <v>44987</v>
      </c>
      <c r="E71" s="2" t="s">
        <v>158</v>
      </c>
      <c r="F71" s="2" t="s">
        <v>144</v>
      </c>
      <c r="G71" s="2" t="s">
        <v>133</v>
      </c>
      <c r="H71" s="2" t="s">
        <v>152</v>
      </c>
      <c r="I71" s="2">
        <v>36</v>
      </c>
      <c r="J71" s="2">
        <v>2083800</v>
      </c>
      <c r="K71" s="2">
        <v>16.989999999999998</v>
      </c>
      <c r="L71" s="2">
        <v>74283</v>
      </c>
      <c r="M71" s="2">
        <v>1248472</v>
      </c>
      <c r="N71" s="2">
        <v>644</v>
      </c>
      <c r="O71" s="2" t="s">
        <v>147</v>
      </c>
      <c r="P71" s="2">
        <v>0.34</v>
      </c>
      <c r="Q71" s="2">
        <v>0.56000000000000005</v>
      </c>
      <c r="R71" s="2">
        <v>3749300</v>
      </c>
      <c r="S71" s="2">
        <v>33</v>
      </c>
      <c r="T71" s="2">
        <v>2328994</v>
      </c>
      <c r="U71" s="2">
        <v>144247</v>
      </c>
      <c r="V71" s="2">
        <v>0</v>
      </c>
      <c r="W71" s="2">
        <v>0</v>
      </c>
      <c r="X71" s="2">
        <v>0</v>
      </c>
      <c r="Y71" s="2" t="s">
        <v>148</v>
      </c>
      <c r="Z71" s="12">
        <f>SUMIF(Table1[product],Table1[[#This Row],[product]],Table1[loan_amount])</f>
        <v>201475100</v>
      </c>
      <c r="AA71" s="15">
        <f>SUMIF(Table1[region],Table1[[#This Row],[region]],Table1[current_balance])</f>
        <v>94548000</v>
      </c>
      <c r="AB71" s="2">
        <f>COUNTIF(Table1[loan_status],Table1[[#This Row],[loan_status]])</f>
        <v>301</v>
      </c>
      <c r="AC71" s="2">
        <f>COUNTIF(Table1[default_flag],1)/ROWS(Table1[loan_id])</f>
        <v>2.5999999999999999E-2</v>
      </c>
      <c r="AD71" s="2">
        <f>COUNTIFS(Table1[region],Table1[[#This Row],[region]],Table1[default_flag],1)/COUNTIF(Table1[region],Table1[[#This Row],[region]])</f>
        <v>0</v>
      </c>
      <c r="AE71" s="2">
        <f>COUNTIFS(Table1[channel],Table1[[#This Row],[channel]],Table1[prepayment_flag],1)/COUNTIF(Table1[channel],Table1[[#This Row],[channel]])</f>
        <v>5.8201058201058198E-2</v>
      </c>
      <c r="AF71" s="2">
        <f>AVERAGEIFS(Table1[interest_rate_pct],Table1[product],Table1[[#This Row],[product]],Table1[risk_band],Table1[[#This Row],[risk_band]])</f>
        <v>18.241249999999997</v>
      </c>
      <c r="AG71" s="2" t="str" cm="1">
        <f t="array" ref="AG71">_xlfn.IFS(Table1[[#This Row],[dti_ratio]] &lt; 0.2, " less than 0.2", Table1[[#This Row],[dti_ratio]] &lt; 0.3, "0.2 - 0.3", Table1[[#This Row],[dti_ratio]] &lt;= 0.5, "0.35 - 0.5", Table1[[#This Row],[dti_ratio]] &gt; 0.5, "greater than 0.5")</f>
        <v>0.35 - 0.5</v>
      </c>
      <c r="AH71" s="2">
        <f>COUNTIF(Table1[DTI band],Table1[[#This Row],[DTI band]])</f>
        <v>260</v>
      </c>
      <c r="AI71" s="2" t="str" cm="1">
        <f t="array" ref="AI71">_xlfn.IFS(Table1[[#This Row],[ltv_ratio]] &lt; 0.6, "less than 0.6 -less risky", Table1[[#This Row],[ltv_ratio]]  &lt;= 0.8, "0.6 - 0.8 -medium risky",Table1[[#This Row],[ltv_ratio]] &gt; 0.8, "greater than 0.8 -highly risky")</f>
        <v>less than 0.6 -less risky</v>
      </c>
      <c r="AJ71" s="2">
        <f>COUNTIF(Table1[LTV band],Table1[[#This Row],[LTV band]])</f>
        <v>57</v>
      </c>
      <c r="AK71" s="2">
        <f>COUNTIFS(Table1[count_loan_perband],Table1[[#This Row],[count_loan_perband]],Table1[default_flag],1)/COUNTIF(Table1[count_loan_perband],Table1[[#This Row],[count_loan_perband]])</f>
        <v>0</v>
      </c>
      <c r="AL71" s="2" t="str" cm="1">
        <f t="array" ref="AL71">_xlfn.IFS(Table1[[#This Row],[loan_amount]] &lt; 900000, "lower size (&lt; 9L)", Table1[[#This Row],[loan_amount]] &lt;=3300000, "medium size (&lt;=33L)", Table1[[#This Row],[loan_amount]] &gt; 3300000, "larger size (&gt; 33L)")</f>
        <v>medium size (&lt;=33L)</v>
      </c>
      <c r="AM71" s="2">
        <f>IF(Table1[[#This Row],[dpd]] &gt;=30,1,0)</f>
        <v>0</v>
      </c>
      <c r="AN71" s="2">
        <f>COUNTIFS(Table1[Loan size],Table1[[#This Row],[Loan size]],Table1[dpd flag],1)/COUNTIF(Table1[Loan size],Table1[[#This Row],[Loan size]])</f>
        <v>0.15909090909090909</v>
      </c>
      <c r="AO71" s="2" t="str">
        <f>IF(OR(Table1[[#This Row],[credit_score]] &lt; 600, Table1[ [#This Row],[dti_ratio] ] &gt; 0.5, Table1[[#This Row],[dpd]] &gt;=30), "high risk", " not riskY")</f>
        <v xml:space="preserve"> not riskY</v>
      </c>
      <c r="AP71" s="26">
        <f>EOMONTH(Table1[[#This Row],[origination_date]],0)</f>
        <v>45016</v>
      </c>
      <c r="AQ71" s="2">
        <f>SUMIFS(Table1[loan_amount],Table1[origination month],Table1[[#This Row],[origination month]])</f>
        <v>23160200</v>
      </c>
      <c r="AR71" s="2">
        <f>AVERAGEIFS(Table1[months_on_book],Table1[product],Table1[[#This Row],[product]])</f>
        <v>19.091954022988507</v>
      </c>
      <c r="AS71" s="2" t="str">
        <f ca="1">IF(EDATE(Table1[[#This Row],[origination_date]],6) &gt;= TODAY(), "New Loan", "Old Loan")</f>
        <v>Old Loan</v>
      </c>
      <c r="AT71" s="2" t="str">
        <f>"Q"&amp;ROUNDUP(MONTH(Table1[[#This Row],[origination_date]])/3,0)&amp;YEAR(Table1[[#This Row],[origination_date]])</f>
        <v>Q12023</v>
      </c>
      <c r="AU71" s="2">
        <f>SUMIFS(Table1[loan_amount],Table1[quarter],Table1[[#This Row],[quarter]])</f>
        <v>46066100</v>
      </c>
      <c r="AV71" s="34" t="str">
        <f>_xlfn.TEXTJOIN("|",TRUE,Table1[[#This Row],[loan_id]:[loan_status]])</f>
        <v>L48888373|C7644081|44987|SME Loan|Branch|South|Self-Employed|36|2083800|16.99|74283|1248472|644|D|0.34|0.56|3749300|33|2328994|144247|0|0|0|Active</v>
      </c>
      <c r="AW71" s="42">
        <f>YEAR(Loan_Table[ [#This Row],[origination_date] ])</f>
        <v>2023</v>
      </c>
      <c r="AY71" s="2" t="s">
        <v>115</v>
      </c>
      <c r="AZ71">
        <f>MIN(INDEX(Loan_Table[],,MATCH(AY71,Loan_Table[#Headers],0)))</f>
        <v>695</v>
      </c>
      <c r="BA71">
        <f>_xlfn.PERCENTILE.INC(INDEX(Loan_Table[],,MATCH(AY71,Loan_Table[#Headers],0)),0.25)</f>
        <v>12689</v>
      </c>
      <c r="BB71">
        <f>_xlfn.PERCENTILE.INC(INDEX(Loan_Table[],,MATCH(AY71,Loan_Table[#Headers],0)),0.5)</f>
        <v>27477</v>
      </c>
      <c r="BC71">
        <f>AVERAGE(INDEX(Loan_Table[],,MATCH(AY71,Loan_Table[#Headers],0)))</f>
        <v>53860.3</v>
      </c>
      <c r="BD71">
        <f>MEDIAN(INDEX(Loan_Table[],,MATCH(AY71,Loan_Table[#Headers],0)))</f>
        <v>27477</v>
      </c>
      <c r="BE71">
        <f>_xlfn.PERCENTILE.INC(INDEX(Loan_Table[],,MATCH(AY71,Loan_Table[#Headers],0)),0.75)</f>
        <v>66319</v>
      </c>
      <c r="BF71">
        <f>_xlfn.PERCENTILE.INC(INDEX(Loan_Table[],,MATCH(AY71,Loan_Table[#Headers],0)),0.85)</f>
        <v>102220.34999999999</v>
      </c>
      <c r="BG71">
        <f>_xlfn.PERCENTILE.INC(INDEX(Loan_Table[],,MATCH(AY71,Loan_Table[#Headers],0)),0.99)</f>
        <v>406872.4</v>
      </c>
      <c r="BH71">
        <f>MAX(INDEX(Loan_Table[],,MATCH(AY71,Loan_Table[#Headers],0)))</f>
        <v>736745</v>
      </c>
    </row>
    <row r="72" spans="2:60" ht="18" customHeight="1">
      <c r="B72" s="5" t="s">
        <v>264</v>
      </c>
      <c r="C72" s="2" t="s">
        <v>265</v>
      </c>
      <c r="D72" s="3">
        <v>44934</v>
      </c>
      <c r="E72" s="2" t="s">
        <v>163</v>
      </c>
      <c r="F72" s="2" t="s">
        <v>144</v>
      </c>
      <c r="G72" s="2" t="s">
        <v>151</v>
      </c>
      <c r="H72" s="2" t="s">
        <v>192</v>
      </c>
      <c r="I72" s="2">
        <v>360</v>
      </c>
      <c r="J72" s="2">
        <v>671900</v>
      </c>
      <c r="K72" s="2">
        <v>13.81</v>
      </c>
      <c r="L72" s="2">
        <v>7860</v>
      </c>
      <c r="M72" s="2">
        <v>979507</v>
      </c>
      <c r="N72" s="2">
        <v>669</v>
      </c>
      <c r="O72" s="2" t="s">
        <v>140</v>
      </c>
      <c r="P72" s="2">
        <v>0.31</v>
      </c>
      <c r="Q72" s="2">
        <v>0.6</v>
      </c>
      <c r="R72" s="2">
        <v>1120000</v>
      </c>
      <c r="S72" s="2">
        <v>35</v>
      </c>
      <c r="T72" s="2">
        <v>276058</v>
      </c>
      <c r="U72" s="2">
        <v>504096</v>
      </c>
      <c r="V72" s="2">
        <v>0</v>
      </c>
      <c r="W72" s="2">
        <v>0</v>
      </c>
      <c r="X72" s="2">
        <v>0</v>
      </c>
      <c r="Y72" s="2" t="s">
        <v>148</v>
      </c>
      <c r="Z72" s="12">
        <f>SUMIF(Table1[product],Table1[[#This Row],[product]],Table1[loan_amount])</f>
        <v>92273000</v>
      </c>
      <c r="AA72" s="15">
        <f>SUMIF(Table1[region],Table1[[#This Row],[region]],Table1[current_balance])</f>
        <v>105779369</v>
      </c>
      <c r="AB72" s="2">
        <f>COUNTIF(Table1[loan_status],Table1[[#This Row],[loan_status]])</f>
        <v>301</v>
      </c>
      <c r="AC72" s="2">
        <f>COUNTIF(Table1[default_flag],1)/ROWS(Table1[loan_id])</f>
        <v>2.5999999999999999E-2</v>
      </c>
      <c r="AD72" s="2">
        <f>COUNTIFS(Table1[region],Table1[[#This Row],[region]],Table1[default_flag],1)/COUNTIF(Table1[region],Table1[[#This Row],[region]])</f>
        <v>2.6548672566371681E-2</v>
      </c>
      <c r="AE72" s="2">
        <f>COUNTIFS(Table1[channel],Table1[[#This Row],[channel]],Table1[prepayment_flag],1)/COUNTIF(Table1[channel],Table1[[#This Row],[channel]])</f>
        <v>5.8201058201058198E-2</v>
      </c>
      <c r="AF72" s="2">
        <f>AVERAGEIFS(Table1[interest_rate_pct],Table1[product],Table1[[#This Row],[product]],Table1[risk_band],Table1[[#This Row],[risk_band]])</f>
        <v>13.246500000000001</v>
      </c>
      <c r="AG72" s="2" t="str" cm="1">
        <f t="array" ref="AG72">_xlfn.IFS(Table1[[#This Row],[dti_ratio]] &lt; 0.2, " less than 0.2", Table1[[#This Row],[dti_ratio]] &lt; 0.3, "0.2 - 0.3", Table1[[#This Row],[dti_ratio]] &lt;= 0.5, "0.35 - 0.5", Table1[[#This Row],[dti_ratio]] &gt; 0.5, "greater than 0.5")</f>
        <v>0.35 - 0.5</v>
      </c>
      <c r="AH72" s="2">
        <f>COUNTIF(Table1[DTI band],Table1[[#This Row],[DTI band]])</f>
        <v>260</v>
      </c>
      <c r="AI72" s="2" t="str" cm="1">
        <f t="array" ref="AI72">_xlfn.IFS(Table1[[#This Row],[ltv_ratio]] &lt; 0.6, "less than 0.6 -less risky", Table1[[#This Row],[ltv_ratio]]  &lt;= 0.8, "0.6 - 0.8 -medium risky",Table1[[#This Row],[ltv_ratio]] &gt; 0.8, "greater than 0.8 -highly risky")</f>
        <v>0.6 - 0.8 -medium risky</v>
      </c>
      <c r="AJ72" s="2">
        <f>COUNTIF(Table1[LTV band],Table1[[#This Row],[LTV band]])</f>
        <v>302</v>
      </c>
      <c r="AK72" s="2">
        <f>COUNTIFS(Table1[count_loan_perband],Table1[[#This Row],[count_loan_perband]],Table1[default_flag],1)/COUNTIF(Table1[count_loan_perband],Table1[[#This Row],[count_loan_perband]])</f>
        <v>3.6423841059602648E-2</v>
      </c>
      <c r="AL72" s="2" t="str" cm="1">
        <f t="array" ref="AL72">_xlfn.IFS(Table1[[#This Row],[loan_amount]] &lt; 900000, "lower size (&lt; 9L)", Table1[[#This Row],[loan_amount]] &lt;=3300000, "medium size (&lt;=33L)", Table1[[#This Row],[loan_amount]] &gt; 3300000, "larger size (&gt; 33L)")</f>
        <v>lower size (&lt; 9L)</v>
      </c>
      <c r="AM72" s="2">
        <f>IF(Table1[[#This Row],[dpd]] &gt;=30,1,0)</f>
        <v>0</v>
      </c>
      <c r="AN72" s="2">
        <f>COUNTIFS(Table1[Loan size],Table1[[#This Row],[Loan size]],Table1[dpd flag],1)/COUNTIF(Table1[Loan size],Table1[[#This Row],[Loan size]])</f>
        <v>0.13934426229508196</v>
      </c>
      <c r="AO72" s="2" t="str">
        <f>IF(OR(Table1[[#This Row],[credit_score]] &lt; 600, Table1[ [#This Row],[dti_ratio] ] &gt; 0.5, Table1[[#This Row],[dpd]] &gt;=30), "high risk", " not riskY")</f>
        <v xml:space="preserve"> not riskY</v>
      </c>
      <c r="AP72" s="26">
        <f>EOMONTH(Table1[[#This Row],[origination_date]],0)</f>
        <v>44957</v>
      </c>
      <c r="AQ72" s="2">
        <f>SUMIFS(Table1[loan_amount],Table1[origination month],Table1[[#This Row],[origination month]])</f>
        <v>11698400</v>
      </c>
      <c r="AR72" s="2">
        <f>AVERAGEIFS(Table1[months_on_book],Table1[product],Table1[[#This Row],[product]])</f>
        <v>20.262135922330096</v>
      </c>
      <c r="AS72" s="2" t="str">
        <f ca="1">IF(EDATE(Table1[[#This Row],[origination_date]],6) &gt;= TODAY(), "New Loan", "Old Loan")</f>
        <v>Old Loan</v>
      </c>
      <c r="AT72" s="2" t="str">
        <f>"Q"&amp;ROUNDUP(MONTH(Table1[[#This Row],[origination_date]])/3,0)&amp;YEAR(Table1[[#This Row],[origination_date]])</f>
        <v>Q12023</v>
      </c>
      <c r="AU72" s="2">
        <f>SUMIFS(Table1[loan_amount],Table1[quarter],Table1[[#This Row],[quarter]])</f>
        <v>46066100</v>
      </c>
      <c r="AV72" s="34" t="str">
        <f>_xlfn.TEXTJOIN("|",TRUE,Table1[[#This Row],[loan_id]:[loan_status]])</f>
        <v>L68673792|C7630351|44934|Auto Loan|Branch|North|Unemployed|360|671900|13.81|7860|979507|669|C|0.31|0.6|1120000|35|276058|504096|0|0|0|Active</v>
      </c>
      <c r="AW72" s="42">
        <f>YEAR(Loan_Table[ [#This Row],[origination_date] ])</f>
        <v>2023</v>
      </c>
      <c r="AY72" s="2" t="s">
        <v>116</v>
      </c>
      <c r="AZ72">
        <f>MIN(INDEX(Loan_Table[],,MATCH(AY72,Loan_Table[#Headers],0)))</f>
        <v>150000</v>
      </c>
      <c r="BA72">
        <f>_xlfn.PERCENTILE.INC(INDEX(Loan_Table[],,MATCH(AY72,Loan_Table[#Headers],0)),0.25)</f>
        <v>673452.5</v>
      </c>
      <c r="BB72">
        <f>_xlfn.PERCENTILE.INC(INDEX(Loan_Table[],,MATCH(AY72,Loan_Table[#Headers],0)),0.5)</f>
        <v>904744.5</v>
      </c>
      <c r="BC72">
        <f>AVERAGE(INDEX(Loan_Table[],,MATCH(AY72,Loan_Table[#Headers],0)))</f>
        <v>916845.70600000001</v>
      </c>
      <c r="BD72">
        <f>MEDIAN(INDEX(Loan_Table[],,MATCH(AY72,Loan_Table[#Headers],0)))</f>
        <v>904744.5</v>
      </c>
      <c r="BE72">
        <f>_xlfn.PERCENTILE.INC(INDEX(Loan_Table[],,MATCH(AY72,Loan_Table[#Headers],0)),0.75)</f>
        <v>1170336.5</v>
      </c>
      <c r="BF72">
        <f>_xlfn.PERCENTILE.INC(INDEX(Loan_Table[],,MATCH(AY72,Loan_Table[#Headers],0)),0.85)</f>
        <v>1283848.2</v>
      </c>
      <c r="BG72">
        <f>_xlfn.PERCENTILE.INC(INDEX(Loan_Table[],,MATCH(AY72,Loan_Table[#Headers],0)),0.99)</f>
        <v>1695965.8999999997</v>
      </c>
      <c r="BH72">
        <f>MAX(INDEX(Loan_Table[],,MATCH(AY72,Loan_Table[#Headers],0)))</f>
        <v>1970836</v>
      </c>
    </row>
    <row r="73" spans="2:60" ht="18" customHeight="1">
      <c r="B73" s="5" t="s">
        <v>266</v>
      </c>
      <c r="C73" s="2" t="s">
        <v>267</v>
      </c>
      <c r="D73" s="3">
        <v>44990</v>
      </c>
      <c r="E73" s="2" t="s">
        <v>131</v>
      </c>
      <c r="F73" s="2" t="s">
        <v>132</v>
      </c>
      <c r="G73" s="2" t="s">
        <v>139</v>
      </c>
      <c r="H73" s="2" t="s">
        <v>192</v>
      </c>
      <c r="I73" s="2">
        <v>18</v>
      </c>
      <c r="J73" s="2">
        <v>352100</v>
      </c>
      <c r="K73" s="2">
        <v>18.05</v>
      </c>
      <c r="L73" s="2">
        <v>22474</v>
      </c>
      <c r="M73" s="2">
        <v>701297</v>
      </c>
      <c r="N73" s="2">
        <v>707</v>
      </c>
      <c r="O73" s="2" t="s">
        <v>135</v>
      </c>
      <c r="P73" s="2">
        <v>0.31</v>
      </c>
      <c r="Q73" s="2">
        <v>0.62</v>
      </c>
      <c r="R73" s="2">
        <v>0</v>
      </c>
      <c r="S73" s="2">
        <v>18</v>
      </c>
      <c r="T73" s="2">
        <v>382682</v>
      </c>
      <c r="U73" s="2">
        <v>7550</v>
      </c>
      <c r="V73" s="2">
        <v>0</v>
      </c>
      <c r="W73" s="2">
        <v>0</v>
      </c>
      <c r="X73" s="2">
        <v>0</v>
      </c>
      <c r="Y73" s="2" t="s">
        <v>141</v>
      </c>
      <c r="Z73" s="12">
        <f>SUMIF(Table1[product],Table1[[#This Row],[product]],Table1[loan_amount])</f>
        <v>74897600</v>
      </c>
      <c r="AA73" s="15">
        <f>SUMIF(Table1[region],Table1[[#This Row],[region]],Table1[current_balance])</f>
        <v>83903255</v>
      </c>
      <c r="AB73" s="2">
        <f>COUNTIF(Table1[loan_status],Table1[[#This Row],[loan_status]])</f>
        <v>139</v>
      </c>
      <c r="AC73" s="2">
        <f>COUNTIF(Table1[default_flag],1)/ROWS(Table1[loan_id])</f>
        <v>2.5999999999999999E-2</v>
      </c>
      <c r="AD73" s="2">
        <f>COUNTIFS(Table1[region],Table1[[#This Row],[region]],Table1[default_flag],1)/COUNTIF(Table1[region],Table1[[#This Row],[region]])</f>
        <v>4.2553191489361701E-2</v>
      </c>
      <c r="AE73" s="2">
        <f>COUNTIFS(Table1[channel],Table1[[#This Row],[channel]],Table1[prepayment_flag],1)/COUNTIF(Table1[channel],Table1[[#This Row],[channel]])</f>
        <v>7.1090047393364927E-2</v>
      </c>
      <c r="AF73" s="2">
        <f>AVERAGEIFS(Table1[interest_rate_pct],Table1[product],Table1[[#This Row],[product]],Table1[risk_band],Table1[[#This Row],[risk_band]])</f>
        <v>16.500166666666669</v>
      </c>
      <c r="AG73" s="2" t="str" cm="1">
        <f t="array" ref="AG73">_xlfn.IFS(Table1[[#This Row],[dti_ratio]] &lt; 0.2, " less than 0.2", Table1[[#This Row],[dti_ratio]] &lt; 0.3, "0.2 - 0.3", Table1[[#This Row],[dti_ratio]] &lt;= 0.5, "0.35 - 0.5", Table1[[#This Row],[dti_ratio]] &gt; 0.5, "greater than 0.5")</f>
        <v>0.35 - 0.5</v>
      </c>
      <c r="AH73" s="2">
        <f>COUNTIF(Table1[DTI band],Table1[[#This Row],[DTI band]])</f>
        <v>260</v>
      </c>
      <c r="AI73" s="2" t="str" cm="1">
        <f t="array" ref="AI73">_xlfn.IFS(Table1[[#This Row],[ltv_ratio]] &lt; 0.6, "less than 0.6 -less risky", Table1[[#This Row],[ltv_ratio]]  &lt;= 0.8, "0.6 - 0.8 -medium risky",Table1[[#This Row],[ltv_ratio]] &gt; 0.8, "greater than 0.8 -highly risky")</f>
        <v>0.6 - 0.8 -medium risky</v>
      </c>
      <c r="AJ73" s="2">
        <f>COUNTIF(Table1[LTV band],Table1[[#This Row],[LTV band]])</f>
        <v>302</v>
      </c>
      <c r="AK73" s="2">
        <f>COUNTIFS(Table1[count_loan_perband],Table1[[#This Row],[count_loan_perband]],Table1[default_flag],1)/COUNTIF(Table1[count_loan_perband],Table1[[#This Row],[count_loan_perband]])</f>
        <v>3.6423841059602648E-2</v>
      </c>
      <c r="AL73" s="2" t="str" cm="1">
        <f t="array" ref="AL73">_xlfn.IFS(Table1[[#This Row],[loan_amount]] &lt; 900000, "lower size (&lt; 9L)", Table1[[#This Row],[loan_amount]] &lt;=3300000, "medium size (&lt;=33L)", Table1[[#This Row],[loan_amount]] &gt; 3300000, "larger size (&gt; 33L)")</f>
        <v>lower size (&lt; 9L)</v>
      </c>
      <c r="AM73" s="2">
        <f>IF(Table1[[#This Row],[dpd]] &gt;=30,1,0)</f>
        <v>0</v>
      </c>
      <c r="AN73" s="2">
        <f>COUNTIFS(Table1[Loan size],Table1[[#This Row],[Loan size]],Table1[dpd flag],1)/COUNTIF(Table1[Loan size],Table1[[#This Row],[Loan size]])</f>
        <v>0.13934426229508196</v>
      </c>
      <c r="AO73" s="2" t="str">
        <f>IF(OR(Table1[[#This Row],[credit_score]] &lt; 600, Table1[ [#This Row],[dti_ratio] ] &gt; 0.5, Table1[[#This Row],[dpd]] &gt;=30), "high risk", " not riskY")</f>
        <v xml:space="preserve"> not riskY</v>
      </c>
      <c r="AP73" s="26">
        <f>EOMONTH(Table1[[#This Row],[origination_date]],0)</f>
        <v>45016</v>
      </c>
      <c r="AQ73" s="2">
        <f>SUMIFS(Table1[loan_amount],Table1[origination month],Table1[[#This Row],[origination month]])</f>
        <v>23160200</v>
      </c>
      <c r="AR73" s="2">
        <f>AVERAGEIFS(Table1[months_on_book],Table1[product],Table1[[#This Row],[product]])</f>
        <v>21.092024539877301</v>
      </c>
      <c r="AS73" s="2" t="str">
        <f ca="1">IF(EDATE(Table1[[#This Row],[origination_date]],6) &gt;= TODAY(), "New Loan", "Old Loan")</f>
        <v>Old Loan</v>
      </c>
      <c r="AT73" s="2" t="str">
        <f>"Q"&amp;ROUNDUP(MONTH(Table1[[#This Row],[origination_date]])/3,0)&amp;YEAR(Table1[[#This Row],[origination_date]])</f>
        <v>Q12023</v>
      </c>
      <c r="AU73" s="2">
        <f>SUMIFS(Table1[loan_amount],Table1[quarter],Table1[[#This Row],[quarter]])</f>
        <v>46066100</v>
      </c>
      <c r="AV73" s="34" t="str">
        <f>_xlfn.TEXTJOIN("|",TRUE,Table1[[#This Row],[loan_id]:[loan_status]])</f>
        <v>L38837550|C2972221|44990|Personal Loan|Online|West|Unemployed|18|352100|18.05|22474|701297|707|B|0.31|0.62|0|18|382682|7550|0|0|0|Closed</v>
      </c>
      <c r="AW73" s="42">
        <f>YEAR(Loan_Table[ [#This Row],[origination_date] ])</f>
        <v>2023</v>
      </c>
      <c r="AY73" s="2" t="s">
        <v>117</v>
      </c>
      <c r="AZ73">
        <f>MIN(INDEX(Loan_Table[],,MATCH(AY73,Loan_Table[#Headers],0)))</f>
        <v>511</v>
      </c>
      <c r="BA73">
        <f>_xlfn.PERCENTILE.INC(INDEX(Loan_Table[],,MATCH(AY73,Loan_Table[#Headers],0)),0.25)</f>
        <v>648</v>
      </c>
      <c r="BB73">
        <f>_xlfn.PERCENTILE.INC(INDEX(Loan_Table[],,MATCH(AY73,Loan_Table[#Headers],0)),0.5)</f>
        <v>691</v>
      </c>
      <c r="BC73">
        <f>AVERAGE(INDEX(Loan_Table[],,MATCH(AY73,Loan_Table[#Headers],0)))</f>
        <v>691.07</v>
      </c>
      <c r="BD73">
        <f>MEDIAN(INDEX(Loan_Table[],,MATCH(AY73,Loan_Table[#Headers],0)))</f>
        <v>691</v>
      </c>
      <c r="BE73">
        <f>_xlfn.PERCENTILE.INC(INDEX(Loan_Table[],,MATCH(AY73,Loan_Table[#Headers],0)),0.75)</f>
        <v>734.25</v>
      </c>
      <c r="BF73">
        <f>_xlfn.PERCENTILE.INC(INDEX(Loan_Table[],,MATCH(AY73,Loan_Table[#Headers],0)),0.85)</f>
        <v>756</v>
      </c>
      <c r="BG73">
        <f>_xlfn.PERCENTILE.INC(INDEX(Loan_Table[],,MATCH(AY73,Loan_Table[#Headers],0)),0.99)</f>
        <v>845.05</v>
      </c>
      <c r="BH73">
        <f>MAX(INDEX(Loan_Table[],,MATCH(AY73,Loan_Table[#Headers],0)))</f>
        <v>850</v>
      </c>
    </row>
    <row r="74" spans="2:60" ht="18" customHeight="1">
      <c r="B74" s="5" t="s">
        <v>268</v>
      </c>
      <c r="C74" s="2" t="s">
        <v>269</v>
      </c>
      <c r="D74" s="3">
        <v>44968</v>
      </c>
      <c r="E74" s="2" t="s">
        <v>163</v>
      </c>
      <c r="F74" s="2" t="s">
        <v>144</v>
      </c>
      <c r="G74" s="2" t="s">
        <v>145</v>
      </c>
      <c r="H74" s="2" t="s">
        <v>134</v>
      </c>
      <c r="I74" s="2">
        <v>360</v>
      </c>
      <c r="J74" s="2">
        <v>1446100</v>
      </c>
      <c r="K74" s="2">
        <v>12.07</v>
      </c>
      <c r="L74" s="2">
        <v>14953</v>
      </c>
      <c r="M74" s="2">
        <v>859307</v>
      </c>
      <c r="N74" s="2">
        <v>708</v>
      </c>
      <c r="O74" s="2" t="s">
        <v>135</v>
      </c>
      <c r="P74" s="2">
        <v>0.28999999999999998</v>
      </c>
      <c r="Q74" s="2">
        <v>0.68</v>
      </c>
      <c r="R74" s="2">
        <v>2118900</v>
      </c>
      <c r="S74" s="2">
        <v>34</v>
      </c>
      <c r="T74" s="2">
        <v>494345</v>
      </c>
      <c r="U74" s="2">
        <v>1149572</v>
      </c>
      <c r="V74" s="2">
        <v>0</v>
      </c>
      <c r="W74" s="2">
        <v>0</v>
      </c>
      <c r="X74" s="2">
        <v>0</v>
      </c>
      <c r="Y74" s="2" t="s">
        <v>148</v>
      </c>
      <c r="Z74" s="12">
        <f>SUMIF(Table1[product],Table1[[#This Row],[product]],Table1[loan_amount])</f>
        <v>92273000</v>
      </c>
      <c r="AA74" s="15">
        <f>SUMIF(Table1[region],Table1[[#This Row],[region]],Table1[current_balance])</f>
        <v>98928695</v>
      </c>
      <c r="AB74" s="2">
        <f>COUNTIF(Table1[loan_status],Table1[[#This Row],[loan_status]])</f>
        <v>301</v>
      </c>
      <c r="AC74" s="2">
        <f>COUNTIF(Table1[default_flag],1)/ROWS(Table1[loan_id])</f>
        <v>2.5999999999999999E-2</v>
      </c>
      <c r="AD74" s="2">
        <f>COUNTIFS(Table1[region],Table1[[#This Row],[region]],Table1[default_flag],1)/COUNTIF(Table1[region],Table1[[#This Row],[region]])</f>
        <v>2.8571428571428571E-2</v>
      </c>
      <c r="AE74" s="2">
        <f>COUNTIFS(Table1[channel],Table1[[#This Row],[channel]],Table1[prepayment_flag],1)/COUNTIF(Table1[channel],Table1[[#This Row],[channel]])</f>
        <v>5.8201058201058198E-2</v>
      </c>
      <c r="AF74" s="2">
        <f>AVERAGEIFS(Table1[interest_rate_pct],Table1[product],Table1[[#This Row],[product]],Table1[risk_band],Table1[[#This Row],[risk_band]])</f>
        <v>10.611923076923079</v>
      </c>
      <c r="AG74" s="2" t="str" cm="1">
        <f t="array" ref="AG74">_xlfn.IFS(Table1[[#This Row],[dti_ratio]] &lt; 0.2, " less than 0.2", Table1[[#This Row],[dti_ratio]] &lt; 0.3, "0.2 - 0.3", Table1[[#This Row],[dti_ratio]] &lt;= 0.5, "0.35 - 0.5", Table1[[#This Row],[dti_ratio]] &gt; 0.5, "greater than 0.5")</f>
        <v>0.2 - 0.3</v>
      </c>
      <c r="AH74" s="2">
        <f>COUNTIF(Table1[DTI band],Table1[[#This Row],[DTI band]])</f>
        <v>122</v>
      </c>
      <c r="AI74" s="2" t="str" cm="1">
        <f t="array" ref="AI74">_xlfn.IFS(Table1[[#This Row],[ltv_ratio]] &lt; 0.6, "less than 0.6 -less risky", Table1[[#This Row],[ltv_ratio]]  &lt;= 0.8, "0.6 - 0.8 -medium risky",Table1[[#This Row],[ltv_ratio]] &gt; 0.8, "greater than 0.8 -highly risky")</f>
        <v>0.6 - 0.8 -medium risky</v>
      </c>
      <c r="AJ74" s="2">
        <f>COUNTIF(Table1[LTV band],Table1[[#This Row],[LTV band]])</f>
        <v>302</v>
      </c>
      <c r="AK74" s="2">
        <f>COUNTIFS(Table1[count_loan_perband],Table1[[#This Row],[count_loan_perband]],Table1[default_flag],1)/COUNTIF(Table1[count_loan_perband],Table1[[#This Row],[count_loan_perband]])</f>
        <v>3.6423841059602648E-2</v>
      </c>
      <c r="AL74" s="2" t="str" cm="1">
        <f t="array" ref="AL74">_xlfn.IFS(Table1[[#This Row],[loan_amount]] &lt; 900000, "lower size (&lt; 9L)", Table1[[#This Row],[loan_amount]] &lt;=3300000, "medium size (&lt;=33L)", Table1[[#This Row],[loan_amount]] &gt; 3300000, "larger size (&gt; 33L)")</f>
        <v>medium size (&lt;=33L)</v>
      </c>
      <c r="AM74" s="2">
        <f>IF(Table1[[#This Row],[dpd]] &gt;=30,1,0)</f>
        <v>0</v>
      </c>
      <c r="AN74" s="2">
        <f>COUNTIFS(Table1[Loan size],Table1[[#This Row],[Loan size]],Table1[dpd flag],1)/COUNTIF(Table1[Loan size],Table1[[#This Row],[Loan size]])</f>
        <v>0.15909090909090909</v>
      </c>
      <c r="AO74" s="2" t="str">
        <f>IF(OR(Table1[[#This Row],[credit_score]] &lt; 600, Table1[ [#This Row],[dti_ratio] ] &gt; 0.5, Table1[[#This Row],[dpd]] &gt;=30), "high risk", " not riskY")</f>
        <v xml:space="preserve"> not riskY</v>
      </c>
      <c r="AP74" s="26">
        <f>EOMONTH(Table1[[#This Row],[origination_date]],0)</f>
        <v>44985</v>
      </c>
      <c r="AQ74" s="2">
        <f>SUMIFS(Table1[loan_amount],Table1[origination month],Table1[[#This Row],[origination month]])</f>
        <v>11207500</v>
      </c>
      <c r="AR74" s="2">
        <f>AVERAGEIFS(Table1[months_on_book],Table1[product],Table1[[#This Row],[product]])</f>
        <v>20.262135922330096</v>
      </c>
      <c r="AS74" s="2" t="str">
        <f ca="1">IF(EDATE(Table1[[#This Row],[origination_date]],6) &gt;= TODAY(), "New Loan", "Old Loan")</f>
        <v>Old Loan</v>
      </c>
      <c r="AT74" s="2" t="str">
        <f>"Q"&amp;ROUNDUP(MONTH(Table1[[#This Row],[origination_date]])/3,0)&amp;YEAR(Table1[[#This Row],[origination_date]])</f>
        <v>Q12023</v>
      </c>
      <c r="AU74" s="2">
        <f>SUMIFS(Table1[loan_amount],Table1[quarter],Table1[[#This Row],[quarter]])</f>
        <v>46066100</v>
      </c>
      <c r="AV74" s="34" t="str">
        <f>_xlfn.TEXTJOIN("|",TRUE,Table1[[#This Row],[loan_id]:[loan_status]])</f>
        <v>L94313183|C8660179|44968|Auto Loan|Branch|Central|Salaried|360|1446100|12.07|14953|859307|708|B|0.29|0.68|2118900|34|494345|1149572|0|0|0|Active</v>
      </c>
      <c r="AW74" s="42">
        <f>YEAR(Loan_Table[ [#This Row],[origination_date] ])</f>
        <v>2023</v>
      </c>
      <c r="AY74" s="2" t="s">
        <v>118</v>
      </c>
      <c r="AZ74">
        <f>MIN(INDEX(Loan_Table[],,MATCH(AY74,Loan_Table[#Headers],0)))</f>
        <v>0</v>
      </c>
      <c r="BA74" t="e">
        <f>_xlfn.PERCENTILE.INC(INDEX(Loan_Table[],,MATCH(AY74,Loan_Table[#Headers],0)),0.25)</f>
        <v>#NUM!</v>
      </c>
      <c r="BB74" t="e">
        <f>_xlfn.PERCENTILE.INC(INDEX(Loan_Table[],,MATCH(AY74,Loan_Table[#Headers],0)),0.5)</f>
        <v>#NUM!</v>
      </c>
      <c r="BC74" t="e">
        <f>AVERAGE(INDEX(Loan_Table[],,MATCH(AY74,Loan_Table[#Headers],0)))</f>
        <v>#DIV/0!</v>
      </c>
      <c r="BD74" t="e">
        <f>MEDIAN(INDEX(Loan_Table[],,MATCH(AY74,Loan_Table[#Headers],0)))</f>
        <v>#NUM!</v>
      </c>
      <c r="BE74" t="e">
        <f>_xlfn.PERCENTILE.INC(INDEX(Loan_Table[],,MATCH(AY74,Loan_Table[#Headers],0)),0.75)</f>
        <v>#NUM!</v>
      </c>
      <c r="BF74" t="e">
        <f>_xlfn.PERCENTILE.INC(INDEX(Loan_Table[],,MATCH(AY74,Loan_Table[#Headers],0)),0.85)</f>
        <v>#NUM!</v>
      </c>
      <c r="BG74" t="e">
        <f>_xlfn.PERCENTILE.INC(INDEX(Loan_Table[],,MATCH(AY74,Loan_Table[#Headers],0)),0.99)</f>
        <v>#NUM!</v>
      </c>
      <c r="BH74">
        <f>MAX(INDEX(Loan_Table[],,MATCH(AY74,Loan_Table[#Headers],0)))</f>
        <v>0</v>
      </c>
    </row>
    <row r="75" spans="2:60" ht="18" customHeight="1">
      <c r="B75" s="5" t="s">
        <v>270</v>
      </c>
      <c r="C75" s="2" t="s">
        <v>271</v>
      </c>
      <c r="D75" s="3">
        <v>45010</v>
      </c>
      <c r="E75" s="2" t="s">
        <v>163</v>
      </c>
      <c r="F75" s="2" t="s">
        <v>132</v>
      </c>
      <c r="G75" s="2" t="s">
        <v>139</v>
      </c>
      <c r="H75" s="2" t="s">
        <v>134</v>
      </c>
      <c r="I75" s="2">
        <v>360</v>
      </c>
      <c r="J75" s="2">
        <v>1127400</v>
      </c>
      <c r="K75" s="2">
        <v>12.77</v>
      </c>
      <c r="L75" s="2">
        <v>12269</v>
      </c>
      <c r="M75" s="2">
        <v>974100</v>
      </c>
      <c r="N75" s="2">
        <v>682</v>
      </c>
      <c r="O75" s="2" t="s">
        <v>140</v>
      </c>
      <c r="P75" s="2">
        <v>0.28999999999999998</v>
      </c>
      <c r="Q75" s="2">
        <v>0.71</v>
      </c>
      <c r="R75" s="2">
        <v>1594600</v>
      </c>
      <c r="S75" s="2">
        <v>33</v>
      </c>
      <c r="T75" s="2">
        <v>408515</v>
      </c>
      <c r="U75" s="2">
        <v>877251</v>
      </c>
      <c r="V75" s="2">
        <v>0</v>
      </c>
      <c r="W75" s="2">
        <v>1</v>
      </c>
      <c r="X75" s="2">
        <v>0</v>
      </c>
      <c r="Y75" s="2" t="s">
        <v>141</v>
      </c>
      <c r="Z75" s="12">
        <f>SUMIF(Table1[product],Table1[[#This Row],[product]],Table1[loan_amount])</f>
        <v>92273000</v>
      </c>
      <c r="AA75" s="15">
        <f>SUMIF(Table1[region],Table1[[#This Row],[region]],Table1[current_balance])</f>
        <v>83903255</v>
      </c>
      <c r="AB75" s="2">
        <f>COUNTIF(Table1[loan_status],Table1[[#This Row],[loan_status]])</f>
        <v>139</v>
      </c>
      <c r="AC75" s="2">
        <f>COUNTIF(Table1[default_flag],1)/ROWS(Table1[loan_id])</f>
        <v>2.5999999999999999E-2</v>
      </c>
      <c r="AD75" s="2">
        <f>COUNTIFS(Table1[region],Table1[[#This Row],[region]],Table1[default_flag],1)/COUNTIF(Table1[region],Table1[[#This Row],[region]])</f>
        <v>4.2553191489361701E-2</v>
      </c>
      <c r="AE75" s="2">
        <f>COUNTIFS(Table1[channel],Table1[[#This Row],[channel]],Table1[prepayment_flag],1)/COUNTIF(Table1[channel],Table1[[#This Row],[channel]])</f>
        <v>7.1090047393364927E-2</v>
      </c>
      <c r="AF75" s="2">
        <f>AVERAGEIFS(Table1[interest_rate_pct],Table1[product],Table1[[#This Row],[product]],Table1[risk_band],Table1[[#This Row],[risk_band]])</f>
        <v>13.246500000000001</v>
      </c>
      <c r="AG75" s="2" t="str" cm="1">
        <f t="array" ref="AG75">_xlfn.IFS(Table1[[#This Row],[dti_ratio]] &lt; 0.2, " less than 0.2", Table1[[#This Row],[dti_ratio]] &lt; 0.3, "0.2 - 0.3", Table1[[#This Row],[dti_ratio]] &lt;= 0.5, "0.35 - 0.5", Table1[[#This Row],[dti_ratio]] &gt; 0.5, "greater than 0.5")</f>
        <v>0.2 - 0.3</v>
      </c>
      <c r="AH75" s="2">
        <f>COUNTIF(Table1[DTI band],Table1[[#This Row],[DTI band]])</f>
        <v>122</v>
      </c>
      <c r="AI75" s="2" t="str" cm="1">
        <f t="array" ref="AI75">_xlfn.IFS(Table1[[#This Row],[ltv_ratio]] &lt; 0.6, "less than 0.6 -less risky", Table1[[#This Row],[ltv_ratio]]  &lt;= 0.8, "0.6 - 0.8 -medium risky",Table1[[#This Row],[ltv_ratio]] &gt; 0.8, "greater than 0.8 -highly risky")</f>
        <v>0.6 - 0.8 -medium risky</v>
      </c>
      <c r="AJ75" s="2">
        <f>COUNTIF(Table1[LTV band],Table1[[#This Row],[LTV band]])</f>
        <v>302</v>
      </c>
      <c r="AK75" s="2">
        <f>COUNTIFS(Table1[count_loan_perband],Table1[[#This Row],[count_loan_perband]],Table1[default_flag],1)/COUNTIF(Table1[count_loan_perband],Table1[[#This Row],[count_loan_perband]])</f>
        <v>3.6423841059602648E-2</v>
      </c>
      <c r="AL75" s="2" t="str" cm="1">
        <f t="array" ref="AL75">_xlfn.IFS(Table1[[#This Row],[loan_amount]] &lt; 900000, "lower size (&lt; 9L)", Table1[[#This Row],[loan_amount]] &lt;=3300000, "medium size (&lt;=33L)", Table1[[#This Row],[loan_amount]] &gt; 3300000, "larger size (&gt; 33L)")</f>
        <v>medium size (&lt;=33L)</v>
      </c>
      <c r="AM75" s="2">
        <f>IF(Table1[[#This Row],[dpd]] &gt;=30,1,0)</f>
        <v>0</v>
      </c>
      <c r="AN75" s="2">
        <f>COUNTIFS(Table1[Loan size],Table1[[#This Row],[Loan size]],Table1[dpd flag],1)/COUNTIF(Table1[Loan size],Table1[[#This Row],[Loan size]])</f>
        <v>0.15909090909090909</v>
      </c>
      <c r="AO75" s="2" t="str">
        <f>IF(OR(Table1[[#This Row],[credit_score]] &lt; 600, Table1[ [#This Row],[dti_ratio] ] &gt; 0.5, Table1[[#This Row],[dpd]] &gt;=30), "high risk", " not riskY")</f>
        <v xml:space="preserve"> not riskY</v>
      </c>
      <c r="AP75" s="26">
        <f>EOMONTH(Table1[[#This Row],[origination_date]],0)</f>
        <v>45016</v>
      </c>
      <c r="AQ75" s="2">
        <f>SUMIFS(Table1[loan_amount],Table1[origination month],Table1[[#This Row],[origination month]])</f>
        <v>23160200</v>
      </c>
      <c r="AR75" s="2">
        <f>AVERAGEIFS(Table1[months_on_book],Table1[product],Table1[[#This Row],[product]])</f>
        <v>20.262135922330096</v>
      </c>
      <c r="AS75" s="2" t="str">
        <f ca="1">IF(EDATE(Table1[[#This Row],[origination_date]],6) &gt;= TODAY(), "New Loan", "Old Loan")</f>
        <v>Old Loan</v>
      </c>
      <c r="AT75" s="2" t="str">
        <f>"Q"&amp;ROUNDUP(MONTH(Table1[[#This Row],[origination_date]])/3,0)&amp;YEAR(Table1[[#This Row],[origination_date]])</f>
        <v>Q12023</v>
      </c>
      <c r="AU75" s="2">
        <f>SUMIFS(Table1[loan_amount],Table1[quarter],Table1[[#This Row],[quarter]])</f>
        <v>46066100</v>
      </c>
      <c r="AV75" s="34" t="str">
        <f>_xlfn.TEXTJOIN("|",TRUE,Table1[[#This Row],[loan_id]:[loan_status]])</f>
        <v>L49907277|C3562480|45010|Auto Loan|Online|West|Salaried|360|1127400|12.77|12269|974100|682|C|0.29|0.71|1594600|33|408515|877251|0|1|0|Closed</v>
      </c>
      <c r="AW75" s="42">
        <f>YEAR(Loan_Table[ [#This Row],[origination_date] ])</f>
        <v>2024</v>
      </c>
      <c r="AY75" s="2" t="s">
        <v>119</v>
      </c>
      <c r="AZ75">
        <f>MIN(INDEX(Loan_Table[],,MATCH(AY75,Loan_Table[#Headers],0)))</f>
        <v>0.05</v>
      </c>
      <c r="BA75">
        <f>_xlfn.PERCENTILE.INC(INDEX(Loan_Table[],,MATCH(AY75,Loan_Table[#Headers],0)),0.25)</f>
        <v>0.23</v>
      </c>
      <c r="BB75">
        <f>_xlfn.PERCENTILE.INC(INDEX(Loan_Table[],,MATCH(AY75,Loan_Table[#Headers],0)),0.5)</f>
        <v>0.32</v>
      </c>
      <c r="BC75">
        <f>AVERAGE(INDEX(Loan_Table[],,MATCH(AY75,Loan_Table[#Headers],0)))</f>
        <v>0.3212600000000001</v>
      </c>
      <c r="BD75">
        <f>MEDIAN(INDEX(Loan_Table[],,MATCH(AY75,Loan_Table[#Headers],0)))</f>
        <v>0.32</v>
      </c>
      <c r="BE75">
        <f>_xlfn.PERCENTILE.INC(INDEX(Loan_Table[],,MATCH(AY75,Loan_Table[#Headers],0)),0.75)</f>
        <v>0.4</v>
      </c>
      <c r="BF75">
        <f>_xlfn.PERCENTILE.INC(INDEX(Loan_Table[],,MATCH(AY75,Loan_Table[#Headers],0)),0.85)</f>
        <v>0.45</v>
      </c>
      <c r="BG75">
        <f>_xlfn.PERCENTILE.INC(INDEX(Loan_Table[],,MATCH(AY75,Loan_Table[#Headers],0)),0.99)</f>
        <v>0.61009999999999986</v>
      </c>
      <c r="BH75">
        <f>MAX(INDEX(Loan_Table[],,MATCH(AY75,Loan_Table[#Headers],0)))</f>
        <v>0.66</v>
      </c>
    </row>
    <row r="76" spans="2:60" ht="18" customHeight="1">
      <c r="B76" s="5" t="s">
        <v>272</v>
      </c>
      <c r="C76" s="2" t="s">
        <v>273</v>
      </c>
      <c r="D76" s="3">
        <v>44963</v>
      </c>
      <c r="E76" s="2" t="s">
        <v>131</v>
      </c>
      <c r="F76" s="2" t="s">
        <v>132</v>
      </c>
      <c r="G76" s="2" t="s">
        <v>151</v>
      </c>
      <c r="H76" s="2" t="s">
        <v>134</v>
      </c>
      <c r="I76" s="2">
        <v>180</v>
      </c>
      <c r="J76" s="2">
        <v>473200</v>
      </c>
      <c r="K76" s="2">
        <v>19.149999999999999</v>
      </c>
      <c r="L76" s="2">
        <v>8015</v>
      </c>
      <c r="M76" s="2">
        <v>748369</v>
      </c>
      <c r="N76" s="2">
        <v>687</v>
      </c>
      <c r="O76" s="2" t="s">
        <v>140</v>
      </c>
      <c r="P76" s="2">
        <v>0.28000000000000003</v>
      </c>
      <c r="Q76" s="2">
        <v>0.77</v>
      </c>
      <c r="R76" s="2">
        <v>0</v>
      </c>
      <c r="S76" s="2">
        <v>34</v>
      </c>
      <c r="T76" s="2">
        <v>267602</v>
      </c>
      <c r="U76" s="2">
        <v>308298</v>
      </c>
      <c r="V76" s="2">
        <v>0</v>
      </c>
      <c r="W76" s="2">
        <v>0</v>
      </c>
      <c r="X76" s="2">
        <v>0</v>
      </c>
      <c r="Y76" s="2" t="s">
        <v>148</v>
      </c>
      <c r="Z76" s="12">
        <f>SUMIF(Table1[product],Table1[[#This Row],[product]],Table1[loan_amount])</f>
        <v>74897600</v>
      </c>
      <c r="AA76" s="15">
        <f>SUMIF(Table1[region],Table1[[#This Row],[region]],Table1[current_balance])</f>
        <v>105779369</v>
      </c>
      <c r="AB76" s="2">
        <f>COUNTIF(Table1[loan_status],Table1[[#This Row],[loan_status]])</f>
        <v>301</v>
      </c>
      <c r="AC76" s="2">
        <f>COUNTIF(Table1[default_flag],1)/ROWS(Table1[loan_id])</f>
        <v>2.5999999999999999E-2</v>
      </c>
      <c r="AD76" s="2">
        <f>COUNTIFS(Table1[region],Table1[[#This Row],[region]],Table1[default_flag],1)/COUNTIF(Table1[region],Table1[[#This Row],[region]])</f>
        <v>2.6548672566371681E-2</v>
      </c>
      <c r="AE76" s="2">
        <f>COUNTIFS(Table1[channel],Table1[[#This Row],[channel]],Table1[prepayment_flag],1)/COUNTIF(Table1[channel],Table1[[#This Row],[channel]])</f>
        <v>7.1090047393364927E-2</v>
      </c>
      <c r="AF76" s="2">
        <f>AVERAGEIFS(Table1[interest_rate_pct],Table1[product],Table1[[#This Row],[product]],Table1[risk_band],Table1[[#This Row],[risk_band]])</f>
        <v>18.603181818181817</v>
      </c>
      <c r="AG76" s="2" t="str" cm="1">
        <f t="array" ref="AG76">_xlfn.IFS(Table1[[#This Row],[dti_ratio]] &lt; 0.2, " less than 0.2", Table1[[#This Row],[dti_ratio]] &lt; 0.3, "0.2 - 0.3", Table1[[#This Row],[dti_ratio]] &lt;= 0.5, "0.35 - 0.5", Table1[[#This Row],[dti_ratio]] &gt; 0.5, "greater than 0.5")</f>
        <v>0.2 - 0.3</v>
      </c>
      <c r="AH76" s="2">
        <f>COUNTIF(Table1[DTI band],Table1[[#This Row],[DTI band]])</f>
        <v>122</v>
      </c>
      <c r="AI76" s="2" t="str" cm="1">
        <f t="array" ref="AI76">_xlfn.IFS(Table1[[#This Row],[ltv_ratio]] &lt; 0.6, "less than 0.6 -less risky", Table1[[#This Row],[ltv_ratio]]  &lt;= 0.8, "0.6 - 0.8 -medium risky",Table1[[#This Row],[ltv_ratio]] &gt; 0.8, "greater than 0.8 -highly risky")</f>
        <v>0.6 - 0.8 -medium risky</v>
      </c>
      <c r="AJ76" s="2">
        <f>COUNTIF(Table1[LTV band],Table1[[#This Row],[LTV band]])</f>
        <v>302</v>
      </c>
      <c r="AK76" s="2">
        <f>COUNTIFS(Table1[count_loan_perband],Table1[[#This Row],[count_loan_perband]],Table1[default_flag],1)/COUNTIF(Table1[count_loan_perband],Table1[[#This Row],[count_loan_perband]])</f>
        <v>3.6423841059602648E-2</v>
      </c>
      <c r="AL76" s="2" t="str" cm="1">
        <f t="array" ref="AL76">_xlfn.IFS(Table1[[#This Row],[loan_amount]] &lt; 900000, "lower size (&lt; 9L)", Table1[[#This Row],[loan_amount]] &lt;=3300000, "medium size (&lt;=33L)", Table1[[#This Row],[loan_amount]] &gt; 3300000, "larger size (&gt; 33L)")</f>
        <v>lower size (&lt; 9L)</v>
      </c>
      <c r="AM76" s="2">
        <f>IF(Table1[[#This Row],[dpd]] &gt;=30,1,0)</f>
        <v>0</v>
      </c>
      <c r="AN76" s="2">
        <f>COUNTIFS(Table1[Loan size],Table1[[#This Row],[Loan size]],Table1[dpd flag],1)/COUNTIF(Table1[Loan size],Table1[[#This Row],[Loan size]])</f>
        <v>0.13934426229508196</v>
      </c>
      <c r="AO76" s="2" t="str">
        <f>IF(OR(Table1[[#This Row],[credit_score]] &lt; 600, Table1[ [#This Row],[dti_ratio] ] &gt; 0.5, Table1[[#This Row],[dpd]] &gt;=30), "high risk", " not riskY")</f>
        <v xml:space="preserve"> not riskY</v>
      </c>
      <c r="AP76" s="26">
        <f>EOMONTH(Table1[[#This Row],[origination_date]],0)</f>
        <v>44985</v>
      </c>
      <c r="AQ76" s="2">
        <f>SUMIFS(Table1[loan_amount],Table1[origination month],Table1[[#This Row],[origination month]])</f>
        <v>11207500</v>
      </c>
      <c r="AR76" s="2">
        <f>AVERAGEIFS(Table1[months_on_book],Table1[product],Table1[[#This Row],[product]])</f>
        <v>21.092024539877301</v>
      </c>
      <c r="AS76" s="2" t="str">
        <f ca="1">IF(EDATE(Table1[[#This Row],[origination_date]],6) &gt;= TODAY(), "New Loan", "Old Loan")</f>
        <v>Old Loan</v>
      </c>
      <c r="AT76" s="2" t="str">
        <f>"Q"&amp;ROUNDUP(MONTH(Table1[[#This Row],[origination_date]])/3,0)&amp;YEAR(Table1[[#This Row],[origination_date]])</f>
        <v>Q12023</v>
      </c>
      <c r="AU76" s="2">
        <f>SUMIFS(Table1[loan_amount],Table1[quarter],Table1[[#This Row],[quarter]])</f>
        <v>46066100</v>
      </c>
      <c r="AV76" s="34" t="str">
        <f>_xlfn.TEXTJOIN("|",TRUE,Table1[[#This Row],[loan_id]:[loan_status]])</f>
        <v>L93408848|C2294847|44963|Personal Loan|Online|North|Salaried|180|473200|19.15|8015|748369|687|C|0.28|0.77|0|34|267602|308298|0|0|0|Active</v>
      </c>
      <c r="AW76" s="42">
        <f>YEAR(Loan_Table[ [#This Row],[origination_date] ])</f>
        <v>2024</v>
      </c>
      <c r="AY76" s="2" t="s">
        <v>120</v>
      </c>
      <c r="AZ76">
        <f>MIN(INDEX(Loan_Table[],,MATCH(AY76,Loan_Table[#Headers],0)))</f>
        <v>0.4</v>
      </c>
      <c r="BA76">
        <f>_xlfn.PERCENTILE.INC(INDEX(Loan_Table[],,MATCH(AY76,Loan_Table[#Headers],0)),0.25)</f>
        <v>0.65</v>
      </c>
      <c r="BB76">
        <f>_xlfn.PERCENTILE.INC(INDEX(Loan_Table[],,MATCH(AY76,Loan_Table[#Headers],0)),0.5)</f>
        <v>0.73</v>
      </c>
      <c r="BC76">
        <f>AVERAGE(INDEX(Loan_Table[],,MATCH(AY76,Loan_Table[#Headers],0)))</f>
        <v>0.7385400000000002</v>
      </c>
      <c r="BD76">
        <f>MEDIAN(INDEX(Loan_Table[],,MATCH(AY76,Loan_Table[#Headers],0)))</f>
        <v>0.73</v>
      </c>
      <c r="BE76">
        <f>_xlfn.PERCENTILE.INC(INDEX(Loan_Table[],,MATCH(AY76,Loan_Table[#Headers],0)),0.75)</f>
        <v>0.81</v>
      </c>
      <c r="BF76">
        <f>_xlfn.PERCENTILE.INC(INDEX(Loan_Table[],,MATCH(AY76,Loan_Table[#Headers],0)),0.85)</f>
        <v>0.87</v>
      </c>
      <c r="BG76">
        <f>_xlfn.PERCENTILE.INC(INDEX(Loan_Table[],,MATCH(AY76,Loan_Table[#Headers],0)),0.99)</f>
        <v>1.0401</v>
      </c>
      <c r="BH76">
        <f>MAX(INDEX(Loan_Table[],,MATCH(AY76,Loan_Table[#Headers],0)))</f>
        <v>1.19</v>
      </c>
    </row>
    <row r="77" spans="2:60" ht="18" customHeight="1">
      <c r="B77" s="5" t="s">
        <v>274</v>
      </c>
      <c r="C77" s="2" t="s">
        <v>275</v>
      </c>
      <c r="D77" s="3">
        <v>44967</v>
      </c>
      <c r="E77" s="2" t="s">
        <v>177</v>
      </c>
      <c r="F77" s="2" t="s">
        <v>144</v>
      </c>
      <c r="G77" s="2" t="s">
        <v>139</v>
      </c>
      <c r="H77" s="2" t="s">
        <v>134</v>
      </c>
      <c r="I77" s="2">
        <v>12</v>
      </c>
      <c r="J77" s="2">
        <v>939500</v>
      </c>
      <c r="K77" s="2">
        <v>15.34</v>
      </c>
      <c r="L77" s="2">
        <v>84948</v>
      </c>
      <c r="M77" s="2">
        <v>985190</v>
      </c>
      <c r="N77" s="2">
        <v>638</v>
      </c>
      <c r="O77" s="2" t="s">
        <v>147</v>
      </c>
      <c r="P77" s="2">
        <v>0.28000000000000003</v>
      </c>
      <c r="Q77" s="2">
        <v>0.55000000000000004</v>
      </c>
      <c r="R77" s="2">
        <v>0</v>
      </c>
      <c r="S77" s="2">
        <v>12</v>
      </c>
      <c r="T77" s="2">
        <v>1011536</v>
      </c>
      <c r="U77" s="2">
        <v>0</v>
      </c>
      <c r="V77" s="2">
        <v>0</v>
      </c>
      <c r="W77" s="2">
        <v>0</v>
      </c>
      <c r="X77" s="2">
        <v>0</v>
      </c>
      <c r="Y77" s="2" t="s">
        <v>141</v>
      </c>
      <c r="Z77" s="12">
        <f>SUMIF(Table1[product],Table1[[#This Row],[product]],Table1[loan_amount])</f>
        <v>62765800</v>
      </c>
      <c r="AA77" s="15">
        <f>SUMIF(Table1[region],Table1[[#This Row],[region]],Table1[current_balance])</f>
        <v>83903255</v>
      </c>
      <c r="AB77" s="2">
        <f>COUNTIF(Table1[loan_status],Table1[[#This Row],[loan_status]])</f>
        <v>139</v>
      </c>
      <c r="AC77" s="2">
        <f>COUNTIF(Table1[default_flag],1)/ROWS(Table1[loan_id])</f>
        <v>2.5999999999999999E-2</v>
      </c>
      <c r="AD77" s="2">
        <f>COUNTIFS(Table1[region],Table1[[#This Row],[region]],Table1[default_flag],1)/COUNTIF(Table1[region],Table1[[#This Row],[region]])</f>
        <v>4.2553191489361701E-2</v>
      </c>
      <c r="AE77" s="2">
        <f>COUNTIFS(Table1[channel],Table1[[#This Row],[channel]],Table1[prepayment_flag],1)/COUNTIF(Table1[channel],Table1[[#This Row],[channel]])</f>
        <v>5.8201058201058198E-2</v>
      </c>
      <c r="AF77" s="2">
        <f>AVERAGEIFS(Table1[interest_rate_pct],Table1[product],Table1[[#This Row],[product]],Table1[risk_band],Table1[[#This Row],[risk_band]])</f>
        <v>15.810000000000002</v>
      </c>
      <c r="AG77" s="2" t="str" cm="1">
        <f t="array" ref="AG77">_xlfn.IFS(Table1[[#This Row],[dti_ratio]] &lt; 0.2, " less than 0.2", Table1[[#This Row],[dti_ratio]] &lt; 0.3, "0.2 - 0.3", Table1[[#This Row],[dti_ratio]] &lt;= 0.5, "0.35 - 0.5", Table1[[#This Row],[dti_ratio]] &gt; 0.5, "greater than 0.5")</f>
        <v>0.2 - 0.3</v>
      </c>
      <c r="AH77" s="2">
        <f>COUNTIF(Table1[DTI band],Table1[[#This Row],[DTI band]])</f>
        <v>122</v>
      </c>
      <c r="AI77" s="2" t="str" cm="1">
        <f t="array" ref="AI77">_xlfn.IFS(Table1[[#This Row],[ltv_ratio]] &lt; 0.6, "less than 0.6 -less risky", Table1[[#This Row],[ltv_ratio]]  &lt;= 0.8, "0.6 - 0.8 -medium risky",Table1[[#This Row],[ltv_ratio]] &gt; 0.8, "greater than 0.8 -highly risky")</f>
        <v>less than 0.6 -less risky</v>
      </c>
      <c r="AJ77" s="2">
        <f>COUNTIF(Table1[LTV band],Table1[[#This Row],[LTV band]])</f>
        <v>57</v>
      </c>
      <c r="AK77" s="2">
        <f>COUNTIFS(Table1[count_loan_perband],Table1[[#This Row],[count_loan_perband]],Table1[default_flag],1)/COUNTIF(Table1[count_loan_perband],Table1[[#This Row],[count_loan_perband]])</f>
        <v>0</v>
      </c>
      <c r="AL77" s="2" t="str" cm="1">
        <f t="array" ref="AL77">_xlfn.IFS(Table1[[#This Row],[loan_amount]] &lt; 900000, "lower size (&lt; 9L)", Table1[[#This Row],[loan_amount]] &lt;=3300000, "medium size (&lt;=33L)", Table1[[#This Row],[loan_amount]] &gt; 3300000, "larger size (&gt; 33L)")</f>
        <v>medium size (&lt;=33L)</v>
      </c>
      <c r="AM77" s="2">
        <f>IF(Table1[[#This Row],[dpd]] &gt;=30,1,0)</f>
        <v>0</v>
      </c>
      <c r="AN77" s="2">
        <f>COUNTIFS(Table1[Loan size],Table1[[#This Row],[Loan size]],Table1[dpd flag],1)/COUNTIF(Table1[Loan size],Table1[[#This Row],[Loan size]])</f>
        <v>0.15909090909090909</v>
      </c>
      <c r="AO77" s="2" t="str">
        <f>IF(OR(Table1[[#This Row],[credit_score]] &lt; 600, Table1[ [#This Row],[dti_ratio] ] &gt; 0.5, Table1[[#This Row],[dpd]] &gt;=30), "high risk", " not riskY")</f>
        <v xml:space="preserve"> not riskY</v>
      </c>
      <c r="AP77" s="26">
        <f>EOMONTH(Table1[[#This Row],[origination_date]],0)</f>
        <v>44985</v>
      </c>
      <c r="AQ77" s="2">
        <f>SUMIFS(Table1[loan_amount],Table1[origination month],Table1[[#This Row],[origination month]])</f>
        <v>11207500</v>
      </c>
      <c r="AR77" s="2">
        <f>AVERAGEIFS(Table1[months_on_book],Table1[product],Table1[[#This Row],[product]])</f>
        <v>21.962962962962962</v>
      </c>
      <c r="AS77" s="2" t="str">
        <f ca="1">IF(EDATE(Table1[[#This Row],[origination_date]],6) &gt;= TODAY(), "New Loan", "Old Loan")</f>
        <v>Old Loan</v>
      </c>
      <c r="AT77" s="2" t="str">
        <f>"Q"&amp;ROUNDUP(MONTH(Table1[[#This Row],[origination_date]])/3,0)&amp;YEAR(Table1[[#This Row],[origination_date]])</f>
        <v>Q12023</v>
      </c>
      <c r="AU77" s="2">
        <f>SUMIFS(Table1[loan_amount],Table1[quarter],Table1[[#This Row],[quarter]])</f>
        <v>46066100</v>
      </c>
      <c r="AV77" s="34" t="str">
        <f>_xlfn.TEXTJOIN("|",TRUE,Table1[[#This Row],[loan_id]:[loan_status]])</f>
        <v>L11254265|C1825489|44967|Education Loan|Branch|West|Salaried|12|939500|15.34|84948|985190|638|D|0.28|0.55|0|12|1011536|0|0|0|0|Closed</v>
      </c>
      <c r="AW77" s="42">
        <f>YEAR(Loan_Table[ [#This Row],[origination_date] ])</f>
        <v>2024</v>
      </c>
      <c r="AY77" s="2" t="s">
        <v>121</v>
      </c>
      <c r="AZ77">
        <f>MIN(INDEX(Loan_Table[],,MATCH(AY77,Loan_Table[#Headers],0)))</f>
        <v>0</v>
      </c>
      <c r="BA77">
        <f>_xlfn.PERCENTILE.INC(INDEX(Loan_Table[],,MATCH(AY77,Loan_Table[#Headers],0)),0.25)</f>
        <v>0</v>
      </c>
      <c r="BB77">
        <f>_xlfn.PERCENTILE.INC(INDEX(Loan_Table[],,MATCH(AY77,Loan_Table[#Headers],0)),0.5)</f>
        <v>804300</v>
      </c>
      <c r="BC77">
        <f>AVERAGE(INDEX(Loan_Table[],,MATCH(AY77,Loan_Table[#Headers],0)))</f>
        <v>1919930.6</v>
      </c>
      <c r="BD77">
        <f>MEDIAN(INDEX(Loan_Table[],,MATCH(AY77,Loan_Table[#Headers],0)))</f>
        <v>804300</v>
      </c>
      <c r="BE77">
        <f>_xlfn.PERCENTILE.INC(INDEX(Loan_Table[],,MATCH(AY77,Loan_Table[#Headers],0)),0.75)</f>
        <v>3046175</v>
      </c>
      <c r="BF77">
        <f>_xlfn.PERCENTILE.INC(INDEX(Loan_Table[],,MATCH(AY77,Loan_Table[#Headers],0)),0.85)</f>
        <v>4932045</v>
      </c>
      <c r="BG77">
        <f>_xlfn.PERCENTILE.INC(INDEX(Loan_Table[],,MATCH(AY77,Loan_Table[#Headers],0)),0.99)</f>
        <v>9892685</v>
      </c>
      <c r="BH77">
        <f>MAX(INDEX(Loan_Table[],,MATCH(AY77,Loan_Table[#Headers],0)))</f>
        <v>13683000</v>
      </c>
    </row>
    <row r="78" spans="2:60" ht="18" customHeight="1">
      <c r="B78" s="5" t="s">
        <v>276</v>
      </c>
      <c r="C78" s="2" t="s">
        <v>277</v>
      </c>
      <c r="D78" s="3">
        <v>44943</v>
      </c>
      <c r="E78" s="2" t="s">
        <v>169</v>
      </c>
      <c r="F78" s="2" t="s">
        <v>132</v>
      </c>
      <c r="G78" s="2" t="s">
        <v>151</v>
      </c>
      <c r="H78" s="2" t="s">
        <v>134</v>
      </c>
      <c r="I78" s="2">
        <v>48</v>
      </c>
      <c r="J78" s="2">
        <v>1710600</v>
      </c>
      <c r="K78" s="2">
        <v>14.53</v>
      </c>
      <c r="L78" s="2">
        <v>47201</v>
      </c>
      <c r="M78" s="2">
        <v>524234</v>
      </c>
      <c r="N78" s="2">
        <v>594</v>
      </c>
      <c r="O78" s="2" t="s">
        <v>166</v>
      </c>
      <c r="P78" s="2">
        <v>0.26</v>
      </c>
      <c r="Q78" s="2">
        <v>0.59</v>
      </c>
      <c r="R78" s="2">
        <v>2888200</v>
      </c>
      <c r="S78" s="2">
        <v>35</v>
      </c>
      <c r="T78" s="2">
        <v>1603526</v>
      </c>
      <c r="U78" s="2">
        <v>397049</v>
      </c>
      <c r="V78" s="2">
        <v>0</v>
      </c>
      <c r="W78" s="2">
        <v>0</v>
      </c>
      <c r="X78" s="2">
        <v>0</v>
      </c>
      <c r="Y78" s="2" t="s">
        <v>148</v>
      </c>
      <c r="Z78" s="12">
        <f>SUMIF(Table1[product],Table1[[#This Row],[product]],Table1[loan_amount])</f>
        <v>403369500</v>
      </c>
      <c r="AA78" s="15">
        <f>SUMIF(Table1[region],Table1[[#This Row],[region]],Table1[current_balance])</f>
        <v>105779369</v>
      </c>
      <c r="AB78" s="2">
        <f>COUNTIF(Table1[loan_status],Table1[[#This Row],[loan_status]])</f>
        <v>301</v>
      </c>
      <c r="AC78" s="2">
        <f>COUNTIF(Table1[default_flag],1)/ROWS(Table1[loan_id])</f>
        <v>2.5999999999999999E-2</v>
      </c>
      <c r="AD78" s="2">
        <f>COUNTIFS(Table1[region],Table1[[#This Row],[region]],Table1[default_flag],1)/COUNTIF(Table1[region],Table1[[#This Row],[region]])</f>
        <v>2.6548672566371681E-2</v>
      </c>
      <c r="AE78" s="2">
        <f>COUNTIFS(Table1[channel],Table1[[#This Row],[channel]],Table1[prepayment_flag],1)/COUNTIF(Table1[channel],Table1[[#This Row],[channel]])</f>
        <v>7.1090047393364927E-2</v>
      </c>
      <c r="AF78" s="2">
        <f>AVERAGEIFS(Table1[interest_rate_pct],Table1[product],Table1[[#This Row],[product]],Table1[risk_band],Table1[[#This Row],[risk_band]])</f>
        <v>15.4275</v>
      </c>
      <c r="AG78" s="2" t="str" cm="1">
        <f t="array" ref="AG78">_xlfn.IFS(Table1[[#This Row],[dti_ratio]] &lt; 0.2, " less than 0.2", Table1[[#This Row],[dti_ratio]] &lt; 0.3, "0.2 - 0.3", Table1[[#This Row],[dti_ratio]] &lt;= 0.5, "0.35 - 0.5", Table1[[#This Row],[dti_ratio]] &gt; 0.5, "greater than 0.5")</f>
        <v>0.2 - 0.3</v>
      </c>
      <c r="AH78" s="2">
        <f>COUNTIF(Table1[DTI band],Table1[[#This Row],[DTI band]])</f>
        <v>122</v>
      </c>
      <c r="AI78" s="2" t="str" cm="1">
        <f t="array" ref="AI78">_xlfn.IFS(Table1[[#This Row],[ltv_ratio]] &lt; 0.6, "less than 0.6 -less risky", Table1[[#This Row],[ltv_ratio]]  &lt;= 0.8, "0.6 - 0.8 -medium risky",Table1[[#This Row],[ltv_ratio]] &gt; 0.8, "greater than 0.8 -highly risky")</f>
        <v>less than 0.6 -less risky</v>
      </c>
      <c r="AJ78" s="2">
        <f>COUNTIF(Table1[LTV band],Table1[[#This Row],[LTV band]])</f>
        <v>57</v>
      </c>
      <c r="AK78" s="2">
        <f>COUNTIFS(Table1[count_loan_perband],Table1[[#This Row],[count_loan_perband]],Table1[default_flag],1)/COUNTIF(Table1[count_loan_perband],Table1[[#This Row],[count_loan_perband]])</f>
        <v>0</v>
      </c>
      <c r="AL78" s="2" t="str" cm="1">
        <f t="array" ref="AL78">_xlfn.IFS(Table1[[#This Row],[loan_amount]] &lt; 900000, "lower size (&lt; 9L)", Table1[[#This Row],[loan_amount]] &lt;=3300000, "medium size (&lt;=33L)", Table1[[#This Row],[loan_amount]] &gt; 3300000, "larger size (&gt; 33L)")</f>
        <v>medium size (&lt;=33L)</v>
      </c>
      <c r="AM78" s="2">
        <f>IF(Table1[[#This Row],[dpd]] &gt;=30,1,0)</f>
        <v>0</v>
      </c>
      <c r="AN78" s="2">
        <f>COUNTIFS(Table1[Loan size],Table1[[#This Row],[Loan size]],Table1[dpd flag],1)/COUNTIF(Table1[Loan size],Table1[[#This Row],[Loan size]])</f>
        <v>0.15909090909090909</v>
      </c>
      <c r="AO78" s="2" t="str">
        <f>IF(OR(Table1[[#This Row],[credit_score]] &lt; 600, Table1[ [#This Row],[dti_ratio] ] &gt; 0.5, Table1[[#This Row],[dpd]] &gt;=30), "high risk", " not riskY")</f>
        <v>high risk</v>
      </c>
      <c r="AP78" s="26">
        <f>EOMONTH(Table1[[#This Row],[origination_date]],0)</f>
        <v>44957</v>
      </c>
      <c r="AQ78" s="2">
        <f>SUMIFS(Table1[loan_amount],Table1[origination month],Table1[[#This Row],[origination month]])</f>
        <v>11698400</v>
      </c>
      <c r="AR78" s="2">
        <f>AVERAGEIFS(Table1[months_on_book],Table1[product],Table1[[#This Row],[product]])</f>
        <v>20.516129032258064</v>
      </c>
      <c r="AS78" s="2" t="str">
        <f ca="1">IF(EDATE(Table1[[#This Row],[origination_date]],6) &gt;= TODAY(), "New Loan", "Old Loan")</f>
        <v>Old Loan</v>
      </c>
      <c r="AT78" s="2" t="str">
        <f>"Q"&amp;ROUNDUP(MONTH(Table1[[#This Row],[origination_date]])/3,0)&amp;YEAR(Table1[[#This Row],[origination_date]])</f>
        <v>Q12023</v>
      </c>
      <c r="AU78" s="2">
        <f>SUMIFS(Table1[loan_amount],Table1[quarter],Table1[[#This Row],[quarter]])</f>
        <v>46066100</v>
      </c>
      <c r="AV78" s="34" t="str">
        <f>_xlfn.TEXTJOIN("|",TRUE,Table1[[#This Row],[loan_id]:[loan_status]])</f>
        <v>L12259119|C4765314|44943|Home Loan|Online|North|Salaried|48|1710600|14.53|47201|524234|594|E|0.26|0.59|2888200|35|1603526|397049|0|0|0|Active</v>
      </c>
      <c r="AW78" s="42">
        <f>YEAR(Loan_Table[ [#This Row],[origination_date] ])</f>
        <v>2024</v>
      </c>
      <c r="AY78" s="2" t="s">
        <v>122</v>
      </c>
      <c r="AZ78">
        <f>MIN(INDEX(Loan_Table[],,MATCH(AY78,Loan_Table[#Headers],0)))</f>
        <v>1</v>
      </c>
      <c r="BA78">
        <f>_xlfn.PERCENTILE.INC(INDEX(Loan_Table[],,MATCH(AY78,Loan_Table[#Headers],0)),0.25)</f>
        <v>12</v>
      </c>
      <c r="BB78">
        <f>_xlfn.PERCENTILE.INC(INDEX(Loan_Table[],,MATCH(AY78,Loan_Table[#Headers],0)),0.5)</f>
        <v>19</v>
      </c>
      <c r="BC78">
        <f>AVERAGE(INDEX(Loan_Table[],,MATCH(AY78,Loan_Table[#Headers],0)))</f>
        <v>20.56</v>
      </c>
      <c r="BD78">
        <f>MEDIAN(INDEX(Loan_Table[],,MATCH(AY78,Loan_Table[#Headers],0)))</f>
        <v>19</v>
      </c>
      <c r="BE78">
        <f>_xlfn.PERCENTILE.INC(INDEX(Loan_Table[],,MATCH(AY78,Loan_Table[#Headers],0)),0.75)</f>
        <v>29</v>
      </c>
      <c r="BF78">
        <f>_xlfn.PERCENTILE.INC(INDEX(Loan_Table[],,MATCH(AY78,Loan_Table[#Headers],0)),0.85)</f>
        <v>36</v>
      </c>
      <c r="BG78">
        <f>_xlfn.PERCENTILE.INC(INDEX(Loan_Table[],,MATCH(AY78,Loan_Table[#Headers],0)),0.99)</f>
        <v>46.009999999999991</v>
      </c>
      <c r="BH78">
        <f>MAX(INDEX(Loan_Table[],,MATCH(AY78,Loan_Table[#Headers],0)))</f>
        <v>47</v>
      </c>
    </row>
    <row r="79" spans="2:60" ht="18" customHeight="1">
      <c r="B79" s="5" t="s">
        <v>278</v>
      </c>
      <c r="C79" s="2" t="s">
        <v>279</v>
      </c>
      <c r="D79" s="3">
        <v>45000</v>
      </c>
      <c r="E79" s="2" t="s">
        <v>131</v>
      </c>
      <c r="F79" s="2" t="s">
        <v>132</v>
      </c>
      <c r="G79" s="2" t="s">
        <v>133</v>
      </c>
      <c r="H79" s="2" t="s">
        <v>134</v>
      </c>
      <c r="I79" s="2">
        <v>180</v>
      </c>
      <c r="J79" s="2">
        <v>50000</v>
      </c>
      <c r="K79" s="2">
        <v>15.29</v>
      </c>
      <c r="L79" s="2">
        <v>710</v>
      </c>
      <c r="M79" s="2">
        <v>292758</v>
      </c>
      <c r="N79" s="2">
        <v>748</v>
      </c>
      <c r="O79" s="2" t="s">
        <v>135</v>
      </c>
      <c r="P79" s="2">
        <v>0.23</v>
      </c>
      <c r="Q79" s="2">
        <v>0.72</v>
      </c>
      <c r="R79" s="2">
        <v>0</v>
      </c>
      <c r="S79" s="2">
        <v>33</v>
      </c>
      <c r="T79" s="2">
        <v>23195</v>
      </c>
      <c r="U79" s="2">
        <v>35214</v>
      </c>
      <c r="V79" s="2">
        <v>30</v>
      </c>
      <c r="W79" s="2">
        <v>0</v>
      </c>
      <c r="X79" s="2">
        <v>0</v>
      </c>
      <c r="Y79" s="2" t="s">
        <v>136</v>
      </c>
      <c r="Z79" s="12">
        <f>SUMIF(Table1[product],Table1[[#This Row],[product]],Table1[loan_amount])</f>
        <v>74897600</v>
      </c>
      <c r="AA79" s="15">
        <f>SUMIF(Table1[region],Table1[[#This Row],[region]],Table1[current_balance])</f>
        <v>94548000</v>
      </c>
      <c r="AB79" s="2">
        <f>COUNTIF(Table1[loan_status],Table1[[#This Row],[loan_status]])</f>
        <v>47</v>
      </c>
      <c r="AC79" s="2">
        <f>COUNTIF(Table1[default_flag],1)/ROWS(Table1[loan_id])</f>
        <v>2.5999999999999999E-2</v>
      </c>
      <c r="AD79" s="2">
        <f>COUNTIFS(Table1[region],Table1[[#This Row],[region]],Table1[default_flag],1)/COUNTIF(Table1[region],Table1[[#This Row],[region]])</f>
        <v>0</v>
      </c>
      <c r="AE79" s="2">
        <f>COUNTIFS(Table1[channel],Table1[[#This Row],[channel]],Table1[prepayment_flag],1)/COUNTIF(Table1[channel],Table1[[#This Row],[channel]])</f>
        <v>7.1090047393364927E-2</v>
      </c>
      <c r="AF79" s="2">
        <f>AVERAGEIFS(Table1[interest_rate_pct],Table1[product],Table1[[#This Row],[product]],Table1[risk_band],Table1[[#This Row],[risk_band]])</f>
        <v>16.500166666666669</v>
      </c>
      <c r="AG79" s="2" t="str" cm="1">
        <f t="array" ref="AG79">_xlfn.IFS(Table1[[#This Row],[dti_ratio]] &lt; 0.2, " less than 0.2", Table1[[#This Row],[dti_ratio]] &lt; 0.3, "0.2 - 0.3", Table1[[#This Row],[dti_ratio]] &lt;= 0.5, "0.35 - 0.5", Table1[[#This Row],[dti_ratio]] &gt; 0.5, "greater than 0.5")</f>
        <v>0.2 - 0.3</v>
      </c>
      <c r="AH79" s="2">
        <f>COUNTIF(Table1[DTI band],Table1[[#This Row],[DTI band]])</f>
        <v>122</v>
      </c>
      <c r="AI79" s="2" t="str" cm="1">
        <f t="array" ref="AI79">_xlfn.IFS(Table1[[#This Row],[ltv_ratio]] &lt; 0.6, "less than 0.6 -less risky", Table1[[#This Row],[ltv_ratio]]  &lt;= 0.8, "0.6 - 0.8 -medium risky",Table1[[#This Row],[ltv_ratio]] &gt; 0.8, "greater than 0.8 -highly risky")</f>
        <v>0.6 - 0.8 -medium risky</v>
      </c>
      <c r="AJ79" s="2">
        <f>COUNTIF(Table1[LTV band],Table1[[#This Row],[LTV band]])</f>
        <v>302</v>
      </c>
      <c r="AK79" s="2">
        <f>COUNTIFS(Table1[count_loan_perband],Table1[[#This Row],[count_loan_perband]],Table1[default_flag],1)/COUNTIF(Table1[count_loan_perband],Table1[[#This Row],[count_loan_perband]])</f>
        <v>3.6423841059602648E-2</v>
      </c>
      <c r="AL79" s="2" t="str" cm="1">
        <f t="array" ref="AL79">_xlfn.IFS(Table1[[#This Row],[loan_amount]] &lt; 900000, "lower size (&lt; 9L)", Table1[[#This Row],[loan_amount]] &lt;=3300000, "medium size (&lt;=33L)", Table1[[#This Row],[loan_amount]] &gt; 3300000, "larger size (&gt; 33L)")</f>
        <v>lower size (&lt; 9L)</v>
      </c>
      <c r="AM79" s="2">
        <f>IF(Table1[[#This Row],[dpd]] &gt;=30,1,0)</f>
        <v>1</v>
      </c>
      <c r="AN79" s="2">
        <f>COUNTIFS(Table1[Loan size],Table1[[#This Row],[Loan size]],Table1[dpd flag],1)/COUNTIF(Table1[Loan size],Table1[[#This Row],[Loan size]])</f>
        <v>0.13934426229508196</v>
      </c>
      <c r="AO79" s="2" t="str">
        <f>IF(OR(Table1[[#This Row],[credit_score]] &lt; 600, Table1[ [#This Row],[dti_ratio] ] &gt; 0.5, Table1[[#This Row],[dpd]] &gt;=30), "high risk", " not riskY")</f>
        <v>high risk</v>
      </c>
      <c r="AP79" s="26">
        <f>EOMONTH(Table1[[#This Row],[origination_date]],0)</f>
        <v>45016</v>
      </c>
      <c r="AQ79" s="2">
        <f>SUMIFS(Table1[loan_amount],Table1[origination month],Table1[[#This Row],[origination month]])</f>
        <v>23160200</v>
      </c>
      <c r="AR79" s="2">
        <f>AVERAGEIFS(Table1[months_on_book],Table1[product],Table1[[#This Row],[product]])</f>
        <v>21.092024539877301</v>
      </c>
      <c r="AS79" s="2" t="str">
        <f ca="1">IF(EDATE(Table1[[#This Row],[origination_date]],6) &gt;= TODAY(), "New Loan", "Old Loan")</f>
        <v>Old Loan</v>
      </c>
      <c r="AT79" s="2" t="str">
        <f>"Q"&amp;ROUNDUP(MONTH(Table1[[#This Row],[origination_date]])/3,0)&amp;YEAR(Table1[[#This Row],[origination_date]])</f>
        <v>Q12023</v>
      </c>
      <c r="AU79" s="2">
        <f>SUMIFS(Table1[loan_amount],Table1[quarter],Table1[[#This Row],[quarter]])</f>
        <v>46066100</v>
      </c>
      <c r="AV79" s="34" t="str">
        <f>_xlfn.TEXTJOIN("|",TRUE,Table1[[#This Row],[loan_id]:[loan_status]])</f>
        <v>L10662604|C8434493|45000|Personal Loan|Online|South|Salaried|180|50000|15.29|710|292758|748|B|0.23|0.72|0|33|23195|35214|30|0|0|Delinquent</v>
      </c>
      <c r="AW79" s="42">
        <f>YEAR(Loan_Table[ [#This Row],[origination_date] ])</f>
        <v>2024</v>
      </c>
      <c r="AY79" s="2" t="s">
        <v>123</v>
      </c>
      <c r="AZ79">
        <f>MIN(INDEX(Loan_Table[],,MATCH(AY79,Loan_Table[#Headers],0)))</f>
        <v>11227</v>
      </c>
      <c r="BA79">
        <f>_xlfn.PERCENTILE.INC(INDEX(Loan_Table[],,MATCH(AY79,Loan_Table[#Headers],0)),0.25)</f>
        <v>191146.25</v>
      </c>
      <c r="BB79">
        <f>_xlfn.PERCENTILE.INC(INDEX(Loan_Table[],,MATCH(AY79,Loan_Table[#Headers],0)),0.5)</f>
        <v>437803</v>
      </c>
      <c r="BC79">
        <f>AVERAGE(INDEX(Loan_Table[],,MATCH(AY79,Loan_Table[#Headers],0)))</f>
        <v>884189.19799999997</v>
      </c>
      <c r="BD79">
        <f>MEDIAN(INDEX(Loan_Table[],,MATCH(AY79,Loan_Table[#Headers],0)))</f>
        <v>437803</v>
      </c>
      <c r="BE79">
        <f>_xlfn.PERCENTILE.INC(INDEX(Loan_Table[],,MATCH(AY79,Loan_Table[#Headers],0)),0.75)</f>
        <v>1009487</v>
      </c>
      <c r="BF79">
        <f>_xlfn.PERCENTILE.INC(INDEX(Loan_Table[],,MATCH(AY79,Loan_Table[#Headers],0)),0.85)</f>
        <v>1739087.5999999999</v>
      </c>
      <c r="BG79">
        <f>_xlfn.PERCENTILE.INC(INDEX(Loan_Table[],,MATCH(AY79,Loan_Table[#Headers],0)),0.99)</f>
        <v>5198559.9999999925</v>
      </c>
      <c r="BH79">
        <f>MAX(INDEX(Loan_Table[],,MATCH(AY79,Loan_Table[#Headers],0)))</f>
        <v>8717593</v>
      </c>
    </row>
    <row r="80" spans="2:60" ht="18" customHeight="1">
      <c r="B80" s="5" t="s">
        <v>280</v>
      </c>
      <c r="C80" s="2" t="s">
        <v>281</v>
      </c>
      <c r="D80" s="3">
        <v>45011</v>
      </c>
      <c r="E80" s="2" t="s">
        <v>163</v>
      </c>
      <c r="F80" s="2" t="s">
        <v>144</v>
      </c>
      <c r="G80" s="2" t="s">
        <v>145</v>
      </c>
      <c r="H80" s="2" t="s">
        <v>152</v>
      </c>
      <c r="I80" s="2">
        <v>24</v>
      </c>
      <c r="J80" s="2">
        <v>142300</v>
      </c>
      <c r="K80" s="2">
        <v>12.08</v>
      </c>
      <c r="L80" s="2">
        <v>6704</v>
      </c>
      <c r="M80" s="2">
        <v>688390</v>
      </c>
      <c r="N80" s="2">
        <v>697</v>
      </c>
      <c r="O80" s="2" t="s">
        <v>140</v>
      </c>
      <c r="P80" s="2">
        <v>0.21</v>
      </c>
      <c r="Q80" s="2">
        <v>0.87</v>
      </c>
      <c r="R80" s="2">
        <v>164000</v>
      </c>
      <c r="S80" s="2">
        <v>24</v>
      </c>
      <c r="T80" s="2">
        <v>156039</v>
      </c>
      <c r="U80" s="2">
        <v>13</v>
      </c>
      <c r="V80" s="2">
        <v>0</v>
      </c>
      <c r="W80" s="2">
        <v>0</v>
      </c>
      <c r="X80" s="2">
        <v>0</v>
      </c>
      <c r="Y80" s="2" t="s">
        <v>141</v>
      </c>
      <c r="Z80" s="12">
        <f>SUMIF(Table1[product],Table1[[#This Row],[product]],Table1[loan_amount])</f>
        <v>92273000</v>
      </c>
      <c r="AA80" s="15">
        <f>SUMIF(Table1[region],Table1[[#This Row],[region]],Table1[current_balance])</f>
        <v>98928695</v>
      </c>
      <c r="AB80" s="2">
        <f>COUNTIF(Table1[loan_status],Table1[[#This Row],[loan_status]])</f>
        <v>139</v>
      </c>
      <c r="AC80" s="2">
        <f>COUNTIF(Table1[default_flag],1)/ROWS(Table1[loan_id])</f>
        <v>2.5999999999999999E-2</v>
      </c>
      <c r="AD80" s="2">
        <f>COUNTIFS(Table1[region],Table1[[#This Row],[region]],Table1[default_flag],1)/COUNTIF(Table1[region],Table1[[#This Row],[region]])</f>
        <v>2.8571428571428571E-2</v>
      </c>
      <c r="AE80" s="2">
        <f>COUNTIFS(Table1[channel],Table1[[#This Row],[channel]],Table1[prepayment_flag],1)/COUNTIF(Table1[channel],Table1[[#This Row],[channel]])</f>
        <v>5.8201058201058198E-2</v>
      </c>
      <c r="AF80" s="2">
        <f>AVERAGEIFS(Table1[interest_rate_pct],Table1[product],Table1[[#This Row],[product]],Table1[risk_band],Table1[[#This Row],[risk_band]])</f>
        <v>13.246500000000001</v>
      </c>
      <c r="AG80" s="2" t="str" cm="1">
        <f t="array" ref="AG80">_xlfn.IFS(Table1[[#This Row],[dti_ratio]] &lt; 0.2, " less than 0.2", Table1[[#This Row],[dti_ratio]] &lt; 0.3, "0.2 - 0.3", Table1[[#This Row],[dti_ratio]] &lt;= 0.5, "0.35 - 0.5", Table1[[#This Row],[dti_ratio]] &gt; 0.5, "greater than 0.5")</f>
        <v>0.2 - 0.3</v>
      </c>
      <c r="AH80" s="2">
        <f>COUNTIF(Table1[DTI band],Table1[[#This Row],[DTI band]])</f>
        <v>122</v>
      </c>
      <c r="AI80" s="2" t="str" cm="1">
        <f t="array" ref="AI80">_xlfn.IFS(Table1[[#This Row],[ltv_ratio]] &lt; 0.6, "less than 0.6 -less risky", Table1[[#This Row],[ltv_ratio]]  &lt;= 0.8, "0.6 - 0.8 -medium risky",Table1[[#This Row],[ltv_ratio]] &gt; 0.8, "greater than 0.8 -highly risky")</f>
        <v>greater than 0.8 -highly risky</v>
      </c>
      <c r="AJ80" s="2">
        <f>COUNTIF(Table1[LTV band],Table1[[#This Row],[LTV band]])</f>
        <v>141</v>
      </c>
      <c r="AK80" s="2">
        <f>COUNTIFS(Table1[count_loan_perband],Table1[[#This Row],[count_loan_perband]],Table1[default_flag],1)/COUNTIF(Table1[count_loan_perband],Table1[[#This Row],[count_loan_perband]])</f>
        <v>1.4184397163120567E-2</v>
      </c>
      <c r="AL80" s="2" t="str" cm="1">
        <f t="array" ref="AL80">_xlfn.IFS(Table1[[#This Row],[loan_amount]] &lt; 900000, "lower size (&lt; 9L)", Table1[[#This Row],[loan_amount]] &lt;=3300000, "medium size (&lt;=33L)", Table1[[#This Row],[loan_amount]] &gt; 3300000, "larger size (&gt; 33L)")</f>
        <v>lower size (&lt; 9L)</v>
      </c>
      <c r="AM80" s="2">
        <f>IF(Table1[[#This Row],[dpd]] &gt;=30,1,0)</f>
        <v>0</v>
      </c>
      <c r="AN80" s="2">
        <f>COUNTIFS(Table1[Loan size],Table1[[#This Row],[Loan size]],Table1[dpd flag],1)/COUNTIF(Table1[Loan size],Table1[[#This Row],[Loan size]])</f>
        <v>0.13934426229508196</v>
      </c>
      <c r="AO80" s="2" t="str">
        <f>IF(OR(Table1[[#This Row],[credit_score]] &lt; 600, Table1[ [#This Row],[dti_ratio] ] &gt; 0.5, Table1[[#This Row],[dpd]] &gt;=30), "high risk", " not riskY")</f>
        <v xml:space="preserve"> not riskY</v>
      </c>
      <c r="AP80" s="26">
        <f>EOMONTH(Table1[[#This Row],[origination_date]],0)</f>
        <v>45016</v>
      </c>
      <c r="AQ80" s="2">
        <f>SUMIFS(Table1[loan_amount],Table1[origination month],Table1[[#This Row],[origination month]])</f>
        <v>23160200</v>
      </c>
      <c r="AR80" s="2">
        <f>AVERAGEIFS(Table1[months_on_book],Table1[product],Table1[[#This Row],[product]])</f>
        <v>20.262135922330096</v>
      </c>
      <c r="AS80" s="2" t="str">
        <f ca="1">IF(EDATE(Table1[[#This Row],[origination_date]],6) &gt;= TODAY(), "New Loan", "Old Loan")</f>
        <v>Old Loan</v>
      </c>
      <c r="AT80" s="2" t="str">
        <f>"Q"&amp;ROUNDUP(MONTH(Table1[[#This Row],[origination_date]])/3,0)&amp;YEAR(Table1[[#This Row],[origination_date]])</f>
        <v>Q12023</v>
      </c>
      <c r="AU80" s="2">
        <f>SUMIFS(Table1[loan_amount],Table1[quarter],Table1[[#This Row],[quarter]])</f>
        <v>46066100</v>
      </c>
      <c r="AV80" s="34" t="str">
        <f>_xlfn.TEXTJOIN("|",TRUE,Table1[[#This Row],[loan_id]:[loan_status]])</f>
        <v>L18475961|C8349118|45011|Auto Loan|Branch|Central|Self-Employed|24|142300|12.08|6704|688390|697|C|0.21|0.87|164000|24|156039|13|0|0|0|Closed</v>
      </c>
      <c r="AW80" s="42">
        <f>YEAR(Loan_Table[ [#This Row],[origination_date] ])</f>
        <v>2024</v>
      </c>
      <c r="AY80" s="2" t="s">
        <v>124</v>
      </c>
      <c r="AZ80">
        <f>MIN(INDEX(Loan_Table[],,MATCH(AY80,Loan_Table[#Headers],0)))</f>
        <v>0</v>
      </c>
      <c r="BA80">
        <f>_xlfn.PERCENTILE.INC(INDEX(Loan_Table[],,MATCH(AY80,Loan_Table[#Headers],0)),0.25)</f>
        <v>103231</v>
      </c>
      <c r="BB80">
        <f>_xlfn.PERCENTILE.INC(INDEX(Loan_Table[],,MATCH(AY80,Loan_Table[#Headers],0)),0.5)</f>
        <v>420315.5</v>
      </c>
      <c r="BC80">
        <f>AVERAGE(INDEX(Loan_Table[],,MATCH(AY80,Loan_Table[#Headers],0)))</f>
        <v>932913.14</v>
      </c>
      <c r="BD80">
        <f>MEDIAN(INDEX(Loan_Table[],,MATCH(AY80,Loan_Table[#Headers],0)))</f>
        <v>420315.5</v>
      </c>
      <c r="BE80">
        <f>_xlfn.PERCENTILE.INC(INDEX(Loan_Table[],,MATCH(AY80,Loan_Table[#Headers],0)),0.75)</f>
        <v>1163177.75</v>
      </c>
      <c r="BF80">
        <f>_xlfn.PERCENTILE.INC(INDEX(Loan_Table[],,MATCH(AY80,Loan_Table[#Headers],0)),0.85)</f>
        <v>2010480.2499999995</v>
      </c>
      <c r="BG80">
        <f>_xlfn.PERCENTILE.INC(INDEX(Loan_Table[],,MATCH(AY80,Loan_Table[#Headers],0)),0.99)</f>
        <v>5584318.2800000003</v>
      </c>
      <c r="BH80">
        <f>MAX(INDEX(Loan_Table[],,MATCH(AY80,Loan_Table[#Headers],0)))</f>
        <v>6991508</v>
      </c>
    </row>
    <row r="81" spans="2:60" ht="18" customHeight="1">
      <c r="B81" s="5" t="s">
        <v>282</v>
      </c>
      <c r="C81" s="2" t="s">
        <v>283</v>
      </c>
      <c r="D81" s="3">
        <v>44932</v>
      </c>
      <c r="E81" s="2" t="s">
        <v>131</v>
      </c>
      <c r="F81" s="2" t="s">
        <v>132</v>
      </c>
      <c r="G81" s="2" t="s">
        <v>139</v>
      </c>
      <c r="H81" s="2" t="s">
        <v>134</v>
      </c>
      <c r="I81" s="2">
        <v>24</v>
      </c>
      <c r="J81" s="2">
        <v>898000</v>
      </c>
      <c r="K81" s="2">
        <v>14.6</v>
      </c>
      <c r="L81" s="2">
        <v>43371</v>
      </c>
      <c r="M81" s="2">
        <v>1438075</v>
      </c>
      <c r="N81" s="2">
        <v>735</v>
      </c>
      <c r="O81" s="2" t="s">
        <v>135</v>
      </c>
      <c r="P81" s="2">
        <v>0.21</v>
      </c>
      <c r="Q81" s="2">
        <v>0.61</v>
      </c>
      <c r="R81" s="2">
        <v>0</v>
      </c>
      <c r="S81" s="2">
        <v>24</v>
      </c>
      <c r="T81" s="2">
        <v>1052004</v>
      </c>
      <c r="U81" s="2">
        <v>0</v>
      </c>
      <c r="V81" s="2">
        <v>0</v>
      </c>
      <c r="W81" s="2">
        <v>0</v>
      </c>
      <c r="X81" s="2">
        <v>0</v>
      </c>
      <c r="Y81" s="2" t="s">
        <v>141</v>
      </c>
      <c r="Z81" s="12">
        <f>SUMIF(Table1[product],Table1[[#This Row],[product]],Table1[loan_amount])</f>
        <v>74897600</v>
      </c>
      <c r="AA81" s="15">
        <f>SUMIF(Table1[region],Table1[[#This Row],[region]],Table1[current_balance])</f>
        <v>83903255</v>
      </c>
      <c r="AB81" s="2">
        <f>COUNTIF(Table1[loan_status],Table1[[#This Row],[loan_status]])</f>
        <v>139</v>
      </c>
      <c r="AC81" s="2">
        <f>COUNTIF(Table1[default_flag],1)/ROWS(Table1[loan_id])</f>
        <v>2.5999999999999999E-2</v>
      </c>
      <c r="AD81" s="2">
        <f>COUNTIFS(Table1[region],Table1[[#This Row],[region]],Table1[default_flag],1)/COUNTIF(Table1[region],Table1[[#This Row],[region]])</f>
        <v>4.2553191489361701E-2</v>
      </c>
      <c r="AE81" s="2">
        <f>COUNTIFS(Table1[channel],Table1[[#This Row],[channel]],Table1[prepayment_flag],1)/COUNTIF(Table1[channel],Table1[[#This Row],[channel]])</f>
        <v>7.1090047393364927E-2</v>
      </c>
      <c r="AF81" s="2">
        <f>AVERAGEIFS(Table1[interest_rate_pct],Table1[product],Table1[[#This Row],[product]],Table1[risk_band],Table1[[#This Row],[risk_band]])</f>
        <v>16.500166666666669</v>
      </c>
      <c r="AG81" s="2" t="str" cm="1">
        <f t="array" ref="AG81">_xlfn.IFS(Table1[[#This Row],[dti_ratio]] &lt; 0.2, " less than 0.2", Table1[[#This Row],[dti_ratio]] &lt; 0.3, "0.2 - 0.3", Table1[[#This Row],[dti_ratio]] &lt;= 0.5, "0.35 - 0.5", Table1[[#This Row],[dti_ratio]] &gt; 0.5, "greater than 0.5")</f>
        <v>0.2 - 0.3</v>
      </c>
      <c r="AH81" s="2">
        <f>COUNTIF(Table1[DTI band],Table1[[#This Row],[DTI band]])</f>
        <v>122</v>
      </c>
      <c r="AI81" s="2" t="str" cm="1">
        <f t="array" ref="AI81">_xlfn.IFS(Table1[[#This Row],[ltv_ratio]] &lt; 0.6, "less than 0.6 -less risky", Table1[[#This Row],[ltv_ratio]]  &lt;= 0.8, "0.6 - 0.8 -medium risky",Table1[[#This Row],[ltv_ratio]] &gt; 0.8, "greater than 0.8 -highly risky")</f>
        <v>0.6 - 0.8 -medium risky</v>
      </c>
      <c r="AJ81" s="2">
        <f>COUNTIF(Table1[LTV band],Table1[[#This Row],[LTV band]])</f>
        <v>302</v>
      </c>
      <c r="AK81" s="2">
        <f>COUNTIFS(Table1[count_loan_perband],Table1[[#This Row],[count_loan_perband]],Table1[default_flag],1)/COUNTIF(Table1[count_loan_perband],Table1[[#This Row],[count_loan_perband]])</f>
        <v>3.6423841059602648E-2</v>
      </c>
      <c r="AL81" s="2" t="str" cm="1">
        <f t="array" ref="AL81">_xlfn.IFS(Table1[[#This Row],[loan_amount]] &lt; 900000, "lower size (&lt; 9L)", Table1[[#This Row],[loan_amount]] &lt;=3300000, "medium size (&lt;=33L)", Table1[[#This Row],[loan_amount]] &gt; 3300000, "larger size (&gt; 33L)")</f>
        <v>lower size (&lt; 9L)</v>
      </c>
      <c r="AM81" s="2">
        <f>IF(Table1[[#This Row],[dpd]] &gt;=30,1,0)</f>
        <v>0</v>
      </c>
      <c r="AN81" s="2">
        <f>COUNTIFS(Table1[Loan size],Table1[[#This Row],[Loan size]],Table1[dpd flag],1)/COUNTIF(Table1[Loan size],Table1[[#This Row],[Loan size]])</f>
        <v>0.13934426229508196</v>
      </c>
      <c r="AO81" s="2" t="str">
        <f>IF(OR(Table1[[#This Row],[credit_score]] &lt; 600, Table1[ [#This Row],[dti_ratio] ] &gt; 0.5, Table1[[#This Row],[dpd]] &gt;=30), "high risk", " not riskY")</f>
        <v xml:space="preserve"> not riskY</v>
      </c>
      <c r="AP81" s="26">
        <f>EOMONTH(Table1[[#This Row],[origination_date]],0)</f>
        <v>44957</v>
      </c>
      <c r="AQ81" s="2">
        <f>SUMIFS(Table1[loan_amount],Table1[origination month],Table1[[#This Row],[origination month]])</f>
        <v>11698400</v>
      </c>
      <c r="AR81" s="2">
        <f>AVERAGEIFS(Table1[months_on_book],Table1[product],Table1[[#This Row],[product]])</f>
        <v>21.092024539877301</v>
      </c>
      <c r="AS81" s="2" t="str">
        <f ca="1">IF(EDATE(Table1[[#This Row],[origination_date]],6) &gt;= TODAY(), "New Loan", "Old Loan")</f>
        <v>Old Loan</v>
      </c>
      <c r="AT81" s="2" t="str">
        <f>"Q"&amp;ROUNDUP(MONTH(Table1[[#This Row],[origination_date]])/3,0)&amp;YEAR(Table1[[#This Row],[origination_date]])</f>
        <v>Q12023</v>
      </c>
      <c r="AU81" s="2">
        <f>SUMIFS(Table1[loan_amount],Table1[quarter],Table1[[#This Row],[quarter]])</f>
        <v>46066100</v>
      </c>
      <c r="AV81" s="34" t="str">
        <f>_xlfn.TEXTJOIN("|",TRUE,Table1[[#This Row],[loan_id]:[loan_status]])</f>
        <v>L24514460|C5709047|44932|Personal Loan|Online|West|Salaried|24|898000|14.6|43371|1438075|735|B|0.21|0.61|0|24|1052004|0|0|0|0|Closed</v>
      </c>
      <c r="AW81" s="42">
        <f>YEAR(Loan_Table[ [#This Row],[origination_date] ])</f>
        <v>2024</v>
      </c>
      <c r="AY81" s="2" t="s">
        <v>125</v>
      </c>
      <c r="AZ81">
        <f>MIN(INDEX(Loan_Table[],,MATCH(AY81,Loan_Table[#Headers],0)))</f>
        <v>0</v>
      </c>
      <c r="BA81">
        <f>_xlfn.PERCENTILE.INC(INDEX(Loan_Table[],,MATCH(AY81,Loan_Table[#Headers],0)),0.25)</f>
        <v>0</v>
      </c>
      <c r="BB81">
        <f>_xlfn.PERCENTILE.INC(INDEX(Loan_Table[],,MATCH(AY81,Loan_Table[#Headers],0)),0.5)</f>
        <v>0</v>
      </c>
      <c r="BC81">
        <f>AVERAGE(INDEX(Loan_Table[],,MATCH(AY81,Loan_Table[#Headers],0)))</f>
        <v>8.48</v>
      </c>
      <c r="BD81">
        <f>MEDIAN(INDEX(Loan_Table[],,MATCH(AY81,Loan_Table[#Headers],0)))</f>
        <v>0</v>
      </c>
      <c r="BE81">
        <f>_xlfn.PERCENTILE.INC(INDEX(Loan_Table[],,MATCH(AY81,Loan_Table[#Headers],0)),0.75)</f>
        <v>5</v>
      </c>
      <c r="BF81">
        <f>_xlfn.PERCENTILE.INC(INDEX(Loan_Table[],,MATCH(AY81,Loan_Table[#Headers],0)),0.85)</f>
        <v>17.249999999999659</v>
      </c>
      <c r="BG81">
        <f>_xlfn.PERCENTILE.INC(INDEX(Loan_Table[],,MATCH(AY81,Loan_Table[#Headers],0)),0.99)</f>
        <v>90</v>
      </c>
      <c r="BH81">
        <f>MAX(INDEX(Loan_Table[],,MATCH(AY81,Loan_Table[#Headers],0)))</f>
        <v>120</v>
      </c>
    </row>
    <row r="82" spans="2:60" ht="18" customHeight="1">
      <c r="B82" s="5" t="s">
        <v>284</v>
      </c>
      <c r="C82" s="2" t="s">
        <v>285</v>
      </c>
      <c r="D82" s="3">
        <v>45006</v>
      </c>
      <c r="E82" s="2" t="s">
        <v>169</v>
      </c>
      <c r="F82" s="2" t="s">
        <v>132</v>
      </c>
      <c r="G82" s="2" t="s">
        <v>139</v>
      </c>
      <c r="H82" s="2" t="s">
        <v>152</v>
      </c>
      <c r="I82" s="2">
        <v>24</v>
      </c>
      <c r="J82" s="2">
        <v>6304100</v>
      </c>
      <c r="K82" s="2">
        <v>15.6</v>
      </c>
      <c r="L82" s="2">
        <v>307465</v>
      </c>
      <c r="M82" s="2">
        <v>1069559</v>
      </c>
      <c r="N82" s="2">
        <v>589</v>
      </c>
      <c r="O82" s="2" t="s">
        <v>166</v>
      </c>
      <c r="P82" s="2">
        <v>0.18</v>
      </c>
      <c r="Q82" s="2">
        <v>1.03</v>
      </c>
      <c r="R82" s="2">
        <v>6114300</v>
      </c>
      <c r="S82" s="2">
        <v>24</v>
      </c>
      <c r="T82" s="2">
        <v>6734708</v>
      </c>
      <c r="U82" s="2">
        <v>356144</v>
      </c>
      <c r="V82" s="2">
        <v>10</v>
      </c>
      <c r="W82" s="2">
        <v>0</v>
      </c>
      <c r="X82" s="2">
        <v>0</v>
      </c>
      <c r="Y82" s="2" t="s">
        <v>141</v>
      </c>
      <c r="Z82" s="12">
        <f>SUMIF(Table1[product],Table1[[#This Row],[product]],Table1[loan_amount])</f>
        <v>403369500</v>
      </c>
      <c r="AA82" s="15">
        <f>SUMIF(Table1[region],Table1[[#This Row],[region]],Table1[current_balance])</f>
        <v>83903255</v>
      </c>
      <c r="AB82" s="2">
        <f>COUNTIF(Table1[loan_status],Table1[[#This Row],[loan_status]])</f>
        <v>139</v>
      </c>
      <c r="AC82" s="2">
        <f>COUNTIF(Table1[default_flag],1)/ROWS(Table1[loan_id])</f>
        <v>2.5999999999999999E-2</v>
      </c>
      <c r="AD82" s="2">
        <f>COUNTIFS(Table1[region],Table1[[#This Row],[region]],Table1[default_flag],1)/COUNTIF(Table1[region],Table1[[#This Row],[region]])</f>
        <v>4.2553191489361701E-2</v>
      </c>
      <c r="AE82" s="2">
        <f>COUNTIFS(Table1[channel],Table1[[#This Row],[channel]],Table1[prepayment_flag],1)/COUNTIF(Table1[channel],Table1[[#This Row],[channel]])</f>
        <v>7.1090047393364927E-2</v>
      </c>
      <c r="AF82" s="2">
        <f>AVERAGEIFS(Table1[interest_rate_pct],Table1[product],Table1[[#This Row],[product]],Table1[risk_band],Table1[[#This Row],[risk_band]])</f>
        <v>15.4275</v>
      </c>
      <c r="AG82" s="2" t="str" cm="1">
        <f t="array" ref="AG82">_xlfn.IFS(Table1[[#This Row],[dti_ratio]] &lt; 0.2, " less than 0.2", Table1[[#This Row],[dti_ratio]] &lt; 0.3, "0.2 - 0.3", Table1[[#This Row],[dti_ratio]] &lt;= 0.5, "0.35 - 0.5", Table1[[#This Row],[dti_ratio]] &gt; 0.5, "greater than 0.5")</f>
        <v xml:space="preserve"> less than 0.2</v>
      </c>
      <c r="AH82" s="2">
        <f>COUNTIF(Table1[DTI band],Table1[[#This Row],[DTI band]])</f>
        <v>86</v>
      </c>
      <c r="AI82" s="2" t="str" cm="1">
        <f t="array" ref="AI82">_xlfn.IFS(Table1[[#This Row],[ltv_ratio]] &lt; 0.6, "less than 0.6 -less risky", Table1[[#This Row],[ltv_ratio]]  &lt;= 0.8, "0.6 - 0.8 -medium risky",Table1[[#This Row],[ltv_ratio]] &gt; 0.8, "greater than 0.8 -highly risky")</f>
        <v>greater than 0.8 -highly risky</v>
      </c>
      <c r="AJ82" s="2">
        <f>COUNTIF(Table1[LTV band],Table1[[#This Row],[LTV band]])</f>
        <v>141</v>
      </c>
      <c r="AK82" s="2">
        <f>COUNTIFS(Table1[count_loan_perband],Table1[[#This Row],[count_loan_perband]],Table1[default_flag],1)/COUNTIF(Table1[count_loan_perband],Table1[[#This Row],[count_loan_perband]])</f>
        <v>1.4184397163120567E-2</v>
      </c>
      <c r="AL82" s="2" t="str" cm="1">
        <f t="array" ref="AL82">_xlfn.IFS(Table1[[#This Row],[loan_amount]] &lt; 900000, "lower size (&lt; 9L)", Table1[[#This Row],[loan_amount]] &lt;=3300000, "medium size (&lt;=33L)", Table1[[#This Row],[loan_amount]] &gt; 3300000, "larger size (&gt; 33L)")</f>
        <v>larger size (&gt; 33L)</v>
      </c>
      <c r="AM82" s="2">
        <f>IF(Table1[[#This Row],[dpd]] &gt;=30,1,0)</f>
        <v>0</v>
      </c>
      <c r="AN82" s="2">
        <f>COUNTIFS(Table1[Loan size],Table1[[#This Row],[Loan size]],Table1[dpd flag],1)/COUNTIF(Table1[Loan size],Table1[[#This Row],[Loan size]])</f>
        <v>0.16250000000000001</v>
      </c>
      <c r="AO82" s="2" t="str">
        <f>IF(OR(Table1[[#This Row],[credit_score]] &lt; 600, Table1[ [#This Row],[dti_ratio] ] &gt; 0.5, Table1[[#This Row],[dpd]] &gt;=30), "high risk", " not riskY")</f>
        <v>high risk</v>
      </c>
      <c r="AP82" s="26">
        <f>EOMONTH(Table1[[#This Row],[origination_date]],0)</f>
        <v>45016</v>
      </c>
      <c r="AQ82" s="2">
        <f>SUMIFS(Table1[loan_amount],Table1[origination month],Table1[[#This Row],[origination month]])</f>
        <v>23160200</v>
      </c>
      <c r="AR82" s="2">
        <f>AVERAGEIFS(Table1[months_on_book],Table1[product],Table1[[#This Row],[product]])</f>
        <v>20.516129032258064</v>
      </c>
      <c r="AS82" s="2" t="str">
        <f ca="1">IF(EDATE(Table1[[#This Row],[origination_date]],6) &gt;= TODAY(), "New Loan", "Old Loan")</f>
        <v>Old Loan</v>
      </c>
      <c r="AT82" s="2" t="str">
        <f>"Q"&amp;ROUNDUP(MONTH(Table1[[#This Row],[origination_date]])/3,0)&amp;YEAR(Table1[[#This Row],[origination_date]])</f>
        <v>Q12023</v>
      </c>
      <c r="AU82" s="2">
        <f>SUMIFS(Table1[loan_amount],Table1[quarter],Table1[[#This Row],[quarter]])</f>
        <v>46066100</v>
      </c>
      <c r="AV82" s="34" t="str">
        <f>_xlfn.TEXTJOIN("|",TRUE,Table1[[#This Row],[loan_id]:[loan_status]])</f>
        <v>L13942338|C8660184|45006|Home Loan|Online|West|Self-Employed|24|6304100|15.6|307465|1069559|589|E|0.18|1.03|6114300|24|6734708|356144|10|0|0|Closed</v>
      </c>
      <c r="AW82" s="42">
        <f>YEAR(Loan_Table[ [#This Row],[origination_date] ])</f>
        <v>2024</v>
      </c>
    </row>
    <row r="83" spans="2:60" ht="18" customHeight="1">
      <c r="B83" s="5" t="s">
        <v>286</v>
      </c>
      <c r="C83" s="2" t="s">
        <v>287</v>
      </c>
      <c r="D83" s="3">
        <v>44959</v>
      </c>
      <c r="E83" s="2" t="s">
        <v>158</v>
      </c>
      <c r="F83" s="2" t="s">
        <v>144</v>
      </c>
      <c r="G83" s="2" t="s">
        <v>151</v>
      </c>
      <c r="H83" s="2" t="s">
        <v>134</v>
      </c>
      <c r="I83" s="2">
        <v>18</v>
      </c>
      <c r="J83" s="2">
        <v>97300</v>
      </c>
      <c r="K83" s="2">
        <v>20.41</v>
      </c>
      <c r="L83" s="2">
        <v>6321</v>
      </c>
      <c r="M83" s="2">
        <v>1322599</v>
      </c>
      <c r="N83" s="2">
        <v>617</v>
      </c>
      <c r="O83" s="2" t="s">
        <v>147</v>
      </c>
      <c r="P83" s="2">
        <v>0.17</v>
      </c>
      <c r="Q83" s="2">
        <v>0.66</v>
      </c>
      <c r="R83" s="2">
        <v>147200</v>
      </c>
      <c r="S83" s="2">
        <v>18</v>
      </c>
      <c r="T83" s="2">
        <v>107892</v>
      </c>
      <c r="U83" s="2">
        <v>1323</v>
      </c>
      <c r="V83" s="2">
        <v>0</v>
      </c>
      <c r="W83" s="2">
        <v>0</v>
      </c>
      <c r="X83" s="2">
        <v>0</v>
      </c>
      <c r="Y83" s="2" t="s">
        <v>141</v>
      </c>
      <c r="Z83" s="12">
        <f>SUMIF(Table1[product],Table1[[#This Row],[product]],Table1[loan_amount])</f>
        <v>201475100</v>
      </c>
      <c r="AA83" s="15">
        <f>SUMIF(Table1[region],Table1[[#This Row],[region]],Table1[current_balance])</f>
        <v>105779369</v>
      </c>
      <c r="AB83" s="2">
        <f>COUNTIF(Table1[loan_status],Table1[[#This Row],[loan_status]])</f>
        <v>139</v>
      </c>
      <c r="AC83" s="2">
        <f>COUNTIF(Table1[default_flag],1)/ROWS(Table1[loan_id])</f>
        <v>2.5999999999999999E-2</v>
      </c>
      <c r="AD83" s="2">
        <f>COUNTIFS(Table1[region],Table1[[#This Row],[region]],Table1[default_flag],1)/COUNTIF(Table1[region],Table1[[#This Row],[region]])</f>
        <v>2.6548672566371681E-2</v>
      </c>
      <c r="AE83" s="2">
        <f>COUNTIFS(Table1[channel],Table1[[#This Row],[channel]],Table1[prepayment_flag],1)/COUNTIF(Table1[channel],Table1[[#This Row],[channel]])</f>
        <v>5.8201058201058198E-2</v>
      </c>
      <c r="AF83" s="2">
        <f>AVERAGEIFS(Table1[interest_rate_pct],Table1[product],Table1[[#This Row],[product]],Table1[risk_band],Table1[[#This Row],[risk_band]])</f>
        <v>18.241249999999997</v>
      </c>
      <c r="AG83" s="2" t="str" cm="1">
        <f t="array" ref="AG83">_xlfn.IFS(Table1[[#This Row],[dti_ratio]] &lt; 0.2, " less than 0.2", Table1[[#This Row],[dti_ratio]] &lt; 0.3, "0.2 - 0.3", Table1[[#This Row],[dti_ratio]] &lt;= 0.5, "0.35 - 0.5", Table1[[#This Row],[dti_ratio]] &gt; 0.5, "greater than 0.5")</f>
        <v xml:space="preserve"> less than 0.2</v>
      </c>
      <c r="AH83" s="2">
        <f>COUNTIF(Table1[DTI band],Table1[[#This Row],[DTI band]])</f>
        <v>86</v>
      </c>
      <c r="AI83" s="2" t="str" cm="1">
        <f t="array" ref="AI83">_xlfn.IFS(Table1[[#This Row],[ltv_ratio]] &lt; 0.6, "less than 0.6 -less risky", Table1[[#This Row],[ltv_ratio]]  &lt;= 0.8, "0.6 - 0.8 -medium risky",Table1[[#This Row],[ltv_ratio]] &gt; 0.8, "greater than 0.8 -highly risky")</f>
        <v>0.6 - 0.8 -medium risky</v>
      </c>
      <c r="AJ83" s="2">
        <f>COUNTIF(Table1[LTV band],Table1[[#This Row],[LTV band]])</f>
        <v>302</v>
      </c>
      <c r="AK83" s="2">
        <f>COUNTIFS(Table1[count_loan_perband],Table1[[#This Row],[count_loan_perband]],Table1[default_flag],1)/COUNTIF(Table1[count_loan_perband],Table1[[#This Row],[count_loan_perband]])</f>
        <v>3.6423841059602648E-2</v>
      </c>
      <c r="AL83" s="2" t="str" cm="1">
        <f t="array" ref="AL83">_xlfn.IFS(Table1[[#This Row],[loan_amount]] &lt; 900000, "lower size (&lt; 9L)", Table1[[#This Row],[loan_amount]] &lt;=3300000, "medium size (&lt;=33L)", Table1[[#This Row],[loan_amount]] &gt; 3300000, "larger size (&gt; 33L)")</f>
        <v>lower size (&lt; 9L)</v>
      </c>
      <c r="AM83" s="2">
        <f>IF(Table1[[#This Row],[dpd]] &gt;=30,1,0)</f>
        <v>0</v>
      </c>
      <c r="AN83" s="2">
        <f>COUNTIFS(Table1[Loan size],Table1[[#This Row],[Loan size]],Table1[dpd flag],1)/COUNTIF(Table1[Loan size],Table1[[#This Row],[Loan size]])</f>
        <v>0.13934426229508196</v>
      </c>
      <c r="AO83" s="2" t="str">
        <f>IF(OR(Table1[[#This Row],[credit_score]] &lt; 600, Table1[ [#This Row],[dti_ratio] ] &gt; 0.5, Table1[[#This Row],[dpd]] &gt;=30), "high risk", " not riskY")</f>
        <v xml:space="preserve"> not riskY</v>
      </c>
      <c r="AP83" s="26">
        <f>EOMONTH(Table1[[#This Row],[origination_date]],0)</f>
        <v>44985</v>
      </c>
      <c r="AQ83" s="2">
        <f>SUMIFS(Table1[loan_amount],Table1[origination month],Table1[[#This Row],[origination month]])</f>
        <v>11207500</v>
      </c>
      <c r="AR83" s="2">
        <f>AVERAGEIFS(Table1[months_on_book],Table1[product],Table1[[#This Row],[product]])</f>
        <v>19.091954022988507</v>
      </c>
      <c r="AS83" s="2" t="str">
        <f ca="1">IF(EDATE(Table1[[#This Row],[origination_date]],6) &gt;= TODAY(), "New Loan", "Old Loan")</f>
        <v>Old Loan</v>
      </c>
      <c r="AT83" s="2" t="str">
        <f>"Q"&amp;ROUNDUP(MONTH(Table1[[#This Row],[origination_date]])/3,0)&amp;YEAR(Table1[[#This Row],[origination_date]])</f>
        <v>Q12023</v>
      </c>
      <c r="AU83" s="2">
        <f>SUMIFS(Table1[loan_amount],Table1[quarter],Table1[[#This Row],[quarter]])</f>
        <v>46066100</v>
      </c>
      <c r="AV83" s="34" t="str">
        <f>_xlfn.TEXTJOIN("|",TRUE,Table1[[#This Row],[loan_id]:[loan_status]])</f>
        <v>L71533059|C8156033|44959|SME Loan|Branch|North|Salaried|18|97300|20.41|6321|1322599|617|D|0.17|0.66|147200|18|107892|1323|0|0|0|Closed</v>
      </c>
      <c r="AW83" s="42">
        <f>YEAR(Loan_Table[ [#This Row],[origination_date] ])</f>
        <v>2024</v>
      </c>
    </row>
    <row r="84" spans="2:60" ht="18" customHeight="1">
      <c r="B84" s="5" t="s">
        <v>288</v>
      </c>
      <c r="C84" s="2" t="s">
        <v>289</v>
      </c>
      <c r="D84" s="3">
        <v>44939</v>
      </c>
      <c r="E84" s="2" t="s">
        <v>131</v>
      </c>
      <c r="F84" s="2" t="s">
        <v>132</v>
      </c>
      <c r="G84" s="2" t="s">
        <v>145</v>
      </c>
      <c r="H84" s="2" t="s">
        <v>152</v>
      </c>
      <c r="I84" s="2">
        <v>60</v>
      </c>
      <c r="J84" s="2">
        <v>324600</v>
      </c>
      <c r="K84" s="2">
        <v>19.260000000000002</v>
      </c>
      <c r="L84" s="2">
        <v>8467</v>
      </c>
      <c r="M84" s="2">
        <v>1257428</v>
      </c>
      <c r="N84" s="2">
        <v>644</v>
      </c>
      <c r="O84" s="2" t="s">
        <v>147</v>
      </c>
      <c r="P84" s="2">
        <v>0.14000000000000001</v>
      </c>
      <c r="Q84" s="2">
        <v>0.65</v>
      </c>
      <c r="R84" s="2">
        <v>0</v>
      </c>
      <c r="S84" s="2">
        <v>35</v>
      </c>
      <c r="T84" s="2">
        <v>275204</v>
      </c>
      <c r="U84" s="2">
        <v>122334</v>
      </c>
      <c r="V84" s="2">
        <v>0</v>
      </c>
      <c r="W84" s="2">
        <v>0</v>
      </c>
      <c r="X84" s="2">
        <v>0</v>
      </c>
      <c r="Y84" s="2" t="s">
        <v>148</v>
      </c>
      <c r="Z84" s="12">
        <f>SUMIF(Table1[product],Table1[[#This Row],[product]],Table1[loan_amount])</f>
        <v>74897600</v>
      </c>
      <c r="AA84" s="15">
        <f>SUMIF(Table1[region],Table1[[#This Row],[region]],Table1[current_balance])</f>
        <v>98928695</v>
      </c>
      <c r="AB84" s="2">
        <f>COUNTIF(Table1[loan_status],Table1[[#This Row],[loan_status]])</f>
        <v>301</v>
      </c>
      <c r="AC84" s="2">
        <f>COUNTIF(Table1[default_flag],1)/ROWS(Table1[loan_id])</f>
        <v>2.5999999999999999E-2</v>
      </c>
      <c r="AD84" s="2">
        <f>COUNTIFS(Table1[region],Table1[[#This Row],[region]],Table1[default_flag],1)/COUNTIF(Table1[region],Table1[[#This Row],[region]])</f>
        <v>2.8571428571428571E-2</v>
      </c>
      <c r="AE84" s="2">
        <f>COUNTIFS(Table1[channel],Table1[[#This Row],[channel]],Table1[prepayment_flag],1)/COUNTIF(Table1[channel],Table1[[#This Row],[channel]])</f>
        <v>7.1090047393364927E-2</v>
      </c>
      <c r="AF84" s="2">
        <f>AVERAGEIFS(Table1[interest_rate_pct],Table1[product],Table1[[#This Row],[product]],Table1[risk_band],Table1[[#This Row],[risk_band]])</f>
        <v>20.962592592592593</v>
      </c>
      <c r="AG84" s="2" t="str" cm="1">
        <f t="array" ref="AG84">_xlfn.IFS(Table1[[#This Row],[dti_ratio]] &lt; 0.2, " less than 0.2", Table1[[#This Row],[dti_ratio]] &lt; 0.3, "0.2 - 0.3", Table1[[#This Row],[dti_ratio]] &lt;= 0.5, "0.35 - 0.5", Table1[[#This Row],[dti_ratio]] &gt; 0.5, "greater than 0.5")</f>
        <v xml:space="preserve"> less than 0.2</v>
      </c>
      <c r="AH84" s="2">
        <f>COUNTIF(Table1[DTI band],Table1[[#This Row],[DTI band]])</f>
        <v>86</v>
      </c>
      <c r="AI84" s="2" t="str" cm="1">
        <f t="array" ref="AI84">_xlfn.IFS(Table1[[#This Row],[ltv_ratio]] &lt; 0.6, "less than 0.6 -less risky", Table1[[#This Row],[ltv_ratio]]  &lt;= 0.8, "0.6 - 0.8 -medium risky",Table1[[#This Row],[ltv_ratio]] &gt; 0.8, "greater than 0.8 -highly risky")</f>
        <v>0.6 - 0.8 -medium risky</v>
      </c>
      <c r="AJ84" s="2">
        <f>COUNTIF(Table1[LTV band],Table1[[#This Row],[LTV band]])</f>
        <v>302</v>
      </c>
      <c r="AK84" s="2">
        <f>COUNTIFS(Table1[count_loan_perband],Table1[[#This Row],[count_loan_perband]],Table1[default_flag],1)/COUNTIF(Table1[count_loan_perband],Table1[[#This Row],[count_loan_perband]])</f>
        <v>3.6423841059602648E-2</v>
      </c>
      <c r="AL84" s="2" t="str" cm="1">
        <f t="array" ref="AL84">_xlfn.IFS(Table1[[#This Row],[loan_amount]] &lt; 900000, "lower size (&lt; 9L)", Table1[[#This Row],[loan_amount]] &lt;=3300000, "medium size (&lt;=33L)", Table1[[#This Row],[loan_amount]] &gt; 3300000, "larger size (&gt; 33L)")</f>
        <v>lower size (&lt; 9L)</v>
      </c>
      <c r="AM84" s="2">
        <f>IF(Table1[[#This Row],[dpd]] &gt;=30,1,0)</f>
        <v>0</v>
      </c>
      <c r="AN84" s="2">
        <f>COUNTIFS(Table1[Loan size],Table1[[#This Row],[Loan size]],Table1[dpd flag],1)/COUNTIF(Table1[Loan size],Table1[[#This Row],[Loan size]])</f>
        <v>0.13934426229508196</v>
      </c>
      <c r="AO84" s="2" t="str">
        <f>IF(OR(Table1[[#This Row],[credit_score]] &lt; 600, Table1[ [#This Row],[dti_ratio] ] &gt; 0.5, Table1[[#This Row],[dpd]] &gt;=30), "high risk", " not riskY")</f>
        <v xml:space="preserve"> not riskY</v>
      </c>
      <c r="AP84" s="26">
        <f>EOMONTH(Table1[[#This Row],[origination_date]],0)</f>
        <v>44957</v>
      </c>
      <c r="AQ84" s="2">
        <f>SUMIFS(Table1[loan_amount],Table1[origination month],Table1[[#This Row],[origination month]])</f>
        <v>11698400</v>
      </c>
      <c r="AR84" s="2">
        <f>AVERAGEIFS(Table1[months_on_book],Table1[product],Table1[[#This Row],[product]])</f>
        <v>21.092024539877301</v>
      </c>
      <c r="AS84" s="2" t="str">
        <f ca="1">IF(EDATE(Table1[[#This Row],[origination_date]],6) &gt;= TODAY(), "New Loan", "Old Loan")</f>
        <v>Old Loan</v>
      </c>
      <c r="AT84" s="2" t="str">
        <f>"Q"&amp;ROUNDUP(MONTH(Table1[[#This Row],[origination_date]])/3,0)&amp;YEAR(Table1[[#This Row],[origination_date]])</f>
        <v>Q12023</v>
      </c>
      <c r="AU84" s="2">
        <f>SUMIFS(Table1[loan_amount],Table1[quarter],Table1[[#This Row],[quarter]])</f>
        <v>46066100</v>
      </c>
      <c r="AV84" s="34" t="str">
        <f>_xlfn.TEXTJOIN("|",TRUE,Table1[[#This Row],[loan_id]:[loan_status]])</f>
        <v>L85671421|C9743163|44939|Personal Loan|Online|Central|Self-Employed|60|324600|19.26|8467|1257428|644|D|0.14|0.65|0|35|275204|122334|0|0|0|Active</v>
      </c>
      <c r="AW84" s="42">
        <f>YEAR(Loan_Table[ [#This Row],[origination_date] ])</f>
        <v>2024</v>
      </c>
      <c r="AY84" s="4" t="s">
        <v>1233</v>
      </c>
    </row>
    <row r="85" spans="2:60" ht="18" customHeight="1">
      <c r="B85" s="5" t="s">
        <v>290</v>
      </c>
      <c r="C85" s="2" t="s">
        <v>291</v>
      </c>
      <c r="D85" s="3">
        <v>44938</v>
      </c>
      <c r="E85" s="2" t="s">
        <v>163</v>
      </c>
      <c r="F85" s="2" t="s">
        <v>213</v>
      </c>
      <c r="G85" s="2" t="s">
        <v>170</v>
      </c>
      <c r="H85" s="2" t="s">
        <v>134</v>
      </c>
      <c r="I85" s="2">
        <v>12</v>
      </c>
      <c r="J85" s="2">
        <v>1039600</v>
      </c>
      <c r="K85" s="2">
        <v>9.17</v>
      </c>
      <c r="L85" s="2">
        <v>90997</v>
      </c>
      <c r="M85" s="2">
        <v>601472</v>
      </c>
      <c r="N85" s="2">
        <v>762</v>
      </c>
      <c r="O85" s="2" t="s">
        <v>160</v>
      </c>
      <c r="P85" s="2">
        <v>0.13</v>
      </c>
      <c r="Q85" s="2">
        <v>0.74</v>
      </c>
      <c r="R85" s="2">
        <v>1397200</v>
      </c>
      <c r="S85" s="2">
        <v>12</v>
      </c>
      <c r="T85" s="2">
        <v>962509</v>
      </c>
      <c r="U85" s="2">
        <v>115224</v>
      </c>
      <c r="V85" s="2">
        <v>10</v>
      </c>
      <c r="W85" s="2">
        <v>0</v>
      </c>
      <c r="X85" s="2">
        <v>0</v>
      </c>
      <c r="Y85" s="2" t="s">
        <v>141</v>
      </c>
      <c r="Z85" s="12">
        <f>SUMIF(Table1[product],Table1[[#This Row],[product]],Table1[loan_amount])</f>
        <v>92273000</v>
      </c>
      <c r="AA85" s="15">
        <f>SUMIF(Table1[region],Table1[[#This Row],[region]],Table1[current_balance])</f>
        <v>83297251</v>
      </c>
      <c r="AB85" s="2">
        <f>COUNTIF(Table1[loan_status],Table1[[#This Row],[loan_status]])</f>
        <v>139</v>
      </c>
      <c r="AC85" s="2">
        <f>COUNTIF(Table1[default_flag],1)/ROWS(Table1[loan_id])</f>
        <v>2.5999999999999999E-2</v>
      </c>
      <c r="AD85" s="2">
        <f>COUNTIFS(Table1[region],Table1[[#This Row],[region]],Table1[default_flag],1)/COUNTIF(Table1[region],Table1[[#This Row],[region]])</f>
        <v>3.1914893617021274E-2</v>
      </c>
      <c r="AE85" s="2">
        <f>COUNTIFS(Table1[channel],Table1[[#This Row],[channel]],Table1[prepayment_flag],1)/COUNTIF(Table1[channel],Table1[[#This Row],[channel]])</f>
        <v>0.12</v>
      </c>
      <c r="AF85" s="2">
        <f>AVERAGEIFS(Table1[interest_rate_pct],Table1[product],Table1[[#This Row],[product]],Table1[risk_band],Table1[[#This Row],[risk_band]])</f>
        <v>7.9444999999999997</v>
      </c>
      <c r="AG85" s="2" t="str" cm="1">
        <f t="array" ref="AG85">_xlfn.IFS(Table1[[#This Row],[dti_ratio]] &lt; 0.2, " less than 0.2", Table1[[#This Row],[dti_ratio]] &lt; 0.3, "0.2 - 0.3", Table1[[#This Row],[dti_ratio]] &lt;= 0.5, "0.35 - 0.5", Table1[[#This Row],[dti_ratio]] &gt; 0.5, "greater than 0.5")</f>
        <v xml:space="preserve"> less than 0.2</v>
      </c>
      <c r="AH85" s="2">
        <f>COUNTIF(Table1[DTI band],Table1[[#This Row],[DTI band]])</f>
        <v>86</v>
      </c>
      <c r="AI85" s="2" t="str" cm="1">
        <f t="array" ref="AI85">_xlfn.IFS(Table1[[#This Row],[ltv_ratio]] &lt; 0.6, "less than 0.6 -less risky", Table1[[#This Row],[ltv_ratio]]  &lt;= 0.8, "0.6 - 0.8 -medium risky",Table1[[#This Row],[ltv_ratio]] &gt; 0.8, "greater than 0.8 -highly risky")</f>
        <v>0.6 - 0.8 -medium risky</v>
      </c>
      <c r="AJ85" s="2">
        <f>COUNTIF(Table1[LTV band],Table1[[#This Row],[LTV band]])</f>
        <v>302</v>
      </c>
      <c r="AK85" s="2">
        <f>COUNTIFS(Table1[count_loan_perband],Table1[[#This Row],[count_loan_perband]],Table1[default_flag],1)/COUNTIF(Table1[count_loan_perband],Table1[[#This Row],[count_loan_perband]])</f>
        <v>3.6423841059602648E-2</v>
      </c>
      <c r="AL85" s="2" t="str" cm="1">
        <f t="array" ref="AL85">_xlfn.IFS(Table1[[#This Row],[loan_amount]] &lt; 900000, "lower size (&lt; 9L)", Table1[[#This Row],[loan_amount]] &lt;=3300000, "medium size (&lt;=33L)", Table1[[#This Row],[loan_amount]] &gt; 3300000, "larger size (&gt; 33L)")</f>
        <v>medium size (&lt;=33L)</v>
      </c>
      <c r="AM85" s="2">
        <f>IF(Table1[[#This Row],[dpd]] &gt;=30,1,0)</f>
        <v>0</v>
      </c>
      <c r="AN85" s="2">
        <f>COUNTIFS(Table1[Loan size],Table1[[#This Row],[Loan size]],Table1[dpd flag],1)/COUNTIF(Table1[Loan size],Table1[[#This Row],[Loan size]])</f>
        <v>0.15909090909090909</v>
      </c>
      <c r="AO85" s="2" t="str">
        <f>IF(OR(Table1[[#This Row],[credit_score]] &lt; 600, Table1[ [#This Row],[dti_ratio] ] &gt; 0.5, Table1[[#This Row],[dpd]] &gt;=30), "high risk", " not riskY")</f>
        <v xml:space="preserve"> not riskY</v>
      </c>
      <c r="AP85" s="26">
        <f>EOMONTH(Table1[[#This Row],[origination_date]],0)</f>
        <v>44957</v>
      </c>
      <c r="AQ85" s="2">
        <f>SUMIFS(Table1[loan_amount],Table1[origination month],Table1[[#This Row],[origination month]])</f>
        <v>11698400</v>
      </c>
      <c r="AR85" s="2">
        <f>AVERAGEIFS(Table1[months_on_book],Table1[product],Table1[[#This Row],[product]])</f>
        <v>20.262135922330096</v>
      </c>
      <c r="AS85" s="2" t="str">
        <f ca="1">IF(EDATE(Table1[[#This Row],[origination_date]],6) &gt;= TODAY(), "New Loan", "Old Loan")</f>
        <v>Old Loan</v>
      </c>
      <c r="AT85" s="2" t="str">
        <f>"Q"&amp;ROUNDUP(MONTH(Table1[[#This Row],[origination_date]])/3,0)&amp;YEAR(Table1[[#This Row],[origination_date]])</f>
        <v>Q12023</v>
      </c>
      <c r="AU85" s="2">
        <f>SUMIFS(Table1[loan_amount],Table1[quarter],Table1[[#This Row],[quarter]])</f>
        <v>46066100</v>
      </c>
      <c r="AV85" s="34" t="str">
        <f>_xlfn.TEXTJOIN("|",TRUE,Table1[[#This Row],[loan_id]:[loan_status]])</f>
        <v>L56860516|C9714793|44938|Auto Loan|Call Center|East|Salaried|12|1039600|9.17|90997|601472|762|A|0.13|0.74|1397200|12|962509|115224|10|0|0|Closed</v>
      </c>
      <c r="AW85" s="42">
        <f>YEAR(Loan_Table[ [#This Row],[origination_date] ])</f>
        <v>2024</v>
      </c>
      <c r="AY85" t="s">
        <v>1234</v>
      </c>
      <c r="AZ85" t="s">
        <v>1235</v>
      </c>
      <c r="BA85" t="s">
        <v>1236</v>
      </c>
      <c r="BB85" t="s">
        <v>1237</v>
      </c>
      <c r="BC85" t="s">
        <v>1238</v>
      </c>
    </row>
    <row r="86" spans="2:60" ht="18" customHeight="1">
      <c r="B86" s="5" t="s">
        <v>292</v>
      </c>
      <c r="C86" s="2" t="s">
        <v>293</v>
      </c>
      <c r="D86" s="3">
        <v>44998</v>
      </c>
      <c r="E86" s="2" t="s">
        <v>158</v>
      </c>
      <c r="F86" s="2" t="s">
        <v>159</v>
      </c>
      <c r="G86" s="2" t="s">
        <v>151</v>
      </c>
      <c r="H86" s="2" t="s">
        <v>134</v>
      </c>
      <c r="I86" s="2">
        <v>12</v>
      </c>
      <c r="J86" s="2">
        <v>1526400</v>
      </c>
      <c r="K86" s="2">
        <v>8.33</v>
      </c>
      <c r="L86" s="2">
        <v>133012</v>
      </c>
      <c r="M86" s="2">
        <v>230177</v>
      </c>
      <c r="N86" s="2">
        <v>821</v>
      </c>
      <c r="O86" s="2" t="s">
        <v>160</v>
      </c>
      <c r="P86" s="2">
        <v>0.11</v>
      </c>
      <c r="Q86" s="2">
        <v>0.8</v>
      </c>
      <c r="R86" s="2">
        <v>1915900</v>
      </c>
      <c r="S86" s="2">
        <v>12</v>
      </c>
      <c r="T86" s="2">
        <v>1459543</v>
      </c>
      <c r="U86" s="2">
        <v>117717</v>
      </c>
      <c r="V86" s="2">
        <v>0</v>
      </c>
      <c r="W86" s="2">
        <v>0</v>
      </c>
      <c r="X86" s="2">
        <v>0</v>
      </c>
      <c r="Y86" s="2" t="s">
        <v>141</v>
      </c>
      <c r="Z86" s="12">
        <f>SUMIF(Table1[product],Table1[[#This Row],[product]],Table1[loan_amount])</f>
        <v>201475100</v>
      </c>
      <c r="AA86" s="15">
        <f>SUMIF(Table1[region],Table1[[#This Row],[region]],Table1[current_balance])</f>
        <v>105779369</v>
      </c>
      <c r="AB86" s="2">
        <f>COUNTIF(Table1[loan_status],Table1[[#This Row],[loan_status]])</f>
        <v>139</v>
      </c>
      <c r="AC86" s="2">
        <f>COUNTIF(Table1[default_flag],1)/ROWS(Table1[loan_id])</f>
        <v>2.5999999999999999E-2</v>
      </c>
      <c r="AD86" s="2">
        <f>COUNTIFS(Table1[region],Table1[[#This Row],[region]],Table1[default_flag],1)/COUNTIF(Table1[region],Table1[[#This Row],[region]])</f>
        <v>2.6548672566371681E-2</v>
      </c>
      <c r="AE86" s="2">
        <f>COUNTIFS(Table1[channel],Table1[[#This Row],[channel]],Table1[prepayment_flag],1)/COUNTIF(Table1[channel],Table1[[#This Row],[channel]])</f>
        <v>0.1</v>
      </c>
      <c r="AF86" s="2">
        <f>AVERAGEIFS(Table1[interest_rate_pct],Table1[product],Table1[[#This Row],[product]],Table1[risk_band],Table1[[#This Row],[risk_band]])</f>
        <v>10.537499999999998</v>
      </c>
      <c r="AG86" s="2" t="str" cm="1">
        <f t="array" ref="AG86">_xlfn.IFS(Table1[[#This Row],[dti_ratio]] &lt; 0.2, " less than 0.2", Table1[[#This Row],[dti_ratio]] &lt; 0.3, "0.2 - 0.3", Table1[[#This Row],[dti_ratio]] &lt;= 0.5, "0.35 - 0.5", Table1[[#This Row],[dti_ratio]] &gt; 0.5, "greater than 0.5")</f>
        <v xml:space="preserve"> less than 0.2</v>
      </c>
      <c r="AH86" s="2">
        <f>COUNTIF(Table1[DTI band],Table1[[#This Row],[DTI band]])</f>
        <v>86</v>
      </c>
      <c r="AI86" s="2" t="str" cm="1">
        <f t="array" ref="AI86">_xlfn.IFS(Table1[[#This Row],[ltv_ratio]] &lt; 0.6, "less than 0.6 -less risky", Table1[[#This Row],[ltv_ratio]]  &lt;= 0.8, "0.6 - 0.8 -medium risky",Table1[[#This Row],[ltv_ratio]] &gt; 0.8, "greater than 0.8 -highly risky")</f>
        <v>0.6 - 0.8 -medium risky</v>
      </c>
      <c r="AJ86" s="2">
        <f>COUNTIF(Table1[LTV band],Table1[[#This Row],[LTV band]])</f>
        <v>302</v>
      </c>
      <c r="AK86" s="2">
        <f>COUNTIFS(Table1[count_loan_perband],Table1[[#This Row],[count_loan_perband]],Table1[default_flag],1)/COUNTIF(Table1[count_loan_perband],Table1[[#This Row],[count_loan_perband]])</f>
        <v>3.6423841059602648E-2</v>
      </c>
      <c r="AL86" s="2" t="str" cm="1">
        <f t="array" ref="AL86">_xlfn.IFS(Table1[[#This Row],[loan_amount]] &lt; 900000, "lower size (&lt; 9L)", Table1[[#This Row],[loan_amount]] &lt;=3300000, "medium size (&lt;=33L)", Table1[[#This Row],[loan_amount]] &gt; 3300000, "larger size (&gt; 33L)")</f>
        <v>medium size (&lt;=33L)</v>
      </c>
      <c r="AM86" s="2">
        <f>IF(Table1[[#This Row],[dpd]] &gt;=30,1,0)</f>
        <v>0</v>
      </c>
      <c r="AN86" s="2">
        <f>COUNTIFS(Table1[Loan size],Table1[[#This Row],[Loan size]],Table1[dpd flag],1)/COUNTIF(Table1[Loan size],Table1[[#This Row],[Loan size]])</f>
        <v>0.15909090909090909</v>
      </c>
      <c r="AO86" s="2" t="str">
        <f>IF(OR(Table1[[#This Row],[credit_score]] &lt; 600, Table1[ [#This Row],[dti_ratio] ] &gt; 0.5, Table1[[#This Row],[dpd]] &gt;=30), "high risk", " not riskY")</f>
        <v xml:space="preserve"> not riskY</v>
      </c>
      <c r="AP86" s="26">
        <f>EOMONTH(Table1[[#This Row],[origination_date]],0)</f>
        <v>45016</v>
      </c>
      <c r="AQ86" s="2">
        <f>SUMIFS(Table1[loan_amount],Table1[origination month],Table1[[#This Row],[origination month]])</f>
        <v>23160200</v>
      </c>
      <c r="AR86" s="2">
        <f>AVERAGEIFS(Table1[months_on_book],Table1[product],Table1[[#This Row],[product]])</f>
        <v>19.091954022988507</v>
      </c>
      <c r="AS86" s="2" t="str">
        <f ca="1">IF(EDATE(Table1[[#This Row],[origination_date]],6) &gt;= TODAY(), "New Loan", "Old Loan")</f>
        <v>Old Loan</v>
      </c>
      <c r="AT86" s="2" t="str">
        <f>"Q"&amp;ROUNDUP(MONTH(Table1[[#This Row],[origination_date]])/3,0)&amp;YEAR(Table1[[#This Row],[origination_date]])</f>
        <v>Q12023</v>
      </c>
      <c r="AU86" s="2">
        <f>SUMIFS(Table1[loan_amount],Table1[quarter],Table1[[#This Row],[quarter]])</f>
        <v>46066100</v>
      </c>
      <c r="AV86" s="34" t="str">
        <f>_xlfn.TEXTJOIN("|",TRUE,Table1[[#This Row],[loan_id]:[loan_status]])</f>
        <v>L36423438|C5977341|44998|SME Loan|Partner|North|Salaried|12|1526400|8.33|133012|230177|821|A|0.11|0.8|1915900|12|1459543|117717|0|0|0|Closed</v>
      </c>
      <c r="AW86" s="42">
        <f>YEAR(Loan_Table[ [#This Row],[origination_date] ])</f>
        <v>2024</v>
      </c>
      <c r="AY86" s="2" t="s">
        <v>108</v>
      </c>
      <c r="BA86" t="s">
        <v>131</v>
      </c>
      <c r="BB86">
        <v>163</v>
      </c>
      <c r="BC86">
        <f>BB86/ROWS(Loan_Table[])*100</f>
        <v>32.6</v>
      </c>
    </row>
    <row r="87" spans="2:60" ht="18" customHeight="1">
      <c r="B87" s="5" t="s">
        <v>294</v>
      </c>
      <c r="C87" s="2" t="s">
        <v>295</v>
      </c>
      <c r="D87" s="3">
        <v>44989</v>
      </c>
      <c r="E87" s="2" t="s">
        <v>158</v>
      </c>
      <c r="F87" s="2" t="s">
        <v>144</v>
      </c>
      <c r="G87" s="2" t="s">
        <v>133</v>
      </c>
      <c r="H87" s="2" t="s">
        <v>134</v>
      </c>
      <c r="I87" s="2">
        <v>60</v>
      </c>
      <c r="J87" s="2">
        <v>50000</v>
      </c>
      <c r="K87" s="2">
        <v>15.37</v>
      </c>
      <c r="L87" s="2">
        <v>1199</v>
      </c>
      <c r="M87" s="2">
        <v>1205191</v>
      </c>
      <c r="N87" s="2">
        <v>668</v>
      </c>
      <c r="O87" s="2" t="s">
        <v>140</v>
      </c>
      <c r="P87" s="2">
        <v>0.11</v>
      </c>
      <c r="Q87" s="2">
        <v>0.69</v>
      </c>
      <c r="R87" s="2">
        <v>72300</v>
      </c>
      <c r="S87" s="2">
        <v>33</v>
      </c>
      <c r="T87" s="2">
        <v>35320</v>
      </c>
      <c r="U87" s="2">
        <v>23134</v>
      </c>
      <c r="V87" s="2">
        <v>0</v>
      </c>
      <c r="W87" s="2">
        <v>0</v>
      </c>
      <c r="X87" s="2">
        <v>0</v>
      </c>
      <c r="Y87" s="2" t="s">
        <v>148</v>
      </c>
      <c r="Z87" s="12">
        <f>SUMIF(Table1[product],Table1[[#This Row],[product]],Table1[loan_amount])</f>
        <v>201475100</v>
      </c>
      <c r="AA87" s="15">
        <f>SUMIF(Table1[region],Table1[[#This Row],[region]],Table1[current_balance])</f>
        <v>94548000</v>
      </c>
      <c r="AB87" s="2">
        <f>COUNTIF(Table1[loan_status],Table1[[#This Row],[loan_status]])</f>
        <v>301</v>
      </c>
      <c r="AC87" s="2">
        <f>COUNTIF(Table1[default_flag],1)/ROWS(Table1[loan_id])</f>
        <v>2.5999999999999999E-2</v>
      </c>
      <c r="AD87" s="2">
        <f>COUNTIFS(Table1[region],Table1[[#This Row],[region]],Table1[default_flag],1)/COUNTIF(Table1[region],Table1[[#This Row],[region]])</f>
        <v>0</v>
      </c>
      <c r="AE87" s="2">
        <f>COUNTIFS(Table1[channel],Table1[[#This Row],[channel]],Table1[prepayment_flag],1)/COUNTIF(Table1[channel],Table1[[#This Row],[channel]])</f>
        <v>5.8201058201058198E-2</v>
      </c>
      <c r="AF87" s="2">
        <f>AVERAGEIFS(Table1[interest_rate_pct],Table1[product],Table1[[#This Row],[product]],Table1[risk_band],Table1[[#This Row],[risk_band]])</f>
        <v>15.841379310344831</v>
      </c>
      <c r="AG87" s="2" t="str" cm="1">
        <f t="array" ref="AG87">_xlfn.IFS(Table1[[#This Row],[dti_ratio]] &lt; 0.2, " less than 0.2", Table1[[#This Row],[dti_ratio]] &lt; 0.3, "0.2 - 0.3", Table1[[#This Row],[dti_ratio]] &lt;= 0.5, "0.35 - 0.5", Table1[[#This Row],[dti_ratio]] &gt; 0.5, "greater than 0.5")</f>
        <v xml:space="preserve"> less than 0.2</v>
      </c>
      <c r="AH87" s="2">
        <f>COUNTIF(Table1[DTI band],Table1[[#This Row],[DTI band]])</f>
        <v>86</v>
      </c>
      <c r="AI87" s="2" t="str" cm="1">
        <f t="array" ref="AI87">_xlfn.IFS(Table1[[#This Row],[ltv_ratio]] &lt; 0.6, "less than 0.6 -less risky", Table1[[#This Row],[ltv_ratio]]  &lt;= 0.8, "0.6 - 0.8 -medium risky",Table1[[#This Row],[ltv_ratio]] &gt; 0.8, "greater than 0.8 -highly risky")</f>
        <v>0.6 - 0.8 -medium risky</v>
      </c>
      <c r="AJ87" s="2">
        <f>COUNTIF(Table1[LTV band],Table1[[#This Row],[LTV band]])</f>
        <v>302</v>
      </c>
      <c r="AK87" s="2">
        <f>COUNTIFS(Table1[count_loan_perband],Table1[[#This Row],[count_loan_perband]],Table1[default_flag],1)/COUNTIF(Table1[count_loan_perband],Table1[[#This Row],[count_loan_perband]])</f>
        <v>3.6423841059602648E-2</v>
      </c>
      <c r="AL87" s="2" t="str" cm="1">
        <f t="array" ref="AL87">_xlfn.IFS(Table1[[#This Row],[loan_amount]] &lt; 900000, "lower size (&lt; 9L)", Table1[[#This Row],[loan_amount]] &lt;=3300000, "medium size (&lt;=33L)", Table1[[#This Row],[loan_amount]] &gt; 3300000, "larger size (&gt; 33L)")</f>
        <v>lower size (&lt; 9L)</v>
      </c>
      <c r="AM87" s="2">
        <f>IF(Table1[[#This Row],[dpd]] &gt;=30,1,0)</f>
        <v>0</v>
      </c>
      <c r="AN87" s="2">
        <f>COUNTIFS(Table1[Loan size],Table1[[#This Row],[Loan size]],Table1[dpd flag],1)/COUNTIF(Table1[Loan size],Table1[[#This Row],[Loan size]])</f>
        <v>0.13934426229508196</v>
      </c>
      <c r="AO87" s="2" t="str">
        <f>IF(OR(Table1[[#This Row],[credit_score]] &lt; 600, Table1[ [#This Row],[dti_ratio] ] &gt; 0.5, Table1[[#This Row],[dpd]] &gt;=30), "high risk", " not riskY")</f>
        <v xml:space="preserve"> not riskY</v>
      </c>
      <c r="AP87" s="26">
        <f>EOMONTH(Table1[[#This Row],[origination_date]],0)</f>
        <v>45016</v>
      </c>
      <c r="AQ87" s="2">
        <f>SUMIFS(Table1[loan_amount],Table1[origination month],Table1[[#This Row],[origination month]])</f>
        <v>23160200</v>
      </c>
      <c r="AR87" s="2">
        <f>AVERAGEIFS(Table1[months_on_book],Table1[product],Table1[[#This Row],[product]])</f>
        <v>19.091954022988507</v>
      </c>
      <c r="AS87" s="2" t="str">
        <f ca="1">IF(EDATE(Table1[[#This Row],[origination_date]],6) &gt;= TODAY(), "New Loan", "Old Loan")</f>
        <v>Old Loan</v>
      </c>
      <c r="AT87" s="2" t="str">
        <f>"Q"&amp;ROUNDUP(MONTH(Table1[[#This Row],[origination_date]])/3,0)&amp;YEAR(Table1[[#This Row],[origination_date]])</f>
        <v>Q12023</v>
      </c>
      <c r="AU87" s="2">
        <f>SUMIFS(Table1[loan_amount],Table1[quarter],Table1[[#This Row],[quarter]])</f>
        <v>46066100</v>
      </c>
      <c r="AV87" s="34" t="str">
        <f>_xlfn.TEXTJOIN("|",TRUE,Table1[[#This Row],[loan_id]:[loan_status]])</f>
        <v>L31948592|C8532069|44989|SME Loan|Branch|South|Salaried|60|50000|15.37|1199|1205191|668|C|0.11|0.69|72300|33|35320|23134|0|0|0|Active</v>
      </c>
      <c r="AW87" s="42">
        <f>YEAR(Loan_Table[ [#This Row],[origination_date] ])</f>
        <v>2024</v>
      </c>
      <c r="AY87" s="2" t="s">
        <v>109</v>
      </c>
      <c r="BA87" t="s">
        <v>132</v>
      </c>
      <c r="BB87">
        <v>211</v>
      </c>
    </row>
    <row r="88" spans="2:60" ht="18" customHeight="1">
      <c r="B88" s="5" t="s">
        <v>296</v>
      </c>
      <c r="C88" s="2" t="s">
        <v>297</v>
      </c>
      <c r="D88" s="3">
        <v>44985</v>
      </c>
      <c r="E88" s="2" t="s">
        <v>158</v>
      </c>
      <c r="F88" s="2" t="s">
        <v>144</v>
      </c>
      <c r="G88" s="2" t="s">
        <v>151</v>
      </c>
      <c r="H88" s="2" t="s">
        <v>152</v>
      </c>
      <c r="I88" s="2">
        <v>120</v>
      </c>
      <c r="J88" s="2">
        <v>735700</v>
      </c>
      <c r="K88" s="2">
        <v>12.19</v>
      </c>
      <c r="L88" s="2">
        <v>10636</v>
      </c>
      <c r="M88" s="2">
        <v>668626</v>
      </c>
      <c r="N88" s="2">
        <v>740</v>
      </c>
      <c r="O88" s="2" t="s">
        <v>135</v>
      </c>
      <c r="P88" s="2">
        <v>0.1</v>
      </c>
      <c r="Q88" s="2">
        <v>0.41</v>
      </c>
      <c r="R88" s="2">
        <v>1794800</v>
      </c>
      <c r="S88" s="2">
        <v>34</v>
      </c>
      <c r="T88" s="2">
        <v>359540</v>
      </c>
      <c r="U88" s="2">
        <v>477799</v>
      </c>
      <c r="V88" s="2">
        <v>0</v>
      </c>
      <c r="W88" s="2">
        <v>0</v>
      </c>
      <c r="X88" s="2">
        <v>0</v>
      </c>
      <c r="Y88" s="2" t="s">
        <v>148</v>
      </c>
      <c r="Z88" s="12">
        <f>SUMIF(Table1[product],Table1[[#This Row],[product]],Table1[loan_amount])</f>
        <v>201475100</v>
      </c>
      <c r="AA88" s="15">
        <f>SUMIF(Table1[region],Table1[[#This Row],[region]],Table1[current_balance])</f>
        <v>105779369</v>
      </c>
      <c r="AB88" s="2">
        <f>COUNTIF(Table1[loan_status],Table1[[#This Row],[loan_status]])</f>
        <v>301</v>
      </c>
      <c r="AC88" s="2">
        <f>COUNTIF(Table1[default_flag],1)/ROWS(Table1[loan_id])</f>
        <v>2.5999999999999999E-2</v>
      </c>
      <c r="AD88" s="2">
        <f>COUNTIFS(Table1[region],Table1[[#This Row],[region]],Table1[default_flag],1)/COUNTIF(Table1[region],Table1[[#This Row],[region]])</f>
        <v>2.6548672566371681E-2</v>
      </c>
      <c r="AE88" s="2">
        <f>COUNTIFS(Table1[channel],Table1[[#This Row],[channel]],Table1[prepayment_flag],1)/COUNTIF(Table1[channel],Table1[[#This Row],[channel]])</f>
        <v>5.8201058201058198E-2</v>
      </c>
      <c r="AF88" s="2">
        <f>AVERAGEIFS(Table1[interest_rate_pct],Table1[product],Table1[[#This Row],[product]],Table1[risk_band],Table1[[#This Row],[risk_band]])</f>
        <v>13.042631578947367</v>
      </c>
      <c r="AG88" s="2" t="str" cm="1">
        <f t="array" ref="AG88">_xlfn.IFS(Table1[[#This Row],[dti_ratio]] &lt; 0.2, " less than 0.2", Table1[[#This Row],[dti_ratio]] &lt; 0.3, "0.2 - 0.3", Table1[[#This Row],[dti_ratio]] &lt;= 0.5, "0.35 - 0.5", Table1[[#This Row],[dti_ratio]] &gt; 0.5, "greater than 0.5")</f>
        <v xml:space="preserve"> less than 0.2</v>
      </c>
      <c r="AH88" s="2">
        <f>COUNTIF(Table1[DTI band],Table1[[#This Row],[DTI band]])</f>
        <v>86</v>
      </c>
      <c r="AI88" s="2" t="str" cm="1">
        <f t="array" ref="AI88">_xlfn.IFS(Table1[[#This Row],[ltv_ratio]] &lt; 0.6, "less than 0.6 -less risky", Table1[[#This Row],[ltv_ratio]]  &lt;= 0.8, "0.6 - 0.8 -medium risky",Table1[[#This Row],[ltv_ratio]] &gt; 0.8, "greater than 0.8 -highly risky")</f>
        <v>less than 0.6 -less risky</v>
      </c>
      <c r="AJ88" s="2">
        <f>COUNTIF(Table1[LTV band],Table1[[#This Row],[LTV band]])</f>
        <v>57</v>
      </c>
      <c r="AK88" s="2">
        <f>COUNTIFS(Table1[count_loan_perband],Table1[[#This Row],[count_loan_perband]],Table1[default_flag],1)/COUNTIF(Table1[count_loan_perband],Table1[[#This Row],[count_loan_perband]])</f>
        <v>0</v>
      </c>
      <c r="AL88" s="2" t="str" cm="1">
        <f t="array" ref="AL88">_xlfn.IFS(Table1[[#This Row],[loan_amount]] &lt; 900000, "lower size (&lt; 9L)", Table1[[#This Row],[loan_amount]] &lt;=3300000, "medium size (&lt;=33L)", Table1[[#This Row],[loan_amount]] &gt; 3300000, "larger size (&gt; 33L)")</f>
        <v>lower size (&lt; 9L)</v>
      </c>
      <c r="AM88" s="2">
        <f>IF(Table1[[#This Row],[dpd]] &gt;=30,1,0)</f>
        <v>0</v>
      </c>
      <c r="AN88" s="2">
        <f>COUNTIFS(Table1[Loan size],Table1[[#This Row],[Loan size]],Table1[dpd flag],1)/COUNTIF(Table1[Loan size],Table1[[#This Row],[Loan size]])</f>
        <v>0.13934426229508196</v>
      </c>
      <c r="AO88" s="2" t="str">
        <f>IF(OR(Table1[[#This Row],[credit_score]] &lt; 600, Table1[ [#This Row],[dti_ratio] ] &gt; 0.5, Table1[[#This Row],[dpd]] &gt;=30), "high risk", " not riskY")</f>
        <v xml:space="preserve"> not riskY</v>
      </c>
      <c r="AP88" s="26">
        <f>EOMONTH(Table1[[#This Row],[origination_date]],0)</f>
        <v>44985</v>
      </c>
      <c r="AQ88" s="2">
        <f>SUMIFS(Table1[loan_amount],Table1[origination month],Table1[[#This Row],[origination month]])</f>
        <v>11207500</v>
      </c>
      <c r="AR88" s="2">
        <f>AVERAGEIFS(Table1[months_on_book],Table1[product],Table1[[#This Row],[product]])</f>
        <v>19.091954022988507</v>
      </c>
      <c r="AS88" s="2" t="str">
        <f ca="1">IF(EDATE(Table1[[#This Row],[origination_date]],6) &gt;= TODAY(), "New Loan", "Old Loan")</f>
        <v>Old Loan</v>
      </c>
      <c r="AT88" s="2" t="str">
        <f>"Q"&amp;ROUNDUP(MONTH(Table1[[#This Row],[origination_date]])/3,0)&amp;YEAR(Table1[[#This Row],[origination_date]])</f>
        <v>Q12023</v>
      </c>
      <c r="AU88" s="2">
        <f>SUMIFS(Table1[loan_amount],Table1[quarter],Table1[[#This Row],[quarter]])</f>
        <v>46066100</v>
      </c>
      <c r="AV88" s="34" t="str">
        <f>_xlfn.TEXTJOIN("|",TRUE,Table1[[#This Row],[loan_id]:[loan_status]])</f>
        <v>L96689068|C2783838|44985|SME Loan|Branch|North|Self-Employed|120|735700|12.19|10636|668626|740|B|0.1|0.41|1794800|34|359540|477799|0|0|0|Active</v>
      </c>
      <c r="AW88" s="42">
        <f>YEAR(Loan_Table[ [#This Row],[origination_date] ])</f>
        <v>2024</v>
      </c>
      <c r="AY88" s="2" t="s">
        <v>110</v>
      </c>
      <c r="BA88" t="s">
        <v>151</v>
      </c>
      <c r="BB88">
        <v>113</v>
      </c>
    </row>
    <row r="89" spans="2:60" ht="18" customHeight="1">
      <c r="B89" s="5" t="s">
        <v>298</v>
      </c>
      <c r="C89" s="2" t="s">
        <v>299</v>
      </c>
      <c r="D89" s="3">
        <v>44974</v>
      </c>
      <c r="E89" s="2" t="s">
        <v>158</v>
      </c>
      <c r="F89" s="2" t="s">
        <v>213</v>
      </c>
      <c r="G89" s="2" t="s">
        <v>139</v>
      </c>
      <c r="H89" s="2" t="s">
        <v>134</v>
      </c>
      <c r="I89" s="2">
        <v>36</v>
      </c>
      <c r="J89" s="2">
        <v>2046600</v>
      </c>
      <c r="K89" s="2">
        <v>14.51</v>
      </c>
      <c r="L89" s="2">
        <v>70456</v>
      </c>
      <c r="M89" s="2">
        <v>1069819</v>
      </c>
      <c r="N89" s="2">
        <v>693</v>
      </c>
      <c r="O89" s="2" t="s">
        <v>140</v>
      </c>
      <c r="P89" s="2">
        <v>0.09</v>
      </c>
      <c r="Q89" s="2">
        <v>0.64</v>
      </c>
      <c r="R89" s="2">
        <v>3182900</v>
      </c>
      <c r="S89" s="2">
        <v>34</v>
      </c>
      <c r="T89" s="2">
        <v>2338018</v>
      </c>
      <c r="U89" s="2">
        <v>45139</v>
      </c>
      <c r="V89" s="2">
        <v>0</v>
      </c>
      <c r="W89" s="2">
        <v>0</v>
      </c>
      <c r="X89" s="2">
        <v>0</v>
      </c>
      <c r="Y89" s="2" t="s">
        <v>148</v>
      </c>
      <c r="Z89" s="12">
        <f>SUMIF(Table1[product],Table1[[#This Row],[product]],Table1[loan_amount])</f>
        <v>201475100</v>
      </c>
      <c r="AA89" s="15">
        <f>SUMIF(Table1[region],Table1[[#This Row],[region]],Table1[current_balance])</f>
        <v>83903255</v>
      </c>
      <c r="AB89" s="2">
        <f>COUNTIF(Table1[loan_status],Table1[[#This Row],[loan_status]])</f>
        <v>301</v>
      </c>
      <c r="AC89" s="2">
        <f>COUNTIF(Table1[default_flag],1)/ROWS(Table1[loan_id])</f>
        <v>2.5999999999999999E-2</v>
      </c>
      <c r="AD89" s="2">
        <f>COUNTIFS(Table1[region],Table1[[#This Row],[region]],Table1[default_flag],1)/COUNTIF(Table1[region],Table1[[#This Row],[region]])</f>
        <v>4.2553191489361701E-2</v>
      </c>
      <c r="AE89" s="2">
        <f>COUNTIFS(Table1[channel],Table1[[#This Row],[channel]],Table1[prepayment_flag],1)/COUNTIF(Table1[channel],Table1[[#This Row],[channel]])</f>
        <v>0.12</v>
      </c>
      <c r="AF89" s="2">
        <f>AVERAGEIFS(Table1[interest_rate_pct],Table1[product],Table1[[#This Row],[product]],Table1[risk_band],Table1[[#This Row],[risk_band]])</f>
        <v>15.841379310344831</v>
      </c>
      <c r="AG89" s="2" t="str" cm="1">
        <f t="array" ref="AG89">_xlfn.IFS(Table1[[#This Row],[dti_ratio]] &lt; 0.2, " less than 0.2", Table1[[#This Row],[dti_ratio]] &lt; 0.3, "0.2 - 0.3", Table1[[#This Row],[dti_ratio]] &lt;= 0.5, "0.35 - 0.5", Table1[[#This Row],[dti_ratio]] &gt; 0.5, "greater than 0.5")</f>
        <v xml:space="preserve"> less than 0.2</v>
      </c>
      <c r="AH89" s="2">
        <f>COUNTIF(Table1[DTI band],Table1[[#This Row],[DTI band]])</f>
        <v>86</v>
      </c>
      <c r="AI89" s="2" t="str" cm="1">
        <f t="array" ref="AI89">_xlfn.IFS(Table1[[#This Row],[ltv_ratio]] &lt; 0.6, "less than 0.6 -less risky", Table1[[#This Row],[ltv_ratio]]  &lt;= 0.8, "0.6 - 0.8 -medium risky",Table1[[#This Row],[ltv_ratio]] &gt; 0.8, "greater than 0.8 -highly risky")</f>
        <v>0.6 - 0.8 -medium risky</v>
      </c>
      <c r="AJ89" s="2">
        <f>COUNTIF(Table1[LTV band],Table1[[#This Row],[LTV band]])</f>
        <v>302</v>
      </c>
      <c r="AK89" s="2">
        <f>COUNTIFS(Table1[count_loan_perband],Table1[[#This Row],[count_loan_perband]],Table1[default_flag],1)/COUNTIF(Table1[count_loan_perband],Table1[[#This Row],[count_loan_perband]])</f>
        <v>3.6423841059602648E-2</v>
      </c>
      <c r="AL89" s="2" t="str" cm="1">
        <f t="array" ref="AL89">_xlfn.IFS(Table1[[#This Row],[loan_amount]] &lt; 900000, "lower size (&lt; 9L)", Table1[[#This Row],[loan_amount]] &lt;=3300000, "medium size (&lt;=33L)", Table1[[#This Row],[loan_amount]] &gt; 3300000, "larger size (&gt; 33L)")</f>
        <v>medium size (&lt;=33L)</v>
      </c>
      <c r="AM89" s="2">
        <f>IF(Table1[[#This Row],[dpd]] &gt;=30,1,0)</f>
        <v>0</v>
      </c>
      <c r="AN89" s="2">
        <f>COUNTIFS(Table1[Loan size],Table1[[#This Row],[Loan size]],Table1[dpd flag],1)/COUNTIF(Table1[Loan size],Table1[[#This Row],[Loan size]])</f>
        <v>0.15909090909090909</v>
      </c>
      <c r="AO89" s="2" t="str">
        <f>IF(OR(Table1[[#This Row],[credit_score]] &lt; 600, Table1[ [#This Row],[dti_ratio] ] &gt; 0.5, Table1[[#This Row],[dpd]] &gt;=30), "high risk", " not riskY")</f>
        <v xml:space="preserve"> not riskY</v>
      </c>
      <c r="AP89" s="26">
        <f>EOMONTH(Table1[[#This Row],[origination_date]],0)</f>
        <v>44985</v>
      </c>
      <c r="AQ89" s="2">
        <f>SUMIFS(Table1[loan_amount],Table1[origination month],Table1[[#This Row],[origination month]])</f>
        <v>11207500</v>
      </c>
      <c r="AR89" s="2">
        <f>AVERAGEIFS(Table1[months_on_book],Table1[product],Table1[[#This Row],[product]])</f>
        <v>19.091954022988507</v>
      </c>
      <c r="AS89" s="2" t="str">
        <f ca="1">IF(EDATE(Table1[[#This Row],[origination_date]],6) &gt;= TODAY(), "New Loan", "Old Loan")</f>
        <v>Old Loan</v>
      </c>
      <c r="AT89" s="2" t="str">
        <f>"Q"&amp;ROUNDUP(MONTH(Table1[[#This Row],[origination_date]])/3,0)&amp;YEAR(Table1[[#This Row],[origination_date]])</f>
        <v>Q12023</v>
      </c>
      <c r="AU89" s="2">
        <f>SUMIFS(Table1[loan_amount],Table1[quarter],Table1[[#This Row],[quarter]])</f>
        <v>46066100</v>
      </c>
      <c r="AV89" s="34" t="str">
        <f>_xlfn.TEXTJOIN("|",TRUE,Table1[[#This Row],[loan_id]:[loan_status]])</f>
        <v>L59221654|C6920769|44974|SME Loan|Call Center|West|Salaried|36|2046600|14.51|70456|1069819|693|C|0.09|0.64|3182900|34|2338018|45139|0|0|0|Active</v>
      </c>
      <c r="AW89" s="42">
        <f>YEAR(Loan_Table[ [#This Row],[origination_date] ])</f>
        <v>2024</v>
      </c>
      <c r="AY89" s="2" t="s">
        <v>111</v>
      </c>
      <c r="BA89" t="s">
        <v>134</v>
      </c>
      <c r="BB89">
        <v>300</v>
      </c>
    </row>
    <row r="90" spans="2:60" ht="18" customHeight="1">
      <c r="B90" s="5" t="s">
        <v>300</v>
      </c>
      <c r="C90" s="2" t="s">
        <v>301</v>
      </c>
      <c r="D90" s="3">
        <v>45325</v>
      </c>
      <c r="E90" s="2" t="s">
        <v>131</v>
      </c>
      <c r="F90" s="2" t="s">
        <v>132</v>
      </c>
      <c r="G90" s="2" t="s">
        <v>139</v>
      </c>
      <c r="H90" s="2" t="s">
        <v>152</v>
      </c>
      <c r="I90" s="2">
        <v>48</v>
      </c>
      <c r="J90" s="2">
        <v>388000</v>
      </c>
      <c r="K90" s="2">
        <v>19.309999999999999</v>
      </c>
      <c r="L90" s="2">
        <v>11665</v>
      </c>
      <c r="M90" s="2">
        <v>1034669</v>
      </c>
      <c r="N90" s="2">
        <v>642</v>
      </c>
      <c r="O90" s="2" t="s">
        <v>147</v>
      </c>
      <c r="P90" s="2">
        <v>0.54</v>
      </c>
      <c r="Q90" s="2">
        <v>0.69</v>
      </c>
      <c r="R90" s="2">
        <v>0</v>
      </c>
      <c r="S90" s="2">
        <v>22</v>
      </c>
      <c r="T90" s="2">
        <v>245926</v>
      </c>
      <c r="U90" s="2">
        <v>197017</v>
      </c>
      <c r="V90" s="2">
        <v>0</v>
      </c>
      <c r="W90" s="2">
        <v>0</v>
      </c>
      <c r="X90" s="2">
        <v>0</v>
      </c>
      <c r="Y90" s="2" t="s">
        <v>148</v>
      </c>
      <c r="Z90" s="12">
        <f>SUMIF(Table1[product],Table1[[#This Row],[product]],Table1[loan_amount])</f>
        <v>74897600</v>
      </c>
      <c r="AA90" s="15">
        <f>SUMIF(Table1[region],Table1[[#This Row],[region]],Table1[current_balance])</f>
        <v>83903255</v>
      </c>
      <c r="AB90" s="2">
        <f>COUNTIF(Table1[loan_status],Table1[[#This Row],[loan_status]])</f>
        <v>301</v>
      </c>
      <c r="AC90" s="2">
        <f>COUNTIF(Table1[default_flag],1)/ROWS(Table1[loan_id])</f>
        <v>2.5999999999999999E-2</v>
      </c>
      <c r="AD90" s="2">
        <f>COUNTIFS(Table1[region],Table1[[#This Row],[region]],Table1[default_flag],1)/COUNTIF(Table1[region],Table1[[#This Row],[region]])</f>
        <v>4.2553191489361701E-2</v>
      </c>
      <c r="AE90" s="2">
        <f>COUNTIFS(Table1[channel],Table1[[#This Row],[channel]],Table1[prepayment_flag],1)/COUNTIF(Table1[channel],Table1[[#This Row],[channel]])</f>
        <v>7.1090047393364927E-2</v>
      </c>
      <c r="AF90" s="2">
        <f>AVERAGEIFS(Table1[interest_rate_pct],Table1[product],Table1[[#This Row],[product]],Table1[risk_band],Table1[[#This Row],[risk_band]])</f>
        <v>20.962592592592593</v>
      </c>
      <c r="AG90" s="2" t="str" cm="1">
        <f t="array" ref="AG90">_xlfn.IFS(Table1[[#This Row],[dti_ratio]] &lt; 0.2, " less than 0.2", Table1[[#This Row],[dti_ratio]] &lt; 0.3, "0.2 - 0.3", Table1[[#This Row],[dti_ratio]] &lt;= 0.5, "0.35 - 0.5", Table1[[#This Row],[dti_ratio]] &gt; 0.5, "greater than 0.5")</f>
        <v>greater than 0.5</v>
      </c>
      <c r="AH90" s="2">
        <f>COUNTIF(Table1[DTI band],Table1[[#This Row],[DTI band]])</f>
        <v>32</v>
      </c>
      <c r="AI90" s="2" t="str" cm="1">
        <f t="array" ref="AI90">_xlfn.IFS(Table1[[#This Row],[ltv_ratio]] &lt; 0.6, "less than 0.6 -less risky", Table1[[#This Row],[ltv_ratio]]  &lt;= 0.8, "0.6 - 0.8 -medium risky",Table1[[#This Row],[ltv_ratio]] &gt; 0.8, "greater than 0.8 -highly risky")</f>
        <v>0.6 - 0.8 -medium risky</v>
      </c>
      <c r="AJ90" s="2">
        <f>COUNTIF(Table1[LTV band],Table1[[#This Row],[LTV band]])</f>
        <v>302</v>
      </c>
      <c r="AK90" s="2">
        <f>COUNTIFS(Table1[count_loan_perband],Table1[[#This Row],[count_loan_perband]],Table1[default_flag],1)/COUNTIF(Table1[count_loan_perband],Table1[[#This Row],[count_loan_perband]])</f>
        <v>3.6423841059602648E-2</v>
      </c>
      <c r="AL90" s="2" t="str" cm="1">
        <f t="array" ref="AL90">_xlfn.IFS(Table1[[#This Row],[loan_amount]] &lt; 900000, "lower size (&lt; 9L)", Table1[[#This Row],[loan_amount]] &lt;=3300000, "medium size (&lt;=33L)", Table1[[#This Row],[loan_amount]] &gt; 3300000, "larger size (&gt; 33L)")</f>
        <v>lower size (&lt; 9L)</v>
      </c>
      <c r="AM90" s="2">
        <f>IF(Table1[[#This Row],[dpd]] &gt;=30,1,0)</f>
        <v>0</v>
      </c>
      <c r="AN90" s="2">
        <f>COUNTIFS(Table1[Loan size],Table1[[#This Row],[Loan size]],Table1[dpd flag],1)/COUNTIF(Table1[Loan size],Table1[[#This Row],[Loan size]])</f>
        <v>0.13934426229508196</v>
      </c>
      <c r="AO90" s="2" t="str">
        <f>IF(OR(Table1[[#This Row],[credit_score]] &lt; 600, Table1[ [#This Row],[dti_ratio] ] &gt; 0.5, Table1[[#This Row],[dpd]] &gt;=30), "high risk", " not riskY")</f>
        <v>high risk</v>
      </c>
      <c r="AP90" s="26">
        <f>EOMONTH(Table1[[#This Row],[origination_date]],0)</f>
        <v>45351</v>
      </c>
      <c r="AQ90" s="2">
        <f>SUMIFS(Table1[loan_amount],Table1[origination month],Table1[[#This Row],[origination month]])</f>
        <v>10064700</v>
      </c>
      <c r="AR90" s="2">
        <f>AVERAGEIFS(Table1[months_on_book],Table1[product],Table1[[#This Row],[product]])</f>
        <v>21.092024539877301</v>
      </c>
      <c r="AS90" s="2" t="str">
        <f ca="1">IF(EDATE(Table1[[#This Row],[origination_date]],6) &gt;= TODAY(), "New Loan", "Old Loan")</f>
        <v>Old Loan</v>
      </c>
      <c r="AT90" s="2" t="str">
        <f>"Q"&amp;ROUNDUP(MONTH(Table1[[#This Row],[origination_date]])/3,0)&amp;YEAR(Table1[[#This Row],[origination_date]])</f>
        <v>Q12024</v>
      </c>
      <c r="AU90" s="2">
        <f>SUMIFS(Table1[loan_amount],Table1[quarter],Table1[[#This Row],[quarter]])</f>
        <v>48515800</v>
      </c>
      <c r="AV90" s="34" t="str">
        <f>_xlfn.TEXTJOIN("|",TRUE,Table1[[#This Row],[loan_id]:[loan_status]])</f>
        <v>L95760945|C3600175|45325|Personal Loan|Online|West|Self-Employed|48|388000|19.31|11665|1034669|642|D|0.54|0.69|0|22|245926|197017|0|0|0|Active</v>
      </c>
      <c r="AW90" s="42">
        <f>YEAR(Loan_Table[ [#This Row],[origination_date] ])</f>
        <v>2024</v>
      </c>
      <c r="AY90" s="2" t="s">
        <v>126</v>
      </c>
    </row>
    <row r="91" spans="2:60" ht="18" customHeight="1">
      <c r="B91" s="5" t="s">
        <v>302</v>
      </c>
      <c r="C91" s="2" t="s">
        <v>303</v>
      </c>
      <c r="D91" s="3">
        <v>45321</v>
      </c>
      <c r="E91" s="2" t="s">
        <v>158</v>
      </c>
      <c r="F91" s="2" t="s">
        <v>144</v>
      </c>
      <c r="G91" s="2" t="s">
        <v>133</v>
      </c>
      <c r="H91" s="2" t="s">
        <v>134</v>
      </c>
      <c r="I91" s="2">
        <v>240</v>
      </c>
      <c r="J91" s="2">
        <v>2228400</v>
      </c>
      <c r="K91" s="2">
        <v>14.79</v>
      </c>
      <c r="L91" s="2">
        <v>28998</v>
      </c>
      <c r="M91" s="2">
        <v>831226</v>
      </c>
      <c r="N91" s="2">
        <v>699</v>
      </c>
      <c r="O91" s="2" t="s">
        <v>140</v>
      </c>
      <c r="P91" s="2">
        <v>0.5</v>
      </c>
      <c r="Q91" s="2">
        <v>0.91</v>
      </c>
      <c r="R91" s="2">
        <v>2459800</v>
      </c>
      <c r="S91" s="2">
        <v>23</v>
      </c>
      <c r="T91" s="2">
        <v>613673</v>
      </c>
      <c r="U91" s="2">
        <v>1867405</v>
      </c>
      <c r="V91" s="2">
        <v>0</v>
      </c>
      <c r="W91" s="2">
        <v>0</v>
      </c>
      <c r="X91" s="2">
        <v>0</v>
      </c>
      <c r="Y91" s="2" t="s">
        <v>148</v>
      </c>
      <c r="Z91" s="12">
        <f>SUMIF(Table1[product],Table1[[#This Row],[product]],Table1[loan_amount])</f>
        <v>201475100</v>
      </c>
      <c r="AA91" s="15">
        <f>SUMIF(Table1[region],Table1[[#This Row],[region]],Table1[current_balance])</f>
        <v>94548000</v>
      </c>
      <c r="AB91" s="2">
        <f>COUNTIF(Table1[loan_status],Table1[[#This Row],[loan_status]])</f>
        <v>301</v>
      </c>
      <c r="AC91" s="2">
        <f>COUNTIF(Table1[default_flag],1)/ROWS(Table1[loan_id])</f>
        <v>2.5999999999999999E-2</v>
      </c>
      <c r="AD91" s="2">
        <f>COUNTIFS(Table1[region],Table1[[#This Row],[region]],Table1[default_flag],1)/COUNTIF(Table1[region],Table1[[#This Row],[region]])</f>
        <v>0</v>
      </c>
      <c r="AE91" s="2">
        <f>COUNTIFS(Table1[channel],Table1[[#This Row],[channel]],Table1[prepayment_flag],1)/COUNTIF(Table1[channel],Table1[[#This Row],[channel]])</f>
        <v>5.8201058201058198E-2</v>
      </c>
      <c r="AF91" s="2">
        <f>AVERAGEIFS(Table1[interest_rate_pct],Table1[product],Table1[[#This Row],[product]],Table1[risk_band],Table1[[#This Row],[risk_band]])</f>
        <v>15.841379310344831</v>
      </c>
      <c r="AG91" s="2" t="str" cm="1">
        <f t="array" ref="AG91">_xlfn.IFS(Table1[[#This Row],[dti_ratio]] &lt; 0.2, " less than 0.2", Table1[[#This Row],[dti_ratio]] &lt; 0.3, "0.2 - 0.3", Table1[[#This Row],[dti_ratio]] &lt;= 0.5, "0.35 - 0.5", Table1[[#This Row],[dti_ratio]] &gt; 0.5, "greater than 0.5")</f>
        <v>0.35 - 0.5</v>
      </c>
      <c r="AH91" s="2">
        <f>COUNTIF(Table1[DTI band],Table1[[#This Row],[DTI band]])</f>
        <v>260</v>
      </c>
      <c r="AI91" s="2" t="str" cm="1">
        <f t="array" ref="AI91">_xlfn.IFS(Table1[[#This Row],[ltv_ratio]] &lt; 0.6, "less than 0.6 -less risky", Table1[[#This Row],[ltv_ratio]]  &lt;= 0.8, "0.6 - 0.8 -medium risky",Table1[[#This Row],[ltv_ratio]] &gt; 0.8, "greater than 0.8 -highly risky")</f>
        <v>greater than 0.8 -highly risky</v>
      </c>
      <c r="AJ91" s="2">
        <f>COUNTIF(Table1[LTV band],Table1[[#This Row],[LTV band]])</f>
        <v>141</v>
      </c>
      <c r="AK91" s="2">
        <f>COUNTIFS(Table1[count_loan_perband],Table1[[#This Row],[count_loan_perband]],Table1[default_flag],1)/COUNTIF(Table1[count_loan_perband],Table1[[#This Row],[count_loan_perband]])</f>
        <v>1.4184397163120567E-2</v>
      </c>
      <c r="AL91" s="2" t="str" cm="1">
        <f t="array" ref="AL91">_xlfn.IFS(Table1[[#This Row],[loan_amount]] &lt; 900000, "lower size (&lt; 9L)", Table1[[#This Row],[loan_amount]] &lt;=3300000, "medium size (&lt;=33L)", Table1[[#This Row],[loan_amount]] &gt; 3300000, "larger size (&gt; 33L)")</f>
        <v>medium size (&lt;=33L)</v>
      </c>
      <c r="AM91" s="2">
        <f>IF(Table1[[#This Row],[dpd]] &gt;=30,1,0)</f>
        <v>0</v>
      </c>
      <c r="AN91" s="2">
        <f>COUNTIFS(Table1[Loan size],Table1[[#This Row],[Loan size]],Table1[dpd flag],1)/COUNTIF(Table1[Loan size],Table1[[#This Row],[Loan size]])</f>
        <v>0.15909090909090909</v>
      </c>
      <c r="AO91" s="2" t="str">
        <f>IF(OR(Table1[[#This Row],[credit_score]] &lt; 600, Table1[ [#This Row],[dti_ratio] ] &gt; 0.5, Table1[[#This Row],[dpd]] &gt;=30), "high risk", " not riskY")</f>
        <v xml:space="preserve"> not riskY</v>
      </c>
      <c r="AP91" s="26">
        <f>EOMONTH(Table1[[#This Row],[origination_date]],0)</f>
        <v>45322</v>
      </c>
      <c r="AQ91" s="2">
        <f>SUMIFS(Table1[loan_amount],Table1[origination month],Table1[[#This Row],[origination month]])</f>
        <v>24741500</v>
      </c>
      <c r="AR91" s="2">
        <f>AVERAGEIFS(Table1[months_on_book],Table1[product],Table1[[#This Row],[product]])</f>
        <v>19.091954022988507</v>
      </c>
      <c r="AS91" s="2" t="str">
        <f ca="1">IF(EDATE(Table1[[#This Row],[origination_date]],6) &gt;= TODAY(), "New Loan", "Old Loan")</f>
        <v>Old Loan</v>
      </c>
      <c r="AT91" s="2" t="str">
        <f>"Q"&amp;ROUNDUP(MONTH(Table1[[#This Row],[origination_date]])/3,0)&amp;YEAR(Table1[[#This Row],[origination_date]])</f>
        <v>Q12024</v>
      </c>
      <c r="AU91" s="2">
        <f>SUMIFS(Table1[loan_amount],Table1[quarter],Table1[[#This Row],[quarter]])</f>
        <v>48515800</v>
      </c>
      <c r="AV91" s="34" t="str">
        <f>_xlfn.TEXTJOIN("|",TRUE,Table1[[#This Row],[loan_id]:[loan_status]])</f>
        <v>L46826779|C2821641|45321|SME Loan|Branch|South|Salaried|240|2228400|14.79|28998|831226|699|C|0.5|0.91|2459800|23|613673|1867405|0|0|0|Active</v>
      </c>
      <c r="AW91" s="42">
        <f>YEAR(Loan_Table[ [#This Row],[origination_date] ])</f>
        <v>2024</v>
      </c>
      <c r="AY91" s="2" t="s">
        <v>127</v>
      </c>
    </row>
    <row r="92" spans="2:60" ht="18" customHeight="1">
      <c r="B92" s="5" t="s">
        <v>304</v>
      </c>
      <c r="C92" s="2" t="s">
        <v>305</v>
      </c>
      <c r="D92" s="3">
        <v>45298</v>
      </c>
      <c r="E92" s="2" t="s">
        <v>131</v>
      </c>
      <c r="F92" s="2" t="s">
        <v>159</v>
      </c>
      <c r="G92" s="2" t="s">
        <v>170</v>
      </c>
      <c r="H92" s="2" t="s">
        <v>134</v>
      </c>
      <c r="I92" s="2">
        <v>360</v>
      </c>
      <c r="J92" s="2">
        <v>523600</v>
      </c>
      <c r="K92" s="2">
        <v>16.79</v>
      </c>
      <c r="L92" s="2">
        <v>7376</v>
      </c>
      <c r="M92" s="2">
        <v>529915</v>
      </c>
      <c r="N92" s="2">
        <v>708</v>
      </c>
      <c r="O92" s="2" t="s">
        <v>135</v>
      </c>
      <c r="P92" s="2">
        <v>0.49</v>
      </c>
      <c r="Q92" s="2">
        <v>0.69</v>
      </c>
      <c r="R92" s="2">
        <v>0</v>
      </c>
      <c r="S92" s="2">
        <v>23</v>
      </c>
      <c r="T92" s="2">
        <v>151720</v>
      </c>
      <c r="U92" s="2">
        <v>439280</v>
      </c>
      <c r="V92" s="2">
        <v>10</v>
      </c>
      <c r="W92" s="2">
        <v>0</v>
      </c>
      <c r="X92" s="2">
        <v>0</v>
      </c>
      <c r="Y92" s="2" t="s">
        <v>148</v>
      </c>
      <c r="Z92" s="12">
        <f>SUMIF(Table1[product],Table1[[#This Row],[product]],Table1[loan_amount])</f>
        <v>74897600</v>
      </c>
      <c r="AA92" s="15">
        <f>SUMIF(Table1[region],Table1[[#This Row],[region]],Table1[current_balance])</f>
        <v>83297251</v>
      </c>
      <c r="AB92" s="2">
        <f>COUNTIF(Table1[loan_status],Table1[[#This Row],[loan_status]])</f>
        <v>301</v>
      </c>
      <c r="AC92" s="2">
        <f>COUNTIF(Table1[default_flag],1)/ROWS(Table1[loan_id])</f>
        <v>2.5999999999999999E-2</v>
      </c>
      <c r="AD92" s="2">
        <f>COUNTIFS(Table1[region],Table1[[#This Row],[region]],Table1[default_flag],1)/COUNTIF(Table1[region],Table1[[#This Row],[region]])</f>
        <v>3.1914893617021274E-2</v>
      </c>
      <c r="AE92" s="2">
        <f>COUNTIFS(Table1[channel],Table1[[#This Row],[channel]],Table1[prepayment_flag],1)/COUNTIF(Table1[channel],Table1[[#This Row],[channel]])</f>
        <v>0.1</v>
      </c>
      <c r="AF92" s="2">
        <f>AVERAGEIFS(Table1[interest_rate_pct],Table1[product],Table1[[#This Row],[product]],Table1[risk_band],Table1[[#This Row],[risk_band]])</f>
        <v>16.500166666666669</v>
      </c>
      <c r="AG92" s="2" t="str" cm="1">
        <f t="array" ref="AG92">_xlfn.IFS(Table1[[#This Row],[dti_ratio]] &lt; 0.2, " less than 0.2", Table1[[#This Row],[dti_ratio]] &lt; 0.3, "0.2 - 0.3", Table1[[#This Row],[dti_ratio]] &lt;= 0.5, "0.35 - 0.5", Table1[[#This Row],[dti_ratio]] &gt; 0.5, "greater than 0.5")</f>
        <v>0.35 - 0.5</v>
      </c>
      <c r="AH92" s="2">
        <f>COUNTIF(Table1[DTI band],Table1[[#This Row],[DTI band]])</f>
        <v>260</v>
      </c>
      <c r="AI92" s="2" t="str" cm="1">
        <f t="array" ref="AI92">_xlfn.IFS(Table1[[#This Row],[ltv_ratio]] &lt; 0.6, "less than 0.6 -less risky", Table1[[#This Row],[ltv_ratio]]  &lt;= 0.8, "0.6 - 0.8 -medium risky",Table1[[#This Row],[ltv_ratio]] &gt; 0.8, "greater than 0.8 -highly risky")</f>
        <v>0.6 - 0.8 -medium risky</v>
      </c>
      <c r="AJ92" s="2">
        <f>COUNTIF(Table1[LTV band],Table1[[#This Row],[LTV band]])</f>
        <v>302</v>
      </c>
      <c r="AK92" s="2">
        <f>COUNTIFS(Table1[count_loan_perband],Table1[[#This Row],[count_loan_perband]],Table1[default_flag],1)/COUNTIF(Table1[count_loan_perband],Table1[[#This Row],[count_loan_perband]])</f>
        <v>3.6423841059602648E-2</v>
      </c>
      <c r="AL92" s="2" t="str" cm="1">
        <f t="array" ref="AL92">_xlfn.IFS(Table1[[#This Row],[loan_amount]] &lt; 900000, "lower size (&lt; 9L)", Table1[[#This Row],[loan_amount]] &lt;=3300000, "medium size (&lt;=33L)", Table1[[#This Row],[loan_amount]] &gt; 3300000, "larger size (&gt; 33L)")</f>
        <v>lower size (&lt; 9L)</v>
      </c>
      <c r="AM92" s="2">
        <f>IF(Table1[[#This Row],[dpd]] &gt;=30,1,0)</f>
        <v>0</v>
      </c>
      <c r="AN92" s="2">
        <f>COUNTIFS(Table1[Loan size],Table1[[#This Row],[Loan size]],Table1[dpd flag],1)/COUNTIF(Table1[Loan size],Table1[[#This Row],[Loan size]])</f>
        <v>0.13934426229508196</v>
      </c>
      <c r="AO92" s="2" t="str">
        <f>IF(OR(Table1[[#This Row],[credit_score]] &lt; 600, Table1[ [#This Row],[dti_ratio] ] &gt; 0.5, Table1[[#This Row],[dpd]] &gt;=30), "high risk", " not riskY")</f>
        <v xml:space="preserve"> not riskY</v>
      </c>
      <c r="AP92" s="26">
        <f>EOMONTH(Table1[[#This Row],[origination_date]],0)</f>
        <v>45322</v>
      </c>
      <c r="AQ92" s="2">
        <f>SUMIFS(Table1[loan_amount],Table1[origination month],Table1[[#This Row],[origination month]])</f>
        <v>24741500</v>
      </c>
      <c r="AR92" s="2">
        <f>AVERAGEIFS(Table1[months_on_book],Table1[product],Table1[[#This Row],[product]])</f>
        <v>21.092024539877301</v>
      </c>
      <c r="AS92" s="2" t="str">
        <f ca="1">IF(EDATE(Table1[[#This Row],[origination_date]],6) &gt;= TODAY(), "New Loan", "Old Loan")</f>
        <v>Old Loan</v>
      </c>
      <c r="AT92" s="2" t="str">
        <f>"Q"&amp;ROUNDUP(MONTH(Table1[[#This Row],[origination_date]])/3,0)&amp;YEAR(Table1[[#This Row],[origination_date]])</f>
        <v>Q12024</v>
      </c>
      <c r="AU92" s="2">
        <f>SUMIFS(Table1[loan_amount],Table1[quarter],Table1[[#This Row],[quarter]])</f>
        <v>48515800</v>
      </c>
      <c r="AV92" s="34" t="str">
        <f>_xlfn.TEXTJOIN("|",TRUE,Table1[[#This Row],[loan_id]:[loan_status]])</f>
        <v>L33928296|C1070682|45298|Personal Loan|Partner|East|Salaried|360|523600|16.79|7376|529915|708|B|0.49|0.69|0|23|151720|439280|10|0|0|Active</v>
      </c>
      <c r="AW92" s="42">
        <f>YEAR(Loan_Table[ [#This Row],[origination_date] ])</f>
        <v>2024</v>
      </c>
      <c r="AY92" s="2" t="s">
        <v>128</v>
      </c>
    </row>
    <row r="93" spans="2:60" ht="18" customHeight="1">
      <c r="B93" s="5" t="s">
        <v>306</v>
      </c>
      <c r="C93" s="2" t="s">
        <v>307</v>
      </c>
      <c r="D93" s="3">
        <v>45319</v>
      </c>
      <c r="E93" s="2" t="s">
        <v>163</v>
      </c>
      <c r="F93" s="2" t="s">
        <v>132</v>
      </c>
      <c r="G93" s="2" t="s">
        <v>151</v>
      </c>
      <c r="H93" s="2" t="s">
        <v>152</v>
      </c>
      <c r="I93" s="2">
        <v>240</v>
      </c>
      <c r="J93" s="2">
        <v>1282700</v>
      </c>
      <c r="K93" s="2">
        <v>8.32</v>
      </c>
      <c r="L93" s="2">
        <v>10986</v>
      </c>
      <c r="M93" s="2">
        <v>853765</v>
      </c>
      <c r="N93" s="2">
        <v>762</v>
      </c>
      <c r="O93" s="2" t="s">
        <v>160</v>
      </c>
      <c r="P93" s="2">
        <v>0.47</v>
      </c>
      <c r="Q93" s="2">
        <v>0.75</v>
      </c>
      <c r="R93" s="2">
        <v>1703100</v>
      </c>
      <c r="S93" s="2">
        <v>23</v>
      </c>
      <c r="T93" s="2">
        <v>242686</v>
      </c>
      <c r="U93" s="2">
        <v>1121833</v>
      </c>
      <c r="V93" s="2">
        <v>0</v>
      </c>
      <c r="W93" s="2">
        <v>0</v>
      </c>
      <c r="X93" s="2">
        <v>0</v>
      </c>
      <c r="Y93" s="2" t="s">
        <v>148</v>
      </c>
      <c r="Z93" s="12">
        <f>SUMIF(Table1[product],Table1[[#This Row],[product]],Table1[loan_amount])</f>
        <v>92273000</v>
      </c>
      <c r="AA93" s="15">
        <f>SUMIF(Table1[region],Table1[[#This Row],[region]],Table1[current_balance])</f>
        <v>105779369</v>
      </c>
      <c r="AB93" s="2">
        <f>COUNTIF(Table1[loan_status],Table1[[#This Row],[loan_status]])</f>
        <v>301</v>
      </c>
      <c r="AC93" s="2">
        <f>COUNTIF(Table1[default_flag],1)/ROWS(Table1[loan_id])</f>
        <v>2.5999999999999999E-2</v>
      </c>
      <c r="AD93" s="2">
        <f>COUNTIFS(Table1[region],Table1[[#This Row],[region]],Table1[default_flag],1)/COUNTIF(Table1[region],Table1[[#This Row],[region]])</f>
        <v>2.6548672566371681E-2</v>
      </c>
      <c r="AE93" s="2">
        <f>COUNTIFS(Table1[channel],Table1[[#This Row],[channel]],Table1[prepayment_flag],1)/COUNTIF(Table1[channel],Table1[[#This Row],[channel]])</f>
        <v>7.1090047393364927E-2</v>
      </c>
      <c r="AF93" s="2">
        <f>AVERAGEIFS(Table1[interest_rate_pct],Table1[product],Table1[[#This Row],[product]],Table1[risk_band],Table1[[#This Row],[risk_band]])</f>
        <v>7.9444999999999997</v>
      </c>
      <c r="AG93" s="2" t="str" cm="1">
        <f t="array" ref="AG93">_xlfn.IFS(Table1[[#This Row],[dti_ratio]] &lt; 0.2, " less than 0.2", Table1[[#This Row],[dti_ratio]] &lt; 0.3, "0.2 - 0.3", Table1[[#This Row],[dti_ratio]] &lt;= 0.5, "0.35 - 0.5", Table1[[#This Row],[dti_ratio]] &gt; 0.5, "greater than 0.5")</f>
        <v>0.35 - 0.5</v>
      </c>
      <c r="AH93" s="2">
        <f>COUNTIF(Table1[DTI band],Table1[[#This Row],[DTI band]])</f>
        <v>260</v>
      </c>
      <c r="AI93" s="2" t="str" cm="1">
        <f t="array" ref="AI93">_xlfn.IFS(Table1[[#This Row],[ltv_ratio]] &lt; 0.6, "less than 0.6 -less risky", Table1[[#This Row],[ltv_ratio]]  &lt;= 0.8, "0.6 - 0.8 -medium risky",Table1[[#This Row],[ltv_ratio]] &gt; 0.8, "greater than 0.8 -highly risky")</f>
        <v>0.6 - 0.8 -medium risky</v>
      </c>
      <c r="AJ93" s="2">
        <f>COUNTIF(Table1[LTV band],Table1[[#This Row],[LTV band]])</f>
        <v>302</v>
      </c>
      <c r="AK93" s="2">
        <f>COUNTIFS(Table1[count_loan_perband],Table1[[#This Row],[count_loan_perband]],Table1[default_flag],1)/COUNTIF(Table1[count_loan_perband],Table1[[#This Row],[count_loan_perband]])</f>
        <v>3.6423841059602648E-2</v>
      </c>
      <c r="AL93" s="2" t="str" cm="1">
        <f t="array" ref="AL93">_xlfn.IFS(Table1[[#This Row],[loan_amount]] &lt; 900000, "lower size (&lt; 9L)", Table1[[#This Row],[loan_amount]] &lt;=3300000, "medium size (&lt;=33L)", Table1[[#This Row],[loan_amount]] &gt; 3300000, "larger size (&gt; 33L)")</f>
        <v>medium size (&lt;=33L)</v>
      </c>
      <c r="AM93" s="2">
        <f>IF(Table1[[#This Row],[dpd]] &gt;=30,1,0)</f>
        <v>0</v>
      </c>
      <c r="AN93" s="2">
        <f>COUNTIFS(Table1[Loan size],Table1[[#This Row],[Loan size]],Table1[dpd flag],1)/COUNTIF(Table1[Loan size],Table1[[#This Row],[Loan size]])</f>
        <v>0.15909090909090909</v>
      </c>
      <c r="AO93" s="2" t="str">
        <f>IF(OR(Table1[[#This Row],[credit_score]] &lt; 600, Table1[ [#This Row],[dti_ratio] ] &gt; 0.5, Table1[[#This Row],[dpd]] &gt;=30), "high risk", " not riskY")</f>
        <v xml:space="preserve"> not riskY</v>
      </c>
      <c r="AP93" s="26">
        <f>EOMONTH(Table1[[#This Row],[origination_date]],0)</f>
        <v>45322</v>
      </c>
      <c r="AQ93" s="2">
        <f>SUMIFS(Table1[loan_amount],Table1[origination month],Table1[[#This Row],[origination month]])</f>
        <v>24741500</v>
      </c>
      <c r="AR93" s="2">
        <f>AVERAGEIFS(Table1[months_on_book],Table1[product],Table1[[#This Row],[product]])</f>
        <v>20.262135922330096</v>
      </c>
      <c r="AS93" s="2" t="str">
        <f ca="1">IF(EDATE(Table1[[#This Row],[origination_date]],6) &gt;= TODAY(), "New Loan", "Old Loan")</f>
        <v>Old Loan</v>
      </c>
      <c r="AT93" s="2" t="str">
        <f>"Q"&amp;ROUNDUP(MONTH(Table1[[#This Row],[origination_date]])/3,0)&amp;YEAR(Table1[[#This Row],[origination_date]])</f>
        <v>Q12024</v>
      </c>
      <c r="AU93" s="2">
        <f>SUMIFS(Table1[loan_amount],Table1[quarter],Table1[[#This Row],[quarter]])</f>
        <v>48515800</v>
      </c>
      <c r="AV93" s="34" t="str">
        <f>_xlfn.TEXTJOIN("|",TRUE,Table1[[#This Row],[loan_id]:[loan_status]])</f>
        <v>L20235594|C8274703|45319|Auto Loan|Online|North|Self-Employed|240|1282700|8.32|10986|853765|762|A|0.47|0.75|1703100|23|242686|1121833|0|0|0|Active</v>
      </c>
      <c r="AW93" s="42">
        <f>YEAR(Loan_Table[ [#This Row],[origination_date] ])</f>
        <v>2024</v>
      </c>
    </row>
    <row r="94" spans="2:60" ht="18" customHeight="1">
      <c r="B94" s="5" t="s">
        <v>308</v>
      </c>
      <c r="C94" s="2" t="s">
        <v>309</v>
      </c>
      <c r="D94" s="3">
        <v>45370</v>
      </c>
      <c r="E94" s="2" t="s">
        <v>131</v>
      </c>
      <c r="F94" s="2" t="s">
        <v>132</v>
      </c>
      <c r="G94" s="2" t="s">
        <v>170</v>
      </c>
      <c r="H94" s="2" t="s">
        <v>134</v>
      </c>
      <c r="I94" s="2">
        <v>60</v>
      </c>
      <c r="J94" s="2">
        <v>506900</v>
      </c>
      <c r="K94" s="2">
        <v>17.28</v>
      </c>
      <c r="L94" s="2">
        <v>12674</v>
      </c>
      <c r="M94" s="2">
        <v>1014711</v>
      </c>
      <c r="N94" s="2">
        <v>688</v>
      </c>
      <c r="O94" s="2" t="s">
        <v>140</v>
      </c>
      <c r="P94" s="2">
        <v>0.45</v>
      </c>
      <c r="Q94" s="2">
        <v>0.77</v>
      </c>
      <c r="R94" s="2">
        <v>0</v>
      </c>
      <c r="S94" s="2">
        <v>21</v>
      </c>
      <c r="T94" s="2">
        <v>232673</v>
      </c>
      <c r="U94" s="2">
        <v>335542</v>
      </c>
      <c r="V94" s="2">
        <v>0</v>
      </c>
      <c r="W94" s="2">
        <v>0</v>
      </c>
      <c r="X94" s="2">
        <v>0</v>
      </c>
      <c r="Y94" s="2" t="s">
        <v>148</v>
      </c>
      <c r="Z94" s="12">
        <f>SUMIF(Table1[product],Table1[[#This Row],[product]],Table1[loan_amount])</f>
        <v>74897600</v>
      </c>
      <c r="AA94" s="15">
        <f>SUMIF(Table1[region],Table1[[#This Row],[region]],Table1[current_balance])</f>
        <v>83297251</v>
      </c>
      <c r="AB94" s="2">
        <f>COUNTIF(Table1[loan_status],Table1[[#This Row],[loan_status]])</f>
        <v>301</v>
      </c>
      <c r="AC94" s="2">
        <f>COUNTIF(Table1[default_flag],1)/ROWS(Table1[loan_id])</f>
        <v>2.5999999999999999E-2</v>
      </c>
      <c r="AD94" s="2">
        <f>COUNTIFS(Table1[region],Table1[[#This Row],[region]],Table1[default_flag],1)/COUNTIF(Table1[region],Table1[[#This Row],[region]])</f>
        <v>3.1914893617021274E-2</v>
      </c>
      <c r="AE94" s="2">
        <f>COUNTIFS(Table1[channel],Table1[[#This Row],[channel]],Table1[prepayment_flag],1)/COUNTIF(Table1[channel],Table1[[#This Row],[channel]])</f>
        <v>7.1090047393364927E-2</v>
      </c>
      <c r="AF94" s="2">
        <f>AVERAGEIFS(Table1[interest_rate_pct],Table1[product],Table1[[#This Row],[product]],Table1[risk_band],Table1[[#This Row],[risk_band]])</f>
        <v>18.603181818181817</v>
      </c>
      <c r="AG94" s="2" t="str" cm="1">
        <f t="array" ref="AG94">_xlfn.IFS(Table1[[#This Row],[dti_ratio]] &lt; 0.2, " less than 0.2", Table1[[#This Row],[dti_ratio]] &lt; 0.3, "0.2 - 0.3", Table1[[#This Row],[dti_ratio]] &lt;= 0.5, "0.35 - 0.5", Table1[[#This Row],[dti_ratio]] &gt; 0.5, "greater than 0.5")</f>
        <v>0.35 - 0.5</v>
      </c>
      <c r="AH94" s="2">
        <f>COUNTIF(Table1[DTI band],Table1[[#This Row],[DTI band]])</f>
        <v>260</v>
      </c>
      <c r="AI94" s="2" t="str" cm="1">
        <f t="array" ref="AI94">_xlfn.IFS(Table1[[#This Row],[ltv_ratio]] &lt; 0.6, "less than 0.6 -less risky", Table1[[#This Row],[ltv_ratio]]  &lt;= 0.8, "0.6 - 0.8 -medium risky",Table1[[#This Row],[ltv_ratio]] &gt; 0.8, "greater than 0.8 -highly risky")</f>
        <v>0.6 - 0.8 -medium risky</v>
      </c>
      <c r="AJ94" s="2">
        <f>COUNTIF(Table1[LTV band],Table1[[#This Row],[LTV band]])</f>
        <v>302</v>
      </c>
      <c r="AK94" s="2">
        <f>COUNTIFS(Table1[count_loan_perband],Table1[[#This Row],[count_loan_perband]],Table1[default_flag],1)/COUNTIF(Table1[count_loan_perband],Table1[[#This Row],[count_loan_perband]])</f>
        <v>3.6423841059602648E-2</v>
      </c>
      <c r="AL94" s="2" t="str" cm="1">
        <f t="array" ref="AL94">_xlfn.IFS(Table1[[#This Row],[loan_amount]] &lt; 900000, "lower size (&lt; 9L)", Table1[[#This Row],[loan_amount]] &lt;=3300000, "medium size (&lt;=33L)", Table1[[#This Row],[loan_amount]] &gt; 3300000, "larger size (&gt; 33L)")</f>
        <v>lower size (&lt; 9L)</v>
      </c>
      <c r="AM94" s="2">
        <f>IF(Table1[[#This Row],[dpd]] &gt;=30,1,0)</f>
        <v>0</v>
      </c>
      <c r="AN94" s="2">
        <f>COUNTIFS(Table1[Loan size],Table1[[#This Row],[Loan size]],Table1[dpd flag],1)/COUNTIF(Table1[Loan size],Table1[[#This Row],[Loan size]])</f>
        <v>0.13934426229508196</v>
      </c>
      <c r="AO94" s="2" t="str">
        <f>IF(OR(Table1[[#This Row],[credit_score]] &lt; 600, Table1[ [#This Row],[dti_ratio] ] &gt; 0.5, Table1[[#This Row],[dpd]] &gt;=30), "high risk", " not riskY")</f>
        <v xml:space="preserve"> not riskY</v>
      </c>
      <c r="AP94" s="26">
        <f>EOMONTH(Table1[[#This Row],[origination_date]],0)</f>
        <v>45382</v>
      </c>
      <c r="AQ94" s="2">
        <f>SUMIFS(Table1[loan_amount],Table1[origination month],Table1[[#This Row],[origination month]])</f>
        <v>13709600</v>
      </c>
      <c r="AR94" s="2">
        <f>AVERAGEIFS(Table1[months_on_book],Table1[product],Table1[[#This Row],[product]])</f>
        <v>21.092024539877301</v>
      </c>
      <c r="AS94" s="2" t="str">
        <f ca="1">IF(EDATE(Table1[[#This Row],[origination_date]],6) &gt;= TODAY(), "New Loan", "Old Loan")</f>
        <v>Old Loan</v>
      </c>
      <c r="AT94" s="2" t="str">
        <f>"Q"&amp;ROUNDUP(MONTH(Table1[[#This Row],[origination_date]])/3,0)&amp;YEAR(Table1[[#This Row],[origination_date]])</f>
        <v>Q12024</v>
      </c>
      <c r="AU94" s="2">
        <f>SUMIFS(Table1[loan_amount],Table1[quarter],Table1[[#This Row],[quarter]])</f>
        <v>48515800</v>
      </c>
      <c r="AV94" s="34" t="str">
        <f>_xlfn.TEXTJOIN("|",TRUE,Table1[[#This Row],[loan_id]:[loan_status]])</f>
        <v>L80341071|C9237402|45370|Personal Loan|Online|East|Salaried|60|506900|17.28|12674|1014711|688|C|0.45|0.77|0|21|232673|335542|0|0|0|Active</v>
      </c>
      <c r="AW94" s="42">
        <f>YEAR(Loan_Table[ [#This Row],[origination_date] ])</f>
        <v>2024</v>
      </c>
    </row>
    <row r="95" spans="2:60" ht="18" customHeight="1">
      <c r="B95" s="5" t="s">
        <v>310</v>
      </c>
      <c r="C95" s="2" t="s">
        <v>311</v>
      </c>
      <c r="D95" s="3">
        <v>45348</v>
      </c>
      <c r="E95" s="2" t="s">
        <v>163</v>
      </c>
      <c r="F95" s="2" t="s">
        <v>159</v>
      </c>
      <c r="G95" s="2" t="s">
        <v>145</v>
      </c>
      <c r="H95" s="2" t="s">
        <v>152</v>
      </c>
      <c r="I95" s="2">
        <v>240</v>
      </c>
      <c r="J95" s="2">
        <v>242000</v>
      </c>
      <c r="K95" s="2">
        <v>20.57</v>
      </c>
      <c r="L95" s="2">
        <v>4220</v>
      </c>
      <c r="M95" s="2">
        <v>262527</v>
      </c>
      <c r="N95" s="2">
        <v>511</v>
      </c>
      <c r="O95" s="2" t="s">
        <v>166</v>
      </c>
      <c r="P95" s="2">
        <v>0.43</v>
      </c>
      <c r="Q95" s="2">
        <v>0.64</v>
      </c>
      <c r="R95" s="2">
        <v>380500</v>
      </c>
      <c r="S95" s="2">
        <v>22</v>
      </c>
      <c r="T95" s="2">
        <v>92909</v>
      </c>
      <c r="U95" s="2">
        <v>185596</v>
      </c>
      <c r="V95" s="2">
        <v>0</v>
      </c>
      <c r="W95" s="2">
        <v>0</v>
      </c>
      <c r="X95" s="2">
        <v>0</v>
      </c>
      <c r="Y95" s="2" t="s">
        <v>148</v>
      </c>
      <c r="Z95" s="12">
        <f>SUMIF(Table1[product],Table1[[#This Row],[product]],Table1[loan_amount])</f>
        <v>92273000</v>
      </c>
      <c r="AA95" s="15">
        <f>SUMIF(Table1[region],Table1[[#This Row],[region]],Table1[current_balance])</f>
        <v>98928695</v>
      </c>
      <c r="AB95" s="2">
        <f>COUNTIF(Table1[loan_status],Table1[[#This Row],[loan_status]])</f>
        <v>301</v>
      </c>
      <c r="AC95" s="2">
        <f>COUNTIF(Table1[default_flag],1)/ROWS(Table1[loan_id])</f>
        <v>2.5999999999999999E-2</v>
      </c>
      <c r="AD95" s="2">
        <f>COUNTIFS(Table1[region],Table1[[#This Row],[region]],Table1[default_flag],1)/COUNTIF(Table1[region],Table1[[#This Row],[region]])</f>
        <v>2.8571428571428571E-2</v>
      </c>
      <c r="AE95" s="2">
        <f>COUNTIFS(Table1[channel],Table1[[#This Row],[channel]],Table1[prepayment_flag],1)/COUNTIF(Table1[channel],Table1[[#This Row],[channel]])</f>
        <v>0.1</v>
      </c>
      <c r="AF95" s="2">
        <f>AVERAGEIFS(Table1[interest_rate_pct],Table1[product],Table1[[#This Row],[product]],Table1[risk_band],Table1[[#This Row],[risk_band]])</f>
        <v>17.744166666666668</v>
      </c>
      <c r="AG95" s="2" t="str" cm="1">
        <f t="array" ref="AG95">_xlfn.IFS(Table1[[#This Row],[dti_ratio]] &lt; 0.2, " less than 0.2", Table1[[#This Row],[dti_ratio]] &lt; 0.3, "0.2 - 0.3", Table1[[#This Row],[dti_ratio]] &lt;= 0.5, "0.35 - 0.5", Table1[[#This Row],[dti_ratio]] &gt; 0.5, "greater than 0.5")</f>
        <v>0.35 - 0.5</v>
      </c>
      <c r="AH95" s="2">
        <f>COUNTIF(Table1[DTI band],Table1[[#This Row],[DTI band]])</f>
        <v>260</v>
      </c>
      <c r="AI95" s="2" t="str" cm="1">
        <f t="array" ref="AI95">_xlfn.IFS(Table1[[#This Row],[ltv_ratio]] &lt; 0.6, "less than 0.6 -less risky", Table1[[#This Row],[ltv_ratio]]  &lt;= 0.8, "0.6 - 0.8 -medium risky",Table1[[#This Row],[ltv_ratio]] &gt; 0.8, "greater than 0.8 -highly risky")</f>
        <v>0.6 - 0.8 -medium risky</v>
      </c>
      <c r="AJ95" s="2">
        <f>COUNTIF(Table1[LTV band],Table1[[#This Row],[LTV band]])</f>
        <v>302</v>
      </c>
      <c r="AK95" s="2">
        <f>COUNTIFS(Table1[count_loan_perband],Table1[[#This Row],[count_loan_perband]],Table1[default_flag],1)/COUNTIF(Table1[count_loan_perband],Table1[[#This Row],[count_loan_perband]])</f>
        <v>3.6423841059602648E-2</v>
      </c>
      <c r="AL95" s="2" t="str" cm="1">
        <f t="array" ref="AL95">_xlfn.IFS(Table1[[#This Row],[loan_amount]] &lt; 900000, "lower size (&lt; 9L)", Table1[[#This Row],[loan_amount]] &lt;=3300000, "medium size (&lt;=33L)", Table1[[#This Row],[loan_amount]] &gt; 3300000, "larger size (&gt; 33L)")</f>
        <v>lower size (&lt; 9L)</v>
      </c>
      <c r="AM95" s="2">
        <f>IF(Table1[[#This Row],[dpd]] &gt;=30,1,0)</f>
        <v>0</v>
      </c>
      <c r="AN95" s="2">
        <f>COUNTIFS(Table1[Loan size],Table1[[#This Row],[Loan size]],Table1[dpd flag],1)/COUNTIF(Table1[Loan size],Table1[[#This Row],[Loan size]])</f>
        <v>0.13934426229508196</v>
      </c>
      <c r="AO95" s="2" t="str">
        <f>IF(OR(Table1[[#This Row],[credit_score]] &lt; 600, Table1[ [#This Row],[dti_ratio] ] &gt; 0.5, Table1[[#This Row],[dpd]] &gt;=30), "high risk", " not riskY")</f>
        <v>high risk</v>
      </c>
      <c r="AP95" s="26">
        <f>EOMONTH(Table1[[#This Row],[origination_date]],0)</f>
        <v>45351</v>
      </c>
      <c r="AQ95" s="2">
        <f>SUMIFS(Table1[loan_amount],Table1[origination month],Table1[[#This Row],[origination month]])</f>
        <v>10064700</v>
      </c>
      <c r="AR95" s="2">
        <f>AVERAGEIFS(Table1[months_on_book],Table1[product],Table1[[#This Row],[product]])</f>
        <v>20.262135922330096</v>
      </c>
      <c r="AS95" s="2" t="str">
        <f ca="1">IF(EDATE(Table1[[#This Row],[origination_date]],6) &gt;= TODAY(), "New Loan", "Old Loan")</f>
        <v>Old Loan</v>
      </c>
      <c r="AT95" s="2" t="str">
        <f>"Q"&amp;ROUNDUP(MONTH(Table1[[#This Row],[origination_date]])/3,0)&amp;YEAR(Table1[[#This Row],[origination_date]])</f>
        <v>Q12024</v>
      </c>
      <c r="AU95" s="2">
        <f>SUMIFS(Table1[loan_amount],Table1[quarter],Table1[[#This Row],[quarter]])</f>
        <v>48515800</v>
      </c>
      <c r="AV95" s="34" t="str">
        <f>_xlfn.TEXTJOIN("|",TRUE,Table1[[#This Row],[loan_id]:[loan_status]])</f>
        <v>L19696685|C2228721|45348|Auto Loan|Partner|Central|Self-Employed|240|242000|20.57|4220|262527|511|E|0.43|0.64|380500|22|92909|185596|0|0|0|Active</v>
      </c>
      <c r="AW95" s="42">
        <f>YEAR(Loan_Table[ [#This Row],[origination_date] ])</f>
        <v>2024</v>
      </c>
    </row>
    <row r="96" spans="2:60" ht="18" customHeight="1">
      <c r="B96" s="5" t="s">
        <v>312</v>
      </c>
      <c r="C96" s="2" t="s">
        <v>313</v>
      </c>
      <c r="D96" s="3">
        <v>45305</v>
      </c>
      <c r="E96" s="2" t="s">
        <v>177</v>
      </c>
      <c r="F96" s="2" t="s">
        <v>213</v>
      </c>
      <c r="G96" s="2" t="s">
        <v>145</v>
      </c>
      <c r="H96" s="2" t="s">
        <v>134</v>
      </c>
      <c r="I96" s="2">
        <v>360</v>
      </c>
      <c r="J96" s="2">
        <v>1233700</v>
      </c>
      <c r="K96" s="2">
        <v>21.39</v>
      </c>
      <c r="L96" s="2">
        <v>22029</v>
      </c>
      <c r="M96" s="2">
        <v>610346</v>
      </c>
      <c r="N96" s="2">
        <v>526</v>
      </c>
      <c r="O96" s="2" t="s">
        <v>166</v>
      </c>
      <c r="P96" s="2">
        <v>0.41</v>
      </c>
      <c r="Q96" s="2">
        <v>0.69</v>
      </c>
      <c r="R96" s="2">
        <v>0</v>
      </c>
      <c r="S96" s="2">
        <v>23</v>
      </c>
      <c r="T96" s="2">
        <v>462789</v>
      </c>
      <c r="U96" s="2">
        <v>973225</v>
      </c>
      <c r="V96" s="2">
        <v>0</v>
      </c>
      <c r="W96" s="2">
        <v>0</v>
      </c>
      <c r="X96" s="2">
        <v>0</v>
      </c>
      <c r="Y96" s="2" t="s">
        <v>148</v>
      </c>
      <c r="Z96" s="12">
        <f>SUMIF(Table1[product],Table1[[#This Row],[product]],Table1[loan_amount])</f>
        <v>62765800</v>
      </c>
      <c r="AA96" s="15">
        <f>SUMIF(Table1[region],Table1[[#This Row],[region]],Table1[current_balance])</f>
        <v>98928695</v>
      </c>
      <c r="AB96" s="2">
        <f>COUNTIF(Table1[loan_status],Table1[[#This Row],[loan_status]])</f>
        <v>301</v>
      </c>
      <c r="AC96" s="2">
        <f>COUNTIF(Table1[default_flag],1)/ROWS(Table1[loan_id])</f>
        <v>2.5999999999999999E-2</v>
      </c>
      <c r="AD96" s="2">
        <f>COUNTIFS(Table1[region],Table1[[#This Row],[region]],Table1[default_flag],1)/COUNTIF(Table1[region],Table1[[#This Row],[region]])</f>
        <v>2.8571428571428571E-2</v>
      </c>
      <c r="AE96" s="2">
        <f>COUNTIFS(Table1[channel],Table1[[#This Row],[channel]],Table1[prepayment_flag],1)/COUNTIF(Table1[channel],Table1[[#This Row],[channel]])</f>
        <v>0.12</v>
      </c>
      <c r="AF96" s="2">
        <f>AVERAGEIFS(Table1[interest_rate_pct],Table1[product],Table1[[#This Row],[product]],Table1[risk_band],Table1[[#This Row],[risk_band]])</f>
        <v>19.806666666666668</v>
      </c>
      <c r="AG96" s="2" t="str" cm="1">
        <f t="array" ref="AG96">_xlfn.IFS(Table1[[#This Row],[dti_ratio]] &lt; 0.2, " less than 0.2", Table1[[#This Row],[dti_ratio]] &lt; 0.3, "0.2 - 0.3", Table1[[#This Row],[dti_ratio]] &lt;= 0.5, "0.35 - 0.5", Table1[[#This Row],[dti_ratio]] &gt; 0.5, "greater than 0.5")</f>
        <v>0.35 - 0.5</v>
      </c>
      <c r="AH96" s="2">
        <f>COUNTIF(Table1[DTI band],Table1[[#This Row],[DTI band]])</f>
        <v>260</v>
      </c>
      <c r="AI96" s="2" t="str" cm="1">
        <f t="array" ref="AI96">_xlfn.IFS(Table1[[#This Row],[ltv_ratio]] &lt; 0.6, "less than 0.6 -less risky", Table1[[#This Row],[ltv_ratio]]  &lt;= 0.8, "0.6 - 0.8 -medium risky",Table1[[#This Row],[ltv_ratio]] &gt; 0.8, "greater than 0.8 -highly risky")</f>
        <v>0.6 - 0.8 -medium risky</v>
      </c>
      <c r="AJ96" s="2">
        <f>COUNTIF(Table1[LTV band],Table1[[#This Row],[LTV band]])</f>
        <v>302</v>
      </c>
      <c r="AK96" s="2">
        <f>COUNTIFS(Table1[count_loan_perband],Table1[[#This Row],[count_loan_perband]],Table1[default_flag],1)/COUNTIF(Table1[count_loan_perband],Table1[[#This Row],[count_loan_perband]])</f>
        <v>3.6423841059602648E-2</v>
      </c>
      <c r="AL96" s="2" t="str" cm="1">
        <f t="array" ref="AL96">_xlfn.IFS(Table1[[#This Row],[loan_amount]] &lt; 900000, "lower size (&lt; 9L)", Table1[[#This Row],[loan_amount]] &lt;=3300000, "medium size (&lt;=33L)", Table1[[#This Row],[loan_amount]] &gt; 3300000, "larger size (&gt; 33L)")</f>
        <v>medium size (&lt;=33L)</v>
      </c>
      <c r="AM96" s="2">
        <f>IF(Table1[[#This Row],[dpd]] &gt;=30,1,0)</f>
        <v>0</v>
      </c>
      <c r="AN96" s="2">
        <f>COUNTIFS(Table1[Loan size],Table1[[#This Row],[Loan size]],Table1[dpd flag],1)/COUNTIF(Table1[Loan size],Table1[[#This Row],[Loan size]])</f>
        <v>0.15909090909090909</v>
      </c>
      <c r="AO96" s="2" t="str">
        <f>IF(OR(Table1[[#This Row],[credit_score]] &lt; 600, Table1[ [#This Row],[dti_ratio] ] &gt; 0.5, Table1[[#This Row],[dpd]] &gt;=30), "high risk", " not riskY")</f>
        <v>high risk</v>
      </c>
      <c r="AP96" s="26">
        <f>EOMONTH(Table1[[#This Row],[origination_date]],0)</f>
        <v>45322</v>
      </c>
      <c r="AQ96" s="2">
        <f>SUMIFS(Table1[loan_amount],Table1[origination month],Table1[[#This Row],[origination month]])</f>
        <v>24741500</v>
      </c>
      <c r="AR96" s="2">
        <f>AVERAGEIFS(Table1[months_on_book],Table1[product],Table1[[#This Row],[product]])</f>
        <v>21.962962962962962</v>
      </c>
      <c r="AS96" s="2" t="str">
        <f ca="1">IF(EDATE(Table1[[#This Row],[origination_date]],6) &gt;= TODAY(), "New Loan", "Old Loan")</f>
        <v>Old Loan</v>
      </c>
      <c r="AT96" s="2" t="str">
        <f>"Q"&amp;ROUNDUP(MONTH(Table1[[#This Row],[origination_date]])/3,0)&amp;YEAR(Table1[[#This Row],[origination_date]])</f>
        <v>Q12024</v>
      </c>
      <c r="AU96" s="2">
        <f>SUMIFS(Table1[loan_amount],Table1[quarter],Table1[[#This Row],[quarter]])</f>
        <v>48515800</v>
      </c>
      <c r="AV96" s="34" t="str">
        <f>_xlfn.TEXTJOIN("|",TRUE,Table1[[#This Row],[loan_id]:[loan_status]])</f>
        <v>L87273812|C3129961|45305|Education Loan|Call Center|Central|Salaried|360|1233700|21.39|22029|610346|526|E|0.41|0.69|0|23|462789|973225|0|0|0|Active</v>
      </c>
      <c r="AW96" s="42">
        <f>YEAR(Loan_Table[ [#This Row],[origination_date] ])</f>
        <v>2024</v>
      </c>
      <c r="AY96" t="str" cm="1">
        <f t="array" ref="AY96:AY100">_xlfn.UNIQUE(Loan_Table[product])</f>
        <v>Personal Loan</v>
      </c>
      <c r="AZ96">
        <f>COUNTIF(Loan_Table[product], AY96)</f>
        <v>163</v>
      </c>
      <c r="BB96" t="str" cm="1">
        <f t="array" ref="BB96:BB99">_xlfn.UNIQUE(Loan_Table[employment_type])</f>
        <v>Salaried</v>
      </c>
      <c r="BC96">
        <f>COUNTIFS(Loan_Table[employment_type],BB96)</f>
        <v>300</v>
      </c>
    </row>
    <row r="97" spans="2:55" ht="18" customHeight="1">
      <c r="B97" s="5" t="s">
        <v>314</v>
      </c>
      <c r="C97" s="2" t="s">
        <v>315</v>
      </c>
      <c r="D97" s="3">
        <v>45301</v>
      </c>
      <c r="E97" s="2" t="s">
        <v>177</v>
      </c>
      <c r="F97" s="2" t="s">
        <v>159</v>
      </c>
      <c r="G97" s="2" t="s">
        <v>133</v>
      </c>
      <c r="H97" s="2" t="s">
        <v>134</v>
      </c>
      <c r="I97" s="2">
        <v>240</v>
      </c>
      <c r="J97" s="2">
        <v>2042500</v>
      </c>
      <c r="K97" s="2">
        <v>17.309999999999999</v>
      </c>
      <c r="L97" s="2">
        <v>30442</v>
      </c>
      <c r="M97" s="2">
        <v>1189510</v>
      </c>
      <c r="N97" s="2">
        <v>606</v>
      </c>
      <c r="O97" s="2" t="s">
        <v>147</v>
      </c>
      <c r="P97" s="2">
        <v>0.41</v>
      </c>
      <c r="Q97" s="2">
        <v>0.93</v>
      </c>
      <c r="R97" s="2">
        <v>0</v>
      </c>
      <c r="S97" s="2">
        <v>23</v>
      </c>
      <c r="T97" s="2">
        <v>670705</v>
      </c>
      <c r="U97" s="2">
        <v>1642855</v>
      </c>
      <c r="V97" s="2">
        <v>0</v>
      </c>
      <c r="W97" s="2">
        <v>0</v>
      </c>
      <c r="X97" s="2">
        <v>0</v>
      </c>
      <c r="Y97" s="2" t="s">
        <v>148</v>
      </c>
      <c r="Z97" s="12">
        <f>SUMIF(Table1[product],Table1[[#This Row],[product]],Table1[loan_amount])</f>
        <v>62765800</v>
      </c>
      <c r="AA97" s="15">
        <f>SUMIF(Table1[region],Table1[[#This Row],[region]],Table1[current_balance])</f>
        <v>94548000</v>
      </c>
      <c r="AB97" s="2">
        <f>COUNTIF(Table1[loan_status],Table1[[#This Row],[loan_status]])</f>
        <v>301</v>
      </c>
      <c r="AC97" s="2">
        <f>COUNTIF(Table1[default_flag],1)/ROWS(Table1[loan_id])</f>
        <v>2.5999999999999999E-2</v>
      </c>
      <c r="AD97" s="2">
        <f>COUNTIFS(Table1[region],Table1[[#This Row],[region]],Table1[default_flag],1)/COUNTIF(Table1[region],Table1[[#This Row],[region]])</f>
        <v>0</v>
      </c>
      <c r="AE97" s="2">
        <f>COUNTIFS(Table1[channel],Table1[[#This Row],[channel]],Table1[prepayment_flag],1)/COUNTIF(Table1[channel],Table1[[#This Row],[channel]])</f>
        <v>0.1</v>
      </c>
      <c r="AF97" s="2">
        <f>AVERAGEIFS(Table1[interest_rate_pct],Table1[product],Table1[[#This Row],[product]],Table1[risk_band],Table1[[#This Row],[risk_band]])</f>
        <v>15.810000000000002</v>
      </c>
      <c r="AG97" s="2" t="str" cm="1">
        <f t="array" ref="AG97">_xlfn.IFS(Table1[[#This Row],[dti_ratio]] &lt; 0.2, " less than 0.2", Table1[[#This Row],[dti_ratio]] &lt; 0.3, "0.2 - 0.3", Table1[[#This Row],[dti_ratio]] &lt;= 0.5, "0.35 - 0.5", Table1[[#This Row],[dti_ratio]] &gt; 0.5, "greater than 0.5")</f>
        <v>0.35 - 0.5</v>
      </c>
      <c r="AH97" s="2">
        <f>COUNTIF(Table1[DTI band],Table1[[#This Row],[DTI band]])</f>
        <v>260</v>
      </c>
      <c r="AI97" s="2" t="str" cm="1">
        <f t="array" ref="AI97">_xlfn.IFS(Table1[[#This Row],[ltv_ratio]] &lt; 0.6, "less than 0.6 -less risky", Table1[[#This Row],[ltv_ratio]]  &lt;= 0.8, "0.6 - 0.8 -medium risky",Table1[[#This Row],[ltv_ratio]] &gt; 0.8, "greater than 0.8 -highly risky")</f>
        <v>greater than 0.8 -highly risky</v>
      </c>
      <c r="AJ97" s="2">
        <f>COUNTIF(Table1[LTV band],Table1[[#This Row],[LTV band]])</f>
        <v>141</v>
      </c>
      <c r="AK97" s="2">
        <f>COUNTIFS(Table1[count_loan_perband],Table1[[#This Row],[count_loan_perband]],Table1[default_flag],1)/COUNTIF(Table1[count_loan_perband],Table1[[#This Row],[count_loan_perband]])</f>
        <v>1.4184397163120567E-2</v>
      </c>
      <c r="AL97" s="2" t="str" cm="1">
        <f t="array" ref="AL97">_xlfn.IFS(Table1[[#This Row],[loan_amount]] &lt; 900000, "lower size (&lt; 9L)", Table1[[#This Row],[loan_amount]] &lt;=3300000, "medium size (&lt;=33L)", Table1[[#This Row],[loan_amount]] &gt; 3300000, "larger size (&gt; 33L)")</f>
        <v>medium size (&lt;=33L)</v>
      </c>
      <c r="AM97" s="2">
        <f>IF(Table1[[#This Row],[dpd]] &gt;=30,1,0)</f>
        <v>0</v>
      </c>
      <c r="AN97" s="2">
        <f>COUNTIFS(Table1[Loan size],Table1[[#This Row],[Loan size]],Table1[dpd flag],1)/COUNTIF(Table1[Loan size],Table1[[#This Row],[Loan size]])</f>
        <v>0.15909090909090909</v>
      </c>
      <c r="AO97" s="2" t="str">
        <f>IF(OR(Table1[[#This Row],[credit_score]] &lt; 600, Table1[ [#This Row],[dti_ratio] ] &gt; 0.5, Table1[[#This Row],[dpd]] &gt;=30), "high risk", " not riskY")</f>
        <v xml:space="preserve"> not riskY</v>
      </c>
      <c r="AP97" s="26">
        <f>EOMONTH(Table1[[#This Row],[origination_date]],0)</f>
        <v>45322</v>
      </c>
      <c r="AQ97" s="2">
        <f>SUMIFS(Table1[loan_amount],Table1[origination month],Table1[[#This Row],[origination month]])</f>
        <v>24741500</v>
      </c>
      <c r="AR97" s="2">
        <f>AVERAGEIFS(Table1[months_on_book],Table1[product],Table1[[#This Row],[product]])</f>
        <v>21.962962962962962</v>
      </c>
      <c r="AS97" s="2" t="str">
        <f ca="1">IF(EDATE(Table1[[#This Row],[origination_date]],6) &gt;= TODAY(), "New Loan", "Old Loan")</f>
        <v>Old Loan</v>
      </c>
      <c r="AT97" s="2" t="str">
        <f>"Q"&amp;ROUNDUP(MONTH(Table1[[#This Row],[origination_date]])/3,0)&amp;YEAR(Table1[[#This Row],[origination_date]])</f>
        <v>Q12024</v>
      </c>
      <c r="AU97" s="2">
        <f>SUMIFS(Table1[loan_amount],Table1[quarter],Table1[[#This Row],[quarter]])</f>
        <v>48515800</v>
      </c>
      <c r="AV97" s="34" t="str">
        <f>_xlfn.TEXTJOIN("|",TRUE,Table1[[#This Row],[loan_id]:[loan_status]])</f>
        <v>L46574817|C6377005|45301|Education Loan|Partner|South|Salaried|240|2042500|17.31|30442|1189510|606|D|0.41|0.93|0|23|670705|1642855|0|0|0|Active</v>
      </c>
      <c r="AW97" s="42">
        <f>YEAR(Loan_Table[ [#This Row],[origination_date] ])</f>
        <v>2024</v>
      </c>
      <c r="AY97" t="str">
        <v>SME Loan</v>
      </c>
      <c r="AZ97">
        <f>COUNTIF(Loan_Table[product], AY97)</f>
        <v>87</v>
      </c>
      <c r="BB97" t="str">
        <v>Contract</v>
      </c>
      <c r="BC97">
        <f>COUNTIFS(Loan_Table[employment_type],BB97)</f>
        <v>57</v>
      </c>
    </row>
    <row r="98" spans="2:55" ht="18" customHeight="1">
      <c r="B98" s="5" t="s">
        <v>316</v>
      </c>
      <c r="C98" s="2" t="s">
        <v>317</v>
      </c>
      <c r="D98" s="3">
        <v>45357</v>
      </c>
      <c r="E98" s="2" t="s">
        <v>169</v>
      </c>
      <c r="F98" s="2" t="s">
        <v>144</v>
      </c>
      <c r="G98" s="2" t="s">
        <v>139</v>
      </c>
      <c r="H98" s="2" t="s">
        <v>134</v>
      </c>
      <c r="I98" s="2">
        <v>36</v>
      </c>
      <c r="J98" s="2">
        <v>5929900</v>
      </c>
      <c r="K98" s="2">
        <v>15.54</v>
      </c>
      <c r="L98" s="2">
        <v>207133</v>
      </c>
      <c r="M98" s="2">
        <v>1415695</v>
      </c>
      <c r="N98" s="2">
        <v>588</v>
      </c>
      <c r="O98" s="2" t="s">
        <v>166</v>
      </c>
      <c r="P98" s="2">
        <v>0.36</v>
      </c>
      <c r="Q98" s="2">
        <v>0.72</v>
      </c>
      <c r="R98" s="2">
        <v>8245600</v>
      </c>
      <c r="S98" s="2">
        <v>21</v>
      </c>
      <c r="T98" s="2">
        <v>3954559</v>
      </c>
      <c r="U98" s="2">
        <v>2620396</v>
      </c>
      <c r="V98" s="2">
        <v>5</v>
      </c>
      <c r="W98" s="2">
        <v>0</v>
      </c>
      <c r="X98" s="2">
        <v>0</v>
      </c>
      <c r="Y98" s="2" t="s">
        <v>148</v>
      </c>
      <c r="Z98" s="12">
        <f>SUMIF(Table1[product],Table1[[#This Row],[product]],Table1[loan_amount])</f>
        <v>403369500</v>
      </c>
      <c r="AA98" s="15">
        <f>SUMIF(Table1[region],Table1[[#This Row],[region]],Table1[current_balance])</f>
        <v>83903255</v>
      </c>
      <c r="AB98" s="2">
        <f>COUNTIF(Table1[loan_status],Table1[[#This Row],[loan_status]])</f>
        <v>301</v>
      </c>
      <c r="AC98" s="2">
        <f>COUNTIF(Table1[default_flag],1)/ROWS(Table1[loan_id])</f>
        <v>2.5999999999999999E-2</v>
      </c>
      <c r="AD98" s="2">
        <f>COUNTIFS(Table1[region],Table1[[#This Row],[region]],Table1[default_flag],1)/COUNTIF(Table1[region],Table1[[#This Row],[region]])</f>
        <v>4.2553191489361701E-2</v>
      </c>
      <c r="AE98" s="2">
        <f>COUNTIFS(Table1[channel],Table1[[#This Row],[channel]],Table1[prepayment_flag],1)/COUNTIF(Table1[channel],Table1[[#This Row],[channel]])</f>
        <v>5.8201058201058198E-2</v>
      </c>
      <c r="AF98" s="2">
        <f>AVERAGEIFS(Table1[interest_rate_pct],Table1[product],Table1[[#This Row],[product]],Table1[risk_band],Table1[[#This Row],[risk_band]])</f>
        <v>15.4275</v>
      </c>
      <c r="AG98" s="2" t="str" cm="1">
        <f t="array" ref="AG98">_xlfn.IFS(Table1[[#This Row],[dti_ratio]] &lt; 0.2, " less than 0.2", Table1[[#This Row],[dti_ratio]] &lt; 0.3, "0.2 - 0.3", Table1[[#This Row],[dti_ratio]] &lt;= 0.5, "0.35 - 0.5", Table1[[#This Row],[dti_ratio]] &gt; 0.5, "greater than 0.5")</f>
        <v>0.35 - 0.5</v>
      </c>
      <c r="AH98" s="2">
        <f>COUNTIF(Table1[DTI band],Table1[[#This Row],[DTI band]])</f>
        <v>260</v>
      </c>
      <c r="AI98" s="2" t="str" cm="1">
        <f t="array" ref="AI98">_xlfn.IFS(Table1[[#This Row],[ltv_ratio]] &lt; 0.6, "less than 0.6 -less risky", Table1[[#This Row],[ltv_ratio]]  &lt;= 0.8, "0.6 - 0.8 -medium risky",Table1[[#This Row],[ltv_ratio]] &gt; 0.8, "greater than 0.8 -highly risky")</f>
        <v>0.6 - 0.8 -medium risky</v>
      </c>
      <c r="AJ98" s="2">
        <f>COUNTIF(Table1[LTV band],Table1[[#This Row],[LTV band]])</f>
        <v>302</v>
      </c>
      <c r="AK98" s="2">
        <f>COUNTIFS(Table1[count_loan_perband],Table1[[#This Row],[count_loan_perband]],Table1[default_flag],1)/COUNTIF(Table1[count_loan_perband],Table1[[#This Row],[count_loan_perband]])</f>
        <v>3.6423841059602648E-2</v>
      </c>
      <c r="AL98" s="2" t="str" cm="1">
        <f t="array" ref="AL98">_xlfn.IFS(Table1[[#This Row],[loan_amount]] &lt; 900000, "lower size (&lt; 9L)", Table1[[#This Row],[loan_amount]] &lt;=3300000, "medium size (&lt;=33L)", Table1[[#This Row],[loan_amount]] &gt; 3300000, "larger size (&gt; 33L)")</f>
        <v>larger size (&gt; 33L)</v>
      </c>
      <c r="AM98" s="2">
        <f>IF(Table1[[#This Row],[dpd]] &gt;=30,1,0)</f>
        <v>0</v>
      </c>
      <c r="AN98" s="2">
        <f>COUNTIFS(Table1[Loan size],Table1[[#This Row],[Loan size]],Table1[dpd flag],1)/COUNTIF(Table1[Loan size],Table1[[#This Row],[Loan size]])</f>
        <v>0.16250000000000001</v>
      </c>
      <c r="AO98" s="2" t="str">
        <f>IF(OR(Table1[[#This Row],[credit_score]] &lt; 600, Table1[ [#This Row],[dti_ratio] ] &gt; 0.5, Table1[[#This Row],[dpd]] &gt;=30), "high risk", " not riskY")</f>
        <v>high risk</v>
      </c>
      <c r="AP98" s="26">
        <f>EOMONTH(Table1[[#This Row],[origination_date]],0)</f>
        <v>45382</v>
      </c>
      <c r="AQ98" s="2">
        <f>SUMIFS(Table1[loan_amount],Table1[origination month],Table1[[#This Row],[origination month]])</f>
        <v>13709600</v>
      </c>
      <c r="AR98" s="2">
        <f>AVERAGEIFS(Table1[months_on_book],Table1[product],Table1[[#This Row],[product]])</f>
        <v>20.516129032258064</v>
      </c>
      <c r="AS98" s="2" t="str">
        <f ca="1">IF(EDATE(Table1[[#This Row],[origination_date]],6) &gt;= TODAY(), "New Loan", "Old Loan")</f>
        <v>Old Loan</v>
      </c>
      <c r="AT98" s="2" t="str">
        <f>"Q"&amp;ROUNDUP(MONTH(Table1[[#This Row],[origination_date]])/3,0)&amp;YEAR(Table1[[#This Row],[origination_date]])</f>
        <v>Q12024</v>
      </c>
      <c r="AU98" s="2">
        <f>SUMIFS(Table1[loan_amount],Table1[quarter],Table1[[#This Row],[quarter]])</f>
        <v>48515800</v>
      </c>
      <c r="AV98" s="34" t="str">
        <f>_xlfn.TEXTJOIN("|",TRUE,Table1[[#This Row],[loan_id]:[loan_status]])</f>
        <v>L78849897|C5545484|45357|Home Loan|Branch|West|Salaried|36|5929900|15.54|207133|1415695|588|E|0.36|0.72|8245600|21|3954559|2620396|5|0|0|Active</v>
      </c>
      <c r="AW98" s="42">
        <f>YEAR(Loan_Table[ [#This Row],[origination_date] ])</f>
        <v>2024</v>
      </c>
      <c r="AY98" t="str">
        <v>Auto Loan</v>
      </c>
      <c r="AZ98">
        <f>COUNTIF(Loan_Table[product], AY98)</f>
        <v>103</v>
      </c>
      <c r="BB98" t="str">
        <v>Self-Employed</v>
      </c>
      <c r="BC98">
        <f>COUNTIFS(Loan_Table[employment_type],BB98)</f>
        <v>116</v>
      </c>
    </row>
    <row r="99" spans="2:55" ht="18" customHeight="1">
      <c r="B99" s="5" t="s">
        <v>318</v>
      </c>
      <c r="C99" s="2" t="s">
        <v>319</v>
      </c>
      <c r="D99" s="3">
        <v>45365</v>
      </c>
      <c r="E99" s="2" t="s">
        <v>177</v>
      </c>
      <c r="F99" s="2" t="s">
        <v>213</v>
      </c>
      <c r="G99" s="2" t="s">
        <v>145</v>
      </c>
      <c r="H99" s="2" t="s">
        <v>152</v>
      </c>
      <c r="I99" s="2">
        <v>18</v>
      </c>
      <c r="J99" s="2">
        <v>1421000</v>
      </c>
      <c r="K99" s="2">
        <v>12.29</v>
      </c>
      <c r="L99" s="2">
        <v>86847</v>
      </c>
      <c r="M99" s="2">
        <v>711982</v>
      </c>
      <c r="N99" s="2">
        <v>672</v>
      </c>
      <c r="O99" s="2" t="s">
        <v>140</v>
      </c>
      <c r="P99" s="2">
        <v>0.36</v>
      </c>
      <c r="Q99" s="2">
        <v>0.72</v>
      </c>
      <c r="R99" s="2">
        <v>0</v>
      </c>
      <c r="S99" s="2">
        <v>18</v>
      </c>
      <c r="T99" s="2">
        <v>1529651</v>
      </c>
      <c r="U99" s="2">
        <v>0</v>
      </c>
      <c r="V99" s="2">
        <v>0</v>
      </c>
      <c r="W99" s="2">
        <v>0</v>
      </c>
      <c r="X99" s="2">
        <v>0</v>
      </c>
      <c r="Y99" s="2" t="s">
        <v>141</v>
      </c>
      <c r="Z99" s="12">
        <f>SUMIF(Table1[product],Table1[[#This Row],[product]],Table1[loan_amount])</f>
        <v>62765800</v>
      </c>
      <c r="AA99" s="15">
        <f>SUMIF(Table1[region],Table1[[#This Row],[region]],Table1[current_balance])</f>
        <v>98928695</v>
      </c>
      <c r="AB99" s="2">
        <f>COUNTIF(Table1[loan_status],Table1[[#This Row],[loan_status]])</f>
        <v>139</v>
      </c>
      <c r="AC99" s="2">
        <f>COUNTIF(Table1[default_flag],1)/ROWS(Table1[loan_id])</f>
        <v>2.5999999999999999E-2</v>
      </c>
      <c r="AD99" s="2">
        <f>COUNTIFS(Table1[region],Table1[[#This Row],[region]],Table1[default_flag],1)/COUNTIF(Table1[region],Table1[[#This Row],[region]])</f>
        <v>2.8571428571428571E-2</v>
      </c>
      <c r="AE99" s="2">
        <f>COUNTIFS(Table1[channel],Table1[[#This Row],[channel]],Table1[prepayment_flag],1)/COUNTIF(Table1[channel],Table1[[#This Row],[channel]])</f>
        <v>0.12</v>
      </c>
      <c r="AF99" s="2">
        <f>AVERAGEIFS(Table1[interest_rate_pct],Table1[product],Table1[[#This Row],[product]],Table1[risk_band],Table1[[#This Row],[risk_band]])</f>
        <v>13.463888888888889</v>
      </c>
      <c r="AG99" s="2" t="str" cm="1">
        <f t="array" ref="AG99">_xlfn.IFS(Table1[[#This Row],[dti_ratio]] &lt; 0.2, " less than 0.2", Table1[[#This Row],[dti_ratio]] &lt; 0.3, "0.2 - 0.3", Table1[[#This Row],[dti_ratio]] &lt;= 0.5, "0.35 - 0.5", Table1[[#This Row],[dti_ratio]] &gt; 0.5, "greater than 0.5")</f>
        <v>0.35 - 0.5</v>
      </c>
      <c r="AH99" s="2">
        <f>COUNTIF(Table1[DTI band],Table1[[#This Row],[DTI band]])</f>
        <v>260</v>
      </c>
      <c r="AI99" s="2" t="str" cm="1">
        <f t="array" ref="AI99">_xlfn.IFS(Table1[[#This Row],[ltv_ratio]] &lt; 0.6, "less than 0.6 -less risky", Table1[[#This Row],[ltv_ratio]]  &lt;= 0.8, "0.6 - 0.8 -medium risky",Table1[[#This Row],[ltv_ratio]] &gt; 0.8, "greater than 0.8 -highly risky")</f>
        <v>0.6 - 0.8 -medium risky</v>
      </c>
      <c r="AJ99" s="2">
        <f>COUNTIF(Table1[LTV band],Table1[[#This Row],[LTV band]])</f>
        <v>302</v>
      </c>
      <c r="AK99" s="2">
        <f>COUNTIFS(Table1[count_loan_perband],Table1[[#This Row],[count_loan_perband]],Table1[default_flag],1)/COUNTIF(Table1[count_loan_perband],Table1[[#This Row],[count_loan_perband]])</f>
        <v>3.6423841059602648E-2</v>
      </c>
      <c r="AL99" s="2" t="str" cm="1">
        <f t="array" ref="AL99">_xlfn.IFS(Table1[[#This Row],[loan_amount]] &lt; 900000, "lower size (&lt; 9L)", Table1[[#This Row],[loan_amount]] &lt;=3300000, "medium size (&lt;=33L)", Table1[[#This Row],[loan_amount]] &gt; 3300000, "larger size (&gt; 33L)")</f>
        <v>medium size (&lt;=33L)</v>
      </c>
      <c r="AM99" s="2">
        <f>IF(Table1[[#This Row],[dpd]] &gt;=30,1,0)</f>
        <v>0</v>
      </c>
      <c r="AN99" s="2">
        <f>COUNTIFS(Table1[Loan size],Table1[[#This Row],[Loan size]],Table1[dpd flag],1)/COUNTIF(Table1[Loan size],Table1[[#This Row],[Loan size]])</f>
        <v>0.15909090909090909</v>
      </c>
      <c r="AO99" s="2" t="str">
        <f>IF(OR(Table1[[#This Row],[credit_score]] &lt; 600, Table1[ [#This Row],[dti_ratio] ] &gt; 0.5, Table1[[#This Row],[dpd]] &gt;=30), "high risk", " not riskY")</f>
        <v xml:space="preserve"> not riskY</v>
      </c>
      <c r="AP99" s="26">
        <f>EOMONTH(Table1[[#This Row],[origination_date]],0)</f>
        <v>45382</v>
      </c>
      <c r="AQ99" s="2">
        <f>SUMIFS(Table1[loan_amount],Table1[origination month],Table1[[#This Row],[origination month]])</f>
        <v>13709600</v>
      </c>
      <c r="AR99" s="2">
        <f>AVERAGEIFS(Table1[months_on_book],Table1[product],Table1[[#This Row],[product]])</f>
        <v>21.962962962962962</v>
      </c>
      <c r="AS99" s="2" t="str">
        <f ca="1">IF(EDATE(Table1[[#This Row],[origination_date]],6) &gt;= TODAY(), "New Loan", "Old Loan")</f>
        <v>Old Loan</v>
      </c>
      <c r="AT99" s="2" t="str">
        <f>"Q"&amp;ROUNDUP(MONTH(Table1[[#This Row],[origination_date]])/3,0)&amp;YEAR(Table1[[#This Row],[origination_date]])</f>
        <v>Q12024</v>
      </c>
      <c r="AU99" s="2">
        <f>SUMIFS(Table1[loan_amount],Table1[quarter],Table1[[#This Row],[quarter]])</f>
        <v>48515800</v>
      </c>
      <c r="AV99" s="34" t="str">
        <f>_xlfn.TEXTJOIN("|",TRUE,Table1[[#This Row],[loan_id]:[loan_status]])</f>
        <v>L21795197|C6843098|45365|Education Loan|Call Center|Central|Self-Employed|18|1421000|12.29|86847|711982|672|C|0.36|0.72|0|18|1529651|0|0|0|0|Closed</v>
      </c>
      <c r="AW99" s="42">
        <f>YEAR(Loan_Table[ [#This Row],[origination_date] ])</f>
        <v>2024</v>
      </c>
      <c r="AY99" t="str">
        <v>Home Loan</v>
      </c>
      <c r="AZ99">
        <f>COUNTIF(Loan_Table[product], AY99)</f>
        <v>93</v>
      </c>
      <c r="BB99" t="str">
        <v>Unemployed</v>
      </c>
      <c r="BC99">
        <f>COUNTIFS(Loan_Table[employment_type],BB99)</f>
        <v>27</v>
      </c>
    </row>
    <row r="100" spans="2:55" ht="18" customHeight="1">
      <c r="B100" s="5" t="s">
        <v>320</v>
      </c>
      <c r="C100" s="2" t="s">
        <v>321</v>
      </c>
      <c r="D100" s="3">
        <v>45313</v>
      </c>
      <c r="E100" s="2" t="s">
        <v>131</v>
      </c>
      <c r="F100" s="2" t="s">
        <v>132</v>
      </c>
      <c r="G100" s="2" t="s">
        <v>139</v>
      </c>
      <c r="H100" s="2" t="s">
        <v>134</v>
      </c>
      <c r="I100" s="2">
        <v>24</v>
      </c>
      <c r="J100" s="2">
        <v>666000</v>
      </c>
      <c r="K100" s="2">
        <v>18.559999999999999</v>
      </c>
      <c r="L100" s="2">
        <v>33430</v>
      </c>
      <c r="M100" s="2">
        <v>1132502</v>
      </c>
      <c r="N100" s="2">
        <v>725</v>
      </c>
      <c r="O100" s="2" t="s">
        <v>135</v>
      </c>
      <c r="P100" s="2">
        <v>0.35</v>
      </c>
      <c r="Q100" s="2">
        <v>0.61</v>
      </c>
      <c r="R100" s="2">
        <v>0</v>
      </c>
      <c r="S100" s="2">
        <v>23</v>
      </c>
      <c r="T100" s="2">
        <v>782682</v>
      </c>
      <c r="U100" s="2">
        <v>0</v>
      </c>
      <c r="V100" s="2">
        <v>30</v>
      </c>
      <c r="W100" s="2">
        <v>0</v>
      </c>
      <c r="X100" s="2">
        <v>0</v>
      </c>
      <c r="Y100" s="2" t="s">
        <v>141</v>
      </c>
      <c r="Z100" s="12">
        <f>SUMIF(Table1[product],Table1[[#This Row],[product]],Table1[loan_amount])</f>
        <v>74897600</v>
      </c>
      <c r="AA100" s="15">
        <f>SUMIF(Table1[region],Table1[[#This Row],[region]],Table1[current_balance])</f>
        <v>83903255</v>
      </c>
      <c r="AB100" s="2">
        <f>COUNTIF(Table1[loan_status],Table1[[#This Row],[loan_status]])</f>
        <v>139</v>
      </c>
      <c r="AC100" s="2">
        <f>COUNTIF(Table1[default_flag],1)/ROWS(Table1[loan_id])</f>
        <v>2.5999999999999999E-2</v>
      </c>
      <c r="AD100" s="2">
        <f>COUNTIFS(Table1[region],Table1[[#This Row],[region]],Table1[default_flag],1)/COUNTIF(Table1[region],Table1[[#This Row],[region]])</f>
        <v>4.2553191489361701E-2</v>
      </c>
      <c r="AE100" s="2">
        <f>COUNTIFS(Table1[channel],Table1[[#This Row],[channel]],Table1[prepayment_flag],1)/COUNTIF(Table1[channel],Table1[[#This Row],[channel]])</f>
        <v>7.1090047393364927E-2</v>
      </c>
      <c r="AF100" s="2">
        <f>AVERAGEIFS(Table1[interest_rate_pct],Table1[product],Table1[[#This Row],[product]],Table1[risk_band],Table1[[#This Row],[risk_band]])</f>
        <v>16.500166666666669</v>
      </c>
      <c r="AG100" s="2" t="str" cm="1">
        <f t="array" ref="AG100">_xlfn.IFS(Table1[[#This Row],[dti_ratio]] &lt; 0.2, " less than 0.2", Table1[[#This Row],[dti_ratio]] &lt; 0.3, "0.2 - 0.3", Table1[[#This Row],[dti_ratio]] &lt;= 0.5, "0.35 - 0.5", Table1[[#This Row],[dti_ratio]] &gt; 0.5, "greater than 0.5")</f>
        <v>0.35 - 0.5</v>
      </c>
      <c r="AH100" s="2">
        <f>COUNTIF(Table1[DTI band],Table1[[#This Row],[DTI band]])</f>
        <v>260</v>
      </c>
      <c r="AI100" s="2" t="str" cm="1">
        <f t="array" ref="AI100">_xlfn.IFS(Table1[[#This Row],[ltv_ratio]] &lt; 0.6, "less than 0.6 -less risky", Table1[[#This Row],[ltv_ratio]]  &lt;= 0.8, "0.6 - 0.8 -medium risky",Table1[[#This Row],[ltv_ratio]] &gt; 0.8, "greater than 0.8 -highly risky")</f>
        <v>0.6 - 0.8 -medium risky</v>
      </c>
      <c r="AJ100" s="2">
        <f>COUNTIF(Table1[LTV band],Table1[[#This Row],[LTV band]])</f>
        <v>302</v>
      </c>
      <c r="AK100" s="2">
        <f>COUNTIFS(Table1[count_loan_perband],Table1[[#This Row],[count_loan_perband]],Table1[default_flag],1)/COUNTIF(Table1[count_loan_perband],Table1[[#This Row],[count_loan_perband]])</f>
        <v>3.6423841059602648E-2</v>
      </c>
      <c r="AL100" s="2" t="str" cm="1">
        <f t="array" ref="AL100">_xlfn.IFS(Table1[[#This Row],[loan_amount]] &lt; 900000, "lower size (&lt; 9L)", Table1[[#This Row],[loan_amount]] &lt;=3300000, "medium size (&lt;=33L)", Table1[[#This Row],[loan_amount]] &gt; 3300000, "larger size (&gt; 33L)")</f>
        <v>lower size (&lt; 9L)</v>
      </c>
      <c r="AM100" s="2">
        <f>IF(Table1[[#This Row],[dpd]] &gt;=30,1,0)</f>
        <v>1</v>
      </c>
      <c r="AN100" s="2">
        <f>COUNTIFS(Table1[Loan size],Table1[[#This Row],[Loan size]],Table1[dpd flag],1)/COUNTIF(Table1[Loan size],Table1[[#This Row],[Loan size]])</f>
        <v>0.13934426229508196</v>
      </c>
      <c r="AO100" s="2" t="str">
        <f>IF(OR(Table1[[#This Row],[credit_score]] &lt; 600, Table1[ [#This Row],[dti_ratio] ] &gt; 0.5, Table1[[#This Row],[dpd]] &gt;=30), "high risk", " not riskY")</f>
        <v>high risk</v>
      </c>
      <c r="AP100" s="26">
        <f>EOMONTH(Table1[[#This Row],[origination_date]],0)</f>
        <v>45322</v>
      </c>
      <c r="AQ100" s="2">
        <f>SUMIFS(Table1[loan_amount],Table1[origination month],Table1[[#This Row],[origination month]])</f>
        <v>24741500</v>
      </c>
      <c r="AR100" s="2">
        <f>AVERAGEIFS(Table1[months_on_book],Table1[product],Table1[[#This Row],[product]])</f>
        <v>21.092024539877301</v>
      </c>
      <c r="AS100" s="2" t="str">
        <f ca="1">IF(EDATE(Table1[[#This Row],[origination_date]],6) &gt;= TODAY(), "New Loan", "Old Loan")</f>
        <v>Old Loan</v>
      </c>
      <c r="AT100" s="2" t="str">
        <f>"Q"&amp;ROUNDUP(MONTH(Table1[[#This Row],[origination_date]])/3,0)&amp;YEAR(Table1[[#This Row],[origination_date]])</f>
        <v>Q12024</v>
      </c>
      <c r="AU100" s="2">
        <f>SUMIFS(Table1[loan_amount],Table1[quarter],Table1[[#This Row],[quarter]])</f>
        <v>48515800</v>
      </c>
      <c r="AV100" s="34" t="str">
        <f>_xlfn.TEXTJOIN("|",TRUE,Table1[[#This Row],[loan_id]:[loan_status]])</f>
        <v>L42563134|C1810948|45313|Personal Loan|Online|West|Salaried|24|666000|18.56|33430|1132502|725|B|0.35|0.61|0|23|782682|0|30|0|0|Closed</v>
      </c>
      <c r="AW100" s="42">
        <f>YEAR(Loan_Table[ [#This Row],[origination_date] ])</f>
        <v>2024</v>
      </c>
      <c r="AY100" t="str">
        <v>Education Loan</v>
      </c>
      <c r="AZ100">
        <f>COUNTIF(Loan_Table[product], AY100)</f>
        <v>54</v>
      </c>
    </row>
    <row r="101" spans="2:55" ht="18" customHeight="1">
      <c r="B101" s="5" t="s">
        <v>322</v>
      </c>
      <c r="C101" s="2" t="s">
        <v>323</v>
      </c>
      <c r="D101" s="3">
        <v>45319</v>
      </c>
      <c r="E101" s="2" t="s">
        <v>169</v>
      </c>
      <c r="F101" s="2" t="s">
        <v>159</v>
      </c>
      <c r="G101" s="2" t="s">
        <v>170</v>
      </c>
      <c r="H101" s="2" t="s">
        <v>152</v>
      </c>
      <c r="I101" s="2">
        <v>72</v>
      </c>
      <c r="J101" s="2">
        <v>3131400</v>
      </c>
      <c r="K101" s="2">
        <v>12.54</v>
      </c>
      <c r="L101" s="2">
        <v>62102</v>
      </c>
      <c r="M101" s="2">
        <v>862363</v>
      </c>
      <c r="N101" s="2">
        <v>672</v>
      </c>
      <c r="O101" s="2" t="s">
        <v>140</v>
      </c>
      <c r="P101" s="2">
        <v>0.35</v>
      </c>
      <c r="Q101" s="2">
        <v>0.63</v>
      </c>
      <c r="R101" s="2">
        <v>4979600</v>
      </c>
      <c r="S101" s="2">
        <v>23</v>
      </c>
      <c r="T101" s="2">
        <v>1278108</v>
      </c>
      <c r="U101" s="2">
        <v>2154345</v>
      </c>
      <c r="V101" s="2">
        <v>0</v>
      </c>
      <c r="W101" s="2">
        <v>1</v>
      </c>
      <c r="X101" s="2">
        <v>0</v>
      </c>
      <c r="Y101" s="2" t="s">
        <v>141</v>
      </c>
      <c r="Z101" s="12">
        <f>SUMIF(Table1[product],Table1[[#This Row],[product]],Table1[loan_amount])</f>
        <v>403369500</v>
      </c>
      <c r="AA101" s="15">
        <f>SUMIF(Table1[region],Table1[[#This Row],[region]],Table1[current_balance])</f>
        <v>83297251</v>
      </c>
      <c r="AB101" s="2">
        <f>COUNTIF(Table1[loan_status],Table1[[#This Row],[loan_status]])</f>
        <v>139</v>
      </c>
      <c r="AC101" s="2">
        <f>COUNTIF(Table1[default_flag],1)/ROWS(Table1[loan_id])</f>
        <v>2.5999999999999999E-2</v>
      </c>
      <c r="AD101" s="2">
        <f>COUNTIFS(Table1[region],Table1[[#This Row],[region]],Table1[default_flag],1)/COUNTIF(Table1[region],Table1[[#This Row],[region]])</f>
        <v>3.1914893617021274E-2</v>
      </c>
      <c r="AE101" s="2">
        <f>COUNTIFS(Table1[channel],Table1[[#This Row],[channel]],Table1[prepayment_flag],1)/COUNTIF(Table1[channel],Table1[[#This Row],[channel]])</f>
        <v>0.1</v>
      </c>
      <c r="AF101" s="2">
        <f>AVERAGEIFS(Table1[interest_rate_pct],Table1[product],Table1[[#This Row],[product]],Table1[risk_band],Table1[[#This Row],[risk_band]])</f>
        <v>11.719736842105268</v>
      </c>
      <c r="AG101" s="2" t="str" cm="1">
        <f t="array" ref="AG101">_xlfn.IFS(Table1[[#This Row],[dti_ratio]] &lt; 0.2, " less than 0.2", Table1[[#This Row],[dti_ratio]] &lt; 0.3, "0.2 - 0.3", Table1[[#This Row],[dti_ratio]] &lt;= 0.5, "0.35 - 0.5", Table1[[#This Row],[dti_ratio]] &gt; 0.5, "greater than 0.5")</f>
        <v>0.35 - 0.5</v>
      </c>
      <c r="AH101" s="2">
        <f>COUNTIF(Table1[DTI band],Table1[[#This Row],[DTI band]])</f>
        <v>260</v>
      </c>
      <c r="AI101" s="2" t="str" cm="1">
        <f t="array" ref="AI101">_xlfn.IFS(Table1[[#This Row],[ltv_ratio]] &lt; 0.6, "less than 0.6 -less risky", Table1[[#This Row],[ltv_ratio]]  &lt;= 0.8, "0.6 - 0.8 -medium risky",Table1[[#This Row],[ltv_ratio]] &gt; 0.8, "greater than 0.8 -highly risky")</f>
        <v>0.6 - 0.8 -medium risky</v>
      </c>
      <c r="AJ101" s="2">
        <f>COUNTIF(Table1[LTV band],Table1[[#This Row],[LTV band]])</f>
        <v>302</v>
      </c>
      <c r="AK101" s="2">
        <f>COUNTIFS(Table1[count_loan_perband],Table1[[#This Row],[count_loan_perband]],Table1[default_flag],1)/COUNTIF(Table1[count_loan_perband],Table1[[#This Row],[count_loan_perband]])</f>
        <v>3.6423841059602648E-2</v>
      </c>
      <c r="AL101" s="2" t="str" cm="1">
        <f t="array" ref="AL101">_xlfn.IFS(Table1[[#This Row],[loan_amount]] &lt; 900000, "lower size (&lt; 9L)", Table1[[#This Row],[loan_amount]] &lt;=3300000, "medium size (&lt;=33L)", Table1[[#This Row],[loan_amount]] &gt; 3300000, "larger size (&gt; 33L)")</f>
        <v>medium size (&lt;=33L)</v>
      </c>
      <c r="AM101" s="2">
        <f>IF(Table1[[#This Row],[dpd]] &gt;=30,1,0)</f>
        <v>0</v>
      </c>
      <c r="AN101" s="2">
        <f>COUNTIFS(Table1[Loan size],Table1[[#This Row],[Loan size]],Table1[dpd flag],1)/COUNTIF(Table1[Loan size],Table1[[#This Row],[Loan size]])</f>
        <v>0.15909090909090909</v>
      </c>
      <c r="AO101" s="2" t="str">
        <f>IF(OR(Table1[[#This Row],[credit_score]] &lt; 600, Table1[ [#This Row],[dti_ratio] ] &gt; 0.5, Table1[[#This Row],[dpd]] &gt;=30), "high risk", " not riskY")</f>
        <v xml:space="preserve"> not riskY</v>
      </c>
      <c r="AP101" s="26">
        <f>EOMONTH(Table1[[#This Row],[origination_date]],0)</f>
        <v>45322</v>
      </c>
      <c r="AQ101" s="2">
        <f>SUMIFS(Table1[loan_amount],Table1[origination month],Table1[[#This Row],[origination month]])</f>
        <v>24741500</v>
      </c>
      <c r="AR101" s="2">
        <f>AVERAGEIFS(Table1[months_on_book],Table1[product],Table1[[#This Row],[product]])</f>
        <v>20.516129032258064</v>
      </c>
      <c r="AS101" s="2" t="str">
        <f ca="1">IF(EDATE(Table1[[#This Row],[origination_date]],6) &gt;= TODAY(), "New Loan", "Old Loan")</f>
        <v>Old Loan</v>
      </c>
      <c r="AT101" s="2" t="str">
        <f>"Q"&amp;ROUNDUP(MONTH(Table1[[#This Row],[origination_date]])/3,0)&amp;YEAR(Table1[[#This Row],[origination_date]])</f>
        <v>Q12024</v>
      </c>
      <c r="AU101" s="2">
        <f>SUMIFS(Table1[loan_amount],Table1[quarter],Table1[[#This Row],[quarter]])</f>
        <v>48515800</v>
      </c>
      <c r="AV101" s="34" t="str">
        <f>_xlfn.TEXTJOIN("|",TRUE,Table1[[#This Row],[loan_id]:[loan_status]])</f>
        <v>L26134147|C7389142|45319|Home Loan|Partner|East|Self-Employed|72|3131400|12.54|62102|862363|672|C|0.35|0.63|4979600|23|1278108|2154345|0|1|0|Closed</v>
      </c>
      <c r="AW101" s="42">
        <f>YEAR(Loan_Table[ [#This Row],[origination_date] ])</f>
        <v>2024</v>
      </c>
    </row>
    <row r="102" spans="2:55" ht="18" customHeight="1">
      <c r="B102" s="5" t="s">
        <v>324</v>
      </c>
      <c r="C102" s="2" t="s">
        <v>325</v>
      </c>
      <c r="D102" s="3">
        <v>45295</v>
      </c>
      <c r="E102" s="2" t="s">
        <v>163</v>
      </c>
      <c r="F102" s="2" t="s">
        <v>213</v>
      </c>
      <c r="G102" s="2" t="s">
        <v>170</v>
      </c>
      <c r="H102" s="2" t="s">
        <v>152</v>
      </c>
      <c r="I102" s="2">
        <v>72</v>
      </c>
      <c r="J102" s="2">
        <v>1352900</v>
      </c>
      <c r="K102" s="2">
        <v>10.49</v>
      </c>
      <c r="L102" s="2">
        <v>25399</v>
      </c>
      <c r="M102" s="2">
        <v>1006213</v>
      </c>
      <c r="N102" s="2">
        <v>718</v>
      </c>
      <c r="O102" s="2" t="s">
        <v>135</v>
      </c>
      <c r="P102" s="2">
        <v>0.33</v>
      </c>
      <c r="Q102" s="2">
        <v>0.69</v>
      </c>
      <c r="R102" s="2">
        <v>1959200</v>
      </c>
      <c r="S102" s="2">
        <v>23</v>
      </c>
      <c r="T102" s="2">
        <v>549543</v>
      </c>
      <c r="U102" s="2">
        <v>912162</v>
      </c>
      <c r="V102" s="2">
        <v>45</v>
      </c>
      <c r="W102" s="2">
        <v>0</v>
      </c>
      <c r="X102" s="2">
        <v>0</v>
      </c>
      <c r="Y102" s="2" t="s">
        <v>136</v>
      </c>
      <c r="Z102" s="12">
        <f>SUMIF(Table1[product],Table1[[#This Row],[product]],Table1[loan_amount])</f>
        <v>92273000</v>
      </c>
      <c r="AA102" s="15">
        <f>SUMIF(Table1[region],Table1[[#This Row],[region]],Table1[current_balance])</f>
        <v>83297251</v>
      </c>
      <c r="AB102" s="2">
        <f>COUNTIF(Table1[loan_status],Table1[[#This Row],[loan_status]])</f>
        <v>47</v>
      </c>
      <c r="AC102" s="2">
        <f>COUNTIF(Table1[default_flag],1)/ROWS(Table1[loan_id])</f>
        <v>2.5999999999999999E-2</v>
      </c>
      <c r="AD102" s="2">
        <f>COUNTIFS(Table1[region],Table1[[#This Row],[region]],Table1[default_flag],1)/COUNTIF(Table1[region],Table1[[#This Row],[region]])</f>
        <v>3.1914893617021274E-2</v>
      </c>
      <c r="AE102" s="2">
        <f>COUNTIFS(Table1[channel],Table1[[#This Row],[channel]],Table1[prepayment_flag],1)/COUNTIF(Table1[channel],Table1[[#This Row],[channel]])</f>
        <v>0.12</v>
      </c>
      <c r="AF102" s="2">
        <f>AVERAGEIFS(Table1[interest_rate_pct],Table1[product],Table1[[#This Row],[product]],Table1[risk_band],Table1[[#This Row],[risk_band]])</f>
        <v>10.611923076923079</v>
      </c>
      <c r="AG102" s="2" t="str" cm="1">
        <f t="array" ref="AG102">_xlfn.IFS(Table1[[#This Row],[dti_ratio]] &lt; 0.2, " less than 0.2", Table1[[#This Row],[dti_ratio]] &lt; 0.3, "0.2 - 0.3", Table1[[#This Row],[dti_ratio]] &lt;= 0.5, "0.35 - 0.5", Table1[[#This Row],[dti_ratio]] &gt; 0.5, "greater than 0.5")</f>
        <v>0.35 - 0.5</v>
      </c>
      <c r="AH102" s="2">
        <f>COUNTIF(Table1[DTI band],Table1[[#This Row],[DTI band]])</f>
        <v>260</v>
      </c>
      <c r="AI102" s="2" t="str" cm="1">
        <f t="array" ref="AI102">_xlfn.IFS(Table1[[#This Row],[ltv_ratio]] &lt; 0.6, "less than 0.6 -less risky", Table1[[#This Row],[ltv_ratio]]  &lt;= 0.8, "0.6 - 0.8 -medium risky",Table1[[#This Row],[ltv_ratio]] &gt; 0.8, "greater than 0.8 -highly risky")</f>
        <v>0.6 - 0.8 -medium risky</v>
      </c>
      <c r="AJ102" s="2">
        <f>COUNTIF(Table1[LTV band],Table1[[#This Row],[LTV band]])</f>
        <v>302</v>
      </c>
      <c r="AK102" s="2">
        <f>COUNTIFS(Table1[count_loan_perband],Table1[[#This Row],[count_loan_perband]],Table1[default_flag],1)/COUNTIF(Table1[count_loan_perband],Table1[[#This Row],[count_loan_perband]])</f>
        <v>3.6423841059602648E-2</v>
      </c>
      <c r="AL102" s="2" t="str" cm="1">
        <f t="array" ref="AL102">_xlfn.IFS(Table1[[#This Row],[loan_amount]] &lt; 900000, "lower size (&lt; 9L)", Table1[[#This Row],[loan_amount]] &lt;=3300000, "medium size (&lt;=33L)", Table1[[#This Row],[loan_amount]] &gt; 3300000, "larger size (&gt; 33L)")</f>
        <v>medium size (&lt;=33L)</v>
      </c>
      <c r="AM102" s="2">
        <f>IF(Table1[[#This Row],[dpd]] &gt;=30,1,0)</f>
        <v>1</v>
      </c>
      <c r="AN102" s="2">
        <f>COUNTIFS(Table1[Loan size],Table1[[#This Row],[Loan size]],Table1[dpd flag],1)/COUNTIF(Table1[Loan size],Table1[[#This Row],[Loan size]])</f>
        <v>0.15909090909090909</v>
      </c>
      <c r="AO102" s="2" t="str">
        <f>IF(OR(Table1[[#This Row],[credit_score]] &lt; 600, Table1[ [#This Row],[dti_ratio] ] &gt; 0.5, Table1[[#This Row],[dpd]] &gt;=30), "high risk", " not riskY")</f>
        <v>high risk</v>
      </c>
      <c r="AP102" s="26">
        <f>EOMONTH(Table1[[#This Row],[origination_date]],0)</f>
        <v>45322</v>
      </c>
      <c r="AQ102" s="2">
        <f>SUMIFS(Table1[loan_amount],Table1[origination month],Table1[[#This Row],[origination month]])</f>
        <v>24741500</v>
      </c>
      <c r="AR102" s="2">
        <f>AVERAGEIFS(Table1[months_on_book],Table1[product],Table1[[#This Row],[product]])</f>
        <v>20.262135922330096</v>
      </c>
      <c r="AS102" s="2" t="str">
        <f ca="1">IF(EDATE(Table1[[#This Row],[origination_date]],6) &gt;= TODAY(), "New Loan", "Old Loan")</f>
        <v>Old Loan</v>
      </c>
      <c r="AT102" s="2" t="str">
        <f>"Q"&amp;ROUNDUP(MONTH(Table1[[#This Row],[origination_date]])/3,0)&amp;YEAR(Table1[[#This Row],[origination_date]])</f>
        <v>Q12024</v>
      </c>
      <c r="AU102" s="2">
        <f>SUMIFS(Table1[loan_amount],Table1[quarter],Table1[[#This Row],[quarter]])</f>
        <v>48515800</v>
      </c>
      <c r="AV102" s="34" t="str">
        <f>_xlfn.TEXTJOIN("|",TRUE,Table1[[#This Row],[loan_id]:[loan_status]])</f>
        <v>L37085382|C4636309|45295|Auto Loan|Call Center|East|Self-Employed|72|1352900|10.49|25399|1006213|718|B|0.33|0.69|1959200|23|549543|912162|45|0|0|Delinquent</v>
      </c>
      <c r="AW102" s="42">
        <f>YEAR(Loan_Table[ [#This Row],[origination_date] ])</f>
        <v>2024</v>
      </c>
      <c r="AY102" t="str" cm="1">
        <f t="array" ref="AY102:AY105">_xlfn.UNIQUE(Loan_Table[channel])</f>
        <v>Online</v>
      </c>
      <c r="AZ102">
        <f>COUNTIF(Loan_Table[channel],AY102)</f>
        <v>211</v>
      </c>
    </row>
    <row r="103" spans="2:55" ht="18" customHeight="1">
      <c r="B103" s="5" t="s">
        <v>326</v>
      </c>
      <c r="C103" s="2" t="s">
        <v>327</v>
      </c>
      <c r="D103" s="3">
        <v>45350</v>
      </c>
      <c r="E103" s="2" t="s">
        <v>169</v>
      </c>
      <c r="F103" s="2" t="s">
        <v>132</v>
      </c>
      <c r="G103" s="2" t="s">
        <v>139</v>
      </c>
      <c r="H103" s="2" t="s">
        <v>134</v>
      </c>
      <c r="I103" s="2">
        <v>36</v>
      </c>
      <c r="J103" s="2">
        <v>6142300</v>
      </c>
      <c r="K103" s="2">
        <v>7</v>
      </c>
      <c r="L103" s="2">
        <v>189656</v>
      </c>
      <c r="M103" s="2">
        <v>1474931</v>
      </c>
      <c r="N103" s="2">
        <v>819</v>
      </c>
      <c r="O103" s="2" t="s">
        <v>160</v>
      </c>
      <c r="P103" s="2">
        <v>0.33</v>
      </c>
      <c r="Q103" s="2">
        <v>0.78</v>
      </c>
      <c r="R103" s="2">
        <v>7841500</v>
      </c>
      <c r="S103" s="2">
        <v>22</v>
      </c>
      <c r="T103" s="2">
        <v>3844035</v>
      </c>
      <c r="U103" s="2">
        <v>2613570</v>
      </c>
      <c r="V103" s="2">
        <v>0</v>
      </c>
      <c r="W103" s="2">
        <v>0</v>
      </c>
      <c r="X103" s="2">
        <v>0</v>
      </c>
      <c r="Y103" s="2" t="s">
        <v>148</v>
      </c>
      <c r="Z103" s="12">
        <f>SUMIF(Table1[product],Table1[[#This Row],[product]],Table1[loan_amount])</f>
        <v>403369500</v>
      </c>
      <c r="AA103" s="15">
        <f>SUMIF(Table1[region],Table1[[#This Row],[region]],Table1[current_balance])</f>
        <v>83903255</v>
      </c>
      <c r="AB103" s="2">
        <f>COUNTIF(Table1[loan_status],Table1[[#This Row],[loan_status]])</f>
        <v>301</v>
      </c>
      <c r="AC103" s="2">
        <f>COUNTIF(Table1[default_flag],1)/ROWS(Table1[loan_id])</f>
        <v>2.5999999999999999E-2</v>
      </c>
      <c r="AD103" s="2">
        <f>COUNTIFS(Table1[region],Table1[[#This Row],[region]],Table1[default_flag],1)/COUNTIF(Table1[region],Table1[[#This Row],[region]])</f>
        <v>4.2553191489361701E-2</v>
      </c>
      <c r="AE103" s="2">
        <f>COUNTIFS(Table1[channel],Table1[[#This Row],[channel]],Table1[prepayment_flag],1)/COUNTIF(Table1[channel],Table1[[#This Row],[channel]])</f>
        <v>7.1090047393364927E-2</v>
      </c>
      <c r="AF103" s="2">
        <f>AVERAGEIFS(Table1[interest_rate_pct],Table1[product],Table1[[#This Row],[product]],Table1[risk_band],Table1[[#This Row],[risk_band]])</f>
        <v>7.1876190476190471</v>
      </c>
      <c r="AG103" s="2" t="str" cm="1">
        <f t="array" ref="AG103">_xlfn.IFS(Table1[[#This Row],[dti_ratio]] &lt; 0.2, " less than 0.2", Table1[[#This Row],[dti_ratio]] &lt; 0.3, "0.2 - 0.3", Table1[[#This Row],[dti_ratio]] &lt;= 0.5, "0.35 - 0.5", Table1[[#This Row],[dti_ratio]] &gt; 0.5, "greater than 0.5")</f>
        <v>0.35 - 0.5</v>
      </c>
      <c r="AH103" s="2">
        <f>COUNTIF(Table1[DTI band],Table1[[#This Row],[DTI band]])</f>
        <v>260</v>
      </c>
      <c r="AI103" s="2" t="str" cm="1">
        <f t="array" ref="AI103">_xlfn.IFS(Table1[[#This Row],[ltv_ratio]] &lt; 0.6, "less than 0.6 -less risky", Table1[[#This Row],[ltv_ratio]]  &lt;= 0.8, "0.6 - 0.8 -medium risky",Table1[[#This Row],[ltv_ratio]] &gt; 0.8, "greater than 0.8 -highly risky")</f>
        <v>0.6 - 0.8 -medium risky</v>
      </c>
      <c r="AJ103" s="2">
        <f>COUNTIF(Table1[LTV band],Table1[[#This Row],[LTV band]])</f>
        <v>302</v>
      </c>
      <c r="AK103" s="2">
        <f>COUNTIFS(Table1[count_loan_perband],Table1[[#This Row],[count_loan_perband]],Table1[default_flag],1)/COUNTIF(Table1[count_loan_perband],Table1[[#This Row],[count_loan_perband]])</f>
        <v>3.6423841059602648E-2</v>
      </c>
      <c r="AL103" s="2" t="str" cm="1">
        <f t="array" ref="AL103">_xlfn.IFS(Table1[[#This Row],[loan_amount]] &lt; 900000, "lower size (&lt; 9L)", Table1[[#This Row],[loan_amount]] &lt;=3300000, "medium size (&lt;=33L)", Table1[[#This Row],[loan_amount]] &gt; 3300000, "larger size (&gt; 33L)")</f>
        <v>larger size (&gt; 33L)</v>
      </c>
      <c r="AM103" s="2">
        <f>IF(Table1[[#This Row],[dpd]] &gt;=30,1,0)</f>
        <v>0</v>
      </c>
      <c r="AN103" s="2">
        <f>COUNTIFS(Table1[Loan size],Table1[[#This Row],[Loan size]],Table1[dpd flag],1)/COUNTIF(Table1[Loan size],Table1[[#This Row],[Loan size]])</f>
        <v>0.16250000000000001</v>
      </c>
      <c r="AO103" s="2" t="str">
        <f>IF(OR(Table1[[#This Row],[credit_score]] &lt; 600, Table1[ [#This Row],[dti_ratio] ] &gt; 0.5, Table1[[#This Row],[dpd]] &gt;=30), "high risk", " not riskY")</f>
        <v xml:space="preserve"> not riskY</v>
      </c>
      <c r="AP103" s="26">
        <f>EOMONTH(Table1[[#This Row],[origination_date]],0)</f>
        <v>45351</v>
      </c>
      <c r="AQ103" s="2">
        <f>SUMIFS(Table1[loan_amount],Table1[origination month],Table1[[#This Row],[origination month]])</f>
        <v>10064700</v>
      </c>
      <c r="AR103" s="2">
        <f>AVERAGEIFS(Table1[months_on_book],Table1[product],Table1[[#This Row],[product]])</f>
        <v>20.516129032258064</v>
      </c>
      <c r="AS103" s="2" t="str">
        <f ca="1">IF(EDATE(Table1[[#This Row],[origination_date]],6) &gt;= TODAY(), "New Loan", "Old Loan")</f>
        <v>Old Loan</v>
      </c>
      <c r="AT103" s="2" t="str">
        <f>"Q"&amp;ROUNDUP(MONTH(Table1[[#This Row],[origination_date]])/3,0)&amp;YEAR(Table1[[#This Row],[origination_date]])</f>
        <v>Q12024</v>
      </c>
      <c r="AU103" s="2">
        <f>SUMIFS(Table1[loan_amount],Table1[quarter],Table1[[#This Row],[quarter]])</f>
        <v>48515800</v>
      </c>
      <c r="AV103" s="34" t="str">
        <f>_xlfn.TEXTJOIN("|",TRUE,Table1[[#This Row],[loan_id]:[loan_status]])</f>
        <v>L20700485|C5737389|45350|Home Loan|Online|West|Salaried|36|6142300|7|189656|1474931|819|A|0.33|0.78|7841500|22|3844035|2613570|0|0|0|Active</v>
      </c>
      <c r="AW103" s="42">
        <f>YEAR(Loan_Table[ [#This Row],[origination_date] ])</f>
        <v>2024</v>
      </c>
      <c r="AY103" t="str">
        <v>Branch</v>
      </c>
      <c r="AZ103">
        <f>COUNTIF(Loan_Table[channel],AY103)</f>
        <v>189</v>
      </c>
    </row>
    <row r="104" spans="2:55" ht="18" customHeight="1">
      <c r="B104" s="5" t="s">
        <v>328</v>
      </c>
      <c r="C104" s="2" t="s">
        <v>329</v>
      </c>
      <c r="D104" s="3">
        <v>45312</v>
      </c>
      <c r="E104" s="2" t="s">
        <v>163</v>
      </c>
      <c r="F104" s="2" t="s">
        <v>132</v>
      </c>
      <c r="G104" s="2" t="s">
        <v>145</v>
      </c>
      <c r="H104" s="2" t="s">
        <v>134</v>
      </c>
      <c r="I104" s="2">
        <v>60</v>
      </c>
      <c r="J104" s="2">
        <v>842500</v>
      </c>
      <c r="K104" s="2">
        <v>8.89</v>
      </c>
      <c r="L104" s="2">
        <v>17444</v>
      </c>
      <c r="M104" s="2">
        <v>1402598</v>
      </c>
      <c r="N104" s="2">
        <v>759</v>
      </c>
      <c r="O104" s="2" t="s">
        <v>160</v>
      </c>
      <c r="P104" s="2">
        <v>0.31</v>
      </c>
      <c r="Q104" s="2">
        <v>0.87</v>
      </c>
      <c r="R104" s="2">
        <v>973100</v>
      </c>
      <c r="S104" s="2">
        <v>23</v>
      </c>
      <c r="T104" s="2">
        <v>384839</v>
      </c>
      <c r="U104" s="2">
        <v>515083</v>
      </c>
      <c r="V104" s="2">
        <v>0</v>
      </c>
      <c r="W104" s="2">
        <v>0</v>
      </c>
      <c r="X104" s="2">
        <v>0</v>
      </c>
      <c r="Y104" s="2" t="s">
        <v>148</v>
      </c>
      <c r="Z104" s="12">
        <f>SUMIF(Table1[product],Table1[[#This Row],[product]],Table1[loan_amount])</f>
        <v>92273000</v>
      </c>
      <c r="AA104" s="15">
        <f>SUMIF(Table1[region],Table1[[#This Row],[region]],Table1[current_balance])</f>
        <v>98928695</v>
      </c>
      <c r="AB104" s="2">
        <f>COUNTIF(Table1[loan_status],Table1[[#This Row],[loan_status]])</f>
        <v>301</v>
      </c>
      <c r="AC104" s="2">
        <f>COUNTIF(Table1[default_flag],1)/ROWS(Table1[loan_id])</f>
        <v>2.5999999999999999E-2</v>
      </c>
      <c r="AD104" s="2">
        <f>COUNTIFS(Table1[region],Table1[[#This Row],[region]],Table1[default_flag],1)/COUNTIF(Table1[region],Table1[[#This Row],[region]])</f>
        <v>2.8571428571428571E-2</v>
      </c>
      <c r="AE104" s="2">
        <f>COUNTIFS(Table1[channel],Table1[[#This Row],[channel]],Table1[prepayment_flag],1)/COUNTIF(Table1[channel],Table1[[#This Row],[channel]])</f>
        <v>7.1090047393364927E-2</v>
      </c>
      <c r="AF104" s="2">
        <f>AVERAGEIFS(Table1[interest_rate_pct],Table1[product],Table1[[#This Row],[product]],Table1[risk_band],Table1[[#This Row],[risk_band]])</f>
        <v>7.9444999999999997</v>
      </c>
      <c r="AG104" s="2" t="str" cm="1">
        <f t="array" ref="AG104">_xlfn.IFS(Table1[[#This Row],[dti_ratio]] &lt; 0.2, " less than 0.2", Table1[[#This Row],[dti_ratio]] &lt; 0.3, "0.2 - 0.3", Table1[[#This Row],[dti_ratio]] &lt;= 0.5, "0.35 - 0.5", Table1[[#This Row],[dti_ratio]] &gt; 0.5, "greater than 0.5")</f>
        <v>0.35 - 0.5</v>
      </c>
      <c r="AH104" s="2">
        <f>COUNTIF(Table1[DTI band],Table1[[#This Row],[DTI band]])</f>
        <v>260</v>
      </c>
      <c r="AI104" s="2" t="str" cm="1">
        <f t="array" ref="AI104">_xlfn.IFS(Table1[[#This Row],[ltv_ratio]] &lt; 0.6, "less than 0.6 -less risky", Table1[[#This Row],[ltv_ratio]]  &lt;= 0.8, "0.6 - 0.8 -medium risky",Table1[[#This Row],[ltv_ratio]] &gt; 0.8, "greater than 0.8 -highly risky")</f>
        <v>greater than 0.8 -highly risky</v>
      </c>
      <c r="AJ104" s="2">
        <f>COUNTIF(Table1[LTV band],Table1[[#This Row],[LTV band]])</f>
        <v>141</v>
      </c>
      <c r="AK104" s="2">
        <f>COUNTIFS(Table1[count_loan_perband],Table1[[#This Row],[count_loan_perband]],Table1[default_flag],1)/COUNTIF(Table1[count_loan_perband],Table1[[#This Row],[count_loan_perband]])</f>
        <v>1.4184397163120567E-2</v>
      </c>
      <c r="AL104" s="2" t="str" cm="1">
        <f t="array" ref="AL104">_xlfn.IFS(Table1[[#This Row],[loan_amount]] &lt; 900000, "lower size (&lt; 9L)", Table1[[#This Row],[loan_amount]] &lt;=3300000, "medium size (&lt;=33L)", Table1[[#This Row],[loan_amount]] &gt; 3300000, "larger size (&gt; 33L)")</f>
        <v>lower size (&lt; 9L)</v>
      </c>
      <c r="AM104" s="2">
        <f>IF(Table1[[#This Row],[dpd]] &gt;=30,1,0)</f>
        <v>0</v>
      </c>
      <c r="AN104" s="2">
        <f>COUNTIFS(Table1[Loan size],Table1[[#This Row],[Loan size]],Table1[dpd flag],1)/COUNTIF(Table1[Loan size],Table1[[#This Row],[Loan size]])</f>
        <v>0.13934426229508196</v>
      </c>
      <c r="AO104" s="2" t="str">
        <f>IF(OR(Table1[[#This Row],[credit_score]] &lt; 600, Table1[ [#This Row],[dti_ratio] ] &gt; 0.5, Table1[[#This Row],[dpd]] &gt;=30), "high risk", " not riskY")</f>
        <v xml:space="preserve"> not riskY</v>
      </c>
      <c r="AP104" s="26">
        <f>EOMONTH(Table1[[#This Row],[origination_date]],0)</f>
        <v>45322</v>
      </c>
      <c r="AQ104" s="2">
        <f>SUMIFS(Table1[loan_amount],Table1[origination month],Table1[[#This Row],[origination month]])</f>
        <v>24741500</v>
      </c>
      <c r="AR104" s="2">
        <f>AVERAGEIFS(Table1[months_on_book],Table1[product],Table1[[#This Row],[product]])</f>
        <v>20.262135922330096</v>
      </c>
      <c r="AS104" s="2" t="str">
        <f ca="1">IF(EDATE(Table1[[#This Row],[origination_date]],6) &gt;= TODAY(), "New Loan", "Old Loan")</f>
        <v>Old Loan</v>
      </c>
      <c r="AT104" s="2" t="str">
        <f>"Q"&amp;ROUNDUP(MONTH(Table1[[#This Row],[origination_date]])/3,0)&amp;YEAR(Table1[[#This Row],[origination_date]])</f>
        <v>Q12024</v>
      </c>
      <c r="AU104" s="2">
        <f>SUMIFS(Table1[loan_amount],Table1[quarter],Table1[[#This Row],[quarter]])</f>
        <v>48515800</v>
      </c>
      <c r="AV104" s="34" t="str">
        <f>_xlfn.TEXTJOIN("|",TRUE,Table1[[#This Row],[loan_id]:[loan_status]])</f>
        <v>L27052422|C1443287|45312|Auto Loan|Online|Central|Salaried|60|842500|8.89|17444|1402598|759|A|0.31|0.87|973100|23|384839|515083|0|0|0|Active</v>
      </c>
      <c r="AW104" s="42">
        <f>YEAR(Loan_Table[ [#This Row],[origination_date] ])</f>
        <v>2024</v>
      </c>
      <c r="AY104" t="str">
        <v>Partner</v>
      </c>
      <c r="AZ104">
        <f>COUNTIF(Loan_Table[channel],AY104)</f>
        <v>50</v>
      </c>
    </row>
    <row r="105" spans="2:55" ht="18" customHeight="1">
      <c r="B105" s="5" t="s">
        <v>330</v>
      </c>
      <c r="C105" s="2" t="s">
        <v>331</v>
      </c>
      <c r="D105" s="3">
        <v>45355</v>
      </c>
      <c r="E105" s="2" t="s">
        <v>177</v>
      </c>
      <c r="F105" s="2" t="s">
        <v>144</v>
      </c>
      <c r="G105" s="2" t="s">
        <v>145</v>
      </c>
      <c r="H105" s="2" t="s">
        <v>134</v>
      </c>
      <c r="I105" s="2">
        <v>60</v>
      </c>
      <c r="J105" s="2">
        <v>1899500</v>
      </c>
      <c r="K105" s="2">
        <v>15.49</v>
      </c>
      <c r="L105" s="2">
        <v>45679</v>
      </c>
      <c r="M105" s="2">
        <v>997417</v>
      </c>
      <c r="N105" s="2">
        <v>624</v>
      </c>
      <c r="O105" s="2" t="s">
        <v>147</v>
      </c>
      <c r="P105" s="2">
        <v>0.31</v>
      </c>
      <c r="Q105" s="2">
        <v>0.78</v>
      </c>
      <c r="R105" s="2">
        <v>0</v>
      </c>
      <c r="S105" s="2">
        <v>21</v>
      </c>
      <c r="T105" s="2">
        <v>824421</v>
      </c>
      <c r="U105" s="2">
        <v>1281042</v>
      </c>
      <c r="V105" s="2">
        <v>0</v>
      </c>
      <c r="W105" s="2">
        <v>0</v>
      </c>
      <c r="X105" s="2">
        <v>0</v>
      </c>
      <c r="Y105" s="2" t="s">
        <v>148</v>
      </c>
      <c r="Z105" s="12">
        <f>SUMIF(Table1[product],Table1[[#This Row],[product]],Table1[loan_amount])</f>
        <v>62765800</v>
      </c>
      <c r="AA105" s="15">
        <f>SUMIF(Table1[region],Table1[[#This Row],[region]],Table1[current_balance])</f>
        <v>98928695</v>
      </c>
      <c r="AB105" s="2">
        <f>COUNTIF(Table1[loan_status],Table1[[#This Row],[loan_status]])</f>
        <v>301</v>
      </c>
      <c r="AC105" s="2">
        <f>COUNTIF(Table1[default_flag],1)/ROWS(Table1[loan_id])</f>
        <v>2.5999999999999999E-2</v>
      </c>
      <c r="AD105" s="2">
        <f>COUNTIFS(Table1[region],Table1[[#This Row],[region]],Table1[default_flag],1)/COUNTIF(Table1[region],Table1[[#This Row],[region]])</f>
        <v>2.8571428571428571E-2</v>
      </c>
      <c r="AE105" s="2">
        <f>COUNTIFS(Table1[channel],Table1[[#This Row],[channel]],Table1[prepayment_flag],1)/COUNTIF(Table1[channel],Table1[[#This Row],[channel]])</f>
        <v>5.8201058201058198E-2</v>
      </c>
      <c r="AF105" s="2">
        <f>AVERAGEIFS(Table1[interest_rate_pct],Table1[product],Table1[[#This Row],[product]],Table1[risk_band],Table1[[#This Row],[risk_band]])</f>
        <v>15.810000000000002</v>
      </c>
      <c r="AG105" s="2" t="str" cm="1">
        <f t="array" ref="AG105">_xlfn.IFS(Table1[[#This Row],[dti_ratio]] &lt; 0.2, " less than 0.2", Table1[[#This Row],[dti_ratio]] &lt; 0.3, "0.2 - 0.3", Table1[[#This Row],[dti_ratio]] &lt;= 0.5, "0.35 - 0.5", Table1[[#This Row],[dti_ratio]] &gt; 0.5, "greater than 0.5")</f>
        <v>0.35 - 0.5</v>
      </c>
      <c r="AH105" s="2">
        <f>COUNTIF(Table1[DTI band],Table1[[#This Row],[DTI band]])</f>
        <v>260</v>
      </c>
      <c r="AI105" s="2" t="str" cm="1">
        <f t="array" ref="AI105">_xlfn.IFS(Table1[[#This Row],[ltv_ratio]] &lt; 0.6, "less than 0.6 -less risky", Table1[[#This Row],[ltv_ratio]]  &lt;= 0.8, "0.6 - 0.8 -medium risky",Table1[[#This Row],[ltv_ratio]] &gt; 0.8, "greater than 0.8 -highly risky")</f>
        <v>0.6 - 0.8 -medium risky</v>
      </c>
      <c r="AJ105" s="2">
        <f>COUNTIF(Table1[LTV band],Table1[[#This Row],[LTV band]])</f>
        <v>302</v>
      </c>
      <c r="AK105" s="2">
        <f>COUNTIFS(Table1[count_loan_perband],Table1[[#This Row],[count_loan_perband]],Table1[default_flag],1)/COUNTIF(Table1[count_loan_perband],Table1[[#This Row],[count_loan_perband]])</f>
        <v>3.6423841059602648E-2</v>
      </c>
      <c r="AL105" s="2" t="str" cm="1">
        <f t="array" ref="AL105">_xlfn.IFS(Table1[[#This Row],[loan_amount]] &lt; 900000, "lower size (&lt; 9L)", Table1[[#This Row],[loan_amount]] &lt;=3300000, "medium size (&lt;=33L)", Table1[[#This Row],[loan_amount]] &gt; 3300000, "larger size (&gt; 33L)")</f>
        <v>medium size (&lt;=33L)</v>
      </c>
      <c r="AM105" s="2">
        <f>IF(Table1[[#This Row],[dpd]] &gt;=30,1,0)</f>
        <v>0</v>
      </c>
      <c r="AN105" s="2">
        <f>COUNTIFS(Table1[Loan size],Table1[[#This Row],[Loan size]],Table1[dpd flag],1)/COUNTIF(Table1[Loan size],Table1[[#This Row],[Loan size]])</f>
        <v>0.15909090909090909</v>
      </c>
      <c r="AO105" s="2" t="str">
        <f>IF(OR(Table1[[#This Row],[credit_score]] &lt; 600, Table1[ [#This Row],[dti_ratio] ] &gt; 0.5, Table1[[#This Row],[dpd]] &gt;=30), "high risk", " not riskY")</f>
        <v xml:space="preserve"> not riskY</v>
      </c>
      <c r="AP105" s="26">
        <f>EOMONTH(Table1[[#This Row],[origination_date]],0)</f>
        <v>45382</v>
      </c>
      <c r="AQ105" s="2">
        <f>SUMIFS(Table1[loan_amount],Table1[origination month],Table1[[#This Row],[origination month]])</f>
        <v>13709600</v>
      </c>
      <c r="AR105" s="2">
        <f>AVERAGEIFS(Table1[months_on_book],Table1[product],Table1[[#This Row],[product]])</f>
        <v>21.962962962962962</v>
      </c>
      <c r="AS105" s="2" t="str">
        <f ca="1">IF(EDATE(Table1[[#This Row],[origination_date]],6) &gt;= TODAY(), "New Loan", "Old Loan")</f>
        <v>Old Loan</v>
      </c>
      <c r="AT105" s="2" t="str">
        <f>"Q"&amp;ROUNDUP(MONTH(Table1[[#This Row],[origination_date]])/3,0)&amp;YEAR(Table1[[#This Row],[origination_date]])</f>
        <v>Q12024</v>
      </c>
      <c r="AU105" s="2">
        <f>SUMIFS(Table1[loan_amount],Table1[quarter],Table1[[#This Row],[quarter]])</f>
        <v>48515800</v>
      </c>
      <c r="AV105" s="34" t="str">
        <f>_xlfn.TEXTJOIN("|",TRUE,Table1[[#This Row],[loan_id]:[loan_status]])</f>
        <v>L90410197|C8615151|45355|Education Loan|Branch|Central|Salaried|60|1899500|15.49|45679|997417|624|D|0.31|0.78|0|21|824421|1281042|0|0|0|Active</v>
      </c>
      <c r="AW105" s="42">
        <f>YEAR(Loan_Table[ [#This Row],[origination_date] ])</f>
        <v>2024</v>
      </c>
      <c r="AY105" t="str">
        <v>Call Center</v>
      </c>
      <c r="AZ105">
        <f>COUNTIF(Loan_Table[channel],AY105)</f>
        <v>50</v>
      </c>
    </row>
    <row r="106" spans="2:55" ht="18" customHeight="1">
      <c r="B106" s="5" t="s">
        <v>332</v>
      </c>
      <c r="C106" s="2" t="s">
        <v>333</v>
      </c>
      <c r="D106" s="3">
        <v>45321</v>
      </c>
      <c r="E106" s="2" t="s">
        <v>177</v>
      </c>
      <c r="F106" s="2" t="s">
        <v>144</v>
      </c>
      <c r="G106" s="2" t="s">
        <v>139</v>
      </c>
      <c r="H106" s="2" t="s">
        <v>146</v>
      </c>
      <c r="I106" s="2">
        <v>120</v>
      </c>
      <c r="J106" s="2">
        <v>1141700</v>
      </c>
      <c r="K106" s="2">
        <v>7.97</v>
      </c>
      <c r="L106" s="2">
        <v>13834</v>
      </c>
      <c r="M106" s="2">
        <v>608358</v>
      </c>
      <c r="N106" s="2">
        <v>770</v>
      </c>
      <c r="O106" s="2" t="s">
        <v>160</v>
      </c>
      <c r="P106" s="2">
        <v>0.31</v>
      </c>
      <c r="Q106" s="2">
        <v>1.04</v>
      </c>
      <c r="R106" s="2">
        <v>0</v>
      </c>
      <c r="S106" s="2">
        <v>23</v>
      </c>
      <c r="T106" s="2">
        <v>281299</v>
      </c>
      <c r="U106" s="2">
        <v>930163</v>
      </c>
      <c r="V106" s="2">
        <v>0</v>
      </c>
      <c r="W106" s="2">
        <v>0</v>
      </c>
      <c r="X106" s="2">
        <v>0</v>
      </c>
      <c r="Y106" s="2" t="s">
        <v>148</v>
      </c>
      <c r="Z106" s="12">
        <f>SUMIF(Table1[product],Table1[[#This Row],[product]],Table1[loan_amount])</f>
        <v>62765800</v>
      </c>
      <c r="AA106" s="15">
        <f>SUMIF(Table1[region],Table1[[#This Row],[region]],Table1[current_balance])</f>
        <v>83903255</v>
      </c>
      <c r="AB106" s="2">
        <f>COUNTIF(Table1[loan_status],Table1[[#This Row],[loan_status]])</f>
        <v>301</v>
      </c>
      <c r="AC106" s="2">
        <f>COUNTIF(Table1[default_flag],1)/ROWS(Table1[loan_id])</f>
        <v>2.5999999999999999E-2</v>
      </c>
      <c r="AD106" s="2">
        <f>COUNTIFS(Table1[region],Table1[[#This Row],[region]],Table1[default_flag],1)/COUNTIF(Table1[region],Table1[[#This Row],[region]])</f>
        <v>4.2553191489361701E-2</v>
      </c>
      <c r="AE106" s="2">
        <f>COUNTIFS(Table1[channel],Table1[[#This Row],[channel]],Table1[prepayment_flag],1)/COUNTIF(Table1[channel],Table1[[#This Row],[channel]])</f>
        <v>5.8201058201058198E-2</v>
      </c>
      <c r="AF106" s="2">
        <f>AVERAGEIFS(Table1[interest_rate_pct],Table1[product],Table1[[#This Row],[product]],Table1[risk_band],Table1[[#This Row],[risk_band]])</f>
        <v>8.5057142857142871</v>
      </c>
      <c r="AG106" s="2" t="str" cm="1">
        <f t="array" ref="AG106">_xlfn.IFS(Table1[[#This Row],[dti_ratio]] &lt; 0.2, " less than 0.2", Table1[[#This Row],[dti_ratio]] &lt; 0.3, "0.2 - 0.3", Table1[[#This Row],[dti_ratio]] &lt;= 0.5, "0.35 - 0.5", Table1[[#This Row],[dti_ratio]] &gt; 0.5, "greater than 0.5")</f>
        <v>0.35 - 0.5</v>
      </c>
      <c r="AH106" s="2">
        <f>COUNTIF(Table1[DTI band],Table1[[#This Row],[DTI band]])</f>
        <v>260</v>
      </c>
      <c r="AI106" s="2" t="str" cm="1">
        <f t="array" ref="AI106">_xlfn.IFS(Table1[[#This Row],[ltv_ratio]] &lt; 0.6, "less than 0.6 -less risky", Table1[[#This Row],[ltv_ratio]]  &lt;= 0.8, "0.6 - 0.8 -medium risky",Table1[[#This Row],[ltv_ratio]] &gt; 0.8, "greater than 0.8 -highly risky")</f>
        <v>greater than 0.8 -highly risky</v>
      </c>
      <c r="AJ106" s="2">
        <f>COUNTIF(Table1[LTV band],Table1[[#This Row],[LTV band]])</f>
        <v>141</v>
      </c>
      <c r="AK106" s="2">
        <f>COUNTIFS(Table1[count_loan_perband],Table1[[#This Row],[count_loan_perband]],Table1[default_flag],1)/COUNTIF(Table1[count_loan_perband],Table1[[#This Row],[count_loan_perband]])</f>
        <v>1.4184397163120567E-2</v>
      </c>
      <c r="AL106" s="2" t="str" cm="1">
        <f t="array" ref="AL106">_xlfn.IFS(Table1[[#This Row],[loan_amount]] &lt; 900000, "lower size (&lt; 9L)", Table1[[#This Row],[loan_amount]] &lt;=3300000, "medium size (&lt;=33L)", Table1[[#This Row],[loan_amount]] &gt; 3300000, "larger size (&gt; 33L)")</f>
        <v>medium size (&lt;=33L)</v>
      </c>
      <c r="AM106" s="2">
        <f>IF(Table1[[#This Row],[dpd]] &gt;=30,1,0)</f>
        <v>0</v>
      </c>
      <c r="AN106" s="2">
        <f>COUNTIFS(Table1[Loan size],Table1[[#This Row],[Loan size]],Table1[dpd flag],1)/COUNTIF(Table1[Loan size],Table1[[#This Row],[Loan size]])</f>
        <v>0.15909090909090909</v>
      </c>
      <c r="AO106" s="2" t="str">
        <f>IF(OR(Table1[[#This Row],[credit_score]] &lt; 600, Table1[ [#This Row],[dti_ratio] ] &gt; 0.5, Table1[[#This Row],[dpd]] &gt;=30), "high risk", " not riskY")</f>
        <v xml:space="preserve"> not riskY</v>
      </c>
      <c r="AP106" s="26">
        <f>EOMONTH(Table1[[#This Row],[origination_date]],0)</f>
        <v>45322</v>
      </c>
      <c r="AQ106" s="2">
        <f>SUMIFS(Table1[loan_amount],Table1[origination month],Table1[[#This Row],[origination month]])</f>
        <v>24741500</v>
      </c>
      <c r="AR106" s="2">
        <f>AVERAGEIFS(Table1[months_on_book],Table1[product],Table1[[#This Row],[product]])</f>
        <v>21.962962962962962</v>
      </c>
      <c r="AS106" s="2" t="str">
        <f ca="1">IF(EDATE(Table1[[#This Row],[origination_date]],6) &gt;= TODAY(), "New Loan", "Old Loan")</f>
        <v>Old Loan</v>
      </c>
      <c r="AT106" s="2" t="str">
        <f>"Q"&amp;ROUNDUP(MONTH(Table1[[#This Row],[origination_date]])/3,0)&amp;YEAR(Table1[[#This Row],[origination_date]])</f>
        <v>Q12024</v>
      </c>
      <c r="AU106" s="2">
        <f>SUMIFS(Table1[loan_amount],Table1[quarter],Table1[[#This Row],[quarter]])</f>
        <v>48515800</v>
      </c>
      <c r="AV106" s="34" t="str">
        <f>_xlfn.TEXTJOIN("|",TRUE,Table1[[#This Row],[loan_id]:[loan_status]])</f>
        <v>L86806276|C5144473|45321|Education Loan|Branch|West|Contract|120|1141700|7.97|13834|608358|770|A|0.31|1.04|0|23|281299|930163|0|0|0|Active</v>
      </c>
      <c r="AW106" s="42">
        <f>YEAR(Loan_Table[ [#This Row],[origination_date] ])</f>
        <v>2024</v>
      </c>
    </row>
    <row r="107" spans="2:55" ht="18" customHeight="1">
      <c r="B107" s="5" t="s">
        <v>334</v>
      </c>
      <c r="C107" s="2" t="s">
        <v>335</v>
      </c>
      <c r="D107" s="3">
        <v>45333</v>
      </c>
      <c r="E107" s="2" t="s">
        <v>131</v>
      </c>
      <c r="F107" s="2" t="s">
        <v>144</v>
      </c>
      <c r="G107" s="2" t="s">
        <v>145</v>
      </c>
      <c r="H107" s="2" t="s">
        <v>146</v>
      </c>
      <c r="I107" s="2">
        <v>18</v>
      </c>
      <c r="J107" s="2">
        <v>565500</v>
      </c>
      <c r="K107" s="2">
        <v>20.309999999999999</v>
      </c>
      <c r="L107" s="2">
        <v>36708</v>
      </c>
      <c r="M107" s="2">
        <v>1018933</v>
      </c>
      <c r="N107" s="2">
        <v>656</v>
      </c>
      <c r="O107" s="2" t="s">
        <v>140</v>
      </c>
      <c r="P107" s="2">
        <v>0.31</v>
      </c>
      <c r="Q107" s="2">
        <v>0.69</v>
      </c>
      <c r="R107" s="2">
        <v>0</v>
      </c>
      <c r="S107" s="2">
        <v>18</v>
      </c>
      <c r="T107" s="2">
        <v>639297</v>
      </c>
      <c r="U107" s="2">
        <v>0</v>
      </c>
      <c r="V107" s="2">
        <v>0</v>
      </c>
      <c r="W107" s="2">
        <v>0</v>
      </c>
      <c r="X107" s="2">
        <v>0</v>
      </c>
      <c r="Y107" s="2" t="s">
        <v>141</v>
      </c>
      <c r="Z107" s="12">
        <f>SUMIF(Table1[product],Table1[[#This Row],[product]],Table1[loan_amount])</f>
        <v>74897600</v>
      </c>
      <c r="AA107" s="15">
        <f>SUMIF(Table1[region],Table1[[#This Row],[region]],Table1[current_balance])</f>
        <v>98928695</v>
      </c>
      <c r="AB107" s="2">
        <f>COUNTIF(Table1[loan_status],Table1[[#This Row],[loan_status]])</f>
        <v>139</v>
      </c>
      <c r="AC107" s="2">
        <f>COUNTIF(Table1[default_flag],1)/ROWS(Table1[loan_id])</f>
        <v>2.5999999999999999E-2</v>
      </c>
      <c r="AD107" s="2">
        <f>COUNTIFS(Table1[region],Table1[[#This Row],[region]],Table1[default_flag],1)/COUNTIF(Table1[region],Table1[[#This Row],[region]])</f>
        <v>2.8571428571428571E-2</v>
      </c>
      <c r="AE107" s="2">
        <f>COUNTIFS(Table1[channel],Table1[[#This Row],[channel]],Table1[prepayment_flag],1)/COUNTIF(Table1[channel],Table1[[#This Row],[channel]])</f>
        <v>5.8201058201058198E-2</v>
      </c>
      <c r="AF107" s="2">
        <f>AVERAGEIFS(Table1[interest_rate_pct],Table1[product],Table1[[#This Row],[product]],Table1[risk_band],Table1[[#This Row],[risk_band]])</f>
        <v>18.603181818181817</v>
      </c>
      <c r="AG107" s="2" t="str" cm="1">
        <f t="array" ref="AG107">_xlfn.IFS(Table1[[#This Row],[dti_ratio]] &lt; 0.2, " less than 0.2", Table1[[#This Row],[dti_ratio]] &lt; 0.3, "0.2 - 0.3", Table1[[#This Row],[dti_ratio]] &lt;= 0.5, "0.35 - 0.5", Table1[[#This Row],[dti_ratio]] &gt; 0.5, "greater than 0.5")</f>
        <v>0.35 - 0.5</v>
      </c>
      <c r="AH107" s="2">
        <f>COUNTIF(Table1[DTI band],Table1[[#This Row],[DTI band]])</f>
        <v>260</v>
      </c>
      <c r="AI107" s="2" t="str" cm="1">
        <f t="array" ref="AI107">_xlfn.IFS(Table1[[#This Row],[ltv_ratio]] &lt; 0.6, "less than 0.6 -less risky", Table1[[#This Row],[ltv_ratio]]  &lt;= 0.8, "0.6 - 0.8 -medium risky",Table1[[#This Row],[ltv_ratio]] &gt; 0.8, "greater than 0.8 -highly risky")</f>
        <v>0.6 - 0.8 -medium risky</v>
      </c>
      <c r="AJ107" s="2">
        <f>COUNTIF(Table1[LTV band],Table1[[#This Row],[LTV band]])</f>
        <v>302</v>
      </c>
      <c r="AK107" s="2">
        <f>COUNTIFS(Table1[count_loan_perband],Table1[[#This Row],[count_loan_perband]],Table1[default_flag],1)/COUNTIF(Table1[count_loan_perband],Table1[[#This Row],[count_loan_perband]])</f>
        <v>3.6423841059602648E-2</v>
      </c>
      <c r="AL107" s="2" t="str" cm="1">
        <f t="array" ref="AL107">_xlfn.IFS(Table1[[#This Row],[loan_amount]] &lt; 900000, "lower size (&lt; 9L)", Table1[[#This Row],[loan_amount]] &lt;=3300000, "medium size (&lt;=33L)", Table1[[#This Row],[loan_amount]] &gt; 3300000, "larger size (&gt; 33L)")</f>
        <v>lower size (&lt; 9L)</v>
      </c>
      <c r="AM107" s="2">
        <f>IF(Table1[[#This Row],[dpd]] &gt;=30,1,0)</f>
        <v>0</v>
      </c>
      <c r="AN107" s="2">
        <f>COUNTIFS(Table1[Loan size],Table1[[#This Row],[Loan size]],Table1[dpd flag],1)/COUNTIF(Table1[Loan size],Table1[[#This Row],[Loan size]])</f>
        <v>0.13934426229508196</v>
      </c>
      <c r="AO107" s="2" t="str">
        <f>IF(OR(Table1[[#This Row],[credit_score]] &lt; 600, Table1[ [#This Row],[dti_ratio] ] &gt; 0.5, Table1[[#This Row],[dpd]] &gt;=30), "high risk", " not riskY")</f>
        <v xml:space="preserve"> not riskY</v>
      </c>
      <c r="AP107" s="26">
        <f>EOMONTH(Table1[[#This Row],[origination_date]],0)</f>
        <v>45351</v>
      </c>
      <c r="AQ107" s="2">
        <f>SUMIFS(Table1[loan_amount],Table1[origination month],Table1[[#This Row],[origination month]])</f>
        <v>10064700</v>
      </c>
      <c r="AR107" s="2">
        <f>AVERAGEIFS(Table1[months_on_book],Table1[product],Table1[[#This Row],[product]])</f>
        <v>21.092024539877301</v>
      </c>
      <c r="AS107" s="2" t="str">
        <f ca="1">IF(EDATE(Table1[[#This Row],[origination_date]],6) &gt;= TODAY(), "New Loan", "Old Loan")</f>
        <v>Old Loan</v>
      </c>
      <c r="AT107" s="2" t="str">
        <f>"Q"&amp;ROUNDUP(MONTH(Table1[[#This Row],[origination_date]])/3,0)&amp;YEAR(Table1[[#This Row],[origination_date]])</f>
        <v>Q12024</v>
      </c>
      <c r="AU107" s="2">
        <f>SUMIFS(Table1[loan_amount],Table1[quarter],Table1[[#This Row],[quarter]])</f>
        <v>48515800</v>
      </c>
      <c r="AV107" s="34" t="str">
        <f>_xlfn.TEXTJOIN("|",TRUE,Table1[[#This Row],[loan_id]:[loan_status]])</f>
        <v>L41274928|C9539721|45333|Personal Loan|Branch|Central|Contract|18|565500|20.31|36708|1018933|656|C|0.31|0.69|0|18|639297|0|0|0|0|Closed</v>
      </c>
      <c r="AW107" s="42">
        <f>YEAR(Loan_Table[ [#This Row],[origination_date] ])</f>
        <v>2024</v>
      </c>
      <c r="AY107" t="str" cm="1">
        <f t="array" ref="AY107:AY111">_xlfn.UNIQUE(Loan_Table[region])</f>
        <v>South</v>
      </c>
      <c r="AZ107">
        <f>COUNTIF(Loan_Table[region],AY107)</f>
        <v>94</v>
      </c>
    </row>
    <row r="108" spans="2:55" ht="18" customHeight="1">
      <c r="B108" s="5" t="s">
        <v>336</v>
      </c>
      <c r="C108" s="2" t="s">
        <v>337</v>
      </c>
      <c r="D108" s="3">
        <v>45325</v>
      </c>
      <c r="E108" s="2" t="s">
        <v>163</v>
      </c>
      <c r="F108" s="2" t="s">
        <v>132</v>
      </c>
      <c r="G108" s="2" t="s">
        <v>145</v>
      </c>
      <c r="H108" s="2" t="s">
        <v>192</v>
      </c>
      <c r="I108" s="2">
        <v>360</v>
      </c>
      <c r="J108" s="2">
        <v>790700</v>
      </c>
      <c r="K108" s="2">
        <v>13.98</v>
      </c>
      <c r="L108" s="2">
        <v>9356</v>
      </c>
      <c r="M108" s="2">
        <v>1062924</v>
      </c>
      <c r="N108" s="2">
        <v>640</v>
      </c>
      <c r="O108" s="2" t="s">
        <v>147</v>
      </c>
      <c r="P108" s="2">
        <v>0.31</v>
      </c>
      <c r="Q108" s="2">
        <v>0.69</v>
      </c>
      <c r="R108" s="2">
        <v>1144600</v>
      </c>
      <c r="S108" s="2">
        <v>22</v>
      </c>
      <c r="T108" s="2">
        <v>180583</v>
      </c>
      <c r="U108" s="2">
        <v>691180</v>
      </c>
      <c r="V108" s="2">
        <v>0</v>
      </c>
      <c r="W108" s="2">
        <v>0</v>
      </c>
      <c r="X108" s="2">
        <v>0</v>
      </c>
      <c r="Y108" s="2" t="s">
        <v>148</v>
      </c>
      <c r="Z108" s="12">
        <f>SUMIF(Table1[product],Table1[[#This Row],[product]],Table1[loan_amount])</f>
        <v>92273000</v>
      </c>
      <c r="AA108" s="15">
        <f>SUMIF(Table1[region],Table1[[#This Row],[region]],Table1[current_balance])</f>
        <v>98928695</v>
      </c>
      <c r="AB108" s="2">
        <f>COUNTIF(Table1[loan_status],Table1[[#This Row],[loan_status]])</f>
        <v>301</v>
      </c>
      <c r="AC108" s="2">
        <f>COUNTIF(Table1[default_flag],1)/ROWS(Table1[loan_id])</f>
        <v>2.5999999999999999E-2</v>
      </c>
      <c r="AD108" s="2">
        <f>COUNTIFS(Table1[region],Table1[[#This Row],[region]],Table1[default_flag],1)/COUNTIF(Table1[region],Table1[[#This Row],[region]])</f>
        <v>2.8571428571428571E-2</v>
      </c>
      <c r="AE108" s="2">
        <f>COUNTIFS(Table1[channel],Table1[[#This Row],[channel]],Table1[prepayment_flag],1)/COUNTIF(Table1[channel],Table1[[#This Row],[channel]])</f>
        <v>7.1090047393364927E-2</v>
      </c>
      <c r="AF108" s="2">
        <f>AVERAGEIFS(Table1[interest_rate_pct],Table1[product],Table1[[#This Row],[product]],Table1[risk_band],Table1[[#This Row],[risk_band]])</f>
        <v>15.092000000000001</v>
      </c>
      <c r="AG108" s="2" t="str" cm="1">
        <f t="array" ref="AG108">_xlfn.IFS(Table1[[#This Row],[dti_ratio]] &lt; 0.2, " less than 0.2", Table1[[#This Row],[dti_ratio]] &lt; 0.3, "0.2 - 0.3", Table1[[#This Row],[dti_ratio]] &lt;= 0.5, "0.35 - 0.5", Table1[[#This Row],[dti_ratio]] &gt; 0.5, "greater than 0.5")</f>
        <v>0.35 - 0.5</v>
      </c>
      <c r="AH108" s="2">
        <f>COUNTIF(Table1[DTI band],Table1[[#This Row],[DTI band]])</f>
        <v>260</v>
      </c>
      <c r="AI108" s="2" t="str" cm="1">
        <f t="array" ref="AI108">_xlfn.IFS(Table1[[#This Row],[ltv_ratio]] &lt; 0.6, "less than 0.6 -less risky", Table1[[#This Row],[ltv_ratio]]  &lt;= 0.8, "0.6 - 0.8 -medium risky",Table1[[#This Row],[ltv_ratio]] &gt; 0.8, "greater than 0.8 -highly risky")</f>
        <v>0.6 - 0.8 -medium risky</v>
      </c>
      <c r="AJ108" s="2">
        <f>COUNTIF(Table1[LTV band],Table1[[#This Row],[LTV band]])</f>
        <v>302</v>
      </c>
      <c r="AK108" s="2">
        <f>COUNTIFS(Table1[count_loan_perband],Table1[[#This Row],[count_loan_perband]],Table1[default_flag],1)/COUNTIF(Table1[count_loan_perband],Table1[[#This Row],[count_loan_perband]])</f>
        <v>3.6423841059602648E-2</v>
      </c>
      <c r="AL108" s="2" t="str" cm="1">
        <f t="array" ref="AL108">_xlfn.IFS(Table1[[#This Row],[loan_amount]] &lt; 900000, "lower size (&lt; 9L)", Table1[[#This Row],[loan_amount]] &lt;=3300000, "medium size (&lt;=33L)", Table1[[#This Row],[loan_amount]] &gt; 3300000, "larger size (&gt; 33L)")</f>
        <v>lower size (&lt; 9L)</v>
      </c>
      <c r="AM108" s="2">
        <f>IF(Table1[[#This Row],[dpd]] &gt;=30,1,0)</f>
        <v>0</v>
      </c>
      <c r="AN108" s="2">
        <f>COUNTIFS(Table1[Loan size],Table1[[#This Row],[Loan size]],Table1[dpd flag],1)/COUNTIF(Table1[Loan size],Table1[[#This Row],[Loan size]])</f>
        <v>0.13934426229508196</v>
      </c>
      <c r="AO108" s="2" t="str">
        <f>IF(OR(Table1[[#This Row],[credit_score]] &lt; 600, Table1[ [#This Row],[dti_ratio] ] &gt; 0.5, Table1[[#This Row],[dpd]] &gt;=30), "high risk", " not riskY")</f>
        <v xml:space="preserve"> not riskY</v>
      </c>
      <c r="AP108" s="26">
        <f>EOMONTH(Table1[[#This Row],[origination_date]],0)</f>
        <v>45351</v>
      </c>
      <c r="AQ108" s="2">
        <f>SUMIFS(Table1[loan_amount],Table1[origination month],Table1[[#This Row],[origination month]])</f>
        <v>10064700</v>
      </c>
      <c r="AR108" s="2">
        <f>AVERAGEIFS(Table1[months_on_book],Table1[product],Table1[[#This Row],[product]])</f>
        <v>20.262135922330096</v>
      </c>
      <c r="AS108" s="2" t="str">
        <f ca="1">IF(EDATE(Table1[[#This Row],[origination_date]],6) &gt;= TODAY(), "New Loan", "Old Loan")</f>
        <v>Old Loan</v>
      </c>
      <c r="AT108" s="2" t="str">
        <f>"Q"&amp;ROUNDUP(MONTH(Table1[[#This Row],[origination_date]])/3,0)&amp;YEAR(Table1[[#This Row],[origination_date]])</f>
        <v>Q12024</v>
      </c>
      <c r="AU108" s="2">
        <f>SUMIFS(Table1[loan_amount],Table1[quarter],Table1[[#This Row],[quarter]])</f>
        <v>48515800</v>
      </c>
      <c r="AV108" s="34" t="str">
        <f>_xlfn.TEXTJOIN("|",TRUE,Table1[[#This Row],[loan_id]:[loan_status]])</f>
        <v>L84681076|C8689119|45325|Auto Loan|Online|Central|Unemployed|360|790700|13.98|9356|1062924|640|D|0.31|0.69|1144600|22|180583|691180|0|0|0|Active</v>
      </c>
      <c r="AW108" s="42">
        <f>YEAR(Loan_Table[ [#This Row],[origination_date] ])</f>
        <v>2025</v>
      </c>
      <c r="AY108" t="str">
        <v>West</v>
      </c>
      <c r="AZ108">
        <f>COUNTIF(Loan_Table[region],AY108)</f>
        <v>94</v>
      </c>
    </row>
    <row r="109" spans="2:55" ht="18" customHeight="1">
      <c r="B109" s="5" t="s">
        <v>338</v>
      </c>
      <c r="C109" s="2" t="s">
        <v>339</v>
      </c>
      <c r="D109" s="3">
        <v>45300</v>
      </c>
      <c r="E109" s="2" t="s">
        <v>163</v>
      </c>
      <c r="F109" s="2" t="s">
        <v>132</v>
      </c>
      <c r="G109" s="2" t="s">
        <v>145</v>
      </c>
      <c r="H109" s="2" t="s">
        <v>134</v>
      </c>
      <c r="I109" s="2">
        <v>48</v>
      </c>
      <c r="J109" s="2">
        <v>830700</v>
      </c>
      <c r="K109" s="2">
        <v>7.96</v>
      </c>
      <c r="L109" s="2">
        <v>20264</v>
      </c>
      <c r="M109" s="2">
        <v>712016</v>
      </c>
      <c r="N109" s="2">
        <v>758</v>
      </c>
      <c r="O109" s="2" t="s">
        <v>160</v>
      </c>
      <c r="P109" s="2">
        <v>0.28999999999999998</v>
      </c>
      <c r="Q109" s="2">
        <v>0.94</v>
      </c>
      <c r="R109" s="2">
        <v>882700</v>
      </c>
      <c r="S109" s="2">
        <v>23</v>
      </c>
      <c r="T109" s="2">
        <v>404246</v>
      </c>
      <c r="U109" s="2">
        <v>477149</v>
      </c>
      <c r="V109" s="2">
        <v>0</v>
      </c>
      <c r="W109" s="2">
        <v>0</v>
      </c>
      <c r="X109" s="2">
        <v>0</v>
      </c>
      <c r="Y109" s="2" t="s">
        <v>148</v>
      </c>
      <c r="Z109" s="12">
        <f>SUMIF(Table1[product],Table1[[#This Row],[product]],Table1[loan_amount])</f>
        <v>92273000</v>
      </c>
      <c r="AA109" s="15">
        <f>SUMIF(Table1[region],Table1[[#This Row],[region]],Table1[current_balance])</f>
        <v>98928695</v>
      </c>
      <c r="AB109" s="2">
        <f>COUNTIF(Table1[loan_status],Table1[[#This Row],[loan_status]])</f>
        <v>301</v>
      </c>
      <c r="AC109" s="2">
        <f>COUNTIF(Table1[default_flag],1)/ROWS(Table1[loan_id])</f>
        <v>2.5999999999999999E-2</v>
      </c>
      <c r="AD109" s="2">
        <f>COUNTIFS(Table1[region],Table1[[#This Row],[region]],Table1[default_flag],1)/COUNTIF(Table1[region],Table1[[#This Row],[region]])</f>
        <v>2.8571428571428571E-2</v>
      </c>
      <c r="AE109" s="2">
        <f>COUNTIFS(Table1[channel],Table1[[#This Row],[channel]],Table1[prepayment_flag],1)/COUNTIF(Table1[channel],Table1[[#This Row],[channel]])</f>
        <v>7.1090047393364927E-2</v>
      </c>
      <c r="AF109" s="2">
        <f>AVERAGEIFS(Table1[interest_rate_pct],Table1[product],Table1[[#This Row],[product]],Table1[risk_band],Table1[[#This Row],[risk_band]])</f>
        <v>7.9444999999999997</v>
      </c>
      <c r="AG109" s="2" t="str" cm="1">
        <f t="array" ref="AG109">_xlfn.IFS(Table1[[#This Row],[dti_ratio]] &lt; 0.2, " less than 0.2", Table1[[#This Row],[dti_ratio]] &lt; 0.3, "0.2 - 0.3", Table1[[#This Row],[dti_ratio]] &lt;= 0.5, "0.35 - 0.5", Table1[[#This Row],[dti_ratio]] &gt; 0.5, "greater than 0.5")</f>
        <v>0.2 - 0.3</v>
      </c>
      <c r="AH109" s="2">
        <f>COUNTIF(Table1[DTI band],Table1[[#This Row],[DTI band]])</f>
        <v>122</v>
      </c>
      <c r="AI109" s="2" t="str" cm="1">
        <f t="array" ref="AI109">_xlfn.IFS(Table1[[#This Row],[ltv_ratio]] &lt; 0.6, "less than 0.6 -less risky", Table1[[#This Row],[ltv_ratio]]  &lt;= 0.8, "0.6 - 0.8 -medium risky",Table1[[#This Row],[ltv_ratio]] &gt; 0.8, "greater than 0.8 -highly risky")</f>
        <v>greater than 0.8 -highly risky</v>
      </c>
      <c r="AJ109" s="2">
        <f>COUNTIF(Table1[LTV band],Table1[[#This Row],[LTV band]])</f>
        <v>141</v>
      </c>
      <c r="AK109" s="2">
        <f>COUNTIFS(Table1[count_loan_perband],Table1[[#This Row],[count_loan_perband]],Table1[default_flag],1)/COUNTIF(Table1[count_loan_perband],Table1[[#This Row],[count_loan_perband]])</f>
        <v>1.4184397163120567E-2</v>
      </c>
      <c r="AL109" s="2" t="str" cm="1">
        <f t="array" ref="AL109">_xlfn.IFS(Table1[[#This Row],[loan_amount]] &lt; 900000, "lower size (&lt; 9L)", Table1[[#This Row],[loan_amount]] &lt;=3300000, "medium size (&lt;=33L)", Table1[[#This Row],[loan_amount]] &gt; 3300000, "larger size (&gt; 33L)")</f>
        <v>lower size (&lt; 9L)</v>
      </c>
      <c r="AM109" s="2">
        <f>IF(Table1[[#This Row],[dpd]] &gt;=30,1,0)</f>
        <v>0</v>
      </c>
      <c r="AN109" s="2">
        <f>COUNTIFS(Table1[Loan size],Table1[[#This Row],[Loan size]],Table1[dpd flag],1)/COUNTIF(Table1[Loan size],Table1[[#This Row],[Loan size]])</f>
        <v>0.13934426229508196</v>
      </c>
      <c r="AO109" s="2" t="str">
        <f>IF(OR(Table1[[#This Row],[credit_score]] &lt; 600, Table1[ [#This Row],[dti_ratio] ] &gt; 0.5, Table1[[#This Row],[dpd]] &gt;=30), "high risk", " not riskY")</f>
        <v xml:space="preserve"> not riskY</v>
      </c>
      <c r="AP109" s="26">
        <f>EOMONTH(Table1[[#This Row],[origination_date]],0)</f>
        <v>45322</v>
      </c>
      <c r="AQ109" s="2">
        <f>SUMIFS(Table1[loan_amount],Table1[origination month],Table1[[#This Row],[origination month]])</f>
        <v>24741500</v>
      </c>
      <c r="AR109" s="2">
        <f>AVERAGEIFS(Table1[months_on_book],Table1[product],Table1[[#This Row],[product]])</f>
        <v>20.262135922330096</v>
      </c>
      <c r="AS109" s="2" t="str">
        <f ca="1">IF(EDATE(Table1[[#This Row],[origination_date]],6) &gt;= TODAY(), "New Loan", "Old Loan")</f>
        <v>Old Loan</v>
      </c>
      <c r="AT109" s="2" t="str">
        <f>"Q"&amp;ROUNDUP(MONTH(Table1[[#This Row],[origination_date]])/3,0)&amp;YEAR(Table1[[#This Row],[origination_date]])</f>
        <v>Q12024</v>
      </c>
      <c r="AU109" s="2">
        <f>SUMIFS(Table1[loan_amount],Table1[quarter],Table1[[#This Row],[quarter]])</f>
        <v>48515800</v>
      </c>
      <c r="AV109" s="34" t="str">
        <f>_xlfn.TEXTJOIN("|",TRUE,Table1[[#This Row],[loan_id]:[loan_status]])</f>
        <v>L19530766|C4706298|45300|Auto Loan|Online|Central|Salaried|48|830700|7.96|20264|712016|758|A|0.29|0.94|882700|23|404246|477149|0|0|0|Active</v>
      </c>
      <c r="AW109" s="42">
        <f>YEAR(Loan_Table[ [#This Row],[origination_date] ])</f>
        <v>2025</v>
      </c>
      <c r="AY109" t="str">
        <v>Central</v>
      </c>
      <c r="AZ109">
        <f>COUNTIF(Loan_Table[region],AY109)</f>
        <v>105</v>
      </c>
    </row>
    <row r="110" spans="2:55" ht="18" customHeight="1">
      <c r="B110" s="5" t="s">
        <v>340</v>
      </c>
      <c r="C110" s="2" t="s">
        <v>341</v>
      </c>
      <c r="D110" s="3">
        <v>45335</v>
      </c>
      <c r="E110" s="2" t="s">
        <v>131</v>
      </c>
      <c r="F110" s="2" t="s">
        <v>144</v>
      </c>
      <c r="G110" s="2" t="s">
        <v>139</v>
      </c>
      <c r="H110" s="2" t="s">
        <v>134</v>
      </c>
      <c r="I110" s="2">
        <v>84</v>
      </c>
      <c r="J110" s="2">
        <v>570800</v>
      </c>
      <c r="K110" s="2">
        <v>16.03</v>
      </c>
      <c r="L110" s="2">
        <v>11347</v>
      </c>
      <c r="M110" s="2">
        <v>539079</v>
      </c>
      <c r="N110" s="2">
        <v>741</v>
      </c>
      <c r="O110" s="2" t="s">
        <v>135</v>
      </c>
      <c r="P110" s="2">
        <v>0.28999999999999998</v>
      </c>
      <c r="Q110" s="2">
        <v>0.76</v>
      </c>
      <c r="R110" s="2">
        <v>0</v>
      </c>
      <c r="S110" s="2">
        <v>22</v>
      </c>
      <c r="T110" s="2">
        <v>237138</v>
      </c>
      <c r="U110" s="2">
        <v>400761</v>
      </c>
      <c r="V110" s="2">
        <v>30</v>
      </c>
      <c r="W110" s="2">
        <v>0</v>
      </c>
      <c r="X110" s="2">
        <v>0</v>
      </c>
      <c r="Y110" s="2" t="s">
        <v>136</v>
      </c>
      <c r="Z110" s="12">
        <f>SUMIF(Table1[product],Table1[[#This Row],[product]],Table1[loan_amount])</f>
        <v>74897600</v>
      </c>
      <c r="AA110" s="15">
        <f>SUMIF(Table1[region],Table1[[#This Row],[region]],Table1[current_balance])</f>
        <v>83903255</v>
      </c>
      <c r="AB110" s="2">
        <f>COUNTIF(Table1[loan_status],Table1[[#This Row],[loan_status]])</f>
        <v>47</v>
      </c>
      <c r="AC110" s="2">
        <f>COUNTIF(Table1[default_flag],1)/ROWS(Table1[loan_id])</f>
        <v>2.5999999999999999E-2</v>
      </c>
      <c r="AD110" s="2">
        <f>COUNTIFS(Table1[region],Table1[[#This Row],[region]],Table1[default_flag],1)/COUNTIF(Table1[region],Table1[[#This Row],[region]])</f>
        <v>4.2553191489361701E-2</v>
      </c>
      <c r="AE110" s="2">
        <f>COUNTIFS(Table1[channel],Table1[[#This Row],[channel]],Table1[prepayment_flag],1)/COUNTIF(Table1[channel],Table1[[#This Row],[channel]])</f>
        <v>5.8201058201058198E-2</v>
      </c>
      <c r="AF110" s="2">
        <f>AVERAGEIFS(Table1[interest_rate_pct],Table1[product],Table1[[#This Row],[product]],Table1[risk_band],Table1[[#This Row],[risk_band]])</f>
        <v>16.500166666666669</v>
      </c>
      <c r="AG110" s="2" t="str" cm="1">
        <f t="array" ref="AG110">_xlfn.IFS(Table1[[#This Row],[dti_ratio]] &lt; 0.2, " less than 0.2", Table1[[#This Row],[dti_ratio]] &lt; 0.3, "0.2 - 0.3", Table1[[#This Row],[dti_ratio]] &lt;= 0.5, "0.35 - 0.5", Table1[[#This Row],[dti_ratio]] &gt; 0.5, "greater than 0.5")</f>
        <v>0.2 - 0.3</v>
      </c>
      <c r="AH110" s="2">
        <f>COUNTIF(Table1[DTI band],Table1[[#This Row],[DTI band]])</f>
        <v>122</v>
      </c>
      <c r="AI110" s="2" t="str" cm="1">
        <f t="array" ref="AI110">_xlfn.IFS(Table1[[#This Row],[ltv_ratio]] &lt; 0.6, "less than 0.6 -less risky", Table1[[#This Row],[ltv_ratio]]  &lt;= 0.8, "0.6 - 0.8 -medium risky",Table1[[#This Row],[ltv_ratio]] &gt; 0.8, "greater than 0.8 -highly risky")</f>
        <v>0.6 - 0.8 -medium risky</v>
      </c>
      <c r="AJ110" s="2">
        <f>COUNTIF(Table1[LTV band],Table1[[#This Row],[LTV band]])</f>
        <v>302</v>
      </c>
      <c r="AK110" s="2">
        <f>COUNTIFS(Table1[count_loan_perband],Table1[[#This Row],[count_loan_perband]],Table1[default_flag],1)/COUNTIF(Table1[count_loan_perband],Table1[[#This Row],[count_loan_perband]])</f>
        <v>3.6423841059602648E-2</v>
      </c>
      <c r="AL110" s="2" t="str" cm="1">
        <f t="array" ref="AL110">_xlfn.IFS(Table1[[#This Row],[loan_amount]] &lt; 900000, "lower size (&lt; 9L)", Table1[[#This Row],[loan_amount]] &lt;=3300000, "medium size (&lt;=33L)", Table1[[#This Row],[loan_amount]] &gt; 3300000, "larger size (&gt; 33L)")</f>
        <v>lower size (&lt; 9L)</v>
      </c>
      <c r="AM110" s="2">
        <f>IF(Table1[[#This Row],[dpd]] &gt;=30,1,0)</f>
        <v>1</v>
      </c>
      <c r="AN110" s="2">
        <f>COUNTIFS(Table1[Loan size],Table1[[#This Row],[Loan size]],Table1[dpd flag],1)/COUNTIF(Table1[Loan size],Table1[[#This Row],[Loan size]])</f>
        <v>0.13934426229508196</v>
      </c>
      <c r="AO110" s="2" t="str">
        <f>IF(OR(Table1[[#This Row],[credit_score]] &lt; 600, Table1[ [#This Row],[dti_ratio] ] &gt; 0.5, Table1[[#This Row],[dpd]] &gt;=30), "high risk", " not riskY")</f>
        <v>high risk</v>
      </c>
      <c r="AP110" s="26">
        <f>EOMONTH(Table1[[#This Row],[origination_date]],0)</f>
        <v>45351</v>
      </c>
      <c r="AQ110" s="2">
        <f>SUMIFS(Table1[loan_amount],Table1[origination month],Table1[[#This Row],[origination month]])</f>
        <v>10064700</v>
      </c>
      <c r="AR110" s="2">
        <f>AVERAGEIFS(Table1[months_on_book],Table1[product],Table1[[#This Row],[product]])</f>
        <v>21.092024539877301</v>
      </c>
      <c r="AS110" s="2" t="str">
        <f ca="1">IF(EDATE(Table1[[#This Row],[origination_date]],6) &gt;= TODAY(), "New Loan", "Old Loan")</f>
        <v>Old Loan</v>
      </c>
      <c r="AT110" s="2" t="str">
        <f>"Q"&amp;ROUNDUP(MONTH(Table1[[#This Row],[origination_date]])/3,0)&amp;YEAR(Table1[[#This Row],[origination_date]])</f>
        <v>Q12024</v>
      </c>
      <c r="AU110" s="2">
        <f>SUMIFS(Table1[loan_amount],Table1[quarter],Table1[[#This Row],[quarter]])</f>
        <v>48515800</v>
      </c>
      <c r="AV110" s="34" t="str">
        <f>_xlfn.TEXTJOIN("|",TRUE,Table1[[#This Row],[loan_id]:[loan_status]])</f>
        <v>L33621446|C6670106|45335|Personal Loan|Branch|West|Salaried|84|570800|16.03|11347|539079|741|B|0.29|0.76|0|22|237138|400761|30|0|0|Delinquent</v>
      </c>
      <c r="AW110" s="42">
        <f>YEAR(Loan_Table[ [#This Row],[origination_date] ])</f>
        <v>2025</v>
      </c>
      <c r="AY110" t="str">
        <v>North</v>
      </c>
      <c r="AZ110">
        <f>COUNTIF(Loan_Table[region],AY110)</f>
        <v>113</v>
      </c>
    </row>
    <row r="111" spans="2:55" ht="18" customHeight="1">
      <c r="B111" s="5" t="s">
        <v>342</v>
      </c>
      <c r="C111" s="2" t="s">
        <v>343</v>
      </c>
      <c r="D111" s="3">
        <v>45304</v>
      </c>
      <c r="E111" s="2" t="s">
        <v>131</v>
      </c>
      <c r="F111" s="2" t="s">
        <v>144</v>
      </c>
      <c r="G111" s="2" t="s">
        <v>145</v>
      </c>
      <c r="H111" s="2" t="s">
        <v>134</v>
      </c>
      <c r="I111" s="2">
        <v>12</v>
      </c>
      <c r="J111" s="2">
        <v>236400</v>
      </c>
      <c r="K111" s="2">
        <v>16.899999999999999</v>
      </c>
      <c r="L111" s="2">
        <v>21550</v>
      </c>
      <c r="M111" s="2">
        <v>255165</v>
      </c>
      <c r="N111" s="2">
        <v>702</v>
      </c>
      <c r="O111" s="2" t="s">
        <v>135</v>
      </c>
      <c r="P111" s="2">
        <v>0.28999999999999998</v>
      </c>
      <c r="Q111" s="2">
        <v>0.66</v>
      </c>
      <c r="R111" s="2">
        <v>0</v>
      </c>
      <c r="S111" s="2">
        <v>12</v>
      </c>
      <c r="T111" s="2">
        <v>250330</v>
      </c>
      <c r="U111" s="2">
        <v>2051</v>
      </c>
      <c r="V111" s="2">
        <v>0</v>
      </c>
      <c r="W111" s="2">
        <v>0</v>
      </c>
      <c r="X111" s="2">
        <v>0</v>
      </c>
      <c r="Y111" s="2" t="s">
        <v>141</v>
      </c>
      <c r="Z111" s="12">
        <f>SUMIF(Table1[product],Table1[[#This Row],[product]],Table1[loan_amount])</f>
        <v>74897600</v>
      </c>
      <c r="AA111" s="15">
        <f>SUMIF(Table1[region],Table1[[#This Row],[region]],Table1[current_balance])</f>
        <v>98928695</v>
      </c>
      <c r="AB111" s="2">
        <f>COUNTIF(Table1[loan_status],Table1[[#This Row],[loan_status]])</f>
        <v>139</v>
      </c>
      <c r="AC111" s="2">
        <f>COUNTIF(Table1[default_flag],1)/ROWS(Table1[loan_id])</f>
        <v>2.5999999999999999E-2</v>
      </c>
      <c r="AD111" s="2">
        <f>COUNTIFS(Table1[region],Table1[[#This Row],[region]],Table1[default_flag],1)/COUNTIF(Table1[region],Table1[[#This Row],[region]])</f>
        <v>2.8571428571428571E-2</v>
      </c>
      <c r="AE111" s="2">
        <f>COUNTIFS(Table1[channel],Table1[[#This Row],[channel]],Table1[prepayment_flag],1)/COUNTIF(Table1[channel],Table1[[#This Row],[channel]])</f>
        <v>5.8201058201058198E-2</v>
      </c>
      <c r="AF111" s="2">
        <f>AVERAGEIFS(Table1[interest_rate_pct],Table1[product],Table1[[#This Row],[product]],Table1[risk_band],Table1[[#This Row],[risk_band]])</f>
        <v>16.500166666666669</v>
      </c>
      <c r="AG111" s="2" t="str" cm="1">
        <f t="array" ref="AG111">_xlfn.IFS(Table1[[#This Row],[dti_ratio]] &lt; 0.2, " less than 0.2", Table1[[#This Row],[dti_ratio]] &lt; 0.3, "0.2 - 0.3", Table1[[#This Row],[dti_ratio]] &lt;= 0.5, "0.35 - 0.5", Table1[[#This Row],[dti_ratio]] &gt; 0.5, "greater than 0.5")</f>
        <v>0.2 - 0.3</v>
      </c>
      <c r="AH111" s="2">
        <f>COUNTIF(Table1[DTI band],Table1[[#This Row],[DTI band]])</f>
        <v>122</v>
      </c>
      <c r="AI111" s="2" t="str" cm="1">
        <f t="array" ref="AI111">_xlfn.IFS(Table1[[#This Row],[ltv_ratio]] &lt; 0.6, "less than 0.6 -less risky", Table1[[#This Row],[ltv_ratio]]  &lt;= 0.8, "0.6 - 0.8 -medium risky",Table1[[#This Row],[ltv_ratio]] &gt; 0.8, "greater than 0.8 -highly risky")</f>
        <v>0.6 - 0.8 -medium risky</v>
      </c>
      <c r="AJ111" s="2">
        <f>COUNTIF(Table1[LTV band],Table1[[#This Row],[LTV band]])</f>
        <v>302</v>
      </c>
      <c r="AK111" s="2">
        <f>COUNTIFS(Table1[count_loan_perband],Table1[[#This Row],[count_loan_perband]],Table1[default_flag],1)/COUNTIF(Table1[count_loan_perband],Table1[[#This Row],[count_loan_perband]])</f>
        <v>3.6423841059602648E-2</v>
      </c>
      <c r="AL111" s="2" t="str" cm="1">
        <f t="array" ref="AL111">_xlfn.IFS(Table1[[#This Row],[loan_amount]] &lt; 900000, "lower size (&lt; 9L)", Table1[[#This Row],[loan_amount]] &lt;=3300000, "medium size (&lt;=33L)", Table1[[#This Row],[loan_amount]] &gt; 3300000, "larger size (&gt; 33L)")</f>
        <v>lower size (&lt; 9L)</v>
      </c>
      <c r="AM111" s="2">
        <f>IF(Table1[[#This Row],[dpd]] &gt;=30,1,0)</f>
        <v>0</v>
      </c>
      <c r="AN111" s="2">
        <f>COUNTIFS(Table1[Loan size],Table1[[#This Row],[Loan size]],Table1[dpd flag],1)/COUNTIF(Table1[Loan size],Table1[[#This Row],[Loan size]])</f>
        <v>0.13934426229508196</v>
      </c>
      <c r="AO111" s="2" t="str">
        <f>IF(OR(Table1[[#This Row],[credit_score]] &lt; 600, Table1[ [#This Row],[dti_ratio] ] &gt; 0.5, Table1[[#This Row],[dpd]] &gt;=30), "high risk", " not riskY")</f>
        <v xml:space="preserve"> not riskY</v>
      </c>
      <c r="AP111" s="26">
        <f>EOMONTH(Table1[[#This Row],[origination_date]],0)</f>
        <v>45322</v>
      </c>
      <c r="AQ111" s="2">
        <f>SUMIFS(Table1[loan_amount],Table1[origination month],Table1[[#This Row],[origination month]])</f>
        <v>24741500</v>
      </c>
      <c r="AR111" s="2">
        <f>AVERAGEIFS(Table1[months_on_book],Table1[product],Table1[[#This Row],[product]])</f>
        <v>21.092024539877301</v>
      </c>
      <c r="AS111" s="2" t="str">
        <f ca="1">IF(EDATE(Table1[[#This Row],[origination_date]],6) &gt;= TODAY(), "New Loan", "Old Loan")</f>
        <v>Old Loan</v>
      </c>
      <c r="AT111" s="2" t="str">
        <f>"Q"&amp;ROUNDUP(MONTH(Table1[[#This Row],[origination_date]])/3,0)&amp;YEAR(Table1[[#This Row],[origination_date]])</f>
        <v>Q12024</v>
      </c>
      <c r="AU111" s="2">
        <f>SUMIFS(Table1[loan_amount],Table1[quarter],Table1[[#This Row],[quarter]])</f>
        <v>48515800</v>
      </c>
      <c r="AV111" s="34" t="str">
        <f>_xlfn.TEXTJOIN("|",TRUE,Table1[[#This Row],[loan_id]:[loan_status]])</f>
        <v>L57383108|C9632291|45304|Personal Loan|Branch|Central|Salaried|12|236400|16.9|21550|255165|702|B|0.29|0.66|0|12|250330|2051|0|0|0|Closed</v>
      </c>
      <c r="AW111" s="42">
        <f>YEAR(Loan_Table[ [#This Row],[origination_date] ])</f>
        <v>2025</v>
      </c>
      <c r="AY111" t="str">
        <v>East</v>
      </c>
      <c r="AZ111">
        <f>COUNTIF(Loan_Table[region],AY111)</f>
        <v>94</v>
      </c>
    </row>
    <row r="112" spans="2:55" ht="18" customHeight="1">
      <c r="B112" s="5" t="s">
        <v>344</v>
      </c>
      <c r="C112" s="2" t="s">
        <v>345</v>
      </c>
      <c r="D112" s="3">
        <v>45311</v>
      </c>
      <c r="E112" s="2" t="s">
        <v>169</v>
      </c>
      <c r="F112" s="2" t="s">
        <v>144</v>
      </c>
      <c r="G112" s="2" t="s">
        <v>133</v>
      </c>
      <c r="H112" s="2" t="s">
        <v>134</v>
      </c>
      <c r="I112" s="2">
        <v>60</v>
      </c>
      <c r="J112" s="2">
        <v>8719200</v>
      </c>
      <c r="K112" s="2">
        <v>11.97</v>
      </c>
      <c r="L112" s="2">
        <v>193822</v>
      </c>
      <c r="M112" s="2">
        <v>1277653</v>
      </c>
      <c r="N112" s="2">
        <v>666</v>
      </c>
      <c r="O112" s="2" t="s">
        <v>140</v>
      </c>
      <c r="P112" s="2">
        <v>0.28999999999999998</v>
      </c>
      <c r="Q112" s="2">
        <v>0.64</v>
      </c>
      <c r="R112" s="2">
        <v>13683000</v>
      </c>
      <c r="S112" s="2">
        <v>23</v>
      </c>
      <c r="T112" s="2">
        <v>3916304</v>
      </c>
      <c r="U112" s="2">
        <v>5603057</v>
      </c>
      <c r="V112" s="2">
        <v>5</v>
      </c>
      <c r="W112" s="2">
        <v>0</v>
      </c>
      <c r="X112" s="2">
        <v>0</v>
      </c>
      <c r="Y112" s="2" t="s">
        <v>148</v>
      </c>
      <c r="Z112" s="12">
        <f>SUMIF(Table1[product],Table1[[#This Row],[product]],Table1[loan_amount])</f>
        <v>403369500</v>
      </c>
      <c r="AA112" s="15">
        <f>SUMIF(Table1[region],Table1[[#This Row],[region]],Table1[current_balance])</f>
        <v>94548000</v>
      </c>
      <c r="AB112" s="2">
        <f>COUNTIF(Table1[loan_status],Table1[[#This Row],[loan_status]])</f>
        <v>301</v>
      </c>
      <c r="AC112" s="2">
        <f>COUNTIF(Table1[default_flag],1)/ROWS(Table1[loan_id])</f>
        <v>2.5999999999999999E-2</v>
      </c>
      <c r="AD112" s="2">
        <f>COUNTIFS(Table1[region],Table1[[#This Row],[region]],Table1[default_flag],1)/COUNTIF(Table1[region],Table1[[#This Row],[region]])</f>
        <v>0</v>
      </c>
      <c r="AE112" s="2">
        <f>COUNTIFS(Table1[channel],Table1[[#This Row],[channel]],Table1[prepayment_flag],1)/COUNTIF(Table1[channel],Table1[[#This Row],[channel]])</f>
        <v>5.8201058201058198E-2</v>
      </c>
      <c r="AF112" s="2">
        <f>AVERAGEIFS(Table1[interest_rate_pct],Table1[product],Table1[[#This Row],[product]],Table1[risk_band],Table1[[#This Row],[risk_band]])</f>
        <v>11.719736842105268</v>
      </c>
      <c r="AG112" s="2" t="str" cm="1">
        <f t="array" ref="AG112">_xlfn.IFS(Table1[[#This Row],[dti_ratio]] &lt; 0.2, " less than 0.2", Table1[[#This Row],[dti_ratio]] &lt; 0.3, "0.2 - 0.3", Table1[[#This Row],[dti_ratio]] &lt;= 0.5, "0.35 - 0.5", Table1[[#This Row],[dti_ratio]] &gt; 0.5, "greater than 0.5")</f>
        <v>0.2 - 0.3</v>
      </c>
      <c r="AH112" s="2">
        <f>COUNTIF(Table1[DTI band],Table1[[#This Row],[DTI band]])</f>
        <v>122</v>
      </c>
      <c r="AI112" s="2" t="str" cm="1">
        <f t="array" ref="AI112">_xlfn.IFS(Table1[[#This Row],[ltv_ratio]] &lt; 0.6, "less than 0.6 -less risky", Table1[[#This Row],[ltv_ratio]]  &lt;= 0.8, "0.6 - 0.8 -medium risky",Table1[[#This Row],[ltv_ratio]] &gt; 0.8, "greater than 0.8 -highly risky")</f>
        <v>0.6 - 0.8 -medium risky</v>
      </c>
      <c r="AJ112" s="2">
        <f>COUNTIF(Table1[LTV band],Table1[[#This Row],[LTV band]])</f>
        <v>302</v>
      </c>
      <c r="AK112" s="2">
        <f>COUNTIFS(Table1[count_loan_perband],Table1[[#This Row],[count_loan_perband]],Table1[default_flag],1)/COUNTIF(Table1[count_loan_perband],Table1[[#This Row],[count_loan_perband]])</f>
        <v>3.6423841059602648E-2</v>
      </c>
      <c r="AL112" s="2" t="str" cm="1">
        <f t="array" ref="AL112">_xlfn.IFS(Table1[[#This Row],[loan_amount]] &lt; 900000, "lower size (&lt; 9L)", Table1[[#This Row],[loan_amount]] &lt;=3300000, "medium size (&lt;=33L)", Table1[[#This Row],[loan_amount]] &gt; 3300000, "larger size (&gt; 33L)")</f>
        <v>larger size (&gt; 33L)</v>
      </c>
      <c r="AM112" s="2">
        <f>IF(Table1[[#This Row],[dpd]] &gt;=30,1,0)</f>
        <v>0</v>
      </c>
      <c r="AN112" s="2">
        <f>COUNTIFS(Table1[Loan size],Table1[[#This Row],[Loan size]],Table1[dpd flag],1)/COUNTIF(Table1[Loan size],Table1[[#This Row],[Loan size]])</f>
        <v>0.16250000000000001</v>
      </c>
      <c r="AO112" s="2" t="str">
        <f>IF(OR(Table1[[#This Row],[credit_score]] &lt; 600, Table1[ [#This Row],[dti_ratio] ] &gt; 0.5, Table1[[#This Row],[dpd]] &gt;=30), "high risk", " not riskY")</f>
        <v xml:space="preserve"> not riskY</v>
      </c>
      <c r="AP112" s="26">
        <f>EOMONTH(Table1[[#This Row],[origination_date]],0)</f>
        <v>45322</v>
      </c>
      <c r="AQ112" s="2">
        <f>SUMIFS(Table1[loan_amount],Table1[origination month],Table1[[#This Row],[origination month]])</f>
        <v>24741500</v>
      </c>
      <c r="AR112" s="2">
        <f>AVERAGEIFS(Table1[months_on_book],Table1[product],Table1[[#This Row],[product]])</f>
        <v>20.516129032258064</v>
      </c>
      <c r="AS112" s="2" t="str">
        <f ca="1">IF(EDATE(Table1[[#This Row],[origination_date]],6) &gt;= TODAY(), "New Loan", "Old Loan")</f>
        <v>Old Loan</v>
      </c>
      <c r="AT112" s="2" t="str">
        <f>"Q"&amp;ROUNDUP(MONTH(Table1[[#This Row],[origination_date]])/3,0)&amp;YEAR(Table1[[#This Row],[origination_date]])</f>
        <v>Q12024</v>
      </c>
      <c r="AU112" s="2">
        <f>SUMIFS(Table1[loan_amount],Table1[quarter],Table1[[#This Row],[quarter]])</f>
        <v>48515800</v>
      </c>
      <c r="AV112" s="34" t="str">
        <f>_xlfn.TEXTJOIN("|",TRUE,Table1[[#This Row],[loan_id]:[loan_status]])</f>
        <v>L19771816|C1397539|45311|Home Loan|Branch|South|Salaried|60|8719200|11.97|193822|1277653|666|C|0.29|0.64|13683000|23|3916304|5603057|5|0|0|Active</v>
      </c>
      <c r="AW112" s="42">
        <f>YEAR(Loan_Table[ [#This Row],[origination_date] ])</f>
        <v>2025</v>
      </c>
    </row>
    <row r="113" spans="2:49" ht="18" customHeight="1">
      <c r="B113" s="5" t="s">
        <v>346</v>
      </c>
      <c r="C113" s="2" t="s">
        <v>347</v>
      </c>
      <c r="D113" s="3">
        <v>45297</v>
      </c>
      <c r="E113" s="2" t="s">
        <v>131</v>
      </c>
      <c r="F113" s="2" t="s">
        <v>213</v>
      </c>
      <c r="G113" s="2" t="s">
        <v>151</v>
      </c>
      <c r="H113" s="2" t="s">
        <v>152</v>
      </c>
      <c r="I113" s="2">
        <v>72</v>
      </c>
      <c r="J113" s="2">
        <v>266600</v>
      </c>
      <c r="K113" s="2">
        <v>21.55</v>
      </c>
      <c r="L113" s="2">
        <v>6628</v>
      </c>
      <c r="M113" s="2">
        <v>1387225</v>
      </c>
      <c r="N113" s="2">
        <v>615</v>
      </c>
      <c r="O113" s="2" t="s">
        <v>147</v>
      </c>
      <c r="P113" s="2">
        <v>0.26</v>
      </c>
      <c r="Q113" s="2">
        <v>0.82</v>
      </c>
      <c r="R113" s="2">
        <v>0</v>
      </c>
      <c r="S113" s="2">
        <v>23</v>
      </c>
      <c r="T113" s="2">
        <v>134599</v>
      </c>
      <c r="U113" s="2">
        <v>176048</v>
      </c>
      <c r="V113" s="2">
        <v>0</v>
      </c>
      <c r="W113" s="2">
        <v>0</v>
      </c>
      <c r="X113" s="2">
        <v>0</v>
      </c>
      <c r="Y113" s="2" t="s">
        <v>148</v>
      </c>
      <c r="Z113" s="12">
        <f>SUMIF(Table1[product],Table1[[#This Row],[product]],Table1[loan_amount])</f>
        <v>74897600</v>
      </c>
      <c r="AA113" s="15">
        <f>SUMIF(Table1[region],Table1[[#This Row],[region]],Table1[current_balance])</f>
        <v>105779369</v>
      </c>
      <c r="AB113" s="2">
        <f>COUNTIF(Table1[loan_status],Table1[[#This Row],[loan_status]])</f>
        <v>301</v>
      </c>
      <c r="AC113" s="2">
        <f>COUNTIF(Table1[default_flag],1)/ROWS(Table1[loan_id])</f>
        <v>2.5999999999999999E-2</v>
      </c>
      <c r="AD113" s="2">
        <f>COUNTIFS(Table1[region],Table1[[#This Row],[region]],Table1[default_flag],1)/COUNTIF(Table1[region],Table1[[#This Row],[region]])</f>
        <v>2.6548672566371681E-2</v>
      </c>
      <c r="AE113" s="2">
        <f>COUNTIFS(Table1[channel],Table1[[#This Row],[channel]],Table1[prepayment_flag],1)/COUNTIF(Table1[channel],Table1[[#This Row],[channel]])</f>
        <v>0.12</v>
      </c>
      <c r="AF113" s="2">
        <f>AVERAGEIFS(Table1[interest_rate_pct],Table1[product],Table1[[#This Row],[product]],Table1[risk_band],Table1[[#This Row],[risk_band]])</f>
        <v>20.962592592592593</v>
      </c>
      <c r="AG113" s="2" t="str" cm="1">
        <f t="array" ref="AG113">_xlfn.IFS(Table1[[#This Row],[dti_ratio]] &lt; 0.2, " less than 0.2", Table1[[#This Row],[dti_ratio]] &lt; 0.3, "0.2 - 0.3", Table1[[#This Row],[dti_ratio]] &lt;= 0.5, "0.35 - 0.5", Table1[[#This Row],[dti_ratio]] &gt; 0.5, "greater than 0.5")</f>
        <v>0.2 - 0.3</v>
      </c>
      <c r="AH113" s="2">
        <f>COUNTIF(Table1[DTI band],Table1[[#This Row],[DTI band]])</f>
        <v>122</v>
      </c>
      <c r="AI113" s="2" t="str" cm="1">
        <f t="array" ref="AI113">_xlfn.IFS(Table1[[#This Row],[ltv_ratio]] &lt; 0.6, "less than 0.6 -less risky", Table1[[#This Row],[ltv_ratio]]  &lt;= 0.8, "0.6 - 0.8 -medium risky",Table1[[#This Row],[ltv_ratio]] &gt; 0.8, "greater than 0.8 -highly risky")</f>
        <v>greater than 0.8 -highly risky</v>
      </c>
      <c r="AJ113" s="2">
        <f>COUNTIF(Table1[LTV band],Table1[[#This Row],[LTV band]])</f>
        <v>141</v>
      </c>
      <c r="AK113" s="2">
        <f>COUNTIFS(Table1[count_loan_perband],Table1[[#This Row],[count_loan_perband]],Table1[default_flag],1)/COUNTIF(Table1[count_loan_perband],Table1[[#This Row],[count_loan_perband]])</f>
        <v>1.4184397163120567E-2</v>
      </c>
      <c r="AL113" s="2" t="str" cm="1">
        <f t="array" ref="AL113">_xlfn.IFS(Table1[[#This Row],[loan_amount]] &lt; 900000, "lower size (&lt; 9L)", Table1[[#This Row],[loan_amount]] &lt;=3300000, "medium size (&lt;=33L)", Table1[[#This Row],[loan_amount]] &gt; 3300000, "larger size (&gt; 33L)")</f>
        <v>lower size (&lt; 9L)</v>
      </c>
      <c r="AM113" s="2">
        <f>IF(Table1[[#This Row],[dpd]] &gt;=30,1,0)</f>
        <v>0</v>
      </c>
      <c r="AN113" s="2">
        <f>COUNTIFS(Table1[Loan size],Table1[[#This Row],[Loan size]],Table1[dpd flag],1)/COUNTIF(Table1[Loan size],Table1[[#This Row],[Loan size]])</f>
        <v>0.13934426229508196</v>
      </c>
      <c r="AO113" s="2" t="str">
        <f>IF(OR(Table1[[#This Row],[credit_score]] &lt; 600, Table1[ [#This Row],[dti_ratio] ] &gt; 0.5, Table1[[#This Row],[dpd]] &gt;=30), "high risk", " not riskY")</f>
        <v xml:space="preserve"> not riskY</v>
      </c>
      <c r="AP113" s="26">
        <f>EOMONTH(Table1[[#This Row],[origination_date]],0)</f>
        <v>45322</v>
      </c>
      <c r="AQ113" s="2">
        <f>SUMIFS(Table1[loan_amount],Table1[origination month],Table1[[#This Row],[origination month]])</f>
        <v>24741500</v>
      </c>
      <c r="AR113" s="2">
        <f>AVERAGEIFS(Table1[months_on_book],Table1[product],Table1[[#This Row],[product]])</f>
        <v>21.092024539877301</v>
      </c>
      <c r="AS113" s="2" t="str">
        <f ca="1">IF(EDATE(Table1[[#This Row],[origination_date]],6) &gt;= TODAY(), "New Loan", "Old Loan")</f>
        <v>Old Loan</v>
      </c>
      <c r="AT113" s="2" t="str">
        <f>"Q"&amp;ROUNDUP(MONTH(Table1[[#This Row],[origination_date]])/3,0)&amp;YEAR(Table1[[#This Row],[origination_date]])</f>
        <v>Q12024</v>
      </c>
      <c r="AU113" s="2">
        <f>SUMIFS(Table1[loan_amount],Table1[quarter],Table1[[#This Row],[quarter]])</f>
        <v>48515800</v>
      </c>
      <c r="AV113" s="34" t="str">
        <f>_xlfn.TEXTJOIN("|",TRUE,Table1[[#This Row],[loan_id]:[loan_status]])</f>
        <v>L59050403|C3658231|45297|Personal Loan|Call Center|North|Self-Employed|72|266600|21.55|6628|1387225|615|D|0.26|0.82|0|23|134599|176048|0|0|0|Active</v>
      </c>
      <c r="AW113" s="42">
        <f>YEAR(Loan_Table[ [#This Row],[origination_date] ])</f>
        <v>2025</v>
      </c>
    </row>
    <row r="114" spans="2:49" ht="18" customHeight="1">
      <c r="B114" s="5" t="s">
        <v>348</v>
      </c>
      <c r="C114" s="2" t="s">
        <v>349</v>
      </c>
      <c r="D114" s="3">
        <v>45380</v>
      </c>
      <c r="E114" s="2" t="s">
        <v>163</v>
      </c>
      <c r="F114" s="2" t="s">
        <v>159</v>
      </c>
      <c r="G114" s="2" t="s">
        <v>133</v>
      </c>
      <c r="H114" s="2" t="s">
        <v>152</v>
      </c>
      <c r="I114" s="2">
        <v>180</v>
      </c>
      <c r="J114" s="2">
        <v>245200</v>
      </c>
      <c r="K114" s="2">
        <v>17.52</v>
      </c>
      <c r="L114" s="2">
        <v>3864</v>
      </c>
      <c r="M114" s="2">
        <v>598020</v>
      </c>
      <c r="N114" s="2">
        <v>569</v>
      </c>
      <c r="O114" s="2" t="s">
        <v>166</v>
      </c>
      <c r="P114" s="2">
        <v>0.24</v>
      </c>
      <c r="Q114" s="2">
        <v>0.61</v>
      </c>
      <c r="R114" s="2">
        <v>403200</v>
      </c>
      <c r="S114" s="2">
        <v>21</v>
      </c>
      <c r="T114" s="2">
        <v>70709</v>
      </c>
      <c r="U114" s="2">
        <v>204562</v>
      </c>
      <c r="V114" s="2">
        <v>15</v>
      </c>
      <c r="W114" s="2">
        <v>0</v>
      </c>
      <c r="X114" s="2">
        <v>0</v>
      </c>
      <c r="Y114" s="2" t="s">
        <v>148</v>
      </c>
      <c r="Z114" s="12">
        <f>SUMIF(Table1[product],Table1[[#This Row],[product]],Table1[loan_amount])</f>
        <v>92273000</v>
      </c>
      <c r="AA114" s="15">
        <f>SUMIF(Table1[region],Table1[[#This Row],[region]],Table1[current_balance])</f>
        <v>94548000</v>
      </c>
      <c r="AB114" s="2">
        <f>COUNTIF(Table1[loan_status],Table1[[#This Row],[loan_status]])</f>
        <v>301</v>
      </c>
      <c r="AC114" s="2">
        <f>COUNTIF(Table1[default_flag],1)/ROWS(Table1[loan_id])</f>
        <v>2.5999999999999999E-2</v>
      </c>
      <c r="AD114" s="2">
        <f>COUNTIFS(Table1[region],Table1[[#This Row],[region]],Table1[default_flag],1)/COUNTIF(Table1[region],Table1[[#This Row],[region]])</f>
        <v>0</v>
      </c>
      <c r="AE114" s="2">
        <f>COUNTIFS(Table1[channel],Table1[[#This Row],[channel]],Table1[prepayment_flag],1)/COUNTIF(Table1[channel],Table1[[#This Row],[channel]])</f>
        <v>0.1</v>
      </c>
      <c r="AF114" s="2">
        <f>AVERAGEIFS(Table1[interest_rate_pct],Table1[product],Table1[[#This Row],[product]],Table1[risk_band],Table1[[#This Row],[risk_band]])</f>
        <v>17.744166666666668</v>
      </c>
      <c r="AG114" s="2" t="str" cm="1">
        <f t="array" ref="AG114">_xlfn.IFS(Table1[[#This Row],[dti_ratio]] &lt; 0.2, " less than 0.2", Table1[[#This Row],[dti_ratio]] &lt; 0.3, "0.2 - 0.3", Table1[[#This Row],[dti_ratio]] &lt;= 0.5, "0.35 - 0.5", Table1[[#This Row],[dti_ratio]] &gt; 0.5, "greater than 0.5")</f>
        <v>0.2 - 0.3</v>
      </c>
      <c r="AH114" s="2">
        <f>COUNTIF(Table1[DTI band],Table1[[#This Row],[DTI band]])</f>
        <v>122</v>
      </c>
      <c r="AI114" s="2" t="str" cm="1">
        <f t="array" ref="AI114">_xlfn.IFS(Table1[[#This Row],[ltv_ratio]] &lt; 0.6, "less than 0.6 -less risky", Table1[[#This Row],[ltv_ratio]]  &lt;= 0.8, "0.6 - 0.8 -medium risky",Table1[[#This Row],[ltv_ratio]] &gt; 0.8, "greater than 0.8 -highly risky")</f>
        <v>0.6 - 0.8 -medium risky</v>
      </c>
      <c r="AJ114" s="2">
        <f>COUNTIF(Table1[LTV band],Table1[[#This Row],[LTV band]])</f>
        <v>302</v>
      </c>
      <c r="AK114" s="2">
        <f>COUNTIFS(Table1[count_loan_perband],Table1[[#This Row],[count_loan_perband]],Table1[default_flag],1)/COUNTIF(Table1[count_loan_perband],Table1[[#This Row],[count_loan_perband]])</f>
        <v>3.6423841059602648E-2</v>
      </c>
      <c r="AL114" s="2" t="str" cm="1">
        <f t="array" ref="AL114">_xlfn.IFS(Table1[[#This Row],[loan_amount]] &lt; 900000, "lower size (&lt; 9L)", Table1[[#This Row],[loan_amount]] &lt;=3300000, "medium size (&lt;=33L)", Table1[[#This Row],[loan_amount]] &gt; 3300000, "larger size (&gt; 33L)")</f>
        <v>lower size (&lt; 9L)</v>
      </c>
      <c r="AM114" s="2">
        <f>IF(Table1[[#This Row],[dpd]] &gt;=30,1,0)</f>
        <v>0</v>
      </c>
      <c r="AN114" s="2">
        <f>COUNTIFS(Table1[Loan size],Table1[[#This Row],[Loan size]],Table1[dpd flag],1)/COUNTIF(Table1[Loan size],Table1[[#This Row],[Loan size]])</f>
        <v>0.13934426229508196</v>
      </c>
      <c r="AO114" s="2" t="str">
        <f>IF(OR(Table1[[#This Row],[credit_score]] &lt; 600, Table1[ [#This Row],[dti_ratio] ] &gt; 0.5, Table1[[#This Row],[dpd]] &gt;=30), "high risk", " not riskY")</f>
        <v>high risk</v>
      </c>
      <c r="AP114" s="26">
        <f>EOMONTH(Table1[[#This Row],[origination_date]],0)</f>
        <v>45382</v>
      </c>
      <c r="AQ114" s="2">
        <f>SUMIFS(Table1[loan_amount],Table1[origination month],Table1[[#This Row],[origination month]])</f>
        <v>13709600</v>
      </c>
      <c r="AR114" s="2">
        <f>AVERAGEIFS(Table1[months_on_book],Table1[product],Table1[[#This Row],[product]])</f>
        <v>20.262135922330096</v>
      </c>
      <c r="AS114" s="2" t="str">
        <f ca="1">IF(EDATE(Table1[[#This Row],[origination_date]],6) &gt;= TODAY(), "New Loan", "Old Loan")</f>
        <v>Old Loan</v>
      </c>
      <c r="AT114" s="2" t="str">
        <f>"Q"&amp;ROUNDUP(MONTH(Table1[[#This Row],[origination_date]])/3,0)&amp;YEAR(Table1[[#This Row],[origination_date]])</f>
        <v>Q12024</v>
      </c>
      <c r="AU114" s="2">
        <f>SUMIFS(Table1[loan_amount],Table1[quarter],Table1[[#This Row],[quarter]])</f>
        <v>48515800</v>
      </c>
      <c r="AV114" s="34" t="str">
        <f>_xlfn.TEXTJOIN("|",TRUE,Table1[[#This Row],[loan_id]:[loan_status]])</f>
        <v>L63724249|C8070223|45380|Auto Loan|Partner|South|Self-Employed|180|245200|17.52|3864|598020|569|E|0.24|0.61|403200|21|70709|204562|15|0|0|Active</v>
      </c>
      <c r="AW114" s="42">
        <f>YEAR(Loan_Table[ [#This Row],[origination_date] ])</f>
        <v>2025</v>
      </c>
    </row>
    <row r="115" spans="2:49" ht="18" customHeight="1">
      <c r="B115" s="5" t="s">
        <v>350</v>
      </c>
      <c r="C115" s="2" t="s">
        <v>351</v>
      </c>
      <c r="D115" s="3">
        <v>45372</v>
      </c>
      <c r="E115" s="2" t="s">
        <v>131</v>
      </c>
      <c r="F115" s="2" t="s">
        <v>132</v>
      </c>
      <c r="G115" s="2" t="s">
        <v>151</v>
      </c>
      <c r="H115" s="2" t="s">
        <v>152</v>
      </c>
      <c r="I115" s="2">
        <v>360</v>
      </c>
      <c r="J115" s="2">
        <v>347500</v>
      </c>
      <c r="K115" s="2">
        <v>17.72</v>
      </c>
      <c r="L115" s="2">
        <v>5158</v>
      </c>
      <c r="M115" s="2">
        <v>880510</v>
      </c>
      <c r="N115" s="2">
        <v>693</v>
      </c>
      <c r="O115" s="2" t="s">
        <v>140</v>
      </c>
      <c r="P115" s="2">
        <v>0.24</v>
      </c>
      <c r="Q115" s="2">
        <v>0.79</v>
      </c>
      <c r="R115" s="2">
        <v>0</v>
      </c>
      <c r="S115" s="2">
        <v>21</v>
      </c>
      <c r="T115" s="2">
        <v>109984</v>
      </c>
      <c r="U115" s="2">
        <v>280620</v>
      </c>
      <c r="V115" s="2">
        <v>0</v>
      </c>
      <c r="W115" s="2">
        <v>0</v>
      </c>
      <c r="X115" s="2">
        <v>0</v>
      </c>
      <c r="Y115" s="2" t="s">
        <v>148</v>
      </c>
      <c r="Z115" s="12">
        <f>SUMIF(Table1[product],Table1[[#This Row],[product]],Table1[loan_amount])</f>
        <v>74897600</v>
      </c>
      <c r="AA115" s="15">
        <f>SUMIF(Table1[region],Table1[[#This Row],[region]],Table1[current_balance])</f>
        <v>105779369</v>
      </c>
      <c r="AB115" s="2">
        <f>COUNTIF(Table1[loan_status],Table1[[#This Row],[loan_status]])</f>
        <v>301</v>
      </c>
      <c r="AC115" s="2">
        <f>COUNTIF(Table1[default_flag],1)/ROWS(Table1[loan_id])</f>
        <v>2.5999999999999999E-2</v>
      </c>
      <c r="AD115" s="2">
        <f>COUNTIFS(Table1[region],Table1[[#This Row],[region]],Table1[default_flag],1)/COUNTIF(Table1[region],Table1[[#This Row],[region]])</f>
        <v>2.6548672566371681E-2</v>
      </c>
      <c r="AE115" s="2">
        <f>COUNTIFS(Table1[channel],Table1[[#This Row],[channel]],Table1[prepayment_flag],1)/COUNTIF(Table1[channel],Table1[[#This Row],[channel]])</f>
        <v>7.1090047393364927E-2</v>
      </c>
      <c r="AF115" s="2">
        <f>AVERAGEIFS(Table1[interest_rate_pct],Table1[product],Table1[[#This Row],[product]],Table1[risk_band],Table1[[#This Row],[risk_band]])</f>
        <v>18.603181818181817</v>
      </c>
      <c r="AG115" s="2" t="str" cm="1">
        <f t="array" ref="AG115">_xlfn.IFS(Table1[[#This Row],[dti_ratio]] &lt; 0.2, " less than 0.2", Table1[[#This Row],[dti_ratio]] &lt; 0.3, "0.2 - 0.3", Table1[[#This Row],[dti_ratio]] &lt;= 0.5, "0.35 - 0.5", Table1[[#This Row],[dti_ratio]] &gt; 0.5, "greater than 0.5")</f>
        <v>0.2 - 0.3</v>
      </c>
      <c r="AH115" s="2">
        <f>COUNTIF(Table1[DTI band],Table1[[#This Row],[DTI band]])</f>
        <v>122</v>
      </c>
      <c r="AI115" s="2" t="str" cm="1">
        <f t="array" ref="AI115">_xlfn.IFS(Table1[[#This Row],[ltv_ratio]] &lt; 0.6, "less than 0.6 -less risky", Table1[[#This Row],[ltv_ratio]]  &lt;= 0.8, "0.6 - 0.8 -medium risky",Table1[[#This Row],[ltv_ratio]] &gt; 0.8, "greater than 0.8 -highly risky")</f>
        <v>0.6 - 0.8 -medium risky</v>
      </c>
      <c r="AJ115" s="2">
        <f>COUNTIF(Table1[LTV band],Table1[[#This Row],[LTV band]])</f>
        <v>302</v>
      </c>
      <c r="AK115" s="2">
        <f>COUNTIFS(Table1[count_loan_perband],Table1[[#This Row],[count_loan_perband]],Table1[default_flag],1)/COUNTIF(Table1[count_loan_perband],Table1[[#This Row],[count_loan_perband]])</f>
        <v>3.6423841059602648E-2</v>
      </c>
      <c r="AL115" s="2" t="str" cm="1">
        <f t="array" ref="AL115">_xlfn.IFS(Table1[[#This Row],[loan_amount]] &lt; 900000, "lower size (&lt; 9L)", Table1[[#This Row],[loan_amount]] &lt;=3300000, "medium size (&lt;=33L)", Table1[[#This Row],[loan_amount]] &gt; 3300000, "larger size (&gt; 33L)")</f>
        <v>lower size (&lt; 9L)</v>
      </c>
      <c r="AM115" s="2">
        <f>IF(Table1[[#This Row],[dpd]] &gt;=30,1,0)</f>
        <v>0</v>
      </c>
      <c r="AN115" s="2">
        <f>COUNTIFS(Table1[Loan size],Table1[[#This Row],[Loan size]],Table1[dpd flag],1)/COUNTIF(Table1[Loan size],Table1[[#This Row],[Loan size]])</f>
        <v>0.13934426229508196</v>
      </c>
      <c r="AO115" s="2" t="str">
        <f>IF(OR(Table1[[#This Row],[credit_score]] &lt; 600, Table1[ [#This Row],[dti_ratio] ] &gt; 0.5, Table1[[#This Row],[dpd]] &gt;=30), "high risk", " not riskY")</f>
        <v xml:space="preserve"> not riskY</v>
      </c>
      <c r="AP115" s="26">
        <f>EOMONTH(Table1[[#This Row],[origination_date]],0)</f>
        <v>45382</v>
      </c>
      <c r="AQ115" s="2">
        <f>SUMIFS(Table1[loan_amount],Table1[origination month],Table1[[#This Row],[origination month]])</f>
        <v>13709600</v>
      </c>
      <c r="AR115" s="2">
        <f>AVERAGEIFS(Table1[months_on_book],Table1[product],Table1[[#This Row],[product]])</f>
        <v>21.092024539877301</v>
      </c>
      <c r="AS115" s="2" t="str">
        <f ca="1">IF(EDATE(Table1[[#This Row],[origination_date]],6) &gt;= TODAY(), "New Loan", "Old Loan")</f>
        <v>Old Loan</v>
      </c>
      <c r="AT115" s="2" t="str">
        <f>"Q"&amp;ROUNDUP(MONTH(Table1[[#This Row],[origination_date]])/3,0)&amp;YEAR(Table1[[#This Row],[origination_date]])</f>
        <v>Q12024</v>
      </c>
      <c r="AU115" s="2">
        <f>SUMIFS(Table1[loan_amount],Table1[quarter],Table1[[#This Row],[quarter]])</f>
        <v>48515800</v>
      </c>
      <c r="AV115" s="34" t="str">
        <f>_xlfn.TEXTJOIN("|",TRUE,Table1[[#This Row],[loan_id]:[loan_status]])</f>
        <v>L44291910|C5006676|45372|Personal Loan|Online|North|Self-Employed|360|347500|17.72|5158|880510|693|C|0.24|0.79|0|21|109984|280620|0|0|0|Active</v>
      </c>
      <c r="AW115" s="42">
        <f>YEAR(Loan_Table[ [#This Row],[origination_date] ])</f>
        <v>2025</v>
      </c>
    </row>
    <row r="116" spans="2:49" ht="18" customHeight="1">
      <c r="B116" s="5" t="s">
        <v>352</v>
      </c>
      <c r="C116" s="2" t="s">
        <v>353</v>
      </c>
      <c r="D116" s="3">
        <v>45334</v>
      </c>
      <c r="E116" s="2" t="s">
        <v>169</v>
      </c>
      <c r="F116" s="2" t="s">
        <v>132</v>
      </c>
      <c r="G116" s="2" t="s">
        <v>170</v>
      </c>
      <c r="H116" s="2" t="s">
        <v>134</v>
      </c>
      <c r="I116" s="2">
        <v>360</v>
      </c>
      <c r="J116" s="2">
        <v>1365400</v>
      </c>
      <c r="K116" s="2">
        <v>12.08</v>
      </c>
      <c r="L116" s="2">
        <v>14129</v>
      </c>
      <c r="M116" s="2">
        <v>1192382</v>
      </c>
      <c r="N116" s="2">
        <v>670</v>
      </c>
      <c r="O116" s="2" t="s">
        <v>140</v>
      </c>
      <c r="P116" s="2">
        <v>0.23</v>
      </c>
      <c r="Q116" s="2">
        <v>0.81</v>
      </c>
      <c r="R116" s="2">
        <v>1685100</v>
      </c>
      <c r="S116" s="2">
        <v>22</v>
      </c>
      <c r="T116" s="2">
        <v>301526</v>
      </c>
      <c r="U116" s="2">
        <v>1184830</v>
      </c>
      <c r="V116" s="2">
        <v>0</v>
      </c>
      <c r="W116" s="2">
        <v>0</v>
      </c>
      <c r="X116" s="2">
        <v>0</v>
      </c>
      <c r="Y116" s="2" t="s">
        <v>148</v>
      </c>
      <c r="Z116" s="12">
        <f>SUMIF(Table1[product],Table1[[#This Row],[product]],Table1[loan_amount])</f>
        <v>403369500</v>
      </c>
      <c r="AA116" s="15">
        <f>SUMIF(Table1[region],Table1[[#This Row],[region]],Table1[current_balance])</f>
        <v>83297251</v>
      </c>
      <c r="AB116" s="2">
        <f>COUNTIF(Table1[loan_status],Table1[[#This Row],[loan_status]])</f>
        <v>301</v>
      </c>
      <c r="AC116" s="2">
        <f>COUNTIF(Table1[default_flag],1)/ROWS(Table1[loan_id])</f>
        <v>2.5999999999999999E-2</v>
      </c>
      <c r="AD116" s="2">
        <f>COUNTIFS(Table1[region],Table1[[#This Row],[region]],Table1[default_flag],1)/COUNTIF(Table1[region],Table1[[#This Row],[region]])</f>
        <v>3.1914893617021274E-2</v>
      </c>
      <c r="AE116" s="2">
        <f>COUNTIFS(Table1[channel],Table1[[#This Row],[channel]],Table1[prepayment_flag],1)/COUNTIF(Table1[channel],Table1[[#This Row],[channel]])</f>
        <v>7.1090047393364927E-2</v>
      </c>
      <c r="AF116" s="2">
        <f>AVERAGEIFS(Table1[interest_rate_pct],Table1[product],Table1[[#This Row],[product]],Table1[risk_band],Table1[[#This Row],[risk_band]])</f>
        <v>11.719736842105268</v>
      </c>
      <c r="AG116" s="2" t="str" cm="1">
        <f t="array" ref="AG116">_xlfn.IFS(Table1[[#This Row],[dti_ratio]] &lt; 0.2, " less than 0.2", Table1[[#This Row],[dti_ratio]] &lt; 0.3, "0.2 - 0.3", Table1[[#This Row],[dti_ratio]] &lt;= 0.5, "0.35 - 0.5", Table1[[#This Row],[dti_ratio]] &gt; 0.5, "greater than 0.5")</f>
        <v>0.2 - 0.3</v>
      </c>
      <c r="AH116" s="2">
        <f>COUNTIF(Table1[DTI band],Table1[[#This Row],[DTI band]])</f>
        <v>122</v>
      </c>
      <c r="AI116" s="2" t="str" cm="1">
        <f t="array" ref="AI116">_xlfn.IFS(Table1[[#This Row],[ltv_ratio]] &lt; 0.6, "less than 0.6 -less risky", Table1[[#This Row],[ltv_ratio]]  &lt;= 0.8, "0.6 - 0.8 -medium risky",Table1[[#This Row],[ltv_ratio]] &gt; 0.8, "greater than 0.8 -highly risky")</f>
        <v>greater than 0.8 -highly risky</v>
      </c>
      <c r="AJ116" s="2">
        <f>COUNTIF(Table1[LTV band],Table1[[#This Row],[LTV band]])</f>
        <v>141</v>
      </c>
      <c r="AK116" s="2">
        <f>COUNTIFS(Table1[count_loan_perband],Table1[[#This Row],[count_loan_perband]],Table1[default_flag],1)/COUNTIF(Table1[count_loan_perband],Table1[[#This Row],[count_loan_perband]])</f>
        <v>1.4184397163120567E-2</v>
      </c>
      <c r="AL116" s="2" t="str" cm="1">
        <f t="array" ref="AL116">_xlfn.IFS(Table1[[#This Row],[loan_amount]] &lt; 900000, "lower size (&lt; 9L)", Table1[[#This Row],[loan_amount]] &lt;=3300000, "medium size (&lt;=33L)", Table1[[#This Row],[loan_amount]] &gt; 3300000, "larger size (&gt; 33L)")</f>
        <v>medium size (&lt;=33L)</v>
      </c>
      <c r="AM116" s="2">
        <f>IF(Table1[[#This Row],[dpd]] &gt;=30,1,0)</f>
        <v>0</v>
      </c>
      <c r="AN116" s="2">
        <f>COUNTIFS(Table1[Loan size],Table1[[#This Row],[Loan size]],Table1[dpd flag],1)/COUNTIF(Table1[Loan size],Table1[[#This Row],[Loan size]])</f>
        <v>0.15909090909090909</v>
      </c>
      <c r="AO116" s="2" t="str">
        <f>IF(OR(Table1[[#This Row],[credit_score]] &lt; 600, Table1[ [#This Row],[dti_ratio] ] &gt; 0.5, Table1[[#This Row],[dpd]] &gt;=30), "high risk", " not riskY")</f>
        <v xml:space="preserve"> not riskY</v>
      </c>
      <c r="AP116" s="26">
        <f>EOMONTH(Table1[[#This Row],[origination_date]],0)</f>
        <v>45351</v>
      </c>
      <c r="AQ116" s="2">
        <f>SUMIFS(Table1[loan_amount],Table1[origination month],Table1[[#This Row],[origination month]])</f>
        <v>10064700</v>
      </c>
      <c r="AR116" s="2">
        <f>AVERAGEIFS(Table1[months_on_book],Table1[product],Table1[[#This Row],[product]])</f>
        <v>20.516129032258064</v>
      </c>
      <c r="AS116" s="2" t="str">
        <f ca="1">IF(EDATE(Table1[[#This Row],[origination_date]],6) &gt;= TODAY(), "New Loan", "Old Loan")</f>
        <v>Old Loan</v>
      </c>
      <c r="AT116" s="2" t="str">
        <f>"Q"&amp;ROUNDUP(MONTH(Table1[[#This Row],[origination_date]])/3,0)&amp;YEAR(Table1[[#This Row],[origination_date]])</f>
        <v>Q12024</v>
      </c>
      <c r="AU116" s="2">
        <f>SUMIFS(Table1[loan_amount],Table1[quarter],Table1[[#This Row],[quarter]])</f>
        <v>48515800</v>
      </c>
      <c r="AV116" s="34" t="str">
        <f>_xlfn.TEXTJOIN("|",TRUE,Table1[[#This Row],[loan_id]:[loan_status]])</f>
        <v>L19306267|C2151294|45334|Home Loan|Online|East|Salaried|360|1365400|12.08|14129|1192382|670|C|0.23|0.81|1685100|22|301526|1184830|0|0|0|Active</v>
      </c>
      <c r="AW116" s="42">
        <f>YEAR(Loan_Table[ [#This Row],[origination_date] ])</f>
        <v>2025</v>
      </c>
    </row>
    <row r="117" spans="2:49" ht="18" customHeight="1">
      <c r="B117" s="5" t="s">
        <v>354</v>
      </c>
      <c r="C117" s="2" t="s">
        <v>355</v>
      </c>
      <c r="D117" s="3">
        <v>45356</v>
      </c>
      <c r="E117" s="2" t="s">
        <v>163</v>
      </c>
      <c r="F117" s="2" t="s">
        <v>159</v>
      </c>
      <c r="G117" s="2" t="s">
        <v>151</v>
      </c>
      <c r="H117" s="2" t="s">
        <v>152</v>
      </c>
      <c r="I117" s="2">
        <v>36</v>
      </c>
      <c r="J117" s="2">
        <v>600800</v>
      </c>
      <c r="K117" s="2">
        <v>8.7200000000000006</v>
      </c>
      <c r="L117" s="2">
        <v>19027</v>
      </c>
      <c r="M117" s="2">
        <v>510785</v>
      </c>
      <c r="N117" s="2">
        <v>766</v>
      </c>
      <c r="O117" s="2" t="s">
        <v>160</v>
      </c>
      <c r="P117" s="2">
        <v>0.21</v>
      </c>
      <c r="Q117" s="2">
        <v>0.48</v>
      </c>
      <c r="R117" s="2">
        <v>1248000</v>
      </c>
      <c r="S117" s="2">
        <v>21</v>
      </c>
      <c r="T117" s="2">
        <v>354531</v>
      </c>
      <c r="U117" s="2">
        <v>282942</v>
      </c>
      <c r="V117" s="2">
        <v>0</v>
      </c>
      <c r="W117" s="2">
        <v>0</v>
      </c>
      <c r="X117" s="2">
        <v>0</v>
      </c>
      <c r="Y117" s="2" t="s">
        <v>148</v>
      </c>
      <c r="Z117" s="12">
        <f>SUMIF(Table1[product],Table1[[#This Row],[product]],Table1[loan_amount])</f>
        <v>92273000</v>
      </c>
      <c r="AA117" s="15">
        <f>SUMIF(Table1[region],Table1[[#This Row],[region]],Table1[current_balance])</f>
        <v>105779369</v>
      </c>
      <c r="AB117" s="2">
        <f>COUNTIF(Table1[loan_status],Table1[[#This Row],[loan_status]])</f>
        <v>301</v>
      </c>
      <c r="AC117" s="2">
        <f>COUNTIF(Table1[default_flag],1)/ROWS(Table1[loan_id])</f>
        <v>2.5999999999999999E-2</v>
      </c>
      <c r="AD117" s="2">
        <f>COUNTIFS(Table1[region],Table1[[#This Row],[region]],Table1[default_flag],1)/COUNTIF(Table1[region],Table1[[#This Row],[region]])</f>
        <v>2.6548672566371681E-2</v>
      </c>
      <c r="AE117" s="2">
        <f>COUNTIFS(Table1[channel],Table1[[#This Row],[channel]],Table1[prepayment_flag],1)/COUNTIF(Table1[channel],Table1[[#This Row],[channel]])</f>
        <v>0.1</v>
      </c>
      <c r="AF117" s="2">
        <f>AVERAGEIFS(Table1[interest_rate_pct],Table1[product],Table1[[#This Row],[product]],Table1[risk_band],Table1[[#This Row],[risk_band]])</f>
        <v>7.9444999999999997</v>
      </c>
      <c r="AG117" s="2" t="str" cm="1">
        <f t="array" ref="AG117">_xlfn.IFS(Table1[[#This Row],[dti_ratio]] &lt; 0.2, " less than 0.2", Table1[[#This Row],[dti_ratio]] &lt; 0.3, "0.2 - 0.3", Table1[[#This Row],[dti_ratio]] &lt;= 0.5, "0.35 - 0.5", Table1[[#This Row],[dti_ratio]] &gt; 0.5, "greater than 0.5")</f>
        <v>0.2 - 0.3</v>
      </c>
      <c r="AH117" s="2">
        <f>COUNTIF(Table1[DTI band],Table1[[#This Row],[DTI band]])</f>
        <v>122</v>
      </c>
      <c r="AI117" s="2" t="str" cm="1">
        <f t="array" ref="AI117">_xlfn.IFS(Table1[[#This Row],[ltv_ratio]] &lt; 0.6, "less than 0.6 -less risky", Table1[[#This Row],[ltv_ratio]]  &lt;= 0.8, "0.6 - 0.8 -medium risky",Table1[[#This Row],[ltv_ratio]] &gt; 0.8, "greater than 0.8 -highly risky")</f>
        <v>less than 0.6 -less risky</v>
      </c>
      <c r="AJ117" s="2">
        <f>COUNTIF(Table1[LTV band],Table1[[#This Row],[LTV band]])</f>
        <v>57</v>
      </c>
      <c r="AK117" s="2">
        <f>COUNTIFS(Table1[count_loan_perband],Table1[[#This Row],[count_loan_perband]],Table1[default_flag],1)/COUNTIF(Table1[count_loan_perband],Table1[[#This Row],[count_loan_perband]])</f>
        <v>0</v>
      </c>
      <c r="AL117" s="2" t="str" cm="1">
        <f t="array" ref="AL117">_xlfn.IFS(Table1[[#This Row],[loan_amount]] &lt; 900000, "lower size (&lt; 9L)", Table1[[#This Row],[loan_amount]] &lt;=3300000, "medium size (&lt;=33L)", Table1[[#This Row],[loan_amount]] &gt; 3300000, "larger size (&gt; 33L)")</f>
        <v>lower size (&lt; 9L)</v>
      </c>
      <c r="AM117" s="2">
        <f>IF(Table1[[#This Row],[dpd]] &gt;=30,1,0)</f>
        <v>0</v>
      </c>
      <c r="AN117" s="2">
        <f>COUNTIFS(Table1[Loan size],Table1[[#This Row],[Loan size]],Table1[dpd flag],1)/COUNTIF(Table1[Loan size],Table1[[#This Row],[Loan size]])</f>
        <v>0.13934426229508196</v>
      </c>
      <c r="AO117" s="2" t="str">
        <f>IF(OR(Table1[[#This Row],[credit_score]] &lt; 600, Table1[ [#This Row],[dti_ratio] ] &gt; 0.5, Table1[[#This Row],[dpd]] &gt;=30), "high risk", " not riskY")</f>
        <v xml:space="preserve"> not riskY</v>
      </c>
      <c r="AP117" s="26">
        <f>EOMONTH(Table1[[#This Row],[origination_date]],0)</f>
        <v>45382</v>
      </c>
      <c r="AQ117" s="2">
        <f>SUMIFS(Table1[loan_amount],Table1[origination month],Table1[[#This Row],[origination month]])</f>
        <v>13709600</v>
      </c>
      <c r="AR117" s="2">
        <f>AVERAGEIFS(Table1[months_on_book],Table1[product],Table1[[#This Row],[product]])</f>
        <v>20.262135922330096</v>
      </c>
      <c r="AS117" s="2" t="str">
        <f ca="1">IF(EDATE(Table1[[#This Row],[origination_date]],6) &gt;= TODAY(), "New Loan", "Old Loan")</f>
        <v>Old Loan</v>
      </c>
      <c r="AT117" s="2" t="str">
        <f>"Q"&amp;ROUNDUP(MONTH(Table1[[#This Row],[origination_date]])/3,0)&amp;YEAR(Table1[[#This Row],[origination_date]])</f>
        <v>Q12024</v>
      </c>
      <c r="AU117" s="2">
        <f>SUMIFS(Table1[loan_amount],Table1[quarter],Table1[[#This Row],[quarter]])</f>
        <v>48515800</v>
      </c>
      <c r="AV117" s="34" t="str">
        <f>_xlfn.TEXTJOIN("|",TRUE,Table1[[#This Row],[loan_id]:[loan_status]])</f>
        <v>L70993264|C4449878|45356|Auto Loan|Partner|North|Self-Employed|36|600800|8.72|19027|510785|766|A|0.21|0.48|1248000|21|354531|282942|0|0|0|Active</v>
      </c>
      <c r="AW117" s="42">
        <f>YEAR(Loan_Table[ [#This Row],[origination_date] ])</f>
        <v>2025</v>
      </c>
    </row>
    <row r="118" spans="2:49" ht="18" customHeight="1">
      <c r="B118" s="5" t="s">
        <v>356</v>
      </c>
      <c r="C118" s="2" t="s">
        <v>357</v>
      </c>
      <c r="D118" s="3">
        <v>45363</v>
      </c>
      <c r="E118" s="2" t="s">
        <v>158</v>
      </c>
      <c r="F118" s="2" t="s">
        <v>132</v>
      </c>
      <c r="G118" s="2" t="s">
        <v>139</v>
      </c>
      <c r="H118" s="2" t="s">
        <v>146</v>
      </c>
      <c r="I118" s="2">
        <v>360</v>
      </c>
      <c r="J118" s="2">
        <v>1030100</v>
      </c>
      <c r="K118" s="2">
        <v>15</v>
      </c>
      <c r="L118" s="2">
        <v>13025</v>
      </c>
      <c r="M118" s="2">
        <v>579671</v>
      </c>
      <c r="N118" s="2">
        <v>691</v>
      </c>
      <c r="O118" s="2" t="s">
        <v>140</v>
      </c>
      <c r="P118" s="2">
        <v>0.2</v>
      </c>
      <c r="Q118" s="2">
        <v>0.98</v>
      </c>
      <c r="R118" s="2">
        <v>1052400</v>
      </c>
      <c r="S118" s="2">
        <v>21</v>
      </c>
      <c r="T118" s="2">
        <v>268018</v>
      </c>
      <c r="U118" s="2">
        <v>870242</v>
      </c>
      <c r="V118" s="2">
        <v>45</v>
      </c>
      <c r="W118" s="2">
        <v>0</v>
      </c>
      <c r="X118" s="2">
        <v>0</v>
      </c>
      <c r="Y118" s="2" t="s">
        <v>136</v>
      </c>
      <c r="Z118" s="12">
        <f>SUMIF(Table1[product],Table1[[#This Row],[product]],Table1[loan_amount])</f>
        <v>201475100</v>
      </c>
      <c r="AA118" s="15">
        <f>SUMIF(Table1[region],Table1[[#This Row],[region]],Table1[current_balance])</f>
        <v>83903255</v>
      </c>
      <c r="AB118" s="2">
        <f>COUNTIF(Table1[loan_status],Table1[[#This Row],[loan_status]])</f>
        <v>47</v>
      </c>
      <c r="AC118" s="2">
        <f>COUNTIF(Table1[default_flag],1)/ROWS(Table1[loan_id])</f>
        <v>2.5999999999999999E-2</v>
      </c>
      <c r="AD118" s="2">
        <f>COUNTIFS(Table1[region],Table1[[#This Row],[region]],Table1[default_flag],1)/COUNTIF(Table1[region],Table1[[#This Row],[region]])</f>
        <v>4.2553191489361701E-2</v>
      </c>
      <c r="AE118" s="2">
        <f>COUNTIFS(Table1[channel],Table1[[#This Row],[channel]],Table1[prepayment_flag],1)/COUNTIF(Table1[channel],Table1[[#This Row],[channel]])</f>
        <v>7.1090047393364927E-2</v>
      </c>
      <c r="AF118" s="2">
        <f>AVERAGEIFS(Table1[interest_rate_pct],Table1[product],Table1[[#This Row],[product]],Table1[risk_band],Table1[[#This Row],[risk_band]])</f>
        <v>15.841379310344831</v>
      </c>
      <c r="AG118" s="2" t="str" cm="1">
        <f t="array" ref="AG118">_xlfn.IFS(Table1[[#This Row],[dti_ratio]] &lt; 0.2, " less than 0.2", Table1[[#This Row],[dti_ratio]] &lt; 0.3, "0.2 - 0.3", Table1[[#This Row],[dti_ratio]] &lt;= 0.5, "0.35 - 0.5", Table1[[#This Row],[dti_ratio]] &gt; 0.5, "greater than 0.5")</f>
        <v>0.2 - 0.3</v>
      </c>
      <c r="AH118" s="2">
        <f>COUNTIF(Table1[DTI band],Table1[[#This Row],[DTI band]])</f>
        <v>122</v>
      </c>
      <c r="AI118" s="2" t="str" cm="1">
        <f t="array" ref="AI118">_xlfn.IFS(Table1[[#This Row],[ltv_ratio]] &lt; 0.6, "less than 0.6 -less risky", Table1[[#This Row],[ltv_ratio]]  &lt;= 0.8, "0.6 - 0.8 -medium risky",Table1[[#This Row],[ltv_ratio]] &gt; 0.8, "greater than 0.8 -highly risky")</f>
        <v>greater than 0.8 -highly risky</v>
      </c>
      <c r="AJ118" s="2">
        <f>COUNTIF(Table1[LTV band],Table1[[#This Row],[LTV band]])</f>
        <v>141</v>
      </c>
      <c r="AK118" s="2">
        <f>COUNTIFS(Table1[count_loan_perband],Table1[[#This Row],[count_loan_perband]],Table1[default_flag],1)/COUNTIF(Table1[count_loan_perband],Table1[[#This Row],[count_loan_perband]])</f>
        <v>1.4184397163120567E-2</v>
      </c>
      <c r="AL118" s="2" t="str" cm="1">
        <f t="array" ref="AL118">_xlfn.IFS(Table1[[#This Row],[loan_amount]] &lt; 900000, "lower size (&lt; 9L)", Table1[[#This Row],[loan_amount]] &lt;=3300000, "medium size (&lt;=33L)", Table1[[#This Row],[loan_amount]] &gt; 3300000, "larger size (&gt; 33L)")</f>
        <v>medium size (&lt;=33L)</v>
      </c>
      <c r="AM118" s="2">
        <f>IF(Table1[[#This Row],[dpd]] &gt;=30,1,0)</f>
        <v>1</v>
      </c>
      <c r="AN118" s="2">
        <f>COUNTIFS(Table1[Loan size],Table1[[#This Row],[Loan size]],Table1[dpd flag],1)/COUNTIF(Table1[Loan size],Table1[[#This Row],[Loan size]])</f>
        <v>0.15909090909090909</v>
      </c>
      <c r="AO118" s="2" t="str">
        <f>IF(OR(Table1[[#This Row],[credit_score]] &lt; 600, Table1[ [#This Row],[dti_ratio] ] &gt; 0.5, Table1[[#This Row],[dpd]] &gt;=30), "high risk", " not riskY")</f>
        <v>high risk</v>
      </c>
      <c r="AP118" s="26">
        <f>EOMONTH(Table1[[#This Row],[origination_date]],0)</f>
        <v>45382</v>
      </c>
      <c r="AQ118" s="2">
        <f>SUMIFS(Table1[loan_amount],Table1[origination month],Table1[[#This Row],[origination month]])</f>
        <v>13709600</v>
      </c>
      <c r="AR118" s="2">
        <f>AVERAGEIFS(Table1[months_on_book],Table1[product],Table1[[#This Row],[product]])</f>
        <v>19.091954022988507</v>
      </c>
      <c r="AS118" s="2" t="str">
        <f ca="1">IF(EDATE(Table1[[#This Row],[origination_date]],6) &gt;= TODAY(), "New Loan", "Old Loan")</f>
        <v>Old Loan</v>
      </c>
      <c r="AT118" s="2" t="str">
        <f>"Q"&amp;ROUNDUP(MONTH(Table1[[#This Row],[origination_date]])/3,0)&amp;YEAR(Table1[[#This Row],[origination_date]])</f>
        <v>Q12024</v>
      </c>
      <c r="AU118" s="2">
        <f>SUMIFS(Table1[loan_amount],Table1[quarter],Table1[[#This Row],[quarter]])</f>
        <v>48515800</v>
      </c>
      <c r="AV118" s="34" t="str">
        <f>_xlfn.TEXTJOIN("|",TRUE,Table1[[#This Row],[loan_id]:[loan_status]])</f>
        <v>L16087857|C1477233|45363|SME Loan|Online|West|Contract|360|1030100|15|13025|579671|691|C|0.2|0.98|1052400|21|268018|870242|45|0|0|Delinquent</v>
      </c>
      <c r="AW118" s="42">
        <f>YEAR(Loan_Table[ [#This Row],[origination_date] ])</f>
        <v>2025</v>
      </c>
    </row>
    <row r="119" spans="2:49" ht="18" customHeight="1">
      <c r="B119" s="5" t="s">
        <v>358</v>
      </c>
      <c r="C119" s="2" t="s">
        <v>359</v>
      </c>
      <c r="D119" s="3">
        <v>45357</v>
      </c>
      <c r="E119" s="2" t="s">
        <v>163</v>
      </c>
      <c r="F119" s="2" t="s">
        <v>213</v>
      </c>
      <c r="G119" s="2" t="s">
        <v>139</v>
      </c>
      <c r="H119" s="2" t="s">
        <v>134</v>
      </c>
      <c r="I119" s="2">
        <v>60</v>
      </c>
      <c r="J119" s="2">
        <v>795800</v>
      </c>
      <c r="K119" s="2">
        <v>16.54</v>
      </c>
      <c r="L119" s="2">
        <v>19581</v>
      </c>
      <c r="M119" s="2">
        <v>770004</v>
      </c>
      <c r="N119" s="2">
        <v>602</v>
      </c>
      <c r="O119" s="2" t="s">
        <v>147</v>
      </c>
      <c r="P119" s="2">
        <v>0.16</v>
      </c>
      <c r="Q119" s="2">
        <v>0.82</v>
      </c>
      <c r="R119" s="2">
        <v>967500</v>
      </c>
      <c r="S119" s="2">
        <v>21</v>
      </c>
      <c r="T119" s="2">
        <v>366002</v>
      </c>
      <c r="U119" s="2">
        <v>521936</v>
      </c>
      <c r="V119" s="2">
        <v>0</v>
      </c>
      <c r="W119" s="2">
        <v>0</v>
      </c>
      <c r="X119" s="2">
        <v>0</v>
      </c>
      <c r="Y119" s="2" t="s">
        <v>148</v>
      </c>
      <c r="Z119" s="12">
        <f>SUMIF(Table1[product],Table1[[#This Row],[product]],Table1[loan_amount])</f>
        <v>92273000</v>
      </c>
      <c r="AA119" s="15">
        <f>SUMIF(Table1[region],Table1[[#This Row],[region]],Table1[current_balance])</f>
        <v>83903255</v>
      </c>
      <c r="AB119" s="2">
        <f>COUNTIF(Table1[loan_status],Table1[[#This Row],[loan_status]])</f>
        <v>301</v>
      </c>
      <c r="AC119" s="2">
        <f>COUNTIF(Table1[default_flag],1)/ROWS(Table1[loan_id])</f>
        <v>2.5999999999999999E-2</v>
      </c>
      <c r="AD119" s="2">
        <f>COUNTIFS(Table1[region],Table1[[#This Row],[region]],Table1[default_flag],1)/COUNTIF(Table1[region],Table1[[#This Row],[region]])</f>
        <v>4.2553191489361701E-2</v>
      </c>
      <c r="AE119" s="2">
        <f>COUNTIFS(Table1[channel],Table1[[#This Row],[channel]],Table1[prepayment_flag],1)/COUNTIF(Table1[channel],Table1[[#This Row],[channel]])</f>
        <v>0.12</v>
      </c>
      <c r="AF119" s="2">
        <f>AVERAGEIFS(Table1[interest_rate_pct],Table1[product],Table1[[#This Row],[product]],Table1[risk_band],Table1[[#This Row],[risk_band]])</f>
        <v>15.092000000000001</v>
      </c>
      <c r="AG119" s="2" t="str" cm="1">
        <f t="array" ref="AG119">_xlfn.IFS(Table1[[#This Row],[dti_ratio]] &lt; 0.2, " less than 0.2", Table1[[#This Row],[dti_ratio]] &lt; 0.3, "0.2 - 0.3", Table1[[#This Row],[dti_ratio]] &lt;= 0.5, "0.35 - 0.5", Table1[[#This Row],[dti_ratio]] &gt; 0.5, "greater than 0.5")</f>
        <v xml:space="preserve"> less than 0.2</v>
      </c>
      <c r="AH119" s="2">
        <f>COUNTIF(Table1[DTI band],Table1[[#This Row],[DTI band]])</f>
        <v>86</v>
      </c>
      <c r="AI119" s="2" t="str" cm="1">
        <f t="array" ref="AI119">_xlfn.IFS(Table1[[#This Row],[ltv_ratio]] &lt; 0.6, "less than 0.6 -less risky", Table1[[#This Row],[ltv_ratio]]  &lt;= 0.8, "0.6 - 0.8 -medium risky",Table1[[#This Row],[ltv_ratio]] &gt; 0.8, "greater than 0.8 -highly risky")</f>
        <v>greater than 0.8 -highly risky</v>
      </c>
      <c r="AJ119" s="2">
        <f>COUNTIF(Table1[LTV band],Table1[[#This Row],[LTV band]])</f>
        <v>141</v>
      </c>
      <c r="AK119" s="2">
        <f>COUNTIFS(Table1[count_loan_perband],Table1[[#This Row],[count_loan_perband]],Table1[default_flag],1)/COUNTIF(Table1[count_loan_perband],Table1[[#This Row],[count_loan_perband]])</f>
        <v>1.4184397163120567E-2</v>
      </c>
      <c r="AL119" s="2" t="str" cm="1">
        <f t="array" ref="AL119">_xlfn.IFS(Table1[[#This Row],[loan_amount]] &lt; 900000, "lower size (&lt; 9L)", Table1[[#This Row],[loan_amount]] &lt;=3300000, "medium size (&lt;=33L)", Table1[[#This Row],[loan_amount]] &gt; 3300000, "larger size (&gt; 33L)")</f>
        <v>lower size (&lt; 9L)</v>
      </c>
      <c r="AM119" s="2">
        <f>IF(Table1[[#This Row],[dpd]] &gt;=30,1,0)</f>
        <v>0</v>
      </c>
      <c r="AN119" s="2">
        <f>COUNTIFS(Table1[Loan size],Table1[[#This Row],[Loan size]],Table1[dpd flag],1)/COUNTIF(Table1[Loan size],Table1[[#This Row],[Loan size]])</f>
        <v>0.13934426229508196</v>
      </c>
      <c r="AO119" s="2" t="str">
        <f>IF(OR(Table1[[#This Row],[credit_score]] &lt; 600, Table1[ [#This Row],[dti_ratio] ] &gt; 0.5, Table1[[#This Row],[dpd]] &gt;=30), "high risk", " not riskY")</f>
        <v xml:space="preserve"> not riskY</v>
      </c>
      <c r="AP119" s="26">
        <f>EOMONTH(Table1[[#This Row],[origination_date]],0)</f>
        <v>45382</v>
      </c>
      <c r="AQ119" s="2">
        <f>SUMIFS(Table1[loan_amount],Table1[origination month],Table1[[#This Row],[origination month]])</f>
        <v>13709600</v>
      </c>
      <c r="AR119" s="2">
        <f>AVERAGEIFS(Table1[months_on_book],Table1[product],Table1[[#This Row],[product]])</f>
        <v>20.262135922330096</v>
      </c>
      <c r="AS119" s="2" t="str">
        <f ca="1">IF(EDATE(Table1[[#This Row],[origination_date]],6) &gt;= TODAY(), "New Loan", "Old Loan")</f>
        <v>Old Loan</v>
      </c>
      <c r="AT119" s="2" t="str">
        <f>"Q"&amp;ROUNDUP(MONTH(Table1[[#This Row],[origination_date]])/3,0)&amp;YEAR(Table1[[#This Row],[origination_date]])</f>
        <v>Q12024</v>
      </c>
      <c r="AU119" s="2">
        <f>SUMIFS(Table1[loan_amount],Table1[quarter],Table1[[#This Row],[quarter]])</f>
        <v>48515800</v>
      </c>
      <c r="AV119" s="34" t="str">
        <f>_xlfn.TEXTJOIN("|",TRUE,Table1[[#This Row],[loan_id]:[loan_status]])</f>
        <v>L24461934|C1467656|45357|Auto Loan|Call Center|West|Salaried|60|795800|16.54|19581|770004|602|D|0.16|0.82|967500|21|366002|521936|0|0|0|Active</v>
      </c>
      <c r="AW119" s="42">
        <f>YEAR(Loan_Table[ [#This Row],[origination_date] ])</f>
        <v>2025</v>
      </c>
    </row>
    <row r="120" spans="2:49" ht="18" customHeight="1">
      <c r="B120" s="5" t="s">
        <v>360</v>
      </c>
      <c r="C120" s="2" t="s">
        <v>361</v>
      </c>
      <c r="D120" s="3">
        <v>45352</v>
      </c>
      <c r="E120" s="2" t="s">
        <v>131</v>
      </c>
      <c r="F120" s="2" t="s">
        <v>132</v>
      </c>
      <c r="G120" s="2" t="s">
        <v>145</v>
      </c>
      <c r="H120" s="2" t="s">
        <v>134</v>
      </c>
      <c r="I120" s="2">
        <v>24</v>
      </c>
      <c r="J120" s="2">
        <v>398000</v>
      </c>
      <c r="K120" s="2">
        <v>17.440000000000001</v>
      </c>
      <c r="L120" s="2">
        <v>19762</v>
      </c>
      <c r="M120" s="2">
        <v>941579</v>
      </c>
      <c r="N120" s="2">
        <v>712</v>
      </c>
      <c r="O120" s="2" t="s">
        <v>135</v>
      </c>
      <c r="P120" s="2">
        <v>0.13</v>
      </c>
      <c r="Q120" s="2">
        <v>0.78</v>
      </c>
      <c r="R120" s="2">
        <v>0</v>
      </c>
      <c r="S120" s="2">
        <v>21</v>
      </c>
      <c r="T120" s="2">
        <v>411997</v>
      </c>
      <c r="U120" s="2">
        <v>34591</v>
      </c>
      <c r="V120" s="2">
        <v>30</v>
      </c>
      <c r="W120" s="2">
        <v>0</v>
      </c>
      <c r="X120" s="2">
        <v>0</v>
      </c>
      <c r="Y120" s="2" t="s">
        <v>136</v>
      </c>
      <c r="Z120" s="12">
        <f>SUMIF(Table1[product],Table1[[#This Row],[product]],Table1[loan_amount])</f>
        <v>74897600</v>
      </c>
      <c r="AA120" s="15">
        <f>SUMIF(Table1[region],Table1[[#This Row],[region]],Table1[current_balance])</f>
        <v>98928695</v>
      </c>
      <c r="AB120" s="2">
        <f>COUNTIF(Table1[loan_status],Table1[[#This Row],[loan_status]])</f>
        <v>47</v>
      </c>
      <c r="AC120" s="2">
        <f>COUNTIF(Table1[default_flag],1)/ROWS(Table1[loan_id])</f>
        <v>2.5999999999999999E-2</v>
      </c>
      <c r="AD120" s="2">
        <f>COUNTIFS(Table1[region],Table1[[#This Row],[region]],Table1[default_flag],1)/COUNTIF(Table1[region],Table1[[#This Row],[region]])</f>
        <v>2.8571428571428571E-2</v>
      </c>
      <c r="AE120" s="2">
        <f>COUNTIFS(Table1[channel],Table1[[#This Row],[channel]],Table1[prepayment_flag],1)/COUNTIF(Table1[channel],Table1[[#This Row],[channel]])</f>
        <v>7.1090047393364927E-2</v>
      </c>
      <c r="AF120" s="2">
        <f>AVERAGEIFS(Table1[interest_rate_pct],Table1[product],Table1[[#This Row],[product]],Table1[risk_band],Table1[[#This Row],[risk_band]])</f>
        <v>16.500166666666669</v>
      </c>
      <c r="AG120" s="2" t="str" cm="1">
        <f t="array" ref="AG120">_xlfn.IFS(Table1[[#This Row],[dti_ratio]] &lt; 0.2, " less than 0.2", Table1[[#This Row],[dti_ratio]] &lt; 0.3, "0.2 - 0.3", Table1[[#This Row],[dti_ratio]] &lt;= 0.5, "0.35 - 0.5", Table1[[#This Row],[dti_ratio]] &gt; 0.5, "greater than 0.5")</f>
        <v xml:space="preserve"> less than 0.2</v>
      </c>
      <c r="AH120" s="2">
        <f>COUNTIF(Table1[DTI band],Table1[[#This Row],[DTI band]])</f>
        <v>86</v>
      </c>
      <c r="AI120" s="2" t="str" cm="1">
        <f t="array" ref="AI120">_xlfn.IFS(Table1[[#This Row],[ltv_ratio]] &lt; 0.6, "less than 0.6 -less risky", Table1[[#This Row],[ltv_ratio]]  &lt;= 0.8, "0.6 - 0.8 -medium risky",Table1[[#This Row],[ltv_ratio]] &gt; 0.8, "greater than 0.8 -highly risky")</f>
        <v>0.6 - 0.8 -medium risky</v>
      </c>
      <c r="AJ120" s="2">
        <f>COUNTIF(Table1[LTV band],Table1[[#This Row],[LTV band]])</f>
        <v>302</v>
      </c>
      <c r="AK120" s="2">
        <f>COUNTIFS(Table1[count_loan_perband],Table1[[#This Row],[count_loan_perband]],Table1[default_flag],1)/COUNTIF(Table1[count_loan_perband],Table1[[#This Row],[count_loan_perband]])</f>
        <v>3.6423841059602648E-2</v>
      </c>
      <c r="AL120" s="2" t="str" cm="1">
        <f t="array" ref="AL120">_xlfn.IFS(Table1[[#This Row],[loan_amount]] &lt; 900000, "lower size (&lt; 9L)", Table1[[#This Row],[loan_amount]] &lt;=3300000, "medium size (&lt;=33L)", Table1[[#This Row],[loan_amount]] &gt; 3300000, "larger size (&gt; 33L)")</f>
        <v>lower size (&lt; 9L)</v>
      </c>
      <c r="AM120" s="2">
        <f>IF(Table1[[#This Row],[dpd]] &gt;=30,1,0)</f>
        <v>1</v>
      </c>
      <c r="AN120" s="2">
        <f>COUNTIFS(Table1[Loan size],Table1[[#This Row],[Loan size]],Table1[dpd flag],1)/COUNTIF(Table1[Loan size],Table1[[#This Row],[Loan size]])</f>
        <v>0.13934426229508196</v>
      </c>
      <c r="AO120" s="2" t="str">
        <f>IF(OR(Table1[[#This Row],[credit_score]] &lt; 600, Table1[ [#This Row],[dti_ratio] ] &gt; 0.5, Table1[[#This Row],[dpd]] &gt;=30), "high risk", " not riskY")</f>
        <v>high risk</v>
      </c>
      <c r="AP120" s="26">
        <f>EOMONTH(Table1[[#This Row],[origination_date]],0)</f>
        <v>45382</v>
      </c>
      <c r="AQ120" s="2">
        <f>SUMIFS(Table1[loan_amount],Table1[origination month],Table1[[#This Row],[origination month]])</f>
        <v>13709600</v>
      </c>
      <c r="AR120" s="2">
        <f>AVERAGEIFS(Table1[months_on_book],Table1[product],Table1[[#This Row],[product]])</f>
        <v>21.092024539877301</v>
      </c>
      <c r="AS120" s="2" t="str">
        <f ca="1">IF(EDATE(Table1[[#This Row],[origination_date]],6) &gt;= TODAY(), "New Loan", "Old Loan")</f>
        <v>Old Loan</v>
      </c>
      <c r="AT120" s="2" t="str">
        <f>"Q"&amp;ROUNDUP(MONTH(Table1[[#This Row],[origination_date]])/3,0)&amp;YEAR(Table1[[#This Row],[origination_date]])</f>
        <v>Q12024</v>
      </c>
      <c r="AU120" s="2">
        <f>SUMIFS(Table1[loan_amount],Table1[quarter],Table1[[#This Row],[quarter]])</f>
        <v>48515800</v>
      </c>
      <c r="AV120" s="34" t="str">
        <f>_xlfn.TEXTJOIN("|",TRUE,Table1[[#This Row],[loan_id]:[loan_status]])</f>
        <v>L21481916|C9381126|45352|Personal Loan|Online|Central|Salaried|24|398000|17.44|19762|941579|712|B|0.13|0.78|0|21|411997|34591|30|0|0|Delinquent</v>
      </c>
      <c r="AW120" s="42">
        <f>YEAR(Loan_Table[ [#This Row],[origination_date] ])</f>
        <v>2025</v>
      </c>
    </row>
    <row r="121" spans="2:49" ht="18" customHeight="1">
      <c r="B121" s="5" t="s">
        <v>362</v>
      </c>
      <c r="C121" s="2" t="s">
        <v>363</v>
      </c>
      <c r="D121" s="3">
        <v>45320</v>
      </c>
      <c r="E121" s="2" t="s">
        <v>131</v>
      </c>
      <c r="F121" s="2" t="s">
        <v>132</v>
      </c>
      <c r="G121" s="2" t="s">
        <v>133</v>
      </c>
      <c r="H121" s="2" t="s">
        <v>152</v>
      </c>
      <c r="I121" s="2">
        <v>24</v>
      </c>
      <c r="J121" s="2">
        <v>243200</v>
      </c>
      <c r="K121" s="2">
        <v>17.440000000000001</v>
      </c>
      <c r="L121" s="2">
        <v>12076</v>
      </c>
      <c r="M121" s="2">
        <v>608967</v>
      </c>
      <c r="N121" s="2">
        <v>707</v>
      </c>
      <c r="O121" s="2" t="s">
        <v>135</v>
      </c>
      <c r="P121" s="2">
        <v>0.11</v>
      </c>
      <c r="Q121" s="2">
        <v>0.6</v>
      </c>
      <c r="R121" s="2">
        <v>0</v>
      </c>
      <c r="S121" s="2">
        <v>23</v>
      </c>
      <c r="T121" s="2">
        <v>236310</v>
      </c>
      <c r="U121" s="2">
        <v>39407</v>
      </c>
      <c r="V121" s="2">
        <v>60</v>
      </c>
      <c r="W121" s="2">
        <v>0</v>
      </c>
      <c r="X121" s="2">
        <v>0</v>
      </c>
      <c r="Y121" s="2" t="s">
        <v>136</v>
      </c>
      <c r="Z121" s="12">
        <f>SUMIF(Table1[product],Table1[[#This Row],[product]],Table1[loan_amount])</f>
        <v>74897600</v>
      </c>
      <c r="AA121" s="15">
        <f>SUMIF(Table1[region],Table1[[#This Row],[region]],Table1[current_balance])</f>
        <v>94548000</v>
      </c>
      <c r="AB121" s="2">
        <f>COUNTIF(Table1[loan_status],Table1[[#This Row],[loan_status]])</f>
        <v>47</v>
      </c>
      <c r="AC121" s="2">
        <f>COUNTIF(Table1[default_flag],1)/ROWS(Table1[loan_id])</f>
        <v>2.5999999999999999E-2</v>
      </c>
      <c r="AD121" s="2">
        <f>COUNTIFS(Table1[region],Table1[[#This Row],[region]],Table1[default_flag],1)/COUNTIF(Table1[region],Table1[[#This Row],[region]])</f>
        <v>0</v>
      </c>
      <c r="AE121" s="2">
        <f>COUNTIFS(Table1[channel],Table1[[#This Row],[channel]],Table1[prepayment_flag],1)/COUNTIF(Table1[channel],Table1[[#This Row],[channel]])</f>
        <v>7.1090047393364927E-2</v>
      </c>
      <c r="AF121" s="2">
        <f>AVERAGEIFS(Table1[interest_rate_pct],Table1[product],Table1[[#This Row],[product]],Table1[risk_band],Table1[[#This Row],[risk_band]])</f>
        <v>16.500166666666669</v>
      </c>
      <c r="AG121" s="2" t="str" cm="1">
        <f t="array" ref="AG121">_xlfn.IFS(Table1[[#This Row],[dti_ratio]] &lt; 0.2, " less than 0.2", Table1[[#This Row],[dti_ratio]] &lt; 0.3, "0.2 - 0.3", Table1[[#This Row],[dti_ratio]] &lt;= 0.5, "0.35 - 0.5", Table1[[#This Row],[dti_ratio]] &gt; 0.5, "greater than 0.5")</f>
        <v xml:space="preserve"> less than 0.2</v>
      </c>
      <c r="AH121" s="2">
        <f>COUNTIF(Table1[DTI band],Table1[[#This Row],[DTI band]])</f>
        <v>86</v>
      </c>
      <c r="AI121" s="2" t="str" cm="1">
        <f t="array" ref="AI121">_xlfn.IFS(Table1[[#This Row],[ltv_ratio]] &lt; 0.6, "less than 0.6 -less risky", Table1[[#This Row],[ltv_ratio]]  &lt;= 0.8, "0.6 - 0.8 -medium risky",Table1[[#This Row],[ltv_ratio]] &gt; 0.8, "greater than 0.8 -highly risky")</f>
        <v>0.6 - 0.8 -medium risky</v>
      </c>
      <c r="AJ121" s="2">
        <f>COUNTIF(Table1[LTV band],Table1[[#This Row],[LTV band]])</f>
        <v>302</v>
      </c>
      <c r="AK121" s="2">
        <f>COUNTIFS(Table1[count_loan_perband],Table1[[#This Row],[count_loan_perband]],Table1[default_flag],1)/COUNTIF(Table1[count_loan_perband],Table1[[#This Row],[count_loan_perband]])</f>
        <v>3.6423841059602648E-2</v>
      </c>
      <c r="AL121" s="2" t="str" cm="1">
        <f t="array" ref="AL121">_xlfn.IFS(Table1[[#This Row],[loan_amount]] &lt; 900000, "lower size (&lt; 9L)", Table1[[#This Row],[loan_amount]] &lt;=3300000, "medium size (&lt;=33L)", Table1[[#This Row],[loan_amount]] &gt; 3300000, "larger size (&gt; 33L)")</f>
        <v>lower size (&lt; 9L)</v>
      </c>
      <c r="AM121" s="2">
        <f>IF(Table1[[#This Row],[dpd]] &gt;=30,1,0)</f>
        <v>1</v>
      </c>
      <c r="AN121" s="2">
        <f>COUNTIFS(Table1[Loan size],Table1[[#This Row],[Loan size]],Table1[dpd flag],1)/COUNTIF(Table1[Loan size],Table1[[#This Row],[Loan size]])</f>
        <v>0.13934426229508196</v>
      </c>
      <c r="AO121" s="2" t="str">
        <f>IF(OR(Table1[[#This Row],[credit_score]] &lt; 600, Table1[ [#This Row],[dti_ratio] ] &gt; 0.5, Table1[[#This Row],[dpd]] &gt;=30), "high risk", " not riskY")</f>
        <v>high risk</v>
      </c>
      <c r="AP121" s="26">
        <f>EOMONTH(Table1[[#This Row],[origination_date]],0)</f>
        <v>45322</v>
      </c>
      <c r="AQ121" s="2">
        <f>SUMIFS(Table1[loan_amount],Table1[origination month],Table1[[#This Row],[origination month]])</f>
        <v>24741500</v>
      </c>
      <c r="AR121" s="2">
        <f>AVERAGEIFS(Table1[months_on_book],Table1[product],Table1[[#This Row],[product]])</f>
        <v>21.092024539877301</v>
      </c>
      <c r="AS121" s="2" t="str">
        <f ca="1">IF(EDATE(Table1[[#This Row],[origination_date]],6) &gt;= TODAY(), "New Loan", "Old Loan")</f>
        <v>Old Loan</v>
      </c>
      <c r="AT121" s="2" t="str">
        <f>"Q"&amp;ROUNDUP(MONTH(Table1[[#This Row],[origination_date]])/3,0)&amp;YEAR(Table1[[#This Row],[origination_date]])</f>
        <v>Q12024</v>
      </c>
      <c r="AU121" s="2">
        <f>SUMIFS(Table1[loan_amount],Table1[quarter],Table1[[#This Row],[quarter]])</f>
        <v>48515800</v>
      </c>
      <c r="AV121" s="34" t="str">
        <f>_xlfn.TEXTJOIN("|",TRUE,Table1[[#This Row],[loan_id]:[loan_status]])</f>
        <v>L49502031|C3838507|45320|Personal Loan|Online|South|Self-Employed|24|243200|17.44|12076|608967|707|B|0.11|0.6|0|23|236310|39407|60|0|0|Delinquent</v>
      </c>
      <c r="AW121" s="42">
        <f>YEAR(Loan_Table[ [#This Row],[origination_date] ])</f>
        <v>2025</v>
      </c>
    </row>
    <row r="122" spans="2:49" ht="18" customHeight="1">
      <c r="B122" s="5" t="s">
        <v>364</v>
      </c>
      <c r="C122" s="2" t="s">
        <v>365</v>
      </c>
      <c r="D122" s="3">
        <v>45364</v>
      </c>
      <c r="E122" s="2" t="s">
        <v>131</v>
      </c>
      <c r="F122" s="2" t="s">
        <v>144</v>
      </c>
      <c r="G122" s="2" t="s">
        <v>170</v>
      </c>
      <c r="H122" s="2" t="s">
        <v>146</v>
      </c>
      <c r="I122" s="2">
        <v>120</v>
      </c>
      <c r="J122" s="2">
        <v>534900</v>
      </c>
      <c r="K122" s="2">
        <v>26.08</v>
      </c>
      <c r="L122" s="2">
        <v>12578</v>
      </c>
      <c r="M122" s="2">
        <v>1451382</v>
      </c>
      <c r="N122" s="2">
        <v>514</v>
      </c>
      <c r="O122" s="2" t="s">
        <v>166</v>
      </c>
      <c r="P122" s="2">
        <v>0.1</v>
      </c>
      <c r="Q122" s="2">
        <v>0.64</v>
      </c>
      <c r="R122" s="2">
        <v>0</v>
      </c>
      <c r="S122" s="2">
        <v>21</v>
      </c>
      <c r="T122" s="2">
        <v>242956</v>
      </c>
      <c r="U122" s="2">
        <v>389595</v>
      </c>
      <c r="V122" s="2">
        <v>0</v>
      </c>
      <c r="W122" s="2">
        <v>0</v>
      </c>
      <c r="X122" s="2">
        <v>0</v>
      </c>
      <c r="Y122" s="2" t="s">
        <v>148</v>
      </c>
      <c r="Z122" s="12">
        <f>SUMIF(Table1[product],Table1[[#This Row],[product]],Table1[loan_amount])</f>
        <v>74897600</v>
      </c>
      <c r="AA122" s="15">
        <f>SUMIF(Table1[region],Table1[[#This Row],[region]],Table1[current_balance])</f>
        <v>83297251</v>
      </c>
      <c r="AB122" s="2">
        <f>COUNTIF(Table1[loan_status],Table1[[#This Row],[loan_status]])</f>
        <v>301</v>
      </c>
      <c r="AC122" s="2">
        <f>COUNTIF(Table1[default_flag],1)/ROWS(Table1[loan_id])</f>
        <v>2.5999999999999999E-2</v>
      </c>
      <c r="AD122" s="2">
        <f>COUNTIFS(Table1[region],Table1[[#This Row],[region]],Table1[default_flag],1)/COUNTIF(Table1[region],Table1[[#This Row],[region]])</f>
        <v>3.1914893617021274E-2</v>
      </c>
      <c r="AE122" s="2">
        <f>COUNTIFS(Table1[channel],Table1[[#This Row],[channel]],Table1[prepayment_flag],1)/COUNTIF(Table1[channel],Table1[[#This Row],[channel]])</f>
        <v>5.8201058201058198E-2</v>
      </c>
      <c r="AF122" s="2">
        <f>AVERAGEIFS(Table1[interest_rate_pct],Table1[product],Table1[[#This Row],[product]],Table1[risk_band],Table1[[#This Row],[risk_band]])</f>
        <v>23.803750000000001</v>
      </c>
      <c r="AG122" s="2" t="str" cm="1">
        <f t="array" ref="AG122">_xlfn.IFS(Table1[[#This Row],[dti_ratio]] &lt; 0.2, " less than 0.2", Table1[[#This Row],[dti_ratio]] &lt; 0.3, "0.2 - 0.3", Table1[[#This Row],[dti_ratio]] &lt;= 0.5, "0.35 - 0.5", Table1[[#This Row],[dti_ratio]] &gt; 0.5, "greater than 0.5")</f>
        <v xml:space="preserve"> less than 0.2</v>
      </c>
      <c r="AH122" s="2">
        <f>COUNTIF(Table1[DTI band],Table1[[#This Row],[DTI band]])</f>
        <v>86</v>
      </c>
      <c r="AI122" s="2" t="str" cm="1">
        <f t="array" ref="AI122">_xlfn.IFS(Table1[[#This Row],[ltv_ratio]] &lt; 0.6, "less than 0.6 -less risky", Table1[[#This Row],[ltv_ratio]]  &lt;= 0.8, "0.6 - 0.8 -medium risky",Table1[[#This Row],[ltv_ratio]] &gt; 0.8, "greater than 0.8 -highly risky")</f>
        <v>0.6 - 0.8 -medium risky</v>
      </c>
      <c r="AJ122" s="2">
        <f>COUNTIF(Table1[LTV band],Table1[[#This Row],[LTV band]])</f>
        <v>302</v>
      </c>
      <c r="AK122" s="2">
        <f>COUNTIFS(Table1[count_loan_perband],Table1[[#This Row],[count_loan_perband]],Table1[default_flag],1)/COUNTIF(Table1[count_loan_perband],Table1[[#This Row],[count_loan_perband]])</f>
        <v>3.6423841059602648E-2</v>
      </c>
      <c r="AL122" s="2" t="str" cm="1">
        <f t="array" ref="AL122">_xlfn.IFS(Table1[[#This Row],[loan_amount]] &lt; 900000, "lower size (&lt; 9L)", Table1[[#This Row],[loan_amount]] &lt;=3300000, "medium size (&lt;=33L)", Table1[[#This Row],[loan_amount]] &gt; 3300000, "larger size (&gt; 33L)")</f>
        <v>lower size (&lt; 9L)</v>
      </c>
      <c r="AM122" s="2">
        <f>IF(Table1[[#This Row],[dpd]] &gt;=30,1,0)</f>
        <v>0</v>
      </c>
      <c r="AN122" s="2">
        <f>COUNTIFS(Table1[Loan size],Table1[[#This Row],[Loan size]],Table1[dpd flag],1)/COUNTIF(Table1[Loan size],Table1[[#This Row],[Loan size]])</f>
        <v>0.13934426229508196</v>
      </c>
      <c r="AO122" s="2" t="str">
        <f>IF(OR(Table1[[#This Row],[credit_score]] &lt; 600, Table1[ [#This Row],[dti_ratio] ] &gt; 0.5, Table1[[#This Row],[dpd]] &gt;=30), "high risk", " not riskY")</f>
        <v>high risk</v>
      </c>
      <c r="AP122" s="26">
        <f>EOMONTH(Table1[[#This Row],[origination_date]],0)</f>
        <v>45382</v>
      </c>
      <c r="AQ122" s="2">
        <f>SUMIFS(Table1[loan_amount],Table1[origination month],Table1[[#This Row],[origination month]])</f>
        <v>13709600</v>
      </c>
      <c r="AR122" s="2">
        <f>AVERAGEIFS(Table1[months_on_book],Table1[product],Table1[[#This Row],[product]])</f>
        <v>21.092024539877301</v>
      </c>
      <c r="AS122" s="2" t="str">
        <f ca="1">IF(EDATE(Table1[[#This Row],[origination_date]],6) &gt;= TODAY(), "New Loan", "Old Loan")</f>
        <v>Old Loan</v>
      </c>
      <c r="AT122" s="2" t="str">
        <f>"Q"&amp;ROUNDUP(MONTH(Table1[[#This Row],[origination_date]])/3,0)&amp;YEAR(Table1[[#This Row],[origination_date]])</f>
        <v>Q12024</v>
      </c>
      <c r="AU122" s="2">
        <f>SUMIFS(Table1[loan_amount],Table1[quarter],Table1[[#This Row],[quarter]])</f>
        <v>48515800</v>
      </c>
      <c r="AV122" s="34" t="str">
        <f>_xlfn.TEXTJOIN("|",TRUE,Table1[[#This Row],[loan_id]:[loan_status]])</f>
        <v>L30669042|C2651799|45364|Personal Loan|Branch|East|Contract|120|534900|26.08|12578|1451382|514|E|0.1|0.64|0|21|242956|389595|0|0|0|Active</v>
      </c>
      <c r="AW122" s="42">
        <f>YEAR(Loan_Table[ [#This Row],[origination_date] ])</f>
        <v>2025</v>
      </c>
    </row>
    <row r="123" spans="2:49" ht="18" customHeight="1">
      <c r="B123" s="5" t="s">
        <v>366</v>
      </c>
      <c r="C123" s="2" t="s">
        <v>367</v>
      </c>
      <c r="D123" s="3">
        <v>45708</v>
      </c>
      <c r="E123" s="2" t="s">
        <v>158</v>
      </c>
      <c r="F123" s="2" t="s">
        <v>144</v>
      </c>
      <c r="G123" s="2" t="s">
        <v>133</v>
      </c>
      <c r="H123" s="2" t="s">
        <v>192</v>
      </c>
      <c r="I123" s="2">
        <v>120</v>
      </c>
      <c r="J123" s="2">
        <v>1767000</v>
      </c>
      <c r="K123" s="2">
        <v>15.17</v>
      </c>
      <c r="L123" s="2">
        <v>28692</v>
      </c>
      <c r="M123" s="2">
        <v>1301890</v>
      </c>
      <c r="N123" s="2">
        <v>684</v>
      </c>
      <c r="O123" s="2" t="s">
        <v>140</v>
      </c>
      <c r="P123" s="2">
        <v>0.51</v>
      </c>
      <c r="Q123" s="2">
        <v>0.57999999999999996</v>
      </c>
      <c r="R123" s="2">
        <v>3042100</v>
      </c>
      <c r="S123" s="2">
        <v>10</v>
      </c>
      <c r="T123" s="2">
        <v>270217</v>
      </c>
      <c r="U123" s="2">
        <v>1586134</v>
      </c>
      <c r="V123" s="2">
        <v>15</v>
      </c>
      <c r="W123" s="2">
        <v>0</v>
      </c>
      <c r="X123" s="2">
        <v>0</v>
      </c>
      <c r="Y123" s="2" t="s">
        <v>148</v>
      </c>
      <c r="Z123" s="12">
        <f>SUMIF(Table1[product],Table1[[#This Row],[product]],Table1[loan_amount])</f>
        <v>201475100</v>
      </c>
      <c r="AA123" s="15">
        <f>SUMIF(Table1[region],Table1[[#This Row],[region]],Table1[current_balance])</f>
        <v>94548000</v>
      </c>
      <c r="AB123" s="2">
        <f>COUNTIF(Table1[loan_status],Table1[[#This Row],[loan_status]])</f>
        <v>301</v>
      </c>
      <c r="AC123" s="2">
        <f>COUNTIF(Table1[default_flag],1)/ROWS(Table1[loan_id])</f>
        <v>2.5999999999999999E-2</v>
      </c>
      <c r="AD123" s="2">
        <f>COUNTIFS(Table1[region],Table1[[#This Row],[region]],Table1[default_flag],1)/COUNTIF(Table1[region],Table1[[#This Row],[region]])</f>
        <v>0</v>
      </c>
      <c r="AE123" s="2">
        <f>COUNTIFS(Table1[channel],Table1[[#This Row],[channel]],Table1[prepayment_flag],1)/COUNTIF(Table1[channel],Table1[[#This Row],[channel]])</f>
        <v>5.8201058201058198E-2</v>
      </c>
      <c r="AF123" s="2">
        <f>AVERAGEIFS(Table1[interest_rate_pct],Table1[product],Table1[[#This Row],[product]],Table1[risk_band],Table1[[#This Row],[risk_band]])</f>
        <v>15.841379310344831</v>
      </c>
      <c r="AG123" s="2" t="str" cm="1">
        <f t="array" ref="AG123">_xlfn.IFS(Table1[[#This Row],[dti_ratio]] &lt; 0.2, " less than 0.2", Table1[[#This Row],[dti_ratio]] &lt; 0.3, "0.2 - 0.3", Table1[[#This Row],[dti_ratio]] &lt;= 0.5, "0.35 - 0.5", Table1[[#This Row],[dti_ratio]] &gt; 0.5, "greater than 0.5")</f>
        <v>greater than 0.5</v>
      </c>
      <c r="AH123" s="2">
        <f>COUNTIF(Table1[DTI band],Table1[[#This Row],[DTI band]])</f>
        <v>32</v>
      </c>
      <c r="AI123" s="2" t="str" cm="1">
        <f t="array" ref="AI123">_xlfn.IFS(Table1[[#This Row],[ltv_ratio]] &lt; 0.6, "less than 0.6 -less risky", Table1[[#This Row],[ltv_ratio]]  &lt;= 0.8, "0.6 - 0.8 -medium risky",Table1[[#This Row],[ltv_ratio]] &gt; 0.8, "greater than 0.8 -highly risky")</f>
        <v>less than 0.6 -less risky</v>
      </c>
      <c r="AJ123" s="2">
        <f>COUNTIF(Table1[LTV band],Table1[[#This Row],[LTV band]])</f>
        <v>57</v>
      </c>
      <c r="AK123" s="2">
        <f>COUNTIFS(Table1[count_loan_perband],Table1[[#This Row],[count_loan_perband]],Table1[default_flag],1)/COUNTIF(Table1[count_loan_perband],Table1[[#This Row],[count_loan_perband]])</f>
        <v>0</v>
      </c>
      <c r="AL123" s="2" t="str" cm="1">
        <f t="array" ref="AL123">_xlfn.IFS(Table1[[#This Row],[loan_amount]] &lt; 900000, "lower size (&lt; 9L)", Table1[[#This Row],[loan_amount]] &lt;=3300000, "medium size (&lt;=33L)", Table1[[#This Row],[loan_amount]] &gt; 3300000, "larger size (&gt; 33L)")</f>
        <v>medium size (&lt;=33L)</v>
      </c>
      <c r="AM123" s="2">
        <f>IF(Table1[[#This Row],[dpd]] &gt;=30,1,0)</f>
        <v>0</v>
      </c>
      <c r="AN123" s="2">
        <f>COUNTIFS(Table1[Loan size],Table1[[#This Row],[Loan size]],Table1[dpd flag],1)/COUNTIF(Table1[Loan size],Table1[[#This Row],[Loan size]])</f>
        <v>0.15909090909090909</v>
      </c>
      <c r="AO123" s="2" t="str">
        <f>IF(OR(Table1[[#This Row],[credit_score]] &lt; 600, Table1[ [#This Row],[dti_ratio] ] &gt; 0.5, Table1[[#This Row],[dpd]] &gt;=30), "high risk", " not riskY")</f>
        <v>high risk</v>
      </c>
      <c r="AP123" s="26">
        <f>EOMONTH(Table1[[#This Row],[origination_date]],0)</f>
        <v>45716</v>
      </c>
      <c r="AQ123" s="2">
        <f>SUMIFS(Table1[loan_amount],Table1[origination month],Table1[[#This Row],[origination month]])</f>
        <v>17968200</v>
      </c>
      <c r="AR123" s="2">
        <f>AVERAGEIFS(Table1[months_on_book],Table1[product],Table1[[#This Row],[product]])</f>
        <v>19.091954022988507</v>
      </c>
      <c r="AS123" s="2" t="str">
        <f ca="1">IF(EDATE(Table1[[#This Row],[origination_date]],6) &gt;= TODAY(), "New Loan", "Old Loan")</f>
        <v>Old Loan</v>
      </c>
      <c r="AT123" s="2" t="str">
        <f>"Q"&amp;ROUNDUP(MONTH(Table1[[#This Row],[origination_date]])/3,0)&amp;YEAR(Table1[[#This Row],[origination_date]])</f>
        <v>Q12025</v>
      </c>
      <c r="AU123" s="2">
        <f>SUMIFS(Table1[loan_amount],Table1[quarter],Table1[[#This Row],[quarter]])</f>
        <v>40328000</v>
      </c>
      <c r="AV123" s="34" t="str">
        <f>_xlfn.TEXTJOIN("|",TRUE,Table1[[#This Row],[loan_id]:[loan_status]])</f>
        <v>L73023859|C7204450|45708|SME Loan|Branch|South|Unemployed|120|1767000|15.17|28692|1301890|684|C|0.51|0.58|3042100|10|270217|1586134|15|0|0|Active</v>
      </c>
      <c r="AW123" s="42">
        <f>YEAR(Loan_Table[ [#This Row],[origination_date] ])</f>
        <v>2025</v>
      </c>
    </row>
    <row r="124" spans="2:49" ht="18" customHeight="1">
      <c r="B124" s="5" t="s">
        <v>368</v>
      </c>
      <c r="C124" s="2" t="s">
        <v>369</v>
      </c>
      <c r="D124" s="3">
        <v>45737</v>
      </c>
      <c r="E124" s="2" t="s">
        <v>163</v>
      </c>
      <c r="F124" s="2" t="s">
        <v>132</v>
      </c>
      <c r="G124" s="2" t="s">
        <v>145</v>
      </c>
      <c r="H124" s="2" t="s">
        <v>134</v>
      </c>
      <c r="I124" s="2">
        <v>60</v>
      </c>
      <c r="J124" s="2">
        <v>849000</v>
      </c>
      <c r="K124" s="2">
        <v>7.08</v>
      </c>
      <c r="L124" s="2">
        <v>16843</v>
      </c>
      <c r="M124" s="2">
        <v>1131682</v>
      </c>
      <c r="N124" s="2">
        <v>822</v>
      </c>
      <c r="O124" s="2" t="s">
        <v>160</v>
      </c>
      <c r="P124" s="2">
        <v>0.49</v>
      </c>
      <c r="Q124" s="2">
        <v>0.66</v>
      </c>
      <c r="R124" s="2">
        <v>1287000</v>
      </c>
      <c r="S124" s="2">
        <v>9</v>
      </c>
      <c r="T124" s="2">
        <v>134370</v>
      </c>
      <c r="U124" s="2">
        <v>732663</v>
      </c>
      <c r="V124" s="2">
        <v>0</v>
      </c>
      <c r="W124" s="2">
        <v>0</v>
      </c>
      <c r="X124" s="2">
        <v>0</v>
      </c>
      <c r="Y124" s="2" t="s">
        <v>148</v>
      </c>
      <c r="Z124" s="12">
        <f>SUMIF(Table1[product],Table1[[#This Row],[product]],Table1[loan_amount])</f>
        <v>92273000</v>
      </c>
      <c r="AA124" s="15">
        <f>SUMIF(Table1[region],Table1[[#This Row],[region]],Table1[current_balance])</f>
        <v>98928695</v>
      </c>
      <c r="AB124" s="2">
        <f>COUNTIF(Table1[loan_status],Table1[[#This Row],[loan_status]])</f>
        <v>301</v>
      </c>
      <c r="AC124" s="2">
        <f>COUNTIF(Table1[default_flag],1)/ROWS(Table1[loan_id])</f>
        <v>2.5999999999999999E-2</v>
      </c>
      <c r="AD124" s="2">
        <f>COUNTIFS(Table1[region],Table1[[#This Row],[region]],Table1[default_flag],1)/COUNTIF(Table1[region],Table1[[#This Row],[region]])</f>
        <v>2.8571428571428571E-2</v>
      </c>
      <c r="AE124" s="2">
        <f>COUNTIFS(Table1[channel],Table1[[#This Row],[channel]],Table1[prepayment_flag],1)/COUNTIF(Table1[channel],Table1[[#This Row],[channel]])</f>
        <v>7.1090047393364927E-2</v>
      </c>
      <c r="AF124" s="2">
        <f>AVERAGEIFS(Table1[interest_rate_pct],Table1[product],Table1[[#This Row],[product]],Table1[risk_band],Table1[[#This Row],[risk_band]])</f>
        <v>7.9444999999999997</v>
      </c>
      <c r="AG124" s="2" t="str" cm="1">
        <f t="array" ref="AG124">_xlfn.IFS(Table1[[#This Row],[dti_ratio]] &lt; 0.2, " less than 0.2", Table1[[#This Row],[dti_ratio]] &lt; 0.3, "0.2 - 0.3", Table1[[#This Row],[dti_ratio]] &lt;= 0.5, "0.35 - 0.5", Table1[[#This Row],[dti_ratio]] &gt; 0.5, "greater than 0.5")</f>
        <v>0.35 - 0.5</v>
      </c>
      <c r="AH124" s="2">
        <f>COUNTIF(Table1[DTI band],Table1[[#This Row],[DTI band]])</f>
        <v>260</v>
      </c>
      <c r="AI124" s="2" t="str" cm="1">
        <f t="array" ref="AI124">_xlfn.IFS(Table1[[#This Row],[ltv_ratio]] &lt; 0.6, "less than 0.6 -less risky", Table1[[#This Row],[ltv_ratio]]  &lt;= 0.8, "0.6 - 0.8 -medium risky",Table1[[#This Row],[ltv_ratio]] &gt; 0.8, "greater than 0.8 -highly risky")</f>
        <v>0.6 - 0.8 -medium risky</v>
      </c>
      <c r="AJ124" s="2">
        <f>COUNTIF(Table1[LTV band],Table1[[#This Row],[LTV band]])</f>
        <v>302</v>
      </c>
      <c r="AK124" s="2">
        <f>COUNTIFS(Table1[count_loan_perband],Table1[[#This Row],[count_loan_perband]],Table1[default_flag],1)/COUNTIF(Table1[count_loan_perband],Table1[[#This Row],[count_loan_perband]])</f>
        <v>3.6423841059602648E-2</v>
      </c>
      <c r="AL124" s="2" t="str" cm="1">
        <f t="array" ref="AL124">_xlfn.IFS(Table1[[#This Row],[loan_amount]] &lt; 900000, "lower size (&lt; 9L)", Table1[[#This Row],[loan_amount]] &lt;=3300000, "medium size (&lt;=33L)", Table1[[#This Row],[loan_amount]] &gt; 3300000, "larger size (&gt; 33L)")</f>
        <v>lower size (&lt; 9L)</v>
      </c>
      <c r="AM124" s="2">
        <f>IF(Table1[[#This Row],[dpd]] &gt;=30,1,0)</f>
        <v>0</v>
      </c>
      <c r="AN124" s="2">
        <f>COUNTIFS(Table1[Loan size],Table1[[#This Row],[Loan size]],Table1[dpd flag],1)/COUNTIF(Table1[Loan size],Table1[[#This Row],[Loan size]])</f>
        <v>0.13934426229508196</v>
      </c>
      <c r="AO124" s="2" t="str">
        <f>IF(OR(Table1[[#This Row],[credit_score]] &lt; 600, Table1[ [#This Row],[dti_ratio] ] &gt; 0.5, Table1[[#This Row],[dpd]] &gt;=30), "high risk", " not riskY")</f>
        <v xml:space="preserve"> not riskY</v>
      </c>
      <c r="AP124" s="26">
        <f>EOMONTH(Table1[[#This Row],[origination_date]],0)</f>
        <v>45747</v>
      </c>
      <c r="AQ124" s="2">
        <f>SUMIFS(Table1[loan_amount],Table1[origination month],Table1[[#This Row],[origination month]])</f>
        <v>5573100</v>
      </c>
      <c r="AR124" s="2">
        <f>AVERAGEIFS(Table1[months_on_book],Table1[product],Table1[[#This Row],[product]])</f>
        <v>20.262135922330096</v>
      </c>
      <c r="AS124" s="2" t="str">
        <f ca="1">IF(EDATE(Table1[[#This Row],[origination_date]],6) &gt;= TODAY(), "New Loan", "Old Loan")</f>
        <v>Old Loan</v>
      </c>
      <c r="AT124" s="2" t="str">
        <f>"Q"&amp;ROUNDUP(MONTH(Table1[[#This Row],[origination_date]])/3,0)&amp;YEAR(Table1[[#This Row],[origination_date]])</f>
        <v>Q12025</v>
      </c>
      <c r="AU124" s="2">
        <f>SUMIFS(Table1[loan_amount],Table1[quarter],Table1[[#This Row],[quarter]])</f>
        <v>40328000</v>
      </c>
      <c r="AV124" s="34" t="str">
        <f>_xlfn.TEXTJOIN("|",TRUE,Table1[[#This Row],[loan_id]:[loan_status]])</f>
        <v>L55031672|C3868515|45737|Auto Loan|Online|Central|Salaried|60|849000|7.08|16843|1131682|822|A|0.49|0.66|1287000|9|134370|732663|0|0|0|Active</v>
      </c>
      <c r="AW124" s="42">
        <f>YEAR(Loan_Table[ [#This Row],[origination_date] ])</f>
        <v>2025</v>
      </c>
    </row>
    <row r="125" spans="2:49" ht="18" customHeight="1">
      <c r="B125" s="5" t="s">
        <v>370</v>
      </c>
      <c r="C125" s="2" t="s">
        <v>371</v>
      </c>
      <c r="D125" s="3">
        <v>45661</v>
      </c>
      <c r="E125" s="2" t="s">
        <v>131</v>
      </c>
      <c r="F125" s="2" t="s">
        <v>144</v>
      </c>
      <c r="G125" s="2" t="s">
        <v>151</v>
      </c>
      <c r="H125" s="2" t="s">
        <v>134</v>
      </c>
      <c r="I125" s="2">
        <v>240</v>
      </c>
      <c r="J125" s="2">
        <v>1024900</v>
      </c>
      <c r="K125" s="2">
        <v>18.97</v>
      </c>
      <c r="L125" s="2">
        <v>16586</v>
      </c>
      <c r="M125" s="2">
        <v>1655531</v>
      </c>
      <c r="N125" s="2">
        <v>647</v>
      </c>
      <c r="O125" s="2" t="s">
        <v>147</v>
      </c>
      <c r="P125" s="2">
        <v>0.48</v>
      </c>
      <c r="Q125" s="2">
        <v>0.75</v>
      </c>
      <c r="R125" s="2">
        <v>0</v>
      </c>
      <c r="S125" s="2">
        <v>11</v>
      </c>
      <c r="T125" s="2">
        <v>182176</v>
      </c>
      <c r="U125" s="2">
        <v>914013</v>
      </c>
      <c r="V125" s="2">
        <v>5</v>
      </c>
      <c r="W125" s="2">
        <v>0</v>
      </c>
      <c r="X125" s="2">
        <v>0</v>
      </c>
      <c r="Y125" s="2" t="s">
        <v>148</v>
      </c>
      <c r="Z125" s="12">
        <f>SUMIF(Table1[product],Table1[[#This Row],[product]],Table1[loan_amount])</f>
        <v>74897600</v>
      </c>
      <c r="AA125" s="15">
        <f>SUMIF(Table1[region],Table1[[#This Row],[region]],Table1[current_balance])</f>
        <v>105779369</v>
      </c>
      <c r="AB125" s="2">
        <f>COUNTIF(Table1[loan_status],Table1[[#This Row],[loan_status]])</f>
        <v>301</v>
      </c>
      <c r="AC125" s="2">
        <f>COUNTIF(Table1[default_flag],1)/ROWS(Table1[loan_id])</f>
        <v>2.5999999999999999E-2</v>
      </c>
      <c r="AD125" s="2">
        <f>COUNTIFS(Table1[region],Table1[[#This Row],[region]],Table1[default_flag],1)/COUNTIF(Table1[region],Table1[[#This Row],[region]])</f>
        <v>2.6548672566371681E-2</v>
      </c>
      <c r="AE125" s="2">
        <f>COUNTIFS(Table1[channel],Table1[[#This Row],[channel]],Table1[prepayment_flag],1)/COUNTIF(Table1[channel],Table1[[#This Row],[channel]])</f>
        <v>5.8201058201058198E-2</v>
      </c>
      <c r="AF125" s="2">
        <f>AVERAGEIFS(Table1[interest_rate_pct],Table1[product],Table1[[#This Row],[product]],Table1[risk_band],Table1[[#This Row],[risk_band]])</f>
        <v>20.962592592592593</v>
      </c>
      <c r="AG125" s="2" t="str" cm="1">
        <f t="array" ref="AG125">_xlfn.IFS(Table1[[#This Row],[dti_ratio]] &lt; 0.2, " less than 0.2", Table1[[#This Row],[dti_ratio]] &lt; 0.3, "0.2 - 0.3", Table1[[#This Row],[dti_ratio]] &lt;= 0.5, "0.35 - 0.5", Table1[[#This Row],[dti_ratio]] &gt; 0.5, "greater than 0.5")</f>
        <v>0.35 - 0.5</v>
      </c>
      <c r="AH125" s="2">
        <f>COUNTIF(Table1[DTI band],Table1[[#This Row],[DTI band]])</f>
        <v>260</v>
      </c>
      <c r="AI125" s="2" t="str" cm="1">
        <f t="array" ref="AI125">_xlfn.IFS(Table1[[#This Row],[ltv_ratio]] &lt; 0.6, "less than 0.6 -less risky", Table1[[#This Row],[ltv_ratio]]  &lt;= 0.8, "0.6 - 0.8 -medium risky",Table1[[#This Row],[ltv_ratio]] &gt; 0.8, "greater than 0.8 -highly risky")</f>
        <v>0.6 - 0.8 -medium risky</v>
      </c>
      <c r="AJ125" s="2">
        <f>COUNTIF(Table1[LTV band],Table1[[#This Row],[LTV band]])</f>
        <v>302</v>
      </c>
      <c r="AK125" s="2">
        <f>COUNTIFS(Table1[count_loan_perband],Table1[[#This Row],[count_loan_perband]],Table1[default_flag],1)/COUNTIF(Table1[count_loan_perband],Table1[[#This Row],[count_loan_perband]])</f>
        <v>3.6423841059602648E-2</v>
      </c>
      <c r="AL125" s="2" t="str" cm="1">
        <f t="array" ref="AL125">_xlfn.IFS(Table1[[#This Row],[loan_amount]] &lt; 900000, "lower size (&lt; 9L)", Table1[[#This Row],[loan_amount]] &lt;=3300000, "medium size (&lt;=33L)", Table1[[#This Row],[loan_amount]] &gt; 3300000, "larger size (&gt; 33L)")</f>
        <v>medium size (&lt;=33L)</v>
      </c>
      <c r="AM125" s="2">
        <f>IF(Table1[[#This Row],[dpd]] &gt;=30,1,0)</f>
        <v>0</v>
      </c>
      <c r="AN125" s="2">
        <f>COUNTIFS(Table1[Loan size],Table1[[#This Row],[Loan size]],Table1[dpd flag],1)/COUNTIF(Table1[Loan size],Table1[[#This Row],[Loan size]])</f>
        <v>0.15909090909090909</v>
      </c>
      <c r="AO125" s="2" t="str">
        <f>IF(OR(Table1[[#This Row],[credit_score]] &lt; 600, Table1[ [#This Row],[dti_ratio] ] &gt; 0.5, Table1[[#This Row],[dpd]] &gt;=30), "high risk", " not riskY")</f>
        <v xml:space="preserve"> not riskY</v>
      </c>
      <c r="AP125" s="26">
        <f>EOMONTH(Table1[[#This Row],[origination_date]],0)</f>
        <v>45688</v>
      </c>
      <c r="AQ125" s="2">
        <f>SUMIFS(Table1[loan_amount],Table1[origination month],Table1[[#This Row],[origination month]])</f>
        <v>16786700</v>
      </c>
      <c r="AR125" s="2">
        <f>AVERAGEIFS(Table1[months_on_book],Table1[product],Table1[[#This Row],[product]])</f>
        <v>21.092024539877301</v>
      </c>
      <c r="AS125" s="2" t="str">
        <f ca="1">IF(EDATE(Table1[[#This Row],[origination_date]],6) &gt;= TODAY(), "New Loan", "Old Loan")</f>
        <v>Old Loan</v>
      </c>
      <c r="AT125" s="2" t="str">
        <f>"Q"&amp;ROUNDUP(MONTH(Table1[[#This Row],[origination_date]])/3,0)&amp;YEAR(Table1[[#This Row],[origination_date]])</f>
        <v>Q12025</v>
      </c>
      <c r="AU125" s="2">
        <f>SUMIFS(Table1[loan_amount],Table1[quarter],Table1[[#This Row],[quarter]])</f>
        <v>40328000</v>
      </c>
      <c r="AV125" s="34" t="str">
        <f>_xlfn.TEXTJOIN("|",TRUE,Table1[[#This Row],[loan_id]:[loan_status]])</f>
        <v>L13122366|C5818913|45661|Personal Loan|Branch|North|Salaried|240|1024900|18.97|16586|1655531|647|D|0.48|0.75|0|11|182176|914013|5|0|0|Active</v>
      </c>
      <c r="AW125" s="42">
        <f>YEAR(Loan_Table[ [#This Row],[origination_date] ])</f>
        <v>2025</v>
      </c>
    </row>
    <row r="126" spans="2:49" ht="18" customHeight="1">
      <c r="B126" s="5" t="s">
        <v>372</v>
      </c>
      <c r="C126" s="2" t="s">
        <v>373</v>
      </c>
      <c r="D126" s="3">
        <v>45744</v>
      </c>
      <c r="E126" s="2" t="s">
        <v>131</v>
      </c>
      <c r="F126" s="2" t="s">
        <v>132</v>
      </c>
      <c r="G126" s="2" t="s">
        <v>145</v>
      </c>
      <c r="H126" s="2" t="s">
        <v>134</v>
      </c>
      <c r="I126" s="2">
        <v>36</v>
      </c>
      <c r="J126" s="2">
        <v>825200</v>
      </c>
      <c r="K126" s="2">
        <v>16.29</v>
      </c>
      <c r="L126" s="2">
        <v>29130</v>
      </c>
      <c r="M126" s="2">
        <v>887461</v>
      </c>
      <c r="N126" s="2">
        <v>707</v>
      </c>
      <c r="O126" s="2" t="s">
        <v>135</v>
      </c>
      <c r="P126" s="2">
        <v>0.48</v>
      </c>
      <c r="Q126" s="2">
        <v>0.56000000000000005</v>
      </c>
      <c r="R126" s="2">
        <v>0</v>
      </c>
      <c r="S126" s="2">
        <v>9</v>
      </c>
      <c r="T126" s="2">
        <v>245651</v>
      </c>
      <c r="U126" s="2">
        <v>619877</v>
      </c>
      <c r="V126" s="2">
        <v>0</v>
      </c>
      <c r="W126" s="2">
        <v>0</v>
      </c>
      <c r="X126" s="2">
        <v>0</v>
      </c>
      <c r="Y126" s="2" t="s">
        <v>148</v>
      </c>
      <c r="Z126" s="12">
        <f>SUMIF(Table1[product],Table1[[#This Row],[product]],Table1[loan_amount])</f>
        <v>74897600</v>
      </c>
      <c r="AA126" s="15">
        <f>SUMIF(Table1[region],Table1[[#This Row],[region]],Table1[current_balance])</f>
        <v>98928695</v>
      </c>
      <c r="AB126" s="2">
        <f>COUNTIF(Table1[loan_status],Table1[[#This Row],[loan_status]])</f>
        <v>301</v>
      </c>
      <c r="AC126" s="2">
        <f>COUNTIF(Table1[default_flag],1)/ROWS(Table1[loan_id])</f>
        <v>2.5999999999999999E-2</v>
      </c>
      <c r="AD126" s="2">
        <f>COUNTIFS(Table1[region],Table1[[#This Row],[region]],Table1[default_flag],1)/COUNTIF(Table1[region],Table1[[#This Row],[region]])</f>
        <v>2.8571428571428571E-2</v>
      </c>
      <c r="AE126" s="2">
        <f>COUNTIFS(Table1[channel],Table1[[#This Row],[channel]],Table1[prepayment_flag],1)/COUNTIF(Table1[channel],Table1[[#This Row],[channel]])</f>
        <v>7.1090047393364927E-2</v>
      </c>
      <c r="AF126" s="2">
        <f>AVERAGEIFS(Table1[interest_rate_pct],Table1[product],Table1[[#This Row],[product]],Table1[risk_band],Table1[[#This Row],[risk_band]])</f>
        <v>16.500166666666669</v>
      </c>
      <c r="AG126" s="2" t="str" cm="1">
        <f t="array" ref="AG126">_xlfn.IFS(Table1[[#This Row],[dti_ratio]] &lt; 0.2, " less than 0.2", Table1[[#This Row],[dti_ratio]] &lt; 0.3, "0.2 - 0.3", Table1[[#This Row],[dti_ratio]] &lt;= 0.5, "0.35 - 0.5", Table1[[#This Row],[dti_ratio]] &gt; 0.5, "greater than 0.5")</f>
        <v>0.35 - 0.5</v>
      </c>
      <c r="AH126" s="2">
        <f>COUNTIF(Table1[DTI band],Table1[[#This Row],[DTI band]])</f>
        <v>260</v>
      </c>
      <c r="AI126" s="2" t="str" cm="1">
        <f t="array" ref="AI126">_xlfn.IFS(Table1[[#This Row],[ltv_ratio]] &lt; 0.6, "less than 0.6 -less risky", Table1[[#This Row],[ltv_ratio]]  &lt;= 0.8, "0.6 - 0.8 -medium risky",Table1[[#This Row],[ltv_ratio]] &gt; 0.8, "greater than 0.8 -highly risky")</f>
        <v>less than 0.6 -less risky</v>
      </c>
      <c r="AJ126" s="2">
        <f>COUNTIF(Table1[LTV band],Table1[[#This Row],[LTV band]])</f>
        <v>57</v>
      </c>
      <c r="AK126" s="2">
        <f>COUNTIFS(Table1[count_loan_perband],Table1[[#This Row],[count_loan_perband]],Table1[default_flag],1)/COUNTIF(Table1[count_loan_perband],Table1[[#This Row],[count_loan_perband]])</f>
        <v>0</v>
      </c>
      <c r="AL126" s="2" t="str" cm="1">
        <f t="array" ref="AL126">_xlfn.IFS(Table1[[#This Row],[loan_amount]] &lt; 900000, "lower size (&lt; 9L)", Table1[[#This Row],[loan_amount]] &lt;=3300000, "medium size (&lt;=33L)", Table1[[#This Row],[loan_amount]] &gt; 3300000, "larger size (&gt; 33L)")</f>
        <v>lower size (&lt; 9L)</v>
      </c>
      <c r="AM126" s="2">
        <f>IF(Table1[[#This Row],[dpd]] &gt;=30,1,0)</f>
        <v>0</v>
      </c>
      <c r="AN126" s="2">
        <f>COUNTIFS(Table1[Loan size],Table1[[#This Row],[Loan size]],Table1[dpd flag],1)/COUNTIF(Table1[Loan size],Table1[[#This Row],[Loan size]])</f>
        <v>0.13934426229508196</v>
      </c>
      <c r="AO126" s="2" t="str">
        <f>IF(OR(Table1[[#This Row],[credit_score]] &lt; 600, Table1[ [#This Row],[dti_ratio] ] &gt; 0.5, Table1[[#This Row],[dpd]] &gt;=30), "high risk", " not riskY")</f>
        <v xml:space="preserve"> not riskY</v>
      </c>
      <c r="AP126" s="26">
        <f>EOMONTH(Table1[[#This Row],[origination_date]],0)</f>
        <v>45747</v>
      </c>
      <c r="AQ126" s="2">
        <f>SUMIFS(Table1[loan_amount],Table1[origination month],Table1[[#This Row],[origination month]])</f>
        <v>5573100</v>
      </c>
      <c r="AR126" s="2">
        <f>AVERAGEIFS(Table1[months_on_book],Table1[product],Table1[[#This Row],[product]])</f>
        <v>21.092024539877301</v>
      </c>
      <c r="AS126" s="2" t="str">
        <f ca="1">IF(EDATE(Table1[[#This Row],[origination_date]],6) &gt;= TODAY(), "New Loan", "Old Loan")</f>
        <v>Old Loan</v>
      </c>
      <c r="AT126" s="2" t="str">
        <f>"Q"&amp;ROUNDUP(MONTH(Table1[[#This Row],[origination_date]])/3,0)&amp;YEAR(Table1[[#This Row],[origination_date]])</f>
        <v>Q12025</v>
      </c>
      <c r="AU126" s="2">
        <f>SUMIFS(Table1[loan_amount],Table1[quarter],Table1[[#This Row],[quarter]])</f>
        <v>40328000</v>
      </c>
      <c r="AV126" s="34" t="str">
        <f>_xlfn.TEXTJOIN("|",TRUE,Table1[[#This Row],[loan_id]:[loan_status]])</f>
        <v>L15743553|C1190332|45744|Personal Loan|Online|Central|Salaried|36|825200|16.29|29130|887461|707|B|0.48|0.56|0|9|245651|619877|0|0|0|Active</v>
      </c>
      <c r="AW126" s="42">
        <f>YEAR(Loan_Table[ [#This Row],[origination_date] ])</f>
        <v>2025</v>
      </c>
    </row>
    <row r="127" spans="2:49" ht="18" customHeight="1">
      <c r="B127" s="5" t="s">
        <v>374</v>
      </c>
      <c r="C127" s="2" t="s">
        <v>375</v>
      </c>
      <c r="D127" s="3">
        <v>45666</v>
      </c>
      <c r="E127" s="2" t="s">
        <v>158</v>
      </c>
      <c r="F127" s="2" t="s">
        <v>132</v>
      </c>
      <c r="G127" s="2" t="s">
        <v>145</v>
      </c>
      <c r="H127" s="2" t="s">
        <v>134</v>
      </c>
      <c r="I127" s="2">
        <v>18</v>
      </c>
      <c r="J127" s="2">
        <v>203700</v>
      </c>
      <c r="K127" s="2">
        <v>12.13</v>
      </c>
      <c r="L127" s="2">
        <v>12434</v>
      </c>
      <c r="M127" s="2">
        <v>987120</v>
      </c>
      <c r="N127" s="2">
        <v>735</v>
      </c>
      <c r="O127" s="2" t="s">
        <v>135</v>
      </c>
      <c r="P127" s="2">
        <v>0.48</v>
      </c>
      <c r="Q127" s="2">
        <v>0.86</v>
      </c>
      <c r="R127" s="2">
        <v>237900</v>
      </c>
      <c r="S127" s="2">
        <v>11</v>
      </c>
      <c r="T127" s="2">
        <v>131911</v>
      </c>
      <c r="U127" s="2">
        <v>80849</v>
      </c>
      <c r="V127" s="2">
        <v>0</v>
      </c>
      <c r="W127" s="2">
        <v>0</v>
      </c>
      <c r="X127" s="2">
        <v>0</v>
      </c>
      <c r="Y127" s="2" t="s">
        <v>148</v>
      </c>
      <c r="Z127" s="12">
        <f>SUMIF(Table1[product],Table1[[#This Row],[product]],Table1[loan_amount])</f>
        <v>201475100</v>
      </c>
      <c r="AA127" s="15">
        <f>SUMIF(Table1[region],Table1[[#This Row],[region]],Table1[current_balance])</f>
        <v>98928695</v>
      </c>
      <c r="AB127" s="2">
        <f>COUNTIF(Table1[loan_status],Table1[[#This Row],[loan_status]])</f>
        <v>301</v>
      </c>
      <c r="AC127" s="2">
        <f>COUNTIF(Table1[default_flag],1)/ROWS(Table1[loan_id])</f>
        <v>2.5999999999999999E-2</v>
      </c>
      <c r="AD127" s="2">
        <f>COUNTIFS(Table1[region],Table1[[#This Row],[region]],Table1[default_flag],1)/COUNTIF(Table1[region],Table1[[#This Row],[region]])</f>
        <v>2.8571428571428571E-2</v>
      </c>
      <c r="AE127" s="2">
        <f>COUNTIFS(Table1[channel],Table1[[#This Row],[channel]],Table1[prepayment_flag],1)/COUNTIF(Table1[channel],Table1[[#This Row],[channel]])</f>
        <v>7.1090047393364927E-2</v>
      </c>
      <c r="AF127" s="2">
        <f>AVERAGEIFS(Table1[interest_rate_pct],Table1[product],Table1[[#This Row],[product]],Table1[risk_band],Table1[[#This Row],[risk_band]])</f>
        <v>13.042631578947367</v>
      </c>
      <c r="AG127" s="2" t="str" cm="1">
        <f t="array" ref="AG127">_xlfn.IFS(Table1[[#This Row],[dti_ratio]] &lt; 0.2, " less than 0.2", Table1[[#This Row],[dti_ratio]] &lt; 0.3, "0.2 - 0.3", Table1[[#This Row],[dti_ratio]] &lt;= 0.5, "0.35 - 0.5", Table1[[#This Row],[dti_ratio]] &gt; 0.5, "greater than 0.5")</f>
        <v>0.35 - 0.5</v>
      </c>
      <c r="AH127" s="2">
        <f>COUNTIF(Table1[DTI band],Table1[[#This Row],[DTI band]])</f>
        <v>260</v>
      </c>
      <c r="AI127" s="2" t="str" cm="1">
        <f t="array" ref="AI127">_xlfn.IFS(Table1[[#This Row],[ltv_ratio]] &lt; 0.6, "less than 0.6 -less risky", Table1[[#This Row],[ltv_ratio]]  &lt;= 0.8, "0.6 - 0.8 -medium risky",Table1[[#This Row],[ltv_ratio]] &gt; 0.8, "greater than 0.8 -highly risky")</f>
        <v>greater than 0.8 -highly risky</v>
      </c>
      <c r="AJ127" s="2">
        <f>COUNTIF(Table1[LTV band],Table1[[#This Row],[LTV band]])</f>
        <v>141</v>
      </c>
      <c r="AK127" s="2">
        <f>COUNTIFS(Table1[count_loan_perband],Table1[[#This Row],[count_loan_perband]],Table1[default_flag],1)/COUNTIF(Table1[count_loan_perband],Table1[[#This Row],[count_loan_perband]])</f>
        <v>1.4184397163120567E-2</v>
      </c>
      <c r="AL127" s="2" t="str" cm="1">
        <f t="array" ref="AL127">_xlfn.IFS(Table1[[#This Row],[loan_amount]] &lt; 900000, "lower size (&lt; 9L)", Table1[[#This Row],[loan_amount]] &lt;=3300000, "medium size (&lt;=33L)", Table1[[#This Row],[loan_amount]] &gt; 3300000, "larger size (&gt; 33L)")</f>
        <v>lower size (&lt; 9L)</v>
      </c>
      <c r="AM127" s="2">
        <f>IF(Table1[[#This Row],[dpd]] &gt;=30,1,0)</f>
        <v>0</v>
      </c>
      <c r="AN127" s="2">
        <f>COUNTIFS(Table1[Loan size],Table1[[#This Row],[Loan size]],Table1[dpd flag],1)/COUNTIF(Table1[Loan size],Table1[[#This Row],[Loan size]])</f>
        <v>0.13934426229508196</v>
      </c>
      <c r="AO127" s="2" t="str">
        <f>IF(OR(Table1[[#This Row],[credit_score]] &lt; 600, Table1[ [#This Row],[dti_ratio] ] &gt; 0.5, Table1[[#This Row],[dpd]] &gt;=30), "high risk", " not riskY")</f>
        <v xml:space="preserve"> not riskY</v>
      </c>
      <c r="AP127" s="26">
        <f>EOMONTH(Table1[[#This Row],[origination_date]],0)</f>
        <v>45688</v>
      </c>
      <c r="AQ127" s="2">
        <f>SUMIFS(Table1[loan_amount],Table1[origination month],Table1[[#This Row],[origination month]])</f>
        <v>16786700</v>
      </c>
      <c r="AR127" s="2">
        <f>AVERAGEIFS(Table1[months_on_book],Table1[product],Table1[[#This Row],[product]])</f>
        <v>19.091954022988507</v>
      </c>
      <c r="AS127" s="2" t="str">
        <f ca="1">IF(EDATE(Table1[[#This Row],[origination_date]],6) &gt;= TODAY(), "New Loan", "Old Loan")</f>
        <v>Old Loan</v>
      </c>
      <c r="AT127" s="2" t="str">
        <f>"Q"&amp;ROUNDUP(MONTH(Table1[[#This Row],[origination_date]])/3,0)&amp;YEAR(Table1[[#This Row],[origination_date]])</f>
        <v>Q12025</v>
      </c>
      <c r="AU127" s="2">
        <f>SUMIFS(Table1[loan_amount],Table1[quarter],Table1[[#This Row],[quarter]])</f>
        <v>40328000</v>
      </c>
      <c r="AV127" s="34" t="str">
        <f>_xlfn.TEXTJOIN("|",TRUE,Table1[[#This Row],[loan_id]:[loan_status]])</f>
        <v>L52004890|C8875044|45666|SME Loan|Online|Central|Salaried|18|203700|12.13|12434|987120|735|B|0.48|0.86|237900|11|131911|80849|0|0|0|Active</v>
      </c>
      <c r="AW127" s="42">
        <f>YEAR(Loan_Table[ [#This Row],[origination_date] ])</f>
        <v>2025</v>
      </c>
    </row>
    <row r="128" spans="2:49" ht="18" customHeight="1">
      <c r="B128" s="5" t="s">
        <v>376</v>
      </c>
      <c r="C128" s="2" t="s">
        <v>377</v>
      </c>
      <c r="D128" s="3">
        <v>45707</v>
      </c>
      <c r="E128" s="2" t="s">
        <v>131</v>
      </c>
      <c r="F128" s="2" t="s">
        <v>132</v>
      </c>
      <c r="G128" s="2" t="s">
        <v>139</v>
      </c>
      <c r="H128" s="2" t="s">
        <v>192</v>
      </c>
      <c r="I128" s="2">
        <v>84</v>
      </c>
      <c r="J128" s="2">
        <v>393500</v>
      </c>
      <c r="K128" s="2">
        <v>18.579999999999998</v>
      </c>
      <c r="L128" s="2">
        <v>8405</v>
      </c>
      <c r="M128" s="2">
        <v>840657</v>
      </c>
      <c r="N128" s="2">
        <v>686</v>
      </c>
      <c r="O128" s="2" t="s">
        <v>140</v>
      </c>
      <c r="P128" s="2">
        <v>0.4</v>
      </c>
      <c r="Q128" s="2">
        <v>0.99</v>
      </c>
      <c r="R128" s="2">
        <v>0</v>
      </c>
      <c r="S128" s="2">
        <v>10</v>
      </c>
      <c r="T128" s="2">
        <v>83922</v>
      </c>
      <c r="U128" s="2">
        <v>333949</v>
      </c>
      <c r="V128" s="2">
        <v>0</v>
      </c>
      <c r="W128" s="2">
        <v>0</v>
      </c>
      <c r="X128" s="2">
        <v>0</v>
      </c>
      <c r="Y128" s="2" t="s">
        <v>148</v>
      </c>
      <c r="Z128" s="12">
        <f>SUMIF(Table1[product],Table1[[#This Row],[product]],Table1[loan_amount])</f>
        <v>74897600</v>
      </c>
      <c r="AA128" s="15">
        <f>SUMIF(Table1[region],Table1[[#This Row],[region]],Table1[current_balance])</f>
        <v>83903255</v>
      </c>
      <c r="AB128" s="2">
        <f>COUNTIF(Table1[loan_status],Table1[[#This Row],[loan_status]])</f>
        <v>301</v>
      </c>
      <c r="AC128" s="2">
        <f>COUNTIF(Table1[default_flag],1)/ROWS(Table1[loan_id])</f>
        <v>2.5999999999999999E-2</v>
      </c>
      <c r="AD128" s="2">
        <f>COUNTIFS(Table1[region],Table1[[#This Row],[region]],Table1[default_flag],1)/COUNTIF(Table1[region],Table1[[#This Row],[region]])</f>
        <v>4.2553191489361701E-2</v>
      </c>
      <c r="AE128" s="2">
        <f>COUNTIFS(Table1[channel],Table1[[#This Row],[channel]],Table1[prepayment_flag],1)/COUNTIF(Table1[channel],Table1[[#This Row],[channel]])</f>
        <v>7.1090047393364927E-2</v>
      </c>
      <c r="AF128" s="2">
        <f>AVERAGEIFS(Table1[interest_rate_pct],Table1[product],Table1[[#This Row],[product]],Table1[risk_band],Table1[[#This Row],[risk_band]])</f>
        <v>18.603181818181817</v>
      </c>
      <c r="AG128" s="2" t="str" cm="1">
        <f t="array" ref="AG128">_xlfn.IFS(Table1[[#This Row],[dti_ratio]] &lt; 0.2, " less than 0.2", Table1[[#This Row],[dti_ratio]] &lt; 0.3, "0.2 - 0.3", Table1[[#This Row],[dti_ratio]] &lt;= 0.5, "0.35 - 0.5", Table1[[#This Row],[dti_ratio]] &gt; 0.5, "greater than 0.5")</f>
        <v>0.35 - 0.5</v>
      </c>
      <c r="AH128" s="2">
        <f>COUNTIF(Table1[DTI band],Table1[[#This Row],[DTI band]])</f>
        <v>260</v>
      </c>
      <c r="AI128" s="2" t="str" cm="1">
        <f t="array" ref="AI128">_xlfn.IFS(Table1[[#This Row],[ltv_ratio]] &lt; 0.6, "less than 0.6 -less risky", Table1[[#This Row],[ltv_ratio]]  &lt;= 0.8, "0.6 - 0.8 -medium risky",Table1[[#This Row],[ltv_ratio]] &gt; 0.8, "greater than 0.8 -highly risky")</f>
        <v>greater than 0.8 -highly risky</v>
      </c>
      <c r="AJ128" s="2">
        <f>COUNTIF(Table1[LTV band],Table1[[#This Row],[LTV band]])</f>
        <v>141</v>
      </c>
      <c r="AK128" s="2">
        <f>COUNTIFS(Table1[count_loan_perband],Table1[[#This Row],[count_loan_perband]],Table1[default_flag],1)/COUNTIF(Table1[count_loan_perband],Table1[[#This Row],[count_loan_perband]])</f>
        <v>1.4184397163120567E-2</v>
      </c>
      <c r="AL128" s="2" t="str" cm="1">
        <f t="array" ref="AL128">_xlfn.IFS(Table1[[#This Row],[loan_amount]] &lt; 900000, "lower size (&lt; 9L)", Table1[[#This Row],[loan_amount]] &lt;=3300000, "medium size (&lt;=33L)", Table1[[#This Row],[loan_amount]] &gt; 3300000, "larger size (&gt; 33L)")</f>
        <v>lower size (&lt; 9L)</v>
      </c>
      <c r="AM128" s="2">
        <f>IF(Table1[[#This Row],[dpd]] &gt;=30,1,0)</f>
        <v>0</v>
      </c>
      <c r="AN128" s="2">
        <f>COUNTIFS(Table1[Loan size],Table1[[#This Row],[Loan size]],Table1[dpd flag],1)/COUNTIF(Table1[Loan size],Table1[[#This Row],[Loan size]])</f>
        <v>0.13934426229508196</v>
      </c>
      <c r="AO128" s="2" t="str">
        <f>IF(OR(Table1[[#This Row],[credit_score]] &lt; 600, Table1[ [#This Row],[dti_ratio] ] &gt; 0.5, Table1[[#This Row],[dpd]] &gt;=30), "high risk", " not riskY")</f>
        <v xml:space="preserve"> not riskY</v>
      </c>
      <c r="AP128" s="26">
        <f>EOMONTH(Table1[[#This Row],[origination_date]],0)</f>
        <v>45716</v>
      </c>
      <c r="AQ128" s="2">
        <f>SUMIFS(Table1[loan_amount],Table1[origination month],Table1[[#This Row],[origination month]])</f>
        <v>17968200</v>
      </c>
      <c r="AR128" s="2">
        <f>AVERAGEIFS(Table1[months_on_book],Table1[product],Table1[[#This Row],[product]])</f>
        <v>21.092024539877301</v>
      </c>
      <c r="AS128" s="2" t="str">
        <f ca="1">IF(EDATE(Table1[[#This Row],[origination_date]],6) &gt;= TODAY(), "New Loan", "Old Loan")</f>
        <v>Old Loan</v>
      </c>
      <c r="AT128" s="2" t="str">
        <f>"Q"&amp;ROUNDUP(MONTH(Table1[[#This Row],[origination_date]])/3,0)&amp;YEAR(Table1[[#This Row],[origination_date]])</f>
        <v>Q12025</v>
      </c>
      <c r="AU128" s="2">
        <f>SUMIFS(Table1[loan_amount],Table1[quarter],Table1[[#This Row],[quarter]])</f>
        <v>40328000</v>
      </c>
      <c r="AV128" s="34" t="str">
        <f>_xlfn.TEXTJOIN("|",TRUE,Table1[[#This Row],[loan_id]:[loan_status]])</f>
        <v>L70401163|C2097295|45707|Personal Loan|Online|West|Unemployed|84|393500|18.58|8405|840657|686|C|0.4|0.99|0|10|83922|333949|0|0|0|Active</v>
      </c>
      <c r="AW128" s="42">
        <f>YEAR(Loan_Table[ [#This Row],[origination_date] ])</f>
        <v>2025</v>
      </c>
    </row>
    <row r="129" spans="2:49" ht="18" customHeight="1">
      <c r="B129" s="5" t="s">
        <v>378</v>
      </c>
      <c r="C129" s="2" t="s">
        <v>379</v>
      </c>
      <c r="D129" s="3">
        <v>45668</v>
      </c>
      <c r="E129" s="2" t="s">
        <v>131</v>
      </c>
      <c r="F129" s="2" t="s">
        <v>132</v>
      </c>
      <c r="G129" s="2" t="s">
        <v>139</v>
      </c>
      <c r="H129" s="2" t="s">
        <v>134</v>
      </c>
      <c r="I129" s="2">
        <v>36</v>
      </c>
      <c r="J129" s="2">
        <v>803400</v>
      </c>
      <c r="K129" s="2">
        <v>17.649999999999999</v>
      </c>
      <c r="L129" s="2">
        <v>28904</v>
      </c>
      <c r="M129" s="2">
        <v>1351475</v>
      </c>
      <c r="N129" s="2">
        <v>696</v>
      </c>
      <c r="O129" s="2" t="s">
        <v>140</v>
      </c>
      <c r="P129" s="2">
        <v>0.4</v>
      </c>
      <c r="Q129" s="2">
        <v>0.81</v>
      </c>
      <c r="R129" s="2">
        <v>0</v>
      </c>
      <c r="S129" s="2">
        <v>11</v>
      </c>
      <c r="T129" s="2">
        <v>315054</v>
      </c>
      <c r="U129" s="2">
        <v>540339</v>
      </c>
      <c r="V129" s="2">
        <v>0</v>
      </c>
      <c r="W129" s="2">
        <v>0</v>
      </c>
      <c r="X129" s="2">
        <v>0</v>
      </c>
      <c r="Y129" s="2" t="s">
        <v>148</v>
      </c>
      <c r="Z129" s="12">
        <f>SUMIF(Table1[product],Table1[[#This Row],[product]],Table1[loan_amount])</f>
        <v>74897600</v>
      </c>
      <c r="AA129" s="15">
        <f>SUMIF(Table1[region],Table1[[#This Row],[region]],Table1[current_balance])</f>
        <v>83903255</v>
      </c>
      <c r="AB129" s="2">
        <f>COUNTIF(Table1[loan_status],Table1[[#This Row],[loan_status]])</f>
        <v>301</v>
      </c>
      <c r="AC129" s="2">
        <f>COUNTIF(Table1[default_flag],1)/ROWS(Table1[loan_id])</f>
        <v>2.5999999999999999E-2</v>
      </c>
      <c r="AD129" s="2">
        <f>COUNTIFS(Table1[region],Table1[[#This Row],[region]],Table1[default_flag],1)/COUNTIF(Table1[region],Table1[[#This Row],[region]])</f>
        <v>4.2553191489361701E-2</v>
      </c>
      <c r="AE129" s="2">
        <f>COUNTIFS(Table1[channel],Table1[[#This Row],[channel]],Table1[prepayment_flag],1)/COUNTIF(Table1[channel],Table1[[#This Row],[channel]])</f>
        <v>7.1090047393364927E-2</v>
      </c>
      <c r="AF129" s="2">
        <f>AVERAGEIFS(Table1[interest_rate_pct],Table1[product],Table1[[#This Row],[product]],Table1[risk_band],Table1[[#This Row],[risk_band]])</f>
        <v>18.603181818181817</v>
      </c>
      <c r="AG129" s="2" t="str" cm="1">
        <f t="array" ref="AG129">_xlfn.IFS(Table1[[#This Row],[dti_ratio]] &lt; 0.2, " less than 0.2", Table1[[#This Row],[dti_ratio]] &lt; 0.3, "0.2 - 0.3", Table1[[#This Row],[dti_ratio]] &lt;= 0.5, "0.35 - 0.5", Table1[[#This Row],[dti_ratio]] &gt; 0.5, "greater than 0.5")</f>
        <v>0.35 - 0.5</v>
      </c>
      <c r="AH129" s="2">
        <f>COUNTIF(Table1[DTI band],Table1[[#This Row],[DTI band]])</f>
        <v>260</v>
      </c>
      <c r="AI129" s="2" t="str" cm="1">
        <f t="array" ref="AI129">_xlfn.IFS(Table1[[#This Row],[ltv_ratio]] &lt; 0.6, "less than 0.6 -less risky", Table1[[#This Row],[ltv_ratio]]  &lt;= 0.8, "0.6 - 0.8 -medium risky",Table1[[#This Row],[ltv_ratio]] &gt; 0.8, "greater than 0.8 -highly risky")</f>
        <v>greater than 0.8 -highly risky</v>
      </c>
      <c r="AJ129" s="2">
        <f>COUNTIF(Table1[LTV band],Table1[[#This Row],[LTV band]])</f>
        <v>141</v>
      </c>
      <c r="AK129" s="2">
        <f>COUNTIFS(Table1[count_loan_perband],Table1[[#This Row],[count_loan_perband]],Table1[default_flag],1)/COUNTIF(Table1[count_loan_perband],Table1[[#This Row],[count_loan_perband]])</f>
        <v>1.4184397163120567E-2</v>
      </c>
      <c r="AL129" s="2" t="str" cm="1">
        <f t="array" ref="AL129">_xlfn.IFS(Table1[[#This Row],[loan_amount]] &lt; 900000, "lower size (&lt; 9L)", Table1[[#This Row],[loan_amount]] &lt;=3300000, "medium size (&lt;=33L)", Table1[[#This Row],[loan_amount]] &gt; 3300000, "larger size (&gt; 33L)")</f>
        <v>lower size (&lt; 9L)</v>
      </c>
      <c r="AM129" s="2">
        <f>IF(Table1[[#This Row],[dpd]] &gt;=30,1,0)</f>
        <v>0</v>
      </c>
      <c r="AN129" s="2">
        <f>COUNTIFS(Table1[Loan size],Table1[[#This Row],[Loan size]],Table1[dpd flag],1)/COUNTIF(Table1[Loan size],Table1[[#This Row],[Loan size]])</f>
        <v>0.13934426229508196</v>
      </c>
      <c r="AO129" s="2" t="str">
        <f>IF(OR(Table1[[#This Row],[credit_score]] &lt; 600, Table1[ [#This Row],[dti_ratio] ] &gt; 0.5, Table1[[#This Row],[dpd]] &gt;=30), "high risk", " not riskY")</f>
        <v xml:space="preserve"> not riskY</v>
      </c>
      <c r="AP129" s="26">
        <f>EOMONTH(Table1[[#This Row],[origination_date]],0)</f>
        <v>45688</v>
      </c>
      <c r="AQ129" s="2">
        <f>SUMIFS(Table1[loan_amount],Table1[origination month],Table1[[#This Row],[origination month]])</f>
        <v>16786700</v>
      </c>
      <c r="AR129" s="2">
        <f>AVERAGEIFS(Table1[months_on_book],Table1[product],Table1[[#This Row],[product]])</f>
        <v>21.092024539877301</v>
      </c>
      <c r="AS129" s="2" t="str">
        <f ca="1">IF(EDATE(Table1[[#This Row],[origination_date]],6) &gt;= TODAY(), "New Loan", "Old Loan")</f>
        <v>Old Loan</v>
      </c>
      <c r="AT129" s="2" t="str">
        <f>"Q"&amp;ROUNDUP(MONTH(Table1[[#This Row],[origination_date]])/3,0)&amp;YEAR(Table1[[#This Row],[origination_date]])</f>
        <v>Q12025</v>
      </c>
      <c r="AU129" s="2">
        <f>SUMIFS(Table1[loan_amount],Table1[quarter],Table1[[#This Row],[quarter]])</f>
        <v>40328000</v>
      </c>
      <c r="AV129" s="34" t="str">
        <f>_xlfn.TEXTJOIN("|",TRUE,Table1[[#This Row],[loan_id]:[loan_status]])</f>
        <v>L52039679|C2066307|45668|Personal Loan|Online|West|Salaried|36|803400|17.65|28904|1351475|696|C|0.4|0.81|0|11|315054|540339|0|0|0|Active</v>
      </c>
      <c r="AW129" s="42">
        <f>YEAR(Loan_Table[ [#This Row],[origination_date] ])</f>
        <v>2025</v>
      </c>
    </row>
    <row r="130" spans="2:49" ht="18" customHeight="1">
      <c r="B130" s="5" t="s">
        <v>380</v>
      </c>
      <c r="C130" s="2" t="s">
        <v>381</v>
      </c>
      <c r="D130" s="3">
        <v>45726</v>
      </c>
      <c r="E130" s="2" t="s">
        <v>131</v>
      </c>
      <c r="F130" s="2" t="s">
        <v>144</v>
      </c>
      <c r="G130" s="2" t="s">
        <v>151</v>
      </c>
      <c r="H130" s="2" t="s">
        <v>134</v>
      </c>
      <c r="I130" s="2">
        <v>120</v>
      </c>
      <c r="J130" s="2">
        <v>739400</v>
      </c>
      <c r="K130" s="2">
        <v>18.05</v>
      </c>
      <c r="L130" s="2">
        <v>13347</v>
      </c>
      <c r="M130" s="2">
        <v>1100285</v>
      </c>
      <c r="N130" s="2">
        <v>698</v>
      </c>
      <c r="O130" s="2" t="s">
        <v>140</v>
      </c>
      <c r="P130" s="2">
        <v>0.39</v>
      </c>
      <c r="Q130" s="2">
        <v>0.84</v>
      </c>
      <c r="R130" s="2">
        <v>0</v>
      </c>
      <c r="S130" s="2">
        <v>9</v>
      </c>
      <c r="T130" s="2">
        <v>114125</v>
      </c>
      <c r="U130" s="2">
        <v>665314</v>
      </c>
      <c r="V130" s="2">
        <v>0</v>
      </c>
      <c r="W130" s="2">
        <v>1</v>
      </c>
      <c r="X130" s="2">
        <v>0</v>
      </c>
      <c r="Y130" s="2" t="s">
        <v>141</v>
      </c>
      <c r="Z130" s="12">
        <f>SUMIF(Table1[product],Table1[[#This Row],[product]],Table1[loan_amount])</f>
        <v>74897600</v>
      </c>
      <c r="AA130" s="15">
        <f>SUMIF(Table1[region],Table1[[#This Row],[region]],Table1[current_balance])</f>
        <v>105779369</v>
      </c>
      <c r="AB130" s="2">
        <f>COUNTIF(Table1[loan_status],Table1[[#This Row],[loan_status]])</f>
        <v>139</v>
      </c>
      <c r="AC130" s="2">
        <f>COUNTIF(Table1[default_flag],1)/ROWS(Table1[loan_id])</f>
        <v>2.5999999999999999E-2</v>
      </c>
      <c r="AD130" s="2">
        <f>COUNTIFS(Table1[region],Table1[[#This Row],[region]],Table1[default_flag],1)/COUNTIF(Table1[region],Table1[[#This Row],[region]])</f>
        <v>2.6548672566371681E-2</v>
      </c>
      <c r="AE130" s="2">
        <f>COUNTIFS(Table1[channel],Table1[[#This Row],[channel]],Table1[prepayment_flag],1)/COUNTIF(Table1[channel],Table1[[#This Row],[channel]])</f>
        <v>5.8201058201058198E-2</v>
      </c>
      <c r="AF130" s="2">
        <f>AVERAGEIFS(Table1[interest_rate_pct],Table1[product],Table1[[#This Row],[product]],Table1[risk_band],Table1[[#This Row],[risk_band]])</f>
        <v>18.603181818181817</v>
      </c>
      <c r="AG130" s="2" t="str" cm="1">
        <f t="array" ref="AG130">_xlfn.IFS(Table1[[#This Row],[dti_ratio]] &lt; 0.2, " less than 0.2", Table1[[#This Row],[dti_ratio]] &lt; 0.3, "0.2 - 0.3", Table1[[#This Row],[dti_ratio]] &lt;= 0.5, "0.35 - 0.5", Table1[[#This Row],[dti_ratio]] &gt; 0.5, "greater than 0.5")</f>
        <v>0.35 - 0.5</v>
      </c>
      <c r="AH130" s="2">
        <f>COUNTIF(Table1[DTI band],Table1[[#This Row],[DTI band]])</f>
        <v>260</v>
      </c>
      <c r="AI130" s="2" t="str" cm="1">
        <f t="array" ref="AI130">_xlfn.IFS(Table1[[#This Row],[ltv_ratio]] &lt; 0.6, "less than 0.6 -less risky", Table1[[#This Row],[ltv_ratio]]  &lt;= 0.8, "0.6 - 0.8 -medium risky",Table1[[#This Row],[ltv_ratio]] &gt; 0.8, "greater than 0.8 -highly risky")</f>
        <v>greater than 0.8 -highly risky</v>
      </c>
      <c r="AJ130" s="2">
        <f>COUNTIF(Table1[LTV band],Table1[[#This Row],[LTV band]])</f>
        <v>141</v>
      </c>
      <c r="AK130" s="2">
        <f>COUNTIFS(Table1[count_loan_perband],Table1[[#This Row],[count_loan_perband]],Table1[default_flag],1)/COUNTIF(Table1[count_loan_perband],Table1[[#This Row],[count_loan_perband]])</f>
        <v>1.4184397163120567E-2</v>
      </c>
      <c r="AL130" s="2" t="str" cm="1">
        <f t="array" ref="AL130">_xlfn.IFS(Table1[[#This Row],[loan_amount]] &lt; 900000, "lower size (&lt; 9L)", Table1[[#This Row],[loan_amount]] &lt;=3300000, "medium size (&lt;=33L)", Table1[[#This Row],[loan_amount]] &gt; 3300000, "larger size (&gt; 33L)")</f>
        <v>lower size (&lt; 9L)</v>
      </c>
      <c r="AM130" s="2">
        <f>IF(Table1[[#This Row],[dpd]] &gt;=30,1,0)</f>
        <v>0</v>
      </c>
      <c r="AN130" s="2">
        <f>COUNTIFS(Table1[Loan size],Table1[[#This Row],[Loan size]],Table1[dpd flag],1)/COUNTIF(Table1[Loan size],Table1[[#This Row],[Loan size]])</f>
        <v>0.13934426229508196</v>
      </c>
      <c r="AO130" s="2" t="str">
        <f>IF(OR(Table1[[#This Row],[credit_score]] &lt; 600, Table1[ [#This Row],[dti_ratio] ] &gt; 0.5, Table1[[#This Row],[dpd]] &gt;=30), "high risk", " not riskY")</f>
        <v xml:space="preserve"> not riskY</v>
      </c>
      <c r="AP130" s="26">
        <f>EOMONTH(Table1[[#This Row],[origination_date]],0)</f>
        <v>45747</v>
      </c>
      <c r="AQ130" s="2">
        <f>SUMIFS(Table1[loan_amount],Table1[origination month],Table1[[#This Row],[origination month]])</f>
        <v>5573100</v>
      </c>
      <c r="AR130" s="2">
        <f>AVERAGEIFS(Table1[months_on_book],Table1[product],Table1[[#This Row],[product]])</f>
        <v>21.092024539877301</v>
      </c>
      <c r="AS130" s="2" t="str">
        <f ca="1">IF(EDATE(Table1[[#This Row],[origination_date]],6) &gt;= TODAY(), "New Loan", "Old Loan")</f>
        <v>Old Loan</v>
      </c>
      <c r="AT130" s="2" t="str">
        <f>"Q"&amp;ROUNDUP(MONTH(Table1[[#This Row],[origination_date]])/3,0)&amp;YEAR(Table1[[#This Row],[origination_date]])</f>
        <v>Q12025</v>
      </c>
      <c r="AU130" s="2">
        <f>SUMIFS(Table1[loan_amount],Table1[quarter],Table1[[#This Row],[quarter]])</f>
        <v>40328000</v>
      </c>
      <c r="AV130" s="34" t="str">
        <f>_xlfn.TEXTJOIN("|",TRUE,Table1[[#This Row],[loan_id]:[loan_status]])</f>
        <v>L27979808|C9514220|45726|Personal Loan|Branch|North|Salaried|120|739400|18.05|13347|1100285|698|C|0.39|0.84|0|9|114125|665314|0|1|0|Closed</v>
      </c>
      <c r="AW130" s="42">
        <f>YEAR(Loan_Table[ [#This Row],[origination_date] ])</f>
        <v>2025</v>
      </c>
    </row>
    <row r="131" spans="2:49" ht="18" customHeight="1">
      <c r="B131" s="5" t="s">
        <v>382</v>
      </c>
      <c r="C131" s="2" t="s">
        <v>383</v>
      </c>
      <c r="D131" s="3">
        <v>45738</v>
      </c>
      <c r="E131" s="2" t="s">
        <v>131</v>
      </c>
      <c r="F131" s="2" t="s">
        <v>144</v>
      </c>
      <c r="G131" s="2" t="s">
        <v>133</v>
      </c>
      <c r="H131" s="2" t="s">
        <v>134</v>
      </c>
      <c r="I131" s="2">
        <v>60</v>
      </c>
      <c r="J131" s="2">
        <v>200000</v>
      </c>
      <c r="K131" s="2">
        <v>17.489999999999998</v>
      </c>
      <c r="L131" s="2">
        <v>5023</v>
      </c>
      <c r="M131" s="2">
        <v>150000</v>
      </c>
      <c r="N131" s="2">
        <v>711</v>
      </c>
      <c r="O131" s="2" t="s">
        <v>135</v>
      </c>
      <c r="P131" s="2">
        <v>0.39</v>
      </c>
      <c r="Q131" s="2">
        <v>0.86</v>
      </c>
      <c r="R131" s="2">
        <v>0</v>
      </c>
      <c r="S131" s="2">
        <v>9</v>
      </c>
      <c r="T131" s="2">
        <v>39576</v>
      </c>
      <c r="U131" s="2">
        <v>170918</v>
      </c>
      <c r="V131" s="2">
        <v>0</v>
      </c>
      <c r="W131" s="2">
        <v>0</v>
      </c>
      <c r="X131" s="2">
        <v>0</v>
      </c>
      <c r="Y131" s="2" t="s">
        <v>148</v>
      </c>
      <c r="Z131" s="12">
        <f>SUMIF(Table1[product],Table1[[#This Row],[product]],Table1[loan_amount])</f>
        <v>74897600</v>
      </c>
      <c r="AA131" s="15">
        <f>SUMIF(Table1[region],Table1[[#This Row],[region]],Table1[current_balance])</f>
        <v>94548000</v>
      </c>
      <c r="AB131" s="2">
        <f>COUNTIF(Table1[loan_status],Table1[[#This Row],[loan_status]])</f>
        <v>301</v>
      </c>
      <c r="AC131" s="2">
        <f>COUNTIF(Table1[default_flag],1)/ROWS(Table1[loan_id])</f>
        <v>2.5999999999999999E-2</v>
      </c>
      <c r="AD131" s="2">
        <f>COUNTIFS(Table1[region],Table1[[#This Row],[region]],Table1[default_flag],1)/COUNTIF(Table1[region],Table1[[#This Row],[region]])</f>
        <v>0</v>
      </c>
      <c r="AE131" s="2">
        <f>COUNTIFS(Table1[channel],Table1[[#This Row],[channel]],Table1[prepayment_flag],1)/COUNTIF(Table1[channel],Table1[[#This Row],[channel]])</f>
        <v>5.8201058201058198E-2</v>
      </c>
      <c r="AF131" s="2">
        <f>AVERAGEIFS(Table1[interest_rate_pct],Table1[product],Table1[[#This Row],[product]],Table1[risk_band],Table1[[#This Row],[risk_band]])</f>
        <v>16.500166666666669</v>
      </c>
      <c r="AG131" s="2" t="str" cm="1">
        <f t="array" ref="AG131">_xlfn.IFS(Table1[[#This Row],[dti_ratio]] &lt; 0.2, " less than 0.2", Table1[[#This Row],[dti_ratio]] &lt; 0.3, "0.2 - 0.3", Table1[[#This Row],[dti_ratio]] &lt;= 0.5, "0.35 - 0.5", Table1[[#This Row],[dti_ratio]] &gt; 0.5, "greater than 0.5")</f>
        <v>0.35 - 0.5</v>
      </c>
      <c r="AH131" s="2">
        <f>COUNTIF(Table1[DTI band],Table1[[#This Row],[DTI band]])</f>
        <v>260</v>
      </c>
      <c r="AI131" s="2" t="str" cm="1">
        <f t="array" ref="AI131">_xlfn.IFS(Table1[[#This Row],[ltv_ratio]] &lt; 0.6, "less than 0.6 -less risky", Table1[[#This Row],[ltv_ratio]]  &lt;= 0.8, "0.6 - 0.8 -medium risky",Table1[[#This Row],[ltv_ratio]] &gt; 0.8, "greater than 0.8 -highly risky")</f>
        <v>greater than 0.8 -highly risky</v>
      </c>
      <c r="AJ131" s="2">
        <f>COUNTIF(Table1[LTV band],Table1[[#This Row],[LTV band]])</f>
        <v>141</v>
      </c>
      <c r="AK131" s="2">
        <f>COUNTIFS(Table1[count_loan_perband],Table1[[#This Row],[count_loan_perband]],Table1[default_flag],1)/COUNTIF(Table1[count_loan_perband],Table1[[#This Row],[count_loan_perband]])</f>
        <v>1.4184397163120567E-2</v>
      </c>
      <c r="AL131" s="2" t="str" cm="1">
        <f t="array" ref="AL131">_xlfn.IFS(Table1[[#This Row],[loan_amount]] &lt; 900000, "lower size (&lt; 9L)", Table1[[#This Row],[loan_amount]] &lt;=3300000, "medium size (&lt;=33L)", Table1[[#This Row],[loan_amount]] &gt; 3300000, "larger size (&gt; 33L)")</f>
        <v>lower size (&lt; 9L)</v>
      </c>
      <c r="AM131" s="2">
        <f>IF(Table1[[#This Row],[dpd]] &gt;=30,1,0)</f>
        <v>0</v>
      </c>
      <c r="AN131" s="2">
        <f>COUNTIFS(Table1[Loan size],Table1[[#This Row],[Loan size]],Table1[dpd flag],1)/COUNTIF(Table1[Loan size],Table1[[#This Row],[Loan size]])</f>
        <v>0.13934426229508196</v>
      </c>
      <c r="AO131" s="2" t="str">
        <f>IF(OR(Table1[[#This Row],[credit_score]] &lt; 600, Table1[ [#This Row],[dti_ratio] ] &gt; 0.5, Table1[[#This Row],[dpd]] &gt;=30), "high risk", " not riskY")</f>
        <v xml:space="preserve"> not riskY</v>
      </c>
      <c r="AP131" s="26">
        <f>EOMONTH(Table1[[#This Row],[origination_date]],0)</f>
        <v>45747</v>
      </c>
      <c r="AQ131" s="2">
        <f>SUMIFS(Table1[loan_amount],Table1[origination month],Table1[[#This Row],[origination month]])</f>
        <v>5573100</v>
      </c>
      <c r="AR131" s="2">
        <f>AVERAGEIFS(Table1[months_on_book],Table1[product],Table1[[#This Row],[product]])</f>
        <v>21.092024539877301</v>
      </c>
      <c r="AS131" s="2" t="str">
        <f ca="1">IF(EDATE(Table1[[#This Row],[origination_date]],6) &gt;= TODAY(), "New Loan", "Old Loan")</f>
        <v>Old Loan</v>
      </c>
      <c r="AT131" s="2" t="str">
        <f>"Q"&amp;ROUNDUP(MONTH(Table1[[#This Row],[origination_date]])/3,0)&amp;YEAR(Table1[[#This Row],[origination_date]])</f>
        <v>Q12025</v>
      </c>
      <c r="AU131" s="2">
        <f>SUMIFS(Table1[loan_amount],Table1[quarter],Table1[[#This Row],[quarter]])</f>
        <v>40328000</v>
      </c>
      <c r="AV131" s="34" t="str">
        <f>_xlfn.TEXTJOIN("|",TRUE,Table1[[#This Row],[loan_id]:[loan_status]])</f>
        <v>L36999351|C9425259|45738|Personal Loan|Branch|South|Salaried|60|200000|17.49|5023|150000|711|B|0.39|0.86|0|9|39576|170918|0|0|0|Active</v>
      </c>
      <c r="AW131" s="42">
        <f>YEAR(Loan_Table[ [#This Row],[origination_date] ])</f>
        <v>2025</v>
      </c>
    </row>
    <row r="132" spans="2:49" ht="18" customHeight="1">
      <c r="B132" s="5" t="s">
        <v>384</v>
      </c>
      <c r="C132" s="2" t="s">
        <v>385</v>
      </c>
      <c r="D132" s="3">
        <v>45716</v>
      </c>
      <c r="E132" s="2" t="s">
        <v>131</v>
      </c>
      <c r="F132" s="2" t="s">
        <v>144</v>
      </c>
      <c r="G132" s="2" t="s">
        <v>133</v>
      </c>
      <c r="H132" s="2" t="s">
        <v>134</v>
      </c>
      <c r="I132" s="2">
        <v>360</v>
      </c>
      <c r="J132" s="2">
        <v>400300</v>
      </c>
      <c r="K132" s="2">
        <v>24.67</v>
      </c>
      <c r="L132" s="2">
        <v>8235</v>
      </c>
      <c r="M132" s="2">
        <v>737670</v>
      </c>
      <c r="N132" s="2">
        <v>553</v>
      </c>
      <c r="O132" s="2" t="s">
        <v>166</v>
      </c>
      <c r="P132" s="2">
        <v>0.38</v>
      </c>
      <c r="Q132" s="2">
        <v>0.71</v>
      </c>
      <c r="R132" s="2">
        <v>0</v>
      </c>
      <c r="S132" s="2">
        <v>10</v>
      </c>
      <c r="T132" s="2">
        <v>79939</v>
      </c>
      <c r="U132" s="2">
        <v>353279</v>
      </c>
      <c r="V132" s="2">
        <v>15</v>
      </c>
      <c r="W132" s="2">
        <v>0</v>
      </c>
      <c r="X132" s="2">
        <v>0</v>
      </c>
      <c r="Y132" s="2" t="s">
        <v>148</v>
      </c>
      <c r="Z132" s="12">
        <f>SUMIF(Table1[product],Table1[[#This Row],[product]],Table1[loan_amount])</f>
        <v>74897600</v>
      </c>
      <c r="AA132" s="15">
        <f>SUMIF(Table1[region],Table1[[#This Row],[region]],Table1[current_balance])</f>
        <v>94548000</v>
      </c>
      <c r="AB132" s="2">
        <f>COUNTIF(Table1[loan_status],Table1[[#This Row],[loan_status]])</f>
        <v>301</v>
      </c>
      <c r="AC132" s="2">
        <f>COUNTIF(Table1[default_flag],1)/ROWS(Table1[loan_id])</f>
        <v>2.5999999999999999E-2</v>
      </c>
      <c r="AD132" s="2">
        <f>COUNTIFS(Table1[region],Table1[[#This Row],[region]],Table1[default_flag],1)/COUNTIF(Table1[region],Table1[[#This Row],[region]])</f>
        <v>0</v>
      </c>
      <c r="AE132" s="2">
        <f>COUNTIFS(Table1[channel],Table1[[#This Row],[channel]],Table1[prepayment_flag],1)/COUNTIF(Table1[channel],Table1[[#This Row],[channel]])</f>
        <v>5.8201058201058198E-2</v>
      </c>
      <c r="AF132" s="2">
        <f>AVERAGEIFS(Table1[interest_rate_pct],Table1[product],Table1[[#This Row],[product]],Table1[risk_band],Table1[[#This Row],[risk_band]])</f>
        <v>23.803750000000001</v>
      </c>
      <c r="AG132" s="2" t="str" cm="1">
        <f t="array" ref="AG132">_xlfn.IFS(Table1[[#This Row],[dti_ratio]] &lt; 0.2, " less than 0.2", Table1[[#This Row],[dti_ratio]] &lt; 0.3, "0.2 - 0.3", Table1[[#This Row],[dti_ratio]] &lt;= 0.5, "0.35 - 0.5", Table1[[#This Row],[dti_ratio]] &gt; 0.5, "greater than 0.5")</f>
        <v>0.35 - 0.5</v>
      </c>
      <c r="AH132" s="2">
        <f>COUNTIF(Table1[DTI band],Table1[[#This Row],[DTI band]])</f>
        <v>260</v>
      </c>
      <c r="AI132" s="2" t="str" cm="1">
        <f t="array" ref="AI132">_xlfn.IFS(Table1[[#This Row],[ltv_ratio]] &lt; 0.6, "less than 0.6 -less risky", Table1[[#This Row],[ltv_ratio]]  &lt;= 0.8, "0.6 - 0.8 -medium risky",Table1[[#This Row],[ltv_ratio]] &gt; 0.8, "greater than 0.8 -highly risky")</f>
        <v>0.6 - 0.8 -medium risky</v>
      </c>
      <c r="AJ132" s="2">
        <f>COUNTIF(Table1[LTV band],Table1[[#This Row],[LTV band]])</f>
        <v>302</v>
      </c>
      <c r="AK132" s="2">
        <f>COUNTIFS(Table1[count_loan_perband],Table1[[#This Row],[count_loan_perband]],Table1[default_flag],1)/COUNTIF(Table1[count_loan_perband],Table1[[#This Row],[count_loan_perband]])</f>
        <v>3.6423841059602648E-2</v>
      </c>
      <c r="AL132" s="2" t="str" cm="1">
        <f t="array" ref="AL132">_xlfn.IFS(Table1[[#This Row],[loan_amount]] &lt; 900000, "lower size (&lt; 9L)", Table1[[#This Row],[loan_amount]] &lt;=3300000, "medium size (&lt;=33L)", Table1[[#This Row],[loan_amount]] &gt; 3300000, "larger size (&gt; 33L)")</f>
        <v>lower size (&lt; 9L)</v>
      </c>
      <c r="AM132" s="2">
        <f>IF(Table1[[#This Row],[dpd]] &gt;=30,1,0)</f>
        <v>0</v>
      </c>
      <c r="AN132" s="2">
        <f>COUNTIFS(Table1[Loan size],Table1[[#This Row],[Loan size]],Table1[dpd flag],1)/COUNTIF(Table1[Loan size],Table1[[#This Row],[Loan size]])</f>
        <v>0.13934426229508196</v>
      </c>
      <c r="AO132" s="2" t="str">
        <f>IF(OR(Table1[[#This Row],[credit_score]] &lt; 600, Table1[ [#This Row],[dti_ratio] ] &gt; 0.5, Table1[[#This Row],[dpd]] &gt;=30), "high risk", " not riskY")</f>
        <v>high risk</v>
      </c>
      <c r="AP132" s="26">
        <f>EOMONTH(Table1[[#This Row],[origination_date]],0)</f>
        <v>45716</v>
      </c>
      <c r="AQ132" s="2">
        <f>SUMIFS(Table1[loan_amount],Table1[origination month],Table1[[#This Row],[origination month]])</f>
        <v>17968200</v>
      </c>
      <c r="AR132" s="2">
        <f>AVERAGEIFS(Table1[months_on_book],Table1[product],Table1[[#This Row],[product]])</f>
        <v>21.092024539877301</v>
      </c>
      <c r="AS132" s="2" t="str">
        <f ca="1">IF(EDATE(Table1[[#This Row],[origination_date]],6) &gt;= TODAY(), "New Loan", "Old Loan")</f>
        <v>Old Loan</v>
      </c>
      <c r="AT132" s="2" t="str">
        <f>"Q"&amp;ROUNDUP(MONTH(Table1[[#This Row],[origination_date]])/3,0)&amp;YEAR(Table1[[#This Row],[origination_date]])</f>
        <v>Q12025</v>
      </c>
      <c r="AU132" s="2">
        <f>SUMIFS(Table1[loan_amount],Table1[quarter],Table1[[#This Row],[quarter]])</f>
        <v>40328000</v>
      </c>
      <c r="AV132" s="34" t="str">
        <f>_xlfn.TEXTJOIN("|",TRUE,Table1[[#This Row],[loan_id]:[loan_status]])</f>
        <v>L37895989|C2287196|45716|Personal Loan|Branch|South|Salaried|360|400300|24.67|8235|737670|553|E|0.38|0.71|0|10|79939|353279|15|0|0|Active</v>
      </c>
      <c r="AW132" s="42">
        <f>YEAR(Loan_Table[ [#This Row],[origination_date] ])</f>
        <v>2025</v>
      </c>
    </row>
    <row r="133" spans="2:49" ht="18" customHeight="1">
      <c r="B133" s="5" t="s">
        <v>386</v>
      </c>
      <c r="C133" s="2" t="s">
        <v>387</v>
      </c>
      <c r="D133" s="3">
        <v>45682</v>
      </c>
      <c r="E133" s="2" t="s">
        <v>131</v>
      </c>
      <c r="F133" s="2" t="s">
        <v>132</v>
      </c>
      <c r="G133" s="2" t="s">
        <v>151</v>
      </c>
      <c r="H133" s="2" t="s">
        <v>134</v>
      </c>
      <c r="I133" s="2">
        <v>24</v>
      </c>
      <c r="J133" s="2">
        <v>478500</v>
      </c>
      <c r="K133" s="2">
        <v>17.920000000000002</v>
      </c>
      <c r="L133" s="2">
        <v>23870</v>
      </c>
      <c r="M133" s="2">
        <v>588573</v>
      </c>
      <c r="N133" s="2">
        <v>701</v>
      </c>
      <c r="O133" s="2" t="s">
        <v>135</v>
      </c>
      <c r="P133" s="2">
        <v>0.37</v>
      </c>
      <c r="Q133" s="2">
        <v>0.99</v>
      </c>
      <c r="R133" s="2">
        <v>0</v>
      </c>
      <c r="S133" s="2">
        <v>11</v>
      </c>
      <c r="T133" s="2">
        <v>232528</v>
      </c>
      <c r="U133" s="2">
        <v>277413</v>
      </c>
      <c r="V133" s="2">
        <v>0</v>
      </c>
      <c r="W133" s="2">
        <v>0</v>
      </c>
      <c r="X133" s="2">
        <v>0</v>
      </c>
      <c r="Y133" s="2" t="s">
        <v>148</v>
      </c>
      <c r="Z133" s="12">
        <f>SUMIF(Table1[product],Table1[[#This Row],[product]],Table1[loan_amount])</f>
        <v>74897600</v>
      </c>
      <c r="AA133" s="15">
        <f>SUMIF(Table1[region],Table1[[#This Row],[region]],Table1[current_balance])</f>
        <v>105779369</v>
      </c>
      <c r="AB133" s="2">
        <f>COUNTIF(Table1[loan_status],Table1[[#This Row],[loan_status]])</f>
        <v>301</v>
      </c>
      <c r="AC133" s="2">
        <f>COUNTIF(Table1[default_flag],1)/ROWS(Table1[loan_id])</f>
        <v>2.5999999999999999E-2</v>
      </c>
      <c r="AD133" s="2">
        <f>COUNTIFS(Table1[region],Table1[[#This Row],[region]],Table1[default_flag],1)/COUNTIF(Table1[region],Table1[[#This Row],[region]])</f>
        <v>2.6548672566371681E-2</v>
      </c>
      <c r="AE133" s="2">
        <f>COUNTIFS(Table1[channel],Table1[[#This Row],[channel]],Table1[prepayment_flag],1)/COUNTIF(Table1[channel],Table1[[#This Row],[channel]])</f>
        <v>7.1090047393364927E-2</v>
      </c>
      <c r="AF133" s="2">
        <f>AVERAGEIFS(Table1[interest_rate_pct],Table1[product],Table1[[#This Row],[product]],Table1[risk_band],Table1[[#This Row],[risk_band]])</f>
        <v>16.500166666666669</v>
      </c>
      <c r="AG133" s="2" t="str" cm="1">
        <f t="array" ref="AG133">_xlfn.IFS(Table1[[#This Row],[dti_ratio]] &lt; 0.2, " less than 0.2", Table1[[#This Row],[dti_ratio]] &lt; 0.3, "0.2 - 0.3", Table1[[#This Row],[dti_ratio]] &lt;= 0.5, "0.35 - 0.5", Table1[[#This Row],[dti_ratio]] &gt; 0.5, "greater than 0.5")</f>
        <v>0.35 - 0.5</v>
      </c>
      <c r="AH133" s="2">
        <f>COUNTIF(Table1[DTI band],Table1[[#This Row],[DTI band]])</f>
        <v>260</v>
      </c>
      <c r="AI133" s="2" t="str" cm="1">
        <f t="array" ref="AI133">_xlfn.IFS(Table1[[#This Row],[ltv_ratio]] &lt; 0.6, "less than 0.6 -less risky", Table1[[#This Row],[ltv_ratio]]  &lt;= 0.8, "0.6 - 0.8 -medium risky",Table1[[#This Row],[ltv_ratio]] &gt; 0.8, "greater than 0.8 -highly risky")</f>
        <v>greater than 0.8 -highly risky</v>
      </c>
      <c r="AJ133" s="2">
        <f>COUNTIF(Table1[LTV band],Table1[[#This Row],[LTV band]])</f>
        <v>141</v>
      </c>
      <c r="AK133" s="2">
        <f>COUNTIFS(Table1[count_loan_perband],Table1[[#This Row],[count_loan_perband]],Table1[default_flag],1)/COUNTIF(Table1[count_loan_perband],Table1[[#This Row],[count_loan_perband]])</f>
        <v>1.4184397163120567E-2</v>
      </c>
      <c r="AL133" s="2" t="str" cm="1">
        <f t="array" ref="AL133">_xlfn.IFS(Table1[[#This Row],[loan_amount]] &lt; 900000, "lower size (&lt; 9L)", Table1[[#This Row],[loan_amount]] &lt;=3300000, "medium size (&lt;=33L)", Table1[[#This Row],[loan_amount]] &gt; 3300000, "larger size (&gt; 33L)")</f>
        <v>lower size (&lt; 9L)</v>
      </c>
      <c r="AM133" s="2">
        <f>IF(Table1[[#This Row],[dpd]] &gt;=30,1,0)</f>
        <v>0</v>
      </c>
      <c r="AN133" s="2">
        <f>COUNTIFS(Table1[Loan size],Table1[[#This Row],[Loan size]],Table1[dpd flag],1)/COUNTIF(Table1[Loan size],Table1[[#This Row],[Loan size]])</f>
        <v>0.13934426229508196</v>
      </c>
      <c r="AO133" s="2" t="str">
        <f>IF(OR(Table1[[#This Row],[credit_score]] &lt; 600, Table1[ [#This Row],[dti_ratio] ] &gt; 0.5, Table1[[#This Row],[dpd]] &gt;=30), "high risk", " not riskY")</f>
        <v xml:space="preserve"> not riskY</v>
      </c>
      <c r="AP133" s="26">
        <f>EOMONTH(Table1[[#This Row],[origination_date]],0)</f>
        <v>45688</v>
      </c>
      <c r="AQ133" s="2">
        <f>SUMIFS(Table1[loan_amount],Table1[origination month],Table1[[#This Row],[origination month]])</f>
        <v>16786700</v>
      </c>
      <c r="AR133" s="2">
        <f>AVERAGEIFS(Table1[months_on_book],Table1[product],Table1[[#This Row],[product]])</f>
        <v>21.092024539877301</v>
      </c>
      <c r="AS133" s="2" t="str">
        <f ca="1">IF(EDATE(Table1[[#This Row],[origination_date]],6) &gt;= TODAY(), "New Loan", "Old Loan")</f>
        <v>Old Loan</v>
      </c>
      <c r="AT133" s="2" t="str">
        <f>"Q"&amp;ROUNDUP(MONTH(Table1[[#This Row],[origination_date]])/3,0)&amp;YEAR(Table1[[#This Row],[origination_date]])</f>
        <v>Q12025</v>
      </c>
      <c r="AU133" s="2">
        <f>SUMIFS(Table1[loan_amount],Table1[quarter],Table1[[#This Row],[quarter]])</f>
        <v>40328000</v>
      </c>
      <c r="AV133" s="34" t="str">
        <f>_xlfn.TEXTJOIN("|",TRUE,Table1[[#This Row],[loan_id]:[loan_status]])</f>
        <v>L70989280|C5127045|45682|Personal Loan|Online|North|Salaried|24|478500|17.92|23870|588573|701|B|0.37|0.99|0|11|232528|277413|0|0|0|Active</v>
      </c>
      <c r="AW133" s="42">
        <f>YEAR(Loan_Table[ [#This Row],[origination_date] ])</f>
        <v>2025</v>
      </c>
    </row>
    <row r="134" spans="2:49" ht="18" customHeight="1">
      <c r="B134" s="5" t="s">
        <v>388</v>
      </c>
      <c r="C134" s="2" t="s">
        <v>389</v>
      </c>
      <c r="D134" s="3">
        <v>45698</v>
      </c>
      <c r="E134" s="2" t="s">
        <v>163</v>
      </c>
      <c r="F134" s="2" t="s">
        <v>132</v>
      </c>
      <c r="G134" s="2" t="s">
        <v>133</v>
      </c>
      <c r="H134" s="2" t="s">
        <v>152</v>
      </c>
      <c r="I134" s="2">
        <v>36</v>
      </c>
      <c r="J134" s="2">
        <v>914700</v>
      </c>
      <c r="K134" s="2">
        <v>12.46</v>
      </c>
      <c r="L134" s="2">
        <v>30582</v>
      </c>
      <c r="M134" s="2">
        <v>614461</v>
      </c>
      <c r="N134" s="2">
        <v>689</v>
      </c>
      <c r="O134" s="2" t="s">
        <v>140</v>
      </c>
      <c r="P134" s="2">
        <v>0.36</v>
      </c>
      <c r="Q134" s="2">
        <v>0.4</v>
      </c>
      <c r="R134" s="2">
        <v>2284400</v>
      </c>
      <c r="S134" s="2">
        <v>10</v>
      </c>
      <c r="T134" s="2">
        <v>273189</v>
      </c>
      <c r="U134" s="2">
        <v>679502</v>
      </c>
      <c r="V134" s="2">
        <v>10</v>
      </c>
      <c r="W134" s="2">
        <v>0</v>
      </c>
      <c r="X134" s="2">
        <v>0</v>
      </c>
      <c r="Y134" s="2" t="s">
        <v>148</v>
      </c>
      <c r="Z134" s="12">
        <f>SUMIF(Table1[product],Table1[[#This Row],[product]],Table1[loan_amount])</f>
        <v>92273000</v>
      </c>
      <c r="AA134" s="15">
        <f>SUMIF(Table1[region],Table1[[#This Row],[region]],Table1[current_balance])</f>
        <v>94548000</v>
      </c>
      <c r="AB134" s="2">
        <f>COUNTIF(Table1[loan_status],Table1[[#This Row],[loan_status]])</f>
        <v>301</v>
      </c>
      <c r="AC134" s="2">
        <f>COUNTIF(Table1[default_flag],1)/ROWS(Table1[loan_id])</f>
        <v>2.5999999999999999E-2</v>
      </c>
      <c r="AD134" s="2">
        <f>COUNTIFS(Table1[region],Table1[[#This Row],[region]],Table1[default_flag],1)/COUNTIF(Table1[region],Table1[[#This Row],[region]])</f>
        <v>0</v>
      </c>
      <c r="AE134" s="2">
        <f>COUNTIFS(Table1[channel],Table1[[#This Row],[channel]],Table1[prepayment_flag],1)/COUNTIF(Table1[channel],Table1[[#This Row],[channel]])</f>
        <v>7.1090047393364927E-2</v>
      </c>
      <c r="AF134" s="2">
        <f>AVERAGEIFS(Table1[interest_rate_pct],Table1[product],Table1[[#This Row],[product]],Table1[risk_band],Table1[[#This Row],[risk_band]])</f>
        <v>13.246500000000001</v>
      </c>
      <c r="AG134" s="2" t="str" cm="1">
        <f t="array" ref="AG134">_xlfn.IFS(Table1[[#This Row],[dti_ratio]] &lt; 0.2, " less than 0.2", Table1[[#This Row],[dti_ratio]] &lt; 0.3, "0.2 - 0.3", Table1[[#This Row],[dti_ratio]] &lt;= 0.5, "0.35 - 0.5", Table1[[#This Row],[dti_ratio]] &gt; 0.5, "greater than 0.5")</f>
        <v>0.35 - 0.5</v>
      </c>
      <c r="AH134" s="2">
        <f>COUNTIF(Table1[DTI band],Table1[[#This Row],[DTI band]])</f>
        <v>260</v>
      </c>
      <c r="AI134" s="2" t="str" cm="1">
        <f t="array" ref="AI134">_xlfn.IFS(Table1[[#This Row],[ltv_ratio]] &lt; 0.6, "less than 0.6 -less risky", Table1[[#This Row],[ltv_ratio]]  &lt;= 0.8, "0.6 - 0.8 -medium risky",Table1[[#This Row],[ltv_ratio]] &gt; 0.8, "greater than 0.8 -highly risky")</f>
        <v>less than 0.6 -less risky</v>
      </c>
      <c r="AJ134" s="2">
        <f>COUNTIF(Table1[LTV band],Table1[[#This Row],[LTV band]])</f>
        <v>57</v>
      </c>
      <c r="AK134" s="2">
        <f>COUNTIFS(Table1[count_loan_perband],Table1[[#This Row],[count_loan_perband]],Table1[default_flag],1)/COUNTIF(Table1[count_loan_perband],Table1[[#This Row],[count_loan_perband]])</f>
        <v>0</v>
      </c>
      <c r="AL134" s="2" t="str" cm="1">
        <f t="array" ref="AL134">_xlfn.IFS(Table1[[#This Row],[loan_amount]] &lt; 900000, "lower size (&lt; 9L)", Table1[[#This Row],[loan_amount]] &lt;=3300000, "medium size (&lt;=33L)", Table1[[#This Row],[loan_amount]] &gt; 3300000, "larger size (&gt; 33L)")</f>
        <v>medium size (&lt;=33L)</v>
      </c>
      <c r="AM134" s="2">
        <f>IF(Table1[[#This Row],[dpd]] &gt;=30,1,0)</f>
        <v>0</v>
      </c>
      <c r="AN134" s="2">
        <f>COUNTIFS(Table1[Loan size],Table1[[#This Row],[Loan size]],Table1[dpd flag],1)/COUNTIF(Table1[Loan size],Table1[[#This Row],[Loan size]])</f>
        <v>0.15909090909090909</v>
      </c>
      <c r="AO134" s="2" t="str">
        <f>IF(OR(Table1[[#This Row],[credit_score]] &lt; 600, Table1[ [#This Row],[dti_ratio] ] &gt; 0.5, Table1[[#This Row],[dpd]] &gt;=30), "high risk", " not riskY")</f>
        <v xml:space="preserve"> not riskY</v>
      </c>
      <c r="AP134" s="26">
        <f>EOMONTH(Table1[[#This Row],[origination_date]],0)</f>
        <v>45716</v>
      </c>
      <c r="AQ134" s="2">
        <f>SUMIFS(Table1[loan_amount],Table1[origination month],Table1[[#This Row],[origination month]])</f>
        <v>17968200</v>
      </c>
      <c r="AR134" s="2">
        <f>AVERAGEIFS(Table1[months_on_book],Table1[product],Table1[[#This Row],[product]])</f>
        <v>20.262135922330096</v>
      </c>
      <c r="AS134" s="2" t="str">
        <f ca="1">IF(EDATE(Table1[[#This Row],[origination_date]],6) &gt;= TODAY(), "New Loan", "Old Loan")</f>
        <v>Old Loan</v>
      </c>
      <c r="AT134" s="2" t="str">
        <f>"Q"&amp;ROUNDUP(MONTH(Table1[[#This Row],[origination_date]])/3,0)&amp;YEAR(Table1[[#This Row],[origination_date]])</f>
        <v>Q12025</v>
      </c>
      <c r="AU134" s="2">
        <f>SUMIFS(Table1[loan_amount],Table1[quarter],Table1[[#This Row],[quarter]])</f>
        <v>40328000</v>
      </c>
      <c r="AV134" s="34" t="str">
        <f>_xlfn.TEXTJOIN("|",TRUE,Table1[[#This Row],[loan_id]:[loan_status]])</f>
        <v>L59822146|C4905070|45698|Auto Loan|Online|South|Self-Employed|36|914700|12.46|30582|614461|689|C|0.36|0.4|2284400|10|273189|679502|10|0|0|Active</v>
      </c>
      <c r="AW134" s="42">
        <f>YEAR(Loan_Table[ [#This Row],[origination_date] ])</f>
        <v>2025</v>
      </c>
    </row>
    <row r="135" spans="2:49" ht="18" customHeight="1">
      <c r="B135" s="5" t="s">
        <v>390</v>
      </c>
      <c r="C135" s="2" t="s">
        <v>391</v>
      </c>
      <c r="D135" s="3">
        <v>45680</v>
      </c>
      <c r="E135" s="2" t="s">
        <v>163</v>
      </c>
      <c r="F135" s="2" t="s">
        <v>132</v>
      </c>
      <c r="G135" s="2" t="s">
        <v>139</v>
      </c>
      <c r="H135" s="2" t="s">
        <v>134</v>
      </c>
      <c r="I135" s="2">
        <v>48</v>
      </c>
      <c r="J135" s="2">
        <v>542200</v>
      </c>
      <c r="K135" s="2">
        <v>15.1</v>
      </c>
      <c r="L135" s="2">
        <v>15117</v>
      </c>
      <c r="M135" s="2">
        <v>694929</v>
      </c>
      <c r="N135" s="2">
        <v>640</v>
      </c>
      <c r="O135" s="2" t="s">
        <v>147</v>
      </c>
      <c r="P135" s="2">
        <v>0.36</v>
      </c>
      <c r="Q135" s="2">
        <v>0.67</v>
      </c>
      <c r="R135" s="2">
        <v>812600</v>
      </c>
      <c r="S135" s="2">
        <v>11</v>
      </c>
      <c r="T135" s="2">
        <v>148943</v>
      </c>
      <c r="U135" s="2">
        <v>423277</v>
      </c>
      <c r="V135" s="2">
        <v>0</v>
      </c>
      <c r="W135" s="2">
        <v>0</v>
      </c>
      <c r="X135" s="2">
        <v>0</v>
      </c>
      <c r="Y135" s="2" t="s">
        <v>148</v>
      </c>
      <c r="Z135" s="12">
        <f>SUMIF(Table1[product],Table1[[#This Row],[product]],Table1[loan_amount])</f>
        <v>92273000</v>
      </c>
      <c r="AA135" s="15">
        <f>SUMIF(Table1[region],Table1[[#This Row],[region]],Table1[current_balance])</f>
        <v>83903255</v>
      </c>
      <c r="AB135" s="2">
        <f>COUNTIF(Table1[loan_status],Table1[[#This Row],[loan_status]])</f>
        <v>301</v>
      </c>
      <c r="AC135" s="2">
        <f>COUNTIF(Table1[default_flag],1)/ROWS(Table1[loan_id])</f>
        <v>2.5999999999999999E-2</v>
      </c>
      <c r="AD135" s="2">
        <f>COUNTIFS(Table1[region],Table1[[#This Row],[region]],Table1[default_flag],1)/COUNTIF(Table1[region],Table1[[#This Row],[region]])</f>
        <v>4.2553191489361701E-2</v>
      </c>
      <c r="AE135" s="2">
        <f>COUNTIFS(Table1[channel],Table1[[#This Row],[channel]],Table1[prepayment_flag],1)/COUNTIF(Table1[channel],Table1[[#This Row],[channel]])</f>
        <v>7.1090047393364927E-2</v>
      </c>
      <c r="AF135" s="2">
        <f>AVERAGEIFS(Table1[interest_rate_pct],Table1[product],Table1[[#This Row],[product]],Table1[risk_band],Table1[[#This Row],[risk_band]])</f>
        <v>15.092000000000001</v>
      </c>
      <c r="AG135" s="2" t="str" cm="1">
        <f t="array" ref="AG135">_xlfn.IFS(Table1[[#This Row],[dti_ratio]] &lt; 0.2, " less than 0.2", Table1[[#This Row],[dti_ratio]] &lt; 0.3, "0.2 - 0.3", Table1[[#This Row],[dti_ratio]] &lt;= 0.5, "0.35 - 0.5", Table1[[#This Row],[dti_ratio]] &gt; 0.5, "greater than 0.5")</f>
        <v>0.35 - 0.5</v>
      </c>
      <c r="AH135" s="2">
        <f>COUNTIF(Table1[DTI band],Table1[[#This Row],[DTI band]])</f>
        <v>260</v>
      </c>
      <c r="AI135" s="2" t="str" cm="1">
        <f t="array" ref="AI135">_xlfn.IFS(Table1[[#This Row],[ltv_ratio]] &lt; 0.6, "less than 0.6 -less risky", Table1[[#This Row],[ltv_ratio]]  &lt;= 0.8, "0.6 - 0.8 -medium risky",Table1[[#This Row],[ltv_ratio]] &gt; 0.8, "greater than 0.8 -highly risky")</f>
        <v>0.6 - 0.8 -medium risky</v>
      </c>
      <c r="AJ135" s="2">
        <f>COUNTIF(Table1[LTV band],Table1[[#This Row],[LTV band]])</f>
        <v>302</v>
      </c>
      <c r="AK135" s="2">
        <f>COUNTIFS(Table1[count_loan_perband],Table1[[#This Row],[count_loan_perband]],Table1[default_flag],1)/COUNTIF(Table1[count_loan_perband],Table1[[#This Row],[count_loan_perband]])</f>
        <v>3.6423841059602648E-2</v>
      </c>
      <c r="AL135" s="2" t="str" cm="1">
        <f t="array" ref="AL135">_xlfn.IFS(Table1[[#This Row],[loan_amount]] &lt; 900000, "lower size (&lt; 9L)", Table1[[#This Row],[loan_amount]] &lt;=3300000, "medium size (&lt;=33L)", Table1[[#This Row],[loan_amount]] &gt; 3300000, "larger size (&gt; 33L)")</f>
        <v>lower size (&lt; 9L)</v>
      </c>
      <c r="AM135" s="2">
        <f>IF(Table1[[#This Row],[dpd]] &gt;=30,1,0)</f>
        <v>0</v>
      </c>
      <c r="AN135" s="2">
        <f>COUNTIFS(Table1[Loan size],Table1[[#This Row],[Loan size]],Table1[dpd flag],1)/COUNTIF(Table1[Loan size],Table1[[#This Row],[Loan size]])</f>
        <v>0.13934426229508196</v>
      </c>
      <c r="AO135" s="2" t="str">
        <f>IF(OR(Table1[[#This Row],[credit_score]] &lt; 600, Table1[ [#This Row],[dti_ratio] ] &gt; 0.5, Table1[[#This Row],[dpd]] &gt;=30), "high risk", " not riskY")</f>
        <v xml:space="preserve"> not riskY</v>
      </c>
      <c r="AP135" s="26">
        <f>EOMONTH(Table1[[#This Row],[origination_date]],0)</f>
        <v>45688</v>
      </c>
      <c r="AQ135" s="2">
        <f>SUMIFS(Table1[loan_amount],Table1[origination month],Table1[[#This Row],[origination month]])</f>
        <v>16786700</v>
      </c>
      <c r="AR135" s="2">
        <f>AVERAGEIFS(Table1[months_on_book],Table1[product],Table1[[#This Row],[product]])</f>
        <v>20.262135922330096</v>
      </c>
      <c r="AS135" s="2" t="str">
        <f ca="1">IF(EDATE(Table1[[#This Row],[origination_date]],6) &gt;= TODAY(), "New Loan", "Old Loan")</f>
        <v>Old Loan</v>
      </c>
      <c r="AT135" s="2" t="str">
        <f>"Q"&amp;ROUNDUP(MONTH(Table1[[#This Row],[origination_date]])/3,0)&amp;YEAR(Table1[[#This Row],[origination_date]])</f>
        <v>Q12025</v>
      </c>
      <c r="AU135" s="2">
        <f>SUMIFS(Table1[loan_amount],Table1[quarter],Table1[[#This Row],[quarter]])</f>
        <v>40328000</v>
      </c>
      <c r="AV135" s="34" t="str">
        <f>_xlfn.TEXTJOIN("|",TRUE,Table1[[#This Row],[loan_id]:[loan_status]])</f>
        <v>L33502600|C5703685|45680|Auto Loan|Online|West|Salaried|48|542200|15.1|15117|694929|640|D|0.36|0.67|812600|11|148943|423277|0|0|0|Active</v>
      </c>
      <c r="AW135" s="42">
        <f>YEAR(Loan_Table[ [#This Row],[origination_date] ])</f>
        <v>2025</v>
      </c>
    </row>
    <row r="136" spans="2:49" ht="18" customHeight="1">
      <c r="B136" s="5" t="s">
        <v>392</v>
      </c>
      <c r="C136" s="2" t="s">
        <v>393</v>
      </c>
      <c r="D136" s="3">
        <v>45673</v>
      </c>
      <c r="E136" s="2" t="s">
        <v>163</v>
      </c>
      <c r="F136" s="2" t="s">
        <v>144</v>
      </c>
      <c r="G136" s="2" t="s">
        <v>170</v>
      </c>
      <c r="H136" s="2" t="s">
        <v>134</v>
      </c>
      <c r="I136" s="2">
        <v>120</v>
      </c>
      <c r="J136" s="2">
        <v>998600</v>
      </c>
      <c r="K136" s="2">
        <v>16.87</v>
      </c>
      <c r="L136" s="2">
        <v>17273</v>
      </c>
      <c r="M136" s="2">
        <v>949409</v>
      </c>
      <c r="N136" s="2">
        <v>601</v>
      </c>
      <c r="O136" s="2" t="s">
        <v>147</v>
      </c>
      <c r="P136" s="2">
        <v>0.35</v>
      </c>
      <c r="Q136" s="2">
        <v>0.79</v>
      </c>
      <c r="R136" s="2">
        <v>1264100</v>
      </c>
      <c r="S136" s="2">
        <v>11</v>
      </c>
      <c r="T136" s="2">
        <v>162902</v>
      </c>
      <c r="U136" s="2">
        <v>897468</v>
      </c>
      <c r="V136" s="2">
        <v>0</v>
      </c>
      <c r="W136" s="2">
        <v>0</v>
      </c>
      <c r="X136" s="2">
        <v>0</v>
      </c>
      <c r="Y136" s="2" t="s">
        <v>148</v>
      </c>
      <c r="Z136" s="12">
        <f>SUMIF(Table1[product],Table1[[#This Row],[product]],Table1[loan_amount])</f>
        <v>92273000</v>
      </c>
      <c r="AA136" s="15">
        <f>SUMIF(Table1[region],Table1[[#This Row],[region]],Table1[current_balance])</f>
        <v>83297251</v>
      </c>
      <c r="AB136" s="2">
        <f>COUNTIF(Table1[loan_status],Table1[[#This Row],[loan_status]])</f>
        <v>301</v>
      </c>
      <c r="AC136" s="2">
        <f>COUNTIF(Table1[default_flag],1)/ROWS(Table1[loan_id])</f>
        <v>2.5999999999999999E-2</v>
      </c>
      <c r="AD136" s="2">
        <f>COUNTIFS(Table1[region],Table1[[#This Row],[region]],Table1[default_flag],1)/COUNTIF(Table1[region],Table1[[#This Row],[region]])</f>
        <v>3.1914893617021274E-2</v>
      </c>
      <c r="AE136" s="2">
        <f>COUNTIFS(Table1[channel],Table1[[#This Row],[channel]],Table1[prepayment_flag],1)/COUNTIF(Table1[channel],Table1[[#This Row],[channel]])</f>
        <v>5.8201058201058198E-2</v>
      </c>
      <c r="AF136" s="2">
        <f>AVERAGEIFS(Table1[interest_rate_pct],Table1[product],Table1[[#This Row],[product]],Table1[risk_band],Table1[[#This Row],[risk_band]])</f>
        <v>15.092000000000001</v>
      </c>
      <c r="AG136" s="2" t="str" cm="1">
        <f t="array" ref="AG136">_xlfn.IFS(Table1[[#This Row],[dti_ratio]] &lt; 0.2, " less than 0.2", Table1[[#This Row],[dti_ratio]] &lt; 0.3, "0.2 - 0.3", Table1[[#This Row],[dti_ratio]] &lt;= 0.5, "0.35 - 0.5", Table1[[#This Row],[dti_ratio]] &gt; 0.5, "greater than 0.5")</f>
        <v>0.35 - 0.5</v>
      </c>
      <c r="AH136" s="2">
        <f>COUNTIF(Table1[DTI band],Table1[[#This Row],[DTI band]])</f>
        <v>260</v>
      </c>
      <c r="AI136" s="2" t="str" cm="1">
        <f t="array" ref="AI136">_xlfn.IFS(Table1[[#This Row],[ltv_ratio]] &lt; 0.6, "less than 0.6 -less risky", Table1[[#This Row],[ltv_ratio]]  &lt;= 0.8, "0.6 - 0.8 -medium risky",Table1[[#This Row],[ltv_ratio]] &gt; 0.8, "greater than 0.8 -highly risky")</f>
        <v>0.6 - 0.8 -medium risky</v>
      </c>
      <c r="AJ136" s="2">
        <f>COUNTIF(Table1[LTV band],Table1[[#This Row],[LTV band]])</f>
        <v>302</v>
      </c>
      <c r="AK136" s="2">
        <f>COUNTIFS(Table1[count_loan_perband],Table1[[#This Row],[count_loan_perband]],Table1[default_flag],1)/COUNTIF(Table1[count_loan_perband],Table1[[#This Row],[count_loan_perband]])</f>
        <v>3.6423841059602648E-2</v>
      </c>
      <c r="AL136" s="2" t="str" cm="1">
        <f t="array" ref="AL136">_xlfn.IFS(Table1[[#This Row],[loan_amount]] &lt; 900000, "lower size (&lt; 9L)", Table1[[#This Row],[loan_amount]] &lt;=3300000, "medium size (&lt;=33L)", Table1[[#This Row],[loan_amount]] &gt; 3300000, "larger size (&gt; 33L)")</f>
        <v>medium size (&lt;=33L)</v>
      </c>
      <c r="AM136" s="2">
        <f>IF(Table1[[#This Row],[dpd]] &gt;=30,1,0)</f>
        <v>0</v>
      </c>
      <c r="AN136" s="2">
        <f>COUNTIFS(Table1[Loan size],Table1[[#This Row],[Loan size]],Table1[dpd flag],1)/COUNTIF(Table1[Loan size],Table1[[#This Row],[Loan size]])</f>
        <v>0.15909090909090909</v>
      </c>
      <c r="AO136" s="2" t="str">
        <f>IF(OR(Table1[[#This Row],[credit_score]] &lt; 600, Table1[ [#This Row],[dti_ratio] ] &gt; 0.5, Table1[[#This Row],[dpd]] &gt;=30), "high risk", " not riskY")</f>
        <v xml:space="preserve"> not riskY</v>
      </c>
      <c r="AP136" s="26">
        <f>EOMONTH(Table1[[#This Row],[origination_date]],0)</f>
        <v>45688</v>
      </c>
      <c r="AQ136" s="2">
        <f>SUMIFS(Table1[loan_amount],Table1[origination month],Table1[[#This Row],[origination month]])</f>
        <v>16786700</v>
      </c>
      <c r="AR136" s="2">
        <f>AVERAGEIFS(Table1[months_on_book],Table1[product],Table1[[#This Row],[product]])</f>
        <v>20.262135922330096</v>
      </c>
      <c r="AS136" s="2" t="str">
        <f ca="1">IF(EDATE(Table1[[#This Row],[origination_date]],6) &gt;= TODAY(), "New Loan", "Old Loan")</f>
        <v>Old Loan</v>
      </c>
      <c r="AT136" s="2" t="str">
        <f>"Q"&amp;ROUNDUP(MONTH(Table1[[#This Row],[origination_date]])/3,0)&amp;YEAR(Table1[[#This Row],[origination_date]])</f>
        <v>Q12025</v>
      </c>
      <c r="AU136" s="2">
        <f>SUMIFS(Table1[loan_amount],Table1[quarter],Table1[[#This Row],[quarter]])</f>
        <v>40328000</v>
      </c>
      <c r="AV136" s="34" t="str">
        <f>_xlfn.TEXTJOIN("|",TRUE,Table1[[#This Row],[loan_id]:[loan_status]])</f>
        <v>L22620184|C7862789|45673|Auto Loan|Branch|East|Salaried|120|998600|16.87|17273|949409|601|D|0.35|0.79|1264100|11|162902|897468|0|0|0|Active</v>
      </c>
      <c r="AW136" s="42">
        <f>YEAR(Loan_Table[ [#This Row],[origination_date] ])</f>
        <v>2025</v>
      </c>
    </row>
    <row r="137" spans="2:49" ht="18" customHeight="1">
      <c r="B137" s="5" t="s">
        <v>394</v>
      </c>
      <c r="C137" s="2" t="s">
        <v>395</v>
      </c>
      <c r="D137" s="3">
        <v>45663</v>
      </c>
      <c r="E137" s="2" t="s">
        <v>131</v>
      </c>
      <c r="F137" s="2" t="s">
        <v>132</v>
      </c>
      <c r="G137" s="2" t="s">
        <v>170</v>
      </c>
      <c r="H137" s="2" t="s">
        <v>134</v>
      </c>
      <c r="I137" s="2">
        <v>48</v>
      </c>
      <c r="J137" s="2">
        <v>556500</v>
      </c>
      <c r="K137" s="2">
        <v>18.32</v>
      </c>
      <c r="L137" s="2">
        <v>16440</v>
      </c>
      <c r="M137" s="2">
        <v>1326204</v>
      </c>
      <c r="N137" s="2">
        <v>673</v>
      </c>
      <c r="O137" s="2" t="s">
        <v>140</v>
      </c>
      <c r="P137" s="2">
        <v>0.34</v>
      </c>
      <c r="Q137" s="2">
        <v>0.93</v>
      </c>
      <c r="R137" s="2">
        <v>0</v>
      </c>
      <c r="S137" s="2">
        <v>11</v>
      </c>
      <c r="T137" s="2">
        <v>154689</v>
      </c>
      <c r="U137" s="2">
        <v>439193</v>
      </c>
      <c r="V137" s="2">
        <v>0</v>
      </c>
      <c r="W137" s="2">
        <v>0</v>
      </c>
      <c r="X137" s="2">
        <v>0</v>
      </c>
      <c r="Y137" s="2" t="s">
        <v>148</v>
      </c>
      <c r="Z137" s="12">
        <f>SUMIF(Table1[product],Table1[[#This Row],[product]],Table1[loan_amount])</f>
        <v>74897600</v>
      </c>
      <c r="AA137" s="15">
        <f>SUMIF(Table1[region],Table1[[#This Row],[region]],Table1[current_balance])</f>
        <v>83297251</v>
      </c>
      <c r="AB137" s="2">
        <f>COUNTIF(Table1[loan_status],Table1[[#This Row],[loan_status]])</f>
        <v>301</v>
      </c>
      <c r="AC137" s="2">
        <f>COUNTIF(Table1[default_flag],1)/ROWS(Table1[loan_id])</f>
        <v>2.5999999999999999E-2</v>
      </c>
      <c r="AD137" s="2">
        <f>COUNTIFS(Table1[region],Table1[[#This Row],[region]],Table1[default_flag],1)/COUNTIF(Table1[region],Table1[[#This Row],[region]])</f>
        <v>3.1914893617021274E-2</v>
      </c>
      <c r="AE137" s="2">
        <f>COUNTIFS(Table1[channel],Table1[[#This Row],[channel]],Table1[prepayment_flag],1)/COUNTIF(Table1[channel],Table1[[#This Row],[channel]])</f>
        <v>7.1090047393364927E-2</v>
      </c>
      <c r="AF137" s="2">
        <f>AVERAGEIFS(Table1[interest_rate_pct],Table1[product],Table1[[#This Row],[product]],Table1[risk_band],Table1[[#This Row],[risk_band]])</f>
        <v>18.603181818181817</v>
      </c>
      <c r="AG137" s="2" t="str" cm="1">
        <f t="array" ref="AG137">_xlfn.IFS(Table1[[#This Row],[dti_ratio]] &lt; 0.2, " less than 0.2", Table1[[#This Row],[dti_ratio]] &lt; 0.3, "0.2 - 0.3", Table1[[#This Row],[dti_ratio]] &lt;= 0.5, "0.35 - 0.5", Table1[[#This Row],[dti_ratio]] &gt; 0.5, "greater than 0.5")</f>
        <v>0.35 - 0.5</v>
      </c>
      <c r="AH137" s="2">
        <f>COUNTIF(Table1[DTI band],Table1[[#This Row],[DTI band]])</f>
        <v>260</v>
      </c>
      <c r="AI137" s="2" t="str" cm="1">
        <f t="array" ref="AI137">_xlfn.IFS(Table1[[#This Row],[ltv_ratio]] &lt; 0.6, "less than 0.6 -less risky", Table1[[#This Row],[ltv_ratio]]  &lt;= 0.8, "0.6 - 0.8 -medium risky",Table1[[#This Row],[ltv_ratio]] &gt; 0.8, "greater than 0.8 -highly risky")</f>
        <v>greater than 0.8 -highly risky</v>
      </c>
      <c r="AJ137" s="2">
        <f>COUNTIF(Table1[LTV band],Table1[[#This Row],[LTV band]])</f>
        <v>141</v>
      </c>
      <c r="AK137" s="2">
        <f>COUNTIFS(Table1[count_loan_perband],Table1[[#This Row],[count_loan_perband]],Table1[default_flag],1)/COUNTIF(Table1[count_loan_perband],Table1[[#This Row],[count_loan_perband]])</f>
        <v>1.4184397163120567E-2</v>
      </c>
      <c r="AL137" s="2" t="str" cm="1">
        <f t="array" ref="AL137">_xlfn.IFS(Table1[[#This Row],[loan_amount]] &lt; 900000, "lower size (&lt; 9L)", Table1[[#This Row],[loan_amount]] &lt;=3300000, "medium size (&lt;=33L)", Table1[[#This Row],[loan_amount]] &gt; 3300000, "larger size (&gt; 33L)")</f>
        <v>lower size (&lt; 9L)</v>
      </c>
      <c r="AM137" s="2">
        <f>IF(Table1[[#This Row],[dpd]] &gt;=30,1,0)</f>
        <v>0</v>
      </c>
      <c r="AN137" s="2">
        <f>COUNTIFS(Table1[Loan size],Table1[[#This Row],[Loan size]],Table1[dpd flag],1)/COUNTIF(Table1[Loan size],Table1[[#This Row],[Loan size]])</f>
        <v>0.13934426229508196</v>
      </c>
      <c r="AO137" s="2" t="str">
        <f>IF(OR(Table1[[#This Row],[credit_score]] &lt; 600, Table1[ [#This Row],[dti_ratio] ] &gt; 0.5, Table1[[#This Row],[dpd]] &gt;=30), "high risk", " not riskY")</f>
        <v xml:space="preserve"> not riskY</v>
      </c>
      <c r="AP137" s="26">
        <f>EOMONTH(Table1[[#This Row],[origination_date]],0)</f>
        <v>45688</v>
      </c>
      <c r="AQ137" s="2">
        <f>SUMIFS(Table1[loan_amount],Table1[origination month],Table1[[#This Row],[origination month]])</f>
        <v>16786700</v>
      </c>
      <c r="AR137" s="2">
        <f>AVERAGEIFS(Table1[months_on_book],Table1[product],Table1[[#This Row],[product]])</f>
        <v>21.092024539877301</v>
      </c>
      <c r="AS137" s="2" t="str">
        <f ca="1">IF(EDATE(Table1[[#This Row],[origination_date]],6) &gt;= TODAY(), "New Loan", "Old Loan")</f>
        <v>Old Loan</v>
      </c>
      <c r="AT137" s="2" t="str">
        <f>"Q"&amp;ROUNDUP(MONTH(Table1[[#This Row],[origination_date]])/3,0)&amp;YEAR(Table1[[#This Row],[origination_date]])</f>
        <v>Q12025</v>
      </c>
      <c r="AU137" s="2">
        <f>SUMIFS(Table1[loan_amount],Table1[quarter],Table1[[#This Row],[quarter]])</f>
        <v>40328000</v>
      </c>
      <c r="AV137" s="34" t="str">
        <f>_xlfn.TEXTJOIN("|",TRUE,Table1[[#This Row],[loan_id]:[loan_status]])</f>
        <v>L59191255|C5828622|45663|Personal Loan|Online|East|Salaried|48|556500|18.32|16440|1326204|673|C|0.34|0.93|0|11|154689|439193|0|0|0|Active</v>
      </c>
      <c r="AW137" s="42">
        <f>YEAR(Loan_Table[ [#This Row],[origination_date] ])</f>
        <v>2022</v>
      </c>
    </row>
    <row r="138" spans="2:49" ht="18" customHeight="1">
      <c r="B138" s="5" t="s">
        <v>396</v>
      </c>
      <c r="C138" s="2" t="s">
        <v>397</v>
      </c>
      <c r="D138" s="3">
        <v>45694</v>
      </c>
      <c r="E138" s="2" t="s">
        <v>169</v>
      </c>
      <c r="F138" s="2" t="s">
        <v>144</v>
      </c>
      <c r="G138" s="2" t="s">
        <v>139</v>
      </c>
      <c r="H138" s="2" t="s">
        <v>134</v>
      </c>
      <c r="I138" s="2">
        <v>72</v>
      </c>
      <c r="J138" s="2">
        <v>3397700</v>
      </c>
      <c r="K138" s="2">
        <v>12.15</v>
      </c>
      <c r="L138" s="2">
        <v>66691</v>
      </c>
      <c r="M138" s="2">
        <v>944158</v>
      </c>
      <c r="N138" s="2">
        <v>656</v>
      </c>
      <c r="O138" s="2" t="s">
        <v>140</v>
      </c>
      <c r="P138" s="2">
        <v>0.32</v>
      </c>
      <c r="Q138" s="2">
        <v>0.69</v>
      </c>
      <c r="R138" s="2">
        <v>4903900</v>
      </c>
      <c r="S138" s="2">
        <v>10</v>
      </c>
      <c r="T138" s="2">
        <v>618775</v>
      </c>
      <c r="U138" s="2">
        <v>2916532</v>
      </c>
      <c r="V138" s="2">
        <v>90</v>
      </c>
      <c r="W138" s="2">
        <v>0</v>
      </c>
      <c r="X138" s="2">
        <v>1</v>
      </c>
      <c r="Y138" s="2" t="s">
        <v>153</v>
      </c>
      <c r="Z138" s="12">
        <f>SUMIF(Table1[product],Table1[[#This Row],[product]],Table1[loan_amount])</f>
        <v>403369500</v>
      </c>
      <c r="AA138" s="15">
        <f>SUMIF(Table1[region],Table1[[#This Row],[region]],Table1[current_balance])</f>
        <v>83903255</v>
      </c>
      <c r="AB138" s="2">
        <f>COUNTIF(Table1[loan_status],Table1[[#This Row],[loan_status]])</f>
        <v>13</v>
      </c>
      <c r="AC138" s="2">
        <f>COUNTIF(Table1[default_flag],1)/ROWS(Table1[loan_id])</f>
        <v>2.5999999999999999E-2</v>
      </c>
      <c r="AD138" s="2">
        <f>COUNTIFS(Table1[region],Table1[[#This Row],[region]],Table1[default_flag],1)/COUNTIF(Table1[region],Table1[[#This Row],[region]])</f>
        <v>4.2553191489361701E-2</v>
      </c>
      <c r="AE138" s="2">
        <f>COUNTIFS(Table1[channel],Table1[[#This Row],[channel]],Table1[prepayment_flag],1)/COUNTIF(Table1[channel],Table1[[#This Row],[channel]])</f>
        <v>5.8201058201058198E-2</v>
      </c>
      <c r="AF138" s="2">
        <f>AVERAGEIFS(Table1[interest_rate_pct],Table1[product],Table1[[#This Row],[product]],Table1[risk_band],Table1[[#This Row],[risk_band]])</f>
        <v>11.719736842105268</v>
      </c>
      <c r="AG138" s="2" t="str" cm="1">
        <f t="array" ref="AG138">_xlfn.IFS(Table1[[#This Row],[dti_ratio]] &lt; 0.2, " less than 0.2", Table1[[#This Row],[dti_ratio]] &lt; 0.3, "0.2 - 0.3", Table1[[#This Row],[dti_ratio]] &lt;= 0.5, "0.35 - 0.5", Table1[[#This Row],[dti_ratio]] &gt; 0.5, "greater than 0.5")</f>
        <v>0.35 - 0.5</v>
      </c>
      <c r="AH138" s="2">
        <f>COUNTIF(Table1[DTI band],Table1[[#This Row],[DTI band]])</f>
        <v>260</v>
      </c>
      <c r="AI138" s="2" t="str" cm="1">
        <f t="array" ref="AI138">_xlfn.IFS(Table1[[#This Row],[ltv_ratio]] &lt; 0.6, "less than 0.6 -less risky", Table1[[#This Row],[ltv_ratio]]  &lt;= 0.8, "0.6 - 0.8 -medium risky",Table1[[#This Row],[ltv_ratio]] &gt; 0.8, "greater than 0.8 -highly risky")</f>
        <v>0.6 - 0.8 -medium risky</v>
      </c>
      <c r="AJ138" s="2">
        <f>COUNTIF(Table1[LTV band],Table1[[#This Row],[LTV band]])</f>
        <v>302</v>
      </c>
      <c r="AK138" s="2">
        <f>COUNTIFS(Table1[count_loan_perband],Table1[[#This Row],[count_loan_perband]],Table1[default_flag],1)/COUNTIF(Table1[count_loan_perband],Table1[[#This Row],[count_loan_perband]])</f>
        <v>3.6423841059602648E-2</v>
      </c>
      <c r="AL138" s="2" t="str" cm="1">
        <f t="array" ref="AL138">_xlfn.IFS(Table1[[#This Row],[loan_amount]] &lt; 900000, "lower size (&lt; 9L)", Table1[[#This Row],[loan_amount]] &lt;=3300000, "medium size (&lt;=33L)", Table1[[#This Row],[loan_amount]] &gt; 3300000, "larger size (&gt; 33L)")</f>
        <v>larger size (&gt; 33L)</v>
      </c>
      <c r="AM138" s="2">
        <f>IF(Table1[[#This Row],[dpd]] &gt;=30,1,0)</f>
        <v>1</v>
      </c>
      <c r="AN138" s="2">
        <f>COUNTIFS(Table1[Loan size],Table1[[#This Row],[Loan size]],Table1[dpd flag],1)/COUNTIF(Table1[Loan size],Table1[[#This Row],[Loan size]])</f>
        <v>0.16250000000000001</v>
      </c>
      <c r="AO138" s="2" t="str">
        <f>IF(OR(Table1[[#This Row],[credit_score]] &lt; 600, Table1[ [#This Row],[dti_ratio] ] &gt; 0.5, Table1[[#This Row],[dpd]] &gt;=30), "high risk", " not riskY")</f>
        <v>high risk</v>
      </c>
      <c r="AP138" s="26">
        <f>EOMONTH(Table1[[#This Row],[origination_date]],0)</f>
        <v>45716</v>
      </c>
      <c r="AQ138" s="2">
        <f>SUMIFS(Table1[loan_amount],Table1[origination month],Table1[[#This Row],[origination month]])</f>
        <v>17968200</v>
      </c>
      <c r="AR138" s="2">
        <f>AVERAGEIFS(Table1[months_on_book],Table1[product],Table1[[#This Row],[product]])</f>
        <v>20.516129032258064</v>
      </c>
      <c r="AS138" s="2" t="str">
        <f ca="1">IF(EDATE(Table1[[#This Row],[origination_date]],6) &gt;= TODAY(), "New Loan", "Old Loan")</f>
        <v>Old Loan</v>
      </c>
      <c r="AT138" s="2" t="str">
        <f>"Q"&amp;ROUNDUP(MONTH(Table1[[#This Row],[origination_date]])/3,0)&amp;YEAR(Table1[[#This Row],[origination_date]])</f>
        <v>Q12025</v>
      </c>
      <c r="AU138" s="2">
        <f>SUMIFS(Table1[loan_amount],Table1[quarter],Table1[[#This Row],[quarter]])</f>
        <v>40328000</v>
      </c>
      <c r="AV138" s="34" t="str">
        <f>_xlfn.TEXTJOIN("|",TRUE,Table1[[#This Row],[loan_id]:[loan_status]])</f>
        <v>L21863999|C9820244|45694|Home Loan|Branch|West|Salaried|72|3397700|12.15|66691|944158|656|C|0.32|0.69|4903900|10|618775|2916532|90|0|1|Default</v>
      </c>
      <c r="AW138" s="42">
        <f>YEAR(Loan_Table[ [#This Row],[origination_date] ])</f>
        <v>2022</v>
      </c>
    </row>
    <row r="139" spans="2:49" ht="18" customHeight="1">
      <c r="B139" s="5" t="s">
        <v>398</v>
      </c>
      <c r="C139" s="2" t="s">
        <v>399</v>
      </c>
      <c r="D139" s="3">
        <v>45709</v>
      </c>
      <c r="E139" s="2" t="s">
        <v>158</v>
      </c>
      <c r="F139" s="2" t="s">
        <v>144</v>
      </c>
      <c r="G139" s="2" t="s">
        <v>133</v>
      </c>
      <c r="H139" s="2" t="s">
        <v>134</v>
      </c>
      <c r="I139" s="2">
        <v>84</v>
      </c>
      <c r="J139" s="2">
        <v>2391900</v>
      </c>
      <c r="K139" s="2">
        <v>15.11</v>
      </c>
      <c r="L139" s="2">
        <v>46304</v>
      </c>
      <c r="M139" s="2">
        <v>560710</v>
      </c>
      <c r="N139" s="2">
        <v>675</v>
      </c>
      <c r="O139" s="2" t="s">
        <v>140</v>
      </c>
      <c r="P139" s="2">
        <v>0.31</v>
      </c>
      <c r="Q139" s="2">
        <v>0.78</v>
      </c>
      <c r="R139" s="2">
        <v>3078100</v>
      </c>
      <c r="S139" s="2">
        <v>10</v>
      </c>
      <c r="T139" s="2">
        <v>456900</v>
      </c>
      <c r="U139" s="2">
        <v>2055472</v>
      </c>
      <c r="V139" s="2">
        <v>10</v>
      </c>
      <c r="W139" s="2">
        <v>0</v>
      </c>
      <c r="X139" s="2">
        <v>0</v>
      </c>
      <c r="Y139" s="2" t="s">
        <v>148</v>
      </c>
      <c r="Z139" s="12">
        <f>SUMIF(Table1[product],Table1[[#This Row],[product]],Table1[loan_amount])</f>
        <v>201475100</v>
      </c>
      <c r="AA139" s="15">
        <f>SUMIF(Table1[region],Table1[[#This Row],[region]],Table1[current_balance])</f>
        <v>94548000</v>
      </c>
      <c r="AB139" s="2">
        <f>COUNTIF(Table1[loan_status],Table1[[#This Row],[loan_status]])</f>
        <v>301</v>
      </c>
      <c r="AC139" s="2">
        <f>COUNTIF(Table1[default_flag],1)/ROWS(Table1[loan_id])</f>
        <v>2.5999999999999999E-2</v>
      </c>
      <c r="AD139" s="2">
        <f>COUNTIFS(Table1[region],Table1[[#This Row],[region]],Table1[default_flag],1)/COUNTIF(Table1[region],Table1[[#This Row],[region]])</f>
        <v>0</v>
      </c>
      <c r="AE139" s="2">
        <f>COUNTIFS(Table1[channel],Table1[[#This Row],[channel]],Table1[prepayment_flag],1)/COUNTIF(Table1[channel],Table1[[#This Row],[channel]])</f>
        <v>5.8201058201058198E-2</v>
      </c>
      <c r="AF139" s="2">
        <f>AVERAGEIFS(Table1[interest_rate_pct],Table1[product],Table1[[#This Row],[product]],Table1[risk_band],Table1[[#This Row],[risk_band]])</f>
        <v>15.841379310344831</v>
      </c>
      <c r="AG139" s="2" t="str" cm="1">
        <f t="array" ref="AG139">_xlfn.IFS(Table1[[#This Row],[dti_ratio]] &lt; 0.2, " less than 0.2", Table1[[#This Row],[dti_ratio]] &lt; 0.3, "0.2 - 0.3", Table1[[#This Row],[dti_ratio]] &lt;= 0.5, "0.35 - 0.5", Table1[[#This Row],[dti_ratio]] &gt; 0.5, "greater than 0.5")</f>
        <v>0.35 - 0.5</v>
      </c>
      <c r="AH139" s="2">
        <f>COUNTIF(Table1[DTI band],Table1[[#This Row],[DTI band]])</f>
        <v>260</v>
      </c>
      <c r="AI139" s="2" t="str" cm="1">
        <f t="array" ref="AI139">_xlfn.IFS(Table1[[#This Row],[ltv_ratio]] &lt; 0.6, "less than 0.6 -less risky", Table1[[#This Row],[ltv_ratio]]  &lt;= 0.8, "0.6 - 0.8 -medium risky",Table1[[#This Row],[ltv_ratio]] &gt; 0.8, "greater than 0.8 -highly risky")</f>
        <v>0.6 - 0.8 -medium risky</v>
      </c>
      <c r="AJ139" s="2">
        <f>COUNTIF(Table1[LTV band],Table1[[#This Row],[LTV band]])</f>
        <v>302</v>
      </c>
      <c r="AK139" s="2">
        <f>COUNTIFS(Table1[count_loan_perband],Table1[[#This Row],[count_loan_perband]],Table1[default_flag],1)/COUNTIF(Table1[count_loan_perband],Table1[[#This Row],[count_loan_perband]])</f>
        <v>3.6423841059602648E-2</v>
      </c>
      <c r="AL139" s="2" t="str" cm="1">
        <f t="array" ref="AL139">_xlfn.IFS(Table1[[#This Row],[loan_amount]] &lt; 900000, "lower size (&lt; 9L)", Table1[[#This Row],[loan_amount]] &lt;=3300000, "medium size (&lt;=33L)", Table1[[#This Row],[loan_amount]] &gt; 3300000, "larger size (&gt; 33L)")</f>
        <v>medium size (&lt;=33L)</v>
      </c>
      <c r="AM139" s="2">
        <f>IF(Table1[[#This Row],[dpd]] &gt;=30,1,0)</f>
        <v>0</v>
      </c>
      <c r="AN139" s="2">
        <f>COUNTIFS(Table1[Loan size],Table1[[#This Row],[Loan size]],Table1[dpd flag],1)/COUNTIF(Table1[Loan size],Table1[[#This Row],[Loan size]])</f>
        <v>0.15909090909090909</v>
      </c>
      <c r="AO139" s="2" t="str">
        <f>IF(OR(Table1[[#This Row],[credit_score]] &lt; 600, Table1[ [#This Row],[dti_ratio] ] &gt; 0.5, Table1[[#This Row],[dpd]] &gt;=30), "high risk", " not riskY")</f>
        <v xml:space="preserve"> not riskY</v>
      </c>
      <c r="AP139" s="26">
        <f>EOMONTH(Table1[[#This Row],[origination_date]],0)</f>
        <v>45716</v>
      </c>
      <c r="AQ139" s="2">
        <f>SUMIFS(Table1[loan_amount],Table1[origination month],Table1[[#This Row],[origination month]])</f>
        <v>17968200</v>
      </c>
      <c r="AR139" s="2">
        <f>AVERAGEIFS(Table1[months_on_book],Table1[product],Table1[[#This Row],[product]])</f>
        <v>19.091954022988507</v>
      </c>
      <c r="AS139" s="2" t="str">
        <f ca="1">IF(EDATE(Table1[[#This Row],[origination_date]],6) &gt;= TODAY(), "New Loan", "Old Loan")</f>
        <v>Old Loan</v>
      </c>
      <c r="AT139" s="2" t="str">
        <f>"Q"&amp;ROUNDUP(MONTH(Table1[[#This Row],[origination_date]])/3,0)&amp;YEAR(Table1[[#This Row],[origination_date]])</f>
        <v>Q12025</v>
      </c>
      <c r="AU139" s="2">
        <f>SUMIFS(Table1[loan_amount],Table1[quarter],Table1[[#This Row],[quarter]])</f>
        <v>40328000</v>
      </c>
      <c r="AV139" s="34" t="str">
        <f>_xlfn.TEXTJOIN("|",TRUE,Table1[[#This Row],[loan_id]:[loan_status]])</f>
        <v>L20620531|C1451315|45709|SME Loan|Branch|South|Salaried|84|2391900|15.11|46304|560710|675|C|0.31|0.78|3078100|10|456900|2055472|10|0|0|Active</v>
      </c>
      <c r="AW139" s="42">
        <f>YEAR(Loan_Table[ [#This Row],[origination_date] ])</f>
        <v>2022</v>
      </c>
    </row>
    <row r="140" spans="2:49" ht="18" customHeight="1">
      <c r="B140" s="5" t="s">
        <v>400</v>
      </c>
      <c r="C140" s="2" t="s">
        <v>401</v>
      </c>
      <c r="D140" s="3">
        <v>45696</v>
      </c>
      <c r="E140" s="2" t="s">
        <v>158</v>
      </c>
      <c r="F140" s="2" t="s">
        <v>132</v>
      </c>
      <c r="G140" s="2" t="s">
        <v>145</v>
      </c>
      <c r="H140" s="2" t="s">
        <v>146</v>
      </c>
      <c r="I140" s="2">
        <v>48</v>
      </c>
      <c r="J140" s="2">
        <v>1878500</v>
      </c>
      <c r="K140" s="2">
        <v>15.52</v>
      </c>
      <c r="L140" s="2">
        <v>52777</v>
      </c>
      <c r="M140" s="2">
        <v>950971</v>
      </c>
      <c r="N140" s="2">
        <v>677</v>
      </c>
      <c r="O140" s="2" t="s">
        <v>140</v>
      </c>
      <c r="P140" s="2">
        <v>0.3</v>
      </c>
      <c r="Q140" s="2">
        <v>0.53</v>
      </c>
      <c r="R140" s="2">
        <v>3565300</v>
      </c>
      <c r="S140" s="2">
        <v>10</v>
      </c>
      <c r="T140" s="2">
        <v>512170</v>
      </c>
      <c r="U140" s="2">
        <v>1463511</v>
      </c>
      <c r="V140" s="2">
        <v>0</v>
      </c>
      <c r="W140" s="2">
        <v>0</v>
      </c>
      <c r="X140" s="2">
        <v>0</v>
      </c>
      <c r="Y140" s="2" t="s">
        <v>148</v>
      </c>
      <c r="Z140" s="12">
        <f>SUMIF(Table1[product],Table1[[#This Row],[product]],Table1[loan_amount])</f>
        <v>201475100</v>
      </c>
      <c r="AA140" s="15">
        <f>SUMIF(Table1[region],Table1[[#This Row],[region]],Table1[current_balance])</f>
        <v>98928695</v>
      </c>
      <c r="AB140" s="2">
        <f>COUNTIF(Table1[loan_status],Table1[[#This Row],[loan_status]])</f>
        <v>301</v>
      </c>
      <c r="AC140" s="2">
        <f>COUNTIF(Table1[default_flag],1)/ROWS(Table1[loan_id])</f>
        <v>2.5999999999999999E-2</v>
      </c>
      <c r="AD140" s="2">
        <f>COUNTIFS(Table1[region],Table1[[#This Row],[region]],Table1[default_flag],1)/COUNTIF(Table1[region],Table1[[#This Row],[region]])</f>
        <v>2.8571428571428571E-2</v>
      </c>
      <c r="AE140" s="2">
        <f>COUNTIFS(Table1[channel],Table1[[#This Row],[channel]],Table1[prepayment_flag],1)/COUNTIF(Table1[channel],Table1[[#This Row],[channel]])</f>
        <v>7.1090047393364927E-2</v>
      </c>
      <c r="AF140" s="2">
        <f>AVERAGEIFS(Table1[interest_rate_pct],Table1[product],Table1[[#This Row],[product]],Table1[risk_band],Table1[[#This Row],[risk_band]])</f>
        <v>15.841379310344831</v>
      </c>
      <c r="AG140" s="2" t="str" cm="1">
        <f t="array" ref="AG140">_xlfn.IFS(Table1[[#This Row],[dti_ratio]] &lt; 0.2, " less than 0.2", Table1[[#This Row],[dti_ratio]] &lt; 0.3, "0.2 - 0.3", Table1[[#This Row],[dti_ratio]] &lt;= 0.5, "0.35 - 0.5", Table1[[#This Row],[dti_ratio]] &gt; 0.5, "greater than 0.5")</f>
        <v>0.35 - 0.5</v>
      </c>
      <c r="AH140" s="2">
        <f>COUNTIF(Table1[DTI band],Table1[[#This Row],[DTI band]])</f>
        <v>260</v>
      </c>
      <c r="AI140" s="2" t="str" cm="1">
        <f t="array" ref="AI140">_xlfn.IFS(Table1[[#This Row],[ltv_ratio]] &lt; 0.6, "less than 0.6 -less risky", Table1[[#This Row],[ltv_ratio]]  &lt;= 0.8, "0.6 - 0.8 -medium risky",Table1[[#This Row],[ltv_ratio]] &gt; 0.8, "greater than 0.8 -highly risky")</f>
        <v>less than 0.6 -less risky</v>
      </c>
      <c r="AJ140" s="2">
        <f>COUNTIF(Table1[LTV band],Table1[[#This Row],[LTV band]])</f>
        <v>57</v>
      </c>
      <c r="AK140" s="2">
        <f>COUNTIFS(Table1[count_loan_perband],Table1[[#This Row],[count_loan_perband]],Table1[default_flag],1)/COUNTIF(Table1[count_loan_perband],Table1[[#This Row],[count_loan_perband]])</f>
        <v>0</v>
      </c>
      <c r="AL140" s="2" t="str" cm="1">
        <f t="array" ref="AL140">_xlfn.IFS(Table1[[#This Row],[loan_amount]] &lt; 900000, "lower size (&lt; 9L)", Table1[[#This Row],[loan_amount]] &lt;=3300000, "medium size (&lt;=33L)", Table1[[#This Row],[loan_amount]] &gt; 3300000, "larger size (&gt; 33L)")</f>
        <v>medium size (&lt;=33L)</v>
      </c>
      <c r="AM140" s="2">
        <f>IF(Table1[[#This Row],[dpd]] &gt;=30,1,0)</f>
        <v>0</v>
      </c>
      <c r="AN140" s="2">
        <f>COUNTIFS(Table1[Loan size],Table1[[#This Row],[Loan size]],Table1[dpd flag],1)/COUNTIF(Table1[Loan size],Table1[[#This Row],[Loan size]])</f>
        <v>0.15909090909090909</v>
      </c>
      <c r="AO140" s="2" t="str">
        <f>IF(OR(Table1[[#This Row],[credit_score]] &lt; 600, Table1[ [#This Row],[dti_ratio] ] &gt; 0.5, Table1[[#This Row],[dpd]] &gt;=30), "high risk", " not riskY")</f>
        <v xml:space="preserve"> not riskY</v>
      </c>
      <c r="AP140" s="26">
        <f>EOMONTH(Table1[[#This Row],[origination_date]],0)</f>
        <v>45716</v>
      </c>
      <c r="AQ140" s="2">
        <f>SUMIFS(Table1[loan_amount],Table1[origination month],Table1[[#This Row],[origination month]])</f>
        <v>17968200</v>
      </c>
      <c r="AR140" s="2">
        <f>AVERAGEIFS(Table1[months_on_book],Table1[product],Table1[[#This Row],[product]])</f>
        <v>19.091954022988507</v>
      </c>
      <c r="AS140" s="2" t="str">
        <f ca="1">IF(EDATE(Table1[[#This Row],[origination_date]],6) &gt;= TODAY(), "New Loan", "Old Loan")</f>
        <v>Old Loan</v>
      </c>
      <c r="AT140" s="2" t="str">
        <f>"Q"&amp;ROUNDUP(MONTH(Table1[[#This Row],[origination_date]])/3,0)&amp;YEAR(Table1[[#This Row],[origination_date]])</f>
        <v>Q12025</v>
      </c>
      <c r="AU140" s="2">
        <f>SUMIFS(Table1[loan_amount],Table1[quarter],Table1[[#This Row],[quarter]])</f>
        <v>40328000</v>
      </c>
      <c r="AV140" s="34" t="str">
        <f>_xlfn.TEXTJOIN("|",TRUE,Table1[[#This Row],[loan_id]:[loan_status]])</f>
        <v>L26940265|C9425147|45696|SME Loan|Online|Central|Contract|48|1878500|15.52|52777|950971|677|C|0.3|0.53|3565300|10|512170|1463511|0|0|0|Active</v>
      </c>
      <c r="AW140" s="42">
        <f>YEAR(Loan_Table[ [#This Row],[origination_date] ])</f>
        <v>2022</v>
      </c>
    </row>
    <row r="141" spans="2:49" ht="18" customHeight="1">
      <c r="B141" s="5" t="s">
        <v>402</v>
      </c>
      <c r="C141" s="2" t="s">
        <v>403</v>
      </c>
      <c r="D141" s="3">
        <v>45676</v>
      </c>
      <c r="E141" s="2" t="s">
        <v>158</v>
      </c>
      <c r="F141" s="2" t="s">
        <v>213</v>
      </c>
      <c r="G141" s="2" t="s">
        <v>170</v>
      </c>
      <c r="H141" s="2" t="s">
        <v>152</v>
      </c>
      <c r="I141" s="2">
        <v>360</v>
      </c>
      <c r="J141" s="2">
        <v>1553000</v>
      </c>
      <c r="K141" s="2">
        <v>18.27</v>
      </c>
      <c r="L141" s="2">
        <v>23748</v>
      </c>
      <c r="M141" s="2">
        <v>1123566</v>
      </c>
      <c r="N141" s="2">
        <v>648</v>
      </c>
      <c r="O141" s="2" t="s">
        <v>147</v>
      </c>
      <c r="P141" s="2">
        <v>0.3</v>
      </c>
      <c r="Q141" s="2">
        <v>0.51</v>
      </c>
      <c r="R141" s="2">
        <v>3020600</v>
      </c>
      <c r="S141" s="2">
        <v>11</v>
      </c>
      <c r="T141" s="2">
        <v>252592</v>
      </c>
      <c r="U141" s="2">
        <v>1404443</v>
      </c>
      <c r="V141" s="2">
        <v>0</v>
      </c>
      <c r="W141" s="2">
        <v>0</v>
      </c>
      <c r="X141" s="2">
        <v>0</v>
      </c>
      <c r="Y141" s="2" t="s">
        <v>148</v>
      </c>
      <c r="Z141" s="12">
        <f>SUMIF(Table1[product],Table1[[#This Row],[product]],Table1[loan_amount])</f>
        <v>201475100</v>
      </c>
      <c r="AA141" s="15">
        <f>SUMIF(Table1[region],Table1[[#This Row],[region]],Table1[current_balance])</f>
        <v>83297251</v>
      </c>
      <c r="AB141" s="2">
        <f>COUNTIF(Table1[loan_status],Table1[[#This Row],[loan_status]])</f>
        <v>301</v>
      </c>
      <c r="AC141" s="2">
        <f>COUNTIF(Table1[default_flag],1)/ROWS(Table1[loan_id])</f>
        <v>2.5999999999999999E-2</v>
      </c>
      <c r="AD141" s="2">
        <f>COUNTIFS(Table1[region],Table1[[#This Row],[region]],Table1[default_flag],1)/COUNTIF(Table1[region],Table1[[#This Row],[region]])</f>
        <v>3.1914893617021274E-2</v>
      </c>
      <c r="AE141" s="2">
        <f>COUNTIFS(Table1[channel],Table1[[#This Row],[channel]],Table1[prepayment_flag],1)/COUNTIF(Table1[channel],Table1[[#This Row],[channel]])</f>
        <v>0.12</v>
      </c>
      <c r="AF141" s="2">
        <f>AVERAGEIFS(Table1[interest_rate_pct],Table1[product],Table1[[#This Row],[product]],Table1[risk_band],Table1[[#This Row],[risk_band]])</f>
        <v>18.241249999999997</v>
      </c>
      <c r="AG141" s="2" t="str" cm="1">
        <f t="array" ref="AG141">_xlfn.IFS(Table1[[#This Row],[dti_ratio]] &lt; 0.2, " less than 0.2", Table1[[#This Row],[dti_ratio]] &lt; 0.3, "0.2 - 0.3", Table1[[#This Row],[dti_ratio]] &lt;= 0.5, "0.35 - 0.5", Table1[[#This Row],[dti_ratio]] &gt; 0.5, "greater than 0.5")</f>
        <v>0.35 - 0.5</v>
      </c>
      <c r="AH141" s="2">
        <f>COUNTIF(Table1[DTI band],Table1[[#This Row],[DTI band]])</f>
        <v>260</v>
      </c>
      <c r="AI141" s="2" t="str" cm="1">
        <f t="array" ref="AI141">_xlfn.IFS(Table1[[#This Row],[ltv_ratio]] &lt; 0.6, "less than 0.6 -less risky", Table1[[#This Row],[ltv_ratio]]  &lt;= 0.8, "0.6 - 0.8 -medium risky",Table1[[#This Row],[ltv_ratio]] &gt; 0.8, "greater than 0.8 -highly risky")</f>
        <v>less than 0.6 -less risky</v>
      </c>
      <c r="AJ141" s="2">
        <f>COUNTIF(Table1[LTV band],Table1[[#This Row],[LTV band]])</f>
        <v>57</v>
      </c>
      <c r="AK141" s="2">
        <f>COUNTIFS(Table1[count_loan_perband],Table1[[#This Row],[count_loan_perband]],Table1[default_flag],1)/COUNTIF(Table1[count_loan_perband],Table1[[#This Row],[count_loan_perband]])</f>
        <v>0</v>
      </c>
      <c r="AL141" s="2" t="str" cm="1">
        <f t="array" ref="AL141">_xlfn.IFS(Table1[[#This Row],[loan_amount]] &lt; 900000, "lower size (&lt; 9L)", Table1[[#This Row],[loan_amount]] &lt;=3300000, "medium size (&lt;=33L)", Table1[[#This Row],[loan_amount]] &gt; 3300000, "larger size (&gt; 33L)")</f>
        <v>medium size (&lt;=33L)</v>
      </c>
      <c r="AM141" s="2">
        <f>IF(Table1[[#This Row],[dpd]] &gt;=30,1,0)</f>
        <v>0</v>
      </c>
      <c r="AN141" s="2">
        <f>COUNTIFS(Table1[Loan size],Table1[[#This Row],[Loan size]],Table1[dpd flag],1)/COUNTIF(Table1[Loan size],Table1[[#This Row],[Loan size]])</f>
        <v>0.15909090909090909</v>
      </c>
      <c r="AO141" s="2" t="str">
        <f>IF(OR(Table1[[#This Row],[credit_score]] &lt; 600, Table1[ [#This Row],[dti_ratio] ] &gt; 0.5, Table1[[#This Row],[dpd]] &gt;=30), "high risk", " not riskY")</f>
        <v xml:space="preserve"> not riskY</v>
      </c>
      <c r="AP141" s="26">
        <f>EOMONTH(Table1[[#This Row],[origination_date]],0)</f>
        <v>45688</v>
      </c>
      <c r="AQ141" s="2">
        <f>SUMIFS(Table1[loan_amount],Table1[origination month],Table1[[#This Row],[origination month]])</f>
        <v>16786700</v>
      </c>
      <c r="AR141" s="2">
        <f>AVERAGEIFS(Table1[months_on_book],Table1[product],Table1[[#This Row],[product]])</f>
        <v>19.091954022988507</v>
      </c>
      <c r="AS141" s="2" t="str">
        <f ca="1">IF(EDATE(Table1[[#This Row],[origination_date]],6) &gt;= TODAY(), "New Loan", "Old Loan")</f>
        <v>Old Loan</v>
      </c>
      <c r="AT141" s="2" t="str">
        <f>"Q"&amp;ROUNDUP(MONTH(Table1[[#This Row],[origination_date]])/3,0)&amp;YEAR(Table1[[#This Row],[origination_date]])</f>
        <v>Q12025</v>
      </c>
      <c r="AU141" s="2">
        <f>SUMIFS(Table1[loan_amount],Table1[quarter],Table1[[#This Row],[quarter]])</f>
        <v>40328000</v>
      </c>
      <c r="AV141" s="34" t="str">
        <f>_xlfn.TEXTJOIN("|",TRUE,Table1[[#This Row],[loan_id]:[loan_status]])</f>
        <v>L70501608|C7160460|45676|SME Loan|Call Center|East|Self-Employed|360|1553000|18.27|23748|1123566|648|D|0.3|0.51|3020600|11|252592|1404443|0|0|0|Active</v>
      </c>
      <c r="AW141" s="42">
        <f>YEAR(Loan_Table[ [#This Row],[origination_date] ])</f>
        <v>2022</v>
      </c>
    </row>
    <row r="142" spans="2:49" ht="18" customHeight="1">
      <c r="B142" s="5" t="s">
        <v>404</v>
      </c>
      <c r="C142" s="2" t="s">
        <v>405</v>
      </c>
      <c r="D142" s="3">
        <v>45678</v>
      </c>
      <c r="E142" s="2" t="s">
        <v>169</v>
      </c>
      <c r="F142" s="2" t="s">
        <v>144</v>
      </c>
      <c r="G142" s="2" t="s">
        <v>145</v>
      </c>
      <c r="H142" s="2" t="s">
        <v>134</v>
      </c>
      <c r="I142" s="2">
        <v>24</v>
      </c>
      <c r="J142" s="2">
        <v>4096400</v>
      </c>
      <c r="K142" s="2">
        <v>10.25</v>
      </c>
      <c r="L142" s="2">
        <v>189501</v>
      </c>
      <c r="M142" s="2">
        <v>1342806</v>
      </c>
      <c r="N142" s="2">
        <v>693</v>
      </c>
      <c r="O142" s="2" t="s">
        <v>140</v>
      </c>
      <c r="P142" s="2">
        <v>0.28000000000000003</v>
      </c>
      <c r="Q142" s="2">
        <v>0.46</v>
      </c>
      <c r="R142" s="2">
        <v>8916300</v>
      </c>
      <c r="S142" s="2">
        <v>11</v>
      </c>
      <c r="T142" s="2">
        <v>2019365</v>
      </c>
      <c r="U142" s="2">
        <v>2230991</v>
      </c>
      <c r="V142" s="2">
        <v>30</v>
      </c>
      <c r="W142" s="2">
        <v>0</v>
      </c>
      <c r="X142" s="2">
        <v>0</v>
      </c>
      <c r="Y142" s="2" t="s">
        <v>136</v>
      </c>
      <c r="Z142" s="12">
        <f>SUMIF(Table1[product],Table1[[#This Row],[product]],Table1[loan_amount])</f>
        <v>403369500</v>
      </c>
      <c r="AA142" s="15">
        <f>SUMIF(Table1[region],Table1[[#This Row],[region]],Table1[current_balance])</f>
        <v>98928695</v>
      </c>
      <c r="AB142" s="2">
        <f>COUNTIF(Table1[loan_status],Table1[[#This Row],[loan_status]])</f>
        <v>47</v>
      </c>
      <c r="AC142" s="2">
        <f>COUNTIF(Table1[default_flag],1)/ROWS(Table1[loan_id])</f>
        <v>2.5999999999999999E-2</v>
      </c>
      <c r="AD142" s="2">
        <f>COUNTIFS(Table1[region],Table1[[#This Row],[region]],Table1[default_flag],1)/COUNTIF(Table1[region],Table1[[#This Row],[region]])</f>
        <v>2.8571428571428571E-2</v>
      </c>
      <c r="AE142" s="2">
        <f>COUNTIFS(Table1[channel],Table1[[#This Row],[channel]],Table1[prepayment_flag],1)/COUNTIF(Table1[channel],Table1[[#This Row],[channel]])</f>
        <v>5.8201058201058198E-2</v>
      </c>
      <c r="AF142" s="2">
        <f>AVERAGEIFS(Table1[interest_rate_pct],Table1[product],Table1[[#This Row],[product]],Table1[risk_band],Table1[[#This Row],[risk_band]])</f>
        <v>11.719736842105268</v>
      </c>
      <c r="AG142" s="2" t="str" cm="1">
        <f t="array" ref="AG142">_xlfn.IFS(Table1[[#This Row],[dti_ratio]] &lt; 0.2, " less than 0.2", Table1[[#This Row],[dti_ratio]] &lt; 0.3, "0.2 - 0.3", Table1[[#This Row],[dti_ratio]] &lt;= 0.5, "0.35 - 0.5", Table1[[#This Row],[dti_ratio]] &gt; 0.5, "greater than 0.5")</f>
        <v>0.2 - 0.3</v>
      </c>
      <c r="AH142" s="2">
        <f>COUNTIF(Table1[DTI band],Table1[[#This Row],[DTI band]])</f>
        <v>122</v>
      </c>
      <c r="AI142" s="2" t="str" cm="1">
        <f t="array" ref="AI142">_xlfn.IFS(Table1[[#This Row],[ltv_ratio]] &lt; 0.6, "less than 0.6 -less risky", Table1[[#This Row],[ltv_ratio]]  &lt;= 0.8, "0.6 - 0.8 -medium risky",Table1[[#This Row],[ltv_ratio]] &gt; 0.8, "greater than 0.8 -highly risky")</f>
        <v>less than 0.6 -less risky</v>
      </c>
      <c r="AJ142" s="2">
        <f>COUNTIF(Table1[LTV band],Table1[[#This Row],[LTV band]])</f>
        <v>57</v>
      </c>
      <c r="AK142" s="2">
        <f>COUNTIFS(Table1[count_loan_perband],Table1[[#This Row],[count_loan_perband]],Table1[default_flag],1)/COUNTIF(Table1[count_loan_perband],Table1[[#This Row],[count_loan_perband]])</f>
        <v>0</v>
      </c>
      <c r="AL142" s="2" t="str" cm="1">
        <f t="array" ref="AL142">_xlfn.IFS(Table1[[#This Row],[loan_amount]] &lt; 900000, "lower size (&lt; 9L)", Table1[[#This Row],[loan_amount]] &lt;=3300000, "medium size (&lt;=33L)", Table1[[#This Row],[loan_amount]] &gt; 3300000, "larger size (&gt; 33L)")</f>
        <v>larger size (&gt; 33L)</v>
      </c>
      <c r="AM142" s="2">
        <f>IF(Table1[[#This Row],[dpd]] &gt;=30,1,0)</f>
        <v>1</v>
      </c>
      <c r="AN142" s="2">
        <f>COUNTIFS(Table1[Loan size],Table1[[#This Row],[Loan size]],Table1[dpd flag],1)/COUNTIF(Table1[Loan size],Table1[[#This Row],[Loan size]])</f>
        <v>0.16250000000000001</v>
      </c>
      <c r="AO142" s="2" t="str">
        <f>IF(OR(Table1[[#This Row],[credit_score]] &lt; 600, Table1[ [#This Row],[dti_ratio] ] &gt; 0.5, Table1[[#This Row],[dpd]] &gt;=30), "high risk", " not riskY")</f>
        <v>high risk</v>
      </c>
      <c r="AP142" s="26">
        <f>EOMONTH(Table1[[#This Row],[origination_date]],0)</f>
        <v>45688</v>
      </c>
      <c r="AQ142" s="2">
        <f>SUMIFS(Table1[loan_amount],Table1[origination month],Table1[[#This Row],[origination month]])</f>
        <v>16786700</v>
      </c>
      <c r="AR142" s="2">
        <f>AVERAGEIFS(Table1[months_on_book],Table1[product],Table1[[#This Row],[product]])</f>
        <v>20.516129032258064</v>
      </c>
      <c r="AS142" s="2" t="str">
        <f ca="1">IF(EDATE(Table1[[#This Row],[origination_date]],6) &gt;= TODAY(), "New Loan", "Old Loan")</f>
        <v>Old Loan</v>
      </c>
      <c r="AT142" s="2" t="str">
        <f>"Q"&amp;ROUNDUP(MONTH(Table1[[#This Row],[origination_date]])/3,0)&amp;YEAR(Table1[[#This Row],[origination_date]])</f>
        <v>Q12025</v>
      </c>
      <c r="AU142" s="2">
        <f>SUMIFS(Table1[loan_amount],Table1[quarter],Table1[[#This Row],[quarter]])</f>
        <v>40328000</v>
      </c>
      <c r="AV142" s="34" t="str">
        <f>_xlfn.TEXTJOIN("|",TRUE,Table1[[#This Row],[loan_id]:[loan_status]])</f>
        <v>L43676563|C4245916|45678|Home Loan|Branch|Central|Salaried|24|4096400|10.25|189501|1342806|693|C|0.28|0.46|8916300|11|2019365|2230991|30|0|0|Delinquent</v>
      </c>
      <c r="AW142" s="42">
        <f>YEAR(Loan_Table[ [#This Row],[origination_date] ])</f>
        <v>2022</v>
      </c>
    </row>
    <row r="143" spans="2:49" ht="18" customHeight="1">
      <c r="B143" s="5" t="s">
        <v>406</v>
      </c>
      <c r="C143" s="2" t="s">
        <v>407</v>
      </c>
      <c r="D143" s="3">
        <v>45719</v>
      </c>
      <c r="E143" s="2" t="s">
        <v>163</v>
      </c>
      <c r="F143" s="2" t="s">
        <v>132</v>
      </c>
      <c r="G143" s="2" t="s">
        <v>170</v>
      </c>
      <c r="H143" s="2" t="s">
        <v>152</v>
      </c>
      <c r="I143" s="2">
        <v>360</v>
      </c>
      <c r="J143" s="2">
        <v>1393100</v>
      </c>
      <c r="K143" s="2">
        <v>9.91</v>
      </c>
      <c r="L143" s="2">
        <v>12133</v>
      </c>
      <c r="M143" s="2">
        <v>778416</v>
      </c>
      <c r="N143" s="2">
        <v>726</v>
      </c>
      <c r="O143" s="2" t="s">
        <v>135</v>
      </c>
      <c r="P143" s="2">
        <v>0.27</v>
      </c>
      <c r="Q143" s="2">
        <v>0.81</v>
      </c>
      <c r="R143" s="2">
        <v>1721300</v>
      </c>
      <c r="S143" s="2">
        <v>9</v>
      </c>
      <c r="T143" s="2">
        <v>96809</v>
      </c>
      <c r="U143" s="2">
        <v>1337708</v>
      </c>
      <c r="V143" s="2">
        <v>0</v>
      </c>
      <c r="W143" s="2">
        <v>0</v>
      </c>
      <c r="X143" s="2">
        <v>0</v>
      </c>
      <c r="Y143" s="2" t="s">
        <v>148</v>
      </c>
      <c r="Z143" s="12">
        <f>SUMIF(Table1[product],Table1[[#This Row],[product]],Table1[loan_amount])</f>
        <v>92273000</v>
      </c>
      <c r="AA143" s="15">
        <f>SUMIF(Table1[region],Table1[[#This Row],[region]],Table1[current_balance])</f>
        <v>83297251</v>
      </c>
      <c r="AB143" s="2">
        <f>COUNTIF(Table1[loan_status],Table1[[#This Row],[loan_status]])</f>
        <v>301</v>
      </c>
      <c r="AC143" s="2">
        <f>COUNTIF(Table1[default_flag],1)/ROWS(Table1[loan_id])</f>
        <v>2.5999999999999999E-2</v>
      </c>
      <c r="AD143" s="2">
        <f>COUNTIFS(Table1[region],Table1[[#This Row],[region]],Table1[default_flag],1)/COUNTIF(Table1[region],Table1[[#This Row],[region]])</f>
        <v>3.1914893617021274E-2</v>
      </c>
      <c r="AE143" s="2">
        <f>COUNTIFS(Table1[channel],Table1[[#This Row],[channel]],Table1[prepayment_flag],1)/COUNTIF(Table1[channel],Table1[[#This Row],[channel]])</f>
        <v>7.1090047393364927E-2</v>
      </c>
      <c r="AF143" s="2">
        <f>AVERAGEIFS(Table1[interest_rate_pct],Table1[product],Table1[[#This Row],[product]],Table1[risk_band],Table1[[#This Row],[risk_band]])</f>
        <v>10.611923076923079</v>
      </c>
      <c r="AG143" s="2" t="str" cm="1">
        <f t="array" ref="AG143">_xlfn.IFS(Table1[[#This Row],[dti_ratio]] &lt; 0.2, " less than 0.2", Table1[[#This Row],[dti_ratio]] &lt; 0.3, "0.2 - 0.3", Table1[[#This Row],[dti_ratio]] &lt;= 0.5, "0.35 - 0.5", Table1[[#This Row],[dti_ratio]] &gt; 0.5, "greater than 0.5")</f>
        <v>0.2 - 0.3</v>
      </c>
      <c r="AH143" s="2">
        <f>COUNTIF(Table1[DTI band],Table1[[#This Row],[DTI band]])</f>
        <v>122</v>
      </c>
      <c r="AI143" s="2" t="str" cm="1">
        <f t="array" ref="AI143">_xlfn.IFS(Table1[[#This Row],[ltv_ratio]] &lt; 0.6, "less than 0.6 -less risky", Table1[[#This Row],[ltv_ratio]]  &lt;= 0.8, "0.6 - 0.8 -medium risky",Table1[[#This Row],[ltv_ratio]] &gt; 0.8, "greater than 0.8 -highly risky")</f>
        <v>greater than 0.8 -highly risky</v>
      </c>
      <c r="AJ143" s="2">
        <f>COUNTIF(Table1[LTV band],Table1[[#This Row],[LTV band]])</f>
        <v>141</v>
      </c>
      <c r="AK143" s="2">
        <f>COUNTIFS(Table1[count_loan_perband],Table1[[#This Row],[count_loan_perband]],Table1[default_flag],1)/COUNTIF(Table1[count_loan_perband],Table1[[#This Row],[count_loan_perband]])</f>
        <v>1.4184397163120567E-2</v>
      </c>
      <c r="AL143" s="2" t="str" cm="1">
        <f t="array" ref="AL143">_xlfn.IFS(Table1[[#This Row],[loan_amount]] &lt; 900000, "lower size (&lt; 9L)", Table1[[#This Row],[loan_amount]] &lt;=3300000, "medium size (&lt;=33L)", Table1[[#This Row],[loan_amount]] &gt; 3300000, "larger size (&gt; 33L)")</f>
        <v>medium size (&lt;=33L)</v>
      </c>
      <c r="AM143" s="2">
        <f>IF(Table1[[#This Row],[dpd]] &gt;=30,1,0)</f>
        <v>0</v>
      </c>
      <c r="AN143" s="2">
        <f>COUNTIFS(Table1[Loan size],Table1[[#This Row],[Loan size]],Table1[dpd flag],1)/COUNTIF(Table1[Loan size],Table1[[#This Row],[Loan size]])</f>
        <v>0.15909090909090909</v>
      </c>
      <c r="AO143" s="2" t="str">
        <f>IF(OR(Table1[[#This Row],[credit_score]] &lt; 600, Table1[ [#This Row],[dti_ratio] ] &gt; 0.5, Table1[[#This Row],[dpd]] &gt;=30), "high risk", " not riskY")</f>
        <v xml:space="preserve"> not riskY</v>
      </c>
      <c r="AP143" s="26">
        <f>EOMONTH(Table1[[#This Row],[origination_date]],0)</f>
        <v>45747</v>
      </c>
      <c r="AQ143" s="2">
        <f>SUMIFS(Table1[loan_amount],Table1[origination month],Table1[[#This Row],[origination month]])</f>
        <v>5573100</v>
      </c>
      <c r="AR143" s="2">
        <f>AVERAGEIFS(Table1[months_on_book],Table1[product],Table1[[#This Row],[product]])</f>
        <v>20.262135922330096</v>
      </c>
      <c r="AS143" s="2" t="str">
        <f ca="1">IF(EDATE(Table1[[#This Row],[origination_date]],6) &gt;= TODAY(), "New Loan", "Old Loan")</f>
        <v>Old Loan</v>
      </c>
      <c r="AT143" s="2" t="str">
        <f>"Q"&amp;ROUNDUP(MONTH(Table1[[#This Row],[origination_date]])/3,0)&amp;YEAR(Table1[[#This Row],[origination_date]])</f>
        <v>Q12025</v>
      </c>
      <c r="AU143" s="2">
        <f>SUMIFS(Table1[loan_amount],Table1[quarter],Table1[[#This Row],[quarter]])</f>
        <v>40328000</v>
      </c>
      <c r="AV143" s="34" t="str">
        <f>_xlfn.TEXTJOIN("|",TRUE,Table1[[#This Row],[loan_id]:[loan_status]])</f>
        <v>L18675186|C3121377|45719|Auto Loan|Online|East|Self-Employed|360|1393100|9.91|12133|778416|726|B|0.27|0.81|1721300|9|96809|1337708|0|0|0|Active</v>
      </c>
      <c r="AW143" s="42">
        <f>YEAR(Loan_Table[ [#This Row],[origination_date] ])</f>
        <v>2022</v>
      </c>
    </row>
    <row r="144" spans="2:49" ht="18" customHeight="1">
      <c r="B144" s="5" t="s">
        <v>408</v>
      </c>
      <c r="C144" s="2" t="s">
        <v>409</v>
      </c>
      <c r="D144" s="3">
        <v>45673</v>
      </c>
      <c r="E144" s="2" t="s">
        <v>131</v>
      </c>
      <c r="F144" s="2" t="s">
        <v>144</v>
      </c>
      <c r="G144" s="2" t="s">
        <v>151</v>
      </c>
      <c r="H144" s="2" t="s">
        <v>152</v>
      </c>
      <c r="I144" s="2">
        <v>36</v>
      </c>
      <c r="J144" s="2">
        <v>600600</v>
      </c>
      <c r="K144" s="2">
        <v>17.27</v>
      </c>
      <c r="L144" s="2">
        <v>21494</v>
      </c>
      <c r="M144" s="2">
        <v>899608</v>
      </c>
      <c r="N144" s="2">
        <v>698</v>
      </c>
      <c r="O144" s="2" t="s">
        <v>140</v>
      </c>
      <c r="P144" s="2">
        <v>0.26</v>
      </c>
      <c r="Q144" s="2">
        <v>0.84</v>
      </c>
      <c r="R144" s="2">
        <v>0</v>
      </c>
      <c r="S144" s="2">
        <v>11</v>
      </c>
      <c r="T144" s="2">
        <v>219141</v>
      </c>
      <c r="U144" s="2">
        <v>419491</v>
      </c>
      <c r="V144" s="2">
        <v>0</v>
      </c>
      <c r="W144" s="2">
        <v>0</v>
      </c>
      <c r="X144" s="2">
        <v>0</v>
      </c>
      <c r="Y144" s="2" t="s">
        <v>148</v>
      </c>
      <c r="Z144" s="12">
        <f>SUMIF(Table1[product],Table1[[#This Row],[product]],Table1[loan_amount])</f>
        <v>74897600</v>
      </c>
      <c r="AA144" s="15">
        <f>SUMIF(Table1[region],Table1[[#This Row],[region]],Table1[current_balance])</f>
        <v>105779369</v>
      </c>
      <c r="AB144" s="2">
        <f>COUNTIF(Table1[loan_status],Table1[[#This Row],[loan_status]])</f>
        <v>301</v>
      </c>
      <c r="AC144" s="2">
        <f>COUNTIF(Table1[default_flag],1)/ROWS(Table1[loan_id])</f>
        <v>2.5999999999999999E-2</v>
      </c>
      <c r="AD144" s="2">
        <f>COUNTIFS(Table1[region],Table1[[#This Row],[region]],Table1[default_flag],1)/COUNTIF(Table1[region],Table1[[#This Row],[region]])</f>
        <v>2.6548672566371681E-2</v>
      </c>
      <c r="AE144" s="2">
        <f>COUNTIFS(Table1[channel],Table1[[#This Row],[channel]],Table1[prepayment_flag],1)/COUNTIF(Table1[channel],Table1[[#This Row],[channel]])</f>
        <v>5.8201058201058198E-2</v>
      </c>
      <c r="AF144" s="2">
        <f>AVERAGEIFS(Table1[interest_rate_pct],Table1[product],Table1[[#This Row],[product]],Table1[risk_band],Table1[[#This Row],[risk_band]])</f>
        <v>18.603181818181817</v>
      </c>
      <c r="AG144" s="2" t="str" cm="1">
        <f t="array" ref="AG144">_xlfn.IFS(Table1[[#This Row],[dti_ratio]] &lt; 0.2, " less than 0.2", Table1[[#This Row],[dti_ratio]] &lt; 0.3, "0.2 - 0.3", Table1[[#This Row],[dti_ratio]] &lt;= 0.5, "0.35 - 0.5", Table1[[#This Row],[dti_ratio]] &gt; 0.5, "greater than 0.5")</f>
        <v>0.2 - 0.3</v>
      </c>
      <c r="AH144" s="2">
        <f>COUNTIF(Table1[DTI band],Table1[[#This Row],[DTI band]])</f>
        <v>122</v>
      </c>
      <c r="AI144" s="2" t="str" cm="1">
        <f t="array" ref="AI144">_xlfn.IFS(Table1[[#This Row],[ltv_ratio]] &lt; 0.6, "less than 0.6 -less risky", Table1[[#This Row],[ltv_ratio]]  &lt;= 0.8, "0.6 - 0.8 -medium risky",Table1[[#This Row],[ltv_ratio]] &gt; 0.8, "greater than 0.8 -highly risky")</f>
        <v>greater than 0.8 -highly risky</v>
      </c>
      <c r="AJ144" s="2">
        <f>COUNTIF(Table1[LTV band],Table1[[#This Row],[LTV band]])</f>
        <v>141</v>
      </c>
      <c r="AK144" s="2">
        <f>COUNTIFS(Table1[count_loan_perband],Table1[[#This Row],[count_loan_perband]],Table1[default_flag],1)/COUNTIF(Table1[count_loan_perband],Table1[[#This Row],[count_loan_perband]])</f>
        <v>1.4184397163120567E-2</v>
      </c>
      <c r="AL144" s="2" t="str" cm="1">
        <f t="array" ref="AL144">_xlfn.IFS(Table1[[#This Row],[loan_amount]] &lt; 900000, "lower size (&lt; 9L)", Table1[[#This Row],[loan_amount]] &lt;=3300000, "medium size (&lt;=33L)", Table1[[#This Row],[loan_amount]] &gt; 3300000, "larger size (&gt; 33L)")</f>
        <v>lower size (&lt; 9L)</v>
      </c>
      <c r="AM144" s="2">
        <f>IF(Table1[[#This Row],[dpd]] &gt;=30,1,0)</f>
        <v>0</v>
      </c>
      <c r="AN144" s="2">
        <f>COUNTIFS(Table1[Loan size],Table1[[#This Row],[Loan size]],Table1[dpd flag],1)/COUNTIF(Table1[Loan size],Table1[[#This Row],[Loan size]])</f>
        <v>0.13934426229508196</v>
      </c>
      <c r="AO144" s="2" t="str">
        <f>IF(OR(Table1[[#This Row],[credit_score]] &lt; 600, Table1[ [#This Row],[dti_ratio] ] &gt; 0.5, Table1[[#This Row],[dpd]] &gt;=30), "high risk", " not riskY")</f>
        <v xml:space="preserve"> not riskY</v>
      </c>
      <c r="AP144" s="26">
        <f>EOMONTH(Table1[[#This Row],[origination_date]],0)</f>
        <v>45688</v>
      </c>
      <c r="AQ144" s="2">
        <f>SUMIFS(Table1[loan_amount],Table1[origination month],Table1[[#This Row],[origination month]])</f>
        <v>16786700</v>
      </c>
      <c r="AR144" s="2">
        <f>AVERAGEIFS(Table1[months_on_book],Table1[product],Table1[[#This Row],[product]])</f>
        <v>21.092024539877301</v>
      </c>
      <c r="AS144" s="2" t="str">
        <f ca="1">IF(EDATE(Table1[[#This Row],[origination_date]],6) &gt;= TODAY(), "New Loan", "Old Loan")</f>
        <v>Old Loan</v>
      </c>
      <c r="AT144" s="2" t="str">
        <f>"Q"&amp;ROUNDUP(MONTH(Table1[[#This Row],[origination_date]])/3,0)&amp;YEAR(Table1[[#This Row],[origination_date]])</f>
        <v>Q12025</v>
      </c>
      <c r="AU144" s="2">
        <f>SUMIFS(Table1[loan_amount],Table1[quarter],Table1[[#This Row],[quarter]])</f>
        <v>40328000</v>
      </c>
      <c r="AV144" s="34" t="str">
        <f>_xlfn.TEXTJOIN("|",TRUE,Table1[[#This Row],[loan_id]:[loan_status]])</f>
        <v>L26332140|C9284113|45673|Personal Loan|Branch|North|Self-Employed|36|600600|17.27|21494|899608|698|C|0.26|0.84|0|11|219141|419491|0|0|0|Active</v>
      </c>
      <c r="AW144" s="42">
        <f>YEAR(Loan_Table[ [#This Row],[origination_date] ])</f>
        <v>2022</v>
      </c>
    </row>
    <row r="145" spans="2:49" ht="18" customHeight="1">
      <c r="B145" s="5" t="s">
        <v>410</v>
      </c>
      <c r="C145" s="2" t="s">
        <v>411</v>
      </c>
      <c r="D145" s="3">
        <v>45708</v>
      </c>
      <c r="E145" s="2" t="s">
        <v>163</v>
      </c>
      <c r="F145" s="2" t="s">
        <v>144</v>
      </c>
      <c r="G145" s="2" t="s">
        <v>139</v>
      </c>
      <c r="H145" s="2" t="s">
        <v>134</v>
      </c>
      <c r="I145" s="2">
        <v>36</v>
      </c>
      <c r="J145" s="2">
        <v>552900</v>
      </c>
      <c r="K145" s="2">
        <v>8.4499999999999993</v>
      </c>
      <c r="L145" s="2">
        <v>17441</v>
      </c>
      <c r="M145" s="2">
        <v>1315150</v>
      </c>
      <c r="N145" s="2">
        <v>762</v>
      </c>
      <c r="O145" s="2" t="s">
        <v>160</v>
      </c>
      <c r="P145" s="2">
        <v>0.23</v>
      </c>
      <c r="Q145" s="2">
        <v>1.02</v>
      </c>
      <c r="R145" s="2">
        <v>544400</v>
      </c>
      <c r="S145" s="2">
        <v>10</v>
      </c>
      <c r="T145" s="2">
        <v>167791</v>
      </c>
      <c r="U145" s="2">
        <v>400682</v>
      </c>
      <c r="V145" s="2">
        <v>0</v>
      </c>
      <c r="W145" s="2">
        <v>0</v>
      </c>
      <c r="X145" s="2">
        <v>0</v>
      </c>
      <c r="Y145" s="2" t="s">
        <v>148</v>
      </c>
      <c r="Z145" s="12">
        <f>SUMIF(Table1[product],Table1[[#This Row],[product]],Table1[loan_amount])</f>
        <v>92273000</v>
      </c>
      <c r="AA145" s="15">
        <f>SUMIF(Table1[region],Table1[[#This Row],[region]],Table1[current_balance])</f>
        <v>83903255</v>
      </c>
      <c r="AB145" s="2">
        <f>COUNTIF(Table1[loan_status],Table1[[#This Row],[loan_status]])</f>
        <v>301</v>
      </c>
      <c r="AC145" s="2">
        <f>COUNTIF(Table1[default_flag],1)/ROWS(Table1[loan_id])</f>
        <v>2.5999999999999999E-2</v>
      </c>
      <c r="AD145" s="2">
        <f>COUNTIFS(Table1[region],Table1[[#This Row],[region]],Table1[default_flag],1)/COUNTIF(Table1[region],Table1[[#This Row],[region]])</f>
        <v>4.2553191489361701E-2</v>
      </c>
      <c r="AE145" s="2">
        <f>COUNTIFS(Table1[channel],Table1[[#This Row],[channel]],Table1[prepayment_flag],1)/COUNTIF(Table1[channel],Table1[[#This Row],[channel]])</f>
        <v>5.8201058201058198E-2</v>
      </c>
      <c r="AF145" s="2">
        <f>AVERAGEIFS(Table1[interest_rate_pct],Table1[product],Table1[[#This Row],[product]],Table1[risk_band],Table1[[#This Row],[risk_band]])</f>
        <v>7.9444999999999997</v>
      </c>
      <c r="AG145" s="2" t="str" cm="1">
        <f t="array" ref="AG145">_xlfn.IFS(Table1[[#This Row],[dti_ratio]] &lt; 0.2, " less than 0.2", Table1[[#This Row],[dti_ratio]] &lt; 0.3, "0.2 - 0.3", Table1[[#This Row],[dti_ratio]] &lt;= 0.5, "0.35 - 0.5", Table1[[#This Row],[dti_ratio]] &gt; 0.5, "greater than 0.5")</f>
        <v>0.2 - 0.3</v>
      </c>
      <c r="AH145" s="2">
        <f>COUNTIF(Table1[DTI band],Table1[[#This Row],[DTI band]])</f>
        <v>122</v>
      </c>
      <c r="AI145" s="2" t="str" cm="1">
        <f t="array" ref="AI145">_xlfn.IFS(Table1[[#This Row],[ltv_ratio]] &lt; 0.6, "less than 0.6 -less risky", Table1[[#This Row],[ltv_ratio]]  &lt;= 0.8, "0.6 - 0.8 -medium risky",Table1[[#This Row],[ltv_ratio]] &gt; 0.8, "greater than 0.8 -highly risky")</f>
        <v>greater than 0.8 -highly risky</v>
      </c>
      <c r="AJ145" s="2">
        <f>COUNTIF(Table1[LTV band],Table1[[#This Row],[LTV band]])</f>
        <v>141</v>
      </c>
      <c r="AK145" s="2">
        <f>COUNTIFS(Table1[count_loan_perband],Table1[[#This Row],[count_loan_perband]],Table1[default_flag],1)/COUNTIF(Table1[count_loan_perband],Table1[[#This Row],[count_loan_perband]])</f>
        <v>1.4184397163120567E-2</v>
      </c>
      <c r="AL145" s="2" t="str" cm="1">
        <f t="array" ref="AL145">_xlfn.IFS(Table1[[#This Row],[loan_amount]] &lt; 900000, "lower size (&lt; 9L)", Table1[[#This Row],[loan_amount]] &lt;=3300000, "medium size (&lt;=33L)", Table1[[#This Row],[loan_amount]] &gt; 3300000, "larger size (&gt; 33L)")</f>
        <v>lower size (&lt; 9L)</v>
      </c>
      <c r="AM145" s="2">
        <f>IF(Table1[[#This Row],[dpd]] &gt;=30,1,0)</f>
        <v>0</v>
      </c>
      <c r="AN145" s="2">
        <f>COUNTIFS(Table1[Loan size],Table1[[#This Row],[Loan size]],Table1[dpd flag],1)/COUNTIF(Table1[Loan size],Table1[[#This Row],[Loan size]])</f>
        <v>0.13934426229508196</v>
      </c>
      <c r="AO145" s="2" t="str">
        <f>IF(OR(Table1[[#This Row],[credit_score]] &lt; 600, Table1[ [#This Row],[dti_ratio] ] &gt; 0.5, Table1[[#This Row],[dpd]] &gt;=30), "high risk", " not riskY")</f>
        <v xml:space="preserve"> not riskY</v>
      </c>
      <c r="AP145" s="26">
        <f>EOMONTH(Table1[[#This Row],[origination_date]],0)</f>
        <v>45716</v>
      </c>
      <c r="AQ145" s="2">
        <f>SUMIFS(Table1[loan_amount],Table1[origination month],Table1[[#This Row],[origination month]])</f>
        <v>17968200</v>
      </c>
      <c r="AR145" s="2">
        <f>AVERAGEIFS(Table1[months_on_book],Table1[product],Table1[[#This Row],[product]])</f>
        <v>20.262135922330096</v>
      </c>
      <c r="AS145" s="2" t="str">
        <f ca="1">IF(EDATE(Table1[[#This Row],[origination_date]],6) &gt;= TODAY(), "New Loan", "Old Loan")</f>
        <v>Old Loan</v>
      </c>
      <c r="AT145" s="2" t="str">
        <f>"Q"&amp;ROUNDUP(MONTH(Table1[[#This Row],[origination_date]])/3,0)&amp;YEAR(Table1[[#This Row],[origination_date]])</f>
        <v>Q12025</v>
      </c>
      <c r="AU145" s="2">
        <f>SUMIFS(Table1[loan_amount],Table1[quarter],Table1[[#This Row],[quarter]])</f>
        <v>40328000</v>
      </c>
      <c r="AV145" s="34" t="str">
        <f>_xlfn.TEXTJOIN("|",TRUE,Table1[[#This Row],[loan_id]:[loan_status]])</f>
        <v>L25766666|C7567171|45708|Auto Loan|Branch|West|Salaried|36|552900|8.45|17441|1315150|762|A|0.23|1.02|544400|10|167791|400682|0|0|0|Active</v>
      </c>
      <c r="AW145" s="42">
        <f>YEAR(Loan_Table[ [#This Row],[origination_date] ])</f>
        <v>2022</v>
      </c>
    </row>
    <row r="146" spans="2:49" ht="18" customHeight="1">
      <c r="B146" s="5" t="s">
        <v>412</v>
      </c>
      <c r="C146" s="2" t="s">
        <v>413</v>
      </c>
      <c r="D146" s="3">
        <v>45676</v>
      </c>
      <c r="E146" s="2" t="s">
        <v>169</v>
      </c>
      <c r="F146" s="2" t="s">
        <v>144</v>
      </c>
      <c r="G146" s="2" t="s">
        <v>139</v>
      </c>
      <c r="H146" s="2" t="s">
        <v>134</v>
      </c>
      <c r="I146" s="2">
        <v>18</v>
      </c>
      <c r="J146" s="2">
        <v>5293100</v>
      </c>
      <c r="K146" s="2">
        <v>11.71</v>
      </c>
      <c r="L146" s="2">
        <v>322071</v>
      </c>
      <c r="M146" s="2">
        <v>899329</v>
      </c>
      <c r="N146" s="2">
        <v>685</v>
      </c>
      <c r="O146" s="2" t="s">
        <v>140</v>
      </c>
      <c r="P146" s="2">
        <v>0.23</v>
      </c>
      <c r="Q146" s="2">
        <v>0.83</v>
      </c>
      <c r="R146" s="2">
        <v>6347400</v>
      </c>
      <c r="S146" s="2">
        <v>11</v>
      </c>
      <c r="T146" s="2">
        <v>3266911</v>
      </c>
      <c r="U146" s="2">
        <v>2253457</v>
      </c>
      <c r="V146" s="2">
        <v>0</v>
      </c>
      <c r="W146" s="2">
        <v>0</v>
      </c>
      <c r="X146" s="2">
        <v>0</v>
      </c>
      <c r="Y146" s="2" t="s">
        <v>148</v>
      </c>
      <c r="Z146" s="12">
        <f>SUMIF(Table1[product],Table1[[#This Row],[product]],Table1[loan_amount])</f>
        <v>403369500</v>
      </c>
      <c r="AA146" s="15">
        <f>SUMIF(Table1[region],Table1[[#This Row],[region]],Table1[current_balance])</f>
        <v>83903255</v>
      </c>
      <c r="AB146" s="2">
        <f>COUNTIF(Table1[loan_status],Table1[[#This Row],[loan_status]])</f>
        <v>301</v>
      </c>
      <c r="AC146" s="2">
        <f>COUNTIF(Table1[default_flag],1)/ROWS(Table1[loan_id])</f>
        <v>2.5999999999999999E-2</v>
      </c>
      <c r="AD146" s="2">
        <f>COUNTIFS(Table1[region],Table1[[#This Row],[region]],Table1[default_flag],1)/COUNTIF(Table1[region],Table1[[#This Row],[region]])</f>
        <v>4.2553191489361701E-2</v>
      </c>
      <c r="AE146" s="2">
        <f>COUNTIFS(Table1[channel],Table1[[#This Row],[channel]],Table1[prepayment_flag],1)/COUNTIF(Table1[channel],Table1[[#This Row],[channel]])</f>
        <v>5.8201058201058198E-2</v>
      </c>
      <c r="AF146" s="2">
        <f>AVERAGEIFS(Table1[interest_rate_pct],Table1[product],Table1[[#This Row],[product]],Table1[risk_band],Table1[[#This Row],[risk_band]])</f>
        <v>11.719736842105268</v>
      </c>
      <c r="AG146" s="2" t="str" cm="1">
        <f t="array" ref="AG146">_xlfn.IFS(Table1[[#This Row],[dti_ratio]] &lt; 0.2, " less than 0.2", Table1[[#This Row],[dti_ratio]] &lt; 0.3, "0.2 - 0.3", Table1[[#This Row],[dti_ratio]] &lt;= 0.5, "0.35 - 0.5", Table1[[#This Row],[dti_ratio]] &gt; 0.5, "greater than 0.5")</f>
        <v>0.2 - 0.3</v>
      </c>
      <c r="AH146" s="2">
        <f>COUNTIF(Table1[DTI band],Table1[[#This Row],[DTI band]])</f>
        <v>122</v>
      </c>
      <c r="AI146" s="2" t="str" cm="1">
        <f t="array" ref="AI146">_xlfn.IFS(Table1[[#This Row],[ltv_ratio]] &lt; 0.6, "less than 0.6 -less risky", Table1[[#This Row],[ltv_ratio]]  &lt;= 0.8, "0.6 - 0.8 -medium risky",Table1[[#This Row],[ltv_ratio]] &gt; 0.8, "greater than 0.8 -highly risky")</f>
        <v>greater than 0.8 -highly risky</v>
      </c>
      <c r="AJ146" s="2">
        <f>COUNTIF(Table1[LTV band],Table1[[#This Row],[LTV band]])</f>
        <v>141</v>
      </c>
      <c r="AK146" s="2">
        <f>COUNTIFS(Table1[count_loan_perband],Table1[[#This Row],[count_loan_perband]],Table1[default_flag],1)/COUNTIF(Table1[count_loan_perband],Table1[[#This Row],[count_loan_perband]])</f>
        <v>1.4184397163120567E-2</v>
      </c>
      <c r="AL146" s="2" t="str" cm="1">
        <f t="array" ref="AL146">_xlfn.IFS(Table1[[#This Row],[loan_amount]] &lt; 900000, "lower size (&lt; 9L)", Table1[[#This Row],[loan_amount]] &lt;=3300000, "medium size (&lt;=33L)", Table1[[#This Row],[loan_amount]] &gt; 3300000, "larger size (&gt; 33L)")</f>
        <v>larger size (&gt; 33L)</v>
      </c>
      <c r="AM146" s="2">
        <f>IF(Table1[[#This Row],[dpd]] &gt;=30,1,0)</f>
        <v>0</v>
      </c>
      <c r="AN146" s="2">
        <f>COUNTIFS(Table1[Loan size],Table1[[#This Row],[Loan size]],Table1[dpd flag],1)/COUNTIF(Table1[Loan size],Table1[[#This Row],[Loan size]])</f>
        <v>0.16250000000000001</v>
      </c>
      <c r="AO146" s="2" t="str">
        <f>IF(OR(Table1[[#This Row],[credit_score]] &lt; 600, Table1[ [#This Row],[dti_ratio] ] &gt; 0.5, Table1[[#This Row],[dpd]] &gt;=30), "high risk", " not riskY")</f>
        <v xml:space="preserve"> not riskY</v>
      </c>
      <c r="AP146" s="26">
        <f>EOMONTH(Table1[[#This Row],[origination_date]],0)</f>
        <v>45688</v>
      </c>
      <c r="AQ146" s="2">
        <f>SUMIFS(Table1[loan_amount],Table1[origination month],Table1[[#This Row],[origination month]])</f>
        <v>16786700</v>
      </c>
      <c r="AR146" s="2">
        <f>AVERAGEIFS(Table1[months_on_book],Table1[product],Table1[[#This Row],[product]])</f>
        <v>20.516129032258064</v>
      </c>
      <c r="AS146" s="2" t="str">
        <f ca="1">IF(EDATE(Table1[[#This Row],[origination_date]],6) &gt;= TODAY(), "New Loan", "Old Loan")</f>
        <v>Old Loan</v>
      </c>
      <c r="AT146" s="2" t="str">
        <f>"Q"&amp;ROUNDUP(MONTH(Table1[[#This Row],[origination_date]])/3,0)&amp;YEAR(Table1[[#This Row],[origination_date]])</f>
        <v>Q12025</v>
      </c>
      <c r="AU146" s="2">
        <f>SUMIFS(Table1[loan_amount],Table1[quarter],Table1[[#This Row],[quarter]])</f>
        <v>40328000</v>
      </c>
      <c r="AV146" s="34" t="str">
        <f>_xlfn.TEXTJOIN("|",TRUE,Table1[[#This Row],[loan_id]:[loan_status]])</f>
        <v>L97580846|C7217876|45676|Home Loan|Branch|West|Salaried|18|5293100|11.71|322071|899329|685|C|0.23|0.83|6347400|11|3266911|2253457|0|0|0|Active</v>
      </c>
      <c r="AW146" s="42">
        <f>YEAR(Loan_Table[ [#This Row],[origination_date] ])</f>
        <v>2022</v>
      </c>
    </row>
    <row r="147" spans="2:49" ht="18" customHeight="1">
      <c r="B147" s="5" t="s">
        <v>414</v>
      </c>
      <c r="C147" s="2" t="s">
        <v>415</v>
      </c>
      <c r="D147" s="3">
        <v>45705</v>
      </c>
      <c r="E147" s="2" t="s">
        <v>158</v>
      </c>
      <c r="F147" s="2" t="s">
        <v>213</v>
      </c>
      <c r="G147" s="2" t="s">
        <v>170</v>
      </c>
      <c r="H147" s="2" t="s">
        <v>146</v>
      </c>
      <c r="I147" s="2">
        <v>48</v>
      </c>
      <c r="J147" s="2">
        <v>2745700</v>
      </c>
      <c r="K147" s="2">
        <v>18.27</v>
      </c>
      <c r="L147" s="2">
        <v>81043</v>
      </c>
      <c r="M147" s="2">
        <v>931357</v>
      </c>
      <c r="N147" s="2">
        <v>624</v>
      </c>
      <c r="O147" s="2" t="s">
        <v>147</v>
      </c>
      <c r="P147" s="2">
        <v>0.22</v>
      </c>
      <c r="Q147" s="2">
        <v>0.48</v>
      </c>
      <c r="R147" s="2">
        <v>5724600</v>
      </c>
      <c r="S147" s="2">
        <v>10</v>
      </c>
      <c r="T147" s="2">
        <v>814925</v>
      </c>
      <c r="U147" s="2">
        <v>2097988</v>
      </c>
      <c r="V147" s="2">
        <v>0</v>
      </c>
      <c r="W147" s="2">
        <v>1</v>
      </c>
      <c r="X147" s="2">
        <v>0</v>
      </c>
      <c r="Y147" s="2" t="s">
        <v>141</v>
      </c>
      <c r="Z147" s="12">
        <f>SUMIF(Table1[product],Table1[[#This Row],[product]],Table1[loan_amount])</f>
        <v>201475100</v>
      </c>
      <c r="AA147" s="15">
        <f>SUMIF(Table1[region],Table1[[#This Row],[region]],Table1[current_balance])</f>
        <v>83297251</v>
      </c>
      <c r="AB147" s="2">
        <f>COUNTIF(Table1[loan_status],Table1[[#This Row],[loan_status]])</f>
        <v>139</v>
      </c>
      <c r="AC147" s="2">
        <f>COUNTIF(Table1[default_flag],1)/ROWS(Table1[loan_id])</f>
        <v>2.5999999999999999E-2</v>
      </c>
      <c r="AD147" s="2">
        <f>COUNTIFS(Table1[region],Table1[[#This Row],[region]],Table1[default_flag],1)/COUNTIF(Table1[region],Table1[[#This Row],[region]])</f>
        <v>3.1914893617021274E-2</v>
      </c>
      <c r="AE147" s="2">
        <f>COUNTIFS(Table1[channel],Table1[[#This Row],[channel]],Table1[prepayment_flag],1)/COUNTIF(Table1[channel],Table1[[#This Row],[channel]])</f>
        <v>0.12</v>
      </c>
      <c r="AF147" s="2">
        <f>AVERAGEIFS(Table1[interest_rate_pct],Table1[product],Table1[[#This Row],[product]],Table1[risk_band],Table1[[#This Row],[risk_band]])</f>
        <v>18.241249999999997</v>
      </c>
      <c r="AG147" s="2" t="str" cm="1">
        <f t="array" ref="AG147">_xlfn.IFS(Table1[[#This Row],[dti_ratio]] &lt; 0.2, " less than 0.2", Table1[[#This Row],[dti_ratio]] &lt; 0.3, "0.2 - 0.3", Table1[[#This Row],[dti_ratio]] &lt;= 0.5, "0.35 - 0.5", Table1[[#This Row],[dti_ratio]] &gt; 0.5, "greater than 0.5")</f>
        <v>0.2 - 0.3</v>
      </c>
      <c r="AH147" s="2">
        <f>COUNTIF(Table1[DTI band],Table1[[#This Row],[DTI band]])</f>
        <v>122</v>
      </c>
      <c r="AI147" s="2" t="str" cm="1">
        <f t="array" ref="AI147">_xlfn.IFS(Table1[[#This Row],[ltv_ratio]] &lt; 0.6, "less than 0.6 -less risky", Table1[[#This Row],[ltv_ratio]]  &lt;= 0.8, "0.6 - 0.8 -medium risky",Table1[[#This Row],[ltv_ratio]] &gt; 0.8, "greater than 0.8 -highly risky")</f>
        <v>less than 0.6 -less risky</v>
      </c>
      <c r="AJ147" s="2">
        <f>COUNTIF(Table1[LTV band],Table1[[#This Row],[LTV band]])</f>
        <v>57</v>
      </c>
      <c r="AK147" s="2">
        <f>COUNTIFS(Table1[count_loan_perband],Table1[[#This Row],[count_loan_perband]],Table1[default_flag],1)/COUNTIF(Table1[count_loan_perband],Table1[[#This Row],[count_loan_perband]])</f>
        <v>0</v>
      </c>
      <c r="AL147" s="2" t="str" cm="1">
        <f t="array" ref="AL147">_xlfn.IFS(Table1[[#This Row],[loan_amount]] &lt; 900000, "lower size (&lt; 9L)", Table1[[#This Row],[loan_amount]] &lt;=3300000, "medium size (&lt;=33L)", Table1[[#This Row],[loan_amount]] &gt; 3300000, "larger size (&gt; 33L)")</f>
        <v>medium size (&lt;=33L)</v>
      </c>
      <c r="AM147" s="2">
        <f>IF(Table1[[#This Row],[dpd]] &gt;=30,1,0)</f>
        <v>0</v>
      </c>
      <c r="AN147" s="2">
        <f>COUNTIFS(Table1[Loan size],Table1[[#This Row],[Loan size]],Table1[dpd flag],1)/COUNTIF(Table1[Loan size],Table1[[#This Row],[Loan size]])</f>
        <v>0.15909090909090909</v>
      </c>
      <c r="AO147" s="2" t="str">
        <f>IF(OR(Table1[[#This Row],[credit_score]] &lt; 600, Table1[ [#This Row],[dti_ratio] ] &gt; 0.5, Table1[[#This Row],[dpd]] &gt;=30), "high risk", " not riskY")</f>
        <v xml:space="preserve"> not riskY</v>
      </c>
      <c r="AP147" s="26">
        <f>EOMONTH(Table1[[#This Row],[origination_date]],0)</f>
        <v>45716</v>
      </c>
      <c r="AQ147" s="2">
        <f>SUMIFS(Table1[loan_amount],Table1[origination month],Table1[[#This Row],[origination month]])</f>
        <v>17968200</v>
      </c>
      <c r="AR147" s="2">
        <f>AVERAGEIFS(Table1[months_on_book],Table1[product],Table1[[#This Row],[product]])</f>
        <v>19.091954022988507</v>
      </c>
      <c r="AS147" s="2" t="str">
        <f ca="1">IF(EDATE(Table1[[#This Row],[origination_date]],6) &gt;= TODAY(), "New Loan", "Old Loan")</f>
        <v>Old Loan</v>
      </c>
      <c r="AT147" s="2" t="str">
        <f>"Q"&amp;ROUNDUP(MONTH(Table1[[#This Row],[origination_date]])/3,0)&amp;YEAR(Table1[[#This Row],[origination_date]])</f>
        <v>Q12025</v>
      </c>
      <c r="AU147" s="2">
        <f>SUMIFS(Table1[loan_amount],Table1[quarter],Table1[[#This Row],[quarter]])</f>
        <v>40328000</v>
      </c>
      <c r="AV147" s="34" t="str">
        <f>_xlfn.TEXTJOIN("|",TRUE,Table1[[#This Row],[loan_id]:[loan_status]])</f>
        <v>L72763122|C7714128|45705|SME Loan|Call Center|East|Contract|48|2745700|18.27|81043|931357|624|D|0.22|0.48|5724600|10|814925|2097988|0|1|0|Closed</v>
      </c>
      <c r="AW147" s="42">
        <f>YEAR(Loan_Table[ [#This Row],[origination_date] ])</f>
        <v>2022</v>
      </c>
    </row>
    <row r="148" spans="2:49" ht="18" customHeight="1">
      <c r="B148" s="5" t="s">
        <v>416</v>
      </c>
      <c r="C148" s="2" t="s">
        <v>417</v>
      </c>
      <c r="D148" s="3">
        <v>45670</v>
      </c>
      <c r="E148" s="2" t="s">
        <v>131</v>
      </c>
      <c r="F148" s="2" t="s">
        <v>132</v>
      </c>
      <c r="G148" s="2" t="s">
        <v>145</v>
      </c>
      <c r="H148" s="2" t="s">
        <v>134</v>
      </c>
      <c r="I148" s="2">
        <v>120</v>
      </c>
      <c r="J148" s="2">
        <v>208700</v>
      </c>
      <c r="K148" s="2">
        <v>20.67</v>
      </c>
      <c r="L148" s="2">
        <v>4126</v>
      </c>
      <c r="M148" s="2">
        <v>1075380</v>
      </c>
      <c r="N148" s="2">
        <v>654</v>
      </c>
      <c r="O148" s="2" t="s">
        <v>140</v>
      </c>
      <c r="P148" s="2">
        <v>0.21</v>
      </c>
      <c r="Q148" s="2">
        <v>0.84</v>
      </c>
      <c r="R148" s="2">
        <v>0</v>
      </c>
      <c r="S148" s="2">
        <v>11</v>
      </c>
      <c r="T148" s="2">
        <v>39252</v>
      </c>
      <c r="U148" s="2">
        <v>185265</v>
      </c>
      <c r="V148" s="2">
        <v>0</v>
      </c>
      <c r="W148" s="2">
        <v>0</v>
      </c>
      <c r="X148" s="2">
        <v>0</v>
      </c>
      <c r="Y148" s="2" t="s">
        <v>148</v>
      </c>
      <c r="Z148" s="12">
        <f>SUMIF(Table1[product],Table1[[#This Row],[product]],Table1[loan_amount])</f>
        <v>74897600</v>
      </c>
      <c r="AA148" s="15">
        <f>SUMIF(Table1[region],Table1[[#This Row],[region]],Table1[current_balance])</f>
        <v>98928695</v>
      </c>
      <c r="AB148" s="2">
        <f>COUNTIF(Table1[loan_status],Table1[[#This Row],[loan_status]])</f>
        <v>301</v>
      </c>
      <c r="AC148" s="2">
        <f>COUNTIF(Table1[default_flag],1)/ROWS(Table1[loan_id])</f>
        <v>2.5999999999999999E-2</v>
      </c>
      <c r="AD148" s="2">
        <f>COUNTIFS(Table1[region],Table1[[#This Row],[region]],Table1[default_flag],1)/COUNTIF(Table1[region],Table1[[#This Row],[region]])</f>
        <v>2.8571428571428571E-2</v>
      </c>
      <c r="AE148" s="2">
        <f>COUNTIFS(Table1[channel],Table1[[#This Row],[channel]],Table1[prepayment_flag],1)/COUNTIF(Table1[channel],Table1[[#This Row],[channel]])</f>
        <v>7.1090047393364927E-2</v>
      </c>
      <c r="AF148" s="2">
        <f>AVERAGEIFS(Table1[interest_rate_pct],Table1[product],Table1[[#This Row],[product]],Table1[risk_band],Table1[[#This Row],[risk_band]])</f>
        <v>18.603181818181817</v>
      </c>
      <c r="AG148" s="2" t="str" cm="1">
        <f t="array" ref="AG148">_xlfn.IFS(Table1[[#This Row],[dti_ratio]] &lt; 0.2, " less than 0.2", Table1[[#This Row],[dti_ratio]] &lt; 0.3, "0.2 - 0.3", Table1[[#This Row],[dti_ratio]] &lt;= 0.5, "0.35 - 0.5", Table1[[#This Row],[dti_ratio]] &gt; 0.5, "greater than 0.5")</f>
        <v>0.2 - 0.3</v>
      </c>
      <c r="AH148" s="2">
        <f>COUNTIF(Table1[DTI band],Table1[[#This Row],[DTI band]])</f>
        <v>122</v>
      </c>
      <c r="AI148" s="2" t="str" cm="1">
        <f t="array" ref="AI148">_xlfn.IFS(Table1[[#This Row],[ltv_ratio]] &lt; 0.6, "less than 0.6 -less risky", Table1[[#This Row],[ltv_ratio]]  &lt;= 0.8, "0.6 - 0.8 -medium risky",Table1[[#This Row],[ltv_ratio]] &gt; 0.8, "greater than 0.8 -highly risky")</f>
        <v>greater than 0.8 -highly risky</v>
      </c>
      <c r="AJ148" s="2">
        <f>COUNTIF(Table1[LTV band],Table1[[#This Row],[LTV band]])</f>
        <v>141</v>
      </c>
      <c r="AK148" s="2">
        <f>COUNTIFS(Table1[count_loan_perband],Table1[[#This Row],[count_loan_perband]],Table1[default_flag],1)/COUNTIF(Table1[count_loan_perband],Table1[[#This Row],[count_loan_perband]])</f>
        <v>1.4184397163120567E-2</v>
      </c>
      <c r="AL148" s="2" t="str" cm="1">
        <f t="array" ref="AL148">_xlfn.IFS(Table1[[#This Row],[loan_amount]] &lt; 900000, "lower size (&lt; 9L)", Table1[[#This Row],[loan_amount]] &lt;=3300000, "medium size (&lt;=33L)", Table1[[#This Row],[loan_amount]] &gt; 3300000, "larger size (&gt; 33L)")</f>
        <v>lower size (&lt; 9L)</v>
      </c>
      <c r="AM148" s="2">
        <f>IF(Table1[[#This Row],[dpd]] &gt;=30,1,0)</f>
        <v>0</v>
      </c>
      <c r="AN148" s="2">
        <f>COUNTIFS(Table1[Loan size],Table1[[#This Row],[Loan size]],Table1[dpd flag],1)/COUNTIF(Table1[Loan size],Table1[[#This Row],[Loan size]])</f>
        <v>0.13934426229508196</v>
      </c>
      <c r="AO148" s="2" t="str">
        <f>IF(OR(Table1[[#This Row],[credit_score]] &lt; 600, Table1[ [#This Row],[dti_ratio] ] &gt; 0.5, Table1[[#This Row],[dpd]] &gt;=30), "high risk", " not riskY")</f>
        <v xml:space="preserve"> not riskY</v>
      </c>
      <c r="AP148" s="26">
        <f>EOMONTH(Table1[[#This Row],[origination_date]],0)</f>
        <v>45688</v>
      </c>
      <c r="AQ148" s="2">
        <f>SUMIFS(Table1[loan_amount],Table1[origination month],Table1[[#This Row],[origination month]])</f>
        <v>16786700</v>
      </c>
      <c r="AR148" s="2">
        <f>AVERAGEIFS(Table1[months_on_book],Table1[product],Table1[[#This Row],[product]])</f>
        <v>21.092024539877301</v>
      </c>
      <c r="AS148" s="2" t="str">
        <f ca="1">IF(EDATE(Table1[[#This Row],[origination_date]],6) &gt;= TODAY(), "New Loan", "Old Loan")</f>
        <v>Old Loan</v>
      </c>
      <c r="AT148" s="2" t="str">
        <f>"Q"&amp;ROUNDUP(MONTH(Table1[[#This Row],[origination_date]])/3,0)&amp;YEAR(Table1[[#This Row],[origination_date]])</f>
        <v>Q12025</v>
      </c>
      <c r="AU148" s="2">
        <f>SUMIFS(Table1[loan_amount],Table1[quarter],Table1[[#This Row],[quarter]])</f>
        <v>40328000</v>
      </c>
      <c r="AV148" s="34" t="str">
        <f>_xlfn.TEXTJOIN("|",TRUE,Table1[[#This Row],[loan_id]:[loan_status]])</f>
        <v>L38542500|C1131153|45670|Personal Loan|Online|Central|Salaried|120|208700|20.67|4126|1075380|654|C|0.21|0.84|0|11|39252|185265|0|0|0|Active</v>
      </c>
      <c r="AW148" s="42">
        <f>YEAR(Loan_Table[ [#This Row],[origination_date] ])</f>
        <v>2022</v>
      </c>
    </row>
    <row r="149" spans="2:49" ht="18" customHeight="1">
      <c r="B149" s="5" t="s">
        <v>418</v>
      </c>
      <c r="C149" s="2" t="s">
        <v>419</v>
      </c>
      <c r="D149" s="3">
        <v>45688</v>
      </c>
      <c r="E149" s="2" t="s">
        <v>163</v>
      </c>
      <c r="F149" s="2" t="s">
        <v>159</v>
      </c>
      <c r="G149" s="2" t="s">
        <v>133</v>
      </c>
      <c r="H149" s="2" t="s">
        <v>152</v>
      </c>
      <c r="I149" s="2">
        <v>36</v>
      </c>
      <c r="J149" s="2">
        <v>427100</v>
      </c>
      <c r="K149" s="2">
        <v>13.29</v>
      </c>
      <c r="L149" s="2">
        <v>14450</v>
      </c>
      <c r="M149" s="2">
        <v>236734</v>
      </c>
      <c r="N149" s="2">
        <v>652</v>
      </c>
      <c r="O149" s="2" t="s">
        <v>140</v>
      </c>
      <c r="P149" s="2">
        <v>0.17</v>
      </c>
      <c r="Q149" s="2">
        <v>0.97</v>
      </c>
      <c r="R149" s="2">
        <v>440200</v>
      </c>
      <c r="S149" s="2">
        <v>11</v>
      </c>
      <c r="T149" s="2">
        <v>158939</v>
      </c>
      <c r="U149" s="2">
        <v>288974</v>
      </c>
      <c r="V149" s="2">
        <v>30</v>
      </c>
      <c r="W149" s="2">
        <v>0</v>
      </c>
      <c r="X149" s="2">
        <v>0</v>
      </c>
      <c r="Y149" s="2" t="s">
        <v>136</v>
      </c>
      <c r="Z149" s="12">
        <f>SUMIF(Table1[product],Table1[[#This Row],[product]],Table1[loan_amount])</f>
        <v>92273000</v>
      </c>
      <c r="AA149" s="15">
        <f>SUMIF(Table1[region],Table1[[#This Row],[region]],Table1[current_balance])</f>
        <v>94548000</v>
      </c>
      <c r="AB149" s="2">
        <f>COUNTIF(Table1[loan_status],Table1[[#This Row],[loan_status]])</f>
        <v>47</v>
      </c>
      <c r="AC149" s="2">
        <f>COUNTIF(Table1[default_flag],1)/ROWS(Table1[loan_id])</f>
        <v>2.5999999999999999E-2</v>
      </c>
      <c r="AD149" s="2">
        <f>COUNTIFS(Table1[region],Table1[[#This Row],[region]],Table1[default_flag],1)/COUNTIF(Table1[region],Table1[[#This Row],[region]])</f>
        <v>0</v>
      </c>
      <c r="AE149" s="2">
        <f>COUNTIFS(Table1[channel],Table1[[#This Row],[channel]],Table1[prepayment_flag],1)/COUNTIF(Table1[channel],Table1[[#This Row],[channel]])</f>
        <v>0.1</v>
      </c>
      <c r="AF149" s="2">
        <f>AVERAGEIFS(Table1[interest_rate_pct],Table1[product],Table1[[#This Row],[product]],Table1[risk_band],Table1[[#This Row],[risk_band]])</f>
        <v>13.246500000000001</v>
      </c>
      <c r="AG149" s="2" t="str" cm="1">
        <f t="array" ref="AG149">_xlfn.IFS(Table1[[#This Row],[dti_ratio]] &lt; 0.2, " less than 0.2", Table1[[#This Row],[dti_ratio]] &lt; 0.3, "0.2 - 0.3", Table1[[#This Row],[dti_ratio]] &lt;= 0.5, "0.35 - 0.5", Table1[[#This Row],[dti_ratio]] &gt; 0.5, "greater than 0.5")</f>
        <v xml:space="preserve"> less than 0.2</v>
      </c>
      <c r="AH149" s="2">
        <f>COUNTIF(Table1[DTI band],Table1[[#This Row],[DTI band]])</f>
        <v>86</v>
      </c>
      <c r="AI149" s="2" t="str" cm="1">
        <f t="array" ref="AI149">_xlfn.IFS(Table1[[#This Row],[ltv_ratio]] &lt; 0.6, "less than 0.6 -less risky", Table1[[#This Row],[ltv_ratio]]  &lt;= 0.8, "0.6 - 0.8 -medium risky",Table1[[#This Row],[ltv_ratio]] &gt; 0.8, "greater than 0.8 -highly risky")</f>
        <v>greater than 0.8 -highly risky</v>
      </c>
      <c r="AJ149" s="2">
        <f>COUNTIF(Table1[LTV band],Table1[[#This Row],[LTV band]])</f>
        <v>141</v>
      </c>
      <c r="AK149" s="2">
        <f>COUNTIFS(Table1[count_loan_perband],Table1[[#This Row],[count_loan_perband]],Table1[default_flag],1)/COUNTIF(Table1[count_loan_perband],Table1[[#This Row],[count_loan_perband]])</f>
        <v>1.4184397163120567E-2</v>
      </c>
      <c r="AL149" s="2" t="str" cm="1">
        <f t="array" ref="AL149">_xlfn.IFS(Table1[[#This Row],[loan_amount]] &lt; 900000, "lower size (&lt; 9L)", Table1[[#This Row],[loan_amount]] &lt;=3300000, "medium size (&lt;=33L)", Table1[[#This Row],[loan_amount]] &gt; 3300000, "larger size (&gt; 33L)")</f>
        <v>lower size (&lt; 9L)</v>
      </c>
      <c r="AM149" s="2">
        <f>IF(Table1[[#This Row],[dpd]] &gt;=30,1,0)</f>
        <v>1</v>
      </c>
      <c r="AN149" s="2">
        <f>COUNTIFS(Table1[Loan size],Table1[[#This Row],[Loan size]],Table1[dpd flag],1)/COUNTIF(Table1[Loan size],Table1[[#This Row],[Loan size]])</f>
        <v>0.13934426229508196</v>
      </c>
      <c r="AO149" s="2" t="str">
        <f>IF(OR(Table1[[#This Row],[credit_score]] &lt; 600, Table1[ [#This Row],[dti_ratio] ] &gt; 0.5, Table1[[#This Row],[dpd]] &gt;=30), "high risk", " not riskY")</f>
        <v>high risk</v>
      </c>
      <c r="AP149" s="26">
        <f>EOMONTH(Table1[[#This Row],[origination_date]],0)</f>
        <v>45688</v>
      </c>
      <c r="AQ149" s="2">
        <f>SUMIFS(Table1[loan_amount],Table1[origination month],Table1[[#This Row],[origination month]])</f>
        <v>16786700</v>
      </c>
      <c r="AR149" s="2">
        <f>AVERAGEIFS(Table1[months_on_book],Table1[product],Table1[[#This Row],[product]])</f>
        <v>20.262135922330096</v>
      </c>
      <c r="AS149" s="2" t="str">
        <f ca="1">IF(EDATE(Table1[[#This Row],[origination_date]],6) &gt;= TODAY(), "New Loan", "Old Loan")</f>
        <v>Old Loan</v>
      </c>
      <c r="AT149" s="2" t="str">
        <f>"Q"&amp;ROUNDUP(MONTH(Table1[[#This Row],[origination_date]])/3,0)&amp;YEAR(Table1[[#This Row],[origination_date]])</f>
        <v>Q12025</v>
      </c>
      <c r="AU149" s="2">
        <f>SUMIFS(Table1[loan_amount],Table1[quarter],Table1[[#This Row],[quarter]])</f>
        <v>40328000</v>
      </c>
      <c r="AV149" s="34" t="str">
        <f>_xlfn.TEXTJOIN("|",TRUE,Table1[[#This Row],[loan_id]:[loan_status]])</f>
        <v>L74386641|C6202154|45688|Auto Loan|Partner|South|Self-Employed|36|427100|13.29|14450|236734|652|C|0.17|0.97|440200|11|158939|288974|30|0|0|Delinquent</v>
      </c>
      <c r="AW149" s="42">
        <f>YEAR(Loan_Table[ [#This Row],[origination_date] ])</f>
        <v>2022</v>
      </c>
    </row>
    <row r="150" spans="2:49" ht="18" customHeight="1">
      <c r="B150" s="5" t="s">
        <v>420</v>
      </c>
      <c r="C150" s="2" t="s">
        <v>421</v>
      </c>
      <c r="D150" s="3">
        <v>45736</v>
      </c>
      <c r="E150" s="2" t="s">
        <v>163</v>
      </c>
      <c r="F150" s="2" t="s">
        <v>132</v>
      </c>
      <c r="G150" s="2" t="s">
        <v>145</v>
      </c>
      <c r="H150" s="2" t="s">
        <v>134</v>
      </c>
      <c r="I150" s="2">
        <v>60</v>
      </c>
      <c r="J150" s="2">
        <v>1566400</v>
      </c>
      <c r="K150" s="2">
        <v>10.58</v>
      </c>
      <c r="L150" s="2">
        <v>33730</v>
      </c>
      <c r="M150" s="2">
        <v>816134</v>
      </c>
      <c r="N150" s="2">
        <v>740</v>
      </c>
      <c r="O150" s="2" t="s">
        <v>135</v>
      </c>
      <c r="P150" s="2">
        <v>0.16</v>
      </c>
      <c r="Q150" s="2">
        <v>0.6</v>
      </c>
      <c r="R150" s="2">
        <v>2607300</v>
      </c>
      <c r="S150" s="2">
        <v>9</v>
      </c>
      <c r="T150" s="2">
        <v>289663</v>
      </c>
      <c r="U150" s="2">
        <v>1326455</v>
      </c>
      <c r="V150" s="2">
        <v>0</v>
      </c>
      <c r="W150" s="2">
        <v>0</v>
      </c>
      <c r="X150" s="2">
        <v>0</v>
      </c>
      <c r="Y150" s="2" t="s">
        <v>148</v>
      </c>
      <c r="Z150" s="12">
        <f>SUMIF(Table1[product],Table1[[#This Row],[product]],Table1[loan_amount])</f>
        <v>92273000</v>
      </c>
      <c r="AA150" s="15">
        <f>SUMIF(Table1[region],Table1[[#This Row],[region]],Table1[current_balance])</f>
        <v>98928695</v>
      </c>
      <c r="AB150" s="2">
        <f>COUNTIF(Table1[loan_status],Table1[[#This Row],[loan_status]])</f>
        <v>301</v>
      </c>
      <c r="AC150" s="2">
        <f>COUNTIF(Table1[default_flag],1)/ROWS(Table1[loan_id])</f>
        <v>2.5999999999999999E-2</v>
      </c>
      <c r="AD150" s="2">
        <f>COUNTIFS(Table1[region],Table1[[#This Row],[region]],Table1[default_flag],1)/COUNTIF(Table1[region],Table1[[#This Row],[region]])</f>
        <v>2.8571428571428571E-2</v>
      </c>
      <c r="AE150" s="2">
        <f>COUNTIFS(Table1[channel],Table1[[#This Row],[channel]],Table1[prepayment_flag],1)/COUNTIF(Table1[channel],Table1[[#This Row],[channel]])</f>
        <v>7.1090047393364927E-2</v>
      </c>
      <c r="AF150" s="2">
        <f>AVERAGEIFS(Table1[interest_rate_pct],Table1[product],Table1[[#This Row],[product]],Table1[risk_band],Table1[[#This Row],[risk_band]])</f>
        <v>10.611923076923079</v>
      </c>
      <c r="AG150" s="2" t="str" cm="1">
        <f t="array" ref="AG150">_xlfn.IFS(Table1[[#This Row],[dti_ratio]] &lt; 0.2, " less than 0.2", Table1[[#This Row],[dti_ratio]] &lt; 0.3, "0.2 - 0.3", Table1[[#This Row],[dti_ratio]] &lt;= 0.5, "0.35 - 0.5", Table1[[#This Row],[dti_ratio]] &gt; 0.5, "greater than 0.5")</f>
        <v xml:space="preserve"> less than 0.2</v>
      </c>
      <c r="AH150" s="2">
        <f>COUNTIF(Table1[DTI band],Table1[[#This Row],[DTI band]])</f>
        <v>86</v>
      </c>
      <c r="AI150" s="2" t="str" cm="1">
        <f t="array" ref="AI150">_xlfn.IFS(Table1[[#This Row],[ltv_ratio]] &lt; 0.6, "less than 0.6 -less risky", Table1[[#This Row],[ltv_ratio]]  &lt;= 0.8, "0.6 - 0.8 -medium risky",Table1[[#This Row],[ltv_ratio]] &gt; 0.8, "greater than 0.8 -highly risky")</f>
        <v>0.6 - 0.8 -medium risky</v>
      </c>
      <c r="AJ150" s="2">
        <f>COUNTIF(Table1[LTV band],Table1[[#This Row],[LTV band]])</f>
        <v>302</v>
      </c>
      <c r="AK150" s="2">
        <f>COUNTIFS(Table1[count_loan_perband],Table1[[#This Row],[count_loan_perband]],Table1[default_flag],1)/COUNTIF(Table1[count_loan_perband],Table1[[#This Row],[count_loan_perband]])</f>
        <v>3.6423841059602648E-2</v>
      </c>
      <c r="AL150" s="2" t="str" cm="1">
        <f t="array" ref="AL150">_xlfn.IFS(Table1[[#This Row],[loan_amount]] &lt; 900000, "lower size (&lt; 9L)", Table1[[#This Row],[loan_amount]] &lt;=3300000, "medium size (&lt;=33L)", Table1[[#This Row],[loan_amount]] &gt; 3300000, "larger size (&gt; 33L)")</f>
        <v>medium size (&lt;=33L)</v>
      </c>
      <c r="AM150" s="2">
        <f>IF(Table1[[#This Row],[dpd]] &gt;=30,1,0)</f>
        <v>0</v>
      </c>
      <c r="AN150" s="2">
        <f>COUNTIFS(Table1[Loan size],Table1[[#This Row],[Loan size]],Table1[dpd flag],1)/COUNTIF(Table1[Loan size],Table1[[#This Row],[Loan size]])</f>
        <v>0.15909090909090909</v>
      </c>
      <c r="AO150" s="2" t="str">
        <f>IF(OR(Table1[[#This Row],[credit_score]] &lt; 600, Table1[ [#This Row],[dti_ratio] ] &gt; 0.5, Table1[[#This Row],[dpd]] &gt;=30), "high risk", " not riskY")</f>
        <v xml:space="preserve"> not riskY</v>
      </c>
      <c r="AP150" s="26">
        <f>EOMONTH(Table1[[#This Row],[origination_date]],0)</f>
        <v>45747</v>
      </c>
      <c r="AQ150" s="2">
        <f>SUMIFS(Table1[loan_amount],Table1[origination month],Table1[[#This Row],[origination month]])</f>
        <v>5573100</v>
      </c>
      <c r="AR150" s="2">
        <f>AVERAGEIFS(Table1[months_on_book],Table1[product],Table1[[#This Row],[product]])</f>
        <v>20.262135922330096</v>
      </c>
      <c r="AS150" s="2" t="str">
        <f ca="1">IF(EDATE(Table1[[#This Row],[origination_date]],6) &gt;= TODAY(), "New Loan", "Old Loan")</f>
        <v>Old Loan</v>
      </c>
      <c r="AT150" s="2" t="str">
        <f>"Q"&amp;ROUNDUP(MONTH(Table1[[#This Row],[origination_date]])/3,0)&amp;YEAR(Table1[[#This Row],[origination_date]])</f>
        <v>Q12025</v>
      </c>
      <c r="AU150" s="2">
        <f>SUMIFS(Table1[loan_amount],Table1[quarter],Table1[[#This Row],[quarter]])</f>
        <v>40328000</v>
      </c>
      <c r="AV150" s="34" t="str">
        <f>_xlfn.TEXTJOIN("|",TRUE,Table1[[#This Row],[loan_id]:[loan_status]])</f>
        <v>L25909550|C7559297|45736|Auto Loan|Online|Central|Salaried|60|1566400|10.58|33730|816134|740|B|0.16|0.6|2607300|9|289663|1326455|0|0|0|Active</v>
      </c>
      <c r="AW150" s="42">
        <f>YEAR(Loan_Table[ [#This Row],[origination_date] ])</f>
        <v>2022</v>
      </c>
    </row>
    <row r="151" spans="2:49" ht="18" customHeight="1">
      <c r="B151" s="5" t="s">
        <v>422</v>
      </c>
      <c r="C151" s="2" t="s">
        <v>423</v>
      </c>
      <c r="D151" s="3">
        <v>45691</v>
      </c>
      <c r="E151" s="2" t="s">
        <v>158</v>
      </c>
      <c r="F151" s="2" t="s">
        <v>144</v>
      </c>
      <c r="G151" s="2" t="s">
        <v>133</v>
      </c>
      <c r="H151" s="2" t="s">
        <v>152</v>
      </c>
      <c r="I151" s="2">
        <v>24</v>
      </c>
      <c r="J151" s="2">
        <v>3526000</v>
      </c>
      <c r="K151" s="2">
        <v>21.91</v>
      </c>
      <c r="L151" s="2">
        <v>182766</v>
      </c>
      <c r="M151" s="2">
        <v>756885</v>
      </c>
      <c r="N151" s="2">
        <v>591</v>
      </c>
      <c r="O151" s="2" t="s">
        <v>166</v>
      </c>
      <c r="P151" s="2">
        <v>0.13</v>
      </c>
      <c r="Q151" s="2">
        <v>0.73</v>
      </c>
      <c r="R151" s="2">
        <v>4834800</v>
      </c>
      <c r="S151" s="2">
        <v>10</v>
      </c>
      <c r="T151" s="2">
        <v>1658883</v>
      </c>
      <c r="U151" s="2">
        <v>2124633</v>
      </c>
      <c r="V151" s="2">
        <v>0</v>
      </c>
      <c r="W151" s="2">
        <v>0</v>
      </c>
      <c r="X151" s="2">
        <v>0</v>
      </c>
      <c r="Y151" s="2" t="s">
        <v>148</v>
      </c>
      <c r="Z151" s="12">
        <f>SUMIF(Table1[product],Table1[[#This Row],[product]],Table1[loan_amount])</f>
        <v>201475100</v>
      </c>
      <c r="AA151" s="15">
        <f>SUMIF(Table1[region],Table1[[#This Row],[region]],Table1[current_balance])</f>
        <v>94548000</v>
      </c>
      <c r="AB151" s="2">
        <f>COUNTIF(Table1[loan_status],Table1[[#This Row],[loan_status]])</f>
        <v>301</v>
      </c>
      <c r="AC151" s="2">
        <f>COUNTIF(Table1[default_flag],1)/ROWS(Table1[loan_id])</f>
        <v>2.5999999999999999E-2</v>
      </c>
      <c r="AD151" s="2">
        <f>COUNTIFS(Table1[region],Table1[[#This Row],[region]],Table1[default_flag],1)/COUNTIF(Table1[region],Table1[[#This Row],[region]])</f>
        <v>0</v>
      </c>
      <c r="AE151" s="2">
        <f>COUNTIFS(Table1[channel],Table1[[#This Row],[channel]],Table1[prepayment_flag],1)/COUNTIF(Table1[channel],Table1[[#This Row],[channel]])</f>
        <v>5.8201058201058198E-2</v>
      </c>
      <c r="AF151" s="2">
        <f>AVERAGEIFS(Table1[interest_rate_pct],Table1[product],Table1[[#This Row],[product]],Table1[risk_band],Table1[[#This Row],[risk_band]])</f>
        <v>20.521428571428572</v>
      </c>
      <c r="AG151" s="2" t="str" cm="1">
        <f t="array" ref="AG151">_xlfn.IFS(Table1[[#This Row],[dti_ratio]] &lt; 0.2, " less than 0.2", Table1[[#This Row],[dti_ratio]] &lt; 0.3, "0.2 - 0.3", Table1[[#This Row],[dti_ratio]] &lt;= 0.5, "0.35 - 0.5", Table1[[#This Row],[dti_ratio]] &gt; 0.5, "greater than 0.5")</f>
        <v xml:space="preserve"> less than 0.2</v>
      </c>
      <c r="AH151" s="2">
        <f>COUNTIF(Table1[DTI band],Table1[[#This Row],[DTI band]])</f>
        <v>86</v>
      </c>
      <c r="AI151" s="2" t="str" cm="1">
        <f t="array" ref="AI151">_xlfn.IFS(Table1[[#This Row],[ltv_ratio]] &lt; 0.6, "less than 0.6 -less risky", Table1[[#This Row],[ltv_ratio]]  &lt;= 0.8, "0.6 - 0.8 -medium risky",Table1[[#This Row],[ltv_ratio]] &gt; 0.8, "greater than 0.8 -highly risky")</f>
        <v>0.6 - 0.8 -medium risky</v>
      </c>
      <c r="AJ151" s="2">
        <f>COUNTIF(Table1[LTV band],Table1[[#This Row],[LTV band]])</f>
        <v>302</v>
      </c>
      <c r="AK151" s="2">
        <f>COUNTIFS(Table1[count_loan_perband],Table1[[#This Row],[count_loan_perband]],Table1[default_flag],1)/COUNTIF(Table1[count_loan_perband],Table1[[#This Row],[count_loan_perband]])</f>
        <v>3.6423841059602648E-2</v>
      </c>
      <c r="AL151" s="2" t="str" cm="1">
        <f t="array" ref="AL151">_xlfn.IFS(Table1[[#This Row],[loan_amount]] &lt; 900000, "lower size (&lt; 9L)", Table1[[#This Row],[loan_amount]] &lt;=3300000, "medium size (&lt;=33L)", Table1[[#This Row],[loan_amount]] &gt; 3300000, "larger size (&gt; 33L)")</f>
        <v>larger size (&gt; 33L)</v>
      </c>
      <c r="AM151" s="2">
        <f>IF(Table1[[#This Row],[dpd]] &gt;=30,1,0)</f>
        <v>0</v>
      </c>
      <c r="AN151" s="2">
        <f>COUNTIFS(Table1[Loan size],Table1[[#This Row],[Loan size]],Table1[dpd flag],1)/COUNTIF(Table1[Loan size],Table1[[#This Row],[Loan size]])</f>
        <v>0.16250000000000001</v>
      </c>
      <c r="AO151" s="2" t="str">
        <f>IF(OR(Table1[[#This Row],[credit_score]] &lt; 600, Table1[ [#This Row],[dti_ratio] ] &gt; 0.5, Table1[[#This Row],[dpd]] &gt;=30), "high risk", " not riskY")</f>
        <v>high risk</v>
      </c>
      <c r="AP151" s="26">
        <f>EOMONTH(Table1[[#This Row],[origination_date]],0)</f>
        <v>45716</v>
      </c>
      <c r="AQ151" s="2">
        <f>SUMIFS(Table1[loan_amount],Table1[origination month],Table1[[#This Row],[origination month]])</f>
        <v>17968200</v>
      </c>
      <c r="AR151" s="2">
        <f>AVERAGEIFS(Table1[months_on_book],Table1[product],Table1[[#This Row],[product]])</f>
        <v>19.091954022988507</v>
      </c>
      <c r="AS151" s="2" t="str">
        <f ca="1">IF(EDATE(Table1[[#This Row],[origination_date]],6) &gt;= TODAY(), "New Loan", "Old Loan")</f>
        <v>Old Loan</v>
      </c>
      <c r="AT151" s="2" t="str">
        <f>"Q"&amp;ROUNDUP(MONTH(Table1[[#This Row],[origination_date]])/3,0)&amp;YEAR(Table1[[#This Row],[origination_date]])</f>
        <v>Q12025</v>
      </c>
      <c r="AU151" s="2">
        <f>SUMIFS(Table1[loan_amount],Table1[quarter],Table1[[#This Row],[quarter]])</f>
        <v>40328000</v>
      </c>
      <c r="AV151" s="34" t="str">
        <f>_xlfn.TEXTJOIN("|",TRUE,Table1[[#This Row],[loan_id]:[loan_status]])</f>
        <v>L75099037|C2380993|45691|SME Loan|Branch|South|Self-Employed|24|3526000|21.91|182766|756885|591|E|0.13|0.73|4834800|10|1658883|2124633|0|0|0|Active</v>
      </c>
      <c r="AW151" s="42">
        <f>YEAR(Loan_Table[ [#This Row],[origination_date] ])</f>
        <v>2022</v>
      </c>
    </row>
    <row r="152" spans="2:49" ht="18" customHeight="1">
      <c r="B152" s="5" t="s">
        <v>424</v>
      </c>
      <c r="C152" s="2" t="s">
        <v>425</v>
      </c>
      <c r="D152" s="3">
        <v>44707</v>
      </c>
      <c r="E152" s="2" t="s">
        <v>177</v>
      </c>
      <c r="F152" s="2" t="s">
        <v>213</v>
      </c>
      <c r="G152" s="2" t="s">
        <v>133</v>
      </c>
      <c r="H152" s="2" t="s">
        <v>134</v>
      </c>
      <c r="I152" s="2">
        <v>36</v>
      </c>
      <c r="J152" s="2">
        <v>1376700</v>
      </c>
      <c r="K152" s="2">
        <v>15.41</v>
      </c>
      <c r="L152" s="2">
        <v>48001</v>
      </c>
      <c r="M152" s="2">
        <v>1504596</v>
      </c>
      <c r="N152" s="2">
        <v>620</v>
      </c>
      <c r="O152" s="2" t="s">
        <v>147</v>
      </c>
      <c r="P152" s="2">
        <v>0.66</v>
      </c>
      <c r="Q152" s="2">
        <v>0.62</v>
      </c>
      <c r="R152" s="2">
        <v>0</v>
      </c>
      <c r="S152" s="2">
        <v>36</v>
      </c>
      <c r="T152" s="2">
        <v>1741964</v>
      </c>
      <c r="U152" s="2">
        <v>0</v>
      </c>
      <c r="V152" s="2">
        <v>0</v>
      </c>
      <c r="W152" s="2">
        <v>0</v>
      </c>
      <c r="X152" s="2">
        <v>0</v>
      </c>
      <c r="Y152" s="2" t="s">
        <v>141</v>
      </c>
      <c r="Z152" s="12">
        <f>SUMIF(Table1[product],Table1[[#This Row],[product]],Table1[loan_amount])</f>
        <v>62765800</v>
      </c>
      <c r="AA152" s="15">
        <f>SUMIF(Table1[region],Table1[[#This Row],[region]],Table1[current_balance])</f>
        <v>94548000</v>
      </c>
      <c r="AB152" s="2">
        <f>COUNTIF(Table1[loan_status],Table1[[#This Row],[loan_status]])</f>
        <v>139</v>
      </c>
      <c r="AC152" s="2">
        <f>COUNTIF(Table1[default_flag],1)/ROWS(Table1[loan_id])</f>
        <v>2.5999999999999999E-2</v>
      </c>
      <c r="AD152" s="2">
        <f>COUNTIFS(Table1[region],Table1[[#This Row],[region]],Table1[default_flag],1)/COUNTIF(Table1[region],Table1[[#This Row],[region]])</f>
        <v>0</v>
      </c>
      <c r="AE152" s="2">
        <f>COUNTIFS(Table1[channel],Table1[[#This Row],[channel]],Table1[prepayment_flag],1)/COUNTIF(Table1[channel],Table1[[#This Row],[channel]])</f>
        <v>0.12</v>
      </c>
      <c r="AF152" s="2">
        <f>AVERAGEIFS(Table1[interest_rate_pct],Table1[product],Table1[[#This Row],[product]],Table1[risk_band],Table1[[#This Row],[risk_band]])</f>
        <v>15.810000000000002</v>
      </c>
      <c r="AG152" s="2" t="str" cm="1">
        <f t="array" ref="AG152">_xlfn.IFS(Table1[[#This Row],[dti_ratio]] &lt; 0.2, " less than 0.2", Table1[[#This Row],[dti_ratio]] &lt; 0.3, "0.2 - 0.3", Table1[[#This Row],[dti_ratio]] &lt;= 0.5, "0.35 - 0.5", Table1[[#This Row],[dti_ratio]] &gt; 0.5, "greater than 0.5")</f>
        <v>greater than 0.5</v>
      </c>
      <c r="AH152" s="2">
        <f>COUNTIF(Table1[DTI band],Table1[[#This Row],[DTI band]])</f>
        <v>32</v>
      </c>
      <c r="AI152" s="2" t="str" cm="1">
        <f t="array" ref="AI152">_xlfn.IFS(Table1[[#This Row],[ltv_ratio]] &lt; 0.6, "less than 0.6 -less risky", Table1[[#This Row],[ltv_ratio]]  &lt;= 0.8, "0.6 - 0.8 -medium risky",Table1[[#This Row],[ltv_ratio]] &gt; 0.8, "greater than 0.8 -highly risky")</f>
        <v>0.6 - 0.8 -medium risky</v>
      </c>
      <c r="AJ152" s="2">
        <f>COUNTIF(Table1[LTV band],Table1[[#This Row],[LTV band]])</f>
        <v>302</v>
      </c>
      <c r="AK152" s="2">
        <f>COUNTIFS(Table1[count_loan_perband],Table1[[#This Row],[count_loan_perband]],Table1[default_flag],1)/COUNTIF(Table1[count_loan_perband],Table1[[#This Row],[count_loan_perband]])</f>
        <v>3.6423841059602648E-2</v>
      </c>
      <c r="AL152" s="2" t="str" cm="1">
        <f t="array" ref="AL152">_xlfn.IFS(Table1[[#This Row],[loan_amount]] &lt; 900000, "lower size (&lt; 9L)", Table1[[#This Row],[loan_amount]] &lt;=3300000, "medium size (&lt;=33L)", Table1[[#This Row],[loan_amount]] &gt; 3300000, "larger size (&gt; 33L)")</f>
        <v>medium size (&lt;=33L)</v>
      </c>
      <c r="AM152" s="2">
        <f>IF(Table1[[#This Row],[dpd]] &gt;=30,1,0)</f>
        <v>0</v>
      </c>
      <c r="AN152" s="2">
        <f>COUNTIFS(Table1[Loan size],Table1[[#This Row],[Loan size]],Table1[dpd flag],1)/COUNTIF(Table1[Loan size],Table1[[#This Row],[Loan size]])</f>
        <v>0.15909090909090909</v>
      </c>
      <c r="AO152" s="2" t="str">
        <f>IF(OR(Table1[[#This Row],[credit_score]] &lt; 600, Table1[ [#This Row],[dti_ratio] ] &gt; 0.5, Table1[[#This Row],[dpd]] &gt;=30), "high risk", " not riskY")</f>
        <v>high risk</v>
      </c>
      <c r="AP152" s="26">
        <f>EOMONTH(Table1[[#This Row],[origination_date]],0)</f>
        <v>44712</v>
      </c>
      <c r="AQ152" s="2">
        <f>SUMIFS(Table1[loan_amount],Table1[origination month],Table1[[#This Row],[origination month]])</f>
        <v>10302800</v>
      </c>
      <c r="AR152" s="2">
        <f>AVERAGEIFS(Table1[months_on_book],Table1[product],Table1[[#This Row],[product]])</f>
        <v>21.962962962962962</v>
      </c>
      <c r="AS152" s="2" t="str">
        <f ca="1">IF(EDATE(Table1[[#This Row],[origination_date]],6) &gt;= TODAY(), "New Loan", "Old Loan")</f>
        <v>Old Loan</v>
      </c>
      <c r="AT152" s="2" t="str">
        <f>"Q"&amp;ROUNDUP(MONTH(Table1[[#This Row],[origination_date]])/3,0)&amp;YEAR(Table1[[#This Row],[origination_date]])</f>
        <v>Q22022</v>
      </c>
      <c r="AU152" s="2">
        <f>SUMIFS(Table1[loan_amount],Table1[quarter],Table1[[#This Row],[quarter]])</f>
        <v>45395100</v>
      </c>
      <c r="AV152" s="34" t="str">
        <f>_xlfn.TEXTJOIN("|",TRUE,Table1[[#This Row],[loan_id]:[loan_status]])</f>
        <v>L61455524|C5900590|44707|Education Loan|Call Center|South|Salaried|36|1376700|15.41|48001|1504596|620|D|0.66|0.62|0|36|1741964|0|0|0|0|Closed</v>
      </c>
      <c r="AW152" s="42">
        <f>YEAR(Loan_Table[ [#This Row],[origination_date] ])</f>
        <v>2022</v>
      </c>
    </row>
    <row r="153" spans="2:49" ht="18" customHeight="1">
      <c r="B153" s="5" t="s">
        <v>426</v>
      </c>
      <c r="C153" s="2" t="s">
        <v>427</v>
      </c>
      <c r="D153" s="3">
        <v>44665</v>
      </c>
      <c r="E153" s="2" t="s">
        <v>163</v>
      </c>
      <c r="F153" s="2" t="s">
        <v>159</v>
      </c>
      <c r="G153" s="2" t="s">
        <v>139</v>
      </c>
      <c r="H153" s="2" t="s">
        <v>134</v>
      </c>
      <c r="I153" s="2">
        <v>60</v>
      </c>
      <c r="J153" s="2">
        <v>832800</v>
      </c>
      <c r="K153" s="2">
        <v>17.41</v>
      </c>
      <c r="L153" s="2">
        <v>20881</v>
      </c>
      <c r="M153" s="2">
        <v>629070</v>
      </c>
      <c r="N153" s="2">
        <v>586</v>
      </c>
      <c r="O153" s="2" t="s">
        <v>166</v>
      </c>
      <c r="P153" s="2">
        <v>0.56999999999999995</v>
      </c>
      <c r="Q153" s="2">
        <v>0.64</v>
      </c>
      <c r="R153" s="2">
        <v>1310500</v>
      </c>
      <c r="S153" s="2">
        <v>44</v>
      </c>
      <c r="T153" s="2">
        <v>815693</v>
      </c>
      <c r="U153" s="2">
        <v>229760</v>
      </c>
      <c r="V153" s="2">
        <v>0</v>
      </c>
      <c r="W153" s="2">
        <v>1</v>
      </c>
      <c r="X153" s="2">
        <v>0</v>
      </c>
      <c r="Y153" s="2" t="s">
        <v>141</v>
      </c>
      <c r="Z153" s="12">
        <f>SUMIF(Table1[product],Table1[[#This Row],[product]],Table1[loan_amount])</f>
        <v>92273000</v>
      </c>
      <c r="AA153" s="15">
        <f>SUMIF(Table1[region],Table1[[#This Row],[region]],Table1[current_balance])</f>
        <v>83903255</v>
      </c>
      <c r="AB153" s="2">
        <f>COUNTIF(Table1[loan_status],Table1[[#This Row],[loan_status]])</f>
        <v>139</v>
      </c>
      <c r="AC153" s="2">
        <f>COUNTIF(Table1[default_flag],1)/ROWS(Table1[loan_id])</f>
        <v>2.5999999999999999E-2</v>
      </c>
      <c r="AD153" s="2">
        <f>COUNTIFS(Table1[region],Table1[[#This Row],[region]],Table1[default_flag],1)/COUNTIF(Table1[region],Table1[[#This Row],[region]])</f>
        <v>4.2553191489361701E-2</v>
      </c>
      <c r="AE153" s="2">
        <f>COUNTIFS(Table1[channel],Table1[[#This Row],[channel]],Table1[prepayment_flag],1)/COUNTIF(Table1[channel],Table1[[#This Row],[channel]])</f>
        <v>0.1</v>
      </c>
      <c r="AF153" s="2">
        <f>AVERAGEIFS(Table1[interest_rate_pct],Table1[product],Table1[[#This Row],[product]],Table1[risk_band],Table1[[#This Row],[risk_band]])</f>
        <v>17.744166666666668</v>
      </c>
      <c r="AG153" s="2" t="str" cm="1">
        <f t="array" ref="AG153">_xlfn.IFS(Table1[[#This Row],[dti_ratio]] &lt; 0.2, " less than 0.2", Table1[[#This Row],[dti_ratio]] &lt; 0.3, "0.2 - 0.3", Table1[[#This Row],[dti_ratio]] &lt;= 0.5, "0.35 - 0.5", Table1[[#This Row],[dti_ratio]] &gt; 0.5, "greater than 0.5")</f>
        <v>greater than 0.5</v>
      </c>
      <c r="AH153" s="2">
        <f>COUNTIF(Table1[DTI band],Table1[[#This Row],[DTI band]])</f>
        <v>32</v>
      </c>
      <c r="AI153" s="2" t="str" cm="1">
        <f t="array" ref="AI153">_xlfn.IFS(Table1[[#This Row],[ltv_ratio]] &lt; 0.6, "less than 0.6 -less risky", Table1[[#This Row],[ltv_ratio]]  &lt;= 0.8, "0.6 - 0.8 -medium risky",Table1[[#This Row],[ltv_ratio]] &gt; 0.8, "greater than 0.8 -highly risky")</f>
        <v>0.6 - 0.8 -medium risky</v>
      </c>
      <c r="AJ153" s="2">
        <f>COUNTIF(Table1[LTV band],Table1[[#This Row],[LTV band]])</f>
        <v>302</v>
      </c>
      <c r="AK153" s="2">
        <f>COUNTIFS(Table1[count_loan_perband],Table1[[#This Row],[count_loan_perband]],Table1[default_flag],1)/COUNTIF(Table1[count_loan_perband],Table1[[#This Row],[count_loan_perband]])</f>
        <v>3.6423841059602648E-2</v>
      </c>
      <c r="AL153" s="2" t="str" cm="1">
        <f t="array" ref="AL153">_xlfn.IFS(Table1[[#This Row],[loan_amount]] &lt; 900000, "lower size (&lt; 9L)", Table1[[#This Row],[loan_amount]] &lt;=3300000, "medium size (&lt;=33L)", Table1[[#This Row],[loan_amount]] &gt; 3300000, "larger size (&gt; 33L)")</f>
        <v>lower size (&lt; 9L)</v>
      </c>
      <c r="AM153" s="2">
        <f>IF(Table1[[#This Row],[dpd]] &gt;=30,1,0)</f>
        <v>0</v>
      </c>
      <c r="AN153" s="2">
        <f>COUNTIFS(Table1[Loan size],Table1[[#This Row],[Loan size]],Table1[dpd flag],1)/COUNTIF(Table1[Loan size],Table1[[#This Row],[Loan size]])</f>
        <v>0.13934426229508196</v>
      </c>
      <c r="AO153" s="2" t="str">
        <f>IF(OR(Table1[[#This Row],[credit_score]] &lt; 600, Table1[ [#This Row],[dti_ratio] ] &gt; 0.5, Table1[[#This Row],[dpd]] &gt;=30), "high risk", " not riskY")</f>
        <v>high risk</v>
      </c>
      <c r="AP153" s="26">
        <f>EOMONTH(Table1[[#This Row],[origination_date]],0)</f>
        <v>44681</v>
      </c>
      <c r="AQ153" s="2">
        <f>SUMIFS(Table1[loan_amount],Table1[origination month],Table1[[#This Row],[origination month]])</f>
        <v>23903900</v>
      </c>
      <c r="AR153" s="2">
        <f>AVERAGEIFS(Table1[months_on_book],Table1[product],Table1[[#This Row],[product]])</f>
        <v>20.262135922330096</v>
      </c>
      <c r="AS153" s="2" t="str">
        <f ca="1">IF(EDATE(Table1[[#This Row],[origination_date]],6) &gt;= TODAY(), "New Loan", "Old Loan")</f>
        <v>Old Loan</v>
      </c>
      <c r="AT153" s="2" t="str">
        <f>"Q"&amp;ROUNDUP(MONTH(Table1[[#This Row],[origination_date]])/3,0)&amp;YEAR(Table1[[#This Row],[origination_date]])</f>
        <v>Q22022</v>
      </c>
      <c r="AU153" s="2">
        <f>SUMIFS(Table1[loan_amount],Table1[quarter],Table1[[#This Row],[quarter]])</f>
        <v>45395100</v>
      </c>
      <c r="AV153" s="34" t="str">
        <f>_xlfn.TEXTJOIN("|",TRUE,Table1[[#This Row],[loan_id]:[loan_status]])</f>
        <v>L21530226|C2315559|44665|Auto Loan|Partner|West|Salaried|60|832800|17.41|20881|629070|586|E|0.57|0.64|1310500|44|815693|229760|0|1|0|Closed</v>
      </c>
      <c r="AW153" s="42">
        <f>YEAR(Loan_Table[ [#This Row],[origination_date] ])</f>
        <v>2022</v>
      </c>
    </row>
    <row r="154" spans="2:49" ht="18" customHeight="1">
      <c r="B154" s="5" t="s">
        <v>428</v>
      </c>
      <c r="C154" s="2" t="s">
        <v>429</v>
      </c>
      <c r="D154" s="3">
        <v>44682</v>
      </c>
      <c r="E154" s="2" t="s">
        <v>131</v>
      </c>
      <c r="F154" s="2" t="s">
        <v>159</v>
      </c>
      <c r="G154" s="2" t="s">
        <v>145</v>
      </c>
      <c r="H154" s="2" t="s">
        <v>134</v>
      </c>
      <c r="I154" s="2">
        <v>24</v>
      </c>
      <c r="J154" s="2">
        <v>494500</v>
      </c>
      <c r="K154" s="2">
        <v>18.309999999999999</v>
      </c>
      <c r="L154" s="2">
        <v>24762</v>
      </c>
      <c r="M154" s="2">
        <v>570462</v>
      </c>
      <c r="N154" s="2">
        <v>690</v>
      </c>
      <c r="O154" s="2" t="s">
        <v>140</v>
      </c>
      <c r="P154" s="2">
        <v>0.52</v>
      </c>
      <c r="Q154" s="2">
        <v>0.79</v>
      </c>
      <c r="R154" s="2">
        <v>0</v>
      </c>
      <c r="S154" s="2">
        <v>24</v>
      </c>
      <c r="T154" s="2">
        <v>532141</v>
      </c>
      <c r="U154" s="2">
        <v>34793</v>
      </c>
      <c r="V154" s="2">
        <v>0</v>
      </c>
      <c r="W154" s="2">
        <v>0</v>
      </c>
      <c r="X154" s="2">
        <v>0</v>
      </c>
      <c r="Y154" s="2" t="s">
        <v>141</v>
      </c>
      <c r="Z154" s="12">
        <f>SUMIF(Table1[product],Table1[[#This Row],[product]],Table1[loan_amount])</f>
        <v>74897600</v>
      </c>
      <c r="AA154" s="15">
        <f>SUMIF(Table1[region],Table1[[#This Row],[region]],Table1[current_balance])</f>
        <v>98928695</v>
      </c>
      <c r="AB154" s="2">
        <f>COUNTIF(Table1[loan_status],Table1[[#This Row],[loan_status]])</f>
        <v>139</v>
      </c>
      <c r="AC154" s="2">
        <f>COUNTIF(Table1[default_flag],1)/ROWS(Table1[loan_id])</f>
        <v>2.5999999999999999E-2</v>
      </c>
      <c r="AD154" s="2">
        <f>COUNTIFS(Table1[region],Table1[[#This Row],[region]],Table1[default_flag],1)/COUNTIF(Table1[region],Table1[[#This Row],[region]])</f>
        <v>2.8571428571428571E-2</v>
      </c>
      <c r="AE154" s="2">
        <f>COUNTIFS(Table1[channel],Table1[[#This Row],[channel]],Table1[prepayment_flag],1)/COUNTIF(Table1[channel],Table1[[#This Row],[channel]])</f>
        <v>0.1</v>
      </c>
      <c r="AF154" s="2">
        <f>AVERAGEIFS(Table1[interest_rate_pct],Table1[product],Table1[[#This Row],[product]],Table1[risk_band],Table1[[#This Row],[risk_band]])</f>
        <v>18.603181818181817</v>
      </c>
      <c r="AG154" s="2" t="str" cm="1">
        <f t="array" ref="AG154">_xlfn.IFS(Table1[[#This Row],[dti_ratio]] &lt; 0.2, " less than 0.2", Table1[[#This Row],[dti_ratio]] &lt; 0.3, "0.2 - 0.3", Table1[[#This Row],[dti_ratio]] &lt;= 0.5, "0.35 - 0.5", Table1[[#This Row],[dti_ratio]] &gt; 0.5, "greater than 0.5")</f>
        <v>greater than 0.5</v>
      </c>
      <c r="AH154" s="2">
        <f>COUNTIF(Table1[DTI band],Table1[[#This Row],[DTI band]])</f>
        <v>32</v>
      </c>
      <c r="AI154" s="2" t="str" cm="1">
        <f t="array" ref="AI154">_xlfn.IFS(Table1[[#This Row],[ltv_ratio]] &lt; 0.6, "less than 0.6 -less risky", Table1[[#This Row],[ltv_ratio]]  &lt;= 0.8, "0.6 - 0.8 -medium risky",Table1[[#This Row],[ltv_ratio]] &gt; 0.8, "greater than 0.8 -highly risky")</f>
        <v>0.6 - 0.8 -medium risky</v>
      </c>
      <c r="AJ154" s="2">
        <f>COUNTIF(Table1[LTV band],Table1[[#This Row],[LTV band]])</f>
        <v>302</v>
      </c>
      <c r="AK154" s="2">
        <f>COUNTIFS(Table1[count_loan_perband],Table1[[#This Row],[count_loan_perband]],Table1[default_flag],1)/COUNTIF(Table1[count_loan_perband],Table1[[#This Row],[count_loan_perband]])</f>
        <v>3.6423841059602648E-2</v>
      </c>
      <c r="AL154" s="2" t="str" cm="1">
        <f t="array" ref="AL154">_xlfn.IFS(Table1[[#This Row],[loan_amount]] &lt; 900000, "lower size (&lt; 9L)", Table1[[#This Row],[loan_amount]] &lt;=3300000, "medium size (&lt;=33L)", Table1[[#This Row],[loan_amount]] &gt; 3300000, "larger size (&gt; 33L)")</f>
        <v>lower size (&lt; 9L)</v>
      </c>
      <c r="AM154" s="2">
        <f>IF(Table1[[#This Row],[dpd]] &gt;=30,1,0)</f>
        <v>0</v>
      </c>
      <c r="AN154" s="2">
        <f>COUNTIFS(Table1[Loan size],Table1[[#This Row],[Loan size]],Table1[dpd flag],1)/COUNTIF(Table1[Loan size],Table1[[#This Row],[Loan size]])</f>
        <v>0.13934426229508196</v>
      </c>
      <c r="AO154" s="2" t="str">
        <f>IF(OR(Table1[[#This Row],[credit_score]] &lt; 600, Table1[ [#This Row],[dti_ratio] ] &gt; 0.5, Table1[[#This Row],[dpd]] &gt;=30), "high risk", " not riskY")</f>
        <v>high risk</v>
      </c>
      <c r="AP154" s="26">
        <f>EOMONTH(Table1[[#This Row],[origination_date]],0)</f>
        <v>44712</v>
      </c>
      <c r="AQ154" s="2">
        <f>SUMIFS(Table1[loan_amount],Table1[origination month],Table1[[#This Row],[origination month]])</f>
        <v>10302800</v>
      </c>
      <c r="AR154" s="2">
        <f>AVERAGEIFS(Table1[months_on_book],Table1[product],Table1[[#This Row],[product]])</f>
        <v>21.092024539877301</v>
      </c>
      <c r="AS154" s="2" t="str">
        <f ca="1">IF(EDATE(Table1[[#This Row],[origination_date]],6) &gt;= TODAY(), "New Loan", "Old Loan")</f>
        <v>Old Loan</v>
      </c>
      <c r="AT154" s="2" t="str">
        <f>"Q"&amp;ROUNDUP(MONTH(Table1[[#This Row],[origination_date]])/3,0)&amp;YEAR(Table1[[#This Row],[origination_date]])</f>
        <v>Q22022</v>
      </c>
      <c r="AU154" s="2">
        <f>SUMIFS(Table1[loan_amount],Table1[quarter],Table1[[#This Row],[quarter]])</f>
        <v>45395100</v>
      </c>
      <c r="AV154" s="34" t="str">
        <f>_xlfn.TEXTJOIN("|",TRUE,Table1[[#This Row],[loan_id]:[loan_status]])</f>
        <v>L49565221|C5300895|44682|Personal Loan|Partner|Central|Salaried|24|494500|18.31|24762|570462|690|C|0.52|0.79|0|24|532141|34793|0|0|0|Closed</v>
      </c>
      <c r="AW154" s="42">
        <f>YEAR(Loan_Table[ [#This Row],[origination_date] ])</f>
        <v>2022</v>
      </c>
    </row>
    <row r="155" spans="2:49" ht="18" customHeight="1">
      <c r="B155" s="5" t="s">
        <v>430</v>
      </c>
      <c r="C155" s="2" t="s">
        <v>431</v>
      </c>
      <c r="D155" s="3">
        <v>44657</v>
      </c>
      <c r="E155" s="2" t="s">
        <v>163</v>
      </c>
      <c r="F155" s="2" t="s">
        <v>144</v>
      </c>
      <c r="G155" s="2" t="s">
        <v>151</v>
      </c>
      <c r="H155" s="2" t="s">
        <v>134</v>
      </c>
      <c r="I155" s="2">
        <v>48</v>
      </c>
      <c r="J155" s="2">
        <v>1417500</v>
      </c>
      <c r="K155" s="2">
        <v>15.38</v>
      </c>
      <c r="L155" s="2">
        <v>39724</v>
      </c>
      <c r="M155" s="2">
        <v>1166752</v>
      </c>
      <c r="N155" s="2">
        <v>650</v>
      </c>
      <c r="O155" s="2" t="s">
        <v>140</v>
      </c>
      <c r="P155" s="2">
        <v>0.46</v>
      </c>
      <c r="Q155" s="2">
        <v>0.84</v>
      </c>
      <c r="R155" s="2">
        <v>1694000</v>
      </c>
      <c r="S155" s="2">
        <v>44</v>
      </c>
      <c r="T155" s="2">
        <v>1528866</v>
      </c>
      <c r="U155" s="2">
        <v>208384</v>
      </c>
      <c r="V155" s="2">
        <v>0</v>
      </c>
      <c r="W155" s="2">
        <v>0</v>
      </c>
      <c r="X155" s="2">
        <v>0</v>
      </c>
      <c r="Y155" s="2" t="s">
        <v>148</v>
      </c>
      <c r="Z155" s="12">
        <f>SUMIF(Table1[product],Table1[[#This Row],[product]],Table1[loan_amount])</f>
        <v>92273000</v>
      </c>
      <c r="AA155" s="15">
        <f>SUMIF(Table1[region],Table1[[#This Row],[region]],Table1[current_balance])</f>
        <v>105779369</v>
      </c>
      <c r="AB155" s="2">
        <f>COUNTIF(Table1[loan_status],Table1[[#This Row],[loan_status]])</f>
        <v>301</v>
      </c>
      <c r="AC155" s="2">
        <f>COUNTIF(Table1[default_flag],1)/ROWS(Table1[loan_id])</f>
        <v>2.5999999999999999E-2</v>
      </c>
      <c r="AD155" s="2">
        <f>COUNTIFS(Table1[region],Table1[[#This Row],[region]],Table1[default_flag],1)/COUNTIF(Table1[region],Table1[[#This Row],[region]])</f>
        <v>2.6548672566371681E-2</v>
      </c>
      <c r="AE155" s="2">
        <f>COUNTIFS(Table1[channel],Table1[[#This Row],[channel]],Table1[prepayment_flag],1)/COUNTIF(Table1[channel],Table1[[#This Row],[channel]])</f>
        <v>5.8201058201058198E-2</v>
      </c>
      <c r="AF155" s="2">
        <f>AVERAGEIFS(Table1[interest_rate_pct],Table1[product],Table1[[#This Row],[product]],Table1[risk_band],Table1[[#This Row],[risk_band]])</f>
        <v>13.246500000000001</v>
      </c>
      <c r="AG155" s="2" t="str" cm="1">
        <f t="array" ref="AG155">_xlfn.IFS(Table1[[#This Row],[dti_ratio]] &lt; 0.2, " less than 0.2", Table1[[#This Row],[dti_ratio]] &lt; 0.3, "0.2 - 0.3", Table1[[#This Row],[dti_ratio]] &lt;= 0.5, "0.35 - 0.5", Table1[[#This Row],[dti_ratio]] &gt; 0.5, "greater than 0.5")</f>
        <v>0.35 - 0.5</v>
      </c>
      <c r="AH155" s="2">
        <f>COUNTIF(Table1[DTI band],Table1[[#This Row],[DTI band]])</f>
        <v>260</v>
      </c>
      <c r="AI155" s="2" t="str" cm="1">
        <f t="array" ref="AI155">_xlfn.IFS(Table1[[#This Row],[ltv_ratio]] &lt; 0.6, "less than 0.6 -less risky", Table1[[#This Row],[ltv_ratio]]  &lt;= 0.8, "0.6 - 0.8 -medium risky",Table1[[#This Row],[ltv_ratio]] &gt; 0.8, "greater than 0.8 -highly risky")</f>
        <v>greater than 0.8 -highly risky</v>
      </c>
      <c r="AJ155" s="2">
        <f>COUNTIF(Table1[LTV band],Table1[[#This Row],[LTV band]])</f>
        <v>141</v>
      </c>
      <c r="AK155" s="2">
        <f>COUNTIFS(Table1[count_loan_perband],Table1[[#This Row],[count_loan_perband]],Table1[default_flag],1)/COUNTIF(Table1[count_loan_perband],Table1[[#This Row],[count_loan_perband]])</f>
        <v>1.4184397163120567E-2</v>
      </c>
      <c r="AL155" s="2" t="str" cm="1">
        <f t="array" ref="AL155">_xlfn.IFS(Table1[[#This Row],[loan_amount]] &lt; 900000, "lower size (&lt; 9L)", Table1[[#This Row],[loan_amount]] &lt;=3300000, "medium size (&lt;=33L)", Table1[[#This Row],[loan_amount]] &gt; 3300000, "larger size (&gt; 33L)")</f>
        <v>medium size (&lt;=33L)</v>
      </c>
      <c r="AM155" s="2">
        <f>IF(Table1[[#This Row],[dpd]] &gt;=30,1,0)</f>
        <v>0</v>
      </c>
      <c r="AN155" s="2">
        <f>COUNTIFS(Table1[Loan size],Table1[[#This Row],[Loan size]],Table1[dpd flag],1)/COUNTIF(Table1[Loan size],Table1[[#This Row],[Loan size]])</f>
        <v>0.15909090909090909</v>
      </c>
      <c r="AO155" s="2" t="str">
        <f>IF(OR(Table1[[#This Row],[credit_score]] &lt; 600, Table1[ [#This Row],[dti_ratio] ] &gt; 0.5, Table1[[#This Row],[dpd]] &gt;=30), "high risk", " not riskY")</f>
        <v xml:space="preserve"> not riskY</v>
      </c>
      <c r="AP155" s="26">
        <f>EOMONTH(Table1[[#This Row],[origination_date]],0)</f>
        <v>44681</v>
      </c>
      <c r="AQ155" s="2">
        <f>SUMIFS(Table1[loan_amount],Table1[origination month],Table1[[#This Row],[origination month]])</f>
        <v>23903900</v>
      </c>
      <c r="AR155" s="2">
        <f>AVERAGEIFS(Table1[months_on_book],Table1[product],Table1[[#This Row],[product]])</f>
        <v>20.262135922330096</v>
      </c>
      <c r="AS155" s="2" t="str">
        <f ca="1">IF(EDATE(Table1[[#This Row],[origination_date]],6) &gt;= TODAY(), "New Loan", "Old Loan")</f>
        <v>Old Loan</v>
      </c>
      <c r="AT155" s="2" t="str">
        <f>"Q"&amp;ROUNDUP(MONTH(Table1[[#This Row],[origination_date]])/3,0)&amp;YEAR(Table1[[#This Row],[origination_date]])</f>
        <v>Q22022</v>
      </c>
      <c r="AU155" s="2">
        <f>SUMIFS(Table1[loan_amount],Table1[quarter],Table1[[#This Row],[quarter]])</f>
        <v>45395100</v>
      </c>
      <c r="AV155" s="34" t="str">
        <f>_xlfn.TEXTJOIN("|",TRUE,Table1[[#This Row],[loan_id]:[loan_status]])</f>
        <v>L50541359|C6196740|44657|Auto Loan|Branch|North|Salaried|48|1417500|15.38|39724|1166752|650|C|0.46|0.84|1694000|44|1528866|208384|0|0|0|Active</v>
      </c>
      <c r="AW155" s="42">
        <f>YEAR(Loan_Table[ [#This Row],[origination_date] ])</f>
        <v>2022</v>
      </c>
    </row>
    <row r="156" spans="2:49" ht="18" customHeight="1">
      <c r="B156" s="5" t="s">
        <v>432</v>
      </c>
      <c r="C156" s="2" t="s">
        <v>433</v>
      </c>
      <c r="D156" s="3">
        <v>44679</v>
      </c>
      <c r="E156" s="2" t="s">
        <v>163</v>
      </c>
      <c r="F156" s="2" t="s">
        <v>144</v>
      </c>
      <c r="G156" s="2" t="s">
        <v>151</v>
      </c>
      <c r="H156" s="2" t="s">
        <v>134</v>
      </c>
      <c r="I156" s="2">
        <v>360</v>
      </c>
      <c r="J156" s="2">
        <v>1240600</v>
      </c>
      <c r="K156" s="2">
        <v>7</v>
      </c>
      <c r="L156" s="2">
        <v>8254</v>
      </c>
      <c r="M156" s="2">
        <v>600566</v>
      </c>
      <c r="N156" s="2">
        <v>850</v>
      </c>
      <c r="O156" s="2" t="s">
        <v>160</v>
      </c>
      <c r="P156" s="2">
        <v>0.44</v>
      </c>
      <c r="Q156" s="2">
        <v>0.74</v>
      </c>
      <c r="R156" s="2">
        <v>1673500</v>
      </c>
      <c r="S156" s="2">
        <v>44</v>
      </c>
      <c r="T156" s="2">
        <v>343347</v>
      </c>
      <c r="U156" s="2">
        <v>1024621</v>
      </c>
      <c r="V156" s="2">
        <v>0</v>
      </c>
      <c r="W156" s="2">
        <v>0</v>
      </c>
      <c r="X156" s="2">
        <v>0</v>
      </c>
      <c r="Y156" s="2" t="s">
        <v>148</v>
      </c>
      <c r="Z156" s="12">
        <f>SUMIF(Table1[product],Table1[[#This Row],[product]],Table1[loan_amount])</f>
        <v>92273000</v>
      </c>
      <c r="AA156" s="15">
        <f>SUMIF(Table1[region],Table1[[#This Row],[region]],Table1[current_balance])</f>
        <v>105779369</v>
      </c>
      <c r="AB156" s="2">
        <f>COUNTIF(Table1[loan_status],Table1[[#This Row],[loan_status]])</f>
        <v>301</v>
      </c>
      <c r="AC156" s="2">
        <f>COUNTIF(Table1[default_flag],1)/ROWS(Table1[loan_id])</f>
        <v>2.5999999999999999E-2</v>
      </c>
      <c r="AD156" s="2">
        <f>COUNTIFS(Table1[region],Table1[[#This Row],[region]],Table1[default_flag],1)/COUNTIF(Table1[region],Table1[[#This Row],[region]])</f>
        <v>2.6548672566371681E-2</v>
      </c>
      <c r="AE156" s="2">
        <f>COUNTIFS(Table1[channel],Table1[[#This Row],[channel]],Table1[prepayment_flag],1)/COUNTIF(Table1[channel],Table1[[#This Row],[channel]])</f>
        <v>5.8201058201058198E-2</v>
      </c>
      <c r="AF156" s="2">
        <f>AVERAGEIFS(Table1[interest_rate_pct],Table1[product],Table1[[#This Row],[product]],Table1[risk_band],Table1[[#This Row],[risk_band]])</f>
        <v>7.9444999999999997</v>
      </c>
      <c r="AG156" s="2" t="str" cm="1">
        <f t="array" ref="AG156">_xlfn.IFS(Table1[[#This Row],[dti_ratio]] &lt; 0.2, " less than 0.2", Table1[[#This Row],[dti_ratio]] &lt; 0.3, "0.2 - 0.3", Table1[[#This Row],[dti_ratio]] &lt;= 0.5, "0.35 - 0.5", Table1[[#This Row],[dti_ratio]] &gt; 0.5, "greater than 0.5")</f>
        <v>0.35 - 0.5</v>
      </c>
      <c r="AH156" s="2">
        <f>COUNTIF(Table1[DTI band],Table1[[#This Row],[DTI band]])</f>
        <v>260</v>
      </c>
      <c r="AI156" s="2" t="str" cm="1">
        <f t="array" ref="AI156">_xlfn.IFS(Table1[[#This Row],[ltv_ratio]] &lt; 0.6, "less than 0.6 -less risky", Table1[[#This Row],[ltv_ratio]]  &lt;= 0.8, "0.6 - 0.8 -medium risky",Table1[[#This Row],[ltv_ratio]] &gt; 0.8, "greater than 0.8 -highly risky")</f>
        <v>0.6 - 0.8 -medium risky</v>
      </c>
      <c r="AJ156" s="2">
        <f>COUNTIF(Table1[LTV band],Table1[[#This Row],[LTV band]])</f>
        <v>302</v>
      </c>
      <c r="AK156" s="2">
        <f>COUNTIFS(Table1[count_loan_perband],Table1[[#This Row],[count_loan_perband]],Table1[default_flag],1)/COUNTIF(Table1[count_loan_perband],Table1[[#This Row],[count_loan_perband]])</f>
        <v>3.6423841059602648E-2</v>
      </c>
      <c r="AL156" s="2" t="str" cm="1">
        <f t="array" ref="AL156">_xlfn.IFS(Table1[[#This Row],[loan_amount]] &lt; 900000, "lower size (&lt; 9L)", Table1[[#This Row],[loan_amount]] &lt;=3300000, "medium size (&lt;=33L)", Table1[[#This Row],[loan_amount]] &gt; 3300000, "larger size (&gt; 33L)")</f>
        <v>medium size (&lt;=33L)</v>
      </c>
      <c r="AM156" s="2">
        <f>IF(Table1[[#This Row],[dpd]] &gt;=30,1,0)</f>
        <v>0</v>
      </c>
      <c r="AN156" s="2">
        <f>COUNTIFS(Table1[Loan size],Table1[[#This Row],[Loan size]],Table1[dpd flag],1)/COUNTIF(Table1[Loan size],Table1[[#This Row],[Loan size]])</f>
        <v>0.15909090909090909</v>
      </c>
      <c r="AO156" s="2" t="str">
        <f>IF(OR(Table1[[#This Row],[credit_score]] &lt; 600, Table1[ [#This Row],[dti_ratio] ] &gt; 0.5, Table1[[#This Row],[dpd]] &gt;=30), "high risk", " not riskY")</f>
        <v xml:space="preserve"> not riskY</v>
      </c>
      <c r="AP156" s="26">
        <f>EOMONTH(Table1[[#This Row],[origination_date]],0)</f>
        <v>44681</v>
      </c>
      <c r="AQ156" s="2">
        <f>SUMIFS(Table1[loan_amount],Table1[origination month],Table1[[#This Row],[origination month]])</f>
        <v>23903900</v>
      </c>
      <c r="AR156" s="2">
        <f>AVERAGEIFS(Table1[months_on_book],Table1[product],Table1[[#This Row],[product]])</f>
        <v>20.262135922330096</v>
      </c>
      <c r="AS156" s="2" t="str">
        <f ca="1">IF(EDATE(Table1[[#This Row],[origination_date]],6) &gt;= TODAY(), "New Loan", "Old Loan")</f>
        <v>Old Loan</v>
      </c>
      <c r="AT156" s="2" t="str">
        <f>"Q"&amp;ROUNDUP(MONTH(Table1[[#This Row],[origination_date]])/3,0)&amp;YEAR(Table1[[#This Row],[origination_date]])</f>
        <v>Q22022</v>
      </c>
      <c r="AU156" s="2">
        <f>SUMIFS(Table1[loan_amount],Table1[quarter],Table1[[#This Row],[quarter]])</f>
        <v>45395100</v>
      </c>
      <c r="AV156" s="34" t="str">
        <f>_xlfn.TEXTJOIN("|",TRUE,Table1[[#This Row],[loan_id]:[loan_status]])</f>
        <v>L77374721|C9713765|44679|Auto Loan|Branch|North|Salaried|360|1240600|7|8254|600566|850|A|0.44|0.74|1673500|44|343347|1024621|0|0|0|Active</v>
      </c>
      <c r="AW156" s="42">
        <f>YEAR(Loan_Table[ [#This Row],[origination_date] ])</f>
        <v>2022</v>
      </c>
    </row>
    <row r="157" spans="2:49" ht="18" customHeight="1">
      <c r="B157" s="5" t="s">
        <v>434</v>
      </c>
      <c r="C157" s="2" t="s">
        <v>435</v>
      </c>
      <c r="D157" s="3">
        <v>44733</v>
      </c>
      <c r="E157" s="2" t="s">
        <v>131</v>
      </c>
      <c r="F157" s="2" t="s">
        <v>132</v>
      </c>
      <c r="G157" s="2" t="s">
        <v>151</v>
      </c>
      <c r="H157" s="2" t="s">
        <v>146</v>
      </c>
      <c r="I157" s="2">
        <v>360</v>
      </c>
      <c r="J157" s="2">
        <v>592900</v>
      </c>
      <c r="K157" s="2">
        <v>22.17</v>
      </c>
      <c r="L157" s="2">
        <v>10969</v>
      </c>
      <c r="M157" s="2">
        <v>709676</v>
      </c>
      <c r="N157" s="2">
        <v>624</v>
      </c>
      <c r="O157" s="2" t="s">
        <v>147</v>
      </c>
      <c r="P157" s="2">
        <v>0.44</v>
      </c>
      <c r="Q157" s="2">
        <v>0.81</v>
      </c>
      <c r="R157" s="2">
        <v>0</v>
      </c>
      <c r="S157" s="2">
        <v>42</v>
      </c>
      <c r="T157" s="2">
        <v>445879</v>
      </c>
      <c r="U157" s="2">
        <v>331045</v>
      </c>
      <c r="V157" s="2">
        <v>0</v>
      </c>
      <c r="W157" s="2">
        <v>0</v>
      </c>
      <c r="X157" s="2">
        <v>0</v>
      </c>
      <c r="Y157" s="2" t="s">
        <v>148</v>
      </c>
      <c r="Z157" s="12">
        <f>SUMIF(Table1[product],Table1[[#This Row],[product]],Table1[loan_amount])</f>
        <v>74897600</v>
      </c>
      <c r="AA157" s="15">
        <f>SUMIF(Table1[region],Table1[[#This Row],[region]],Table1[current_balance])</f>
        <v>105779369</v>
      </c>
      <c r="AB157" s="2">
        <f>COUNTIF(Table1[loan_status],Table1[[#This Row],[loan_status]])</f>
        <v>301</v>
      </c>
      <c r="AC157" s="2">
        <f>COUNTIF(Table1[default_flag],1)/ROWS(Table1[loan_id])</f>
        <v>2.5999999999999999E-2</v>
      </c>
      <c r="AD157" s="2">
        <f>COUNTIFS(Table1[region],Table1[[#This Row],[region]],Table1[default_flag],1)/COUNTIF(Table1[region],Table1[[#This Row],[region]])</f>
        <v>2.6548672566371681E-2</v>
      </c>
      <c r="AE157" s="2">
        <f>COUNTIFS(Table1[channel],Table1[[#This Row],[channel]],Table1[prepayment_flag],1)/COUNTIF(Table1[channel],Table1[[#This Row],[channel]])</f>
        <v>7.1090047393364927E-2</v>
      </c>
      <c r="AF157" s="2">
        <f>AVERAGEIFS(Table1[interest_rate_pct],Table1[product],Table1[[#This Row],[product]],Table1[risk_band],Table1[[#This Row],[risk_band]])</f>
        <v>20.962592592592593</v>
      </c>
      <c r="AG157" s="2" t="str" cm="1">
        <f t="array" ref="AG157">_xlfn.IFS(Table1[[#This Row],[dti_ratio]] &lt; 0.2, " less than 0.2", Table1[[#This Row],[dti_ratio]] &lt; 0.3, "0.2 - 0.3", Table1[[#This Row],[dti_ratio]] &lt;= 0.5, "0.35 - 0.5", Table1[[#This Row],[dti_ratio]] &gt; 0.5, "greater than 0.5")</f>
        <v>0.35 - 0.5</v>
      </c>
      <c r="AH157" s="2">
        <f>COUNTIF(Table1[DTI band],Table1[[#This Row],[DTI band]])</f>
        <v>260</v>
      </c>
      <c r="AI157" s="2" t="str" cm="1">
        <f t="array" ref="AI157">_xlfn.IFS(Table1[[#This Row],[ltv_ratio]] &lt; 0.6, "less than 0.6 -less risky", Table1[[#This Row],[ltv_ratio]]  &lt;= 0.8, "0.6 - 0.8 -medium risky",Table1[[#This Row],[ltv_ratio]] &gt; 0.8, "greater than 0.8 -highly risky")</f>
        <v>greater than 0.8 -highly risky</v>
      </c>
      <c r="AJ157" s="2">
        <f>COUNTIF(Table1[LTV band],Table1[[#This Row],[LTV band]])</f>
        <v>141</v>
      </c>
      <c r="AK157" s="2">
        <f>COUNTIFS(Table1[count_loan_perband],Table1[[#This Row],[count_loan_perband]],Table1[default_flag],1)/COUNTIF(Table1[count_loan_perband],Table1[[#This Row],[count_loan_perband]])</f>
        <v>1.4184397163120567E-2</v>
      </c>
      <c r="AL157" s="2" t="str" cm="1">
        <f t="array" ref="AL157">_xlfn.IFS(Table1[[#This Row],[loan_amount]] &lt; 900000, "lower size (&lt; 9L)", Table1[[#This Row],[loan_amount]] &lt;=3300000, "medium size (&lt;=33L)", Table1[[#This Row],[loan_amount]] &gt; 3300000, "larger size (&gt; 33L)")</f>
        <v>lower size (&lt; 9L)</v>
      </c>
      <c r="AM157" s="2">
        <f>IF(Table1[[#This Row],[dpd]] &gt;=30,1,0)</f>
        <v>0</v>
      </c>
      <c r="AN157" s="2">
        <f>COUNTIFS(Table1[Loan size],Table1[[#This Row],[Loan size]],Table1[dpd flag],1)/COUNTIF(Table1[Loan size],Table1[[#This Row],[Loan size]])</f>
        <v>0.13934426229508196</v>
      </c>
      <c r="AO157" s="2" t="str">
        <f>IF(OR(Table1[[#This Row],[credit_score]] &lt; 600, Table1[ [#This Row],[dti_ratio] ] &gt; 0.5, Table1[[#This Row],[dpd]] &gt;=30), "high risk", " not riskY")</f>
        <v xml:space="preserve"> not riskY</v>
      </c>
      <c r="AP157" s="26">
        <f>EOMONTH(Table1[[#This Row],[origination_date]],0)</f>
        <v>44742</v>
      </c>
      <c r="AQ157" s="2">
        <f>SUMIFS(Table1[loan_amount],Table1[origination month],Table1[[#This Row],[origination month]])</f>
        <v>11188400</v>
      </c>
      <c r="AR157" s="2">
        <f>AVERAGEIFS(Table1[months_on_book],Table1[product],Table1[[#This Row],[product]])</f>
        <v>21.092024539877301</v>
      </c>
      <c r="AS157" s="2" t="str">
        <f ca="1">IF(EDATE(Table1[[#This Row],[origination_date]],6) &gt;= TODAY(), "New Loan", "Old Loan")</f>
        <v>Old Loan</v>
      </c>
      <c r="AT157" s="2" t="str">
        <f>"Q"&amp;ROUNDUP(MONTH(Table1[[#This Row],[origination_date]])/3,0)&amp;YEAR(Table1[[#This Row],[origination_date]])</f>
        <v>Q22022</v>
      </c>
      <c r="AU157" s="2">
        <f>SUMIFS(Table1[loan_amount],Table1[quarter],Table1[[#This Row],[quarter]])</f>
        <v>45395100</v>
      </c>
      <c r="AV157" s="34" t="str">
        <f>_xlfn.TEXTJOIN("|",TRUE,Table1[[#This Row],[loan_id]:[loan_status]])</f>
        <v>L69572486|C7896551|44733|Personal Loan|Online|North|Contract|360|592900|22.17|10969|709676|624|D|0.44|0.81|0|42|445879|331045|0|0|0|Active</v>
      </c>
      <c r="AW157" s="42">
        <f>YEAR(Loan_Table[ [#This Row],[origination_date] ])</f>
        <v>2022</v>
      </c>
    </row>
    <row r="158" spans="2:49" ht="18" customHeight="1">
      <c r="B158" s="5" t="s">
        <v>436</v>
      </c>
      <c r="C158" s="2" t="s">
        <v>437</v>
      </c>
      <c r="D158" s="3">
        <v>44739</v>
      </c>
      <c r="E158" s="2" t="s">
        <v>131</v>
      </c>
      <c r="F158" s="2" t="s">
        <v>213</v>
      </c>
      <c r="G158" s="2" t="s">
        <v>133</v>
      </c>
      <c r="H158" s="2" t="s">
        <v>152</v>
      </c>
      <c r="I158" s="2">
        <v>360</v>
      </c>
      <c r="J158" s="2">
        <v>112400</v>
      </c>
      <c r="K158" s="2">
        <v>23.09</v>
      </c>
      <c r="L158" s="2">
        <v>2165</v>
      </c>
      <c r="M158" s="2">
        <v>822441</v>
      </c>
      <c r="N158" s="2">
        <v>593</v>
      </c>
      <c r="O158" s="2" t="s">
        <v>166</v>
      </c>
      <c r="P158" s="2">
        <v>0.39</v>
      </c>
      <c r="Q158" s="2">
        <v>0.75</v>
      </c>
      <c r="R158" s="2">
        <v>0</v>
      </c>
      <c r="S158" s="2">
        <v>42</v>
      </c>
      <c r="T158" s="2">
        <v>80139</v>
      </c>
      <c r="U158" s="2">
        <v>68595</v>
      </c>
      <c r="V158" s="2">
        <v>5</v>
      </c>
      <c r="W158" s="2">
        <v>0</v>
      </c>
      <c r="X158" s="2">
        <v>0</v>
      </c>
      <c r="Y158" s="2" t="s">
        <v>148</v>
      </c>
      <c r="Z158" s="12">
        <f>SUMIF(Table1[product],Table1[[#This Row],[product]],Table1[loan_amount])</f>
        <v>74897600</v>
      </c>
      <c r="AA158" s="15">
        <f>SUMIF(Table1[region],Table1[[#This Row],[region]],Table1[current_balance])</f>
        <v>94548000</v>
      </c>
      <c r="AB158" s="2">
        <f>COUNTIF(Table1[loan_status],Table1[[#This Row],[loan_status]])</f>
        <v>301</v>
      </c>
      <c r="AC158" s="2">
        <f>COUNTIF(Table1[default_flag],1)/ROWS(Table1[loan_id])</f>
        <v>2.5999999999999999E-2</v>
      </c>
      <c r="AD158" s="2">
        <f>COUNTIFS(Table1[region],Table1[[#This Row],[region]],Table1[default_flag],1)/COUNTIF(Table1[region],Table1[[#This Row],[region]])</f>
        <v>0</v>
      </c>
      <c r="AE158" s="2">
        <f>COUNTIFS(Table1[channel],Table1[[#This Row],[channel]],Table1[prepayment_flag],1)/COUNTIF(Table1[channel],Table1[[#This Row],[channel]])</f>
        <v>0.12</v>
      </c>
      <c r="AF158" s="2">
        <f>AVERAGEIFS(Table1[interest_rate_pct],Table1[product],Table1[[#This Row],[product]],Table1[risk_band],Table1[[#This Row],[risk_band]])</f>
        <v>23.803750000000001</v>
      </c>
      <c r="AG158" s="2" t="str" cm="1">
        <f t="array" ref="AG158">_xlfn.IFS(Table1[[#This Row],[dti_ratio]] &lt; 0.2, " less than 0.2", Table1[[#This Row],[dti_ratio]] &lt; 0.3, "0.2 - 0.3", Table1[[#This Row],[dti_ratio]] &lt;= 0.5, "0.35 - 0.5", Table1[[#This Row],[dti_ratio]] &gt; 0.5, "greater than 0.5")</f>
        <v>0.35 - 0.5</v>
      </c>
      <c r="AH158" s="2">
        <f>COUNTIF(Table1[DTI band],Table1[[#This Row],[DTI band]])</f>
        <v>260</v>
      </c>
      <c r="AI158" s="2" t="str" cm="1">
        <f t="array" ref="AI158">_xlfn.IFS(Table1[[#This Row],[ltv_ratio]] &lt; 0.6, "less than 0.6 -less risky", Table1[[#This Row],[ltv_ratio]]  &lt;= 0.8, "0.6 - 0.8 -medium risky",Table1[[#This Row],[ltv_ratio]] &gt; 0.8, "greater than 0.8 -highly risky")</f>
        <v>0.6 - 0.8 -medium risky</v>
      </c>
      <c r="AJ158" s="2">
        <f>COUNTIF(Table1[LTV band],Table1[[#This Row],[LTV band]])</f>
        <v>302</v>
      </c>
      <c r="AK158" s="2">
        <f>COUNTIFS(Table1[count_loan_perband],Table1[[#This Row],[count_loan_perband]],Table1[default_flag],1)/COUNTIF(Table1[count_loan_perband],Table1[[#This Row],[count_loan_perband]])</f>
        <v>3.6423841059602648E-2</v>
      </c>
      <c r="AL158" s="2" t="str" cm="1">
        <f t="array" ref="AL158">_xlfn.IFS(Table1[[#This Row],[loan_amount]] &lt; 900000, "lower size (&lt; 9L)", Table1[[#This Row],[loan_amount]] &lt;=3300000, "medium size (&lt;=33L)", Table1[[#This Row],[loan_amount]] &gt; 3300000, "larger size (&gt; 33L)")</f>
        <v>lower size (&lt; 9L)</v>
      </c>
      <c r="AM158" s="2">
        <f>IF(Table1[[#This Row],[dpd]] &gt;=30,1,0)</f>
        <v>0</v>
      </c>
      <c r="AN158" s="2">
        <f>COUNTIFS(Table1[Loan size],Table1[[#This Row],[Loan size]],Table1[dpd flag],1)/COUNTIF(Table1[Loan size],Table1[[#This Row],[Loan size]])</f>
        <v>0.13934426229508196</v>
      </c>
      <c r="AO158" s="2" t="str">
        <f>IF(OR(Table1[[#This Row],[credit_score]] &lt; 600, Table1[ [#This Row],[dti_ratio] ] &gt; 0.5, Table1[[#This Row],[dpd]] &gt;=30), "high risk", " not riskY")</f>
        <v>high risk</v>
      </c>
      <c r="AP158" s="26">
        <f>EOMONTH(Table1[[#This Row],[origination_date]],0)</f>
        <v>44742</v>
      </c>
      <c r="AQ158" s="2">
        <f>SUMIFS(Table1[loan_amount],Table1[origination month],Table1[[#This Row],[origination month]])</f>
        <v>11188400</v>
      </c>
      <c r="AR158" s="2">
        <f>AVERAGEIFS(Table1[months_on_book],Table1[product],Table1[[#This Row],[product]])</f>
        <v>21.092024539877301</v>
      </c>
      <c r="AS158" s="2" t="str">
        <f ca="1">IF(EDATE(Table1[[#This Row],[origination_date]],6) &gt;= TODAY(), "New Loan", "Old Loan")</f>
        <v>Old Loan</v>
      </c>
      <c r="AT158" s="2" t="str">
        <f>"Q"&amp;ROUNDUP(MONTH(Table1[[#This Row],[origination_date]])/3,0)&amp;YEAR(Table1[[#This Row],[origination_date]])</f>
        <v>Q22022</v>
      </c>
      <c r="AU158" s="2">
        <f>SUMIFS(Table1[loan_amount],Table1[quarter],Table1[[#This Row],[quarter]])</f>
        <v>45395100</v>
      </c>
      <c r="AV158" s="34" t="str">
        <f>_xlfn.TEXTJOIN("|",TRUE,Table1[[#This Row],[loan_id]:[loan_status]])</f>
        <v>L69696821|C4002739|44739|Personal Loan|Call Center|South|Self-Employed|360|112400|23.09|2165|822441|593|E|0.39|0.75|0|42|80139|68595|5|0|0|Active</v>
      </c>
      <c r="AW158" s="42">
        <f>YEAR(Loan_Table[ [#This Row],[origination_date] ])</f>
        <v>2022</v>
      </c>
    </row>
    <row r="159" spans="2:49" ht="18" customHeight="1">
      <c r="B159" s="5" t="s">
        <v>438</v>
      </c>
      <c r="C159" s="2" t="s">
        <v>439</v>
      </c>
      <c r="D159" s="3">
        <v>44715</v>
      </c>
      <c r="E159" s="2" t="s">
        <v>163</v>
      </c>
      <c r="F159" s="2" t="s">
        <v>144</v>
      </c>
      <c r="G159" s="2" t="s">
        <v>151</v>
      </c>
      <c r="H159" s="2" t="s">
        <v>192</v>
      </c>
      <c r="I159" s="2">
        <v>36</v>
      </c>
      <c r="J159" s="2">
        <v>1254500</v>
      </c>
      <c r="K159" s="2">
        <v>8.4499999999999993</v>
      </c>
      <c r="L159" s="2">
        <v>39572</v>
      </c>
      <c r="M159" s="2">
        <v>1141872</v>
      </c>
      <c r="N159" s="2">
        <v>759</v>
      </c>
      <c r="O159" s="2" t="s">
        <v>160</v>
      </c>
      <c r="P159" s="2">
        <v>0.38</v>
      </c>
      <c r="Q159" s="2">
        <v>0.88</v>
      </c>
      <c r="R159" s="2">
        <v>1428800</v>
      </c>
      <c r="S159" s="2">
        <v>36</v>
      </c>
      <c r="T159" s="2">
        <v>1258582</v>
      </c>
      <c r="U159" s="2">
        <v>123124</v>
      </c>
      <c r="V159" s="2">
        <v>0</v>
      </c>
      <c r="W159" s="2">
        <v>0</v>
      </c>
      <c r="X159" s="2">
        <v>0</v>
      </c>
      <c r="Y159" s="2" t="s">
        <v>141</v>
      </c>
      <c r="Z159" s="12">
        <f>SUMIF(Table1[product],Table1[[#This Row],[product]],Table1[loan_amount])</f>
        <v>92273000</v>
      </c>
      <c r="AA159" s="15">
        <f>SUMIF(Table1[region],Table1[[#This Row],[region]],Table1[current_balance])</f>
        <v>105779369</v>
      </c>
      <c r="AB159" s="2">
        <f>COUNTIF(Table1[loan_status],Table1[[#This Row],[loan_status]])</f>
        <v>139</v>
      </c>
      <c r="AC159" s="2">
        <f>COUNTIF(Table1[default_flag],1)/ROWS(Table1[loan_id])</f>
        <v>2.5999999999999999E-2</v>
      </c>
      <c r="AD159" s="2">
        <f>COUNTIFS(Table1[region],Table1[[#This Row],[region]],Table1[default_flag],1)/COUNTIF(Table1[region],Table1[[#This Row],[region]])</f>
        <v>2.6548672566371681E-2</v>
      </c>
      <c r="AE159" s="2">
        <f>COUNTIFS(Table1[channel],Table1[[#This Row],[channel]],Table1[prepayment_flag],1)/COUNTIF(Table1[channel],Table1[[#This Row],[channel]])</f>
        <v>5.8201058201058198E-2</v>
      </c>
      <c r="AF159" s="2">
        <f>AVERAGEIFS(Table1[interest_rate_pct],Table1[product],Table1[[#This Row],[product]],Table1[risk_band],Table1[[#This Row],[risk_band]])</f>
        <v>7.9444999999999997</v>
      </c>
      <c r="AG159" s="2" t="str" cm="1">
        <f t="array" ref="AG159">_xlfn.IFS(Table1[[#This Row],[dti_ratio]] &lt; 0.2, " less than 0.2", Table1[[#This Row],[dti_ratio]] &lt; 0.3, "0.2 - 0.3", Table1[[#This Row],[dti_ratio]] &lt;= 0.5, "0.35 - 0.5", Table1[[#This Row],[dti_ratio]] &gt; 0.5, "greater than 0.5")</f>
        <v>0.35 - 0.5</v>
      </c>
      <c r="AH159" s="2">
        <f>COUNTIF(Table1[DTI band],Table1[[#This Row],[DTI band]])</f>
        <v>260</v>
      </c>
      <c r="AI159" s="2" t="str" cm="1">
        <f t="array" ref="AI159">_xlfn.IFS(Table1[[#This Row],[ltv_ratio]] &lt; 0.6, "less than 0.6 -less risky", Table1[[#This Row],[ltv_ratio]]  &lt;= 0.8, "0.6 - 0.8 -medium risky",Table1[[#This Row],[ltv_ratio]] &gt; 0.8, "greater than 0.8 -highly risky")</f>
        <v>greater than 0.8 -highly risky</v>
      </c>
      <c r="AJ159" s="2">
        <f>COUNTIF(Table1[LTV band],Table1[[#This Row],[LTV band]])</f>
        <v>141</v>
      </c>
      <c r="AK159" s="2">
        <f>COUNTIFS(Table1[count_loan_perband],Table1[[#This Row],[count_loan_perband]],Table1[default_flag],1)/COUNTIF(Table1[count_loan_perband],Table1[[#This Row],[count_loan_perband]])</f>
        <v>1.4184397163120567E-2</v>
      </c>
      <c r="AL159" s="2" t="str" cm="1">
        <f t="array" ref="AL159">_xlfn.IFS(Table1[[#This Row],[loan_amount]] &lt; 900000, "lower size (&lt; 9L)", Table1[[#This Row],[loan_amount]] &lt;=3300000, "medium size (&lt;=33L)", Table1[[#This Row],[loan_amount]] &gt; 3300000, "larger size (&gt; 33L)")</f>
        <v>medium size (&lt;=33L)</v>
      </c>
      <c r="AM159" s="2">
        <f>IF(Table1[[#This Row],[dpd]] &gt;=30,1,0)</f>
        <v>0</v>
      </c>
      <c r="AN159" s="2">
        <f>COUNTIFS(Table1[Loan size],Table1[[#This Row],[Loan size]],Table1[dpd flag],1)/COUNTIF(Table1[Loan size],Table1[[#This Row],[Loan size]])</f>
        <v>0.15909090909090909</v>
      </c>
      <c r="AO159" s="2" t="str">
        <f>IF(OR(Table1[[#This Row],[credit_score]] &lt; 600, Table1[ [#This Row],[dti_ratio] ] &gt; 0.5, Table1[[#This Row],[dpd]] &gt;=30), "high risk", " not riskY")</f>
        <v xml:space="preserve"> not riskY</v>
      </c>
      <c r="AP159" s="26">
        <f>EOMONTH(Table1[[#This Row],[origination_date]],0)</f>
        <v>44742</v>
      </c>
      <c r="AQ159" s="2">
        <f>SUMIFS(Table1[loan_amount],Table1[origination month],Table1[[#This Row],[origination month]])</f>
        <v>11188400</v>
      </c>
      <c r="AR159" s="2">
        <f>AVERAGEIFS(Table1[months_on_book],Table1[product],Table1[[#This Row],[product]])</f>
        <v>20.262135922330096</v>
      </c>
      <c r="AS159" s="2" t="str">
        <f ca="1">IF(EDATE(Table1[[#This Row],[origination_date]],6) &gt;= TODAY(), "New Loan", "Old Loan")</f>
        <v>Old Loan</v>
      </c>
      <c r="AT159" s="2" t="str">
        <f>"Q"&amp;ROUNDUP(MONTH(Table1[[#This Row],[origination_date]])/3,0)&amp;YEAR(Table1[[#This Row],[origination_date]])</f>
        <v>Q22022</v>
      </c>
      <c r="AU159" s="2">
        <f>SUMIFS(Table1[loan_amount],Table1[quarter],Table1[[#This Row],[quarter]])</f>
        <v>45395100</v>
      </c>
      <c r="AV159" s="34" t="str">
        <f>_xlfn.TEXTJOIN("|",TRUE,Table1[[#This Row],[loan_id]:[loan_status]])</f>
        <v>L37536096|C7491026|44715|Auto Loan|Branch|North|Unemployed|36|1254500|8.45|39572|1141872|759|A|0.38|0.88|1428800|36|1258582|123124|0|0|0|Closed</v>
      </c>
      <c r="AW159" s="42">
        <f>YEAR(Loan_Table[ [#This Row],[origination_date] ])</f>
        <v>2022</v>
      </c>
    </row>
    <row r="160" spans="2:49" ht="18" customHeight="1">
      <c r="B160" s="5" t="s">
        <v>440</v>
      </c>
      <c r="C160" s="2" t="s">
        <v>441</v>
      </c>
      <c r="D160" s="3">
        <v>44655</v>
      </c>
      <c r="E160" s="2" t="s">
        <v>169</v>
      </c>
      <c r="F160" s="2" t="s">
        <v>144</v>
      </c>
      <c r="G160" s="2" t="s">
        <v>151</v>
      </c>
      <c r="H160" s="2" t="s">
        <v>146</v>
      </c>
      <c r="I160" s="2">
        <v>84</v>
      </c>
      <c r="J160" s="2">
        <v>4069100</v>
      </c>
      <c r="K160" s="2">
        <v>12.31</v>
      </c>
      <c r="L160" s="2">
        <v>72507</v>
      </c>
      <c r="M160" s="2">
        <v>1182992</v>
      </c>
      <c r="N160" s="2">
        <v>658</v>
      </c>
      <c r="O160" s="2" t="s">
        <v>140</v>
      </c>
      <c r="P160" s="2">
        <v>0.36</v>
      </c>
      <c r="Q160" s="2">
        <v>0.57999999999999996</v>
      </c>
      <c r="R160" s="2">
        <v>7072500</v>
      </c>
      <c r="S160" s="2">
        <v>44</v>
      </c>
      <c r="T160" s="2">
        <v>3155765</v>
      </c>
      <c r="U160" s="2">
        <v>1647997</v>
      </c>
      <c r="V160" s="2">
        <v>0</v>
      </c>
      <c r="W160" s="2">
        <v>0</v>
      </c>
      <c r="X160" s="2">
        <v>0</v>
      </c>
      <c r="Y160" s="2" t="s">
        <v>148</v>
      </c>
      <c r="Z160" s="12">
        <f>SUMIF(Table1[product],Table1[[#This Row],[product]],Table1[loan_amount])</f>
        <v>403369500</v>
      </c>
      <c r="AA160" s="15">
        <f>SUMIF(Table1[region],Table1[[#This Row],[region]],Table1[current_balance])</f>
        <v>105779369</v>
      </c>
      <c r="AB160" s="2">
        <f>COUNTIF(Table1[loan_status],Table1[[#This Row],[loan_status]])</f>
        <v>301</v>
      </c>
      <c r="AC160" s="2">
        <f>COUNTIF(Table1[default_flag],1)/ROWS(Table1[loan_id])</f>
        <v>2.5999999999999999E-2</v>
      </c>
      <c r="AD160" s="2">
        <f>COUNTIFS(Table1[region],Table1[[#This Row],[region]],Table1[default_flag],1)/COUNTIF(Table1[region],Table1[[#This Row],[region]])</f>
        <v>2.6548672566371681E-2</v>
      </c>
      <c r="AE160" s="2">
        <f>COUNTIFS(Table1[channel],Table1[[#This Row],[channel]],Table1[prepayment_flag],1)/COUNTIF(Table1[channel],Table1[[#This Row],[channel]])</f>
        <v>5.8201058201058198E-2</v>
      </c>
      <c r="AF160" s="2">
        <f>AVERAGEIFS(Table1[interest_rate_pct],Table1[product],Table1[[#This Row],[product]],Table1[risk_band],Table1[[#This Row],[risk_band]])</f>
        <v>11.719736842105268</v>
      </c>
      <c r="AG160" s="2" t="str" cm="1">
        <f t="array" ref="AG160">_xlfn.IFS(Table1[[#This Row],[dti_ratio]] &lt; 0.2, " less than 0.2", Table1[[#This Row],[dti_ratio]] &lt; 0.3, "0.2 - 0.3", Table1[[#This Row],[dti_ratio]] &lt;= 0.5, "0.35 - 0.5", Table1[[#This Row],[dti_ratio]] &gt; 0.5, "greater than 0.5")</f>
        <v>0.35 - 0.5</v>
      </c>
      <c r="AH160" s="2">
        <f>COUNTIF(Table1[DTI band],Table1[[#This Row],[DTI band]])</f>
        <v>260</v>
      </c>
      <c r="AI160" s="2" t="str" cm="1">
        <f t="array" ref="AI160">_xlfn.IFS(Table1[[#This Row],[ltv_ratio]] &lt; 0.6, "less than 0.6 -less risky", Table1[[#This Row],[ltv_ratio]]  &lt;= 0.8, "0.6 - 0.8 -medium risky",Table1[[#This Row],[ltv_ratio]] &gt; 0.8, "greater than 0.8 -highly risky")</f>
        <v>less than 0.6 -less risky</v>
      </c>
      <c r="AJ160" s="2">
        <f>COUNTIF(Table1[LTV band],Table1[[#This Row],[LTV band]])</f>
        <v>57</v>
      </c>
      <c r="AK160" s="2">
        <f>COUNTIFS(Table1[count_loan_perband],Table1[[#This Row],[count_loan_perband]],Table1[default_flag],1)/COUNTIF(Table1[count_loan_perband],Table1[[#This Row],[count_loan_perband]])</f>
        <v>0</v>
      </c>
      <c r="AL160" s="2" t="str" cm="1">
        <f t="array" ref="AL160">_xlfn.IFS(Table1[[#This Row],[loan_amount]] &lt; 900000, "lower size (&lt; 9L)", Table1[[#This Row],[loan_amount]] &lt;=3300000, "medium size (&lt;=33L)", Table1[[#This Row],[loan_amount]] &gt; 3300000, "larger size (&gt; 33L)")</f>
        <v>larger size (&gt; 33L)</v>
      </c>
      <c r="AM160" s="2">
        <f>IF(Table1[[#This Row],[dpd]] &gt;=30,1,0)</f>
        <v>0</v>
      </c>
      <c r="AN160" s="2">
        <f>COUNTIFS(Table1[Loan size],Table1[[#This Row],[Loan size]],Table1[dpd flag],1)/COUNTIF(Table1[Loan size],Table1[[#This Row],[Loan size]])</f>
        <v>0.16250000000000001</v>
      </c>
      <c r="AO160" s="2" t="str">
        <f>IF(OR(Table1[[#This Row],[credit_score]] &lt; 600, Table1[ [#This Row],[dti_ratio] ] &gt; 0.5, Table1[[#This Row],[dpd]] &gt;=30), "high risk", " not riskY")</f>
        <v xml:space="preserve"> not riskY</v>
      </c>
      <c r="AP160" s="26">
        <f>EOMONTH(Table1[[#This Row],[origination_date]],0)</f>
        <v>44681</v>
      </c>
      <c r="AQ160" s="2">
        <f>SUMIFS(Table1[loan_amount],Table1[origination month],Table1[[#This Row],[origination month]])</f>
        <v>23903900</v>
      </c>
      <c r="AR160" s="2">
        <f>AVERAGEIFS(Table1[months_on_book],Table1[product],Table1[[#This Row],[product]])</f>
        <v>20.516129032258064</v>
      </c>
      <c r="AS160" s="2" t="str">
        <f ca="1">IF(EDATE(Table1[[#This Row],[origination_date]],6) &gt;= TODAY(), "New Loan", "Old Loan")</f>
        <v>Old Loan</v>
      </c>
      <c r="AT160" s="2" t="str">
        <f>"Q"&amp;ROUNDUP(MONTH(Table1[[#This Row],[origination_date]])/3,0)&amp;YEAR(Table1[[#This Row],[origination_date]])</f>
        <v>Q22022</v>
      </c>
      <c r="AU160" s="2">
        <f>SUMIFS(Table1[loan_amount],Table1[quarter],Table1[[#This Row],[quarter]])</f>
        <v>45395100</v>
      </c>
      <c r="AV160" s="34" t="str">
        <f>_xlfn.TEXTJOIN("|",TRUE,Table1[[#This Row],[loan_id]:[loan_status]])</f>
        <v>L59967823|C6498887|44655|Home Loan|Branch|North|Contract|84|4069100|12.31|72507|1182992|658|C|0.36|0.58|7072500|44|3155765|1647997|0|0|0|Active</v>
      </c>
      <c r="AW160" s="42">
        <f>YEAR(Loan_Table[ [#This Row],[origination_date] ])</f>
        <v>2022</v>
      </c>
    </row>
    <row r="161" spans="2:49" ht="18" customHeight="1">
      <c r="B161" s="5" t="s">
        <v>442</v>
      </c>
      <c r="C161" s="2" t="s">
        <v>443</v>
      </c>
      <c r="D161" s="3">
        <v>44707</v>
      </c>
      <c r="E161" s="2" t="s">
        <v>131</v>
      </c>
      <c r="F161" s="2" t="s">
        <v>144</v>
      </c>
      <c r="G161" s="2" t="s">
        <v>170</v>
      </c>
      <c r="H161" s="2" t="s">
        <v>134</v>
      </c>
      <c r="I161" s="2">
        <v>24</v>
      </c>
      <c r="J161" s="2">
        <v>501200</v>
      </c>
      <c r="K161" s="2">
        <v>18.72</v>
      </c>
      <c r="L161" s="2">
        <v>25197</v>
      </c>
      <c r="M161" s="2">
        <v>1038743</v>
      </c>
      <c r="N161" s="2">
        <v>672</v>
      </c>
      <c r="O161" s="2" t="s">
        <v>140</v>
      </c>
      <c r="P161" s="2">
        <v>0.36</v>
      </c>
      <c r="Q161" s="2">
        <v>0.56999999999999995</v>
      </c>
      <c r="R161" s="2">
        <v>0</v>
      </c>
      <c r="S161" s="2">
        <v>24</v>
      </c>
      <c r="T161" s="2">
        <v>530117</v>
      </c>
      <c r="U161" s="2">
        <v>46143</v>
      </c>
      <c r="V161" s="2">
        <v>0</v>
      </c>
      <c r="W161" s="2">
        <v>0</v>
      </c>
      <c r="X161" s="2">
        <v>0</v>
      </c>
      <c r="Y161" s="2" t="s">
        <v>141</v>
      </c>
      <c r="Z161" s="12">
        <f>SUMIF(Table1[product],Table1[[#This Row],[product]],Table1[loan_amount])</f>
        <v>74897600</v>
      </c>
      <c r="AA161" s="15">
        <f>SUMIF(Table1[region],Table1[[#This Row],[region]],Table1[current_balance])</f>
        <v>83297251</v>
      </c>
      <c r="AB161" s="2">
        <f>COUNTIF(Table1[loan_status],Table1[[#This Row],[loan_status]])</f>
        <v>139</v>
      </c>
      <c r="AC161" s="2">
        <f>COUNTIF(Table1[default_flag],1)/ROWS(Table1[loan_id])</f>
        <v>2.5999999999999999E-2</v>
      </c>
      <c r="AD161" s="2">
        <f>COUNTIFS(Table1[region],Table1[[#This Row],[region]],Table1[default_flag],1)/COUNTIF(Table1[region],Table1[[#This Row],[region]])</f>
        <v>3.1914893617021274E-2</v>
      </c>
      <c r="AE161" s="2">
        <f>COUNTIFS(Table1[channel],Table1[[#This Row],[channel]],Table1[prepayment_flag],1)/COUNTIF(Table1[channel],Table1[[#This Row],[channel]])</f>
        <v>5.8201058201058198E-2</v>
      </c>
      <c r="AF161" s="2">
        <f>AVERAGEIFS(Table1[interest_rate_pct],Table1[product],Table1[[#This Row],[product]],Table1[risk_band],Table1[[#This Row],[risk_band]])</f>
        <v>18.603181818181817</v>
      </c>
      <c r="AG161" s="2" t="str" cm="1">
        <f t="array" ref="AG161">_xlfn.IFS(Table1[[#This Row],[dti_ratio]] &lt; 0.2, " less than 0.2", Table1[[#This Row],[dti_ratio]] &lt; 0.3, "0.2 - 0.3", Table1[[#This Row],[dti_ratio]] &lt;= 0.5, "0.35 - 0.5", Table1[[#This Row],[dti_ratio]] &gt; 0.5, "greater than 0.5")</f>
        <v>0.35 - 0.5</v>
      </c>
      <c r="AH161" s="2">
        <f>COUNTIF(Table1[DTI band],Table1[[#This Row],[DTI band]])</f>
        <v>260</v>
      </c>
      <c r="AI161" s="2" t="str" cm="1">
        <f t="array" ref="AI161">_xlfn.IFS(Table1[[#This Row],[ltv_ratio]] &lt; 0.6, "less than 0.6 -less risky", Table1[[#This Row],[ltv_ratio]]  &lt;= 0.8, "0.6 - 0.8 -medium risky",Table1[[#This Row],[ltv_ratio]] &gt; 0.8, "greater than 0.8 -highly risky")</f>
        <v>less than 0.6 -less risky</v>
      </c>
      <c r="AJ161" s="2">
        <f>COUNTIF(Table1[LTV band],Table1[[#This Row],[LTV band]])</f>
        <v>57</v>
      </c>
      <c r="AK161" s="2">
        <f>COUNTIFS(Table1[count_loan_perband],Table1[[#This Row],[count_loan_perband]],Table1[default_flag],1)/COUNTIF(Table1[count_loan_perband],Table1[[#This Row],[count_loan_perband]])</f>
        <v>0</v>
      </c>
      <c r="AL161" s="2" t="str" cm="1">
        <f t="array" ref="AL161">_xlfn.IFS(Table1[[#This Row],[loan_amount]] &lt; 900000, "lower size (&lt; 9L)", Table1[[#This Row],[loan_amount]] &lt;=3300000, "medium size (&lt;=33L)", Table1[[#This Row],[loan_amount]] &gt; 3300000, "larger size (&gt; 33L)")</f>
        <v>lower size (&lt; 9L)</v>
      </c>
      <c r="AM161" s="2">
        <f>IF(Table1[[#This Row],[dpd]] &gt;=30,1,0)</f>
        <v>0</v>
      </c>
      <c r="AN161" s="2">
        <f>COUNTIFS(Table1[Loan size],Table1[[#This Row],[Loan size]],Table1[dpd flag],1)/COUNTIF(Table1[Loan size],Table1[[#This Row],[Loan size]])</f>
        <v>0.13934426229508196</v>
      </c>
      <c r="AO161" s="2" t="str">
        <f>IF(OR(Table1[[#This Row],[credit_score]] &lt; 600, Table1[ [#This Row],[dti_ratio] ] &gt; 0.5, Table1[[#This Row],[dpd]] &gt;=30), "high risk", " not riskY")</f>
        <v xml:space="preserve"> not riskY</v>
      </c>
      <c r="AP161" s="26">
        <f>EOMONTH(Table1[[#This Row],[origination_date]],0)</f>
        <v>44712</v>
      </c>
      <c r="AQ161" s="2">
        <f>SUMIFS(Table1[loan_amount],Table1[origination month],Table1[[#This Row],[origination month]])</f>
        <v>10302800</v>
      </c>
      <c r="AR161" s="2">
        <f>AVERAGEIFS(Table1[months_on_book],Table1[product],Table1[[#This Row],[product]])</f>
        <v>21.092024539877301</v>
      </c>
      <c r="AS161" s="2" t="str">
        <f ca="1">IF(EDATE(Table1[[#This Row],[origination_date]],6) &gt;= TODAY(), "New Loan", "Old Loan")</f>
        <v>Old Loan</v>
      </c>
      <c r="AT161" s="2" t="str">
        <f>"Q"&amp;ROUNDUP(MONTH(Table1[[#This Row],[origination_date]])/3,0)&amp;YEAR(Table1[[#This Row],[origination_date]])</f>
        <v>Q22022</v>
      </c>
      <c r="AU161" s="2">
        <f>SUMIFS(Table1[loan_amount],Table1[quarter],Table1[[#This Row],[quarter]])</f>
        <v>45395100</v>
      </c>
      <c r="AV161" s="34" t="str">
        <f>_xlfn.TEXTJOIN("|",TRUE,Table1[[#This Row],[loan_id]:[loan_status]])</f>
        <v>L21137842|C9465349|44707|Personal Loan|Branch|East|Salaried|24|501200|18.72|25197|1038743|672|C|0.36|0.57|0|24|530117|46143|0|0|0|Closed</v>
      </c>
      <c r="AW161" s="42">
        <f>YEAR(Loan_Table[ [#This Row],[origination_date] ])</f>
        <v>2022</v>
      </c>
    </row>
    <row r="162" spans="2:49" ht="18" customHeight="1">
      <c r="B162" s="5" t="s">
        <v>444</v>
      </c>
      <c r="C162" s="2" t="s">
        <v>445</v>
      </c>
      <c r="D162" s="3">
        <v>44720</v>
      </c>
      <c r="E162" s="2" t="s">
        <v>158</v>
      </c>
      <c r="F162" s="2" t="s">
        <v>144</v>
      </c>
      <c r="G162" s="2" t="s">
        <v>145</v>
      </c>
      <c r="H162" s="2" t="s">
        <v>134</v>
      </c>
      <c r="I162" s="2">
        <v>24</v>
      </c>
      <c r="J162" s="2">
        <v>2259800</v>
      </c>
      <c r="K162" s="2">
        <v>17.11</v>
      </c>
      <c r="L162" s="2">
        <v>111849</v>
      </c>
      <c r="M162" s="2">
        <v>1312365</v>
      </c>
      <c r="N162" s="2">
        <v>668</v>
      </c>
      <c r="O162" s="2" t="s">
        <v>140</v>
      </c>
      <c r="P162" s="2">
        <v>0.36</v>
      </c>
      <c r="Q162" s="2">
        <v>0.81</v>
      </c>
      <c r="R162" s="2">
        <v>2794200</v>
      </c>
      <c r="S162" s="2">
        <v>24</v>
      </c>
      <c r="T162" s="2">
        <v>2462952</v>
      </c>
      <c r="U162" s="2">
        <v>106169</v>
      </c>
      <c r="V162" s="2">
        <v>0</v>
      </c>
      <c r="W162" s="2">
        <v>0</v>
      </c>
      <c r="X162" s="2">
        <v>0</v>
      </c>
      <c r="Y162" s="2" t="s">
        <v>141</v>
      </c>
      <c r="Z162" s="12">
        <f>SUMIF(Table1[product],Table1[[#This Row],[product]],Table1[loan_amount])</f>
        <v>201475100</v>
      </c>
      <c r="AA162" s="15">
        <f>SUMIF(Table1[region],Table1[[#This Row],[region]],Table1[current_balance])</f>
        <v>98928695</v>
      </c>
      <c r="AB162" s="2">
        <f>COUNTIF(Table1[loan_status],Table1[[#This Row],[loan_status]])</f>
        <v>139</v>
      </c>
      <c r="AC162" s="2">
        <f>COUNTIF(Table1[default_flag],1)/ROWS(Table1[loan_id])</f>
        <v>2.5999999999999999E-2</v>
      </c>
      <c r="AD162" s="2">
        <f>COUNTIFS(Table1[region],Table1[[#This Row],[region]],Table1[default_flag],1)/COUNTIF(Table1[region],Table1[[#This Row],[region]])</f>
        <v>2.8571428571428571E-2</v>
      </c>
      <c r="AE162" s="2">
        <f>COUNTIFS(Table1[channel],Table1[[#This Row],[channel]],Table1[prepayment_flag],1)/COUNTIF(Table1[channel],Table1[[#This Row],[channel]])</f>
        <v>5.8201058201058198E-2</v>
      </c>
      <c r="AF162" s="2">
        <f>AVERAGEIFS(Table1[interest_rate_pct],Table1[product],Table1[[#This Row],[product]],Table1[risk_band],Table1[[#This Row],[risk_band]])</f>
        <v>15.841379310344831</v>
      </c>
      <c r="AG162" s="2" t="str" cm="1">
        <f t="array" ref="AG162">_xlfn.IFS(Table1[[#This Row],[dti_ratio]] &lt; 0.2, " less than 0.2", Table1[[#This Row],[dti_ratio]] &lt; 0.3, "0.2 - 0.3", Table1[[#This Row],[dti_ratio]] &lt;= 0.5, "0.35 - 0.5", Table1[[#This Row],[dti_ratio]] &gt; 0.5, "greater than 0.5")</f>
        <v>0.35 - 0.5</v>
      </c>
      <c r="AH162" s="2">
        <f>COUNTIF(Table1[DTI band],Table1[[#This Row],[DTI band]])</f>
        <v>260</v>
      </c>
      <c r="AI162" s="2" t="str" cm="1">
        <f t="array" ref="AI162">_xlfn.IFS(Table1[[#This Row],[ltv_ratio]] &lt; 0.6, "less than 0.6 -less risky", Table1[[#This Row],[ltv_ratio]]  &lt;= 0.8, "0.6 - 0.8 -medium risky",Table1[[#This Row],[ltv_ratio]] &gt; 0.8, "greater than 0.8 -highly risky")</f>
        <v>greater than 0.8 -highly risky</v>
      </c>
      <c r="AJ162" s="2">
        <f>COUNTIF(Table1[LTV band],Table1[[#This Row],[LTV band]])</f>
        <v>141</v>
      </c>
      <c r="AK162" s="2">
        <f>COUNTIFS(Table1[count_loan_perband],Table1[[#This Row],[count_loan_perband]],Table1[default_flag],1)/COUNTIF(Table1[count_loan_perband],Table1[[#This Row],[count_loan_perband]])</f>
        <v>1.4184397163120567E-2</v>
      </c>
      <c r="AL162" s="2" t="str" cm="1">
        <f t="array" ref="AL162">_xlfn.IFS(Table1[[#This Row],[loan_amount]] &lt; 900000, "lower size (&lt; 9L)", Table1[[#This Row],[loan_amount]] &lt;=3300000, "medium size (&lt;=33L)", Table1[[#This Row],[loan_amount]] &gt; 3300000, "larger size (&gt; 33L)")</f>
        <v>medium size (&lt;=33L)</v>
      </c>
      <c r="AM162" s="2">
        <f>IF(Table1[[#This Row],[dpd]] &gt;=30,1,0)</f>
        <v>0</v>
      </c>
      <c r="AN162" s="2">
        <f>COUNTIFS(Table1[Loan size],Table1[[#This Row],[Loan size]],Table1[dpd flag],1)/COUNTIF(Table1[Loan size],Table1[[#This Row],[Loan size]])</f>
        <v>0.15909090909090909</v>
      </c>
      <c r="AO162" s="2" t="str">
        <f>IF(OR(Table1[[#This Row],[credit_score]] &lt; 600, Table1[ [#This Row],[dti_ratio] ] &gt; 0.5, Table1[[#This Row],[dpd]] &gt;=30), "high risk", " not riskY")</f>
        <v xml:space="preserve"> not riskY</v>
      </c>
      <c r="AP162" s="26">
        <f>EOMONTH(Table1[[#This Row],[origination_date]],0)</f>
        <v>44742</v>
      </c>
      <c r="AQ162" s="2">
        <f>SUMIFS(Table1[loan_amount],Table1[origination month],Table1[[#This Row],[origination month]])</f>
        <v>11188400</v>
      </c>
      <c r="AR162" s="2">
        <f>AVERAGEIFS(Table1[months_on_book],Table1[product],Table1[[#This Row],[product]])</f>
        <v>19.091954022988507</v>
      </c>
      <c r="AS162" s="2" t="str">
        <f ca="1">IF(EDATE(Table1[[#This Row],[origination_date]],6) &gt;= TODAY(), "New Loan", "Old Loan")</f>
        <v>Old Loan</v>
      </c>
      <c r="AT162" s="2" t="str">
        <f>"Q"&amp;ROUNDUP(MONTH(Table1[[#This Row],[origination_date]])/3,0)&amp;YEAR(Table1[[#This Row],[origination_date]])</f>
        <v>Q22022</v>
      </c>
      <c r="AU162" s="2">
        <f>SUMIFS(Table1[loan_amount],Table1[quarter],Table1[[#This Row],[quarter]])</f>
        <v>45395100</v>
      </c>
      <c r="AV162" s="34" t="str">
        <f>_xlfn.TEXTJOIN("|",TRUE,Table1[[#This Row],[loan_id]:[loan_status]])</f>
        <v>L78863245|C3216559|44720|SME Loan|Branch|Central|Salaried|24|2259800|17.11|111849|1312365|668|C|0.36|0.81|2794200|24|2462952|106169|0|0|0|Closed</v>
      </c>
      <c r="AW162" s="42">
        <f>YEAR(Loan_Table[ [#This Row],[origination_date] ])</f>
        <v>2022</v>
      </c>
    </row>
    <row r="163" spans="2:49" ht="18" customHeight="1">
      <c r="B163" s="5" t="s">
        <v>446</v>
      </c>
      <c r="C163" s="2" t="s">
        <v>447</v>
      </c>
      <c r="D163" s="3">
        <v>44733</v>
      </c>
      <c r="E163" s="2" t="s">
        <v>131</v>
      </c>
      <c r="F163" s="2" t="s">
        <v>144</v>
      </c>
      <c r="G163" s="2" t="s">
        <v>145</v>
      </c>
      <c r="H163" s="2" t="s">
        <v>134</v>
      </c>
      <c r="I163" s="2">
        <v>24</v>
      </c>
      <c r="J163" s="2">
        <v>389500</v>
      </c>
      <c r="K163" s="2">
        <v>10.27</v>
      </c>
      <c r="L163" s="2">
        <v>18022</v>
      </c>
      <c r="M163" s="2">
        <v>633303</v>
      </c>
      <c r="N163" s="2">
        <v>845</v>
      </c>
      <c r="O163" s="2" t="s">
        <v>160</v>
      </c>
      <c r="P163" s="2">
        <v>0.35</v>
      </c>
      <c r="Q163" s="2">
        <v>0.65</v>
      </c>
      <c r="R163" s="2">
        <v>0</v>
      </c>
      <c r="S163" s="2">
        <v>24</v>
      </c>
      <c r="T163" s="2">
        <v>439186</v>
      </c>
      <c r="U163" s="2">
        <v>0</v>
      </c>
      <c r="V163" s="2">
        <v>0</v>
      </c>
      <c r="W163" s="2">
        <v>0</v>
      </c>
      <c r="X163" s="2">
        <v>0</v>
      </c>
      <c r="Y163" s="2" t="s">
        <v>141</v>
      </c>
      <c r="Z163" s="12">
        <f>SUMIF(Table1[product],Table1[[#This Row],[product]],Table1[loan_amount])</f>
        <v>74897600</v>
      </c>
      <c r="AA163" s="15">
        <f>SUMIF(Table1[region],Table1[[#This Row],[region]],Table1[current_balance])</f>
        <v>98928695</v>
      </c>
      <c r="AB163" s="2">
        <f>COUNTIF(Table1[loan_status],Table1[[#This Row],[loan_status]])</f>
        <v>139</v>
      </c>
      <c r="AC163" s="2">
        <f>COUNTIF(Table1[default_flag],1)/ROWS(Table1[loan_id])</f>
        <v>2.5999999999999999E-2</v>
      </c>
      <c r="AD163" s="2">
        <f>COUNTIFS(Table1[region],Table1[[#This Row],[region]],Table1[default_flag],1)/COUNTIF(Table1[region],Table1[[#This Row],[region]])</f>
        <v>2.8571428571428571E-2</v>
      </c>
      <c r="AE163" s="2">
        <f>COUNTIFS(Table1[channel],Table1[[#This Row],[channel]],Table1[prepayment_flag],1)/COUNTIF(Table1[channel],Table1[[#This Row],[channel]])</f>
        <v>5.8201058201058198E-2</v>
      </c>
      <c r="AF163" s="2">
        <f>AVERAGEIFS(Table1[interest_rate_pct],Table1[product],Table1[[#This Row],[product]],Table1[risk_band],Table1[[#This Row],[risk_band]])</f>
        <v>13.328333333333335</v>
      </c>
      <c r="AG163" s="2" t="str" cm="1">
        <f t="array" ref="AG163">_xlfn.IFS(Table1[[#This Row],[dti_ratio]] &lt; 0.2, " less than 0.2", Table1[[#This Row],[dti_ratio]] &lt; 0.3, "0.2 - 0.3", Table1[[#This Row],[dti_ratio]] &lt;= 0.5, "0.35 - 0.5", Table1[[#This Row],[dti_ratio]] &gt; 0.5, "greater than 0.5")</f>
        <v>0.35 - 0.5</v>
      </c>
      <c r="AH163" s="2">
        <f>COUNTIF(Table1[DTI band],Table1[[#This Row],[DTI band]])</f>
        <v>260</v>
      </c>
      <c r="AI163" s="2" t="str" cm="1">
        <f t="array" ref="AI163">_xlfn.IFS(Table1[[#This Row],[ltv_ratio]] &lt; 0.6, "less than 0.6 -less risky", Table1[[#This Row],[ltv_ratio]]  &lt;= 0.8, "0.6 - 0.8 -medium risky",Table1[[#This Row],[ltv_ratio]] &gt; 0.8, "greater than 0.8 -highly risky")</f>
        <v>0.6 - 0.8 -medium risky</v>
      </c>
      <c r="AJ163" s="2">
        <f>COUNTIF(Table1[LTV band],Table1[[#This Row],[LTV band]])</f>
        <v>302</v>
      </c>
      <c r="AK163" s="2">
        <f>COUNTIFS(Table1[count_loan_perband],Table1[[#This Row],[count_loan_perband]],Table1[default_flag],1)/COUNTIF(Table1[count_loan_perband],Table1[[#This Row],[count_loan_perband]])</f>
        <v>3.6423841059602648E-2</v>
      </c>
      <c r="AL163" s="2" t="str" cm="1">
        <f t="array" ref="AL163">_xlfn.IFS(Table1[[#This Row],[loan_amount]] &lt; 900000, "lower size (&lt; 9L)", Table1[[#This Row],[loan_amount]] &lt;=3300000, "medium size (&lt;=33L)", Table1[[#This Row],[loan_amount]] &gt; 3300000, "larger size (&gt; 33L)")</f>
        <v>lower size (&lt; 9L)</v>
      </c>
      <c r="AM163" s="2">
        <f>IF(Table1[[#This Row],[dpd]] &gt;=30,1,0)</f>
        <v>0</v>
      </c>
      <c r="AN163" s="2">
        <f>COUNTIFS(Table1[Loan size],Table1[[#This Row],[Loan size]],Table1[dpd flag],1)/COUNTIF(Table1[Loan size],Table1[[#This Row],[Loan size]])</f>
        <v>0.13934426229508196</v>
      </c>
      <c r="AO163" s="2" t="str">
        <f>IF(OR(Table1[[#This Row],[credit_score]] &lt; 600, Table1[ [#This Row],[dti_ratio] ] &gt; 0.5, Table1[[#This Row],[dpd]] &gt;=30), "high risk", " not riskY")</f>
        <v xml:space="preserve"> not riskY</v>
      </c>
      <c r="AP163" s="26">
        <f>EOMONTH(Table1[[#This Row],[origination_date]],0)</f>
        <v>44742</v>
      </c>
      <c r="AQ163" s="2">
        <f>SUMIFS(Table1[loan_amount],Table1[origination month],Table1[[#This Row],[origination month]])</f>
        <v>11188400</v>
      </c>
      <c r="AR163" s="2">
        <f>AVERAGEIFS(Table1[months_on_book],Table1[product],Table1[[#This Row],[product]])</f>
        <v>21.092024539877301</v>
      </c>
      <c r="AS163" s="2" t="str">
        <f ca="1">IF(EDATE(Table1[[#This Row],[origination_date]],6) &gt;= TODAY(), "New Loan", "Old Loan")</f>
        <v>Old Loan</v>
      </c>
      <c r="AT163" s="2" t="str">
        <f>"Q"&amp;ROUNDUP(MONTH(Table1[[#This Row],[origination_date]])/3,0)&amp;YEAR(Table1[[#This Row],[origination_date]])</f>
        <v>Q22022</v>
      </c>
      <c r="AU163" s="2">
        <f>SUMIFS(Table1[loan_amount],Table1[quarter],Table1[[#This Row],[quarter]])</f>
        <v>45395100</v>
      </c>
      <c r="AV163" s="34" t="str">
        <f>_xlfn.TEXTJOIN("|",TRUE,Table1[[#This Row],[loan_id]:[loan_status]])</f>
        <v>L97362822|C7126430|44733|Personal Loan|Branch|Central|Salaried|24|389500|10.27|18022|633303|845|A|0.35|0.65|0|24|439186|0|0|0|0|Closed</v>
      </c>
      <c r="AW163" s="42">
        <f>YEAR(Loan_Table[ [#This Row],[origination_date] ])</f>
        <v>2022</v>
      </c>
    </row>
    <row r="164" spans="2:49" ht="18" customHeight="1">
      <c r="B164" s="5" t="s">
        <v>448</v>
      </c>
      <c r="C164" s="2" t="s">
        <v>449</v>
      </c>
      <c r="D164" s="3">
        <v>44725</v>
      </c>
      <c r="E164" s="2" t="s">
        <v>131</v>
      </c>
      <c r="F164" s="2" t="s">
        <v>144</v>
      </c>
      <c r="G164" s="2" t="s">
        <v>170</v>
      </c>
      <c r="H164" s="2" t="s">
        <v>134</v>
      </c>
      <c r="I164" s="2">
        <v>18</v>
      </c>
      <c r="J164" s="2">
        <v>54700</v>
      </c>
      <c r="K164" s="2">
        <v>19.37</v>
      </c>
      <c r="L164" s="2">
        <v>3526</v>
      </c>
      <c r="M164" s="2">
        <v>1057435</v>
      </c>
      <c r="N164" s="2">
        <v>645</v>
      </c>
      <c r="O164" s="2" t="s">
        <v>147</v>
      </c>
      <c r="P164" s="2">
        <v>0.32</v>
      </c>
      <c r="Q164" s="2">
        <v>0.8</v>
      </c>
      <c r="R164" s="2">
        <v>0</v>
      </c>
      <c r="S164" s="2">
        <v>18</v>
      </c>
      <c r="T164" s="2">
        <v>56933</v>
      </c>
      <c r="U164" s="2">
        <v>4124</v>
      </c>
      <c r="V164" s="2">
        <v>0</v>
      </c>
      <c r="W164" s="2">
        <v>0</v>
      </c>
      <c r="X164" s="2">
        <v>0</v>
      </c>
      <c r="Y164" s="2" t="s">
        <v>141</v>
      </c>
      <c r="Z164" s="12">
        <f>SUMIF(Table1[product],Table1[[#This Row],[product]],Table1[loan_amount])</f>
        <v>74897600</v>
      </c>
      <c r="AA164" s="15">
        <f>SUMIF(Table1[region],Table1[[#This Row],[region]],Table1[current_balance])</f>
        <v>83297251</v>
      </c>
      <c r="AB164" s="2">
        <f>COUNTIF(Table1[loan_status],Table1[[#This Row],[loan_status]])</f>
        <v>139</v>
      </c>
      <c r="AC164" s="2">
        <f>COUNTIF(Table1[default_flag],1)/ROWS(Table1[loan_id])</f>
        <v>2.5999999999999999E-2</v>
      </c>
      <c r="AD164" s="2">
        <f>COUNTIFS(Table1[region],Table1[[#This Row],[region]],Table1[default_flag],1)/COUNTIF(Table1[region],Table1[[#This Row],[region]])</f>
        <v>3.1914893617021274E-2</v>
      </c>
      <c r="AE164" s="2">
        <f>COUNTIFS(Table1[channel],Table1[[#This Row],[channel]],Table1[prepayment_flag],1)/COUNTIF(Table1[channel],Table1[[#This Row],[channel]])</f>
        <v>5.8201058201058198E-2</v>
      </c>
      <c r="AF164" s="2">
        <f>AVERAGEIFS(Table1[interest_rate_pct],Table1[product],Table1[[#This Row],[product]],Table1[risk_band],Table1[[#This Row],[risk_band]])</f>
        <v>20.962592592592593</v>
      </c>
      <c r="AG164" s="2" t="str" cm="1">
        <f t="array" ref="AG164">_xlfn.IFS(Table1[[#This Row],[dti_ratio]] &lt; 0.2, " less than 0.2", Table1[[#This Row],[dti_ratio]] &lt; 0.3, "0.2 - 0.3", Table1[[#This Row],[dti_ratio]] &lt;= 0.5, "0.35 - 0.5", Table1[[#This Row],[dti_ratio]] &gt; 0.5, "greater than 0.5")</f>
        <v>0.35 - 0.5</v>
      </c>
      <c r="AH164" s="2">
        <f>COUNTIF(Table1[DTI band],Table1[[#This Row],[DTI band]])</f>
        <v>260</v>
      </c>
      <c r="AI164" s="2" t="str" cm="1">
        <f t="array" ref="AI164">_xlfn.IFS(Table1[[#This Row],[ltv_ratio]] &lt; 0.6, "less than 0.6 -less risky", Table1[[#This Row],[ltv_ratio]]  &lt;= 0.8, "0.6 - 0.8 -medium risky",Table1[[#This Row],[ltv_ratio]] &gt; 0.8, "greater than 0.8 -highly risky")</f>
        <v>0.6 - 0.8 -medium risky</v>
      </c>
      <c r="AJ164" s="2">
        <f>COUNTIF(Table1[LTV band],Table1[[#This Row],[LTV band]])</f>
        <v>302</v>
      </c>
      <c r="AK164" s="2">
        <f>COUNTIFS(Table1[count_loan_perband],Table1[[#This Row],[count_loan_perband]],Table1[default_flag],1)/COUNTIF(Table1[count_loan_perband],Table1[[#This Row],[count_loan_perband]])</f>
        <v>3.6423841059602648E-2</v>
      </c>
      <c r="AL164" s="2" t="str" cm="1">
        <f t="array" ref="AL164">_xlfn.IFS(Table1[[#This Row],[loan_amount]] &lt; 900000, "lower size (&lt; 9L)", Table1[[#This Row],[loan_amount]] &lt;=3300000, "medium size (&lt;=33L)", Table1[[#This Row],[loan_amount]] &gt; 3300000, "larger size (&gt; 33L)")</f>
        <v>lower size (&lt; 9L)</v>
      </c>
      <c r="AM164" s="2">
        <f>IF(Table1[[#This Row],[dpd]] &gt;=30,1,0)</f>
        <v>0</v>
      </c>
      <c r="AN164" s="2">
        <f>COUNTIFS(Table1[Loan size],Table1[[#This Row],[Loan size]],Table1[dpd flag],1)/COUNTIF(Table1[Loan size],Table1[[#This Row],[Loan size]])</f>
        <v>0.13934426229508196</v>
      </c>
      <c r="AO164" s="2" t="str">
        <f>IF(OR(Table1[[#This Row],[credit_score]] &lt; 600, Table1[ [#This Row],[dti_ratio] ] &gt; 0.5, Table1[[#This Row],[dpd]] &gt;=30), "high risk", " not riskY")</f>
        <v xml:space="preserve"> not riskY</v>
      </c>
      <c r="AP164" s="26">
        <f>EOMONTH(Table1[[#This Row],[origination_date]],0)</f>
        <v>44742</v>
      </c>
      <c r="AQ164" s="2">
        <f>SUMIFS(Table1[loan_amount],Table1[origination month],Table1[[#This Row],[origination month]])</f>
        <v>11188400</v>
      </c>
      <c r="AR164" s="2">
        <f>AVERAGEIFS(Table1[months_on_book],Table1[product],Table1[[#This Row],[product]])</f>
        <v>21.092024539877301</v>
      </c>
      <c r="AS164" s="2" t="str">
        <f ca="1">IF(EDATE(Table1[[#This Row],[origination_date]],6) &gt;= TODAY(), "New Loan", "Old Loan")</f>
        <v>Old Loan</v>
      </c>
      <c r="AT164" s="2" t="str">
        <f>"Q"&amp;ROUNDUP(MONTH(Table1[[#This Row],[origination_date]])/3,0)&amp;YEAR(Table1[[#This Row],[origination_date]])</f>
        <v>Q22022</v>
      </c>
      <c r="AU164" s="2">
        <f>SUMIFS(Table1[loan_amount],Table1[quarter],Table1[[#This Row],[quarter]])</f>
        <v>45395100</v>
      </c>
      <c r="AV164" s="34" t="str">
        <f>_xlfn.TEXTJOIN("|",TRUE,Table1[[#This Row],[loan_id]:[loan_status]])</f>
        <v>L76322763|C8193202|44725|Personal Loan|Branch|East|Salaried|18|54700|19.37|3526|1057435|645|D|0.32|0.8|0|18|56933|4124|0|0|0|Closed</v>
      </c>
      <c r="AW164" s="42">
        <f>YEAR(Loan_Table[ [#This Row],[origination_date] ])</f>
        <v>2022</v>
      </c>
    </row>
    <row r="165" spans="2:49" ht="18" customHeight="1">
      <c r="B165" s="5" t="s">
        <v>450</v>
      </c>
      <c r="C165" s="2" t="s">
        <v>451</v>
      </c>
      <c r="D165" s="3">
        <v>44712</v>
      </c>
      <c r="E165" s="2" t="s">
        <v>158</v>
      </c>
      <c r="F165" s="2" t="s">
        <v>132</v>
      </c>
      <c r="G165" s="2" t="s">
        <v>145</v>
      </c>
      <c r="H165" s="2" t="s">
        <v>134</v>
      </c>
      <c r="I165" s="2">
        <v>360</v>
      </c>
      <c r="J165" s="2">
        <v>2032000</v>
      </c>
      <c r="K165" s="2">
        <v>18.04</v>
      </c>
      <c r="L165" s="2">
        <v>30690</v>
      </c>
      <c r="M165" s="2">
        <v>434193</v>
      </c>
      <c r="N165" s="2">
        <v>637</v>
      </c>
      <c r="O165" s="2" t="s">
        <v>147</v>
      </c>
      <c r="P165" s="2">
        <v>0.32</v>
      </c>
      <c r="Q165" s="2">
        <v>0.74</v>
      </c>
      <c r="R165" s="2">
        <v>2731600</v>
      </c>
      <c r="S165" s="2">
        <v>43</v>
      </c>
      <c r="T165" s="2">
        <v>1286687</v>
      </c>
      <c r="U165" s="2">
        <v>1270734</v>
      </c>
      <c r="V165" s="2">
        <v>0</v>
      </c>
      <c r="W165" s="2">
        <v>0</v>
      </c>
      <c r="X165" s="2">
        <v>0</v>
      </c>
      <c r="Y165" s="2" t="s">
        <v>148</v>
      </c>
      <c r="Z165" s="12">
        <f>SUMIF(Table1[product],Table1[[#This Row],[product]],Table1[loan_amount])</f>
        <v>201475100</v>
      </c>
      <c r="AA165" s="15">
        <f>SUMIF(Table1[region],Table1[[#This Row],[region]],Table1[current_balance])</f>
        <v>98928695</v>
      </c>
      <c r="AB165" s="2">
        <f>COUNTIF(Table1[loan_status],Table1[[#This Row],[loan_status]])</f>
        <v>301</v>
      </c>
      <c r="AC165" s="2">
        <f>COUNTIF(Table1[default_flag],1)/ROWS(Table1[loan_id])</f>
        <v>2.5999999999999999E-2</v>
      </c>
      <c r="AD165" s="2">
        <f>COUNTIFS(Table1[region],Table1[[#This Row],[region]],Table1[default_flag],1)/COUNTIF(Table1[region],Table1[[#This Row],[region]])</f>
        <v>2.8571428571428571E-2</v>
      </c>
      <c r="AE165" s="2">
        <f>COUNTIFS(Table1[channel],Table1[[#This Row],[channel]],Table1[prepayment_flag],1)/COUNTIF(Table1[channel],Table1[[#This Row],[channel]])</f>
        <v>7.1090047393364927E-2</v>
      </c>
      <c r="AF165" s="2">
        <f>AVERAGEIFS(Table1[interest_rate_pct],Table1[product],Table1[[#This Row],[product]],Table1[risk_band],Table1[[#This Row],[risk_band]])</f>
        <v>18.241249999999997</v>
      </c>
      <c r="AG165" s="2" t="str" cm="1">
        <f t="array" ref="AG165">_xlfn.IFS(Table1[[#This Row],[dti_ratio]] &lt; 0.2, " less than 0.2", Table1[[#This Row],[dti_ratio]] &lt; 0.3, "0.2 - 0.3", Table1[[#This Row],[dti_ratio]] &lt;= 0.5, "0.35 - 0.5", Table1[[#This Row],[dti_ratio]] &gt; 0.5, "greater than 0.5")</f>
        <v>0.35 - 0.5</v>
      </c>
      <c r="AH165" s="2">
        <f>COUNTIF(Table1[DTI band],Table1[[#This Row],[DTI band]])</f>
        <v>260</v>
      </c>
      <c r="AI165" s="2" t="str" cm="1">
        <f t="array" ref="AI165">_xlfn.IFS(Table1[[#This Row],[ltv_ratio]] &lt; 0.6, "less than 0.6 -less risky", Table1[[#This Row],[ltv_ratio]]  &lt;= 0.8, "0.6 - 0.8 -medium risky",Table1[[#This Row],[ltv_ratio]] &gt; 0.8, "greater than 0.8 -highly risky")</f>
        <v>0.6 - 0.8 -medium risky</v>
      </c>
      <c r="AJ165" s="2">
        <f>COUNTIF(Table1[LTV band],Table1[[#This Row],[LTV band]])</f>
        <v>302</v>
      </c>
      <c r="AK165" s="2">
        <f>COUNTIFS(Table1[count_loan_perband],Table1[[#This Row],[count_loan_perband]],Table1[default_flag],1)/COUNTIF(Table1[count_loan_perband],Table1[[#This Row],[count_loan_perband]])</f>
        <v>3.6423841059602648E-2</v>
      </c>
      <c r="AL165" s="2" t="str" cm="1">
        <f t="array" ref="AL165">_xlfn.IFS(Table1[[#This Row],[loan_amount]] &lt; 900000, "lower size (&lt; 9L)", Table1[[#This Row],[loan_amount]] &lt;=3300000, "medium size (&lt;=33L)", Table1[[#This Row],[loan_amount]] &gt; 3300000, "larger size (&gt; 33L)")</f>
        <v>medium size (&lt;=33L)</v>
      </c>
      <c r="AM165" s="2">
        <f>IF(Table1[[#This Row],[dpd]] &gt;=30,1,0)</f>
        <v>0</v>
      </c>
      <c r="AN165" s="2">
        <f>COUNTIFS(Table1[Loan size],Table1[[#This Row],[Loan size]],Table1[dpd flag],1)/COUNTIF(Table1[Loan size],Table1[[#This Row],[Loan size]])</f>
        <v>0.15909090909090909</v>
      </c>
      <c r="AO165" s="2" t="str">
        <f>IF(OR(Table1[[#This Row],[credit_score]] &lt; 600, Table1[ [#This Row],[dti_ratio] ] &gt; 0.5, Table1[[#This Row],[dpd]] &gt;=30), "high risk", " not riskY")</f>
        <v xml:space="preserve"> not riskY</v>
      </c>
      <c r="AP165" s="26">
        <f>EOMONTH(Table1[[#This Row],[origination_date]],0)</f>
        <v>44712</v>
      </c>
      <c r="AQ165" s="2">
        <f>SUMIFS(Table1[loan_amount],Table1[origination month],Table1[[#This Row],[origination month]])</f>
        <v>10302800</v>
      </c>
      <c r="AR165" s="2">
        <f>AVERAGEIFS(Table1[months_on_book],Table1[product],Table1[[#This Row],[product]])</f>
        <v>19.091954022988507</v>
      </c>
      <c r="AS165" s="2" t="str">
        <f ca="1">IF(EDATE(Table1[[#This Row],[origination_date]],6) &gt;= TODAY(), "New Loan", "Old Loan")</f>
        <v>Old Loan</v>
      </c>
      <c r="AT165" s="2" t="str">
        <f>"Q"&amp;ROUNDUP(MONTH(Table1[[#This Row],[origination_date]])/3,0)&amp;YEAR(Table1[[#This Row],[origination_date]])</f>
        <v>Q22022</v>
      </c>
      <c r="AU165" s="2">
        <f>SUMIFS(Table1[loan_amount],Table1[quarter],Table1[[#This Row],[quarter]])</f>
        <v>45395100</v>
      </c>
      <c r="AV165" s="34" t="str">
        <f>_xlfn.TEXTJOIN("|",TRUE,Table1[[#This Row],[loan_id]:[loan_status]])</f>
        <v>L47616287|C7253183|44712|SME Loan|Online|Central|Salaried|360|2032000|18.04|30690|434193|637|D|0.32|0.74|2731600|43|1286687|1270734|0|0|0|Active</v>
      </c>
      <c r="AW165" s="42">
        <f>YEAR(Loan_Table[ [#This Row],[origination_date] ])</f>
        <v>2022</v>
      </c>
    </row>
    <row r="166" spans="2:49" ht="18" customHeight="1">
      <c r="B166" s="5" t="s">
        <v>452</v>
      </c>
      <c r="C166" s="2" t="s">
        <v>453</v>
      </c>
      <c r="D166" s="3">
        <v>44725</v>
      </c>
      <c r="E166" s="2" t="s">
        <v>163</v>
      </c>
      <c r="F166" s="2" t="s">
        <v>144</v>
      </c>
      <c r="G166" s="2" t="s">
        <v>170</v>
      </c>
      <c r="H166" s="2" t="s">
        <v>146</v>
      </c>
      <c r="I166" s="2">
        <v>12</v>
      </c>
      <c r="J166" s="2">
        <v>511200</v>
      </c>
      <c r="K166" s="2">
        <v>13.99</v>
      </c>
      <c r="L166" s="2">
        <v>45897</v>
      </c>
      <c r="M166" s="2">
        <v>710299</v>
      </c>
      <c r="N166" s="2">
        <v>658</v>
      </c>
      <c r="O166" s="2" t="s">
        <v>140</v>
      </c>
      <c r="P166" s="2">
        <v>0.31</v>
      </c>
      <c r="Q166" s="2">
        <v>0.65</v>
      </c>
      <c r="R166" s="2">
        <v>783100</v>
      </c>
      <c r="S166" s="2">
        <v>12</v>
      </c>
      <c r="T166" s="2">
        <v>529504</v>
      </c>
      <c r="U166" s="2">
        <v>10303</v>
      </c>
      <c r="V166" s="2">
        <v>45</v>
      </c>
      <c r="W166" s="2">
        <v>0</v>
      </c>
      <c r="X166" s="2">
        <v>0</v>
      </c>
      <c r="Y166" s="2" t="s">
        <v>141</v>
      </c>
      <c r="Z166" s="12">
        <f>SUMIF(Table1[product],Table1[[#This Row],[product]],Table1[loan_amount])</f>
        <v>92273000</v>
      </c>
      <c r="AA166" s="15">
        <f>SUMIF(Table1[region],Table1[[#This Row],[region]],Table1[current_balance])</f>
        <v>83297251</v>
      </c>
      <c r="AB166" s="2">
        <f>COUNTIF(Table1[loan_status],Table1[[#This Row],[loan_status]])</f>
        <v>139</v>
      </c>
      <c r="AC166" s="2">
        <f>COUNTIF(Table1[default_flag],1)/ROWS(Table1[loan_id])</f>
        <v>2.5999999999999999E-2</v>
      </c>
      <c r="AD166" s="2">
        <f>COUNTIFS(Table1[region],Table1[[#This Row],[region]],Table1[default_flag],1)/COUNTIF(Table1[region],Table1[[#This Row],[region]])</f>
        <v>3.1914893617021274E-2</v>
      </c>
      <c r="AE166" s="2">
        <f>COUNTIFS(Table1[channel],Table1[[#This Row],[channel]],Table1[prepayment_flag],1)/COUNTIF(Table1[channel],Table1[[#This Row],[channel]])</f>
        <v>5.8201058201058198E-2</v>
      </c>
      <c r="AF166" s="2">
        <f>AVERAGEIFS(Table1[interest_rate_pct],Table1[product],Table1[[#This Row],[product]],Table1[risk_band],Table1[[#This Row],[risk_band]])</f>
        <v>13.246500000000001</v>
      </c>
      <c r="AG166" s="2" t="str" cm="1">
        <f t="array" ref="AG166">_xlfn.IFS(Table1[[#This Row],[dti_ratio]] &lt; 0.2, " less than 0.2", Table1[[#This Row],[dti_ratio]] &lt; 0.3, "0.2 - 0.3", Table1[[#This Row],[dti_ratio]] &lt;= 0.5, "0.35 - 0.5", Table1[[#This Row],[dti_ratio]] &gt; 0.5, "greater than 0.5")</f>
        <v>0.35 - 0.5</v>
      </c>
      <c r="AH166" s="2">
        <f>COUNTIF(Table1[DTI band],Table1[[#This Row],[DTI band]])</f>
        <v>260</v>
      </c>
      <c r="AI166" s="2" t="str" cm="1">
        <f t="array" ref="AI166">_xlfn.IFS(Table1[[#This Row],[ltv_ratio]] &lt; 0.6, "less than 0.6 -less risky", Table1[[#This Row],[ltv_ratio]]  &lt;= 0.8, "0.6 - 0.8 -medium risky",Table1[[#This Row],[ltv_ratio]] &gt; 0.8, "greater than 0.8 -highly risky")</f>
        <v>0.6 - 0.8 -medium risky</v>
      </c>
      <c r="AJ166" s="2">
        <f>COUNTIF(Table1[LTV band],Table1[[#This Row],[LTV band]])</f>
        <v>302</v>
      </c>
      <c r="AK166" s="2">
        <f>COUNTIFS(Table1[count_loan_perband],Table1[[#This Row],[count_loan_perband]],Table1[default_flag],1)/COUNTIF(Table1[count_loan_perband],Table1[[#This Row],[count_loan_perband]])</f>
        <v>3.6423841059602648E-2</v>
      </c>
      <c r="AL166" s="2" t="str" cm="1">
        <f t="array" ref="AL166">_xlfn.IFS(Table1[[#This Row],[loan_amount]] &lt; 900000, "lower size (&lt; 9L)", Table1[[#This Row],[loan_amount]] &lt;=3300000, "medium size (&lt;=33L)", Table1[[#This Row],[loan_amount]] &gt; 3300000, "larger size (&gt; 33L)")</f>
        <v>lower size (&lt; 9L)</v>
      </c>
      <c r="AM166" s="2">
        <f>IF(Table1[[#This Row],[dpd]] &gt;=30,1,0)</f>
        <v>1</v>
      </c>
      <c r="AN166" s="2">
        <f>COUNTIFS(Table1[Loan size],Table1[[#This Row],[Loan size]],Table1[dpd flag],1)/COUNTIF(Table1[Loan size],Table1[[#This Row],[Loan size]])</f>
        <v>0.13934426229508196</v>
      </c>
      <c r="AO166" s="2" t="str">
        <f>IF(OR(Table1[[#This Row],[credit_score]] &lt; 600, Table1[ [#This Row],[dti_ratio] ] &gt; 0.5, Table1[[#This Row],[dpd]] &gt;=30), "high risk", " not riskY")</f>
        <v>high risk</v>
      </c>
      <c r="AP166" s="26">
        <f>EOMONTH(Table1[[#This Row],[origination_date]],0)</f>
        <v>44742</v>
      </c>
      <c r="AQ166" s="2">
        <f>SUMIFS(Table1[loan_amount],Table1[origination month],Table1[[#This Row],[origination month]])</f>
        <v>11188400</v>
      </c>
      <c r="AR166" s="2">
        <f>AVERAGEIFS(Table1[months_on_book],Table1[product],Table1[[#This Row],[product]])</f>
        <v>20.262135922330096</v>
      </c>
      <c r="AS166" s="2" t="str">
        <f ca="1">IF(EDATE(Table1[[#This Row],[origination_date]],6) &gt;= TODAY(), "New Loan", "Old Loan")</f>
        <v>Old Loan</v>
      </c>
      <c r="AT166" s="2" t="str">
        <f>"Q"&amp;ROUNDUP(MONTH(Table1[[#This Row],[origination_date]])/3,0)&amp;YEAR(Table1[[#This Row],[origination_date]])</f>
        <v>Q22022</v>
      </c>
      <c r="AU166" s="2">
        <f>SUMIFS(Table1[loan_amount],Table1[quarter],Table1[[#This Row],[quarter]])</f>
        <v>45395100</v>
      </c>
      <c r="AV166" s="34" t="str">
        <f>_xlfn.TEXTJOIN("|",TRUE,Table1[[#This Row],[loan_id]:[loan_status]])</f>
        <v>L79178274|C1215698|44725|Auto Loan|Branch|East|Contract|12|511200|13.99|45897|710299|658|C|0.31|0.65|783100|12|529504|10303|45|0|0|Closed</v>
      </c>
      <c r="AW166" s="42">
        <f>YEAR(Loan_Table[ [#This Row],[origination_date] ])</f>
        <v>2022</v>
      </c>
    </row>
    <row r="167" spans="2:49" ht="18" customHeight="1">
      <c r="B167" s="5" t="s">
        <v>454</v>
      </c>
      <c r="C167" s="2" t="s">
        <v>455</v>
      </c>
      <c r="D167" s="3">
        <v>44709</v>
      </c>
      <c r="E167" s="2" t="s">
        <v>158</v>
      </c>
      <c r="F167" s="2" t="s">
        <v>132</v>
      </c>
      <c r="G167" s="2" t="s">
        <v>133</v>
      </c>
      <c r="H167" s="2" t="s">
        <v>146</v>
      </c>
      <c r="I167" s="2">
        <v>18</v>
      </c>
      <c r="J167" s="2">
        <v>3136300</v>
      </c>
      <c r="K167" s="2">
        <v>11.56</v>
      </c>
      <c r="L167" s="2">
        <v>190618</v>
      </c>
      <c r="M167" s="2">
        <v>1205997</v>
      </c>
      <c r="N167" s="2">
        <v>751</v>
      </c>
      <c r="O167" s="2" t="s">
        <v>160</v>
      </c>
      <c r="P167" s="2">
        <v>0.28999999999999998</v>
      </c>
      <c r="Q167" s="2">
        <v>0.65</v>
      </c>
      <c r="R167" s="2">
        <v>4854300</v>
      </c>
      <c r="S167" s="2">
        <v>18</v>
      </c>
      <c r="T167" s="2">
        <v>3305004</v>
      </c>
      <c r="U167" s="2">
        <v>48830</v>
      </c>
      <c r="V167" s="2">
        <v>10</v>
      </c>
      <c r="W167" s="2">
        <v>0</v>
      </c>
      <c r="X167" s="2">
        <v>0</v>
      </c>
      <c r="Y167" s="2" t="s">
        <v>141</v>
      </c>
      <c r="Z167" s="12">
        <f>SUMIF(Table1[product],Table1[[#This Row],[product]],Table1[loan_amount])</f>
        <v>201475100</v>
      </c>
      <c r="AA167" s="15">
        <f>SUMIF(Table1[region],Table1[[#This Row],[region]],Table1[current_balance])</f>
        <v>94548000</v>
      </c>
      <c r="AB167" s="2">
        <f>COUNTIF(Table1[loan_status],Table1[[#This Row],[loan_status]])</f>
        <v>139</v>
      </c>
      <c r="AC167" s="2">
        <f>COUNTIF(Table1[default_flag],1)/ROWS(Table1[loan_id])</f>
        <v>2.5999999999999999E-2</v>
      </c>
      <c r="AD167" s="2">
        <f>COUNTIFS(Table1[region],Table1[[#This Row],[region]],Table1[default_flag],1)/COUNTIF(Table1[region],Table1[[#This Row],[region]])</f>
        <v>0</v>
      </c>
      <c r="AE167" s="2">
        <f>COUNTIFS(Table1[channel],Table1[[#This Row],[channel]],Table1[prepayment_flag],1)/COUNTIF(Table1[channel],Table1[[#This Row],[channel]])</f>
        <v>7.1090047393364927E-2</v>
      </c>
      <c r="AF167" s="2">
        <f>AVERAGEIFS(Table1[interest_rate_pct],Table1[product],Table1[[#This Row],[product]],Table1[risk_band],Table1[[#This Row],[risk_band]])</f>
        <v>10.537499999999998</v>
      </c>
      <c r="AG167" s="2" t="str" cm="1">
        <f t="array" ref="AG167">_xlfn.IFS(Table1[[#This Row],[dti_ratio]] &lt; 0.2, " less than 0.2", Table1[[#This Row],[dti_ratio]] &lt; 0.3, "0.2 - 0.3", Table1[[#This Row],[dti_ratio]] &lt;= 0.5, "0.35 - 0.5", Table1[[#This Row],[dti_ratio]] &gt; 0.5, "greater than 0.5")</f>
        <v>0.2 - 0.3</v>
      </c>
      <c r="AH167" s="2">
        <f>COUNTIF(Table1[DTI band],Table1[[#This Row],[DTI band]])</f>
        <v>122</v>
      </c>
      <c r="AI167" s="2" t="str" cm="1">
        <f t="array" ref="AI167">_xlfn.IFS(Table1[[#This Row],[ltv_ratio]] &lt; 0.6, "less than 0.6 -less risky", Table1[[#This Row],[ltv_ratio]]  &lt;= 0.8, "0.6 - 0.8 -medium risky",Table1[[#This Row],[ltv_ratio]] &gt; 0.8, "greater than 0.8 -highly risky")</f>
        <v>0.6 - 0.8 -medium risky</v>
      </c>
      <c r="AJ167" s="2">
        <f>COUNTIF(Table1[LTV band],Table1[[#This Row],[LTV band]])</f>
        <v>302</v>
      </c>
      <c r="AK167" s="2">
        <f>COUNTIFS(Table1[count_loan_perband],Table1[[#This Row],[count_loan_perband]],Table1[default_flag],1)/COUNTIF(Table1[count_loan_perband],Table1[[#This Row],[count_loan_perband]])</f>
        <v>3.6423841059602648E-2</v>
      </c>
      <c r="AL167" s="2" t="str" cm="1">
        <f t="array" ref="AL167">_xlfn.IFS(Table1[[#This Row],[loan_amount]] &lt; 900000, "lower size (&lt; 9L)", Table1[[#This Row],[loan_amount]] &lt;=3300000, "medium size (&lt;=33L)", Table1[[#This Row],[loan_amount]] &gt; 3300000, "larger size (&gt; 33L)")</f>
        <v>medium size (&lt;=33L)</v>
      </c>
      <c r="AM167" s="2">
        <f>IF(Table1[[#This Row],[dpd]] &gt;=30,1,0)</f>
        <v>0</v>
      </c>
      <c r="AN167" s="2">
        <f>COUNTIFS(Table1[Loan size],Table1[[#This Row],[Loan size]],Table1[dpd flag],1)/COUNTIF(Table1[Loan size],Table1[[#This Row],[Loan size]])</f>
        <v>0.15909090909090909</v>
      </c>
      <c r="AO167" s="2" t="str">
        <f>IF(OR(Table1[[#This Row],[credit_score]] &lt; 600, Table1[ [#This Row],[dti_ratio] ] &gt; 0.5, Table1[[#This Row],[dpd]] &gt;=30), "high risk", " not riskY")</f>
        <v xml:space="preserve"> not riskY</v>
      </c>
      <c r="AP167" s="26">
        <f>EOMONTH(Table1[[#This Row],[origination_date]],0)</f>
        <v>44712</v>
      </c>
      <c r="AQ167" s="2">
        <f>SUMIFS(Table1[loan_amount],Table1[origination month],Table1[[#This Row],[origination month]])</f>
        <v>10302800</v>
      </c>
      <c r="AR167" s="2">
        <f>AVERAGEIFS(Table1[months_on_book],Table1[product],Table1[[#This Row],[product]])</f>
        <v>19.091954022988507</v>
      </c>
      <c r="AS167" s="2" t="str">
        <f ca="1">IF(EDATE(Table1[[#This Row],[origination_date]],6) &gt;= TODAY(), "New Loan", "Old Loan")</f>
        <v>Old Loan</v>
      </c>
      <c r="AT167" s="2" t="str">
        <f>"Q"&amp;ROUNDUP(MONTH(Table1[[#This Row],[origination_date]])/3,0)&amp;YEAR(Table1[[#This Row],[origination_date]])</f>
        <v>Q22022</v>
      </c>
      <c r="AU167" s="2">
        <f>SUMIFS(Table1[loan_amount],Table1[quarter],Table1[[#This Row],[quarter]])</f>
        <v>45395100</v>
      </c>
      <c r="AV167" s="34" t="str">
        <f>_xlfn.TEXTJOIN("|",TRUE,Table1[[#This Row],[loan_id]:[loan_status]])</f>
        <v>L90250953|C7022171|44709|SME Loan|Online|South|Contract|18|3136300|11.56|190618|1205997|751|A|0.29|0.65|4854300|18|3305004|48830|10|0|0|Closed</v>
      </c>
      <c r="AW167" s="42">
        <f>YEAR(Loan_Table[ [#This Row],[origination_date] ])</f>
        <v>2023</v>
      </c>
    </row>
    <row r="168" spans="2:49" ht="18" customHeight="1">
      <c r="B168" s="5" t="s">
        <v>456</v>
      </c>
      <c r="C168" s="2" t="s">
        <v>457</v>
      </c>
      <c r="D168" s="3">
        <v>44671</v>
      </c>
      <c r="E168" s="2" t="s">
        <v>177</v>
      </c>
      <c r="F168" s="2" t="s">
        <v>144</v>
      </c>
      <c r="G168" s="2" t="s">
        <v>139</v>
      </c>
      <c r="H168" s="2" t="s">
        <v>152</v>
      </c>
      <c r="I168" s="2">
        <v>240</v>
      </c>
      <c r="J168" s="2">
        <v>1196800</v>
      </c>
      <c r="K168" s="2">
        <v>10.1</v>
      </c>
      <c r="L168" s="2">
        <v>11629</v>
      </c>
      <c r="M168" s="2">
        <v>708174</v>
      </c>
      <c r="N168" s="2">
        <v>743</v>
      </c>
      <c r="O168" s="2" t="s">
        <v>135</v>
      </c>
      <c r="P168" s="2">
        <v>0.28999999999999998</v>
      </c>
      <c r="Q168" s="2">
        <v>0.66</v>
      </c>
      <c r="R168" s="2">
        <v>0</v>
      </c>
      <c r="S168" s="2">
        <v>44</v>
      </c>
      <c r="T168" s="2">
        <v>436995</v>
      </c>
      <c r="U168" s="2">
        <v>937091</v>
      </c>
      <c r="V168" s="2">
        <v>0</v>
      </c>
      <c r="W168" s="2">
        <v>0</v>
      </c>
      <c r="X168" s="2">
        <v>0</v>
      </c>
      <c r="Y168" s="2" t="s">
        <v>148</v>
      </c>
      <c r="Z168" s="12">
        <f>SUMIF(Table1[product],Table1[[#This Row],[product]],Table1[loan_amount])</f>
        <v>62765800</v>
      </c>
      <c r="AA168" s="15">
        <f>SUMIF(Table1[region],Table1[[#This Row],[region]],Table1[current_balance])</f>
        <v>83903255</v>
      </c>
      <c r="AB168" s="2">
        <f>COUNTIF(Table1[loan_status],Table1[[#This Row],[loan_status]])</f>
        <v>301</v>
      </c>
      <c r="AC168" s="2">
        <f>COUNTIF(Table1[default_flag],1)/ROWS(Table1[loan_id])</f>
        <v>2.5999999999999999E-2</v>
      </c>
      <c r="AD168" s="2">
        <f>COUNTIFS(Table1[region],Table1[[#This Row],[region]],Table1[default_flag],1)/COUNTIF(Table1[region],Table1[[#This Row],[region]])</f>
        <v>4.2553191489361701E-2</v>
      </c>
      <c r="AE168" s="2">
        <f>COUNTIFS(Table1[channel],Table1[[#This Row],[channel]],Table1[prepayment_flag],1)/COUNTIF(Table1[channel],Table1[[#This Row],[channel]])</f>
        <v>5.8201058201058198E-2</v>
      </c>
      <c r="AF168" s="2">
        <f>AVERAGEIFS(Table1[interest_rate_pct],Table1[product],Table1[[#This Row],[product]],Table1[risk_band],Table1[[#This Row],[risk_band]])</f>
        <v>10.832666666666663</v>
      </c>
      <c r="AG168" s="2" t="str" cm="1">
        <f t="array" ref="AG168">_xlfn.IFS(Table1[[#This Row],[dti_ratio]] &lt; 0.2, " less than 0.2", Table1[[#This Row],[dti_ratio]] &lt; 0.3, "0.2 - 0.3", Table1[[#This Row],[dti_ratio]] &lt;= 0.5, "0.35 - 0.5", Table1[[#This Row],[dti_ratio]] &gt; 0.5, "greater than 0.5")</f>
        <v>0.2 - 0.3</v>
      </c>
      <c r="AH168" s="2">
        <f>COUNTIF(Table1[DTI band],Table1[[#This Row],[DTI band]])</f>
        <v>122</v>
      </c>
      <c r="AI168" s="2" t="str" cm="1">
        <f t="array" ref="AI168">_xlfn.IFS(Table1[[#This Row],[ltv_ratio]] &lt; 0.6, "less than 0.6 -less risky", Table1[[#This Row],[ltv_ratio]]  &lt;= 0.8, "0.6 - 0.8 -medium risky",Table1[[#This Row],[ltv_ratio]] &gt; 0.8, "greater than 0.8 -highly risky")</f>
        <v>0.6 - 0.8 -medium risky</v>
      </c>
      <c r="AJ168" s="2">
        <f>COUNTIF(Table1[LTV band],Table1[[#This Row],[LTV band]])</f>
        <v>302</v>
      </c>
      <c r="AK168" s="2">
        <f>COUNTIFS(Table1[count_loan_perband],Table1[[#This Row],[count_loan_perband]],Table1[default_flag],1)/COUNTIF(Table1[count_loan_perband],Table1[[#This Row],[count_loan_perband]])</f>
        <v>3.6423841059602648E-2</v>
      </c>
      <c r="AL168" s="2" t="str" cm="1">
        <f t="array" ref="AL168">_xlfn.IFS(Table1[[#This Row],[loan_amount]] &lt; 900000, "lower size (&lt; 9L)", Table1[[#This Row],[loan_amount]] &lt;=3300000, "medium size (&lt;=33L)", Table1[[#This Row],[loan_amount]] &gt; 3300000, "larger size (&gt; 33L)")</f>
        <v>medium size (&lt;=33L)</v>
      </c>
      <c r="AM168" s="2">
        <f>IF(Table1[[#This Row],[dpd]] &gt;=30,1,0)</f>
        <v>0</v>
      </c>
      <c r="AN168" s="2">
        <f>COUNTIFS(Table1[Loan size],Table1[[#This Row],[Loan size]],Table1[dpd flag],1)/COUNTIF(Table1[Loan size],Table1[[#This Row],[Loan size]])</f>
        <v>0.15909090909090909</v>
      </c>
      <c r="AO168" s="2" t="str">
        <f>IF(OR(Table1[[#This Row],[credit_score]] &lt; 600, Table1[ [#This Row],[dti_ratio] ] &gt; 0.5, Table1[[#This Row],[dpd]] &gt;=30), "high risk", " not riskY")</f>
        <v xml:space="preserve"> not riskY</v>
      </c>
      <c r="AP168" s="26">
        <f>EOMONTH(Table1[[#This Row],[origination_date]],0)</f>
        <v>44681</v>
      </c>
      <c r="AQ168" s="2">
        <f>SUMIFS(Table1[loan_amount],Table1[origination month],Table1[[#This Row],[origination month]])</f>
        <v>23903900</v>
      </c>
      <c r="AR168" s="2">
        <f>AVERAGEIFS(Table1[months_on_book],Table1[product],Table1[[#This Row],[product]])</f>
        <v>21.962962962962962</v>
      </c>
      <c r="AS168" s="2" t="str">
        <f ca="1">IF(EDATE(Table1[[#This Row],[origination_date]],6) &gt;= TODAY(), "New Loan", "Old Loan")</f>
        <v>Old Loan</v>
      </c>
      <c r="AT168" s="2" t="str">
        <f>"Q"&amp;ROUNDUP(MONTH(Table1[[#This Row],[origination_date]])/3,0)&amp;YEAR(Table1[[#This Row],[origination_date]])</f>
        <v>Q22022</v>
      </c>
      <c r="AU168" s="2">
        <f>SUMIFS(Table1[loan_amount],Table1[quarter],Table1[[#This Row],[quarter]])</f>
        <v>45395100</v>
      </c>
      <c r="AV168" s="34" t="str">
        <f>_xlfn.TEXTJOIN("|",TRUE,Table1[[#This Row],[loan_id]:[loan_status]])</f>
        <v>L78390949|C9859804|44671|Education Loan|Branch|West|Self-Employed|240|1196800|10.1|11629|708174|743|B|0.29|0.66|0|44|436995|937091|0|0|0|Active</v>
      </c>
      <c r="AW168" s="42">
        <f>YEAR(Loan_Table[ [#This Row],[origination_date] ])</f>
        <v>2023</v>
      </c>
    </row>
    <row r="169" spans="2:49" ht="18" customHeight="1">
      <c r="B169" s="5" t="s">
        <v>458</v>
      </c>
      <c r="C169" s="2" t="s">
        <v>459</v>
      </c>
      <c r="D169" s="3">
        <v>44732</v>
      </c>
      <c r="E169" s="2" t="s">
        <v>131</v>
      </c>
      <c r="F169" s="2" t="s">
        <v>132</v>
      </c>
      <c r="G169" s="2" t="s">
        <v>151</v>
      </c>
      <c r="H169" s="2" t="s">
        <v>134</v>
      </c>
      <c r="I169" s="2">
        <v>24</v>
      </c>
      <c r="J169" s="2">
        <v>62400</v>
      </c>
      <c r="K169" s="2">
        <v>22.12</v>
      </c>
      <c r="L169" s="2">
        <v>3241</v>
      </c>
      <c r="M169" s="2">
        <v>903781</v>
      </c>
      <c r="N169" s="2">
        <v>602</v>
      </c>
      <c r="O169" s="2" t="s">
        <v>147</v>
      </c>
      <c r="P169" s="2">
        <v>0.28000000000000003</v>
      </c>
      <c r="Q169" s="2">
        <v>0.65</v>
      </c>
      <c r="R169" s="2">
        <v>0</v>
      </c>
      <c r="S169" s="2">
        <v>24</v>
      </c>
      <c r="T169" s="2">
        <v>73058</v>
      </c>
      <c r="U169" s="2">
        <v>384</v>
      </c>
      <c r="V169" s="2">
        <v>0</v>
      </c>
      <c r="W169" s="2">
        <v>0</v>
      </c>
      <c r="X169" s="2">
        <v>0</v>
      </c>
      <c r="Y169" s="2" t="s">
        <v>141</v>
      </c>
      <c r="Z169" s="12">
        <f>SUMIF(Table1[product],Table1[[#This Row],[product]],Table1[loan_amount])</f>
        <v>74897600</v>
      </c>
      <c r="AA169" s="15">
        <f>SUMIF(Table1[region],Table1[[#This Row],[region]],Table1[current_balance])</f>
        <v>105779369</v>
      </c>
      <c r="AB169" s="2">
        <f>COUNTIF(Table1[loan_status],Table1[[#This Row],[loan_status]])</f>
        <v>139</v>
      </c>
      <c r="AC169" s="2">
        <f>COUNTIF(Table1[default_flag],1)/ROWS(Table1[loan_id])</f>
        <v>2.5999999999999999E-2</v>
      </c>
      <c r="AD169" s="2">
        <f>COUNTIFS(Table1[region],Table1[[#This Row],[region]],Table1[default_flag],1)/COUNTIF(Table1[region],Table1[[#This Row],[region]])</f>
        <v>2.6548672566371681E-2</v>
      </c>
      <c r="AE169" s="2">
        <f>COUNTIFS(Table1[channel],Table1[[#This Row],[channel]],Table1[prepayment_flag],1)/COUNTIF(Table1[channel],Table1[[#This Row],[channel]])</f>
        <v>7.1090047393364927E-2</v>
      </c>
      <c r="AF169" s="2">
        <f>AVERAGEIFS(Table1[interest_rate_pct],Table1[product],Table1[[#This Row],[product]],Table1[risk_band],Table1[[#This Row],[risk_band]])</f>
        <v>20.962592592592593</v>
      </c>
      <c r="AG169" s="2" t="str" cm="1">
        <f t="array" ref="AG169">_xlfn.IFS(Table1[[#This Row],[dti_ratio]] &lt; 0.2, " less than 0.2", Table1[[#This Row],[dti_ratio]] &lt; 0.3, "0.2 - 0.3", Table1[[#This Row],[dti_ratio]] &lt;= 0.5, "0.35 - 0.5", Table1[[#This Row],[dti_ratio]] &gt; 0.5, "greater than 0.5")</f>
        <v>0.2 - 0.3</v>
      </c>
      <c r="AH169" s="2">
        <f>COUNTIF(Table1[DTI band],Table1[[#This Row],[DTI band]])</f>
        <v>122</v>
      </c>
      <c r="AI169" s="2" t="str" cm="1">
        <f t="array" ref="AI169">_xlfn.IFS(Table1[[#This Row],[ltv_ratio]] &lt; 0.6, "less than 0.6 -less risky", Table1[[#This Row],[ltv_ratio]]  &lt;= 0.8, "0.6 - 0.8 -medium risky",Table1[[#This Row],[ltv_ratio]] &gt; 0.8, "greater than 0.8 -highly risky")</f>
        <v>0.6 - 0.8 -medium risky</v>
      </c>
      <c r="AJ169" s="2">
        <f>COUNTIF(Table1[LTV band],Table1[[#This Row],[LTV band]])</f>
        <v>302</v>
      </c>
      <c r="AK169" s="2">
        <f>COUNTIFS(Table1[count_loan_perband],Table1[[#This Row],[count_loan_perband]],Table1[default_flag],1)/COUNTIF(Table1[count_loan_perband],Table1[[#This Row],[count_loan_perband]])</f>
        <v>3.6423841059602648E-2</v>
      </c>
      <c r="AL169" s="2" t="str" cm="1">
        <f t="array" ref="AL169">_xlfn.IFS(Table1[[#This Row],[loan_amount]] &lt; 900000, "lower size (&lt; 9L)", Table1[[#This Row],[loan_amount]] &lt;=3300000, "medium size (&lt;=33L)", Table1[[#This Row],[loan_amount]] &gt; 3300000, "larger size (&gt; 33L)")</f>
        <v>lower size (&lt; 9L)</v>
      </c>
      <c r="AM169" s="2">
        <f>IF(Table1[[#This Row],[dpd]] &gt;=30,1,0)</f>
        <v>0</v>
      </c>
      <c r="AN169" s="2">
        <f>COUNTIFS(Table1[Loan size],Table1[[#This Row],[Loan size]],Table1[dpd flag],1)/COUNTIF(Table1[Loan size],Table1[[#This Row],[Loan size]])</f>
        <v>0.13934426229508196</v>
      </c>
      <c r="AO169" s="2" t="str">
        <f>IF(OR(Table1[[#This Row],[credit_score]] &lt; 600, Table1[ [#This Row],[dti_ratio] ] &gt; 0.5, Table1[[#This Row],[dpd]] &gt;=30), "high risk", " not riskY")</f>
        <v xml:space="preserve"> not riskY</v>
      </c>
      <c r="AP169" s="26">
        <f>EOMONTH(Table1[[#This Row],[origination_date]],0)</f>
        <v>44742</v>
      </c>
      <c r="AQ169" s="2">
        <f>SUMIFS(Table1[loan_amount],Table1[origination month],Table1[[#This Row],[origination month]])</f>
        <v>11188400</v>
      </c>
      <c r="AR169" s="2">
        <f>AVERAGEIFS(Table1[months_on_book],Table1[product],Table1[[#This Row],[product]])</f>
        <v>21.092024539877301</v>
      </c>
      <c r="AS169" s="2" t="str">
        <f ca="1">IF(EDATE(Table1[[#This Row],[origination_date]],6) &gt;= TODAY(), "New Loan", "Old Loan")</f>
        <v>Old Loan</v>
      </c>
      <c r="AT169" s="2" t="str">
        <f>"Q"&amp;ROUNDUP(MONTH(Table1[[#This Row],[origination_date]])/3,0)&amp;YEAR(Table1[[#This Row],[origination_date]])</f>
        <v>Q22022</v>
      </c>
      <c r="AU169" s="2">
        <f>SUMIFS(Table1[loan_amount],Table1[quarter],Table1[[#This Row],[quarter]])</f>
        <v>45395100</v>
      </c>
      <c r="AV169" s="34" t="str">
        <f>_xlfn.TEXTJOIN("|",TRUE,Table1[[#This Row],[loan_id]:[loan_status]])</f>
        <v>L36182605|C9184928|44732|Personal Loan|Online|North|Salaried|24|62400|22.12|3241|903781|602|D|0.28|0.65|0|24|73058|384|0|0|0|Closed</v>
      </c>
      <c r="AW169" s="42">
        <f>YEAR(Loan_Table[ [#This Row],[origination_date] ])</f>
        <v>2023</v>
      </c>
    </row>
    <row r="170" spans="2:49" ht="18" customHeight="1">
      <c r="B170" s="5" t="s">
        <v>460</v>
      </c>
      <c r="C170" s="2" t="s">
        <v>461</v>
      </c>
      <c r="D170" s="3">
        <v>44667</v>
      </c>
      <c r="E170" s="2" t="s">
        <v>169</v>
      </c>
      <c r="F170" s="2" t="s">
        <v>159</v>
      </c>
      <c r="G170" s="2" t="s">
        <v>145</v>
      </c>
      <c r="H170" s="2" t="s">
        <v>134</v>
      </c>
      <c r="I170" s="2">
        <v>12</v>
      </c>
      <c r="J170" s="2">
        <v>6157300</v>
      </c>
      <c r="K170" s="2">
        <v>14.55</v>
      </c>
      <c r="L170" s="2">
        <v>554441</v>
      </c>
      <c r="M170" s="2">
        <v>1073346</v>
      </c>
      <c r="N170" s="2">
        <v>605</v>
      </c>
      <c r="O170" s="2" t="s">
        <v>147</v>
      </c>
      <c r="P170" s="2">
        <v>0.24</v>
      </c>
      <c r="Q170" s="2">
        <v>0.78</v>
      </c>
      <c r="R170" s="2">
        <v>7926200</v>
      </c>
      <c r="S170" s="2">
        <v>12</v>
      </c>
      <c r="T170" s="2">
        <v>6027883</v>
      </c>
      <c r="U170" s="2">
        <v>487772</v>
      </c>
      <c r="V170" s="2">
        <v>0</v>
      </c>
      <c r="W170" s="2">
        <v>0</v>
      </c>
      <c r="X170" s="2">
        <v>0</v>
      </c>
      <c r="Y170" s="2" t="s">
        <v>141</v>
      </c>
      <c r="Z170" s="12">
        <f>SUMIF(Table1[product],Table1[[#This Row],[product]],Table1[loan_amount])</f>
        <v>403369500</v>
      </c>
      <c r="AA170" s="15">
        <f>SUMIF(Table1[region],Table1[[#This Row],[region]],Table1[current_balance])</f>
        <v>98928695</v>
      </c>
      <c r="AB170" s="2">
        <f>COUNTIF(Table1[loan_status],Table1[[#This Row],[loan_status]])</f>
        <v>139</v>
      </c>
      <c r="AC170" s="2">
        <f>COUNTIF(Table1[default_flag],1)/ROWS(Table1[loan_id])</f>
        <v>2.5999999999999999E-2</v>
      </c>
      <c r="AD170" s="2">
        <f>COUNTIFS(Table1[region],Table1[[#This Row],[region]],Table1[default_flag],1)/COUNTIF(Table1[region],Table1[[#This Row],[region]])</f>
        <v>2.8571428571428571E-2</v>
      </c>
      <c r="AE170" s="2">
        <f>COUNTIFS(Table1[channel],Table1[[#This Row],[channel]],Table1[prepayment_flag],1)/COUNTIF(Table1[channel],Table1[[#This Row],[channel]])</f>
        <v>0.1</v>
      </c>
      <c r="AF170" s="2">
        <f>AVERAGEIFS(Table1[interest_rate_pct],Table1[product],Table1[[#This Row],[product]],Table1[risk_band],Table1[[#This Row],[risk_band]])</f>
        <v>13.406874999999999</v>
      </c>
      <c r="AG170" s="2" t="str" cm="1">
        <f t="array" ref="AG170">_xlfn.IFS(Table1[[#This Row],[dti_ratio]] &lt; 0.2, " less than 0.2", Table1[[#This Row],[dti_ratio]] &lt; 0.3, "0.2 - 0.3", Table1[[#This Row],[dti_ratio]] &lt;= 0.5, "0.35 - 0.5", Table1[[#This Row],[dti_ratio]] &gt; 0.5, "greater than 0.5")</f>
        <v>0.2 - 0.3</v>
      </c>
      <c r="AH170" s="2">
        <f>COUNTIF(Table1[DTI band],Table1[[#This Row],[DTI band]])</f>
        <v>122</v>
      </c>
      <c r="AI170" s="2" t="str" cm="1">
        <f t="array" ref="AI170">_xlfn.IFS(Table1[[#This Row],[ltv_ratio]] &lt; 0.6, "less than 0.6 -less risky", Table1[[#This Row],[ltv_ratio]]  &lt;= 0.8, "0.6 - 0.8 -medium risky",Table1[[#This Row],[ltv_ratio]] &gt; 0.8, "greater than 0.8 -highly risky")</f>
        <v>0.6 - 0.8 -medium risky</v>
      </c>
      <c r="AJ170" s="2">
        <f>COUNTIF(Table1[LTV band],Table1[[#This Row],[LTV band]])</f>
        <v>302</v>
      </c>
      <c r="AK170" s="2">
        <f>COUNTIFS(Table1[count_loan_perband],Table1[[#This Row],[count_loan_perband]],Table1[default_flag],1)/COUNTIF(Table1[count_loan_perband],Table1[[#This Row],[count_loan_perband]])</f>
        <v>3.6423841059602648E-2</v>
      </c>
      <c r="AL170" s="2" t="str" cm="1">
        <f t="array" ref="AL170">_xlfn.IFS(Table1[[#This Row],[loan_amount]] &lt; 900000, "lower size (&lt; 9L)", Table1[[#This Row],[loan_amount]] &lt;=3300000, "medium size (&lt;=33L)", Table1[[#This Row],[loan_amount]] &gt; 3300000, "larger size (&gt; 33L)")</f>
        <v>larger size (&gt; 33L)</v>
      </c>
      <c r="AM170" s="2">
        <f>IF(Table1[[#This Row],[dpd]] &gt;=30,1,0)</f>
        <v>0</v>
      </c>
      <c r="AN170" s="2">
        <f>COUNTIFS(Table1[Loan size],Table1[[#This Row],[Loan size]],Table1[dpd flag],1)/COUNTIF(Table1[Loan size],Table1[[#This Row],[Loan size]])</f>
        <v>0.16250000000000001</v>
      </c>
      <c r="AO170" s="2" t="str">
        <f>IF(OR(Table1[[#This Row],[credit_score]] &lt; 600, Table1[ [#This Row],[dti_ratio] ] &gt; 0.5, Table1[[#This Row],[dpd]] &gt;=30), "high risk", " not riskY")</f>
        <v xml:space="preserve"> not riskY</v>
      </c>
      <c r="AP170" s="26">
        <f>EOMONTH(Table1[[#This Row],[origination_date]],0)</f>
        <v>44681</v>
      </c>
      <c r="AQ170" s="2">
        <f>SUMIFS(Table1[loan_amount],Table1[origination month],Table1[[#This Row],[origination month]])</f>
        <v>23903900</v>
      </c>
      <c r="AR170" s="2">
        <f>AVERAGEIFS(Table1[months_on_book],Table1[product],Table1[[#This Row],[product]])</f>
        <v>20.516129032258064</v>
      </c>
      <c r="AS170" s="2" t="str">
        <f ca="1">IF(EDATE(Table1[[#This Row],[origination_date]],6) &gt;= TODAY(), "New Loan", "Old Loan")</f>
        <v>Old Loan</v>
      </c>
      <c r="AT170" s="2" t="str">
        <f>"Q"&amp;ROUNDUP(MONTH(Table1[[#This Row],[origination_date]])/3,0)&amp;YEAR(Table1[[#This Row],[origination_date]])</f>
        <v>Q22022</v>
      </c>
      <c r="AU170" s="2">
        <f>SUMIFS(Table1[loan_amount],Table1[quarter],Table1[[#This Row],[quarter]])</f>
        <v>45395100</v>
      </c>
      <c r="AV170" s="34" t="str">
        <f>_xlfn.TEXTJOIN("|",TRUE,Table1[[#This Row],[loan_id]:[loan_status]])</f>
        <v>L54459173|C1776329|44667|Home Loan|Partner|Central|Salaried|12|6157300|14.55|554441|1073346|605|D|0.24|0.78|7926200|12|6027883|487772|0|0|0|Closed</v>
      </c>
      <c r="AW170" s="42">
        <f>YEAR(Loan_Table[ [#This Row],[origination_date] ])</f>
        <v>2023</v>
      </c>
    </row>
    <row r="171" spans="2:49" ht="18" customHeight="1">
      <c r="B171" s="5" t="s">
        <v>462</v>
      </c>
      <c r="C171" s="2" t="s">
        <v>463</v>
      </c>
      <c r="D171" s="3">
        <v>44718</v>
      </c>
      <c r="E171" s="2" t="s">
        <v>131</v>
      </c>
      <c r="F171" s="2" t="s">
        <v>132</v>
      </c>
      <c r="G171" s="2" t="s">
        <v>139</v>
      </c>
      <c r="H171" s="2" t="s">
        <v>152</v>
      </c>
      <c r="I171" s="2">
        <v>48</v>
      </c>
      <c r="J171" s="2">
        <v>199600</v>
      </c>
      <c r="K171" s="2">
        <v>15.46</v>
      </c>
      <c r="L171" s="2">
        <v>5602</v>
      </c>
      <c r="M171" s="2">
        <v>923644</v>
      </c>
      <c r="N171" s="2">
        <v>720</v>
      </c>
      <c r="O171" s="2" t="s">
        <v>135</v>
      </c>
      <c r="P171" s="2">
        <v>0.22</v>
      </c>
      <c r="Q171" s="2">
        <v>0.92</v>
      </c>
      <c r="R171" s="2">
        <v>0</v>
      </c>
      <c r="S171" s="2">
        <v>42</v>
      </c>
      <c r="T171" s="2">
        <v>224936</v>
      </c>
      <c r="U171" s="2">
        <v>17865</v>
      </c>
      <c r="V171" s="2">
        <v>0</v>
      </c>
      <c r="W171" s="2">
        <v>0</v>
      </c>
      <c r="X171" s="2">
        <v>0</v>
      </c>
      <c r="Y171" s="2" t="s">
        <v>148</v>
      </c>
      <c r="Z171" s="12">
        <f>SUMIF(Table1[product],Table1[[#This Row],[product]],Table1[loan_amount])</f>
        <v>74897600</v>
      </c>
      <c r="AA171" s="15">
        <f>SUMIF(Table1[region],Table1[[#This Row],[region]],Table1[current_balance])</f>
        <v>83903255</v>
      </c>
      <c r="AB171" s="2">
        <f>COUNTIF(Table1[loan_status],Table1[[#This Row],[loan_status]])</f>
        <v>301</v>
      </c>
      <c r="AC171" s="2">
        <f>COUNTIF(Table1[default_flag],1)/ROWS(Table1[loan_id])</f>
        <v>2.5999999999999999E-2</v>
      </c>
      <c r="AD171" s="2">
        <f>COUNTIFS(Table1[region],Table1[[#This Row],[region]],Table1[default_flag],1)/COUNTIF(Table1[region],Table1[[#This Row],[region]])</f>
        <v>4.2553191489361701E-2</v>
      </c>
      <c r="AE171" s="2">
        <f>COUNTIFS(Table1[channel],Table1[[#This Row],[channel]],Table1[prepayment_flag],1)/COUNTIF(Table1[channel],Table1[[#This Row],[channel]])</f>
        <v>7.1090047393364927E-2</v>
      </c>
      <c r="AF171" s="2">
        <f>AVERAGEIFS(Table1[interest_rate_pct],Table1[product],Table1[[#This Row],[product]],Table1[risk_band],Table1[[#This Row],[risk_band]])</f>
        <v>16.500166666666669</v>
      </c>
      <c r="AG171" s="2" t="str" cm="1">
        <f t="array" ref="AG171">_xlfn.IFS(Table1[[#This Row],[dti_ratio]] &lt; 0.2, " less than 0.2", Table1[[#This Row],[dti_ratio]] &lt; 0.3, "0.2 - 0.3", Table1[[#This Row],[dti_ratio]] &lt;= 0.5, "0.35 - 0.5", Table1[[#This Row],[dti_ratio]] &gt; 0.5, "greater than 0.5")</f>
        <v>0.2 - 0.3</v>
      </c>
      <c r="AH171" s="2">
        <f>COUNTIF(Table1[DTI band],Table1[[#This Row],[DTI band]])</f>
        <v>122</v>
      </c>
      <c r="AI171" s="2" t="str" cm="1">
        <f t="array" ref="AI171">_xlfn.IFS(Table1[[#This Row],[ltv_ratio]] &lt; 0.6, "less than 0.6 -less risky", Table1[[#This Row],[ltv_ratio]]  &lt;= 0.8, "0.6 - 0.8 -medium risky",Table1[[#This Row],[ltv_ratio]] &gt; 0.8, "greater than 0.8 -highly risky")</f>
        <v>greater than 0.8 -highly risky</v>
      </c>
      <c r="AJ171" s="2">
        <f>COUNTIF(Table1[LTV band],Table1[[#This Row],[LTV band]])</f>
        <v>141</v>
      </c>
      <c r="AK171" s="2">
        <f>COUNTIFS(Table1[count_loan_perband],Table1[[#This Row],[count_loan_perband]],Table1[default_flag],1)/COUNTIF(Table1[count_loan_perband],Table1[[#This Row],[count_loan_perband]])</f>
        <v>1.4184397163120567E-2</v>
      </c>
      <c r="AL171" s="2" t="str" cm="1">
        <f t="array" ref="AL171">_xlfn.IFS(Table1[[#This Row],[loan_amount]] &lt; 900000, "lower size (&lt; 9L)", Table1[[#This Row],[loan_amount]] &lt;=3300000, "medium size (&lt;=33L)", Table1[[#This Row],[loan_amount]] &gt; 3300000, "larger size (&gt; 33L)")</f>
        <v>lower size (&lt; 9L)</v>
      </c>
      <c r="AM171" s="2">
        <f>IF(Table1[[#This Row],[dpd]] &gt;=30,1,0)</f>
        <v>0</v>
      </c>
      <c r="AN171" s="2">
        <f>COUNTIFS(Table1[Loan size],Table1[[#This Row],[Loan size]],Table1[dpd flag],1)/COUNTIF(Table1[Loan size],Table1[[#This Row],[Loan size]])</f>
        <v>0.13934426229508196</v>
      </c>
      <c r="AO171" s="2" t="str">
        <f>IF(OR(Table1[[#This Row],[credit_score]] &lt; 600, Table1[ [#This Row],[dti_ratio] ] &gt; 0.5, Table1[[#This Row],[dpd]] &gt;=30), "high risk", " not riskY")</f>
        <v xml:space="preserve"> not riskY</v>
      </c>
      <c r="AP171" s="26">
        <f>EOMONTH(Table1[[#This Row],[origination_date]],0)</f>
        <v>44742</v>
      </c>
      <c r="AQ171" s="2">
        <f>SUMIFS(Table1[loan_amount],Table1[origination month],Table1[[#This Row],[origination month]])</f>
        <v>11188400</v>
      </c>
      <c r="AR171" s="2">
        <f>AVERAGEIFS(Table1[months_on_book],Table1[product],Table1[[#This Row],[product]])</f>
        <v>21.092024539877301</v>
      </c>
      <c r="AS171" s="2" t="str">
        <f ca="1">IF(EDATE(Table1[[#This Row],[origination_date]],6) &gt;= TODAY(), "New Loan", "Old Loan")</f>
        <v>Old Loan</v>
      </c>
      <c r="AT171" s="2" t="str">
        <f>"Q"&amp;ROUNDUP(MONTH(Table1[[#This Row],[origination_date]])/3,0)&amp;YEAR(Table1[[#This Row],[origination_date]])</f>
        <v>Q22022</v>
      </c>
      <c r="AU171" s="2">
        <f>SUMIFS(Table1[loan_amount],Table1[quarter],Table1[[#This Row],[quarter]])</f>
        <v>45395100</v>
      </c>
      <c r="AV171" s="34" t="str">
        <f>_xlfn.TEXTJOIN("|",TRUE,Table1[[#This Row],[loan_id]:[loan_status]])</f>
        <v>L36527773|C9879683|44718|Personal Loan|Online|West|Self-Employed|48|199600|15.46|5602|923644|720|B|0.22|0.92|0|42|224936|17865|0|0|0|Active</v>
      </c>
      <c r="AW171" s="42">
        <f>YEAR(Loan_Table[ [#This Row],[origination_date] ])</f>
        <v>2023</v>
      </c>
    </row>
    <row r="172" spans="2:49" ht="18" customHeight="1">
      <c r="B172" s="5" t="s">
        <v>464</v>
      </c>
      <c r="C172" s="2" t="s">
        <v>465</v>
      </c>
      <c r="D172" s="3">
        <v>44676</v>
      </c>
      <c r="E172" s="2" t="s">
        <v>169</v>
      </c>
      <c r="F172" s="2" t="s">
        <v>213</v>
      </c>
      <c r="G172" s="2" t="s">
        <v>151</v>
      </c>
      <c r="H172" s="2" t="s">
        <v>146</v>
      </c>
      <c r="I172" s="2">
        <v>36</v>
      </c>
      <c r="J172" s="2">
        <v>6201600</v>
      </c>
      <c r="K172" s="2">
        <v>10.039999999999999</v>
      </c>
      <c r="L172" s="2">
        <v>200225</v>
      </c>
      <c r="M172" s="2">
        <v>1120933</v>
      </c>
      <c r="N172" s="2">
        <v>685</v>
      </c>
      <c r="O172" s="2" t="s">
        <v>140</v>
      </c>
      <c r="P172" s="2">
        <v>0.22</v>
      </c>
      <c r="Q172" s="2">
        <v>0.72</v>
      </c>
      <c r="R172" s="2">
        <v>8644400</v>
      </c>
      <c r="S172" s="2">
        <v>36</v>
      </c>
      <c r="T172" s="2">
        <v>6608675</v>
      </c>
      <c r="U172" s="2">
        <v>340094</v>
      </c>
      <c r="V172" s="2">
        <v>0</v>
      </c>
      <c r="W172" s="2">
        <v>1</v>
      </c>
      <c r="X172" s="2">
        <v>0</v>
      </c>
      <c r="Y172" s="2" t="s">
        <v>141</v>
      </c>
      <c r="Z172" s="12">
        <f>SUMIF(Table1[product],Table1[[#This Row],[product]],Table1[loan_amount])</f>
        <v>403369500</v>
      </c>
      <c r="AA172" s="15">
        <f>SUMIF(Table1[region],Table1[[#This Row],[region]],Table1[current_balance])</f>
        <v>105779369</v>
      </c>
      <c r="AB172" s="2">
        <f>COUNTIF(Table1[loan_status],Table1[[#This Row],[loan_status]])</f>
        <v>139</v>
      </c>
      <c r="AC172" s="2">
        <f>COUNTIF(Table1[default_flag],1)/ROWS(Table1[loan_id])</f>
        <v>2.5999999999999999E-2</v>
      </c>
      <c r="AD172" s="2">
        <f>COUNTIFS(Table1[region],Table1[[#This Row],[region]],Table1[default_flag],1)/COUNTIF(Table1[region],Table1[[#This Row],[region]])</f>
        <v>2.6548672566371681E-2</v>
      </c>
      <c r="AE172" s="2">
        <f>COUNTIFS(Table1[channel],Table1[[#This Row],[channel]],Table1[prepayment_flag],1)/COUNTIF(Table1[channel],Table1[[#This Row],[channel]])</f>
        <v>0.12</v>
      </c>
      <c r="AF172" s="2">
        <f>AVERAGEIFS(Table1[interest_rate_pct],Table1[product],Table1[[#This Row],[product]],Table1[risk_band],Table1[[#This Row],[risk_band]])</f>
        <v>11.719736842105268</v>
      </c>
      <c r="AG172" s="2" t="str" cm="1">
        <f t="array" ref="AG172">_xlfn.IFS(Table1[[#This Row],[dti_ratio]] &lt; 0.2, " less than 0.2", Table1[[#This Row],[dti_ratio]] &lt; 0.3, "0.2 - 0.3", Table1[[#This Row],[dti_ratio]] &lt;= 0.5, "0.35 - 0.5", Table1[[#This Row],[dti_ratio]] &gt; 0.5, "greater than 0.5")</f>
        <v>0.2 - 0.3</v>
      </c>
      <c r="AH172" s="2">
        <f>COUNTIF(Table1[DTI band],Table1[[#This Row],[DTI band]])</f>
        <v>122</v>
      </c>
      <c r="AI172" s="2" t="str" cm="1">
        <f t="array" ref="AI172">_xlfn.IFS(Table1[[#This Row],[ltv_ratio]] &lt; 0.6, "less than 0.6 -less risky", Table1[[#This Row],[ltv_ratio]]  &lt;= 0.8, "0.6 - 0.8 -medium risky",Table1[[#This Row],[ltv_ratio]] &gt; 0.8, "greater than 0.8 -highly risky")</f>
        <v>0.6 - 0.8 -medium risky</v>
      </c>
      <c r="AJ172" s="2">
        <f>COUNTIF(Table1[LTV band],Table1[[#This Row],[LTV band]])</f>
        <v>302</v>
      </c>
      <c r="AK172" s="2">
        <f>COUNTIFS(Table1[count_loan_perband],Table1[[#This Row],[count_loan_perband]],Table1[default_flag],1)/COUNTIF(Table1[count_loan_perband],Table1[[#This Row],[count_loan_perband]])</f>
        <v>3.6423841059602648E-2</v>
      </c>
      <c r="AL172" s="2" t="str" cm="1">
        <f t="array" ref="AL172">_xlfn.IFS(Table1[[#This Row],[loan_amount]] &lt; 900000, "lower size (&lt; 9L)", Table1[[#This Row],[loan_amount]] &lt;=3300000, "medium size (&lt;=33L)", Table1[[#This Row],[loan_amount]] &gt; 3300000, "larger size (&gt; 33L)")</f>
        <v>larger size (&gt; 33L)</v>
      </c>
      <c r="AM172" s="2">
        <f>IF(Table1[[#This Row],[dpd]] &gt;=30,1,0)</f>
        <v>0</v>
      </c>
      <c r="AN172" s="2">
        <f>COUNTIFS(Table1[Loan size],Table1[[#This Row],[Loan size]],Table1[dpd flag],1)/COUNTIF(Table1[Loan size],Table1[[#This Row],[Loan size]])</f>
        <v>0.16250000000000001</v>
      </c>
      <c r="AO172" s="2" t="str">
        <f>IF(OR(Table1[[#This Row],[credit_score]] &lt; 600, Table1[ [#This Row],[dti_ratio] ] &gt; 0.5, Table1[[#This Row],[dpd]] &gt;=30), "high risk", " not riskY")</f>
        <v xml:space="preserve"> not riskY</v>
      </c>
      <c r="AP172" s="26">
        <f>EOMONTH(Table1[[#This Row],[origination_date]],0)</f>
        <v>44681</v>
      </c>
      <c r="AQ172" s="2">
        <f>SUMIFS(Table1[loan_amount],Table1[origination month],Table1[[#This Row],[origination month]])</f>
        <v>23903900</v>
      </c>
      <c r="AR172" s="2">
        <f>AVERAGEIFS(Table1[months_on_book],Table1[product],Table1[[#This Row],[product]])</f>
        <v>20.516129032258064</v>
      </c>
      <c r="AS172" s="2" t="str">
        <f ca="1">IF(EDATE(Table1[[#This Row],[origination_date]],6) &gt;= TODAY(), "New Loan", "Old Loan")</f>
        <v>Old Loan</v>
      </c>
      <c r="AT172" s="2" t="str">
        <f>"Q"&amp;ROUNDUP(MONTH(Table1[[#This Row],[origination_date]])/3,0)&amp;YEAR(Table1[[#This Row],[origination_date]])</f>
        <v>Q22022</v>
      </c>
      <c r="AU172" s="2">
        <f>SUMIFS(Table1[loan_amount],Table1[quarter],Table1[[#This Row],[quarter]])</f>
        <v>45395100</v>
      </c>
      <c r="AV172" s="34" t="str">
        <f>_xlfn.TEXTJOIN("|",TRUE,Table1[[#This Row],[loan_id]:[loan_status]])</f>
        <v>L90827886|C8218232|44676|Home Loan|Call Center|North|Contract|36|6201600|10.04|200225|1120933|685|C|0.22|0.72|8644400|36|6608675|340094|0|1|0|Closed</v>
      </c>
      <c r="AW172" s="42">
        <f>YEAR(Loan_Table[ [#This Row],[origination_date] ])</f>
        <v>2023</v>
      </c>
    </row>
    <row r="173" spans="2:49" ht="18" customHeight="1">
      <c r="B173" s="5" t="s">
        <v>466</v>
      </c>
      <c r="C173" s="2" t="s">
        <v>467</v>
      </c>
      <c r="D173" s="3">
        <v>44668</v>
      </c>
      <c r="E173" s="2" t="s">
        <v>131</v>
      </c>
      <c r="F173" s="2" t="s">
        <v>132</v>
      </c>
      <c r="G173" s="2" t="s">
        <v>151</v>
      </c>
      <c r="H173" s="2" t="s">
        <v>152</v>
      </c>
      <c r="I173" s="2">
        <v>18</v>
      </c>
      <c r="J173" s="2">
        <v>668600</v>
      </c>
      <c r="K173" s="2">
        <v>22.85</v>
      </c>
      <c r="L173" s="2">
        <v>44222</v>
      </c>
      <c r="M173" s="2">
        <v>837021</v>
      </c>
      <c r="N173" s="2">
        <v>595</v>
      </c>
      <c r="O173" s="2" t="s">
        <v>166</v>
      </c>
      <c r="P173" s="2">
        <v>0.21</v>
      </c>
      <c r="Q173" s="2">
        <v>0.88</v>
      </c>
      <c r="R173" s="2">
        <v>0</v>
      </c>
      <c r="S173" s="2">
        <v>18</v>
      </c>
      <c r="T173" s="2">
        <v>691085</v>
      </c>
      <c r="U173" s="2">
        <v>69180</v>
      </c>
      <c r="V173" s="2">
        <v>15</v>
      </c>
      <c r="W173" s="2">
        <v>0</v>
      </c>
      <c r="X173" s="2">
        <v>0</v>
      </c>
      <c r="Y173" s="2" t="s">
        <v>141</v>
      </c>
      <c r="Z173" s="12">
        <f>SUMIF(Table1[product],Table1[[#This Row],[product]],Table1[loan_amount])</f>
        <v>74897600</v>
      </c>
      <c r="AA173" s="15">
        <f>SUMIF(Table1[region],Table1[[#This Row],[region]],Table1[current_balance])</f>
        <v>105779369</v>
      </c>
      <c r="AB173" s="2">
        <f>COUNTIF(Table1[loan_status],Table1[[#This Row],[loan_status]])</f>
        <v>139</v>
      </c>
      <c r="AC173" s="2">
        <f>COUNTIF(Table1[default_flag],1)/ROWS(Table1[loan_id])</f>
        <v>2.5999999999999999E-2</v>
      </c>
      <c r="AD173" s="2">
        <f>COUNTIFS(Table1[region],Table1[[#This Row],[region]],Table1[default_flag],1)/COUNTIF(Table1[region],Table1[[#This Row],[region]])</f>
        <v>2.6548672566371681E-2</v>
      </c>
      <c r="AE173" s="2">
        <f>COUNTIFS(Table1[channel],Table1[[#This Row],[channel]],Table1[prepayment_flag],1)/COUNTIF(Table1[channel],Table1[[#This Row],[channel]])</f>
        <v>7.1090047393364927E-2</v>
      </c>
      <c r="AF173" s="2">
        <f>AVERAGEIFS(Table1[interest_rate_pct],Table1[product],Table1[[#This Row],[product]],Table1[risk_band],Table1[[#This Row],[risk_band]])</f>
        <v>23.803750000000001</v>
      </c>
      <c r="AG173" s="2" t="str" cm="1">
        <f t="array" ref="AG173">_xlfn.IFS(Table1[[#This Row],[dti_ratio]] &lt; 0.2, " less than 0.2", Table1[[#This Row],[dti_ratio]] &lt; 0.3, "0.2 - 0.3", Table1[[#This Row],[dti_ratio]] &lt;= 0.5, "0.35 - 0.5", Table1[[#This Row],[dti_ratio]] &gt; 0.5, "greater than 0.5")</f>
        <v>0.2 - 0.3</v>
      </c>
      <c r="AH173" s="2">
        <f>COUNTIF(Table1[DTI band],Table1[[#This Row],[DTI band]])</f>
        <v>122</v>
      </c>
      <c r="AI173" s="2" t="str" cm="1">
        <f t="array" ref="AI173">_xlfn.IFS(Table1[[#This Row],[ltv_ratio]] &lt; 0.6, "less than 0.6 -less risky", Table1[[#This Row],[ltv_ratio]]  &lt;= 0.8, "0.6 - 0.8 -medium risky",Table1[[#This Row],[ltv_ratio]] &gt; 0.8, "greater than 0.8 -highly risky")</f>
        <v>greater than 0.8 -highly risky</v>
      </c>
      <c r="AJ173" s="2">
        <f>COUNTIF(Table1[LTV band],Table1[[#This Row],[LTV band]])</f>
        <v>141</v>
      </c>
      <c r="AK173" s="2">
        <f>COUNTIFS(Table1[count_loan_perband],Table1[[#This Row],[count_loan_perband]],Table1[default_flag],1)/COUNTIF(Table1[count_loan_perband],Table1[[#This Row],[count_loan_perband]])</f>
        <v>1.4184397163120567E-2</v>
      </c>
      <c r="AL173" s="2" t="str" cm="1">
        <f t="array" ref="AL173">_xlfn.IFS(Table1[[#This Row],[loan_amount]] &lt; 900000, "lower size (&lt; 9L)", Table1[[#This Row],[loan_amount]] &lt;=3300000, "medium size (&lt;=33L)", Table1[[#This Row],[loan_amount]] &gt; 3300000, "larger size (&gt; 33L)")</f>
        <v>lower size (&lt; 9L)</v>
      </c>
      <c r="AM173" s="2">
        <f>IF(Table1[[#This Row],[dpd]] &gt;=30,1,0)</f>
        <v>0</v>
      </c>
      <c r="AN173" s="2">
        <f>COUNTIFS(Table1[Loan size],Table1[[#This Row],[Loan size]],Table1[dpd flag],1)/COUNTIF(Table1[Loan size],Table1[[#This Row],[Loan size]])</f>
        <v>0.13934426229508196</v>
      </c>
      <c r="AO173" s="2" t="str">
        <f>IF(OR(Table1[[#This Row],[credit_score]] &lt; 600, Table1[ [#This Row],[dti_ratio] ] &gt; 0.5, Table1[[#This Row],[dpd]] &gt;=30), "high risk", " not riskY")</f>
        <v>high risk</v>
      </c>
      <c r="AP173" s="26">
        <f>EOMONTH(Table1[[#This Row],[origination_date]],0)</f>
        <v>44681</v>
      </c>
      <c r="AQ173" s="2">
        <f>SUMIFS(Table1[loan_amount],Table1[origination month],Table1[[#This Row],[origination month]])</f>
        <v>23903900</v>
      </c>
      <c r="AR173" s="2">
        <f>AVERAGEIFS(Table1[months_on_book],Table1[product],Table1[[#This Row],[product]])</f>
        <v>21.092024539877301</v>
      </c>
      <c r="AS173" s="2" t="str">
        <f ca="1">IF(EDATE(Table1[[#This Row],[origination_date]],6) &gt;= TODAY(), "New Loan", "Old Loan")</f>
        <v>Old Loan</v>
      </c>
      <c r="AT173" s="2" t="str">
        <f>"Q"&amp;ROUNDUP(MONTH(Table1[[#This Row],[origination_date]])/3,0)&amp;YEAR(Table1[[#This Row],[origination_date]])</f>
        <v>Q22022</v>
      </c>
      <c r="AU173" s="2">
        <f>SUMIFS(Table1[loan_amount],Table1[quarter],Table1[[#This Row],[quarter]])</f>
        <v>45395100</v>
      </c>
      <c r="AV173" s="34" t="str">
        <f>_xlfn.TEXTJOIN("|",TRUE,Table1[[#This Row],[loan_id]:[loan_status]])</f>
        <v>L50442535|C9281059|44668|Personal Loan|Online|North|Self-Employed|18|668600|22.85|44222|837021|595|E|0.21|0.88|0|18|691085|69180|15|0|0|Closed</v>
      </c>
      <c r="AW173" s="42">
        <f>YEAR(Loan_Table[ [#This Row],[origination_date] ])</f>
        <v>2023</v>
      </c>
    </row>
    <row r="174" spans="2:49" ht="18" customHeight="1">
      <c r="B174" s="5" t="s">
        <v>468</v>
      </c>
      <c r="C174" s="2" t="s">
        <v>469</v>
      </c>
      <c r="D174" s="3">
        <v>44709</v>
      </c>
      <c r="E174" s="2" t="s">
        <v>177</v>
      </c>
      <c r="F174" s="2" t="s">
        <v>132</v>
      </c>
      <c r="G174" s="2" t="s">
        <v>133</v>
      </c>
      <c r="H174" s="2" t="s">
        <v>134</v>
      </c>
      <c r="I174" s="2">
        <v>72</v>
      </c>
      <c r="J174" s="2">
        <v>1076500</v>
      </c>
      <c r="K174" s="2">
        <v>16.37</v>
      </c>
      <c r="L174" s="2">
        <v>23571</v>
      </c>
      <c r="M174" s="2">
        <v>667889</v>
      </c>
      <c r="N174" s="2">
        <v>622</v>
      </c>
      <c r="O174" s="2" t="s">
        <v>147</v>
      </c>
      <c r="P174" s="2">
        <v>0.19</v>
      </c>
      <c r="Q174" s="2">
        <v>0.62</v>
      </c>
      <c r="R174" s="2">
        <v>0</v>
      </c>
      <c r="S174" s="2">
        <v>43</v>
      </c>
      <c r="T174" s="2">
        <v>1031940</v>
      </c>
      <c r="U174" s="2">
        <v>297146</v>
      </c>
      <c r="V174" s="2">
        <v>0</v>
      </c>
      <c r="W174" s="2">
        <v>0</v>
      </c>
      <c r="X174" s="2">
        <v>0</v>
      </c>
      <c r="Y174" s="2" t="s">
        <v>148</v>
      </c>
      <c r="Z174" s="12">
        <f>SUMIF(Table1[product],Table1[[#This Row],[product]],Table1[loan_amount])</f>
        <v>62765800</v>
      </c>
      <c r="AA174" s="15">
        <f>SUMIF(Table1[region],Table1[[#This Row],[region]],Table1[current_balance])</f>
        <v>94548000</v>
      </c>
      <c r="AB174" s="2">
        <f>COUNTIF(Table1[loan_status],Table1[[#This Row],[loan_status]])</f>
        <v>301</v>
      </c>
      <c r="AC174" s="2">
        <f>COUNTIF(Table1[default_flag],1)/ROWS(Table1[loan_id])</f>
        <v>2.5999999999999999E-2</v>
      </c>
      <c r="AD174" s="2">
        <f>COUNTIFS(Table1[region],Table1[[#This Row],[region]],Table1[default_flag],1)/COUNTIF(Table1[region],Table1[[#This Row],[region]])</f>
        <v>0</v>
      </c>
      <c r="AE174" s="2">
        <f>COUNTIFS(Table1[channel],Table1[[#This Row],[channel]],Table1[prepayment_flag],1)/COUNTIF(Table1[channel],Table1[[#This Row],[channel]])</f>
        <v>7.1090047393364927E-2</v>
      </c>
      <c r="AF174" s="2">
        <f>AVERAGEIFS(Table1[interest_rate_pct],Table1[product],Table1[[#This Row],[product]],Table1[risk_band],Table1[[#This Row],[risk_band]])</f>
        <v>15.810000000000002</v>
      </c>
      <c r="AG174" s="2" t="str" cm="1">
        <f t="array" ref="AG174">_xlfn.IFS(Table1[[#This Row],[dti_ratio]] &lt; 0.2, " less than 0.2", Table1[[#This Row],[dti_ratio]] &lt; 0.3, "0.2 - 0.3", Table1[[#This Row],[dti_ratio]] &lt;= 0.5, "0.35 - 0.5", Table1[[#This Row],[dti_ratio]] &gt; 0.5, "greater than 0.5")</f>
        <v xml:space="preserve"> less than 0.2</v>
      </c>
      <c r="AH174" s="2">
        <f>COUNTIF(Table1[DTI band],Table1[[#This Row],[DTI band]])</f>
        <v>86</v>
      </c>
      <c r="AI174" s="2" t="str" cm="1">
        <f t="array" ref="AI174">_xlfn.IFS(Table1[[#This Row],[ltv_ratio]] &lt; 0.6, "less than 0.6 -less risky", Table1[[#This Row],[ltv_ratio]]  &lt;= 0.8, "0.6 - 0.8 -medium risky",Table1[[#This Row],[ltv_ratio]] &gt; 0.8, "greater than 0.8 -highly risky")</f>
        <v>0.6 - 0.8 -medium risky</v>
      </c>
      <c r="AJ174" s="2">
        <f>COUNTIF(Table1[LTV band],Table1[[#This Row],[LTV band]])</f>
        <v>302</v>
      </c>
      <c r="AK174" s="2">
        <f>COUNTIFS(Table1[count_loan_perband],Table1[[#This Row],[count_loan_perband]],Table1[default_flag],1)/COUNTIF(Table1[count_loan_perband],Table1[[#This Row],[count_loan_perband]])</f>
        <v>3.6423841059602648E-2</v>
      </c>
      <c r="AL174" s="2" t="str" cm="1">
        <f t="array" ref="AL174">_xlfn.IFS(Table1[[#This Row],[loan_amount]] &lt; 900000, "lower size (&lt; 9L)", Table1[[#This Row],[loan_amount]] &lt;=3300000, "medium size (&lt;=33L)", Table1[[#This Row],[loan_amount]] &gt; 3300000, "larger size (&gt; 33L)")</f>
        <v>medium size (&lt;=33L)</v>
      </c>
      <c r="AM174" s="2">
        <f>IF(Table1[[#This Row],[dpd]] &gt;=30,1,0)</f>
        <v>0</v>
      </c>
      <c r="AN174" s="2">
        <f>COUNTIFS(Table1[Loan size],Table1[[#This Row],[Loan size]],Table1[dpd flag],1)/COUNTIF(Table1[Loan size],Table1[[#This Row],[Loan size]])</f>
        <v>0.15909090909090909</v>
      </c>
      <c r="AO174" s="2" t="str">
        <f>IF(OR(Table1[[#This Row],[credit_score]] &lt; 600, Table1[ [#This Row],[dti_ratio] ] &gt; 0.5, Table1[[#This Row],[dpd]] &gt;=30), "high risk", " not riskY")</f>
        <v xml:space="preserve"> not riskY</v>
      </c>
      <c r="AP174" s="26">
        <f>EOMONTH(Table1[[#This Row],[origination_date]],0)</f>
        <v>44712</v>
      </c>
      <c r="AQ174" s="2">
        <f>SUMIFS(Table1[loan_amount],Table1[origination month],Table1[[#This Row],[origination month]])</f>
        <v>10302800</v>
      </c>
      <c r="AR174" s="2">
        <f>AVERAGEIFS(Table1[months_on_book],Table1[product],Table1[[#This Row],[product]])</f>
        <v>21.962962962962962</v>
      </c>
      <c r="AS174" s="2" t="str">
        <f ca="1">IF(EDATE(Table1[[#This Row],[origination_date]],6) &gt;= TODAY(), "New Loan", "Old Loan")</f>
        <v>Old Loan</v>
      </c>
      <c r="AT174" s="2" t="str">
        <f>"Q"&amp;ROUNDUP(MONTH(Table1[[#This Row],[origination_date]])/3,0)&amp;YEAR(Table1[[#This Row],[origination_date]])</f>
        <v>Q22022</v>
      </c>
      <c r="AU174" s="2">
        <f>SUMIFS(Table1[loan_amount],Table1[quarter],Table1[[#This Row],[quarter]])</f>
        <v>45395100</v>
      </c>
      <c r="AV174" s="34" t="str">
        <f>_xlfn.TEXTJOIN("|",TRUE,Table1[[#This Row],[loan_id]:[loan_status]])</f>
        <v>L35780160|C3502679|44709|Education Loan|Online|South|Salaried|72|1076500|16.37|23571|667889|622|D|0.19|0.62|0|43|1031940|297146|0|0|0|Active</v>
      </c>
      <c r="AW174" s="42">
        <f>YEAR(Loan_Table[ [#This Row],[origination_date] ])</f>
        <v>2023</v>
      </c>
    </row>
    <row r="175" spans="2:49" ht="18" customHeight="1">
      <c r="B175" s="5" t="s">
        <v>470</v>
      </c>
      <c r="C175" s="2" t="s">
        <v>471</v>
      </c>
      <c r="D175" s="3">
        <v>44683</v>
      </c>
      <c r="E175" s="2" t="s">
        <v>163</v>
      </c>
      <c r="F175" s="2" t="s">
        <v>132</v>
      </c>
      <c r="G175" s="2" t="s">
        <v>139</v>
      </c>
      <c r="H175" s="2" t="s">
        <v>134</v>
      </c>
      <c r="I175" s="2">
        <v>24</v>
      </c>
      <c r="J175" s="2">
        <v>713500</v>
      </c>
      <c r="K175" s="2">
        <v>13.93</v>
      </c>
      <c r="L175" s="2">
        <v>34234</v>
      </c>
      <c r="M175" s="2">
        <v>598306</v>
      </c>
      <c r="N175" s="2">
        <v>663</v>
      </c>
      <c r="O175" s="2" t="s">
        <v>140</v>
      </c>
      <c r="P175" s="2">
        <v>0.17</v>
      </c>
      <c r="Q175" s="2">
        <v>0.78</v>
      </c>
      <c r="R175" s="2">
        <v>913100</v>
      </c>
      <c r="S175" s="2">
        <v>24</v>
      </c>
      <c r="T175" s="2">
        <v>748616</v>
      </c>
      <c r="U175" s="2">
        <v>44396</v>
      </c>
      <c r="V175" s="2">
        <v>0</v>
      </c>
      <c r="W175" s="2">
        <v>0</v>
      </c>
      <c r="X175" s="2">
        <v>0</v>
      </c>
      <c r="Y175" s="2" t="s">
        <v>141</v>
      </c>
      <c r="Z175" s="12">
        <f>SUMIF(Table1[product],Table1[[#This Row],[product]],Table1[loan_amount])</f>
        <v>92273000</v>
      </c>
      <c r="AA175" s="15">
        <f>SUMIF(Table1[region],Table1[[#This Row],[region]],Table1[current_balance])</f>
        <v>83903255</v>
      </c>
      <c r="AB175" s="2">
        <f>COUNTIF(Table1[loan_status],Table1[[#This Row],[loan_status]])</f>
        <v>139</v>
      </c>
      <c r="AC175" s="2">
        <f>COUNTIF(Table1[default_flag],1)/ROWS(Table1[loan_id])</f>
        <v>2.5999999999999999E-2</v>
      </c>
      <c r="AD175" s="2">
        <f>COUNTIFS(Table1[region],Table1[[#This Row],[region]],Table1[default_flag],1)/COUNTIF(Table1[region],Table1[[#This Row],[region]])</f>
        <v>4.2553191489361701E-2</v>
      </c>
      <c r="AE175" s="2">
        <f>COUNTIFS(Table1[channel],Table1[[#This Row],[channel]],Table1[prepayment_flag],1)/COUNTIF(Table1[channel],Table1[[#This Row],[channel]])</f>
        <v>7.1090047393364927E-2</v>
      </c>
      <c r="AF175" s="2">
        <f>AVERAGEIFS(Table1[interest_rate_pct],Table1[product],Table1[[#This Row],[product]],Table1[risk_band],Table1[[#This Row],[risk_band]])</f>
        <v>13.246500000000001</v>
      </c>
      <c r="AG175" s="2" t="str" cm="1">
        <f t="array" ref="AG175">_xlfn.IFS(Table1[[#This Row],[dti_ratio]] &lt; 0.2, " less than 0.2", Table1[[#This Row],[dti_ratio]] &lt; 0.3, "0.2 - 0.3", Table1[[#This Row],[dti_ratio]] &lt;= 0.5, "0.35 - 0.5", Table1[[#This Row],[dti_ratio]] &gt; 0.5, "greater than 0.5")</f>
        <v xml:space="preserve"> less than 0.2</v>
      </c>
      <c r="AH175" s="2">
        <f>COUNTIF(Table1[DTI band],Table1[[#This Row],[DTI band]])</f>
        <v>86</v>
      </c>
      <c r="AI175" s="2" t="str" cm="1">
        <f t="array" ref="AI175">_xlfn.IFS(Table1[[#This Row],[ltv_ratio]] &lt; 0.6, "less than 0.6 -less risky", Table1[[#This Row],[ltv_ratio]]  &lt;= 0.8, "0.6 - 0.8 -medium risky",Table1[[#This Row],[ltv_ratio]] &gt; 0.8, "greater than 0.8 -highly risky")</f>
        <v>0.6 - 0.8 -medium risky</v>
      </c>
      <c r="AJ175" s="2">
        <f>COUNTIF(Table1[LTV band],Table1[[#This Row],[LTV band]])</f>
        <v>302</v>
      </c>
      <c r="AK175" s="2">
        <f>COUNTIFS(Table1[count_loan_perband],Table1[[#This Row],[count_loan_perband]],Table1[default_flag],1)/COUNTIF(Table1[count_loan_perband],Table1[[#This Row],[count_loan_perband]])</f>
        <v>3.6423841059602648E-2</v>
      </c>
      <c r="AL175" s="2" t="str" cm="1">
        <f t="array" ref="AL175">_xlfn.IFS(Table1[[#This Row],[loan_amount]] &lt; 900000, "lower size (&lt; 9L)", Table1[[#This Row],[loan_amount]] &lt;=3300000, "medium size (&lt;=33L)", Table1[[#This Row],[loan_amount]] &gt; 3300000, "larger size (&gt; 33L)")</f>
        <v>lower size (&lt; 9L)</v>
      </c>
      <c r="AM175" s="2">
        <f>IF(Table1[[#This Row],[dpd]] &gt;=30,1,0)</f>
        <v>0</v>
      </c>
      <c r="AN175" s="2">
        <f>COUNTIFS(Table1[Loan size],Table1[[#This Row],[Loan size]],Table1[dpd flag],1)/COUNTIF(Table1[Loan size],Table1[[#This Row],[Loan size]])</f>
        <v>0.13934426229508196</v>
      </c>
      <c r="AO175" s="2" t="str">
        <f>IF(OR(Table1[[#This Row],[credit_score]] &lt; 600, Table1[ [#This Row],[dti_ratio] ] &gt; 0.5, Table1[[#This Row],[dpd]] &gt;=30), "high risk", " not riskY")</f>
        <v xml:space="preserve"> not riskY</v>
      </c>
      <c r="AP175" s="26">
        <f>EOMONTH(Table1[[#This Row],[origination_date]],0)</f>
        <v>44712</v>
      </c>
      <c r="AQ175" s="2">
        <f>SUMIFS(Table1[loan_amount],Table1[origination month],Table1[[#This Row],[origination month]])</f>
        <v>10302800</v>
      </c>
      <c r="AR175" s="2">
        <f>AVERAGEIFS(Table1[months_on_book],Table1[product],Table1[[#This Row],[product]])</f>
        <v>20.262135922330096</v>
      </c>
      <c r="AS175" s="2" t="str">
        <f ca="1">IF(EDATE(Table1[[#This Row],[origination_date]],6) &gt;= TODAY(), "New Loan", "Old Loan")</f>
        <v>Old Loan</v>
      </c>
      <c r="AT175" s="2" t="str">
        <f>"Q"&amp;ROUNDUP(MONTH(Table1[[#This Row],[origination_date]])/3,0)&amp;YEAR(Table1[[#This Row],[origination_date]])</f>
        <v>Q22022</v>
      </c>
      <c r="AU175" s="2">
        <f>SUMIFS(Table1[loan_amount],Table1[quarter],Table1[[#This Row],[quarter]])</f>
        <v>45395100</v>
      </c>
      <c r="AV175" s="34" t="str">
        <f>_xlfn.TEXTJOIN("|",TRUE,Table1[[#This Row],[loan_id]:[loan_status]])</f>
        <v>L69453913|C4941136|44683|Auto Loan|Online|West|Salaried|24|713500|13.93|34234|598306|663|C|0.17|0.78|913100|24|748616|44396|0|0|0|Closed</v>
      </c>
      <c r="AW175" s="42">
        <f>YEAR(Loan_Table[ [#This Row],[origination_date] ])</f>
        <v>2023</v>
      </c>
    </row>
    <row r="176" spans="2:49" ht="18" customHeight="1">
      <c r="B176" s="5" t="s">
        <v>472</v>
      </c>
      <c r="C176" s="2" t="s">
        <v>473</v>
      </c>
      <c r="D176" s="3">
        <v>44683</v>
      </c>
      <c r="E176" s="2" t="s">
        <v>131</v>
      </c>
      <c r="F176" s="2" t="s">
        <v>132</v>
      </c>
      <c r="G176" s="2" t="s">
        <v>170</v>
      </c>
      <c r="H176" s="2" t="s">
        <v>134</v>
      </c>
      <c r="I176" s="2">
        <v>36</v>
      </c>
      <c r="J176" s="2">
        <v>972100</v>
      </c>
      <c r="K176" s="2">
        <v>19.52</v>
      </c>
      <c r="L176" s="2">
        <v>35889</v>
      </c>
      <c r="M176" s="2">
        <v>1101848</v>
      </c>
      <c r="N176" s="2">
        <v>669</v>
      </c>
      <c r="O176" s="2" t="s">
        <v>140</v>
      </c>
      <c r="P176" s="2">
        <v>0.16</v>
      </c>
      <c r="Q176" s="2">
        <v>0.6</v>
      </c>
      <c r="R176" s="2">
        <v>0</v>
      </c>
      <c r="S176" s="2">
        <v>36</v>
      </c>
      <c r="T176" s="2">
        <v>1154509</v>
      </c>
      <c r="U176" s="2">
        <v>45296</v>
      </c>
      <c r="V176" s="2">
        <v>30</v>
      </c>
      <c r="W176" s="2">
        <v>0</v>
      </c>
      <c r="X176" s="2">
        <v>0</v>
      </c>
      <c r="Y176" s="2" t="s">
        <v>141</v>
      </c>
      <c r="Z176" s="12">
        <f>SUMIF(Table1[product],Table1[[#This Row],[product]],Table1[loan_amount])</f>
        <v>74897600</v>
      </c>
      <c r="AA176" s="15">
        <f>SUMIF(Table1[region],Table1[[#This Row],[region]],Table1[current_balance])</f>
        <v>83297251</v>
      </c>
      <c r="AB176" s="2">
        <f>COUNTIF(Table1[loan_status],Table1[[#This Row],[loan_status]])</f>
        <v>139</v>
      </c>
      <c r="AC176" s="2">
        <f>COUNTIF(Table1[default_flag],1)/ROWS(Table1[loan_id])</f>
        <v>2.5999999999999999E-2</v>
      </c>
      <c r="AD176" s="2">
        <f>COUNTIFS(Table1[region],Table1[[#This Row],[region]],Table1[default_flag],1)/COUNTIF(Table1[region],Table1[[#This Row],[region]])</f>
        <v>3.1914893617021274E-2</v>
      </c>
      <c r="AE176" s="2">
        <f>COUNTIFS(Table1[channel],Table1[[#This Row],[channel]],Table1[prepayment_flag],1)/COUNTIF(Table1[channel],Table1[[#This Row],[channel]])</f>
        <v>7.1090047393364927E-2</v>
      </c>
      <c r="AF176" s="2">
        <f>AVERAGEIFS(Table1[interest_rate_pct],Table1[product],Table1[[#This Row],[product]],Table1[risk_band],Table1[[#This Row],[risk_band]])</f>
        <v>18.603181818181817</v>
      </c>
      <c r="AG176" s="2" t="str" cm="1">
        <f t="array" ref="AG176">_xlfn.IFS(Table1[[#This Row],[dti_ratio]] &lt; 0.2, " less than 0.2", Table1[[#This Row],[dti_ratio]] &lt; 0.3, "0.2 - 0.3", Table1[[#This Row],[dti_ratio]] &lt;= 0.5, "0.35 - 0.5", Table1[[#This Row],[dti_ratio]] &gt; 0.5, "greater than 0.5")</f>
        <v xml:space="preserve"> less than 0.2</v>
      </c>
      <c r="AH176" s="2">
        <f>COUNTIF(Table1[DTI band],Table1[[#This Row],[DTI band]])</f>
        <v>86</v>
      </c>
      <c r="AI176" s="2" t="str" cm="1">
        <f t="array" ref="AI176">_xlfn.IFS(Table1[[#This Row],[ltv_ratio]] &lt; 0.6, "less than 0.6 -less risky", Table1[[#This Row],[ltv_ratio]]  &lt;= 0.8, "0.6 - 0.8 -medium risky",Table1[[#This Row],[ltv_ratio]] &gt; 0.8, "greater than 0.8 -highly risky")</f>
        <v>0.6 - 0.8 -medium risky</v>
      </c>
      <c r="AJ176" s="2">
        <f>COUNTIF(Table1[LTV band],Table1[[#This Row],[LTV band]])</f>
        <v>302</v>
      </c>
      <c r="AK176" s="2">
        <f>COUNTIFS(Table1[count_loan_perband],Table1[[#This Row],[count_loan_perband]],Table1[default_flag],1)/COUNTIF(Table1[count_loan_perband],Table1[[#This Row],[count_loan_perband]])</f>
        <v>3.6423841059602648E-2</v>
      </c>
      <c r="AL176" s="2" t="str" cm="1">
        <f t="array" ref="AL176">_xlfn.IFS(Table1[[#This Row],[loan_amount]] &lt; 900000, "lower size (&lt; 9L)", Table1[[#This Row],[loan_amount]] &lt;=3300000, "medium size (&lt;=33L)", Table1[[#This Row],[loan_amount]] &gt; 3300000, "larger size (&gt; 33L)")</f>
        <v>medium size (&lt;=33L)</v>
      </c>
      <c r="AM176" s="2">
        <f>IF(Table1[[#This Row],[dpd]] &gt;=30,1,0)</f>
        <v>1</v>
      </c>
      <c r="AN176" s="2">
        <f>COUNTIFS(Table1[Loan size],Table1[[#This Row],[Loan size]],Table1[dpd flag],1)/COUNTIF(Table1[Loan size],Table1[[#This Row],[Loan size]])</f>
        <v>0.15909090909090909</v>
      </c>
      <c r="AO176" s="2" t="str">
        <f>IF(OR(Table1[[#This Row],[credit_score]] &lt; 600, Table1[ [#This Row],[dti_ratio] ] &gt; 0.5, Table1[[#This Row],[dpd]] &gt;=30), "high risk", " not riskY")</f>
        <v>high risk</v>
      </c>
      <c r="AP176" s="26">
        <f>EOMONTH(Table1[[#This Row],[origination_date]],0)</f>
        <v>44712</v>
      </c>
      <c r="AQ176" s="2">
        <f>SUMIFS(Table1[loan_amount],Table1[origination month],Table1[[#This Row],[origination month]])</f>
        <v>10302800</v>
      </c>
      <c r="AR176" s="2">
        <f>AVERAGEIFS(Table1[months_on_book],Table1[product],Table1[[#This Row],[product]])</f>
        <v>21.092024539877301</v>
      </c>
      <c r="AS176" s="2" t="str">
        <f ca="1">IF(EDATE(Table1[[#This Row],[origination_date]],6) &gt;= TODAY(), "New Loan", "Old Loan")</f>
        <v>Old Loan</v>
      </c>
      <c r="AT176" s="2" t="str">
        <f>"Q"&amp;ROUNDUP(MONTH(Table1[[#This Row],[origination_date]])/3,0)&amp;YEAR(Table1[[#This Row],[origination_date]])</f>
        <v>Q22022</v>
      </c>
      <c r="AU176" s="2">
        <f>SUMIFS(Table1[loan_amount],Table1[quarter],Table1[[#This Row],[quarter]])</f>
        <v>45395100</v>
      </c>
      <c r="AV176" s="34" t="str">
        <f>_xlfn.TEXTJOIN("|",TRUE,Table1[[#This Row],[loan_id]:[loan_status]])</f>
        <v>L31280989|C9073300|44683|Personal Loan|Online|East|Salaried|36|972100|19.52|35889|1101848|669|C|0.16|0.6|0|36|1154509|45296|30|0|0|Closed</v>
      </c>
      <c r="AW176" s="42">
        <f>YEAR(Loan_Table[ [#This Row],[origination_date] ])</f>
        <v>2023</v>
      </c>
    </row>
    <row r="177" spans="2:49" ht="18" customHeight="1">
      <c r="B177" s="5" t="s">
        <v>474</v>
      </c>
      <c r="C177" s="2" t="s">
        <v>475</v>
      </c>
      <c r="D177" s="3">
        <v>44727</v>
      </c>
      <c r="E177" s="2" t="s">
        <v>158</v>
      </c>
      <c r="F177" s="2" t="s">
        <v>144</v>
      </c>
      <c r="G177" s="2" t="s">
        <v>170</v>
      </c>
      <c r="H177" s="2" t="s">
        <v>134</v>
      </c>
      <c r="I177" s="2">
        <v>12</v>
      </c>
      <c r="J177" s="2">
        <v>1669100</v>
      </c>
      <c r="K177" s="2">
        <v>17.72</v>
      </c>
      <c r="L177" s="2">
        <v>152801</v>
      </c>
      <c r="M177" s="2">
        <v>483892</v>
      </c>
      <c r="N177" s="2">
        <v>642</v>
      </c>
      <c r="O177" s="2" t="s">
        <v>147</v>
      </c>
      <c r="P177" s="2">
        <v>0.15</v>
      </c>
      <c r="Q177" s="2">
        <v>0.68</v>
      </c>
      <c r="R177" s="2">
        <v>2451500</v>
      </c>
      <c r="S177" s="2">
        <v>12</v>
      </c>
      <c r="T177" s="2">
        <v>1776850</v>
      </c>
      <c r="U177" s="2">
        <v>10556</v>
      </c>
      <c r="V177" s="2">
        <v>0</v>
      </c>
      <c r="W177" s="2">
        <v>0</v>
      </c>
      <c r="X177" s="2">
        <v>0</v>
      </c>
      <c r="Y177" s="2" t="s">
        <v>141</v>
      </c>
      <c r="Z177" s="12">
        <f>SUMIF(Table1[product],Table1[[#This Row],[product]],Table1[loan_amount])</f>
        <v>201475100</v>
      </c>
      <c r="AA177" s="15">
        <f>SUMIF(Table1[region],Table1[[#This Row],[region]],Table1[current_balance])</f>
        <v>83297251</v>
      </c>
      <c r="AB177" s="2">
        <f>COUNTIF(Table1[loan_status],Table1[[#This Row],[loan_status]])</f>
        <v>139</v>
      </c>
      <c r="AC177" s="2">
        <f>COUNTIF(Table1[default_flag],1)/ROWS(Table1[loan_id])</f>
        <v>2.5999999999999999E-2</v>
      </c>
      <c r="AD177" s="2">
        <f>COUNTIFS(Table1[region],Table1[[#This Row],[region]],Table1[default_flag],1)/COUNTIF(Table1[region],Table1[[#This Row],[region]])</f>
        <v>3.1914893617021274E-2</v>
      </c>
      <c r="AE177" s="2">
        <f>COUNTIFS(Table1[channel],Table1[[#This Row],[channel]],Table1[prepayment_flag],1)/COUNTIF(Table1[channel],Table1[[#This Row],[channel]])</f>
        <v>5.8201058201058198E-2</v>
      </c>
      <c r="AF177" s="2">
        <f>AVERAGEIFS(Table1[interest_rate_pct],Table1[product],Table1[[#This Row],[product]],Table1[risk_band],Table1[[#This Row],[risk_band]])</f>
        <v>18.241249999999997</v>
      </c>
      <c r="AG177" s="2" t="str" cm="1">
        <f t="array" ref="AG177">_xlfn.IFS(Table1[[#This Row],[dti_ratio]] &lt; 0.2, " less than 0.2", Table1[[#This Row],[dti_ratio]] &lt; 0.3, "0.2 - 0.3", Table1[[#This Row],[dti_ratio]] &lt;= 0.5, "0.35 - 0.5", Table1[[#This Row],[dti_ratio]] &gt; 0.5, "greater than 0.5")</f>
        <v xml:space="preserve"> less than 0.2</v>
      </c>
      <c r="AH177" s="2">
        <f>COUNTIF(Table1[DTI band],Table1[[#This Row],[DTI band]])</f>
        <v>86</v>
      </c>
      <c r="AI177" s="2" t="str" cm="1">
        <f t="array" ref="AI177">_xlfn.IFS(Table1[[#This Row],[ltv_ratio]] &lt; 0.6, "less than 0.6 -less risky", Table1[[#This Row],[ltv_ratio]]  &lt;= 0.8, "0.6 - 0.8 -medium risky",Table1[[#This Row],[ltv_ratio]] &gt; 0.8, "greater than 0.8 -highly risky")</f>
        <v>0.6 - 0.8 -medium risky</v>
      </c>
      <c r="AJ177" s="2">
        <f>COUNTIF(Table1[LTV band],Table1[[#This Row],[LTV band]])</f>
        <v>302</v>
      </c>
      <c r="AK177" s="2">
        <f>COUNTIFS(Table1[count_loan_perband],Table1[[#This Row],[count_loan_perband]],Table1[default_flag],1)/COUNTIF(Table1[count_loan_perband],Table1[[#This Row],[count_loan_perband]])</f>
        <v>3.6423841059602648E-2</v>
      </c>
      <c r="AL177" s="2" t="str" cm="1">
        <f t="array" ref="AL177">_xlfn.IFS(Table1[[#This Row],[loan_amount]] &lt; 900000, "lower size (&lt; 9L)", Table1[[#This Row],[loan_amount]] &lt;=3300000, "medium size (&lt;=33L)", Table1[[#This Row],[loan_amount]] &gt; 3300000, "larger size (&gt; 33L)")</f>
        <v>medium size (&lt;=33L)</v>
      </c>
      <c r="AM177" s="2">
        <f>IF(Table1[[#This Row],[dpd]] &gt;=30,1,0)</f>
        <v>0</v>
      </c>
      <c r="AN177" s="2">
        <f>COUNTIFS(Table1[Loan size],Table1[[#This Row],[Loan size]],Table1[dpd flag],1)/COUNTIF(Table1[Loan size],Table1[[#This Row],[Loan size]])</f>
        <v>0.15909090909090909</v>
      </c>
      <c r="AO177" s="2" t="str">
        <f>IF(OR(Table1[[#This Row],[credit_score]] &lt; 600, Table1[ [#This Row],[dti_ratio] ] &gt; 0.5, Table1[[#This Row],[dpd]] &gt;=30), "high risk", " not riskY")</f>
        <v xml:space="preserve"> not riskY</v>
      </c>
      <c r="AP177" s="26">
        <f>EOMONTH(Table1[[#This Row],[origination_date]],0)</f>
        <v>44742</v>
      </c>
      <c r="AQ177" s="2">
        <f>SUMIFS(Table1[loan_amount],Table1[origination month],Table1[[#This Row],[origination month]])</f>
        <v>11188400</v>
      </c>
      <c r="AR177" s="2">
        <f>AVERAGEIFS(Table1[months_on_book],Table1[product],Table1[[#This Row],[product]])</f>
        <v>19.091954022988507</v>
      </c>
      <c r="AS177" s="2" t="str">
        <f ca="1">IF(EDATE(Table1[[#This Row],[origination_date]],6) &gt;= TODAY(), "New Loan", "Old Loan")</f>
        <v>Old Loan</v>
      </c>
      <c r="AT177" s="2" t="str">
        <f>"Q"&amp;ROUNDUP(MONTH(Table1[[#This Row],[origination_date]])/3,0)&amp;YEAR(Table1[[#This Row],[origination_date]])</f>
        <v>Q22022</v>
      </c>
      <c r="AU177" s="2">
        <f>SUMIFS(Table1[loan_amount],Table1[quarter],Table1[[#This Row],[quarter]])</f>
        <v>45395100</v>
      </c>
      <c r="AV177" s="34" t="str">
        <f>_xlfn.TEXTJOIN("|",TRUE,Table1[[#This Row],[loan_id]:[loan_status]])</f>
        <v>L80745787|C6349902|44727|SME Loan|Branch|East|Salaried|12|1669100|17.72|152801|483892|642|D|0.15|0.68|2451500|12|1776850|10556|0|0|0|Closed</v>
      </c>
      <c r="AW177" s="42">
        <f>YEAR(Loan_Table[ [#This Row],[origination_date] ])</f>
        <v>2023</v>
      </c>
    </row>
    <row r="178" spans="2:49" ht="18" customHeight="1">
      <c r="B178" s="5" t="s">
        <v>476</v>
      </c>
      <c r="C178" s="2" t="s">
        <v>477</v>
      </c>
      <c r="D178" s="3">
        <v>44722</v>
      </c>
      <c r="E178" s="2" t="s">
        <v>131</v>
      </c>
      <c r="F178" s="2" t="s">
        <v>132</v>
      </c>
      <c r="G178" s="2" t="s">
        <v>170</v>
      </c>
      <c r="H178" s="2" t="s">
        <v>134</v>
      </c>
      <c r="I178" s="2">
        <v>60</v>
      </c>
      <c r="J178" s="2">
        <v>414000</v>
      </c>
      <c r="K178" s="2">
        <v>16.07</v>
      </c>
      <c r="L178" s="2">
        <v>10083</v>
      </c>
      <c r="M178" s="2">
        <v>996887</v>
      </c>
      <c r="N178" s="2">
        <v>724</v>
      </c>
      <c r="O178" s="2" t="s">
        <v>135</v>
      </c>
      <c r="P178" s="2">
        <v>0.15</v>
      </c>
      <c r="Q178" s="2">
        <v>0.56000000000000005</v>
      </c>
      <c r="R178" s="2">
        <v>0</v>
      </c>
      <c r="S178" s="2">
        <v>42</v>
      </c>
      <c r="T178" s="2">
        <v>412356</v>
      </c>
      <c r="U178" s="2">
        <v>94786</v>
      </c>
      <c r="V178" s="2">
        <v>0</v>
      </c>
      <c r="W178" s="2">
        <v>0</v>
      </c>
      <c r="X178" s="2">
        <v>0</v>
      </c>
      <c r="Y178" s="2" t="s">
        <v>148</v>
      </c>
      <c r="Z178" s="12">
        <f>SUMIF(Table1[product],Table1[[#This Row],[product]],Table1[loan_amount])</f>
        <v>74897600</v>
      </c>
      <c r="AA178" s="15">
        <f>SUMIF(Table1[region],Table1[[#This Row],[region]],Table1[current_balance])</f>
        <v>83297251</v>
      </c>
      <c r="AB178" s="2">
        <f>COUNTIF(Table1[loan_status],Table1[[#This Row],[loan_status]])</f>
        <v>301</v>
      </c>
      <c r="AC178" s="2">
        <f>COUNTIF(Table1[default_flag],1)/ROWS(Table1[loan_id])</f>
        <v>2.5999999999999999E-2</v>
      </c>
      <c r="AD178" s="2">
        <f>COUNTIFS(Table1[region],Table1[[#This Row],[region]],Table1[default_flag],1)/COUNTIF(Table1[region],Table1[[#This Row],[region]])</f>
        <v>3.1914893617021274E-2</v>
      </c>
      <c r="AE178" s="2">
        <f>COUNTIFS(Table1[channel],Table1[[#This Row],[channel]],Table1[prepayment_flag],1)/COUNTIF(Table1[channel],Table1[[#This Row],[channel]])</f>
        <v>7.1090047393364927E-2</v>
      </c>
      <c r="AF178" s="2">
        <f>AVERAGEIFS(Table1[interest_rate_pct],Table1[product],Table1[[#This Row],[product]],Table1[risk_band],Table1[[#This Row],[risk_band]])</f>
        <v>16.500166666666669</v>
      </c>
      <c r="AG178" s="2" t="str" cm="1">
        <f t="array" ref="AG178">_xlfn.IFS(Table1[[#This Row],[dti_ratio]] &lt; 0.2, " less than 0.2", Table1[[#This Row],[dti_ratio]] &lt; 0.3, "0.2 - 0.3", Table1[[#This Row],[dti_ratio]] &lt;= 0.5, "0.35 - 0.5", Table1[[#This Row],[dti_ratio]] &gt; 0.5, "greater than 0.5")</f>
        <v xml:space="preserve"> less than 0.2</v>
      </c>
      <c r="AH178" s="2">
        <f>COUNTIF(Table1[DTI band],Table1[[#This Row],[DTI band]])</f>
        <v>86</v>
      </c>
      <c r="AI178" s="2" t="str" cm="1">
        <f t="array" ref="AI178">_xlfn.IFS(Table1[[#This Row],[ltv_ratio]] &lt; 0.6, "less than 0.6 -less risky", Table1[[#This Row],[ltv_ratio]]  &lt;= 0.8, "0.6 - 0.8 -medium risky",Table1[[#This Row],[ltv_ratio]] &gt; 0.8, "greater than 0.8 -highly risky")</f>
        <v>less than 0.6 -less risky</v>
      </c>
      <c r="AJ178" s="2">
        <f>COUNTIF(Table1[LTV band],Table1[[#This Row],[LTV band]])</f>
        <v>57</v>
      </c>
      <c r="AK178" s="2">
        <f>COUNTIFS(Table1[count_loan_perband],Table1[[#This Row],[count_loan_perband]],Table1[default_flag],1)/COUNTIF(Table1[count_loan_perband],Table1[[#This Row],[count_loan_perband]])</f>
        <v>0</v>
      </c>
      <c r="AL178" s="2" t="str" cm="1">
        <f t="array" ref="AL178">_xlfn.IFS(Table1[[#This Row],[loan_amount]] &lt; 900000, "lower size (&lt; 9L)", Table1[[#This Row],[loan_amount]] &lt;=3300000, "medium size (&lt;=33L)", Table1[[#This Row],[loan_amount]] &gt; 3300000, "larger size (&gt; 33L)")</f>
        <v>lower size (&lt; 9L)</v>
      </c>
      <c r="AM178" s="2">
        <f>IF(Table1[[#This Row],[dpd]] &gt;=30,1,0)</f>
        <v>0</v>
      </c>
      <c r="AN178" s="2">
        <f>COUNTIFS(Table1[Loan size],Table1[[#This Row],[Loan size]],Table1[dpd flag],1)/COUNTIF(Table1[Loan size],Table1[[#This Row],[Loan size]])</f>
        <v>0.13934426229508196</v>
      </c>
      <c r="AO178" s="2" t="str">
        <f>IF(OR(Table1[[#This Row],[credit_score]] &lt; 600, Table1[ [#This Row],[dti_ratio] ] &gt; 0.5, Table1[[#This Row],[dpd]] &gt;=30), "high risk", " not riskY")</f>
        <v xml:space="preserve"> not riskY</v>
      </c>
      <c r="AP178" s="26">
        <f>EOMONTH(Table1[[#This Row],[origination_date]],0)</f>
        <v>44742</v>
      </c>
      <c r="AQ178" s="2">
        <f>SUMIFS(Table1[loan_amount],Table1[origination month],Table1[[#This Row],[origination month]])</f>
        <v>11188400</v>
      </c>
      <c r="AR178" s="2">
        <f>AVERAGEIFS(Table1[months_on_book],Table1[product],Table1[[#This Row],[product]])</f>
        <v>21.092024539877301</v>
      </c>
      <c r="AS178" s="2" t="str">
        <f ca="1">IF(EDATE(Table1[[#This Row],[origination_date]],6) &gt;= TODAY(), "New Loan", "Old Loan")</f>
        <v>Old Loan</v>
      </c>
      <c r="AT178" s="2" t="str">
        <f>"Q"&amp;ROUNDUP(MONTH(Table1[[#This Row],[origination_date]])/3,0)&amp;YEAR(Table1[[#This Row],[origination_date]])</f>
        <v>Q22022</v>
      </c>
      <c r="AU178" s="2">
        <f>SUMIFS(Table1[loan_amount],Table1[quarter],Table1[[#This Row],[quarter]])</f>
        <v>45395100</v>
      </c>
      <c r="AV178" s="34" t="str">
        <f>_xlfn.TEXTJOIN("|",TRUE,Table1[[#This Row],[loan_id]:[loan_status]])</f>
        <v>L81713537|C6831536|44722|Personal Loan|Online|East|Salaried|60|414000|16.07|10083|996887|724|B|0.15|0.56|0|42|412356|94786|0|0|0|Active</v>
      </c>
      <c r="AW178" s="42">
        <f>YEAR(Loan_Table[ [#This Row],[origination_date] ])</f>
        <v>2023</v>
      </c>
    </row>
    <row r="179" spans="2:49" ht="18" customHeight="1">
      <c r="B179" s="5" t="s">
        <v>478</v>
      </c>
      <c r="C179" s="2" t="s">
        <v>479</v>
      </c>
      <c r="D179" s="3">
        <v>44721</v>
      </c>
      <c r="E179" s="2" t="s">
        <v>158</v>
      </c>
      <c r="F179" s="2" t="s">
        <v>132</v>
      </c>
      <c r="G179" s="2" t="s">
        <v>151</v>
      </c>
      <c r="H179" s="2" t="s">
        <v>134</v>
      </c>
      <c r="I179" s="2">
        <v>36</v>
      </c>
      <c r="J179" s="2">
        <v>3668300</v>
      </c>
      <c r="K179" s="2">
        <v>15.32</v>
      </c>
      <c r="L179" s="2">
        <v>127738</v>
      </c>
      <c r="M179" s="2">
        <v>1090357</v>
      </c>
      <c r="N179" s="2">
        <v>687</v>
      </c>
      <c r="O179" s="2" t="s">
        <v>140</v>
      </c>
      <c r="P179" s="2">
        <v>0.14000000000000001</v>
      </c>
      <c r="Q179" s="2">
        <v>0.52</v>
      </c>
      <c r="R179" s="2">
        <v>7063800</v>
      </c>
      <c r="S179" s="2">
        <v>36</v>
      </c>
      <c r="T179" s="2">
        <v>4580287</v>
      </c>
      <c r="U179" s="2">
        <v>0</v>
      </c>
      <c r="V179" s="2">
        <v>5</v>
      </c>
      <c r="W179" s="2">
        <v>0</v>
      </c>
      <c r="X179" s="2">
        <v>0</v>
      </c>
      <c r="Y179" s="2" t="s">
        <v>141</v>
      </c>
      <c r="Z179" s="12">
        <f>SUMIF(Table1[product],Table1[[#This Row],[product]],Table1[loan_amount])</f>
        <v>201475100</v>
      </c>
      <c r="AA179" s="15">
        <f>SUMIF(Table1[region],Table1[[#This Row],[region]],Table1[current_balance])</f>
        <v>105779369</v>
      </c>
      <c r="AB179" s="2">
        <f>COUNTIF(Table1[loan_status],Table1[[#This Row],[loan_status]])</f>
        <v>139</v>
      </c>
      <c r="AC179" s="2">
        <f>COUNTIF(Table1[default_flag],1)/ROWS(Table1[loan_id])</f>
        <v>2.5999999999999999E-2</v>
      </c>
      <c r="AD179" s="2">
        <f>COUNTIFS(Table1[region],Table1[[#This Row],[region]],Table1[default_flag],1)/COUNTIF(Table1[region],Table1[[#This Row],[region]])</f>
        <v>2.6548672566371681E-2</v>
      </c>
      <c r="AE179" s="2">
        <f>COUNTIFS(Table1[channel],Table1[[#This Row],[channel]],Table1[prepayment_flag],1)/COUNTIF(Table1[channel],Table1[[#This Row],[channel]])</f>
        <v>7.1090047393364927E-2</v>
      </c>
      <c r="AF179" s="2">
        <f>AVERAGEIFS(Table1[interest_rate_pct],Table1[product],Table1[[#This Row],[product]],Table1[risk_band],Table1[[#This Row],[risk_band]])</f>
        <v>15.841379310344831</v>
      </c>
      <c r="AG179" s="2" t="str" cm="1">
        <f t="array" ref="AG179">_xlfn.IFS(Table1[[#This Row],[dti_ratio]] &lt; 0.2, " less than 0.2", Table1[[#This Row],[dti_ratio]] &lt; 0.3, "0.2 - 0.3", Table1[[#This Row],[dti_ratio]] &lt;= 0.5, "0.35 - 0.5", Table1[[#This Row],[dti_ratio]] &gt; 0.5, "greater than 0.5")</f>
        <v xml:space="preserve"> less than 0.2</v>
      </c>
      <c r="AH179" s="2">
        <f>COUNTIF(Table1[DTI band],Table1[[#This Row],[DTI band]])</f>
        <v>86</v>
      </c>
      <c r="AI179" s="2" t="str" cm="1">
        <f t="array" ref="AI179">_xlfn.IFS(Table1[[#This Row],[ltv_ratio]] &lt; 0.6, "less than 0.6 -less risky", Table1[[#This Row],[ltv_ratio]]  &lt;= 0.8, "0.6 - 0.8 -medium risky",Table1[[#This Row],[ltv_ratio]] &gt; 0.8, "greater than 0.8 -highly risky")</f>
        <v>less than 0.6 -less risky</v>
      </c>
      <c r="AJ179" s="2">
        <f>COUNTIF(Table1[LTV band],Table1[[#This Row],[LTV band]])</f>
        <v>57</v>
      </c>
      <c r="AK179" s="2">
        <f>COUNTIFS(Table1[count_loan_perband],Table1[[#This Row],[count_loan_perband]],Table1[default_flag],1)/COUNTIF(Table1[count_loan_perband],Table1[[#This Row],[count_loan_perband]])</f>
        <v>0</v>
      </c>
      <c r="AL179" s="2" t="str" cm="1">
        <f t="array" ref="AL179">_xlfn.IFS(Table1[[#This Row],[loan_amount]] &lt; 900000, "lower size (&lt; 9L)", Table1[[#This Row],[loan_amount]] &lt;=3300000, "medium size (&lt;=33L)", Table1[[#This Row],[loan_amount]] &gt; 3300000, "larger size (&gt; 33L)")</f>
        <v>larger size (&gt; 33L)</v>
      </c>
      <c r="AM179" s="2">
        <f>IF(Table1[[#This Row],[dpd]] &gt;=30,1,0)</f>
        <v>0</v>
      </c>
      <c r="AN179" s="2">
        <f>COUNTIFS(Table1[Loan size],Table1[[#This Row],[Loan size]],Table1[dpd flag],1)/COUNTIF(Table1[Loan size],Table1[[#This Row],[Loan size]])</f>
        <v>0.16250000000000001</v>
      </c>
      <c r="AO179" s="2" t="str">
        <f>IF(OR(Table1[[#This Row],[credit_score]] &lt; 600, Table1[ [#This Row],[dti_ratio] ] &gt; 0.5, Table1[[#This Row],[dpd]] &gt;=30), "high risk", " not riskY")</f>
        <v xml:space="preserve"> not riskY</v>
      </c>
      <c r="AP179" s="26">
        <f>EOMONTH(Table1[[#This Row],[origination_date]],0)</f>
        <v>44742</v>
      </c>
      <c r="AQ179" s="2">
        <f>SUMIFS(Table1[loan_amount],Table1[origination month],Table1[[#This Row],[origination month]])</f>
        <v>11188400</v>
      </c>
      <c r="AR179" s="2">
        <f>AVERAGEIFS(Table1[months_on_book],Table1[product],Table1[[#This Row],[product]])</f>
        <v>19.091954022988507</v>
      </c>
      <c r="AS179" s="2" t="str">
        <f ca="1">IF(EDATE(Table1[[#This Row],[origination_date]],6) &gt;= TODAY(), "New Loan", "Old Loan")</f>
        <v>Old Loan</v>
      </c>
      <c r="AT179" s="2" t="str">
        <f>"Q"&amp;ROUNDUP(MONTH(Table1[[#This Row],[origination_date]])/3,0)&amp;YEAR(Table1[[#This Row],[origination_date]])</f>
        <v>Q22022</v>
      </c>
      <c r="AU179" s="2">
        <f>SUMIFS(Table1[loan_amount],Table1[quarter],Table1[[#This Row],[quarter]])</f>
        <v>45395100</v>
      </c>
      <c r="AV179" s="34" t="str">
        <f>_xlfn.TEXTJOIN("|",TRUE,Table1[[#This Row],[loan_id]:[loan_status]])</f>
        <v>L96960872|C6294756|44721|SME Loan|Online|North|Salaried|36|3668300|15.32|127738|1090357|687|C|0.14|0.52|7063800|36|4580287|0|5|0|0|Closed</v>
      </c>
      <c r="AW179" s="42">
        <f>YEAR(Loan_Table[ [#This Row],[origination_date] ])</f>
        <v>2023</v>
      </c>
    </row>
    <row r="180" spans="2:49" ht="18" customHeight="1">
      <c r="B180" s="5" t="s">
        <v>480</v>
      </c>
      <c r="C180" s="2" t="s">
        <v>481</v>
      </c>
      <c r="D180" s="3">
        <v>44673</v>
      </c>
      <c r="E180" s="2" t="s">
        <v>131</v>
      </c>
      <c r="F180" s="2" t="s">
        <v>132</v>
      </c>
      <c r="G180" s="2" t="s">
        <v>151</v>
      </c>
      <c r="H180" s="2" t="s">
        <v>134</v>
      </c>
      <c r="I180" s="2">
        <v>12</v>
      </c>
      <c r="J180" s="2">
        <v>565900</v>
      </c>
      <c r="K180" s="2">
        <v>14.8</v>
      </c>
      <c r="L180" s="2">
        <v>51024</v>
      </c>
      <c r="M180" s="2">
        <v>738641</v>
      </c>
      <c r="N180" s="2">
        <v>757</v>
      </c>
      <c r="O180" s="2" t="s">
        <v>160</v>
      </c>
      <c r="P180" s="2">
        <v>0.13</v>
      </c>
      <c r="Q180" s="2">
        <v>0.54</v>
      </c>
      <c r="R180" s="2">
        <v>0</v>
      </c>
      <c r="S180" s="2">
        <v>12</v>
      </c>
      <c r="T180" s="2">
        <v>603029</v>
      </c>
      <c r="U180" s="2">
        <v>0</v>
      </c>
      <c r="V180" s="2">
        <v>30</v>
      </c>
      <c r="W180" s="2">
        <v>0</v>
      </c>
      <c r="X180" s="2">
        <v>0</v>
      </c>
      <c r="Y180" s="2" t="s">
        <v>141</v>
      </c>
      <c r="Z180" s="12">
        <f>SUMIF(Table1[product],Table1[[#This Row],[product]],Table1[loan_amount])</f>
        <v>74897600</v>
      </c>
      <c r="AA180" s="15">
        <f>SUMIF(Table1[region],Table1[[#This Row],[region]],Table1[current_balance])</f>
        <v>105779369</v>
      </c>
      <c r="AB180" s="2">
        <f>COUNTIF(Table1[loan_status],Table1[[#This Row],[loan_status]])</f>
        <v>139</v>
      </c>
      <c r="AC180" s="2">
        <f>COUNTIF(Table1[default_flag],1)/ROWS(Table1[loan_id])</f>
        <v>2.5999999999999999E-2</v>
      </c>
      <c r="AD180" s="2">
        <f>COUNTIFS(Table1[region],Table1[[#This Row],[region]],Table1[default_flag],1)/COUNTIF(Table1[region],Table1[[#This Row],[region]])</f>
        <v>2.6548672566371681E-2</v>
      </c>
      <c r="AE180" s="2">
        <f>COUNTIFS(Table1[channel],Table1[[#This Row],[channel]],Table1[prepayment_flag],1)/COUNTIF(Table1[channel],Table1[[#This Row],[channel]])</f>
        <v>7.1090047393364927E-2</v>
      </c>
      <c r="AF180" s="2">
        <f>AVERAGEIFS(Table1[interest_rate_pct],Table1[product],Table1[[#This Row],[product]],Table1[risk_band],Table1[[#This Row],[risk_band]])</f>
        <v>13.328333333333335</v>
      </c>
      <c r="AG180" s="2" t="str" cm="1">
        <f t="array" ref="AG180">_xlfn.IFS(Table1[[#This Row],[dti_ratio]] &lt; 0.2, " less than 0.2", Table1[[#This Row],[dti_ratio]] &lt; 0.3, "0.2 - 0.3", Table1[[#This Row],[dti_ratio]] &lt;= 0.5, "0.35 - 0.5", Table1[[#This Row],[dti_ratio]] &gt; 0.5, "greater than 0.5")</f>
        <v xml:space="preserve"> less than 0.2</v>
      </c>
      <c r="AH180" s="2">
        <f>COUNTIF(Table1[DTI band],Table1[[#This Row],[DTI band]])</f>
        <v>86</v>
      </c>
      <c r="AI180" s="2" t="str" cm="1">
        <f t="array" ref="AI180">_xlfn.IFS(Table1[[#This Row],[ltv_ratio]] &lt; 0.6, "less than 0.6 -less risky", Table1[[#This Row],[ltv_ratio]]  &lt;= 0.8, "0.6 - 0.8 -medium risky",Table1[[#This Row],[ltv_ratio]] &gt; 0.8, "greater than 0.8 -highly risky")</f>
        <v>less than 0.6 -less risky</v>
      </c>
      <c r="AJ180" s="2">
        <f>COUNTIF(Table1[LTV band],Table1[[#This Row],[LTV band]])</f>
        <v>57</v>
      </c>
      <c r="AK180" s="2">
        <f>COUNTIFS(Table1[count_loan_perband],Table1[[#This Row],[count_loan_perband]],Table1[default_flag],1)/COUNTIF(Table1[count_loan_perband],Table1[[#This Row],[count_loan_perband]])</f>
        <v>0</v>
      </c>
      <c r="AL180" s="2" t="str" cm="1">
        <f t="array" ref="AL180">_xlfn.IFS(Table1[[#This Row],[loan_amount]] &lt; 900000, "lower size (&lt; 9L)", Table1[[#This Row],[loan_amount]] &lt;=3300000, "medium size (&lt;=33L)", Table1[[#This Row],[loan_amount]] &gt; 3300000, "larger size (&gt; 33L)")</f>
        <v>lower size (&lt; 9L)</v>
      </c>
      <c r="AM180" s="2">
        <f>IF(Table1[[#This Row],[dpd]] &gt;=30,1,0)</f>
        <v>1</v>
      </c>
      <c r="AN180" s="2">
        <f>COUNTIFS(Table1[Loan size],Table1[[#This Row],[Loan size]],Table1[dpd flag],1)/COUNTIF(Table1[Loan size],Table1[[#This Row],[Loan size]])</f>
        <v>0.13934426229508196</v>
      </c>
      <c r="AO180" s="2" t="str">
        <f>IF(OR(Table1[[#This Row],[credit_score]] &lt; 600, Table1[ [#This Row],[dti_ratio] ] &gt; 0.5, Table1[[#This Row],[dpd]] &gt;=30), "high risk", " not riskY")</f>
        <v>high risk</v>
      </c>
      <c r="AP180" s="26">
        <f>EOMONTH(Table1[[#This Row],[origination_date]],0)</f>
        <v>44681</v>
      </c>
      <c r="AQ180" s="2">
        <f>SUMIFS(Table1[loan_amount],Table1[origination month],Table1[[#This Row],[origination month]])</f>
        <v>23903900</v>
      </c>
      <c r="AR180" s="2">
        <f>AVERAGEIFS(Table1[months_on_book],Table1[product],Table1[[#This Row],[product]])</f>
        <v>21.092024539877301</v>
      </c>
      <c r="AS180" s="2" t="str">
        <f ca="1">IF(EDATE(Table1[[#This Row],[origination_date]],6) &gt;= TODAY(), "New Loan", "Old Loan")</f>
        <v>Old Loan</v>
      </c>
      <c r="AT180" s="2" t="str">
        <f>"Q"&amp;ROUNDUP(MONTH(Table1[[#This Row],[origination_date]])/3,0)&amp;YEAR(Table1[[#This Row],[origination_date]])</f>
        <v>Q22022</v>
      </c>
      <c r="AU180" s="2">
        <f>SUMIFS(Table1[loan_amount],Table1[quarter],Table1[[#This Row],[quarter]])</f>
        <v>45395100</v>
      </c>
      <c r="AV180" s="34" t="str">
        <f>_xlfn.TEXTJOIN("|",TRUE,Table1[[#This Row],[loan_id]:[loan_status]])</f>
        <v>L26429467|C9310256|44673|Personal Loan|Online|North|Salaried|12|565900|14.8|51024|738641|757|A|0.13|0.54|0|12|603029|0|30|0|0|Closed</v>
      </c>
      <c r="AW180" s="42">
        <f>YEAR(Loan_Table[ [#This Row],[origination_date] ])</f>
        <v>2023</v>
      </c>
    </row>
    <row r="181" spans="2:49" ht="18" customHeight="1">
      <c r="B181" s="5" t="s">
        <v>482</v>
      </c>
      <c r="C181" s="2" t="s">
        <v>483</v>
      </c>
      <c r="D181" s="3">
        <v>44658</v>
      </c>
      <c r="E181" s="2" t="s">
        <v>163</v>
      </c>
      <c r="F181" s="2" t="s">
        <v>144</v>
      </c>
      <c r="G181" s="2" t="s">
        <v>145</v>
      </c>
      <c r="H181" s="2" t="s">
        <v>146</v>
      </c>
      <c r="I181" s="2">
        <v>24</v>
      </c>
      <c r="J181" s="2">
        <v>1553700</v>
      </c>
      <c r="K181" s="2">
        <v>9.99</v>
      </c>
      <c r="L181" s="2">
        <v>71688</v>
      </c>
      <c r="M181" s="2">
        <v>938046</v>
      </c>
      <c r="N181" s="2">
        <v>724</v>
      </c>
      <c r="O181" s="2" t="s">
        <v>135</v>
      </c>
      <c r="P181" s="2">
        <v>0.05</v>
      </c>
      <c r="Q181" s="2">
        <v>0.74</v>
      </c>
      <c r="R181" s="2">
        <v>2099500</v>
      </c>
      <c r="S181" s="2">
        <v>24</v>
      </c>
      <c r="T181" s="2">
        <v>1738580</v>
      </c>
      <c r="U181" s="2">
        <v>0</v>
      </c>
      <c r="V181" s="2">
        <v>45</v>
      </c>
      <c r="W181" s="2">
        <v>0</v>
      </c>
      <c r="X181" s="2">
        <v>0</v>
      </c>
      <c r="Y181" s="2" t="s">
        <v>141</v>
      </c>
      <c r="Z181" s="12">
        <f>SUMIF(Table1[product],Table1[[#This Row],[product]],Table1[loan_amount])</f>
        <v>92273000</v>
      </c>
      <c r="AA181" s="15">
        <f>SUMIF(Table1[region],Table1[[#This Row],[region]],Table1[current_balance])</f>
        <v>98928695</v>
      </c>
      <c r="AB181" s="2">
        <f>COUNTIF(Table1[loan_status],Table1[[#This Row],[loan_status]])</f>
        <v>139</v>
      </c>
      <c r="AC181" s="2">
        <f>COUNTIF(Table1[default_flag],1)/ROWS(Table1[loan_id])</f>
        <v>2.5999999999999999E-2</v>
      </c>
      <c r="AD181" s="2">
        <f>COUNTIFS(Table1[region],Table1[[#This Row],[region]],Table1[default_flag],1)/COUNTIF(Table1[region],Table1[[#This Row],[region]])</f>
        <v>2.8571428571428571E-2</v>
      </c>
      <c r="AE181" s="2">
        <f>COUNTIFS(Table1[channel],Table1[[#This Row],[channel]],Table1[prepayment_flag],1)/COUNTIF(Table1[channel],Table1[[#This Row],[channel]])</f>
        <v>5.8201058201058198E-2</v>
      </c>
      <c r="AF181" s="2">
        <f>AVERAGEIFS(Table1[interest_rate_pct],Table1[product],Table1[[#This Row],[product]],Table1[risk_band],Table1[[#This Row],[risk_band]])</f>
        <v>10.611923076923079</v>
      </c>
      <c r="AG181" s="2" t="str" cm="1">
        <f t="array" ref="AG181">_xlfn.IFS(Table1[[#This Row],[dti_ratio]] &lt; 0.2, " less than 0.2", Table1[[#This Row],[dti_ratio]] &lt; 0.3, "0.2 - 0.3", Table1[[#This Row],[dti_ratio]] &lt;= 0.5, "0.35 - 0.5", Table1[[#This Row],[dti_ratio]] &gt; 0.5, "greater than 0.5")</f>
        <v xml:space="preserve"> less than 0.2</v>
      </c>
      <c r="AH181" s="2">
        <f>COUNTIF(Table1[DTI band],Table1[[#This Row],[DTI band]])</f>
        <v>86</v>
      </c>
      <c r="AI181" s="2" t="str" cm="1">
        <f t="array" ref="AI181">_xlfn.IFS(Table1[[#This Row],[ltv_ratio]] &lt; 0.6, "less than 0.6 -less risky", Table1[[#This Row],[ltv_ratio]]  &lt;= 0.8, "0.6 - 0.8 -medium risky",Table1[[#This Row],[ltv_ratio]] &gt; 0.8, "greater than 0.8 -highly risky")</f>
        <v>0.6 - 0.8 -medium risky</v>
      </c>
      <c r="AJ181" s="2">
        <f>COUNTIF(Table1[LTV band],Table1[[#This Row],[LTV band]])</f>
        <v>302</v>
      </c>
      <c r="AK181" s="2">
        <f>COUNTIFS(Table1[count_loan_perband],Table1[[#This Row],[count_loan_perband]],Table1[default_flag],1)/COUNTIF(Table1[count_loan_perband],Table1[[#This Row],[count_loan_perband]])</f>
        <v>3.6423841059602648E-2</v>
      </c>
      <c r="AL181" s="2" t="str" cm="1">
        <f t="array" ref="AL181">_xlfn.IFS(Table1[[#This Row],[loan_amount]] &lt; 900000, "lower size (&lt; 9L)", Table1[[#This Row],[loan_amount]] &lt;=3300000, "medium size (&lt;=33L)", Table1[[#This Row],[loan_amount]] &gt; 3300000, "larger size (&gt; 33L)")</f>
        <v>medium size (&lt;=33L)</v>
      </c>
      <c r="AM181" s="2">
        <f>IF(Table1[[#This Row],[dpd]] &gt;=30,1,0)</f>
        <v>1</v>
      </c>
      <c r="AN181" s="2">
        <f>COUNTIFS(Table1[Loan size],Table1[[#This Row],[Loan size]],Table1[dpd flag],1)/COUNTIF(Table1[Loan size],Table1[[#This Row],[Loan size]])</f>
        <v>0.15909090909090909</v>
      </c>
      <c r="AO181" s="2" t="str">
        <f>IF(OR(Table1[[#This Row],[credit_score]] &lt; 600, Table1[ [#This Row],[dti_ratio] ] &gt; 0.5, Table1[[#This Row],[dpd]] &gt;=30), "high risk", " not riskY")</f>
        <v>high risk</v>
      </c>
      <c r="AP181" s="26">
        <f>EOMONTH(Table1[[#This Row],[origination_date]],0)</f>
        <v>44681</v>
      </c>
      <c r="AQ181" s="2">
        <f>SUMIFS(Table1[loan_amount],Table1[origination month],Table1[[#This Row],[origination month]])</f>
        <v>23903900</v>
      </c>
      <c r="AR181" s="2">
        <f>AVERAGEIFS(Table1[months_on_book],Table1[product],Table1[[#This Row],[product]])</f>
        <v>20.262135922330096</v>
      </c>
      <c r="AS181" s="2" t="str">
        <f ca="1">IF(EDATE(Table1[[#This Row],[origination_date]],6) &gt;= TODAY(), "New Loan", "Old Loan")</f>
        <v>Old Loan</v>
      </c>
      <c r="AT181" s="2" t="str">
        <f>"Q"&amp;ROUNDUP(MONTH(Table1[[#This Row],[origination_date]])/3,0)&amp;YEAR(Table1[[#This Row],[origination_date]])</f>
        <v>Q22022</v>
      </c>
      <c r="AU181" s="2">
        <f>SUMIFS(Table1[loan_amount],Table1[quarter],Table1[[#This Row],[quarter]])</f>
        <v>45395100</v>
      </c>
      <c r="AV181" s="34" t="str">
        <f>_xlfn.TEXTJOIN("|",TRUE,Table1[[#This Row],[loan_id]:[loan_status]])</f>
        <v>L86107843|C9350158|44658|Auto Loan|Branch|Central|Contract|24|1553700|9.99|71688|938046|724|B|0.05|0.74|2099500|24|1738580|0|45|0|0|Closed</v>
      </c>
      <c r="AW181" s="42">
        <f>YEAR(Loan_Table[ [#This Row],[origination_date] ])</f>
        <v>2023</v>
      </c>
    </row>
    <row r="182" spans="2:49" ht="18" customHeight="1">
      <c r="B182" s="5" t="s">
        <v>484</v>
      </c>
      <c r="C182" s="2" t="s">
        <v>485</v>
      </c>
      <c r="D182" s="3">
        <v>45023</v>
      </c>
      <c r="E182" s="2" t="s">
        <v>131</v>
      </c>
      <c r="F182" s="2" t="s">
        <v>144</v>
      </c>
      <c r="G182" s="2" t="s">
        <v>139</v>
      </c>
      <c r="H182" s="2" t="s">
        <v>134</v>
      </c>
      <c r="I182" s="2">
        <v>240</v>
      </c>
      <c r="J182" s="2">
        <v>50000</v>
      </c>
      <c r="K182" s="2">
        <v>17.16</v>
      </c>
      <c r="L182" s="2">
        <v>739</v>
      </c>
      <c r="M182" s="2">
        <v>682713</v>
      </c>
      <c r="N182" s="2">
        <v>702</v>
      </c>
      <c r="O182" s="2" t="s">
        <v>135</v>
      </c>
      <c r="P182" s="2">
        <v>0.65</v>
      </c>
      <c r="Q182" s="2">
        <v>0.45</v>
      </c>
      <c r="R182" s="2">
        <v>0</v>
      </c>
      <c r="S182" s="2">
        <v>32</v>
      </c>
      <c r="T182" s="2">
        <v>21385</v>
      </c>
      <c r="U182" s="2">
        <v>37767</v>
      </c>
      <c r="V182" s="2">
        <v>45</v>
      </c>
      <c r="W182" s="2">
        <v>0</v>
      </c>
      <c r="X182" s="2">
        <v>0</v>
      </c>
      <c r="Y182" s="2" t="s">
        <v>136</v>
      </c>
      <c r="Z182" s="12">
        <f>SUMIF(Table1[product],Table1[[#This Row],[product]],Table1[loan_amount])</f>
        <v>74897600</v>
      </c>
      <c r="AA182" s="15">
        <f>SUMIF(Table1[region],Table1[[#This Row],[region]],Table1[current_balance])</f>
        <v>83903255</v>
      </c>
      <c r="AB182" s="2">
        <f>COUNTIF(Table1[loan_status],Table1[[#This Row],[loan_status]])</f>
        <v>47</v>
      </c>
      <c r="AC182" s="2">
        <f>COUNTIF(Table1[default_flag],1)/ROWS(Table1[loan_id])</f>
        <v>2.5999999999999999E-2</v>
      </c>
      <c r="AD182" s="2">
        <f>COUNTIFS(Table1[region],Table1[[#This Row],[region]],Table1[default_flag],1)/COUNTIF(Table1[region],Table1[[#This Row],[region]])</f>
        <v>4.2553191489361701E-2</v>
      </c>
      <c r="AE182" s="2">
        <f>COUNTIFS(Table1[channel],Table1[[#This Row],[channel]],Table1[prepayment_flag],1)/COUNTIF(Table1[channel],Table1[[#This Row],[channel]])</f>
        <v>5.8201058201058198E-2</v>
      </c>
      <c r="AF182" s="2">
        <f>AVERAGEIFS(Table1[interest_rate_pct],Table1[product],Table1[[#This Row],[product]],Table1[risk_band],Table1[[#This Row],[risk_band]])</f>
        <v>16.500166666666669</v>
      </c>
      <c r="AG182" s="2" t="str" cm="1">
        <f t="array" ref="AG182">_xlfn.IFS(Table1[[#This Row],[dti_ratio]] &lt; 0.2, " less than 0.2", Table1[[#This Row],[dti_ratio]] &lt; 0.3, "0.2 - 0.3", Table1[[#This Row],[dti_ratio]] &lt;= 0.5, "0.35 - 0.5", Table1[[#This Row],[dti_ratio]] &gt; 0.5, "greater than 0.5")</f>
        <v>greater than 0.5</v>
      </c>
      <c r="AH182" s="2">
        <f>COUNTIF(Table1[DTI band],Table1[[#This Row],[DTI band]])</f>
        <v>32</v>
      </c>
      <c r="AI182" s="2" t="str" cm="1">
        <f t="array" ref="AI182">_xlfn.IFS(Table1[[#This Row],[ltv_ratio]] &lt; 0.6, "less than 0.6 -less risky", Table1[[#This Row],[ltv_ratio]]  &lt;= 0.8, "0.6 - 0.8 -medium risky",Table1[[#This Row],[ltv_ratio]] &gt; 0.8, "greater than 0.8 -highly risky")</f>
        <v>less than 0.6 -less risky</v>
      </c>
      <c r="AJ182" s="2">
        <f>COUNTIF(Table1[LTV band],Table1[[#This Row],[LTV band]])</f>
        <v>57</v>
      </c>
      <c r="AK182" s="2">
        <f>COUNTIFS(Table1[count_loan_perband],Table1[[#This Row],[count_loan_perband]],Table1[default_flag],1)/COUNTIF(Table1[count_loan_perband],Table1[[#This Row],[count_loan_perband]])</f>
        <v>0</v>
      </c>
      <c r="AL182" s="2" t="str" cm="1">
        <f t="array" ref="AL182">_xlfn.IFS(Table1[[#This Row],[loan_amount]] &lt; 900000, "lower size (&lt; 9L)", Table1[[#This Row],[loan_amount]] &lt;=3300000, "medium size (&lt;=33L)", Table1[[#This Row],[loan_amount]] &gt; 3300000, "larger size (&gt; 33L)")</f>
        <v>lower size (&lt; 9L)</v>
      </c>
      <c r="AM182" s="2">
        <f>IF(Table1[[#This Row],[dpd]] &gt;=30,1,0)</f>
        <v>1</v>
      </c>
      <c r="AN182" s="2">
        <f>COUNTIFS(Table1[Loan size],Table1[[#This Row],[Loan size]],Table1[dpd flag],1)/COUNTIF(Table1[Loan size],Table1[[#This Row],[Loan size]])</f>
        <v>0.13934426229508196</v>
      </c>
      <c r="AO182" s="2" t="str">
        <f>IF(OR(Table1[[#This Row],[credit_score]] &lt; 600, Table1[ [#This Row],[dti_ratio] ] &gt; 0.5, Table1[[#This Row],[dpd]] &gt;=30), "high risk", " not riskY")</f>
        <v>high risk</v>
      </c>
      <c r="AP182" s="26">
        <f>EOMONTH(Table1[[#This Row],[origination_date]],0)</f>
        <v>45046</v>
      </c>
      <c r="AQ182" s="2">
        <f>SUMIFS(Table1[loan_amount],Table1[origination month],Table1[[#This Row],[origination month]])</f>
        <v>19321000</v>
      </c>
      <c r="AR182" s="2">
        <f>AVERAGEIFS(Table1[months_on_book],Table1[product],Table1[[#This Row],[product]])</f>
        <v>21.092024539877301</v>
      </c>
      <c r="AS182" s="2" t="str">
        <f ca="1">IF(EDATE(Table1[[#This Row],[origination_date]],6) &gt;= TODAY(), "New Loan", "Old Loan")</f>
        <v>Old Loan</v>
      </c>
      <c r="AT182" s="2" t="str">
        <f>"Q"&amp;ROUNDUP(MONTH(Table1[[#This Row],[origination_date]])/3,0)&amp;YEAR(Table1[[#This Row],[origination_date]])</f>
        <v>Q22023</v>
      </c>
      <c r="AU182" s="2">
        <f>SUMIFS(Table1[loan_amount],Table1[quarter],Table1[[#This Row],[quarter]])</f>
        <v>42051000</v>
      </c>
      <c r="AV182" s="34" t="str">
        <f>_xlfn.TEXTJOIN("|",TRUE,Table1[[#This Row],[loan_id]:[loan_status]])</f>
        <v>L97464378|C8957311|45023|Personal Loan|Branch|West|Salaried|240|50000|17.16|739|682713|702|B|0.65|0.45|0|32|21385|37767|45|0|0|Delinquent</v>
      </c>
      <c r="AW182" s="42">
        <f>YEAR(Loan_Table[ [#This Row],[origination_date] ])</f>
        <v>2023</v>
      </c>
    </row>
    <row r="183" spans="2:49" ht="18" customHeight="1">
      <c r="B183" s="5" t="s">
        <v>486</v>
      </c>
      <c r="C183" s="2" t="s">
        <v>487</v>
      </c>
      <c r="D183" s="3">
        <v>45027</v>
      </c>
      <c r="E183" s="2" t="s">
        <v>163</v>
      </c>
      <c r="F183" s="2" t="s">
        <v>132</v>
      </c>
      <c r="G183" s="2" t="s">
        <v>170</v>
      </c>
      <c r="H183" s="2" t="s">
        <v>134</v>
      </c>
      <c r="I183" s="2">
        <v>36</v>
      </c>
      <c r="J183" s="2">
        <v>1164100</v>
      </c>
      <c r="K183" s="2">
        <v>13.85</v>
      </c>
      <c r="L183" s="2">
        <v>39701</v>
      </c>
      <c r="M183" s="2">
        <v>1243236</v>
      </c>
      <c r="N183" s="2">
        <v>688</v>
      </c>
      <c r="O183" s="2" t="s">
        <v>140</v>
      </c>
      <c r="P183" s="2">
        <v>0.57999999999999996</v>
      </c>
      <c r="Q183" s="2">
        <v>0.59</v>
      </c>
      <c r="R183" s="2">
        <v>1989700</v>
      </c>
      <c r="S183" s="2">
        <v>32</v>
      </c>
      <c r="T183" s="2">
        <v>1233181</v>
      </c>
      <c r="U183" s="2">
        <v>102895</v>
      </c>
      <c r="V183" s="2">
        <v>0</v>
      </c>
      <c r="W183" s="2">
        <v>0</v>
      </c>
      <c r="X183" s="2">
        <v>0</v>
      </c>
      <c r="Y183" s="2" t="s">
        <v>148</v>
      </c>
      <c r="Z183" s="12">
        <f>SUMIF(Table1[product],Table1[[#This Row],[product]],Table1[loan_amount])</f>
        <v>92273000</v>
      </c>
      <c r="AA183" s="15">
        <f>SUMIF(Table1[region],Table1[[#This Row],[region]],Table1[current_balance])</f>
        <v>83297251</v>
      </c>
      <c r="AB183" s="2">
        <f>COUNTIF(Table1[loan_status],Table1[[#This Row],[loan_status]])</f>
        <v>301</v>
      </c>
      <c r="AC183" s="2">
        <f>COUNTIF(Table1[default_flag],1)/ROWS(Table1[loan_id])</f>
        <v>2.5999999999999999E-2</v>
      </c>
      <c r="AD183" s="2">
        <f>COUNTIFS(Table1[region],Table1[[#This Row],[region]],Table1[default_flag],1)/COUNTIF(Table1[region],Table1[[#This Row],[region]])</f>
        <v>3.1914893617021274E-2</v>
      </c>
      <c r="AE183" s="2">
        <f>COUNTIFS(Table1[channel],Table1[[#This Row],[channel]],Table1[prepayment_flag],1)/COUNTIF(Table1[channel],Table1[[#This Row],[channel]])</f>
        <v>7.1090047393364927E-2</v>
      </c>
      <c r="AF183" s="2">
        <f>AVERAGEIFS(Table1[interest_rate_pct],Table1[product],Table1[[#This Row],[product]],Table1[risk_band],Table1[[#This Row],[risk_band]])</f>
        <v>13.246500000000001</v>
      </c>
      <c r="AG183" s="2" t="str" cm="1">
        <f t="array" ref="AG183">_xlfn.IFS(Table1[[#This Row],[dti_ratio]] &lt; 0.2, " less than 0.2", Table1[[#This Row],[dti_ratio]] &lt; 0.3, "0.2 - 0.3", Table1[[#This Row],[dti_ratio]] &lt;= 0.5, "0.35 - 0.5", Table1[[#This Row],[dti_ratio]] &gt; 0.5, "greater than 0.5")</f>
        <v>greater than 0.5</v>
      </c>
      <c r="AH183" s="2">
        <f>COUNTIF(Table1[DTI band],Table1[[#This Row],[DTI band]])</f>
        <v>32</v>
      </c>
      <c r="AI183" s="2" t="str" cm="1">
        <f t="array" ref="AI183">_xlfn.IFS(Table1[[#This Row],[ltv_ratio]] &lt; 0.6, "less than 0.6 -less risky", Table1[[#This Row],[ltv_ratio]]  &lt;= 0.8, "0.6 - 0.8 -medium risky",Table1[[#This Row],[ltv_ratio]] &gt; 0.8, "greater than 0.8 -highly risky")</f>
        <v>less than 0.6 -less risky</v>
      </c>
      <c r="AJ183" s="2">
        <f>COUNTIF(Table1[LTV band],Table1[[#This Row],[LTV band]])</f>
        <v>57</v>
      </c>
      <c r="AK183" s="2">
        <f>COUNTIFS(Table1[count_loan_perband],Table1[[#This Row],[count_loan_perband]],Table1[default_flag],1)/COUNTIF(Table1[count_loan_perband],Table1[[#This Row],[count_loan_perband]])</f>
        <v>0</v>
      </c>
      <c r="AL183" s="2" t="str" cm="1">
        <f t="array" ref="AL183">_xlfn.IFS(Table1[[#This Row],[loan_amount]] &lt; 900000, "lower size (&lt; 9L)", Table1[[#This Row],[loan_amount]] &lt;=3300000, "medium size (&lt;=33L)", Table1[[#This Row],[loan_amount]] &gt; 3300000, "larger size (&gt; 33L)")</f>
        <v>medium size (&lt;=33L)</v>
      </c>
      <c r="AM183" s="2">
        <f>IF(Table1[[#This Row],[dpd]] &gt;=30,1,0)</f>
        <v>0</v>
      </c>
      <c r="AN183" s="2">
        <f>COUNTIFS(Table1[Loan size],Table1[[#This Row],[Loan size]],Table1[dpd flag],1)/COUNTIF(Table1[Loan size],Table1[[#This Row],[Loan size]])</f>
        <v>0.15909090909090909</v>
      </c>
      <c r="AO183" s="2" t="str">
        <f>IF(OR(Table1[[#This Row],[credit_score]] &lt; 600, Table1[ [#This Row],[dti_ratio] ] &gt; 0.5, Table1[[#This Row],[dpd]] &gt;=30), "high risk", " not riskY")</f>
        <v>high risk</v>
      </c>
      <c r="AP183" s="26">
        <f>EOMONTH(Table1[[#This Row],[origination_date]],0)</f>
        <v>45046</v>
      </c>
      <c r="AQ183" s="2">
        <f>SUMIFS(Table1[loan_amount],Table1[origination month],Table1[[#This Row],[origination month]])</f>
        <v>19321000</v>
      </c>
      <c r="AR183" s="2">
        <f>AVERAGEIFS(Table1[months_on_book],Table1[product],Table1[[#This Row],[product]])</f>
        <v>20.262135922330096</v>
      </c>
      <c r="AS183" s="2" t="str">
        <f ca="1">IF(EDATE(Table1[[#This Row],[origination_date]],6) &gt;= TODAY(), "New Loan", "Old Loan")</f>
        <v>Old Loan</v>
      </c>
      <c r="AT183" s="2" t="str">
        <f>"Q"&amp;ROUNDUP(MONTH(Table1[[#This Row],[origination_date]])/3,0)&amp;YEAR(Table1[[#This Row],[origination_date]])</f>
        <v>Q22023</v>
      </c>
      <c r="AU183" s="2">
        <f>SUMIFS(Table1[loan_amount],Table1[quarter],Table1[[#This Row],[quarter]])</f>
        <v>42051000</v>
      </c>
      <c r="AV183" s="34" t="str">
        <f>_xlfn.TEXTJOIN("|",TRUE,Table1[[#This Row],[loan_id]:[loan_status]])</f>
        <v>L84800140|C2737373|45027|Auto Loan|Online|East|Salaried|36|1164100|13.85|39701|1243236|688|C|0.58|0.59|1989700|32|1233181|102895|0|0|0|Active</v>
      </c>
      <c r="AW183" s="42">
        <f>YEAR(Loan_Table[ [#This Row],[origination_date] ])</f>
        <v>2023</v>
      </c>
    </row>
    <row r="184" spans="2:49" ht="18" customHeight="1">
      <c r="B184" s="5" t="s">
        <v>488</v>
      </c>
      <c r="C184" s="2" t="s">
        <v>489</v>
      </c>
      <c r="D184" s="3">
        <v>45086</v>
      </c>
      <c r="E184" s="2" t="s">
        <v>131</v>
      </c>
      <c r="F184" s="2" t="s">
        <v>144</v>
      </c>
      <c r="G184" s="2" t="s">
        <v>170</v>
      </c>
      <c r="H184" s="2" t="s">
        <v>146</v>
      </c>
      <c r="I184" s="2">
        <v>36</v>
      </c>
      <c r="J184" s="2">
        <v>393300</v>
      </c>
      <c r="K184" s="2">
        <v>22.33</v>
      </c>
      <c r="L184" s="2">
        <v>15088</v>
      </c>
      <c r="M184" s="2">
        <v>1238800</v>
      </c>
      <c r="N184" s="2">
        <v>618</v>
      </c>
      <c r="O184" s="2" t="s">
        <v>147</v>
      </c>
      <c r="P184" s="2">
        <v>0.56999999999999995</v>
      </c>
      <c r="Q184" s="2">
        <v>0.85</v>
      </c>
      <c r="R184" s="2">
        <v>0</v>
      </c>
      <c r="S184" s="2">
        <v>30</v>
      </c>
      <c r="T184" s="2">
        <v>413790</v>
      </c>
      <c r="U184" s="2">
        <v>67334</v>
      </c>
      <c r="V184" s="2">
        <v>0</v>
      </c>
      <c r="W184" s="2">
        <v>1</v>
      </c>
      <c r="X184" s="2">
        <v>0</v>
      </c>
      <c r="Y184" s="2" t="s">
        <v>141</v>
      </c>
      <c r="Z184" s="12">
        <f>SUMIF(Table1[product],Table1[[#This Row],[product]],Table1[loan_amount])</f>
        <v>74897600</v>
      </c>
      <c r="AA184" s="15">
        <f>SUMIF(Table1[region],Table1[[#This Row],[region]],Table1[current_balance])</f>
        <v>83297251</v>
      </c>
      <c r="AB184" s="2">
        <f>COUNTIF(Table1[loan_status],Table1[[#This Row],[loan_status]])</f>
        <v>139</v>
      </c>
      <c r="AC184" s="2">
        <f>COUNTIF(Table1[default_flag],1)/ROWS(Table1[loan_id])</f>
        <v>2.5999999999999999E-2</v>
      </c>
      <c r="AD184" s="2">
        <f>COUNTIFS(Table1[region],Table1[[#This Row],[region]],Table1[default_flag],1)/COUNTIF(Table1[region],Table1[[#This Row],[region]])</f>
        <v>3.1914893617021274E-2</v>
      </c>
      <c r="AE184" s="2">
        <f>COUNTIFS(Table1[channel],Table1[[#This Row],[channel]],Table1[prepayment_flag],1)/COUNTIF(Table1[channel],Table1[[#This Row],[channel]])</f>
        <v>5.8201058201058198E-2</v>
      </c>
      <c r="AF184" s="2">
        <f>AVERAGEIFS(Table1[interest_rate_pct],Table1[product],Table1[[#This Row],[product]],Table1[risk_band],Table1[[#This Row],[risk_band]])</f>
        <v>20.962592592592593</v>
      </c>
      <c r="AG184" s="2" t="str" cm="1">
        <f t="array" ref="AG184">_xlfn.IFS(Table1[[#This Row],[dti_ratio]] &lt; 0.2, " less than 0.2", Table1[[#This Row],[dti_ratio]] &lt; 0.3, "0.2 - 0.3", Table1[[#This Row],[dti_ratio]] &lt;= 0.5, "0.35 - 0.5", Table1[[#This Row],[dti_ratio]] &gt; 0.5, "greater than 0.5")</f>
        <v>greater than 0.5</v>
      </c>
      <c r="AH184" s="2">
        <f>COUNTIF(Table1[DTI band],Table1[[#This Row],[DTI band]])</f>
        <v>32</v>
      </c>
      <c r="AI184" s="2" t="str" cm="1">
        <f t="array" ref="AI184">_xlfn.IFS(Table1[[#This Row],[ltv_ratio]] &lt; 0.6, "less than 0.6 -less risky", Table1[[#This Row],[ltv_ratio]]  &lt;= 0.8, "0.6 - 0.8 -medium risky",Table1[[#This Row],[ltv_ratio]] &gt; 0.8, "greater than 0.8 -highly risky")</f>
        <v>greater than 0.8 -highly risky</v>
      </c>
      <c r="AJ184" s="2">
        <f>COUNTIF(Table1[LTV band],Table1[[#This Row],[LTV band]])</f>
        <v>141</v>
      </c>
      <c r="AK184" s="2">
        <f>COUNTIFS(Table1[count_loan_perband],Table1[[#This Row],[count_loan_perband]],Table1[default_flag],1)/COUNTIF(Table1[count_loan_perband],Table1[[#This Row],[count_loan_perband]])</f>
        <v>1.4184397163120567E-2</v>
      </c>
      <c r="AL184" s="2" t="str" cm="1">
        <f t="array" ref="AL184">_xlfn.IFS(Table1[[#This Row],[loan_amount]] &lt; 900000, "lower size (&lt; 9L)", Table1[[#This Row],[loan_amount]] &lt;=3300000, "medium size (&lt;=33L)", Table1[[#This Row],[loan_amount]] &gt; 3300000, "larger size (&gt; 33L)")</f>
        <v>lower size (&lt; 9L)</v>
      </c>
      <c r="AM184" s="2">
        <f>IF(Table1[[#This Row],[dpd]] &gt;=30,1,0)</f>
        <v>0</v>
      </c>
      <c r="AN184" s="2">
        <f>COUNTIFS(Table1[Loan size],Table1[[#This Row],[Loan size]],Table1[dpd flag],1)/COUNTIF(Table1[Loan size],Table1[[#This Row],[Loan size]])</f>
        <v>0.13934426229508196</v>
      </c>
      <c r="AO184" s="2" t="str">
        <f>IF(OR(Table1[[#This Row],[credit_score]] &lt; 600, Table1[ [#This Row],[dti_ratio] ] &gt; 0.5, Table1[[#This Row],[dpd]] &gt;=30), "high risk", " not riskY")</f>
        <v>high risk</v>
      </c>
      <c r="AP184" s="26">
        <f>EOMONTH(Table1[[#This Row],[origination_date]],0)</f>
        <v>45107</v>
      </c>
      <c r="AQ184" s="2">
        <f>SUMIFS(Table1[loan_amount],Table1[origination month],Table1[[#This Row],[origination month]])</f>
        <v>10134900</v>
      </c>
      <c r="AR184" s="2">
        <f>AVERAGEIFS(Table1[months_on_book],Table1[product],Table1[[#This Row],[product]])</f>
        <v>21.092024539877301</v>
      </c>
      <c r="AS184" s="2" t="str">
        <f ca="1">IF(EDATE(Table1[[#This Row],[origination_date]],6) &gt;= TODAY(), "New Loan", "Old Loan")</f>
        <v>Old Loan</v>
      </c>
      <c r="AT184" s="2" t="str">
        <f>"Q"&amp;ROUNDUP(MONTH(Table1[[#This Row],[origination_date]])/3,0)&amp;YEAR(Table1[[#This Row],[origination_date]])</f>
        <v>Q22023</v>
      </c>
      <c r="AU184" s="2">
        <f>SUMIFS(Table1[loan_amount],Table1[quarter],Table1[[#This Row],[quarter]])</f>
        <v>42051000</v>
      </c>
      <c r="AV184" s="34" t="str">
        <f>_xlfn.TEXTJOIN("|",TRUE,Table1[[#This Row],[loan_id]:[loan_status]])</f>
        <v>L64255441|C3671888|45086|Personal Loan|Branch|East|Contract|36|393300|22.33|15088|1238800|618|D|0.57|0.85|0|30|413790|67334|0|1|0|Closed</v>
      </c>
      <c r="AW184" s="42">
        <f>YEAR(Loan_Table[ [#This Row],[origination_date] ])</f>
        <v>2023</v>
      </c>
    </row>
    <row r="185" spans="2:49" ht="18" customHeight="1">
      <c r="B185" s="5" t="s">
        <v>490</v>
      </c>
      <c r="C185" s="2" t="s">
        <v>491</v>
      </c>
      <c r="D185" s="3">
        <v>45045</v>
      </c>
      <c r="E185" s="2" t="s">
        <v>131</v>
      </c>
      <c r="F185" s="2" t="s">
        <v>132</v>
      </c>
      <c r="G185" s="2" t="s">
        <v>151</v>
      </c>
      <c r="H185" s="2" t="s">
        <v>152</v>
      </c>
      <c r="I185" s="2">
        <v>84</v>
      </c>
      <c r="J185" s="2">
        <v>414300</v>
      </c>
      <c r="K185" s="2">
        <v>15.54</v>
      </c>
      <c r="L185" s="2">
        <v>8121</v>
      </c>
      <c r="M185" s="2">
        <v>1248023</v>
      </c>
      <c r="N185" s="2">
        <v>738</v>
      </c>
      <c r="O185" s="2" t="s">
        <v>135</v>
      </c>
      <c r="P185" s="2">
        <v>0.56000000000000005</v>
      </c>
      <c r="Q185" s="2">
        <v>0.74</v>
      </c>
      <c r="R185" s="2">
        <v>0</v>
      </c>
      <c r="S185" s="2">
        <v>32</v>
      </c>
      <c r="T185" s="2">
        <v>224983</v>
      </c>
      <c r="U185" s="2">
        <v>257991</v>
      </c>
      <c r="V185" s="2">
        <v>0</v>
      </c>
      <c r="W185" s="2">
        <v>1</v>
      </c>
      <c r="X185" s="2">
        <v>0</v>
      </c>
      <c r="Y185" s="2" t="s">
        <v>141</v>
      </c>
      <c r="Z185" s="12">
        <f>SUMIF(Table1[product],Table1[[#This Row],[product]],Table1[loan_amount])</f>
        <v>74897600</v>
      </c>
      <c r="AA185" s="15">
        <f>SUMIF(Table1[region],Table1[[#This Row],[region]],Table1[current_balance])</f>
        <v>105779369</v>
      </c>
      <c r="AB185" s="2">
        <f>COUNTIF(Table1[loan_status],Table1[[#This Row],[loan_status]])</f>
        <v>139</v>
      </c>
      <c r="AC185" s="2">
        <f>COUNTIF(Table1[default_flag],1)/ROWS(Table1[loan_id])</f>
        <v>2.5999999999999999E-2</v>
      </c>
      <c r="AD185" s="2">
        <f>COUNTIFS(Table1[region],Table1[[#This Row],[region]],Table1[default_flag],1)/COUNTIF(Table1[region],Table1[[#This Row],[region]])</f>
        <v>2.6548672566371681E-2</v>
      </c>
      <c r="AE185" s="2">
        <f>COUNTIFS(Table1[channel],Table1[[#This Row],[channel]],Table1[prepayment_flag],1)/COUNTIF(Table1[channel],Table1[[#This Row],[channel]])</f>
        <v>7.1090047393364927E-2</v>
      </c>
      <c r="AF185" s="2">
        <f>AVERAGEIFS(Table1[interest_rate_pct],Table1[product],Table1[[#This Row],[product]],Table1[risk_band],Table1[[#This Row],[risk_band]])</f>
        <v>16.500166666666669</v>
      </c>
      <c r="AG185" s="2" t="str" cm="1">
        <f t="array" ref="AG185">_xlfn.IFS(Table1[[#This Row],[dti_ratio]] &lt; 0.2, " less than 0.2", Table1[[#This Row],[dti_ratio]] &lt; 0.3, "0.2 - 0.3", Table1[[#This Row],[dti_ratio]] &lt;= 0.5, "0.35 - 0.5", Table1[[#This Row],[dti_ratio]] &gt; 0.5, "greater than 0.5")</f>
        <v>greater than 0.5</v>
      </c>
      <c r="AH185" s="2">
        <f>COUNTIF(Table1[DTI band],Table1[[#This Row],[DTI band]])</f>
        <v>32</v>
      </c>
      <c r="AI185" s="2" t="str" cm="1">
        <f t="array" ref="AI185">_xlfn.IFS(Table1[[#This Row],[ltv_ratio]] &lt; 0.6, "less than 0.6 -less risky", Table1[[#This Row],[ltv_ratio]]  &lt;= 0.8, "0.6 - 0.8 -medium risky",Table1[[#This Row],[ltv_ratio]] &gt; 0.8, "greater than 0.8 -highly risky")</f>
        <v>0.6 - 0.8 -medium risky</v>
      </c>
      <c r="AJ185" s="2">
        <f>COUNTIF(Table1[LTV band],Table1[[#This Row],[LTV band]])</f>
        <v>302</v>
      </c>
      <c r="AK185" s="2">
        <f>COUNTIFS(Table1[count_loan_perband],Table1[[#This Row],[count_loan_perband]],Table1[default_flag],1)/COUNTIF(Table1[count_loan_perband],Table1[[#This Row],[count_loan_perband]])</f>
        <v>3.6423841059602648E-2</v>
      </c>
      <c r="AL185" s="2" t="str" cm="1">
        <f t="array" ref="AL185">_xlfn.IFS(Table1[[#This Row],[loan_amount]] &lt; 900000, "lower size (&lt; 9L)", Table1[[#This Row],[loan_amount]] &lt;=3300000, "medium size (&lt;=33L)", Table1[[#This Row],[loan_amount]] &gt; 3300000, "larger size (&gt; 33L)")</f>
        <v>lower size (&lt; 9L)</v>
      </c>
      <c r="AM185" s="2">
        <f>IF(Table1[[#This Row],[dpd]] &gt;=30,1,0)</f>
        <v>0</v>
      </c>
      <c r="AN185" s="2">
        <f>COUNTIFS(Table1[Loan size],Table1[[#This Row],[Loan size]],Table1[dpd flag],1)/COUNTIF(Table1[Loan size],Table1[[#This Row],[Loan size]])</f>
        <v>0.13934426229508196</v>
      </c>
      <c r="AO185" s="2" t="str">
        <f>IF(OR(Table1[[#This Row],[credit_score]] &lt; 600, Table1[ [#This Row],[dti_ratio] ] &gt; 0.5, Table1[[#This Row],[dpd]] &gt;=30), "high risk", " not riskY")</f>
        <v>high risk</v>
      </c>
      <c r="AP185" s="26">
        <f>EOMONTH(Table1[[#This Row],[origination_date]],0)</f>
        <v>45046</v>
      </c>
      <c r="AQ185" s="2">
        <f>SUMIFS(Table1[loan_amount],Table1[origination month],Table1[[#This Row],[origination month]])</f>
        <v>19321000</v>
      </c>
      <c r="AR185" s="2">
        <f>AVERAGEIFS(Table1[months_on_book],Table1[product],Table1[[#This Row],[product]])</f>
        <v>21.092024539877301</v>
      </c>
      <c r="AS185" s="2" t="str">
        <f ca="1">IF(EDATE(Table1[[#This Row],[origination_date]],6) &gt;= TODAY(), "New Loan", "Old Loan")</f>
        <v>Old Loan</v>
      </c>
      <c r="AT185" s="2" t="str">
        <f>"Q"&amp;ROUNDUP(MONTH(Table1[[#This Row],[origination_date]])/3,0)&amp;YEAR(Table1[[#This Row],[origination_date]])</f>
        <v>Q22023</v>
      </c>
      <c r="AU185" s="2">
        <f>SUMIFS(Table1[loan_amount],Table1[quarter],Table1[[#This Row],[quarter]])</f>
        <v>42051000</v>
      </c>
      <c r="AV185" s="34" t="str">
        <f>_xlfn.TEXTJOIN("|",TRUE,Table1[[#This Row],[loan_id]:[loan_status]])</f>
        <v>L98446455|C9247132|45045|Personal Loan|Online|North|Self-Employed|84|414300|15.54|8121|1248023|738|B|0.56|0.74|0|32|224983|257991|0|1|0|Closed</v>
      </c>
      <c r="AW185" s="42">
        <f>YEAR(Loan_Table[ [#This Row],[origination_date] ])</f>
        <v>2023</v>
      </c>
    </row>
    <row r="186" spans="2:49" ht="18" customHeight="1">
      <c r="B186" s="5" t="s">
        <v>492</v>
      </c>
      <c r="C186" s="2" t="s">
        <v>493</v>
      </c>
      <c r="D186" s="3">
        <v>45049</v>
      </c>
      <c r="E186" s="2" t="s">
        <v>131</v>
      </c>
      <c r="F186" s="2" t="s">
        <v>144</v>
      </c>
      <c r="G186" s="2" t="s">
        <v>170</v>
      </c>
      <c r="H186" s="2" t="s">
        <v>134</v>
      </c>
      <c r="I186" s="2">
        <v>18</v>
      </c>
      <c r="J186" s="2">
        <v>512600</v>
      </c>
      <c r="K186" s="2">
        <v>15.32</v>
      </c>
      <c r="L186" s="2">
        <v>32056</v>
      </c>
      <c r="M186" s="2">
        <v>971647</v>
      </c>
      <c r="N186" s="2">
        <v>758</v>
      </c>
      <c r="O186" s="2" t="s">
        <v>160</v>
      </c>
      <c r="P186" s="2">
        <v>0.49</v>
      </c>
      <c r="Q186" s="2">
        <v>0.98</v>
      </c>
      <c r="R186" s="2">
        <v>0</v>
      </c>
      <c r="S186" s="2">
        <v>18</v>
      </c>
      <c r="T186" s="2">
        <v>513905</v>
      </c>
      <c r="U186" s="2">
        <v>45813</v>
      </c>
      <c r="V186" s="2">
        <v>0</v>
      </c>
      <c r="W186" s="2">
        <v>0</v>
      </c>
      <c r="X186" s="2">
        <v>0</v>
      </c>
      <c r="Y186" s="2" t="s">
        <v>141</v>
      </c>
      <c r="Z186" s="12">
        <f>SUMIF(Table1[product],Table1[[#This Row],[product]],Table1[loan_amount])</f>
        <v>74897600</v>
      </c>
      <c r="AA186" s="15">
        <f>SUMIF(Table1[region],Table1[[#This Row],[region]],Table1[current_balance])</f>
        <v>83297251</v>
      </c>
      <c r="AB186" s="2">
        <f>COUNTIF(Table1[loan_status],Table1[[#This Row],[loan_status]])</f>
        <v>139</v>
      </c>
      <c r="AC186" s="2">
        <f>COUNTIF(Table1[default_flag],1)/ROWS(Table1[loan_id])</f>
        <v>2.5999999999999999E-2</v>
      </c>
      <c r="AD186" s="2">
        <f>COUNTIFS(Table1[region],Table1[[#This Row],[region]],Table1[default_flag],1)/COUNTIF(Table1[region],Table1[[#This Row],[region]])</f>
        <v>3.1914893617021274E-2</v>
      </c>
      <c r="AE186" s="2">
        <f>COUNTIFS(Table1[channel],Table1[[#This Row],[channel]],Table1[prepayment_flag],1)/COUNTIF(Table1[channel],Table1[[#This Row],[channel]])</f>
        <v>5.8201058201058198E-2</v>
      </c>
      <c r="AF186" s="2">
        <f>AVERAGEIFS(Table1[interest_rate_pct],Table1[product],Table1[[#This Row],[product]],Table1[risk_band],Table1[[#This Row],[risk_band]])</f>
        <v>13.328333333333335</v>
      </c>
      <c r="AG186" s="2" t="str" cm="1">
        <f t="array" ref="AG186">_xlfn.IFS(Table1[[#This Row],[dti_ratio]] &lt; 0.2, " less than 0.2", Table1[[#This Row],[dti_ratio]] &lt; 0.3, "0.2 - 0.3", Table1[[#This Row],[dti_ratio]] &lt;= 0.5, "0.35 - 0.5", Table1[[#This Row],[dti_ratio]] &gt; 0.5, "greater than 0.5")</f>
        <v>0.35 - 0.5</v>
      </c>
      <c r="AH186" s="2">
        <f>COUNTIF(Table1[DTI band],Table1[[#This Row],[DTI band]])</f>
        <v>260</v>
      </c>
      <c r="AI186" s="2" t="str" cm="1">
        <f t="array" ref="AI186">_xlfn.IFS(Table1[[#This Row],[ltv_ratio]] &lt; 0.6, "less than 0.6 -less risky", Table1[[#This Row],[ltv_ratio]]  &lt;= 0.8, "0.6 - 0.8 -medium risky",Table1[[#This Row],[ltv_ratio]] &gt; 0.8, "greater than 0.8 -highly risky")</f>
        <v>greater than 0.8 -highly risky</v>
      </c>
      <c r="AJ186" s="2">
        <f>COUNTIF(Table1[LTV band],Table1[[#This Row],[LTV band]])</f>
        <v>141</v>
      </c>
      <c r="AK186" s="2">
        <f>COUNTIFS(Table1[count_loan_perband],Table1[[#This Row],[count_loan_perband]],Table1[default_flag],1)/COUNTIF(Table1[count_loan_perband],Table1[[#This Row],[count_loan_perband]])</f>
        <v>1.4184397163120567E-2</v>
      </c>
      <c r="AL186" s="2" t="str" cm="1">
        <f t="array" ref="AL186">_xlfn.IFS(Table1[[#This Row],[loan_amount]] &lt; 900000, "lower size (&lt; 9L)", Table1[[#This Row],[loan_amount]] &lt;=3300000, "medium size (&lt;=33L)", Table1[[#This Row],[loan_amount]] &gt; 3300000, "larger size (&gt; 33L)")</f>
        <v>lower size (&lt; 9L)</v>
      </c>
      <c r="AM186" s="2">
        <f>IF(Table1[[#This Row],[dpd]] &gt;=30,1,0)</f>
        <v>0</v>
      </c>
      <c r="AN186" s="2">
        <f>COUNTIFS(Table1[Loan size],Table1[[#This Row],[Loan size]],Table1[dpd flag],1)/COUNTIF(Table1[Loan size],Table1[[#This Row],[Loan size]])</f>
        <v>0.13934426229508196</v>
      </c>
      <c r="AO186" s="2" t="str">
        <f>IF(OR(Table1[[#This Row],[credit_score]] &lt; 600, Table1[ [#This Row],[dti_ratio] ] &gt; 0.5, Table1[[#This Row],[dpd]] &gt;=30), "high risk", " not riskY")</f>
        <v xml:space="preserve"> not riskY</v>
      </c>
      <c r="AP186" s="26">
        <f>EOMONTH(Table1[[#This Row],[origination_date]],0)</f>
        <v>45077</v>
      </c>
      <c r="AQ186" s="2">
        <f>SUMIFS(Table1[loan_amount],Table1[origination month],Table1[[#This Row],[origination month]])</f>
        <v>12595100</v>
      </c>
      <c r="AR186" s="2">
        <f>AVERAGEIFS(Table1[months_on_book],Table1[product],Table1[[#This Row],[product]])</f>
        <v>21.092024539877301</v>
      </c>
      <c r="AS186" s="2" t="str">
        <f ca="1">IF(EDATE(Table1[[#This Row],[origination_date]],6) &gt;= TODAY(), "New Loan", "Old Loan")</f>
        <v>Old Loan</v>
      </c>
      <c r="AT186" s="2" t="str">
        <f>"Q"&amp;ROUNDUP(MONTH(Table1[[#This Row],[origination_date]])/3,0)&amp;YEAR(Table1[[#This Row],[origination_date]])</f>
        <v>Q22023</v>
      </c>
      <c r="AU186" s="2">
        <f>SUMIFS(Table1[loan_amount],Table1[quarter],Table1[[#This Row],[quarter]])</f>
        <v>42051000</v>
      </c>
      <c r="AV186" s="34" t="str">
        <f>_xlfn.TEXTJOIN("|",TRUE,Table1[[#This Row],[loan_id]:[loan_status]])</f>
        <v>L55451394|C3593400|45049|Personal Loan|Branch|East|Salaried|18|512600|15.32|32056|971647|758|A|0.49|0.98|0|18|513905|45813|0|0|0|Closed</v>
      </c>
      <c r="AW186" s="42">
        <f>YEAR(Loan_Table[ [#This Row],[origination_date] ])</f>
        <v>2023</v>
      </c>
    </row>
    <row r="187" spans="2:49" ht="18" customHeight="1">
      <c r="B187" s="5" t="s">
        <v>494</v>
      </c>
      <c r="C187" s="2" t="s">
        <v>495</v>
      </c>
      <c r="D187" s="3">
        <v>45031</v>
      </c>
      <c r="E187" s="2" t="s">
        <v>163</v>
      </c>
      <c r="F187" s="2" t="s">
        <v>144</v>
      </c>
      <c r="G187" s="2" t="s">
        <v>139</v>
      </c>
      <c r="H187" s="2" t="s">
        <v>134</v>
      </c>
      <c r="I187" s="2">
        <v>48</v>
      </c>
      <c r="J187" s="2">
        <v>347100</v>
      </c>
      <c r="K187" s="2">
        <v>15.47</v>
      </c>
      <c r="L187" s="2">
        <v>9743</v>
      </c>
      <c r="M187" s="2">
        <v>1115054</v>
      </c>
      <c r="N187" s="2">
        <v>636</v>
      </c>
      <c r="O187" s="2" t="s">
        <v>147</v>
      </c>
      <c r="P187" s="2">
        <v>0.42</v>
      </c>
      <c r="Q187" s="2">
        <v>0.65</v>
      </c>
      <c r="R187" s="2">
        <v>534100</v>
      </c>
      <c r="S187" s="2">
        <v>32</v>
      </c>
      <c r="T187" s="2">
        <v>310412</v>
      </c>
      <c r="U187" s="2">
        <v>93964</v>
      </c>
      <c r="V187" s="2">
        <v>0</v>
      </c>
      <c r="W187" s="2">
        <v>0</v>
      </c>
      <c r="X187" s="2">
        <v>0</v>
      </c>
      <c r="Y187" s="2" t="s">
        <v>148</v>
      </c>
      <c r="Z187" s="12">
        <f>SUMIF(Table1[product],Table1[[#This Row],[product]],Table1[loan_amount])</f>
        <v>92273000</v>
      </c>
      <c r="AA187" s="15">
        <f>SUMIF(Table1[region],Table1[[#This Row],[region]],Table1[current_balance])</f>
        <v>83903255</v>
      </c>
      <c r="AB187" s="2">
        <f>COUNTIF(Table1[loan_status],Table1[[#This Row],[loan_status]])</f>
        <v>301</v>
      </c>
      <c r="AC187" s="2">
        <f>COUNTIF(Table1[default_flag],1)/ROWS(Table1[loan_id])</f>
        <v>2.5999999999999999E-2</v>
      </c>
      <c r="AD187" s="2">
        <f>COUNTIFS(Table1[region],Table1[[#This Row],[region]],Table1[default_flag],1)/COUNTIF(Table1[region],Table1[[#This Row],[region]])</f>
        <v>4.2553191489361701E-2</v>
      </c>
      <c r="AE187" s="2">
        <f>COUNTIFS(Table1[channel],Table1[[#This Row],[channel]],Table1[prepayment_flag],1)/COUNTIF(Table1[channel],Table1[[#This Row],[channel]])</f>
        <v>5.8201058201058198E-2</v>
      </c>
      <c r="AF187" s="2">
        <f>AVERAGEIFS(Table1[interest_rate_pct],Table1[product],Table1[[#This Row],[product]],Table1[risk_band],Table1[[#This Row],[risk_band]])</f>
        <v>15.092000000000001</v>
      </c>
      <c r="AG187" s="2" t="str" cm="1">
        <f t="array" ref="AG187">_xlfn.IFS(Table1[[#This Row],[dti_ratio]] &lt; 0.2, " less than 0.2", Table1[[#This Row],[dti_ratio]] &lt; 0.3, "0.2 - 0.3", Table1[[#This Row],[dti_ratio]] &lt;= 0.5, "0.35 - 0.5", Table1[[#This Row],[dti_ratio]] &gt; 0.5, "greater than 0.5")</f>
        <v>0.35 - 0.5</v>
      </c>
      <c r="AH187" s="2">
        <f>COUNTIF(Table1[DTI band],Table1[[#This Row],[DTI band]])</f>
        <v>260</v>
      </c>
      <c r="AI187" s="2" t="str" cm="1">
        <f t="array" ref="AI187">_xlfn.IFS(Table1[[#This Row],[ltv_ratio]] &lt; 0.6, "less than 0.6 -less risky", Table1[[#This Row],[ltv_ratio]]  &lt;= 0.8, "0.6 - 0.8 -medium risky",Table1[[#This Row],[ltv_ratio]] &gt; 0.8, "greater than 0.8 -highly risky")</f>
        <v>0.6 - 0.8 -medium risky</v>
      </c>
      <c r="AJ187" s="2">
        <f>COUNTIF(Table1[LTV band],Table1[[#This Row],[LTV band]])</f>
        <v>302</v>
      </c>
      <c r="AK187" s="2">
        <f>COUNTIFS(Table1[count_loan_perband],Table1[[#This Row],[count_loan_perband]],Table1[default_flag],1)/COUNTIF(Table1[count_loan_perband],Table1[[#This Row],[count_loan_perband]])</f>
        <v>3.6423841059602648E-2</v>
      </c>
      <c r="AL187" s="2" t="str" cm="1">
        <f t="array" ref="AL187">_xlfn.IFS(Table1[[#This Row],[loan_amount]] &lt; 900000, "lower size (&lt; 9L)", Table1[[#This Row],[loan_amount]] &lt;=3300000, "medium size (&lt;=33L)", Table1[[#This Row],[loan_amount]] &gt; 3300000, "larger size (&gt; 33L)")</f>
        <v>lower size (&lt; 9L)</v>
      </c>
      <c r="AM187" s="2">
        <f>IF(Table1[[#This Row],[dpd]] &gt;=30,1,0)</f>
        <v>0</v>
      </c>
      <c r="AN187" s="2">
        <f>COUNTIFS(Table1[Loan size],Table1[[#This Row],[Loan size]],Table1[dpd flag],1)/COUNTIF(Table1[Loan size],Table1[[#This Row],[Loan size]])</f>
        <v>0.13934426229508196</v>
      </c>
      <c r="AO187" s="2" t="str">
        <f>IF(OR(Table1[[#This Row],[credit_score]] &lt; 600, Table1[ [#This Row],[dti_ratio] ] &gt; 0.5, Table1[[#This Row],[dpd]] &gt;=30), "high risk", " not riskY")</f>
        <v xml:space="preserve"> not riskY</v>
      </c>
      <c r="AP187" s="26">
        <f>EOMONTH(Table1[[#This Row],[origination_date]],0)</f>
        <v>45046</v>
      </c>
      <c r="AQ187" s="2">
        <f>SUMIFS(Table1[loan_amount],Table1[origination month],Table1[[#This Row],[origination month]])</f>
        <v>19321000</v>
      </c>
      <c r="AR187" s="2">
        <f>AVERAGEIFS(Table1[months_on_book],Table1[product],Table1[[#This Row],[product]])</f>
        <v>20.262135922330096</v>
      </c>
      <c r="AS187" s="2" t="str">
        <f ca="1">IF(EDATE(Table1[[#This Row],[origination_date]],6) &gt;= TODAY(), "New Loan", "Old Loan")</f>
        <v>Old Loan</v>
      </c>
      <c r="AT187" s="2" t="str">
        <f>"Q"&amp;ROUNDUP(MONTH(Table1[[#This Row],[origination_date]])/3,0)&amp;YEAR(Table1[[#This Row],[origination_date]])</f>
        <v>Q22023</v>
      </c>
      <c r="AU187" s="2">
        <f>SUMIFS(Table1[loan_amount],Table1[quarter],Table1[[#This Row],[quarter]])</f>
        <v>42051000</v>
      </c>
      <c r="AV187" s="34" t="str">
        <f>_xlfn.TEXTJOIN("|",TRUE,Table1[[#This Row],[loan_id]:[loan_status]])</f>
        <v>L44873054|C3886266|45031|Auto Loan|Branch|West|Salaried|48|347100|15.47|9743|1115054|636|D|0.42|0.65|534100|32|310412|93964|0|0|0|Active</v>
      </c>
      <c r="AW187" s="42">
        <f>YEAR(Loan_Table[ [#This Row],[origination_date] ])</f>
        <v>2023</v>
      </c>
    </row>
    <row r="188" spans="2:49" ht="18" customHeight="1">
      <c r="B188" s="5" t="s">
        <v>496</v>
      </c>
      <c r="C188" s="2" t="s">
        <v>497</v>
      </c>
      <c r="D188" s="3">
        <v>45057</v>
      </c>
      <c r="E188" s="2" t="s">
        <v>163</v>
      </c>
      <c r="F188" s="2" t="s">
        <v>144</v>
      </c>
      <c r="G188" s="2" t="s">
        <v>170</v>
      </c>
      <c r="H188" s="2" t="s">
        <v>134</v>
      </c>
      <c r="I188" s="2">
        <v>360</v>
      </c>
      <c r="J188" s="2">
        <v>1942600</v>
      </c>
      <c r="K188" s="2">
        <v>10.57</v>
      </c>
      <c r="L188" s="2">
        <v>17871</v>
      </c>
      <c r="M188" s="2">
        <v>1544753</v>
      </c>
      <c r="N188" s="2">
        <v>728</v>
      </c>
      <c r="O188" s="2" t="s">
        <v>135</v>
      </c>
      <c r="P188" s="2">
        <v>0.42</v>
      </c>
      <c r="Q188" s="2">
        <v>0.88</v>
      </c>
      <c r="R188" s="2">
        <v>2217900</v>
      </c>
      <c r="S188" s="2">
        <v>31</v>
      </c>
      <c r="T188" s="2">
        <v>534649</v>
      </c>
      <c r="U188" s="2">
        <v>1620128</v>
      </c>
      <c r="V188" s="2">
        <v>0</v>
      </c>
      <c r="W188" s="2">
        <v>0</v>
      </c>
      <c r="X188" s="2">
        <v>0</v>
      </c>
      <c r="Y188" s="2" t="s">
        <v>148</v>
      </c>
      <c r="Z188" s="12">
        <f>SUMIF(Table1[product],Table1[[#This Row],[product]],Table1[loan_amount])</f>
        <v>92273000</v>
      </c>
      <c r="AA188" s="15">
        <f>SUMIF(Table1[region],Table1[[#This Row],[region]],Table1[current_balance])</f>
        <v>83297251</v>
      </c>
      <c r="AB188" s="2">
        <f>COUNTIF(Table1[loan_status],Table1[[#This Row],[loan_status]])</f>
        <v>301</v>
      </c>
      <c r="AC188" s="2">
        <f>COUNTIF(Table1[default_flag],1)/ROWS(Table1[loan_id])</f>
        <v>2.5999999999999999E-2</v>
      </c>
      <c r="AD188" s="2">
        <f>COUNTIFS(Table1[region],Table1[[#This Row],[region]],Table1[default_flag],1)/COUNTIF(Table1[region],Table1[[#This Row],[region]])</f>
        <v>3.1914893617021274E-2</v>
      </c>
      <c r="AE188" s="2">
        <f>COUNTIFS(Table1[channel],Table1[[#This Row],[channel]],Table1[prepayment_flag],1)/COUNTIF(Table1[channel],Table1[[#This Row],[channel]])</f>
        <v>5.8201058201058198E-2</v>
      </c>
      <c r="AF188" s="2">
        <f>AVERAGEIFS(Table1[interest_rate_pct],Table1[product],Table1[[#This Row],[product]],Table1[risk_band],Table1[[#This Row],[risk_band]])</f>
        <v>10.611923076923079</v>
      </c>
      <c r="AG188" s="2" t="str" cm="1">
        <f t="array" ref="AG188">_xlfn.IFS(Table1[[#This Row],[dti_ratio]] &lt; 0.2, " less than 0.2", Table1[[#This Row],[dti_ratio]] &lt; 0.3, "0.2 - 0.3", Table1[[#This Row],[dti_ratio]] &lt;= 0.5, "0.35 - 0.5", Table1[[#This Row],[dti_ratio]] &gt; 0.5, "greater than 0.5")</f>
        <v>0.35 - 0.5</v>
      </c>
      <c r="AH188" s="2">
        <f>COUNTIF(Table1[DTI band],Table1[[#This Row],[DTI band]])</f>
        <v>260</v>
      </c>
      <c r="AI188" s="2" t="str" cm="1">
        <f t="array" ref="AI188">_xlfn.IFS(Table1[[#This Row],[ltv_ratio]] &lt; 0.6, "less than 0.6 -less risky", Table1[[#This Row],[ltv_ratio]]  &lt;= 0.8, "0.6 - 0.8 -medium risky",Table1[[#This Row],[ltv_ratio]] &gt; 0.8, "greater than 0.8 -highly risky")</f>
        <v>greater than 0.8 -highly risky</v>
      </c>
      <c r="AJ188" s="2">
        <f>COUNTIF(Table1[LTV band],Table1[[#This Row],[LTV band]])</f>
        <v>141</v>
      </c>
      <c r="AK188" s="2">
        <f>COUNTIFS(Table1[count_loan_perband],Table1[[#This Row],[count_loan_perband]],Table1[default_flag],1)/COUNTIF(Table1[count_loan_perband],Table1[[#This Row],[count_loan_perband]])</f>
        <v>1.4184397163120567E-2</v>
      </c>
      <c r="AL188" s="2" t="str" cm="1">
        <f t="array" ref="AL188">_xlfn.IFS(Table1[[#This Row],[loan_amount]] &lt; 900000, "lower size (&lt; 9L)", Table1[[#This Row],[loan_amount]] &lt;=3300000, "medium size (&lt;=33L)", Table1[[#This Row],[loan_amount]] &gt; 3300000, "larger size (&gt; 33L)")</f>
        <v>medium size (&lt;=33L)</v>
      </c>
      <c r="AM188" s="2">
        <f>IF(Table1[[#This Row],[dpd]] &gt;=30,1,0)</f>
        <v>0</v>
      </c>
      <c r="AN188" s="2">
        <f>COUNTIFS(Table1[Loan size],Table1[[#This Row],[Loan size]],Table1[dpd flag],1)/COUNTIF(Table1[Loan size],Table1[[#This Row],[Loan size]])</f>
        <v>0.15909090909090909</v>
      </c>
      <c r="AO188" s="2" t="str">
        <f>IF(OR(Table1[[#This Row],[credit_score]] &lt; 600, Table1[ [#This Row],[dti_ratio] ] &gt; 0.5, Table1[[#This Row],[dpd]] &gt;=30), "high risk", " not riskY")</f>
        <v xml:space="preserve"> not riskY</v>
      </c>
      <c r="AP188" s="26">
        <f>EOMONTH(Table1[[#This Row],[origination_date]],0)</f>
        <v>45077</v>
      </c>
      <c r="AQ188" s="2">
        <f>SUMIFS(Table1[loan_amount],Table1[origination month],Table1[[#This Row],[origination month]])</f>
        <v>12595100</v>
      </c>
      <c r="AR188" s="2">
        <f>AVERAGEIFS(Table1[months_on_book],Table1[product],Table1[[#This Row],[product]])</f>
        <v>20.262135922330096</v>
      </c>
      <c r="AS188" s="2" t="str">
        <f ca="1">IF(EDATE(Table1[[#This Row],[origination_date]],6) &gt;= TODAY(), "New Loan", "Old Loan")</f>
        <v>Old Loan</v>
      </c>
      <c r="AT188" s="2" t="str">
        <f>"Q"&amp;ROUNDUP(MONTH(Table1[[#This Row],[origination_date]])/3,0)&amp;YEAR(Table1[[#This Row],[origination_date]])</f>
        <v>Q22023</v>
      </c>
      <c r="AU188" s="2">
        <f>SUMIFS(Table1[loan_amount],Table1[quarter],Table1[[#This Row],[quarter]])</f>
        <v>42051000</v>
      </c>
      <c r="AV188" s="34" t="str">
        <f>_xlfn.TEXTJOIN("|",TRUE,Table1[[#This Row],[loan_id]:[loan_status]])</f>
        <v>L95295831|C5039026|45057|Auto Loan|Branch|East|Salaried|360|1942600|10.57|17871|1544753|728|B|0.42|0.88|2217900|31|534649|1620128|0|0|0|Active</v>
      </c>
      <c r="AW188" s="42">
        <f>YEAR(Loan_Table[ [#This Row],[origination_date] ])</f>
        <v>2023</v>
      </c>
    </row>
    <row r="189" spans="2:49" ht="18" customHeight="1">
      <c r="B189" s="5" t="s">
        <v>498</v>
      </c>
      <c r="C189" s="2" t="s">
        <v>499</v>
      </c>
      <c r="D189" s="3">
        <v>45094</v>
      </c>
      <c r="E189" s="2" t="s">
        <v>131</v>
      </c>
      <c r="F189" s="2" t="s">
        <v>132</v>
      </c>
      <c r="G189" s="2" t="s">
        <v>151</v>
      </c>
      <c r="H189" s="2" t="s">
        <v>146</v>
      </c>
      <c r="I189" s="2">
        <v>24</v>
      </c>
      <c r="J189" s="2">
        <v>392900</v>
      </c>
      <c r="K189" s="2">
        <v>17.41</v>
      </c>
      <c r="L189" s="2">
        <v>19503</v>
      </c>
      <c r="M189" s="2">
        <v>1147286</v>
      </c>
      <c r="N189" s="2">
        <v>686</v>
      </c>
      <c r="O189" s="2" t="s">
        <v>140</v>
      </c>
      <c r="P189" s="2">
        <v>0.4</v>
      </c>
      <c r="Q189" s="2">
        <v>0.78</v>
      </c>
      <c r="R189" s="2">
        <v>0</v>
      </c>
      <c r="S189" s="2">
        <v>24</v>
      </c>
      <c r="T189" s="2">
        <v>403753</v>
      </c>
      <c r="U189" s="2">
        <v>43870</v>
      </c>
      <c r="V189" s="2">
        <v>5</v>
      </c>
      <c r="W189" s="2">
        <v>0</v>
      </c>
      <c r="X189" s="2">
        <v>0</v>
      </c>
      <c r="Y189" s="2" t="s">
        <v>141</v>
      </c>
      <c r="Z189" s="12">
        <f>SUMIF(Table1[product],Table1[[#This Row],[product]],Table1[loan_amount])</f>
        <v>74897600</v>
      </c>
      <c r="AA189" s="15">
        <f>SUMIF(Table1[region],Table1[[#This Row],[region]],Table1[current_balance])</f>
        <v>105779369</v>
      </c>
      <c r="AB189" s="2">
        <f>COUNTIF(Table1[loan_status],Table1[[#This Row],[loan_status]])</f>
        <v>139</v>
      </c>
      <c r="AC189" s="2">
        <f>COUNTIF(Table1[default_flag],1)/ROWS(Table1[loan_id])</f>
        <v>2.5999999999999999E-2</v>
      </c>
      <c r="AD189" s="2">
        <f>COUNTIFS(Table1[region],Table1[[#This Row],[region]],Table1[default_flag],1)/COUNTIF(Table1[region],Table1[[#This Row],[region]])</f>
        <v>2.6548672566371681E-2</v>
      </c>
      <c r="AE189" s="2">
        <f>COUNTIFS(Table1[channel],Table1[[#This Row],[channel]],Table1[prepayment_flag],1)/COUNTIF(Table1[channel],Table1[[#This Row],[channel]])</f>
        <v>7.1090047393364927E-2</v>
      </c>
      <c r="AF189" s="2">
        <f>AVERAGEIFS(Table1[interest_rate_pct],Table1[product],Table1[[#This Row],[product]],Table1[risk_band],Table1[[#This Row],[risk_band]])</f>
        <v>18.603181818181817</v>
      </c>
      <c r="AG189" s="2" t="str" cm="1">
        <f t="array" ref="AG189">_xlfn.IFS(Table1[[#This Row],[dti_ratio]] &lt; 0.2, " less than 0.2", Table1[[#This Row],[dti_ratio]] &lt; 0.3, "0.2 - 0.3", Table1[[#This Row],[dti_ratio]] &lt;= 0.5, "0.35 - 0.5", Table1[[#This Row],[dti_ratio]] &gt; 0.5, "greater than 0.5")</f>
        <v>0.35 - 0.5</v>
      </c>
      <c r="AH189" s="2">
        <f>COUNTIF(Table1[DTI band],Table1[[#This Row],[DTI band]])</f>
        <v>260</v>
      </c>
      <c r="AI189" s="2" t="str" cm="1">
        <f t="array" ref="AI189">_xlfn.IFS(Table1[[#This Row],[ltv_ratio]] &lt; 0.6, "less than 0.6 -less risky", Table1[[#This Row],[ltv_ratio]]  &lt;= 0.8, "0.6 - 0.8 -medium risky",Table1[[#This Row],[ltv_ratio]] &gt; 0.8, "greater than 0.8 -highly risky")</f>
        <v>0.6 - 0.8 -medium risky</v>
      </c>
      <c r="AJ189" s="2">
        <f>COUNTIF(Table1[LTV band],Table1[[#This Row],[LTV band]])</f>
        <v>302</v>
      </c>
      <c r="AK189" s="2">
        <f>COUNTIFS(Table1[count_loan_perband],Table1[[#This Row],[count_loan_perband]],Table1[default_flag],1)/COUNTIF(Table1[count_loan_perband],Table1[[#This Row],[count_loan_perband]])</f>
        <v>3.6423841059602648E-2</v>
      </c>
      <c r="AL189" s="2" t="str" cm="1">
        <f t="array" ref="AL189">_xlfn.IFS(Table1[[#This Row],[loan_amount]] &lt; 900000, "lower size (&lt; 9L)", Table1[[#This Row],[loan_amount]] &lt;=3300000, "medium size (&lt;=33L)", Table1[[#This Row],[loan_amount]] &gt; 3300000, "larger size (&gt; 33L)")</f>
        <v>lower size (&lt; 9L)</v>
      </c>
      <c r="AM189" s="2">
        <f>IF(Table1[[#This Row],[dpd]] &gt;=30,1,0)</f>
        <v>0</v>
      </c>
      <c r="AN189" s="2">
        <f>COUNTIFS(Table1[Loan size],Table1[[#This Row],[Loan size]],Table1[dpd flag],1)/COUNTIF(Table1[Loan size],Table1[[#This Row],[Loan size]])</f>
        <v>0.13934426229508196</v>
      </c>
      <c r="AO189" s="2" t="str">
        <f>IF(OR(Table1[[#This Row],[credit_score]] &lt; 600, Table1[ [#This Row],[dti_ratio] ] &gt; 0.5, Table1[[#This Row],[dpd]] &gt;=30), "high risk", " not riskY")</f>
        <v xml:space="preserve"> not riskY</v>
      </c>
      <c r="AP189" s="26">
        <f>EOMONTH(Table1[[#This Row],[origination_date]],0)</f>
        <v>45107</v>
      </c>
      <c r="AQ189" s="2">
        <f>SUMIFS(Table1[loan_amount],Table1[origination month],Table1[[#This Row],[origination month]])</f>
        <v>10134900</v>
      </c>
      <c r="AR189" s="2">
        <f>AVERAGEIFS(Table1[months_on_book],Table1[product],Table1[[#This Row],[product]])</f>
        <v>21.092024539877301</v>
      </c>
      <c r="AS189" s="2" t="str">
        <f ca="1">IF(EDATE(Table1[[#This Row],[origination_date]],6) &gt;= TODAY(), "New Loan", "Old Loan")</f>
        <v>Old Loan</v>
      </c>
      <c r="AT189" s="2" t="str">
        <f>"Q"&amp;ROUNDUP(MONTH(Table1[[#This Row],[origination_date]])/3,0)&amp;YEAR(Table1[[#This Row],[origination_date]])</f>
        <v>Q22023</v>
      </c>
      <c r="AU189" s="2">
        <f>SUMIFS(Table1[loan_amount],Table1[quarter],Table1[[#This Row],[quarter]])</f>
        <v>42051000</v>
      </c>
      <c r="AV189" s="34" t="str">
        <f>_xlfn.TEXTJOIN("|",TRUE,Table1[[#This Row],[loan_id]:[loan_status]])</f>
        <v>L50233433|C5314326|45094|Personal Loan|Online|North|Contract|24|392900|17.41|19503|1147286|686|C|0.4|0.78|0|24|403753|43870|5|0|0|Closed</v>
      </c>
      <c r="AW189" s="42">
        <f>YEAR(Loan_Table[ [#This Row],[origination_date] ])</f>
        <v>2023</v>
      </c>
    </row>
    <row r="190" spans="2:49" ht="18" customHeight="1">
      <c r="B190" s="5" t="s">
        <v>500</v>
      </c>
      <c r="C190" s="2" t="s">
        <v>501</v>
      </c>
      <c r="D190" s="3">
        <v>45039</v>
      </c>
      <c r="E190" s="2" t="s">
        <v>131</v>
      </c>
      <c r="F190" s="2" t="s">
        <v>132</v>
      </c>
      <c r="G190" s="2" t="s">
        <v>170</v>
      </c>
      <c r="H190" s="2" t="s">
        <v>134</v>
      </c>
      <c r="I190" s="2">
        <v>24</v>
      </c>
      <c r="J190" s="2">
        <v>246200</v>
      </c>
      <c r="K190" s="2">
        <v>19.7</v>
      </c>
      <c r="L190" s="2">
        <v>12494</v>
      </c>
      <c r="M190" s="2">
        <v>1104459</v>
      </c>
      <c r="N190" s="2">
        <v>652</v>
      </c>
      <c r="O190" s="2" t="s">
        <v>140</v>
      </c>
      <c r="P190" s="2">
        <v>0.39</v>
      </c>
      <c r="Q190" s="2">
        <v>0.96</v>
      </c>
      <c r="R190" s="2">
        <v>0</v>
      </c>
      <c r="S190" s="2">
        <v>24</v>
      </c>
      <c r="T190" s="2">
        <v>282967</v>
      </c>
      <c r="U190" s="2">
        <v>2034</v>
      </c>
      <c r="V190" s="2">
        <v>0</v>
      </c>
      <c r="W190" s="2">
        <v>0</v>
      </c>
      <c r="X190" s="2">
        <v>0</v>
      </c>
      <c r="Y190" s="2" t="s">
        <v>141</v>
      </c>
      <c r="Z190" s="12">
        <f>SUMIF(Table1[product],Table1[[#This Row],[product]],Table1[loan_amount])</f>
        <v>74897600</v>
      </c>
      <c r="AA190" s="15">
        <f>SUMIF(Table1[region],Table1[[#This Row],[region]],Table1[current_balance])</f>
        <v>83297251</v>
      </c>
      <c r="AB190" s="2">
        <f>COUNTIF(Table1[loan_status],Table1[[#This Row],[loan_status]])</f>
        <v>139</v>
      </c>
      <c r="AC190" s="2">
        <f>COUNTIF(Table1[default_flag],1)/ROWS(Table1[loan_id])</f>
        <v>2.5999999999999999E-2</v>
      </c>
      <c r="AD190" s="2">
        <f>COUNTIFS(Table1[region],Table1[[#This Row],[region]],Table1[default_flag],1)/COUNTIF(Table1[region],Table1[[#This Row],[region]])</f>
        <v>3.1914893617021274E-2</v>
      </c>
      <c r="AE190" s="2">
        <f>COUNTIFS(Table1[channel],Table1[[#This Row],[channel]],Table1[prepayment_flag],1)/COUNTIF(Table1[channel],Table1[[#This Row],[channel]])</f>
        <v>7.1090047393364927E-2</v>
      </c>
      <c r="AF190" s="2">
        <f>AVERAGEIFS(Table1[interest_rate_pct],Table1[product],Table1[[#This Row],[product]],Table1[risk_band],Table1[[#This Row],[risk_band]])</f>
        <v>18.603181818181817</v>
      </c>
      <c r="AG190" s="2" t="str" cm="1">
        <f t="array" ref="AG190">_xlfn.IFS(Table1[[#This Row],[dti_ratio]] &lt; 0.2, " less than 0.2", Table1[[#This Row],[dti_ratio]] &lt; 0.3, "0.2 - 0.3", Table1[[#This Row],[dti_ratio]] &lt;= 0.5, "0.35 - 0.5", Table1[[#This Row],[dti_ratio]] &gt; 0.5, "greater than 0.5")</f>
        <v>0.35 - 0.5</v>
      </c>
      <c r="AH190" s="2">
        <f>COUNTIF(Table1[DTI band],Table1[[#This Row],[DTI band]])</f>
        <v>260</v>
      </c>
      <c r="AI190" s="2" t="str" cm="1">
        <f t="array" ref="AI190">_xlfn.IFS(Table1[[#This Row],[ltv_ratio]] &lt; 0.6, "less than 0.6 -less risky", Table1[[#This Row],[ltv_ratio]]  &lt;= 0.8, "0.6 - 0.8 -medium risky",Table1[[#This Row],[ltv_ratio]] &gt; 0.8, "greater than 0.8 -highly risky")</f>
        <v>greater than 0.8 -highly risky</v>
      </c>
      <c r="AJ190" s="2">
        <f>COUNTIF(Table1[LTV band],Table1[[#This Row],[LTV band]])</f>
        <v>141</v>
      </c>
      <c r="AK190" s="2">
        <f>COUNTIFS(Table1[count_loan_perband],Table1[[#This Row],[count_loan_perband]],Table1[default_flag],1)/COUNTIF(Table1[count_loan_perband],Table1[[#This Row],[count_loan_perband]])</f>
        <v>1.4184397163120567E-2</v>
      </c>
      <c r="AL190" s="2" t="str" cm="1">
        <f t="array" ref="AL190">_xlfn.IFS(Table1[[#This Row],[loan_amount]] &lt; 900000, "lower size (&lt; 9L)", Table1[[#This Row],[loan_amount]] &lt;=3300000, "medium size (&lt;=33L)", Table1[[#This Row],[loan_amount]] &gt; 3300000, "larger size (&gt; 33L)")</f>
        <v>lower size (&lt; 9L)</v>
      </c>
      <c r="AM190" s="2">
        <f>IF(Table1[[#This Row],[dpd]] &gt;=30,1,0)</f>
        <v>0</v>
      </c>
      <c r="AN190" s="2">
        <f>COUNTIFS(Table1[Loan size],Table1[[#This Row],[Loan size]],Table1[dpd flag],1)/COUNTIF(Table1[Loan size],Table1[[#This Row],[Loan size]])</f>
        <v>0.13934426229508196</v>
      </c>
      <c r="AO190" s="2" t="str">
        <f>IF(OR(Table1[[#This Row],[credit_score]] &lt; 600, Table1[ [#This Row],[dti_ratio] ] &gt; 0.5, Table1[[#This Row],[dpd]] &gt;=30), "high risk", " not riskY")</f>
        <v xml:space="preserve"> not riskY</v>
      </c>
      <c r="AP190" s="26">
        <f>EOMONTH(Table1[[#This Row],[origination_date]],0)</f>
        <v>45046</v>
      </c>
      <c r="AQ190" s="2">
        <f>SUMIFS(Table1[loan_amount],Table1[origination month],Table1[[#This Row],[origination month]])</f>
        <v>19321000</v>
      </c>
      <c r="AR190" s="2">
        <f>AVERAGEIFS(Table1[months_on_book],Table1[product],Table1[[#This Row],[product]])</f>
        <v>21.092024539877301</v>
      </c>
      <c r="AS190" s="2" t="str">
        <f ca="1">IF(EDATE(Table1[[#This Row],[origination_date]],6) &gt;= TODAY(), "New Loan", "Old Loan")</f>
        <v>Old Loan</v>
      </c>
      <c r="AT190" s="2" t="str">
        <f>"Q"&amp;ROUNDUP(MONTH(Table1[[#This Row],[origination_date]])/3,0)&amp;YEAR(Table1[[#This Row],[origination_date]])</f>
        <v>Q22023</v>
      </c>
      <c r="AU190" s="2">
        <f>SUMIFS(Table1[loan_amount],Table1[quarter],Table1[[#This Row],[quarter]])</f>
        <v>42051000</v>
      </c>
      <c r="AV190" s="34" t="str">
        <f>_xlfn.TEXTJOIN("|",TRUE,Table1[[#This Row],[loan_id]:[loan_status]])</f>
        <v>L67947860|C9288734|45039|Personal Loan|Online|East|Salaried|24|246200|19.7|12494|1104459|652|C|0.39|0.96|0|24|282967|2034|0|0|0|Closed</v>
      </c>
      <c r="AW190" s="42">
        <f>YEAR(Loan_Table[ [#This Row],[origination_date] ])</f>
        <v>2023</v>
      </c>
    </row>
    <row r="191" spans="2:49" ht="18" customHeight="1">
      <c r="B191" s="5" t="s">
        <v>502</v>
      </c>
      <c r="C191" s="2" t="s">
        <v>503</v>
      </c>
      <c r="D191" s="3">
        <v>45058</v>
      </c>
      <c r="E191" s="2" t="s">
        <v>158</v>
      </c>
      <c r="F191" s="2" t="s">
        <v>132</v>
      </c>
      <c r="G191" s="2" t="s">
        <v>133</v>
      </c>
      <c r="H191" s="2" t="s">
        <v>146</v>
      </c>
      <c r="I191" s="2">
        <v>60</v>
      </c>
      <c r="J191" s="2">
        <v>3041200</v>
      </c>
      <c r="K191" s="2">
        <v>15.76</v>
      </c>
      <c r="L191" s="2">
        <v>73569</v>
      </c>
      <c r="M191" s="2">
        <v>845704</v>
      </c>
      <c r="N191" s="2">
        <v>694</v>
      </c>
      <c r="O191" s="2" t="s">
        <v>140</v>
      </c>
      <c r="P191" s="2">
        <v>0.39</v>
      </c>
      <c r="Q191" s="2">
        <v>0.71</v>
      </c>
      <c r="R191" s="2">
        <v>4259100</v>
      </c>
      <c r="S191" s="2">
        <v>31</v>
      </c>
      <c r="T191" s="2">
        <v>2105042</v>
      </c>
      <c r="U191" s="2">
        <v>1431428</v>
      </c>
      <c r="V191" s="2">
        <v>0</v>
      </c>
      <c r="W191" s="2">
        <v>0</v>
      </c>
      <c r="X191" s="2">
        <v>0</v>
      </c>
      <c r="Y191" s="2" t="s">
        <v>148</v>
      </c>
      <c r="Z191" s="12">
        <f>SUMIF(Table1[product],Table1[[#This Row],[product]],Table1[loan_amount])</f>
        <v>201475100</v>
      </c>
      <c r="AA191" s="15">
        <f>SUMIF(Table1[region],Table1[[#This Row],[region]],Table1[current_balance])</f>
        <v>94548000</v>
      </c>
      <c r="AB191" s="2">
        <f>COUNTIF(Table1[loan_status],Table1[[#This Row],[loan_status]])</f>
        <v>301</v>
      </c>
      <c r="AC191" s="2">
        <f>COUNTIF(Table1[default_flag],1)/ROWS(Table1[loan_id])</f>
        <v>2.5999999999999999E-2</v>
      </c>
      <c r="AD191" s="2">
        <f>COUNTIFS(Table1[region],Table1[[#This Row],[region]],Table1[default_flag],1)/COUNTIF(Table1[region],Table1[[#This Row],[region]])</f>
        <v>0</v>
      </c>
      <c r="AE191" s="2">
        <f>COUNTIFS(Table1[channel],Table1[[#This Row],[channel]],Table1[prepayment_flag],1)/COUNTIF(Table1[channel],Table1[[#This Row],[channel]])</f>
        <v>7.1090047393364927E-2</v>
      </c>
      <c r="AF191" s="2">
        <f>AVERAGEIFS(Table1[interest_rate_pct],Table1[product],Table1[[#This Row],[product]],Table1[risk_band],Table1[[#This Row],[risk_band]])</f>
        <v>15.841379310344831</v>
      </c>
      <c r="AG191" s="2" t="str" cm="1">
        <f t="array" ref="AG191">_xlfn.IFS(Table1[[#This Row],[dti_ratio]] &lt; 0.2, " less than 0.2", Table1[[#This Row],[dti_ratio]] &lt; 0.3, "0.2 - 0.3", Table1[[#This Row],[dti_ratio]] &lt;= 0.5, "0.35 - 0.5", Table1[[#This Row],[dti_ratio]] &gt; 0.5, "greater than 0.5")</f>
        <v>0.35 - 0.5</v>
      </c>
      <c r="AH191" s="2">
        <f>COUNTIF(Table1[DTI band],Table1[[#This Row],[DTI band]])</f>
        <v>260</v>
      </c>
      <c r="AI191" s="2" t="str" cm="1">
        <f t="array" ref="AI191">_xlfn.IFS(Table1[[#This Row],[ltv_ratio]] &lt; 0.6, "less than 0.6 -less risky", Table1[[#This Row],[ltv_ratio]]  &lt;= 0.8, "0.6 - 0.8 -medium risky",Table1[[#This Row],[ltv_ratio]] &gt; 0.8, "greater than 0.8 -highly risky")</f>
        <v>0.6 - 0.8 -medium risky</v>
      </c>
      <c r="AJ191" s="2">
        <f>COUNTIF(Table1[LTV band],Table1[[#This Row],[LTV band]])</f>
        <v>302</v>
      </c>
      <c r="AK191" s="2">
        <f>COUNTIFS(Table1[count_loan_perband],Table1[[#This Row],[count_loan_perband]],Table1[default_flag],1)/COUNTIF(Table1[count_loan_perband],Table1[[#This Row],[count_loan_perband]])</f>
        <v>3.6423841059602648E-2</v>
      </c>
      <c r="AL191" s="2" t="str" cm="1">
        <f t="array" ref="AL191">_xlfn.IFS(Table1[[#This Row],[loan_amount]] &lt; 900000, "lower size (&lt; 9L)", Table1[[#This Row],[loan_amount]] &lt;=3300000, "medium size (&lt;=33L)", Table1[[#This Row],[loan_amount]] &gt; 3300000, "larger size (&gt; 33L)")</f>
        <v>medium size (&lt;=33L)</v>
      </c>
      <c r="AM191" s="2">
        <f>IF(Table1[[#This Row],[dpd]] &gt;=30,1,0)</f>
        <v>0</v>
      </c>
      <c r="AN191" s="2">
        <f>COUNTIFS(Table1[Loan size],Table1[[#This Row],[Loan size]],Table1[dpd flag],1)/COUNTIF(Table1[Loan size],Table1[[#This Row],[Loan size]])</f>
        <v>0.15909090909090909</v>
      </c>
      <c r="AO191" s="2" t="str">
        <f>IF(OR(Table1[[#This Row],[credit_score]] &lt; 600, Table1[ [#This Row],[dti_ratio] ] &gt; 0.5, Table1[[#This Row],[dpd]] &gt;=30), "high risk", " not riskY")</f>
        <v xml:space="preserve"> not riskY</v>
      </c>
      <c r="AP191" s="26">
        <f>EOMONTH(Table1[[#This Row],[origination_date]],0)</f>
        <v>45077</v>
      </c>
      <c r="AQ191" s="2">
        <f>SUMIFS(Table1[loan_amount],Table1[origination month],Table1[[#This Row],[origination month]])</f>
        <v>12595100</v>
      </c>
      <c r="AR191" s="2">
        <f>AVERAGEIFS(Table1[months_on_book],Table1[product],Table1[[#This Row],[product]])</f>
        <v>19.091954022988507</v>
      </c>
      <c r="AS191" s="2" t="str">
        <f ca="1">IF(EDATE(Table1[[#This Row],[origination_date]],6) &gt;= TODAY(), "New Loan", "Old Loan")</f>
        <v>Old Loan</v>
      </c>
      <c r="AT191" s="2" t="str">
        <f>"Q"&amp;ROUNDUP(MONTH(Table1[[#This Row],[origination_date]])/3,0)&amp;YEAR(Table1[[#This Row],[origination_date]])</f>
        <v>Q22023</v>
      </c>
      <c r="AU191" s="2">
        <f>SUMIFS(Table1[loan_amount],Table1[quarter],Table1[[#This Row],[quarter]])</f>
        <v>42051000</v>
      </c>
      <c r="AV191" s="34" t="str">
        <f>_xlfn.TEXTJOIN("|",TRUE,Table1[[#This Row],[loan_id]:[loan_status]])</f>
        <v>L49032896|C4704060|45058|SME Loan|Online|South|Contract|60|3041200|15.76|73569|845704|694|C|0.39|0.71|4259100|31|2105042|1431428|0|0|0|Active</v>
      </c>
      <c r="AW191" s="42">
        <f>YEAR(Loan_Table[ [#This Row],[origination_date] ])</f>
        <v>2023</v>
      </c>
    </row>
    <row r="192" spans="2:49" ht="18" customHeight="1">
      <c r="B192" s="5" t="s">
        <v>504</v>
      </c>
      <c r="C192" s="2" t="s">
        <v>505</v>
      </c>
      <c r="D192" s="3">
        <v>45050</v>
      </c>
      <c r="E192" s="2" t="s">
        <v>177</v>
      </c>
      <c r="F192" s="2" t="s">
        <v>144</v>
      </c>
      <c r="G192" s="2" t="s">
        <v>170</v>
      </c>
      <c r="H192" s="2" t="s">
        <v>192</v>
      </c>
      <c r="I192" s="2">
        <v>48</v>
      </c>
      <c r="J192" s="2">
        <v>2688300</v>
      </c>
      <c r="K192" s="2">
        <v>14.27</v>
      </c>
      <c r="L192" s="2">
        <v>73826</v>
      </c>
      <c r="M192" s="2">
        <v>842683</v>
      </c>
      <c r="N192" s="2">
        <v>665</v>
      </c>
      <c r="O192" s="2" t="s">
        <v>140</v>
      </c>
      <c r="P192" s="2">
        <v>0.39</v>
      </c>
      <c r="Q192" s="2">
        <v>0.98</v>
      </c>
      <c r="R192" s="2">
        <v>0</v>
      </c>
      <c r="S192" s="2">
        <v>31</v>
      </c>
      <c r="T192" s="2">
        <v>2311452</v>
      </c>
      <c r="U192" s="2">
        <v>773256</v>
      </c>
      <c r="V192" s="2">
        <v>0</v>
      </c>
      <c r="W192" s="2">
        <v>0</v>
      </c>
      <c r="X192" s="2">
        <v>0</v>
      </c>
      <c r="Y192" s="2" t="s">
        <v>148</v>
      </c>
      <c r="Z192" s="12">
        <f>SUMIF(Table1[product],Table1[[#This Row],[product]],Table1[loan_amount])</f>
        <v>62765800</v>
      </c>
      <c r="AA192" s="15">
        <f>SUMIF(Table1[region],Table1[[#This Row],[region]],Table1[current_balance])</f>
        <v>83297251</v>
      </c>
      <c r="AB192" s="2">
        <f>COUNTIF(Table1[loan_status],Table1[[#This Row],[loan_status]])</f>
        <v>301</v>
      </c>
      <c r="AC192" s="2">
        <f>COUNTIF(Table1[default_flag],1)/ROWS(Table1[loan_id])</f>
        <v>2.5999999999999999E-2</v>
      </c>
      <c r="AD192" s="2">
        <f>COUNTIFS(Table1[region],Table1[[#This Row],[region]],Table1[default_flag],1)/COUNTIF(Table1[region],Table1[[#This Row],[region]])</f>
        <v>3.1914893617021274E-2</v>
      </c>
      <c r="AE192" s="2">
        <f>COUNTIFS(Table1[channel],Table1[[#This Row],[channel]],Table1[prepayment_flag],1)/COUNTIF(Table1[channel],Table1[[#This Row],[channel]])</f>
        <v>5.8201058201058198E-2</v>
      </c>
      <c r="AF192" s="2">
        <f>AVERAGEIFS(Table1[interest_rate_pct],Table1[product],Table1[[#This Row],[product]],Table1[risk_band],Table1[[#This Row],[risk_band]])</f>
        <v>13.463888888888889</v>
      </c>
      <c r="AG192" s="2" t="str" cm="1">
        <f t="array" ref="AG192">_xlfn.IFS(Table1[[#This Row],[dti_ratio]] &lt; 0.2, " less than 0.2", Table1[[#This Row],[dti_ratio]] &lt; 0.3, "0.2 - 0.3", Table1[[#This Row],[dti_ratio]] &lt;= 0.5, "0.35 - 0.5", Table1[[#This Row],[dti_ratio]] &gt; 0.5, "greater than 0.5")</f>
        <v>0.35 - 0.5</v>
      </c>
      <c r="AH192" s="2">
        <f>COUNTIF(Table1[DTI band],Table1[[#This Row],[DTI band]])</f>
        <v>260</v>
      </c>
      <c r="AI192" s="2" t="str" cm="1">
        <f t="array" ref="AI192">_xlfn.IFS(Table1[[#This Row],[ltv_ratio]] &lt; 0.6, "less than 0.6 -less risky", Table1[[#This Row],[ltv_ratio]]  &lt;= 0.8, "0.6 - 0.8 -medium risky",Table1[[#This Row],[ltv_ratio]] &gt; 0.8, "greater than 0.8 -highly risky")</f>
        <v>greater than 0.8 -highly risky</v>
      </c>
      <c r="AJ192" s="2">
        <f>COUNTIF(Table1[LTV band],Table1[[#This Row],[LTV band]])</f>
        <v>141</v>
      </c>
      <c r="AK192" s="2">
        <f>COUNTIFS(Table1[count_loan_perband],Table1[[#This Row],[count_loan_perband]],Table1[default_flag],1)/COUNTIF(Table1[count_loan_perband],Table1[[#This Row],[count_loan_perband]])</f>
        <v>1.4184397163120567E-2</v>
      </c>
      <c r="AL192" s="2" t="str" cm="1">
        <f t="array" ref="AL192">_xlfn.IFS(Table1[[#This Row],[loan_amount]] &lt; 900000, "lower size (&lt; 9L)", Table1[[#This Row],[loan_amount]] &lt;=3300000, "medium size (&lt;=33L)", Table1[[#This Row],[loan_amount]] &gt; 3300000, "larger size (&gt; 33L)")</f>
        <v>medium size (&lt;=33L)</v>
      </c>
      <c r="AM192" s="2">
        <f>IF(Table1[[#This Row],[dpd]] &gt;=30,1,0)</f>
        <v>0</v>
      </c>
      <c r="AN192" s="2">
        <f>COUNTIFS(Table1[Loan size],Table1[[#This Row],[Loan size]],Table1[dpd flag],1)/COUNTIF(Table1[Loan size],Table1[[#This Row],[Loan size]])</f>
        <v>0.15909090909090909</v>
      </c>
      <c r="AO192" s="2" t="str">
        <f>IF(OR(Table1[[#This Row],[credit_score]] &lt; 600, Table1[ [#This Row],[dti_ratio] ] &gt; 0.5, Table1[[#This Row],[dpd]] &gt;=30), "high risk", " not riskY")</f>
        <v xml:space="preserve"> not riskY</v>
      </c>
      <c r="AP192" s="26">
        <f>EOMONTH(Table1[[#This Row],[origination_date]],0)</f>
        <v>45077</v>
      </c>
      <c r="AQ192" s="2">
        <f>SUMIFS(Table1[loan_amount],Table1[origination month],Table1[[#This Row],[origination month]])</f>
        <v>12595100</v>
      </c>
      <c r="AR192" s="2">
        <f>AVERAGEIFS(Table1[months_on_book],Table1[product],Table1[[#This Row],[product]])</f>
        <v>21.962962962962962</v>
      </c>
      <c r="AS192" s="2" t="str">
        <f ca="1">IF(EDATE(Table1[[#This Row],[origination_date]],6) &gt;= TODAY(), "New Loan", "Old Loan")</f>
        <v>Old Loan</v>
      </c>
      <c r="AT192" s="2" t="str">
        <f>"Q"&amp;ROUNDUP(MONTH(Table1[[#This Row],[origination_date]])/3,0)&amp;YEAR(Table1[[#This Row],[origination_date]])</f>
        <v>Q22023</v>
      </c>
      <c r="AU192" s="2">
        <f>SUMIFS(Table1[loan_amount],Table1[quarter],Table1[[#This Row],[quarter]])</f>
        <v>42051000</v>
      </c>
      <c r="AV192" s="34" t="str">
        <f>_xlfn.TEXTJOIN("|",TRUE,Table1[[#This Row],[loan_id]:[loan_status]])</f>
        <v>L22713593|C1260995|45050|Education Loan|Branch|East|Unemployed|48|2688300|14.27|73826|842683|665|C|0.39|0.98|0|31|2311452|773256|0|0|0|Active</v>
      </c>
      <c r="AW192" s="42">
        <f>YEAR(Loan_Table[ [#This Row],[origination_date] ])</f>
        <v>2023</v>
      </c>
    </row>
    <row r="193" spans="2:49" ht="18" customHeight="1">
      <c r="B193" s="5" t="s">
        <v>506</v>
      </c>
      <c r="C193" s="2" t="s">
        <v>507</v>
      </c>
      <c r="D193" s="3">
        <v>45038</v>
      </c>
      <c r="E193" s="2" t="s">
        <v>131</v>
      </c>
      <c r="F193" s="2" t="s">
        <v>144</v>
      </c>
      <c r="G193" s="2" t="s">
        <v>170</v>
      </c>
      <c r="H193" s="2" t="s">
        <v>152</v>
      </c>
      <c r="I193" s="2">
        <v>36</v>
      </c>
      <c r="J193" s="2">
        <v>384400</v>
      </c>
      <c r="K193" s="2">
        <v>17.73</v>
      </c>
      <c r="L193" s="2">
        <v>13845</v>
      </c>
      <c r="M193" s="2">
        <v>1397569</v>
      </c>
      <c r="N193" s="2">
        <v>697</v>
      </c>
      <c r="O193" s="2" t="s">
        <v>140</v>
      </c>
      <c r="P193" s="2">
        <v>0.38</v>
      </c>
      <c r="Q193" s="2">
        <v>0.85</v>
      </c>
      <c r="R193" s="2">
        <v>0</v>
      </c>
      <c r="S193" s="2">
        <v>32</v>
      </c>
      <c r="T193" s="2">
        <v>391299</v>
      </c>
      <c r="U193" s="2">
        <v>65799</v>
      </c>
      <c r="V193" s="2">
        <v>0</v>
      </c>
      <c r="W193" s="2">
        <v>0</v>
      </c>
      <c r="X193" s="2">
        <v>0</v>
      </c>
      <c r="Y193" s="2" t="s">
        <v>148</v>
      </c>
      <c r="Z193" s="12">
        <f>SUMIF(Table1[product],Table1[[#This Row],[product]],Table1[loan_amount])</f>
        <v>74897600</v>
      </c>
      <c r="AA193" s="15">
        <f>SUMIF(Table1[region],Table1[[#This Row],[region]],Table1[current_balance])</f>
        <v>83297251</v>
      </c>
      <c r="AB193" s="2">
        <f>COUNTIF(Table1[loan_status],Table1[[#This Row],[loan_status]])</f>
        <v>301</v>
      </c>
      <c r="AC193" s="2">
        <f>COUNTIF(Table1[default_flag],1)/ROWS(Table1[loan_id])</f>
        <v>2.5999999999999999E-2</v>
      </c>
      <c r="AD193" s="2">
        <f>COUNTIFS(Table1[region],Table1[[#This Row],[region]],Table1[default_flag],1)/COUNTIF(Table1[region],Table1[[#This Row],[region]])</f>
        <v>3.1914893617021274E-2</v>
      </c>
      <c r="AE193" s="2">
        <f>COUNTIFS(Table1[channel],Table1[[#This Row],[channel]],Table1[prepayment_flag],1)/COUNTIF(Table1[channel],Table1[[#This Row],[channel]])</f>
        <v>5.8201058201058198E-2</v>
      </c>
      <c r="AF193" s="2">
        <f>AVERAGEIFS(Table1[interest_rate_pct],Table1[product],Table1[[#This Row],[product]],Table1[risk_band],Table1[[#This Row],[risk_band]])</f>
        <v>18.603181818181817</v>
      </c>
      <c r="AG193" s="2" t="str" cm="1">
        <f t="array" ref="AG193">_xlfn.IFS(Table1[[#This Row],[dti_ratio]] &lt; 0.2, " less than 0.2", Table1[[#This Row],[dti_ratio]] &lt; 0.3, "0.2 - 0.3", Table1[[#This Row],[dti_ratio]] &lt;= 0.5, "0.35 - 0.5", Table1[[#This Row],[dti_ratio]] &gt; 0.5, "greater than 0.5")</f>
        <v>0.35 - 0.5</v>
      </c>
      <c r="AH193" s="2">
        <f>COUNTIF(Table1[DTI band],Table1[[#This Row],[DTI band]])</f>
        <v>260</v>
      </c>
      <c r="AI193" s="2" t="str" cm="1">
        <f t="array" ref="AI193">_xlfn.IFS(Table1[[#This Row],[ltv_ratio]] &lt; 0.6, "less than 0.6 -less risky", Table1[[#This Row],[ltv_ratio]]  &lt;= 0.8, "0.6 - 0.8 -medium risky",Table1[[#This Row],[ltv_ratio]] &gt; 0.8, "greater than 0.8 -highly risky")</f>
        <v>greater than 0.8 -highly risky</v>
      </c>
      <c r="AJ193" s="2">
        <f>COUNTIF(Table1[LTV band],Table1[[#This Row],[LTV band]])</f>
        <v>141</v>
      </c>
      <c r="AK193" s="2">
        <f>COUNTIFS(Table1[count_loan_perband],Table1[[#This Row],[count_loan_perband]],Table1[default_flag],1)/COUNTIF(Table1[count_loan_perband],Table1[[#This Row],[count_loan_perband]])</f>
        <v>1.4184397163120567E-2</v>
      </c>
      <c r="AL193" s="2" t="str" cm="1">
        <f t="array" ref="AL193">_xlfn.IFS(Table1[[#This Row],[loan_amount]] &lt; 900000, "lower size (&lt; 9L)", Table1[[#This Row],[loan_amount]] &lt;=3300000, "medium size (&lt;=33L)", Table1[[#This Row],[loan_amount]] &gt; 3300000, "larger size (&gt; 33L)")</f>
        <v>lower size (&lt; 9L)</v>
      </c>
      <c r="AM193" s="2">
        <f>IF(Table1[[#This Row],[dpd]] &gt;=30,1,0)</f>
        <v>0</v>
      </c>
      <c r="AN193" s="2">
        <f>COUNTIFS(Table1[Loan size],Table1[[#This Row],[Loan size]],Table1[dpd flag],1)/COUNTIF(Table1[Loan size],Table1[[#This Row],[Loan size]])</f>
        <v>0.13934426229508196</v>
      </c>
      <c r="AO193" s="2" t="str">
        <f>IF(OR(Table1[[#This Row],[credit_score]] &lt; 600, Table1[ [#This Row],[dti_ratio] ] &gt; 0.5, Table1[[#This Row],[dpd]] &gt;=30), "high risk", " not riskY")</f>
        <v xml:space="preserve"> not riskY</v>
      </c>
      <c r="AP193" s="26">
        <f>EOMONTH(Table1[[#This Row],[origination_date]],0)</f>
        <v>45046</v>
      </c>
      <c r="AQ193" s="2">
        <f>SUMIFS(Table1[loan_amount],Table1[origination month],Table1[[#This Row],[origination month]])</f>
        <v>19321000</v>
      </c>
      <c r="AR193" s="2">
        <f>AVERAGEIFS(Table1[months_on_book],Table1[product],Table1[[#This Row],[product]])</f>
        <v>21.092024539877301</v>
      </c>
      <c r="AS193" s="2" t="str">
        <f ca="1">IF(EDATE(Table1[[#This Row],[origination_date]],6) &gt;= TODAY(), "New Loan", "Old Loan")</f>
        <v>Old Loan</v>
      </c>
      <c r="AT193" s="2" t="str">
        <f>"Q"&amp;ROUNDUP(MONTH(Table1[[#This Row],[origination_date]])/3,0)&amp;YEAR(Table1[[#This Row],[origination_date]])</f>
        <v>Q22023</v>
      </c>
      <c r="AU193" s="2">
        <f>SUMIFS(Table1[loan_amount],Table1[quarter],Table1[[#This Row],[quarter]])</f>
        <v>42051000</v>
      </c>
      <c r="AV193" s="34" t="str">
        <f>_xlfn.TEXTJOIN("|",TRUE,Table1[[#This Row],[loan_id]:[loan_status]])</f>
        <v>L64279644|C4882763|45038|Personal Loan|Branch|East|Self-Employed|36|384400|17.73|13845|1397569|697|C|0.38|0.85|0|32|391299|65799|0|0|0|Active</v>
      </c>
      <c r="AW193" s="42">
        <f>YEAR(Loan_Table[ [#This Row],[origination_date] ])</f>
        <v>2023</v>
      </c>
    </row>
    <row r="194" spans="2:49" ht="18" customHeight="1">
      <c r="B194" s="5" t="s">
        <v>508</v>
      </c>
      <c r="C194" s="2" t="s">
        <v>509</v>
      </c>
      <c r="D194" s="3">
        <v>45084</v>
      </c>
      <c r="E194" s="2" t="s">
        <v>131</v>
      </c>
      <c r="F194" s="2" t="s">
        <v>213</v>
      </c>
      <c r="G194" s="2" t="s">
        <v>139</v>
      </c>
      <c r="H194" s="2" t="s">
        <v>146</v>
      </c>
      <c r="I194" s="2">
        <v>36</v>
      </c>
      <c r="J194" s="2">
        <v>494000</v>
      </c>
      <c r="K194" s="2">
        <v>14.77</v>
      </c>
      <c r="L194" s="2">
        <v>17069</v>
      </c>
      <c r="M194" s="2">
        <v>556332</v>
      </c>
      <c r="N194" s="2">
        <v>753</v>
      </c>
      <c r="O194" s="2" t="s">
        <v>160</v>
      </c>
      <c r="P194" s="2">
        <v>0.36</v>
      </c>
      <c r="Q194" s="2">
        <v>0.66</v>
      </c>
      <c r="R194" s="2">
        <v>0</v>
      </c>
      <c r="S194" s="2">
        <v>30</v>
      </c>
      <c r="T194" s="2">
        <v>509887</v>
      </c>
      <c r="U194" s="2">
        <v>57077</v>
      </c>
      <c r="V194" s="2">
        <v>0</v>
      </c>
      <c r="W194" s="2">
        <v>0</v>
      </c>
      <c r="X194" s="2">
        <v>0</v>
      </c>
      <c r="Y194" s="2" t="s">
        <v>148</v>
      </c>
      <c r="Z194" s="12">
        <f>SUMIF(Table1[product],Table1[[#This Row],[product]],Table1[loan_amount])</f>
        <v>74897600</v>
      </c>
      <c r="AA194" s="15">
        <f>SUMIF(Table1[region],Table1[[#This Row],[region]],Table1[current_balance])</f>
        <v>83903255</v>
      </c>
      <c r="AB194" s="2">
        <f>COUNTIF(Table1[loan_status],Table1[[#This Row],[loan_status]])</f>
        <v>301</v>
      </c>
      <c r="AC194" s="2">
        <f>COUNTIF(Table1[default_flag],1)/ROWS(Table1[loan_id])</f>
        <v>2.5999999999999999E-2</v>
      </c>
      <c r="AD194" s="2">
        <f>COUNTIFS(Table1[region],Table1[[#This Row],[region]],Table1[default_flag],1)/COUNTIF(Table1[region],Table1[[#This Row],[region]])</f>
        <v>4.2553191489361701E-2</v>
      </c>
      <c r="AE194" s="2">
        <f>COUNTIFS(Table1[channel],Table1[[#This Row],[channel]],Table1[prepayment_flag],1)/COUNTIF(Table1[channel],Table1[[#This Row],[channel]])</f>
        <v>0.12</v>
      </c>
      <c r="AF194" s="2">
        <f>AVERAGEIFS(Table1[interest_rate_pct],Table1[product],Table1[[#This Row],[product]],Table1[risk_band],Table1[[#This Row],[risk_band]])</f>
        <v>13.328333333333335</v>
      </c>
      <c r="AG194" s="2" t="str" cm="1">
        <f t="array" ref="AG194">_xlfn.IFS(Table1[[#This Row],[dti_ratio]] &lt; 0.2, " less than 0.2", Table1[[#This Row],[dti_ratio]] &lt; 0.3, "0.2 - 0.3", Table1[[#This Row],[dti_ratio]] &lt;= 0.5, "0.35 - 0.5", Table1[[#This Row],[dti_ratio]] &gt; 0.5, "greater than 0.5")</f>
        <v>0.35 - 0.5</v>
      </c>
      <c r="AH194" s="2">
        <f>COUNTIF(Table1[DTI band],Table1[[#This Row],[DTI band]])</f>
        <v>260</v>
      </c>
      <c r="AI194" s="2" t="str" cm="1">
        <f t="array" ref="AI194">_xlfn.IFS(Table1[[#This Row],[ltv_ratio]] &lt; 0.6, "less than 0.6 -less risky", Table1[[#This Row],[ltv_ratio]]  &lt;= 0.8, "0.6 - 0.8 -medium risky",Table1[[#This Row],[ltv_ratio]] &gt; 0.8, "greater than 0.8 -highly risky")</f>
        <v>0.6 - 0.8 -medium risky</v>
      </c>
      <c r="AJ194" s="2">
        <f>COUNTIF(Table1[LTV band],Table1[[#This Row],[LTV band]])</f>
        <v>302</v>
      </c>
      <c r="AK194" s="2">
        <f>COUNTIFS(Table1[count_loan_perband],Table1[[#This Row],[count_loan_perband]],Table1[default_flag],1)/COUNTIF(Table1[count_loan_perband],Table1[[#This Row],[count_loan_perband]])</f>
        <v>3.6423841059602648E-2</v>
      </c>
      <c r="AL194" s="2" t="str" cm="1">
        <f t="array" ref="AL194">_xlfn.IFS(Table1[[#This Row],[loan_amount]] &lt; 900000, "lower size (&lt; 9L)", Table1[[#This Row],[loan_amount]] &lt;=3300000, "medium size (&lt;=33L)", Table1[[#This Row],[loan_amount]] &gt; 3300000, "larger size (&gt; 33L)")</f>
        <v>lower size (&lt; 9L)</v>
      </c>
      <c r="AM194" s="2">
        <f>IF(Table1[[#This Row],[dpd]] &gt;=30,1,0)</f>
        <v>0</v>
      </c>
      <c r="AN194" s="2">
        <f>COUNTIFS(Table1[Loan size],Table1[[#This Row],[Loan size]],Table1[dpd flag],1)/COUNTIF(Table1[Loan size],Table1[[#This Row],[Loan size]])</f>
        <v>0.13934426229508196</v>
      </c>
      <c r="AO194" s="2" t="str">
        <f>IF(OR(Table1[[#This Row],[credit_score]] &lt; 600, Table1[ [#This Row],[dti_ratio] ] &gt; 0.5, Table1[[#This Row],[dpd]] &gt;=30), "high risk", " not riskY")</f>
        <v xml:space="preserve"> not riskY</v>
      </c>
      <c r="AP194" s="26">
        <f>EOMONTH(Table1[[#This Row],[origination_date]],0)</f>
        <v>45107</v>
      </c>
      <c r="AQ194" s="2">
        <f>SUMIFS(Table1[loan_amount],Table1[origination month],Table1[[#This Row],[origination month]])</f>
        <v>10134900</v>
      </c>
      <c r="AR194" s="2">
        <f>AVERAGEIFS(Table1[months_on_book],Table1[product],Table1[[#This Row],[product]])</f>
        <v>21.092024539877301</v>
      </c>
      <c r="AS194" s="2" t="str">
        <f ca="1">IF(EDATE(Table1[[#This Row],[origination_date]],6) &gt;= TODAY(), "New Loan", "Old Loan")</f>
        <v>Old Loan</v>
      </c>
      <c r="AT194" s="2" t="str">
        <f>"Q"&amp;ROUNDUP(MONTH(Table1[[#This Row],[origination_date]])/3,0)&amp;YEAR(Table1[[#This Row],[origination_date]])</f>
        <v>Q22023</v>
      </c>
      <c r="AU194" s="2">
        <f>SUMIFS(Table1[loan_amount],Table1[quarter],Table1[[#This Row],[quarter]])</f>
        <v>42051000</v>
      </c>
      <c r="AV194" s="34" t="str">
        <f>_xlfn.TEXTJOIN("|",TRUE,Table1[[#This Row],[loan_id]:[loan_status]])</f>
        <v>L18183594|C8208674|45084|Personal Loan|Call Center|West|Contract|36|494000|14.77|17069|556332|753|A|0.36|0.66|0|30|509887|57077|0|0|0|Active</v>
      </c>
      <c r="AW194" s="42">
        <f>YEAR(Loan_Table[ [#This Row],[origination_date] ])</f>
        <v>2023</v>
      </c>
    </row>
    <row r="195" spans="2:49" ht="18" customHeight="1">
      <c r="B195" s="5" t="s">
        <v>510</v>
      </c>
      <c r="C195" s="2" t="s">
        <v>511</v>
      </c>
      <c r="D195" s="3">
        <v>45018</v>
      </c>
      <c r="E195" s="2" t="s">
        <v>163</v>
      </c>
      <c r="F195" s="2" t="s">
        <v>159</v>
      </c>
      <c r="G195" s="2" t="s">
        <v>133</v>
      </c>
      <c r="H195" s="2" t="s">
        <v>134</v>
      </c>
      <c r="I195" s="2">
        <v>36</v>
      </c>
      <c r="J195" s="2">
        <v>728600</v>
      </c>
      <c r="K195" s="2">
        <v>7</v>
      </c>
      <c r="L195" s="2">
        <v>22497</v>
      </c>
      <c r="M195" s="2">
        <v>1163334</v>
      </c>
      <c r="N195" s="2">
        <v>812</v>
      </c>
      <c r="O195" s="2" t="s">
        <v>160</v>
      </c>
      <c r="P195" s="2">
        <v>0.36</v>
      </c>
      <c r="Q195" s="2">
        <v>0.8</v>
      </c>
      <c r="R195" s="2">
        <v>908800</v>
      </c>
      <c r="S195" s="2">
        <v>32</v>
      </c>
      <c r="T195" s="2">
        <v>627291</v>
      </c>
      <c r="U195" s="2">
        <v>155711</v>
      </c>
      <c r="V195" s="2">
        <v>0</v>
      </c>
      <c r="W195" s="2">
        <v>0</v>
      </c>
      <c r="X195" s="2">
        <v>0</v>
      </c>
      <c r="Y195" s="2" t="s">
        <v>148</v>
      </c>
      <c r="Z195" s="12">
        <f>SUMIF(Table1[product],Table1[[#This Row],[product]],Table1[loan_amount])</f>
        <v>92273000</v>
      </c>
      <c r="AA195" s="15">
        <f>SUMIF(Table1[region],Table1[[#This Row],[region]],Table1[current_balance])</f>
        <v>94548000</v>
      </c>
      <c r="AB195" s="2">
        <f>COUNTIF(Table1[loan_status],Table1[[#This Row],[loan_status]])</f>
        <v>301</v>
      </c>
      <c r="AC195" s="2">
        <f>COUNTIF(Table1[default_flag],1)/ROWS(Table1[loan_id])</f>
        <v>2.5999999999999999E-2</v>
      </c>
      <c r="AD195" s="2">
        <f>COUNTIFS(Table1[region],Table1[[#This Row],[region]],Table1[default_flag],1)/COUNTIF(Table1[region],Table1[[#This Row],[region]])</f>
        <v>0</v>
      </c>
      <c r="AE195" s="2">
        <f>COUNTIFS(Table1[channel],Table1[[#This Row],[channel]],Table1[prepayment_flag],1)/COUNTIF(Table1[channel],Table1[[#This Row],[channel]])</f>
        <v>0.1</v>
      </c>
      <c r="AF195" s="2">
        <f>AVERAGEIFS(Table1[interest_rate_pct],Table1[product],Table1[[#This Row],[product]],Table1[risk_band],Table1[[#This Row],[risk_band]])</f>
        <v>7.9444999999999997</v>
      </c>
      <c r="AG195" s="2" t="str" cm="1">
        <f t="array" ref="AG195">_xlfn.IFS(Table1[[#This Row],[dti_ratio]] &lt; 0.2, " less than 0.2", Table1[[#This Row],[dti_ratio]] &lt; 0.3, "0.2 - 0.3", Table1[[#This Row],[dti_ratio]] &lt;= 0.5, "0.35 - 0.5", Table1[[#This Row],[dti_ratio]] &gt; 0.5, "greater than 0.5")</f>
        <v>0.35 - 0.5</v>
      </c>
      <c r="AH195" s="2">
        <f>COUNTIF(Table1[DTI band],Table1[[#This Row],[DTI band]])</f>
        <v>260</v>
      </c>
      <c r="AI195" s="2" t="str" cm="1">
        <f t="array" ref="AI195">_xlfn.IFS(Table1[[#This Row],[ltv_ratio]] &lt; 0.6, "less than 0.6 -less risky", Table1[[#This Row],[ltv_ratio]]  &lt;= 0.8, "0.6 - 0.8 -medium risky",Table1[[#This Row],[ltv_ratio]] &gt; 0.8, "greater than 0.8 -highly risky")</f>
        <v>0.6 - 0.8 -medium risky</v>
      </c>
      <c r="AJ195" s="2">
        <f>COUNTIF(Table1[LTV band],Table1[[#This Row],[LTV band]])</f>
        <v>302</v>
      </c>
      <c r="AK195" s="2">
        <f>COUNTIFS(Table1[count_loan_perband],Table1[[#This Row],[count_loan_perband]],Table1[default_flag],1)/COUNTIF(Table1[count_loan_perband],Table1[[#This Row],[count_loan_perband]])</f>
        <v>3.6423841059602648E-2</v>
      </c>
      <c r="AL195" s="2" t="str" cm="1">
        <f t="array" ref="AL195">_xlfn.IFS(Table1[[#This Row],[loan_amount]] &lt; 900000, "lower size (&lt; 9L)", Table1[[#This Row],[loan_amount]] &lt;=3300000, "medium size (&lt;=33L)", Table1[[#This Row],[loan_amount]] &gt; 3300000, "larger size (&gt; 33L)")</f>
        <v>lower size (&lt; 9L)</v>
      </c>
      <c r="AM195" s="2">
        <f>IF(Table1[[#This Row],[dpd]] &gt;=30,1,0)</f>
        <v>0</v>
      </c>
      <c r="AN195" s="2">
        <f>COUNTIFS(Table1[Loan size],Table1[[#This Row],[Loan size]],Table1[dpd flag],1)/COUNTIF(Table1[Loan size],Table1[[#This Row],[Loan size]])</f>
        <v>0.13934426229508196</v>
      </c>
      <c r="AO195" s="2" t="str">
        <f>IF(OR(Table1[[#This Row],[credit_score]] &lt; 600, Table1[ [#This Row],[dti_ratio] ] &gt; 0.5, Table1[[#This Row],[dpd]] &gt;=30), "high risk", " not riskY")</f>
        <v xml:space="preserve"> not riskY</v>
      </c>
      <c r="AP195" s="26">
        <f>EOMONTH(Table1[[#This Row],[origination_date]],0)</f>
        <v>45046</v>
      </c>
      <c r="AQ195" s="2">
        <f>SUMIFS(Table1[loan_amount],Table1[origination month],Table1[[#This Row],[origination month]])</f>
        <v>19321000</v>
      </c>
      <c r="AR195" s="2">
        <f>AVERAGEIFS(Table1[months_on_book],Table1[product],Table1[[#This Row],[product]])</f>
        <v>20.262135922330096</v>
      </c>
      <c r="AS195" s="2" t="str">
        <f ca="1">IF(EDATE(Table1[[#This Row],[origination_date]],6) &gt;= TODAY(), "New Loan", "Old Loan")</f>
        <v>Old Loan</v>
      </c>
      <c r="AT195" s="2" t="str">
        <f>"Q"&amp;ROUNDUP(MONTH(Table1[[#This Row],[origination_date]])/3,0)&amp;YEAR(Table1[[#This Row],[origination_date]])</f>
        <v>Q22023</v>
      </c>
      <c r="AU195" s="2">
        <f>SUMIFS(Table1[loan_amount],Table1[quarter],Table1[[#This Row],[quarter]])</f>
        <v>42051000</v>
      </c>
      <c r="AV195" s="34" t="str">
        <f>_xlfn.TEXTJOIN("|",TRUE,Table1[[#This Row],[loan_id]:[loan_status]])</f>
        <v>L17278259|C5154926|45018|Auto Loan|Partner|South|Salaried|36|728600|7|22497|1163334|812|A|0.36|0.8|908800|32|627291|155711|0|0|0|Active</v>
      </c>
      <c r="AW195" s="42">
        <f>YEAR(Loan_Table[ [#This Row],[origination_date] ])</f>
        <v>2023</v>
      </c>
    </row>
    <row r="196" spans="2:49" ht="18" customHeight="1">
      <c r="B196" s="5" t="s">
        <v>512</v>
      </c>
      <c r="C196" s="2" t="s">
        <v>513</v>
      </c>
      <c r="D196" s="3">
        <v>45094</v>
      </c>
      <c r="E196" s="2" t="s">
        <v>169</v>
      </c>
      <c r="F196" s="2" t="s">
        <v>144</v>
      </c>
      <c r="G196" s="2" t="s">
        <v>139</v>
      </c>
      <c r="H196" s="2" t="s">
        <v>134</v>
      </c>
      <c r="I196" s="2">
        <v>36</v>
      </c>
      <c r="J196" s="2">
        <v>2882900</v>
      </c>
      <c r="K196" s="2">
        <v>7</v>
      </c>
      <c r="L196" s="2">
        <v>89016</v>
      </c>
      <c r="M196" s="2">
        <v>1196786</v>
      </c>
      <c r="N196" s="2">
        <v>793</v>
      </c>
      <c r="O196" s="2" t="s">
        <v>160</v>
      </c>
      <c r="P196" s="2">
        <v>0.35</v>
      </c>
      <c r="Q196" s="2">
        <v>0.8</v>
      </c>
      <c r="R196" s="2">
        <v>3616300</v>
      </c>
      <c r="S196" s="2">
        <v>30</v>
      </c>
      <c r="T196" s="2">
        <v>2452214</v>
      </c>
      <c r="U196" s="2">
        <v>632489</v>
      </c>
      <c r="V196" s="2">
        <v>0</v>
      </c>
      <c r="W196" s="2">
        <v>0</v>
      </c>
      <c r="X196" s="2">
        <v>0</v>
      </c>
      <c r="Y196" s="2" t="s">
        <v>148</v>
      </c>
      <c r="Z196" s="12">
        <f>SUMIF(Table1[product],Table1[[#This Row],[product]],Table1[loan_amount])</f>
        <v>403369500</v>
      </c>
      <c r="AA196" s="15">
        <f>SUMIF(Table1[region],Table1[[#This Row],[region]],Table1[current_balance])</f>
        <v>83903255</v>
      </c>
      <c r="AB196" s="2">
        <f>COUNTIF(Table1[loan_status],Table1[[#This Row],[loan_status]])</f>
        <v>301</v>
      </c>
      <c r="AC196" s="2">
        <f>COUNTIF(Table1[default_flag],1)/ROWS(Table1[loan_id])</f>
        <v>2.5999999999999999E-2</v>
      </c>
      <c r="AD196" s="2">
        <f>COUNTIFS(Table1[region],Table1[[#This Row],[region]],Table1[default_flag],1)/COUNTIF(Table1[region],Table1[[#This Row],[region]])</f>
        <v>4.2553191489361701E-2</v>
      </c>
      <c r="AE196" s="2">
        <f>COUNTIFS(Table1[channel],Table1[[#This Row],[channel]],Table1[prepayment_flag],1)/COUNTIF(Table1[channel],Table1[[#This Row],[channel]])</f>
        <v>5.8201058201058198E-2</v>
      </c>
      <c r="AF196" s="2">
        <f>AVERAGEIFS(Table1[interest_rate_pct],Table1[product],Table1[[#This Row],[product]],Table1[risk_band],Table1[[#This Row],[risk_band]])</f>
        <v>7.1876190476190471</v>
      </c>
      <c r="AG196" s="2" t="str" cm="1">
        <f t="array" ref="AG196">_xlfn.IFS(Table1[[#This Row],[dti_ratio]] &lt; 0.2, " less than 0.2", Table1[[#This Row],[dti_ratio]] &lt; 0.3, "0.2 - 0.3", Table1[[#This Row],[dti_ratio]] &lt;= 0.5, "0.35 - 0.5", Table1[[#This Row],[dti_ratio]] &gt; 0.5, "greater than 0.5")</f>
        <v>0.35 - 0.5</v>
      </c>
      <c r="AH196" s="2">
        <f>COUNTIF(Table1[DTI band],Table1[[#This Row],[DTI band]])</f>
        <v>260</v>
      </c>
      <c r="AI196" s="2" t="str" cm="1">
        <f t="array" ref="AI196">_xlfn.IFS(Table1[[#This Row],[ltv_ratio]] &lt; 0.6, "less than 0.6 -less risky", Table1[[#This Row],[ltv_ratio]]  &lt;= 0.8, "0.6 - 0.8 -medium risky",Table1[[#This Row],[ltv_ratio]] &gt; 0.8, "greater than 0.8 -highly risky")</f>
        <v>0.6 - 0.8 -medium risky</v>
      </c>
      <c r="AJ196" s="2">
        <f>COUNTIF(Table1[LTV band],Table1[[#This Row],[LTV band]])</f>
        <v>302</v>
      </c>
      <c r="AK196" s="2">
        <f>COUNTIFS(Table1[count_loan_perband],Table1[[#This Row],[count_loan_perband]],Table1[default_flag],1)/COUNTIF(Table1[count_loan_perband],Table1[[#This Row],[count_loan_perband]])</f>
        <v>3.6423841059602648E-2</v>
      </c>
      <c r="AL196" s="2" t="str" cm="1">
        <f t="array" ref="AL196">_xlfn.IFS(Table1[[#This Row],[loan_amount]] &lt; 900000, "lower size (&lt; 9L)", Table1[[#This Row],[loan_amount]] &lt;=3300000, "medium size (&lt;=33L)", Table1[[#This Row],[loan_amount]] &gt; 3300000, "larger size (&gt; 33L)")</f>
        <v>medium size (&lt;=33L)</v>
      </c>
      <c r="AM196" s="2">
        <f>IF(Table1[[#This Row],[dpd]] &gt;=30,1,0)</f>
        <v>0</v>
      </c>
      <c r="AN196" s="2">
        <f>COUNTIFS(Table1[Loan size],Table1[[#This Row],[Loan size]],Table1[dpd flag],1)/COUNTIF(Table1[Loan size],Table1[[#This Row],[Loan size]])</f>
        <v>0.15909090909090909</v>
      </c>
      <c r="AO196" s="2" t="str">
        <f>IF(OR(Table1[[#This Row],[credit_score]] &lt; 600, Table1[ [#This Row],[dti_ratio] ] &gt; 0.5, Table1[[#This Row],[dpd]] &gt;=30), "high risk", " not riskY")</f>
        <v xml:space="preserve"> not riskY</v>
      </c>
      <c r="AP196" s="26">
        <f>EOMONTH(Table1[[#This Row],[origination_date]],0)</f>
        <v>45107</v>
      </c>
      <c r="AQ196" s="2">
        <f>SUMIFS(Table1[loan_amount],Table1[origination month],Table1[[#This Row],[origination month]])</f>
        <v>10134900</v>
      </c>
      <c r="AR196" s="2">
        <f>AVERAGEIFS(Table1[months_on_book],Table1[product],Table1[[#This Row],[product]])</f>
        <v>20.516129032258064</v>
      </c>
      <c r="AS196" s="2" t="str">
        <f ca="1">IF(EDATE(Table1[[#This Row],[origination_date]],6) &gt;= TODAY(), "New Loan", "Old Loan")</f>
        <v>Old Loan</v>
      </c>
      <c r="AT196" s="2" t="str">
        <f>"Q"&amp;ROUNDUP(MONTH(Table1[[#This Row],[origination_date]])/3,0)&amp;YEAR(Table1[[#This Row],[origination_date]])</f>
        <v>Q22023</v>
      </c>
      <c r="AU196" s="2">
        <f>SUMIFS(Table1[loan_amount],Table1[quarter],Table1[[#This Row],[quarter]])</f>
        <v>42051000</v>
      </c>
      <c r="AV196" s="34" t="str">
        <f>_xlfn.TEXTJOIN("|",TRUE,Table1[[#This Row],[loan_id]:[loan_status]])</f>
        <v>L66849795|C2571773|45094|Home Loan|Branch|West|Salaried|36|2882900|7|89016|1196786|793|A|0.35|0.8|3616300|30|2452214|632489|0|0|0|Active</v>
      </c>
      <c r="AW196" s="42">
        <f>YEAR(Loan_Table[ [#This Row],[origination_date] ])</f>
        <v>2024</v>
      </c>
    </row>
    <row r="197" spans="2:49" ht="18" customHeight="1">
      <c r="B197" s="5" t="s">
        <v>514</v>
      </c>
      <c r="C197" s="2" t="s">
        <v>515</v>
      </c>
      <c r="D197" s="3">
        <v>45057</v>
      </c>
      <c r="E197" s="2" t="s">
        <v>131</v>
      </c>
      <c r="F197" s="2" t="s">
        <v>144</v>
      </c>
      <c r="G197" s="2" t="s">
        <v>170</v>
      </c>
      <c r="H197" s="2" t="s">
        <v>134</v>
      </c>
      <c r="I197" s="2">
        <v>48</v>
      </c>
      <c r="J197" s="2">
        <v>889200</v>
      </c>
      <c r="K197" s="2">
        <v>16.8</v>
      </c>
      <c r="L197" s="2">
        <v>25566</v>
      </c>
      <c r="M197" s="2">
        <v>1058898</v>
      </c>
      <c r="N197" s="2">
        <v>715</v>
      </c>
      <c r="O197" s="2" t="s">
        <v>135</v>
      </c>
      <c r="P197" s="2">
        <v>0.33</v>
      </c>
      <c r="Q197" s="2">
        <v>0.64</v>
      </c>
      <c r="R197" s="2">
        <v>0</v>
      </c>
      <c r="S197" s="2">
        <v>31</v>
      </c>
      <c r="T197" s="2">
        <v>736194</v>
      </c>
      <c r="U197" s="2">
        <v>307371</v>
      </c>
      <c r="V197" s="2">
        <v>90</v>
      </c>
      <c r="W197" s="2">
        <v>0</v>
      </c>
      <c r="X197" s="2">
        <v>1</v>
      </c>
      <c r="Y197" s="2" t="s">
        <v>153</v>
      </c>
      <c r="Z197" s="12">
        <f>SUMIF(Table1[product],Table1[[#This Row],[product]],Table1[loan_amount])</f>
        <v>74897600</v>
      </c>
      <c r="AA197" s="15">
        <f>SUMIF(Table1[region],Table1[[#This Row],[region]],Table1[current_balance])</f>
        <v>83297251</v>
      </c>
      <c r="AB197" s="2">
        <f>COUNTIF(Table1[loan_status],Table1[[#This Row],[loan_status]])</f>
        <v>13</v>
      </c>
      <c r="AC197" s="2">
        <f>COUNTIF(Table1[default_flag],1)/ROWS(Table1[loan_id])</f>
        <v>2.5999999999999999E-2</v>
      </c>
      <c r="AD197" s="2">
        <f>COUNTIFS(Table1[region],Table1[[#This Row],[region]],Table1[default_flag],1)/COUNTIF(Table1[region],Table1[[#This Row],[region]])</f>
        <v>3.1914893617021274E-2</v>
      </c>
      <c r="AE197" s="2">
        <f>COUNTIFS(Table1[channel],Table1[[#This Row],[channel]],Table1[prepayment_flag],1)/COUNTIF(Table1[channel],Table1[[#This Row],[channel]])</f>
        <v>5.8201058201058198E-2</v>
      </c>
      <c r="AF197" s="2">
        <f>AVERAGEIFS(Table1[interest_rate_pct],Table1[product],Table1[[#This Row],[product]],Table1[risk_band],Table1[[#This Row],[risk_band]])</f>
        <v>16.500166666666669</v>
      </c>
      <c r="AG197" s="2" t="str" cm="1">
        <f t="array" ref="AG197">_xlfn.IFS(Table1[[#This Row],[dti_ratio]] &lt; 0.2, " less than 0.2", Table1[[#This Row],[dti_ratio]] &lt; 0.3, "0.2 - 0.3", Table1[[#This Row],[dti_ratio]] &lt;= 0.5, "0.35 - 0.5", Table1[[#This Row],[dti_ratio]] &gt; 0.5, "greater than 0.5")</f>
        <v>0.35 - 0.5</v>
      </c>
      <c r="AH197" s="2">
        <f>COUNTIF(Table1[DTI band],Table1[[#This Row],[DTI band]])</f>
        <v>260</v>
      </c>
      <c r="AI197" s="2" t="str" cm="1">
        <f t="array" ref="AI197">_xlfn.IFS(Table1[[#This Row],[ltv_ratio]] &lt; 0.6, "less than 0.6 -less risky", Table1[[#This Row],[ltv_ratio]]  &lt;= 0.8, "0.6 - 0.8 -medium risky",Table1[[#This Row],[ltv_ratio]] &gt; 0.8, "greater than 0.8 -highly risky")</f>
        <v>0.6 - 0.8 -medium risky</v>
      </c>
      <c r="AJ197" s="2">
        <f>COUNTIF(Table1[LTV band],Table1[[#This Row],[LTV band]])</f>
        <v>302</v>
      </c>
      <c r="AK197" s="2">
        <f>COUNTIFS(Table1[count_loan_perband],Table1[[#This Row],[count_loan_perband]],Table1[default_flag],1)/COUNTIF(Table1[count_loan_perband],Table1[[#This Row],[count_loan_perband]])</f>
        <v>3.6423841059602648E-2</v>
      </c>
      <c r="AL197" s="2" t="str" cm="1">
        <f t="array" ref="AL197">_xlfn.IFS(Table1[[#This Row],[loan_amount]] &lt; 900000, "lower size (&lt; 9L)", Table1[[#This Row],[loan_amount]] &lt;=3300000, "medium size (&lt;=33L)", Table1[[#This Row],[loan_amount]] &gt; 3300000, "larger size (&gt; 33L)")</f>
        <v>lower size (&lt; 9L)</v>
      </c>
      <c r="AM197" s="2">
        <f>IF(Table1[[#This Row],[dpd]] &gt;=30,1,0)</f>
        <v>1</v>
      </c>
      <c r="AN197" s="2">
        <f>COUNTIFS(Table1[Loan size],Table1[[#This Row],[Loan size]],Table1[dpd flag],1)/COUNTIF(Table1[Loan size],Table1[[#This Row],[Loan size]])</f>
        <v>0.13934426229508196</v>
      </c>
      <c r="AO197" s="2" t="str">
        <f>IF(OR(Table1[[#This Row],[credit_score]] &lt; 600, Table1[ [#This Row],[dti_ratio] ] &gt; 0.5, Table1[[#This Row],[dpd]] &gt;=30), "high risk", " not riskY")</f>
        <v>high risk</v>
      </c>
      <c r="AP197" s="26">
        <f>EOMONTH(Table1[[#This Row],[origination_date]],0)</f>
        <v>45077</v>
      </c>
      <c r="AQ197" s="2">
        <f>SUMIFS(Table1[loan_amount],Table1[origination month],Table1[[#This Row],[origination month]])</f>
        <v>12595100</v>
      </c>
      <c r="AR197" s="2">
        <f>AVERAGEIFS(Table1[months_on_book],Table1[product],Table1[[#This Row],[product]])</f>
        <v>21.092024539877301</v>
      </c>
      <c r="AS197" s="2" t="str">
        <f ca="1">IF(EDATE(Table1[[#This Row],[origination_date]],6) &gt;= TODAY(), "New Loan", "Old Loan")</f>
        <v>Old Loan</v>
      </c>
      <c r="AT197" s="2" t="str">
        <f>"Q"&amp;ROUNDUP(MONTH(Table1[[#This Row],[origination_date]])/3,0)&amp;YEAR(Table1[[#This Row],[origination_date]])</f>
        <v>Q22023</v>
      </c>
      <c r="AU197" s="2">
        <f>SUMIFS(Table1[loan_amount],Table1[quarter],Table1[[#This Row],[quarter]])</f>
        <v>42051000</v>
      </c>
      <c r="AV197" s="34" t="str">
        <f>_xlfn.TEXTJOIN("|",TRUE,Table1[[#This Row],[loan_id]:[loan_status]])</f>
        <v>L54348615|C7041082|45057|Personal Loan|Branch|East|Salaried|48|889200|16.8|25566|1058898|715|B|0.33|0.64|0|31|736194|307371|90|0|1|Default</v>
      </c>
      <c r="AW197" s="42">
        <f>YEAR(Loan_Table[ [#This Row],[origination_date] ])</f>
        <v>2024</v>
      </c>
    </row>
    <row r="198" spans="2:49" ht="18" customHeight="1">
      <c r="B198" s="5" t="s">
        <v>516</v>
      </c>
      <c r="C198" s="2" t="s">
        <v>517</v>
      </c>
      <c r="D198" s="3">
        <v>45083</v>
      </c>
      <c r="E198" s="2" t="s">
        <v>163</v>
      </c>
      <c r="F198" s="2" t="s">
        <v>132</v>
      </c>
      <c r="G198" s="2" t="s">
        <v>151</v>
      </c>
      <c r="H198" s="2" t="s">
        <v>134</v>
      </c>
      <c r="I198" s="2">
        <v>84</v>
      </c>
      <c r="J198" s="2">
        <v>1586800</v>
      </c>
      <c r="K198" s="2">
        <v>15.26</v>
      </c>
      <c r="L198" s="2">
        <v>30852</v>
      </c>
      <c r="M198" s="2">
        <v>1673724</v>
      </c>
      <c r="N198" s="2">
        <v>640</v>
      </c>
      <c r="O198" s="2" t="s">
        <v>147</v>
      </c>
      <c r="P198" s="2">
        <v>0.31</v>
      </c>
      <c r="Q198" s="2">
        <v>0.65</v>
      </c>
      <c r="R198" s="2">
        <v>2434600</v>
      </c>
      <c r="S198" s="2">
        <v>30</v>
      </c>
      <c r="T198" s="2">
        <v>892116</v>
      </c>
      <c r="U198" s="2">
        <v>936830</v>
      </c>
      <c r="V198" s="2">
        <v>5</v>
      </c>
      <c r="W198" s="2">
        <v>0</v>
      </c>
      <c r="X198" s="2">
        <v>0</v>
      </c>
      <c r="Y198" s="2" t="s">
        <v>148</v>
      </c>
      <c r="Z198" s="12">
        <f>SUMIF(Table1[product],Table1[[#This Row],[product]],Table1[loan_amount])</f>
        <v>92273000</v>
      </c>
      <c r="AA198" s="15">
        <f>SUMIF(Table1[region],Table1[[#This Row],[region]],Table1[current_balance])</f>
        <v>105779369</v>
      </c>
      <c r="AB198" s="2">
        <f>COUNTIF(Table1[loan_status],Table1[[#This Row],[loan_status]])</f>
        <v>301</v>
      </c>
      <c r="AC198" s="2">
        <f>COUNTIF(Table1[default_flag],1)/ROWS(Table1[loan_id])</f>
        <v>2.5999999999999999E-2</v>
      </c>
      <c r="AD198" s="2">
        <f>COUNTIFS(Table1[region],Table1[[#This Row],[region]],Table1[default_flag],1)/COUNTIF(Table1[region],Table1[[#This Row],[region]])</f>
        <v>2.6548672566371681E-2</v>
      </c>
      <c r="AE198" s="2">
        <f>COUNTIFS(Table1[channel],Table1[[#This Row],[channel]],Table1[prepayment_flag],1)/COUNTIF(Table1[channel],Table1[[#This Row],[channel]])</f>
        <v>7.1090047393364927E-2</v>
      </c>
      <c r="AF198" s="2">
        <f>AVERAGEIFS(Table1[interest_rate_pct],Table1[product],Table1[[#This Row],[product]],Table1[risk_band],Table1[[#This Row],[risk_band]])</f>
        <v>15.092000000000001</v>
      </c>
      <c r="AG198" s="2" t="str" cm="1">
        <f t="array" ref="AG198">_xlfn.IFS(Table1[[#This Row],[dti_ratio]] &lt; 0.2, " less than 0.2", Table1[[#This Row],[dti_ratio]] &lt; 0.3, "0.2 - 0.3", Table1[[#This Row],[dti_ratio]] &lt;= 0.5, "0.35 - 0.5", Table1[[#This Row],[dti_ratio]] &gt; 0.5, "greater than 0.5")</f>
        <v>0.35 - 0.5</v>
      </c>
      <c r="AH198" s="2">
        <f>COUNTIF(Table1[DTI band],Table1[[#This Row],[DTI band]])</f>
        <v>260</v>
      </c>
      <c r="AI198" s="2" t="str" cm="1">
        <f t="array" ref="AI198">_xlfn.IFS(Table1[[#This Row],[ltv_ratio]] &lt; 0.6, "less than 0.6 -less risky", Table1[[#This Row],[ltv_ratio]]  &lt;= 0.8, "0.6 - 0.8 -medium risky",Table1[[#This Row],[ltv_ratio]] &gt; 0.8, "greater than 0.8 -highly risky")</f>
        <v>0.6 - 0.8 -medium risky</v>
      </c>
      <c r="AJ198" s="2">
        <f>COUNTIF(Table1[LTV band],Table1[[#This Row],[LTV band]])</f>
        <v>302</v>
      </c>
      <c r="AK198" s="2">
        <f>COUNTIFS(Table1[count_loan_perband],Table1[[#This Row],[count_loan_perband]],Table1[default_flag],1)/COUNTIF(Table1[count_loan_perband],Table1[[#This Row],[count_loan_perband]])</f>
        <v>3.6423841059602648E-2</v>
      </c>
      <c r="AL198" s="2" t="str" cm="1">
        <f t="array" ref="AL198">_xlfn.IFS(Table1[[#This Row],[loan_amount]] &lt; 900000, "lower size (&lt; 9L)", Table1[[#This Row],[loan_amount]] &lt;=3300000, "medium size (&lt;=33L)", Table1[[#This Row],[loan_amount]] &gt; 3300000, "larger size (&gt; 33L)")</f>
        <v>medium size (&lt;=33L)</v>
      </c>
      <c r="AM198" s="2">
        <f>IF(Table1[[#This Row],[dpd]] &gt;=30,1,0)</f>
        <v>0</v>
      </c>
      <c r="AN198" s="2">
        <f>COUNTIFS(Table1[Loan size],Table1[[#This Row],[Loan size]],Table1[dpd flag],1)/COUNTIF(Table1[Loan size],Table1[[#This Row],[Loan size]])</f>
        <v>0.15909090909090909</v>
      </c>
      <c r="AO198" s="2" t="str">
        <f>IF(OR(Table1[[#This Row],[credit_score]] &lt; 600, Table1[ [#This Row],[dti_ratio] ] &gt; 0.5, Table1[[#This Row],[dpd]] &gt;=30), "high risk", " not riskY")</f>
        <v xml:space="preserve"> not riskY</v>
      </c>
      <c r="AP198" s="26">
        <f>EOMONTH(Table1[[#This Row],[origination_date]],0)</f>
        <v>45107</v>
      </c>
      <c r="AQ198" s="2">
        <f>SUMIFS(Table1[loan_amount],Table1[origination month],Table1[[#This Row],[origination month]])</f>
        <v>10134900</v>
      </c>
      <c r="AR198" s="2">
        <f>AVERAGEIFS(Table1[months_on_book],Table1[product],Table1[[#This Row],[product]])</f>
        <v>20.262135922330096</v>
      </c>
      <c r="AS198" s="2" t="str">
        <f ca="1">IF(EDATE(Table1[[#This Row],[origination_date]],6) &gt;= TODAY(), "New Loan", "Old Loan")</f>
        <v>Old Loan</v>
      </c>
      <c r="AT198" s="2" t="str">
        <f>"Q"&amp;ROUNDUP(MONTH(Table1[[#This Row],[origination_date]])/3,0)&amp;YEAR(Table1[[#This Row],[origination_date]])</f>
        <v>Q22023</v>
      </c>
      <c r="AU198" s="2">
        <f>SUMIFS(Table1[loan_amount],Table1[quarter],Table1[[#This Row],[quarter]])</f>
        <v>42051000</v>
      </c>
      <c r="AV198" s="34" t="str">
        <f>_xlfn.TEXTJOIN("|",TRUE,Table1[[#This Row],[loan_id]:[loan_status]])</f>
        <v>L90380900|C4542674|45083|Auto Loan|Online|North|Salaried|84|1586800|15.26|30852|1673724|640|D|0.31|0.65|2434600|30|892116|936830|5|0|0|Active</v>
      </c>
      <c r="AW198" s="42">
        <f>YEAR(Loan_Table[ [#This Row],[origination_date] ])</f>
        <v>2024</v>
      </c>
    </row>
    <row r="199" spans="2:49" ht="18" customHeight="1">
      <c r="B199" s="5" t="s">
        <v>518</v>
      </c>
      <c r="C199" s="2" t="s">
        <v>519</v>
      </c>
      <c r="D199" s="3">
        <v>45046</v>
      </c>
      <c r="E199" s="2" t="s">
        <v>163</v>
      </c>
      <c r="F199" s="2" t="s">
        <v>132</v>
      </c>
      <c r="G199" s="2" t="s">
        <v>133</v>
      </c>
      <c r="H199" s="2" t="s">
        <v>134</v>
      </c>
      <c r="I199" s="2">
        <v>60</v>
      </c>
      <c r="J199" s="2">
        <v>1343600</v>
      </c>
      <c r="K199" s="2">
        <v>15.06</v>
      </c>
      <c r="L199" s="2">
        <v>32006</v>
      </c>
      <c r="M199" s="2">
        <v>1480082</v>
      </c>
      <c r="N199" s="2">
        <v>609</v>
      </c>
      <c r="O199" s="2" t="s">
        <v>147</v>
      </c>
      <c r="P199" s="2">
        <v>0.28999999999999998</v>
      </c>
      <c r="Q199" s="2">
        <v>0.64</v>
      </c>
      <c r="R199" s="2">
        <v>2084300</v>
      </c>
      <c r="S199" s="2">
        <v>32</v>
      </c>
      <c r="T199" s="2">
        <v>990020</v>
      </c>
      <c r="U199" s="2">
        <v>569416</v>
      </c>
      <c r="V199" s="2">
        <v>0</v>
      </c>
      <c r="W199" s="2">
        <v>0</v>
      </c>
      <c r="X199" s="2">
        <v>0</v>
      </c>
      <c r="Y199" s="2" t="s">
        <v>148</v>
      </c>
      <c r="Z199" s="12">
        <f>SUMIF(Table1[product],Table1[[#This Row],[product]],Table1[loan_amount])</f>
        <v>92273000</v>
      </c>
      <c r="AA199" s="15">
        <f>SUMIF(Table1[region],Table1[[#This Row],[region]],Table1[current_balance])</f>
        <v>94548000</v>
      </c>
      <c r="AB199" s="2">
        <f>COUNTIF(Table1[loan_status],Table1[[#This Row],[loan_status]])</f>
        <v>301</v>
      </c>
      <c r="AC199" s="2">
        <f>COUNTIF(Table1[default_flag],1)/ROWS(Table1[loan_id])</f>
        <v>2.5999999999999999E-2</v>
      </c>
      <c r="AD199" s="2">
        <f>COUNTIFS(Table1[region],Table1[[#This Row],[region]],Table1[default_flag],1)/COUNTIF(Table1[region],Table1[[#This Row],[region]])</f>
        <v>0</v>
      </c>
      <c r="AE199" s="2">
        <f>COUNTIFS(Table1[channel],Table1[[#This Row],[channel]],Table1[prepayment_flag],1)/COUNTIF(Table1[channel],Table1[[#This Row],[channel]])</f>
        <v>7.1090047393364927E-2</v>
      </c>
      <c r="AF199" s="2">
        <f>AVERAGEIFS(Table1[interest_rate_pct],Table1[product],Table1[[#This Row],[product]],Table1[risk_band],Table1[[#This Row],[risk_band]])</f>
        <v>15.092000000000001</v>
      </c>
      <c r="AG199" s="2" t="str" cm="1">
        <f t="array" ref="AG199">_xlfn.IFS(Table1[[#This Row],[dti_ratio]] &lt; 0.2, " less than 0.2", Table1[[#This Row],[dti_ratio]] &lt; 0.3, "0.2 - 0.3", Table1[[#This Row],[dti_ratio]] &lt;= 0.5, "0.35 - 0.5", Table1[[#This Row],[dti_ratio]] &gt; 0.5, "greater than 0.5")</f>
        <v>0.2 - 0.3</v>
      </c>
      <c r="AH199" s="2">
        <f>COUNTIF(Table1[DTI band],Table1[[#This Row],[DTI band]])</f>
        <v>122</v>
      </c>
      <c r="AI199" s="2" t="str" cm="1">
        <f t="array" ref="AI199">_xlfn.IFS(Table1[[#This Row],[ltv_ratio]] &lt; 0.6, "less than 0.6 -less risky", Table1[[#This Row],[ltv_ratio]]  &lt;= 0.8, "0.6 - 0.8 -medium risky",Table1[[#This Row],[ltv_ratio]] &gt; 0.8, "greater than 0.8 -highly risky")</f>
        <v>0.6 - 0.8 -medium risky</v>
      </c>
      <c r="AJ199" s="2">
        <f>COUNTIF(Table1[LTV band],Table1[[#This Row],[LTV band]])</f>
        <v>302</v>
      </c>
      <c r="AK199" s="2">
        <f>COUNTIFS(Table1[count_loan_perband],Table1[[#This Row],[count_loan_perband]],Table1[default_flag],1)/COUNTIF(Table1[count_loan_perband],Table1[[#This Row],[count_loan_perband]])</f>
        <v>3.6423841059602648E-2</v>
      </c>
      <c r="AL199" s="2" t="str" cm="1">
        <f t="array" ref="AL199">_xlfn.IFS(Table1[[#This Row],[loan_amount]] &lt; 900000, "lower size (&lt; 9L)", Table1[[#This Row],[loan_amount]] &lt;=3300000, "medium size (&lt;=33L)", Table1[[#This Row],[loan_amount]] &gt; 3300000, "larger size (&gt; 33L)")</f>
        <v>medium size (&lt;=33L)</v>
      </c>
      <c r="AM199" s="2">
        <f>IF(Table1[[#This Row],[dpd]] &gt;=30,1,0)</f>
        <v>0</v>
      </c>
      <c r="AN199" s="2">
        <f>COUNTIFS(Table1[Loan size],Table1[[#This Row],[Loan size]],Table1[dpd flag],1)/COUNTIF(Table1[Loan size],Table1[[#This Row],[Loan size]])</f>
        <v>0.15909090909090909</v>
      </c>
      <c r="AO199" s="2" t="str">
        <f>IF(OR(Table1[[#This Row],[credit_score]] &lt; 600, Table1[ [#This Row],[dti_ratio] ] &gt; 0.5, Table1[[#This Row],[dpd]] &gt;=30), "high risk", " not riskY")</f>
        <v xml:space="preserve"> not riskY</v>
      </c>
      <c r="AP199" s="26">
        <f>EOMONTH(Table1[[#This Row],[origination_date]],0)</f>
        <v>45046</v>
      </c>
      <c r="AQ199" s="2">
        <f>SUMIFS(Table1[loan_amount],Table1[origination month],Table1[[#This Row],[origination month]])</f>
        <v>19321000</v>
      </c>
      <c r="AR199" s="2">
        <f>AVERAGEIFS(Table1[months_on_book],Table1[product],Table1[[#This Row],[product]])</f>
        <v>20.262135922330096</v>
      </c>
      <c r="AS199" s="2" t="str">
        <f ca="1">IF(EDATE(Table1[[#This Row],[origination_date]],6) &gt;= TODAY(), "New Loan", "Old Loan")</f>
        <v>Old Loan</v>
      </c>
      <c r="AT199" s="2" t="str">
        <f>"Q"&amp;ROUNDUP(MONTH(Table1[[#This Row],[origination_date]])/3,0)&amp;YEAR(Table1[[#This Row],[origination_date]])</f>
        <v>Q22023</v>
      </c>
      <c r="AU199" s="2">
        <f>SUMIFS(Table1[loan_amount],Table1[quarter],Table1[[#This Row],[quarter]])</f>
        <v>42051000</v>
      </c>
      <c r="AV199" s="34" t="str">
        <f>_xlfn.TEXTJOIN("|",TRUE,Table1[[#This Row],[loan_id]:[loan_status]])</f>
        <v>L72709371|C7531440|45046|Auto Loan|Online|South|Salaried|60|1343600|15.06|32006|1480082|609|D|0.29|0.64|2084300|32|990020|569416|0|0|0|Active</v>
      </c>
      <c r="AW199" s="42">
        <f>YEAR(Loan_Table[ [#This Row],[origination_date] ])</f>
        <v>2024</v>
      </c>
    </row>
    <row r="200" spans="2:49" ht="18" customHeight="1">
      <c r="B200" s="5" t="s">
        <v>520</v>
      </c>
      <c r="C200" s="2" t="s">
        <v>521</v>
      </c>
      <c r="D200" s="3">
        <v>45054</v>
      </c>
      <c r="E200" s="2" t="s">
        <v>131</v>
      </c>
      <c r="F200" s="2" t="s">
        <v>132</v>
      </c>
      <c r="G200" s="2" t="s">
        <v>145</v>
      </c>
      <c r="H200" s="2" t="s">
        <v>152</v>
      </c>
      <c r="I200" s="2">
        <v>18</v>
      </c>
      <c r="J200" s="2">
        <v>332400</v>
      </c>
      <c r="K200" s="2">
        <v>16.309999999999999</v>
      </c>
      <c r="L200" s="2">
        <v>20942</v>
      </c>
      <c r="M200" s="2">
        <v>809135</v>
      </c>
      <c r="N200" s="2">
        <v>726</v>
      </c>
      <c r="O200" s="2" t="s">
        <v>135</v>
      </c>
      <c r="P200" s="2">
        <v>0.28000000000000003</v>
      </c>
      <c r="Q200" s="2">
        <v>0.68</v>
      </c>
      <c r="R200" s="2">
        <v>0</v>
      </c>
      <c r="S200" s="2">
        <v>18</v>
      </c>
      <c r="T200" s="2">
        <v>380968</v>
      </c>
      <c r="U200" s="2">
        <v>0</v>
      </c>
      <c r="V200" s="2">
        <v>45</v>
      </c>
      <c r="W200" s="2">
        <v>0</v>
      </c>
      <c r="X200" s="2">
        <v>0</v>
      </c>
      <c r="Y200" s="2" t="s">
        <v>141</v>
      </c>
      <c r="Z200" s="12">
        <f>SUMIF(Table1[product],Table1[[#This Row],[product]],Table1[loan_amount])</f>
        <v>74897600</v>
      </c>
      <c r="AA200" s="15">
        <f>SUMIF(Table1[region],Table1[[#This Row],[region]],Table1[current_balance])</f>
        <v>98928695</v>
      </c>
      <c r="AB200" s="2">
        <f>COUNTIF(Table1[loan_status],Table1[[#This Row],[loan_status]])</f>
        <v>139</v>
      </c>
      <c r="AC200" s="2">
        <f>COUNTIF(Table1[default_flag],1)/ROWS(Table1[loan_id])</f>
        <v>2.5999999999999999E-2</v>
      </c>
      <c r="AD200" s="2">
        <f>COUNTIFS(Table1[region],Table1[[#This Row],[region]],Table1[default_flag],1)/COUNTIF(Table1[region],Table1[[#This Row],[region]])</f>
        <v>2.8571428571428571E-2</v>
      </c>
      <c r="AE200" s="2">
        <f>COUNTIFS(Table1[channel],Table1[[#This Row],[channel]],Table1[prepayment_flag],1)/COUNTIF(Table1[channel],Table1[[#This Row],[channel]])</f>
        <v>7.1090047393364927E-2</v>
      </c>
      <c r="AF200" s="2">
        <f>AVERAGEIFS(Table1[interest_rate_pct],Table1[product],Table1[[#This Row],[product]],Table1[risk_band],Table1[[#This Row],[risk_band]])</f>
        <v>16.500166666666669</v>
      </c>
      <c r="AG200" s="2" t="str" cm="1">
        <f t="array" ref="AG200">_xlfn.IFS(Table1[[#This Row],[dti_ratio]] &lt; 0.2, " less than 0.2", Table1[[#This Row],[dti_ratio]] &lt; 0.3, "0.2 - 0.3", Table1[[#This Row],[dti_ratio]] &lt;= 0.5, "0.35 - 0.5", Table1[[#This Row],[dti_ratio]] &gt; 0.5, "greater than 0.5")</f>
        <v>0.2 - 0.3</v>
      </c>
      <c r="AH200" s="2">
        <f>COUNTIF(Table1[DTI band],Table1[[#This Row],[DTI band]])</f>
        <v>122</v>
      </c>
      <c r="AI200" s="2" t="str" cm="1">
        <f t="array" ref="AI200">_xlfn.IFS(Table1[[#This Row],[ltv_ratio]] &lt; 0.6, "less than 0.6 -less risky", Table1[[#This Row],[ltv_ratio]]  &lt;= 0.8, "0.6 - 0.8 -medium risky",Table1[[#This Row],[ltv_ratio]] &gt; 0.8, "greater than 0.8 -highly risky")</f>
        <v>0.6 - 0.8 -medium risky</v>
      </c>
      <c r="AJ200" s="2">
        <f>COUNTIF(Table1[LTV band],Table1[[#This Row],[LTV band]])</f>
        <v>302</v>
      </c>
      <c r="AK200" s="2">
        <f>COUNTIFS(Table1[count_loan_perband],Table1[[#This Row],[count_loan_perband]],Table1[default_flag],1)/COUNTIF(Table1[count_loan_perband],Table1[[#This Row],[count_loan_perband]])</f>
        <v>3.6423841059602648E-2</v>
      </c>
      <c r="AL200" s="2" t="str" cm="1">
        <f t="array" ref="AL200">_xlfn.IFS(Table1[[#This Row],[loan_amount]] &lt; 900000, "lower size (&lt; 9L)", Table1[[#This Row],[loan_amount]] &lt;=3300000, "medium size (&lt;=33L)", Table1[[#This Row],[loan_amount]] &gt; 3300000, "larger size (&gt; 33L)")</f>
        <v>lower size (&lt; 9L)</v>
      </c>
      <c r="AM200" s="2">
        <f>IF(Table1[[#This Row],[dpd]] &gt;=30,1,0)</f>
        <v>1</v>
      </c>
      <c r="AN200" s="2">
        <f>COUNTIFS(Table1[Loan size],Table1[[#This Row],[Loan size]],Table1[dpd flag],1)/COUNTIF(Table1[Loan size],Table1[[#This Row],[Loan size]])</f>
        <v>0.13934426229508196</v>
      </c>
      <c r="AO200" s="2" t="str">
        <f>IF(OR(Table1[[#This Row],[credit_score]] &lt; 600, Table1[ [#This Row],[dti_ratio] ] &gt; 0.5, Table1[[#This Row],[dpd]] &gt;=30), "high risk", " not riskY")</f>
        <v>high risk</v>
      </c>
      <c r="AP200" s="26">
        <f>EOMONTH(Table1[[#This Row],[origination_date]],0)</f>
        <v>45077</v>
      </c>
      <c r="AQ200" s="2">
        <f>SUMIFS(Table1[loan_amount],Table1[origination month],Table1[[#This Row],[origination month]])</f>
        <v>12595100</v>
      </c>
      <c r="AR200" s="2">
        <f>AVERAGEIFS(Table1[months_on_book],Table1[product],Table1[[#This Row],[product]])</f>
        <v>21.092024539877301</v>
      </c>
      <c r="AS200" s="2" t="str">
        <f ca="1">IF(EDATE(Table1[[#This Row],[origination_date]],6) &gt;= TODAY(), "New Loan", "Old Loan")</f>
        <v>Old Loan</v>
      </c>
      <c r="AT200" s="2" t="str">
        <f>"Q"&amp;ROUNDUP(MONTH(Table1[[#This Row],[origination_date]])/3,0)&amp;YEAR(Table1[[#This Row],[origination_date]])</f>
        <v>Q22023</v>
      </c>
      <c r="AU200" s="2">
        <f>SUMIFS(Table1[loan_amount],Table1[quarter],Table1[[#This Row],[quarter]])</f>
        <v>42051000</v>
      </c>
      <c r="AV200" s="34" t="str">
        <f>_xlfn.TEXTJOIN("|",TRUE,Table1[[#This Row],[loan_id]:[loan_status]])</f>
        <v>L99313800|C3203945|45054|Personal Loan|Online|Central|Self-Employed|18|332400|16.31|20942|809135|726|B|0.28|0.68|0|18|380968|0|45|0|0|Closed</v>
      </c>
      <c r="AW200" s="42">
        <f>YEAR(Loan_Table[ [#This Row],[origination_date] ])</f>
        <v>2024</v>
      </c>
    </row>
    <row r="201" spans="2:49" ht="18" customHeight="1">
      <c r="B201" s="5" t="s">
        <v>522</v>
      </c>
      <c r="C201" s="2" t="s">
        <v>523</v>
      </c>
      <c r="D201" s="3">
        <v>45090</v>
      </c>
      <c r="E201" s="2" t="s">
        <v>169</v>
      </c>
      <c r="F201" s="2" t="s">
        <v>144</v>
      </c>
      <c r="G201" s="2" t="s">
        <v>133</v>
      </c>
      <c r="H201" s="2" t="s">
        <v>146</v>
      </c>
      <c r="I201" s="2">
        <v>24</v>
      </c>
      <c r="J201" s="2">
        <v>4157700</v>
      </c>
      <c r="K201" s="2">
        <v>7</v>
      </c>
      <c r="L201" s="2">
        <v>186151</v>
      </c>
      <c r="M201" s="2">
        <v>337135</v>
      </c>
      <c r="N201" s="2">
        <v>809</v>
      </c>
      <c r="O201" s="2" t="s">
        <v>160</v>
      </c>
      <c r="P201" s="2">
        <v>0.27</v>
      </c>
      <c r="Q201" s="2">
        <v>0.81</v>
      </c>
      <c r="R201" s="2">
        <v>5121900</v>
      </c>
      <c r="S201" s="2">
        <v>24</v>
      </c>
      <c r="T201" s="2">
        <v>4377222</v>
      </c>
      <c r="U201" s="2">
        <v>13309</v>
      </c>
      <c r="V201" s="2">
        <v>0</v>
      </c>
      <c r="W201" s="2">
        <v>0</v>
      </c>
      <c r="X201" s="2">
        <v>0</v>
      </c>
      <c r="Y201" s="2" t="s">
        <v>141</v>
      </c>
      <c r="Z201" s="12">
        <f>SUMIF(Table1[product],Table1[[#This Row],[product]],Table1[loan_amount])</f>
        <v>403369500</v>
      </c>
      <c r="AA201" s="15">
        <f>SUMIF(Table1[region],Table1[[#This Row],[region]],Table1[current_balance])</f>
        <v>94548000</v>
      </c>
      <c r="AB201" s="2">
        <f>COUNTIF(Table1[loan_status],Table1[[#This Row],[loan_status]])</f>
        <v>139</v>
      </c>
      <c r="AC201" s="2">
        <f>COUNTIF(Table1[default_flag],1)/ROWS(Table1[loan_id])</f>
        <v>2.5999999999999999E-2</v>
      </c>
      <c r="AD201" s="2">
        <f>COUNTIFS(Table1[region],Table1[[#This Row],[region]],Table1[default_flag],1)/COUNTIF(Table1[region],Table1[[#This Row],[region]])</f>
        <v>0</v>
      </c>
      <c r="AE201" s="2">
        <f>COUNTIFS(Table1[channel],Table1[[#This Row],[channel]],Table1[prepayment_flag],1)/COUNTIF(Table1[channel],Table1[[#This Row],[channel]])</f>
        <v>5.8201058201058198E-2</v>
      </c>
      <c r="AF201" s="2">
        <f>AVERAGEIFS(Table1[interest_rate_pct],Table1[product],Table1[[#This Row],[product]],Table1[risk_band],Table1[[#This Row],[risk_band]])</f>
        <v>7.1876190476190471</v>
      </c>
      <c r="AG201" s="2" t="str" cm="1">
        <f t="array" ref="AG201">_xlfn.IFS(Table1[[#This Row],[dti_ratio]] &lt; 0.2, " less than 0.2", Table1[[#This Row],[dti_ratio]] &lt; 0.3, "0.2 - 0.3", Table1[[#This Row],[dti_ratio]] &lt;= 0.5, "0.35 - 0.5", Table1[[#This Row],[dti_ratio]] &gt; 0.5, "greater than 0.5")</f>
        <v>0.2 - 0.3</v>
      </c>
      <c r="AH201" s="2">
        <f>COUNTIF(Table1[DTI band],Table1[[#This Row],[DTI band]])</f>
        <v>122</v>
      </c>
      <c r="AI201" s="2" t="str" cm="1">
        <f t="array" ref="AI201">_xlfn.IFS(Table1[[#This Row],[ltv_ratio]] &lt; 0.6, "less than 0.6 -less risky", Table1[[#This Row],[ltv_ratio]]  &lt;= 0.8, "0.6 - 0.8 -medium risky",Table1[[#This Row],[ltv_ratio]] &gt; 0.8, "greater than 0.8 -highly risky")</f>
        <v>greater than 0.8 -highly risky</v>
      </c>
      <c r="AJ201" s="2">
        <f>COUNTIF(Table1[LTV band],Table1[[#This Row],[LTV band]])</f>
        <v>141</v>
      </c>
      <c r="AK201" s="2">
        <f>COUNTIFS(Table1[count_loan_perband],Table1[[#This Row],[count_loan_perband]],Table1[default_flag],1)/COUNTIF(Table1[count_loan_perband],Table1[[#This Row],[count_loan_perband]])</f>
        <v>1.4184397163120567E-2</v>
      </c>
      <c r="AL201" s="2" t="str" cm="1">
        <f t="array" ref="AL201">_xlfn.IFS(Table1[[#This Row],[loan_amount]] &lt; 900000, "lower size (&lt; 9L)", Table1[[#This Row],[loan_amount]] &lt;=3300000, "medium size (&lt;=33L)", Table1[[#This Row],[loan_amount]] &gt; 3300000, "larger size (&gt; 33L)")</f>
        <v>larger size (&gt; 33L)</v>
      </c>
      <c r="AM201" s="2">
        <f>IF(Table1[[#This Row],[dpd]] &gt;=30,1,0)</f>
        <v>0</v>
      </c>
      <c r="AN201" s="2">
        <f>COUNTIFS(Table1[Loan size],Table1[[#This Row],[Loan size]],Table1[dpd flag],1)/COUNTIF(Table1[Loan size],Table1[[#This Row],[Loan size]])</f>
        <v>0.16250000000000001</v>
      </c>
      <c r="AO201" s="2" t="str">
        <f>IF(OR(Table1[[#This Row],[credit_score]] &lt; 600, Table1[ [#This Row],[dti_ratio] ] &gt; 0.5, Table1[[#This Row],[dpd]] &gt;=30), "high risk", " not riskY")</f>
        <v xml:space="preserve"> not riskY</v>
      </c>
      <c r="AP201" s="26">
        <f>EOMONTH(Table1[[#This Row],[origination_date]],0)</f>
        <v>45107</v>
      </c>
      <c r="AQ201" s="2">
        <f>SUMIFS(Table1[loan_amount],Table1[origination month],Table1[[#This Row],[origination month]])</f>
        <v>10134900</v>
      </c>
      <c r="AR201" s="2">
        <f>AVERAGEIFS(Table1[months_on_book],Table1[product],Table1[[#This Row],[product]])</f>
        <v>20.516129032258064</v>
      </c>
      <c r="AS201" s="2" t="str">
        <f ca="1">IF(EDATE(Table1[[#This Row],[origination_date]],6) &gt;= TODAY(), "New Loan", "Old Loan")</f>
        <v>Old Loan</v>
      </c>
      <c r="AT201" s="2" t="str">
        <f>"Q"&amp;ROUNDUP(MONTH(Table1[[#This Row],[origination_date]])/3,0)&amp;YEAR(Table1[[#This Row],[origination_date]])</f>
        <v>Q22023</v>
      </c>
      <c r="AU201" s="2">
        <f>SUMIFS(Table1[loan_amount],Table1[quarter],Table1[[#This Row],[quarter]])</f>
        <v>42051000</v>
      </c>
      <c r="AV201" s="34" t="str">
        <f>_xlfn.TEXTJOIN("|",TRUE,Table1[[#This Row],[loan_id]:[loan_status]])</f>
        <v>L15247246|C5403276|45090|Home Loan|Branch|South|Contract|24|4157700|7|186151|337135|809|A|0.27|0.81|5121900|24|4377222|13309|0|0|0|Closed</v>
      </c>
      <c r="AW201" s="42">
        <f>YEAR(Loan_Table[ [#This Row],[origination_date] ])</f>
        <v>2024</v>
      </c>
    </row>
    <row r="202" spans="2:49" ht="18" customHeight="1">
      <c r="B202" s="5" t="s">
        <v>524</v>
      </c>
      <c r="C202" s="2" t="s">
        <v>525</v>
      </c>
      <c r="D202" s="3">
        <v>45059</v>
      </c>
      <c r="E202" s="2" t="s">
        <v>158</v>
      </c>
      <c r="F202" s="2" t="s">
        <v>144</v>
      </c>
      <c r="G202" s="2" t="s">
        <v>133</v>
      </c>
      <c r="H202" s="2" t="s">
        <v>146</v>
      </c>
      <c r="I202" s="2">
        <v>84</v>
      </c>
      <c r="J202" s="2">
        <v>1939000</v>
      </c>
      <c r="K202" s="2">
        <v>13.69</v>
      </c>
      <c r="L202" s="2">
        <v>36006</v>
      </c>
      <c r="M202" s="2">
        <v>480844</v>
      </c>
      <c r="N202" s="2">
        <v>712</v>
      </c>
      <c r="O202" s="2" t="s">
        <v>135</v>
      </c>
      <c r="P202" s="2">
        <v>0.26</v>
      </c>
      <c r="Q202" s="2">
        <v>0.87</v>
      </c>
      <c r="R202" s="2">
        <v>2235100</v>
      </c>
      <c r="S202" s="2">
        <v>31</v>
      </c>
      <c r="T202" s="2">
        <v>1017582</v>
      </c>
      <c r="U202" s="2">
        <v>1195715</v>
      </c>
      <c r="V202" s="2">
        <v>0</v>
      </c>
      <c r="W202" s="2">
        <v>0</v>
      </c>
      <c r="X202" s="2">
        <v>0</v>
      </c>
      <c r="Y202" s="2" t="s">
        <v>148</v>
      </c>
      <c r="Z202" s="12">
        <f>SUMIF(Table1[product],Table1[[#This Row],[product]],Table1[loan_amount])</f>
        <v>201475100</v>
      </c>
      <c r="AA202" s="15">
        <f>SUMIF(Table1[region],Table1[[#This Row],[region]],Table1[current_balance])</f>
        <v>94548000</v>
      </c>
      <c r="AB202" s="2">
        <f>COUNTIF(Table1[loan_status],Table1[[#This Row],[loan_status]])</f>
        <v>301</v>
      </c>
      <c r="AC202" s="2">
        <f>COUNTIF(Table1[default_flag],1)/ROWS(Table1[loan_id])</f>
        <v>2.5999999999999999E-2</v>
      </c>
      <c r="AD202" s="2">
        <f>COUNTIFS(Table1[region],Table1[[#This Row],[region]],Table1[default_flag],1)/COUNTIF(Table1[region],Table1[[#This Row],[region]])</f>
        <v>0</v>
      </c>
      <c r="AE202" s="2">
        <f>COUNTIFS(Table1[channel],Table1[[#This Row],[channel]],Table1[prepayment_flag],1)/COUNTIF(Table1[channel],Table1[[#This Row],[channel]])</f>
        <v>5.8201058201058198E-2</v>
      </c>
      <c r="AF202" s="2">
        <f>AVERAGEIFS(Table1[interest_rate_pct],Table1[product],Table1[[#This Row],[product]],Table1[risk_band],Table1[[#This Row],[risk_band]])</f>
        <v>13.042631578947367</v>
      </c>
      <c r="AG202" s="2" t="str" cm="1">
        <f t="array" ref="AG202">_xlfn.IFS(Table1[[#This Row],[dti_ratio]] &lt; 0.2, " less than 0.2", Table1[[#This Row],[dti_ratio]] &lt; 0.3, "0.2 - 0.3", Table1[[#This Row],[dti_ratio]] &lt;= 0.5, "0.35 - 0.5", Table1[[#This Row],[dti_ratio]] &gt; 0.5, "greater than 0.5")</f>
        <v>0.2 - 0.3</v>
      </c>
      <c r="AH202" s="2">
        <f>COUNTIF(Table1[DTI band],Table1[[#This Row],[DTI band]])</f>
        <v>122</v>
      </c>
      <c r="AI202" s="2" t="str" cm="1">
        <f t="array" ref="AI202">_xlfn.IFS(Table1[[#This Row],[ltv_ratio]] &lt; 0.6, "less than 0.6 -less risky", Table1[[#This Row],[ltv_ratio]]  &lt;= 0.8, "0.6 - 0.8 -medium risky",Table1[[#This Row],[ltv_ratio]] &gt; 0.8, "greater than 0.8 -highly risky")</f>
        <v>greater than 0.8 -highly risky</v>
      </c>
      <c r="AJ202" s="2">
        <f>COUNTIF(Table1[LTV band],Table1[[#This Row],[LTV band]])</f>
        <v>141</v>
      </c>
      <c r="AK202" s="2">
        <f>COUNTIFS(Table1[count_loan_perband],Table1[[#This Row],[count_loan_perband]],Table1[default_flag],1)/COUNTIF(Table1[count_loan_perband],Table1[[#This Row],[count_loan_perband]])</f>
        <v>1.4184397163120567E-2</v>
      </c>
      <c r="AL202" s="2" t="str" cm="1">
        <f t="array" ref="AL202">_xlfn.IFS(Table1[[#This Row],[loan_amount]] &lt; 900000, "lower size (&lt; 9L)", Table1[[#This Row],[loan_amount]] &lt;=3300000, "medium size (&lt;=33L)", Table1[[#This Row],[loan_amount]] &gt; 3300000, "larger size (&gt; 33L)")</f>
        <v>medium size (&lt;=33L)</v>
      </c>
      <c r="AM202" s="2">
        <f>IF(Table1[[#This Row],[dpd]] &gt;=30,1,0)</f>
        <v>0</v>
      </c>
      <c r="AN202" s="2">
        <f>COUNTIFS(Table1[Loan size],Table1[[#This Row],[Loan size]],Table1[dpd flag],1)/COUNTIF(Table1[Loan size],Table1[[#This Row],[Loan size]])</f>
        <v>0.15909090909090909</v>
      </c>
      <c r="AO202" s="2" t="str">
        <f>IF(OR(Table1[[#This Row],[credit_score]] &lt; 600, Table1[ [#This Row],[dti_ratio] ] &gt; 0.5, Table1[[#This Row],[dpd]] &gt;=30), "high risk", " not riskY")</f>
        <v xml:space="preserve"> not riskY</v>
      </c>
      <c r="AP202" s="26">
        <f>EOMONTH(Table1[[#This Row],[origination_date]],0)</f>
        <v>45077</v>
      </c>
      <c r="AQ202" s="2">
        <f>SUMIFS(Table1[loan_amount],Table1[origination month],Table1[[#This Row],[origination month]])</f>
        <v>12595100</v>
      </c>
      <c r="AR202" s="2">
        <f>AVERAGEIFS(Table1[months_on_book],Table1[product],Table1[[#This Row],[product]])</f>
        <v>19.091954022988507</v>
      </c>
      <c r="AS202" s="2" t="str">
        <f ca="1">IF(EDATE(Table1[[#This Row],[origination_date]],6) &gt;= TODAY(), "New Loan", "Old Loan")</f>
        <v>Old Loan</v>
      </c>
      <c r="AT202" s="2" t="str">
        <f>"Q"&amp;ROUNDUP(MONTH(Table1[[#This Row],[origination_date]])/3,0)&amp;YEAR(Table1[[#This Row],[origination_date]])</f>
        <v>Q22023</v>
      </c>
      <c r="AU202" s="2">
        <f>SUMIFS(Table1[loan_amount],Table1[quarter],Table1[[#This Row],[quarter]])</f>
        <v>42051000</v>
      </c>
      <c r="AV202" s="34" t="str">
        <f>_xlfn.TEXTJOIN("|",TRUE,Table1[[#This Row],[loan_id]:[loan_status]])</f>
        <v>L69938999|C8912800|45059|SME Loan|Branch|South|Contract|84|1939000|13.69|36006|480844|712|B|0.26|0.87|2235100|31|1017582|1195715|0|0|0|Active</v>
      </c>
      <c r="AW202" s="42">
        <f>YEAR(Loan_Table[ [#This Row],[origination_date] ])</f>
        <v>2024</v>
      </c>
    </row>
    <row r="203" spans="2:49" ht="18" customHeight="1">
      <c r="B203" s="5" t="s">
        <v>526</v>
      </c>
      <c r="C203" s="2" t="s">
        <v>527</v>
      </c>
      <c r="D203" s="3">
        <v>45039</v>
      </c>
      <c r="E203" s="2" t="s">
        <v>169</v>
      </c>
      <c r="F203" s="2" t="s">
        <v>132</v>
      </c>
      <c r="G203" s="2" t="s">
        <v>133</v>
      </c>
      <c r="H203" s="2" t="s">
        <v>134</v>
      </c>
      <c r="I203" s="2">
        <v>240</v>
      </c>
      <c r="J203" s="2">
        <v>6984600</v>
      </c>
      <c r="K203" s="2">
        <v>11.77</v>
      </c>
      <c r="L203" s="2">
        <v>75789</v>
      </c>
      <c r="M203" s="2">
        <v>975672</v>
      </c>
      <c r="N203" s="2">
        <v>663</v>
      </c>
      <c r="O203" s="2" t="s">
        <v>140</v>
      </c>
      <c r="P203" s="2">
        <v>0.24</v>
      </c>
      <c r="Q203" s="2">
        <v>0.83</v>
      </c>
      <c r="R203" s="2">
        <v>8422200</v>
      </c>
      <c r="S203" s="2">
        <v>32</v>
      </c>
      <c r="T203" s="2">
        <v>2107384</v>
      </c>
      <c r="U203" s="2">
        <v>5754109</v>
      </c>
      <c r="V203" s="2">
        <v>0</v>
      </c>
      <c r="W203" s="2">
        <v>0</v>
      </c>
      <c r="X203" s="2">
        <v>0</v>
      </c>
      <c r="Y203" s="2" t="s">
        <v>148</v>
      </c>
      <c r="Z203" s="12">
        <f>SUMIF(Table1[product],Table1[[#This Row],[product]],Table1[loan_amount])</f>
        <v>403369500</v>
      </c>
      <c r="AA203" s="15">
        <f>SUMIF(Table1[region],Table1[[#This Row],[region]],Table1[current_balance])</f>
        <v>94548000</v>
      </c>
      <c r="AB203" s="2">
        <f>COUNTIF(Table1[loan_status],Table1[[#This Row],[loan_status]])</f>
        <v>301</v>
      </c>
      <c r="AC203" s="2">
        <f>COUNTIF(Table1[default_flag],1)/ROWS(Table1[loan_id])</f>
        <v>2.5999999999999999E-2</v>
      </c>
      <c r="AD203" s="2">
        <f>COUNTIFS(Table1[region],Table1[[#This Row],[region]],Table1[default_flag],1)/COUNTIF(Table1[region],Table1[[#This Row],[region]])</f>
        <v>0</v>
      </c>
      <c r="AE203" s="2">
        <f>COUNTIFS(Table1[channel],Table1[[#This Row],[channel]],Table1[prepayment_flag],1)/COUNTIF(Table1[channel],Table1[[#This Row],[channel]])</f>
        <v>7.1090047393364927E-2</v>
      </c>
      <c r="AF203" s="2">
        <f>AVERAGEIFS(Table1[interest_rate_pct],Table1[product],Table1[[#This Row],[product]],Table1[risk_band],Table1[[#This Row],[risk_band]])</f>
        <v>11.719736842105268</v>
      </c>
      <c r="AG203" s="2" t="str" cm="1">
        <f t="array" ref="AG203">_xlfn.IFS(Table1[[#This Row],[dti_ratio]] &lt; 0.2, " less than 0.2", Table1[[#This Row],[dti_ratio]] &lt; 0.3, "0.2 - 0.3", Table1[[#This Row],[dti_ratio]] &lt;= 0.5, "0.35 - 0.5", Table1[[#This Row],[dti_ratio]] &gt; 0.5, "greater than 0.5")</f>
        <v>0.2 - 0.3</v>
      </c>
      <c r="AH203" s="2">
        <f>COUNTIF(Table1[DTI band],Table1[[#This Row],[DTI band]])</f>
        <v>122</v>
      </c>
      <c r="AI203" s="2" t="str" cm="1">
        <f t="array" ref="AI203">_xlfn.IFS(Table1[[#This Row],[ltv_ratio]] &lt; 0.6, "less than 0.6 -less risky", Table1[[#This Row],[ltv_ratio]]  &lt;= 0.8, "0.6 - 0.8 -medium risky",Table1[[#This Row],[ltv_ratio]] &gt; 0.8, "greater than 0.8 -highly risky")</f>
        <v>greater than 0.8 -highly risky</v>
      </c>
      <c r="AJ203" s="2">
        <f>COUNTIF(Table1[LTV band],Table1[[#This Row],[LTV band]])</f>
        <v>141</v>
      </c>
      <c r="AK203" s="2">
        <f>COUNTIFS(Table1[count_loan_perband],Table1[[#This Row],[count_loan_perband]],Table1[default_flag],1)/COUNTIF(Table1[count_loan_perband],Table1[[#This Row],[count_loan_perband]])</f>
        <v>1.4184397163120567E-2</v>
      </c>
      <c r="AL203" s="2" t="str" cm="1">
        <f t="array" ref="AL203">_xlfn.IFS(Table1[[#This Row],[loan_amount]] &lt; 900000, "lower size (&lt; 9L)", Table1[[#This Row],[loan_amount]] &lt;=3300000, "medium size (&lt;=33L)", Table1[[#This Row],[loan_amount]] &gt; 3300000, "larger size (&gt; 33L)")</f>
        <v>larger size (&gt; 33L)</v>
      </c>
      <c r="AM203" s="2">
        <f>IF(Table1[[#This Row],[dpd]] &gt;=30,1,0)</f>
        <v>0</v>
      </c>
      <c r="AN203" s="2">
        <f>COUNTIFS(Table1[Loan size],Table1[[#This Row],[Loan size]],Table1[dpd flag],1)/COUNTIF(Table1[Loan size],Table1[[#This Row],[Loan size]])</f>
        <v>0.16250000000000001</v>
      </c>
      <c r="AO203" s="2" t="str">
        <f>IF(OR(Table1[[#This Row],[credit_score]] &lt; 600, Table1[ [#This Row],[dti_ratio] ] &gt; 0.5, Table1[[#This Row],[dpd]] &gt;=30), "high risk", " not riskY")</f>
        <v xml:space="preserve"> not riskY</v>
      </c>
      <c r="AP203" s="26">
        <f>EOMONTH(Table1[[#This Row],[origination_date]],0)</f>
        <v>45046</v>
      </c>
      <c r="AQ203" s="2">
        <f>SUMIFS(Table1[loan_amount],Table1[origination month],Table1[[#This Row],[origination month]])</f>
        <v>19321000</v>
      </c>
      <c r="AR203" s="2">
        <f>AVERAGEIFS(Table1[months_on_book],Table1[product],Table1[[#This Row],[product]])</f>
        <v>20.516129032258064</v>
      </c>
      <c r="AS203" s="2" t="str">
        <f ca="1">IF(EDATE(Table1[[#This Row],[origination_date]],6) &gt;= TODAY(), "New Loan", "Old Loan")</f>
        <v>Old Loan</v>
      </c>
      <c r="AT203" s="2" t="str">
        <f>"Q"&amp;ROUNDUP(MONTH(Table1[[#This Row],[origination_date]])/3,0)&amp;YEAR(Table1[[#This Row],[origination_date]])</f>
        <v>Q22023</v>
      </c>
      <c r="AU203" s="2">
        <f>SUMIFS(Table1[loan_amount],Table1[quarter],Table1[[#This Row],[quarter]])</f>
        <v>42051000</v>
      </c>
      <c r="AV203" s="34" t="str">
        <f>_xlfn.TEXTJOIN("|",TRUE,Table1[[#This Row],[loan_id]:[loan_status]])</f>
        <v>L39324282|C6783096|45039|Home Loan|Online|South|Salaried|240|6984600|11.77|75789|975672|663|C|0.24|0.83|8422200|32|2107384|5754109|0|0|0|Active</v>
      </c>
      <c r="AW203" s="42">
        <f>YEAR(Loan_Table[ [#This Row],[origination_date] ])</f>
        <v>2024</v>
      </c>
    </row>
    <row r="204" spans="2:49" ht="18" customHeight="1">
      <c r="B204" s="5" t="s">
        <v>528</v>
      </c>
      <c r="C204" s="2" t="s">
        <v>529</v>
      </c>
      <c r="D204" s="3">
        <v>45089</v>
      </c>
      <c r="E204" s="2" t="s">
        <v>131</v>
      </c>
      <c r="F204" s="2" t="s">
        <v>132</v>
      </c>
      <c r="G204" s="2" t="s">
        <v>133</v>
      </c>
      <c r="H204" s="2" t="s">
        <v>152</v>
      </c>
      <c r="I204" s="2">
        <v>12</v>
      </c>
      <c r="J204" s="2">
        <v>227300</v>
      </c>
      <c r="K204" s="2">
        <v>14.03</v>
      </c>
      <c r="L204" s="2">
        <v>20412</v>
      </c>
      <c r="M204" s="2">
        <v>850509</v>
      </c>
      <c r="N204" s="2">
        <v>756</v>
      </c>
      <c r="O204" s="2" t="s">
        <v>160</v>
      </c>
      <c r="P204" s="2">
        <v>0.23</v>
      </c>
      <c r="Q204" s="2">
        <v>0.72</v>
      </c>
      <c r="R204" s="2">
        <v>0</v>
      </c>
      <c r="S204" s="2">
        <v>12</v>
      </c>
      <c r="T204" s="2">
        <v>223150</v>
      </c>
      <c r="U204" s="2">
        <v>16906</v>
      </c>
      <c r="V204" s="2">
        <v>0</v>
      </c>
      <c r="W204" s="2">
        <v>0</v>
      </c>
      <c r="X204" s="2">
        <v>0</v>
      </c>
      <c r="Y204" s="2" t="s">
        <v>141</v>
      </c>
      <c r="Z204" s="12">
        <f>SUMIF(Table1[product],Table1[[#This Row],[product]],Table1[loan_amount])</f>
        <v>74897600</v>
      </c>
      <c r="AA204" s="15">
        <f>SUMIF(Table1[region],Table1[[#This Row],[region]],Table1[current_balance])</f>
        <v>94548000</v>
      </c>
      <c r="AB204" s="2">
        <f>COUNTIF(Table1[loan_status],Table1[[#This Row],[loan_status]])</f>
        <v>139</v>
      </c>
      <c r="AC204" s="2">
        <f>COUNTIF(Table1[default_flag],1)/ROWS(Table1[loan_id])</f>
        <v>2.5999999999999999E-2</v>
      </c>
      <c r="AD204" s="2">
        <f>COUNTIFS(Table1[region],Table1[[#This Row],[region]],Table1[default_flag],1)/COUNTIF(Table1[region],Table1[[#This Row],[region]])</f>
        <v>0</v>
      </c>
      <c r="AE204" s="2">
        <f>COUNTIFS(Table1[channel],Table1[[#This Row],[channel]],Table1[prepayment_flag],1)/COUNTIF(Table1[channel],Table1[[#This Row],[channel]])</f>
        <v>7.1090047393364927E-2</v>
      </c>
      <c r="AF204" s="2">
        <f>AVERAGEIFS(Table1[interest_rate_pct],Table1[product],Table1[[#This Row],[product]],Table1[risk_band],Table1[[#This Row],[risk_band]])</f>
        <v>13.328333333333335</v>
      </c>
      <c r="AG204" s="2" t="str" cm="1">
        <f t="array" ref="AG204">_xlfn.IFS(Table1[[#This Row],[dti_ratio]] &lt; 0.2, " less than 0.2", Table1[[#This Row],[dti_ratio]] &lt; 0.3, "0.2 - 0.3", Table1[[#This Row],[dti_ratio]] &lt;= 0.5, "0.35 - 0.5", Table1[[#This Row],[dti_ratio]] &gt; 0.5, "greater than 0.5")</f>
        <v>0.2 - 0.3</v>
      </c>
      <c r="AH204" s="2">
        <f>COUNTIF(Table1[DTI band],Table1[[#This Row],[DTI band]])</f>
        <v>122</v>
      </c>
      <c r="AI204" s="2" t="str" cm="1">
        <f t="array" ref="AI204">_xlfn.IFS(Table1[[#This Row],[ltv_ratio]] &lt; 0.6, "less than 0.6 -less risky", Table1[[#This Row],[ltv_ratio]]  &lt;= 0.8, "0.6 - 0.8 -medium risky",Table1[[#This Row],[ltv_ratio]] &gt; 0.8, "greater than 0.8 -highly risky")</f>
        <v>0.6 - 0.8 -medium risky</v>
      </c>
      <c r="AJ204" s="2">
        <f>COUNTIF(Table1[LTV band],Table1[[#This Row],[LTV band]])</f>
        <v>302</v>
      </c>
      <c r="AK204" s="2">
        <f>COUNTIFS(Table1[count_loan_perband],Table1[[#This Row],[count_loan_perband]],Table1[default_flag],1)/COUNTIF(Table1[count_loan_perband],Table1[[#This Row],[count_loan_perband]])</f>
        <v>3.6423841059602648E-2</v>
      </c>
      <c r="AL204" s="2" t="str" cm="1">
        <f t="array" ref="AL204">_xlfn.IFS(Table1[[#This Row],[loan_amount]] &lt; 900000, "lower size (&lt; 9L)", Table1[[#This Row],[loan_amount]] &lt;=3300000, "medium size (&lt;=33L)", Table1[[#This Row],[loan_amount]] &gt; 3300000, "larger size (&gt; 33L)")</f>
        <v>lower size (&lt; 9L)</v>
      </c>
      <c r="AM204" s="2">
        <f>IF(Table1[[#This Row],[dpd]] &gt;=30,1,0)</f>
        <v>0</v>
      </c>
      <c r="AN204" s="2">
        <f>COUNTIFS(Table1[Loan size],Table1[[#This Row],[Loan size]],Table1[dpd flag],1)/COUNTIF(Table1[Loan size],Table1[[#This Row],[Loan size]])</f>
        <v>0.13934426229508196</v>
      </c>
      <c r="AO204" s="2" t="str">
        <f>IF(OR(Table1[[#This Row],[credit_score]] &lt; 600, Table1[ [#This Row],[dti_ratio] ] &gt; 0.5, Table1[[#This Row],[dpd]] &gt;=30), "high risk", " not riskY")</f>
        <v xml:space="preserve"> not riskY</v>
      </c>
      <c r="AP204" s="26">
        <f>EOMONTH(Table1[[#This Row],[origination_date]],0)</f>
        <v>45107</v>
      </c>
      <c r="AQ204" s="2">
        <f>SUMIFS(Table1[loan_amount],Table1[origination month],Table1[[#This Row],[origination month]])</f>
        <v>10134900</v>
      </c>
      <c r="AR204" s="2">
        <f>AVERAGEIFS(Table1[months_on_book],Table1[product],Table1[[#This Row],[product]])</f>
        <v>21.092024539877301</v>
      </c>
      <c r="AS204" s="2" t="str">
        <f ca="1">IF(EDATE(Table1[[#This Row],[origination_date]],6) &gt;= TODAY(), "New Loan", "Old Loan")</f>
        <v>Old Loan</v>
      </c>
      <c r="AT204" s="2" t="str">
        <f>"Q"&amp;ROUNDUP(MONTH(Table1[[#This Row],[origination_date]])/3,0)&amp;YEAR(Table1[[#This Row],[origination_date]])</f>
        <v>Q22023</v>
      </c>
      <c r="AU204" s="2">
        <f>SUMIFS(Table1[loan_amount],Table1[quarter],Table1[[#This Row],[quarter]])</f>
        <v>42051000</v>
      </c>
      <c r="AV204" s="34" t="str">
        <f>_xlfn.TEXTJOIN("|",TRUE,Table1[[#This Row],[loan_id]:[loan_status]])</f>
        <v>L63182394|C6867262|45089|Personal Loan|Online|South|Self-Employed|12|227300|14.03|20412|850509|756|A|0.23|0.72|0|12|223150|16906|0|0|0|Closed</v>
      </c>
      <c r="AW204" s="42">
        <f>YEAR(Loan_Table[ [#This Row],[origination_date] ])</f>
        <v>2024</v>
      </c>
    </row>
    <row r="205" spans="2:49" ht="18" customHeight="1">
      <c r="B205" s="5" t="s">
        <v>530</v>
      </c>
      <c r="C205" s="2" t="s">
        <v>531</v>
      </c>
      <c r="D205" s="3">
        <v>45052</v>
      </c>
      <c r="E205" s="2" t="s">
        <v>131</v>
      </c>
      <c r="F205" s="2" t="s">
        <v>144</v>
      </c>
      <c r="G205" s="2" t="s">
        <v>145</v>
      </c>
      <c r="H205" s="2" t="s">
        <v>152</v>
      </c>
      <c r="I205" s="2">
        <v>240</v>
      </c>
      <c r="J205" s="2">
        <v>423700</v>
      </c>
      <c r="K205" s="2">
        <v>15.19</v>
      </c>
      <c r="L205" s="2">
        <v>5639</v>
      </c>
      <c r="M205" s="2">
        <v>712661</v>
      </c>
      <c r="N205" s="2">
        <v>746</v>
      </c>
      <c r="O205" s="2" t="s">
        <v>135</v>
      </c>
      <c r="P205" s="2">
        <v>0.23</v>
      </c>
      <c r="Q205" s="2">
        <v>0.73</v>
      </c>
      <c r="R205" s="2">
        <v>0</v>
      </c>
      <c r="S205" s="2">
        <v>31</v>
      </c>
      <c r="T205" s="2">
        <v>175266</v>
      </c>
      <c r="U205" s="2">
        <v>314939</v>
      </c>
      <c r="V205" s="2">
        <v>5</v>
      </c>
      <c r="W205" s="2">
        <v>0</v>
      </c>
      <c r="X205" s="2">
        <v>0</v>
      </c>
      <c r="Y205" s="2" t="s">
        <v>148</v>
      </c>
      <c r="Z205" s="12">
        <f>SUMIF(Table1[product],Table1[[#This Row],[product]],Table1[loan_amount])</f>
        <v>74897600</v>
      </c>
      <c r="AA205" s="15">
        <f>SUMIF(Table1[region],Table1[[#This Row],[region]],Table1[current_balance])</f>
        <v>98928695</v>
      </c>
      <c r="AB205" s="2">
        <f>COUNTIF(Table1[loan_status],Table1[[#This Row],[loan_status]])</f>
        <v>301</v>
      </c>
      <c r="AC205" s="2">
        <f>COUNTIF(Table1[default_flag],1)/ROWS(Table1[loan_id])</f>
        <v>2.5999999999999999E-2</v>
      </c>
      <c r="AD205" s="2">
        <f>COUNTIFS(Table1[region],Table1[[#This Row],[region]],Table1[default_flag],1)/COUNTIF(Table1[region],Table1[[#This Row],[region]])</f>
        <v>2.8571428571428571E-2</v>
      </c>
      <c r="AE205" s="2">
        <f>COUNTIFS(Table1[channel],Table1[[#This Row],[channel]],Table1[prepayment_flag],1)/COUNTIF(Table1[channel],Table1[[#This Row],[channel]])</f>
        <v>5.8201058201058198E-2</v>
      </c>
      <c r="AF205" s="2">
        <f>AVERAGEIFS(Table1[interest_rate_pct],Table1[product],Table1[[#This Row],[product]],Table1[risk_band],Table1[[#This Row],[risk_band]])</f>
        <v>16.500166666666669</v>
      </c>
      <c r="AG205" s="2" t="str" cm="1">
        <f t="array" ref="AG205">_xlfn.IFS(Table1[[#This Row],[dti_ratio]] &lt; 0.2, " less than 0.2", Table1[[#This Row],[dti_ratio]] &lt; 0.3, "0.2 - 0.3", Table1[[#This Row],[dti_ratio]] &lt;= 0.5, "0.35 - 0.5", Table1[[#This Row],[dti_ratio]] &gt; 0.5, "greater than 0.5")</f>
        <v>0.2 - 0.3</v>
      </c>
      <c r="AH205" s="2">
        <f>COUNTIF(Table1[DTI band],Table1[[#This Row],[DTI band]])</f>
        <v>122</v>
      </c>
      <c r="AI205" s="2" t="str" cm="1">
        <f t="array" ref="AI205">_xlfn.IFS(Table1[[#This Row],[ltv_ratio]] &lt; 0.6, "less than 0.6 -less risky", Table1[[#This Row],[ltv_ratio]]  &lt;= 0.8, "0.6 - 0.8 -medium risky",Table1[[#This Row],[ltv_ratio]] &gt; 0.8, "greater than 0.8 -highly risky")</f>
        <v>0.6 - 0.8 -medium risky</v>
      </c>
      <c r="AJ205" s="2">
        <f>COUNTIF(Table1[LTV band],Table1[[#This Row],[LTV band]])</f>
        <v>302</v>
      </c>
      <c r="AK205" s="2">
        <f>COUNTIFS(Table1[count_loan_perband],Table1[[#This Row],[count_loan_perband]],Table1[default_flag],1)/COUNTIF(Table1[count_loan_perband],Table1[[#This Row],[count_loan_perband]])</f>
        <v>3.6423841059602648E-2</v>
      </c>
      <c r="AL205" s="2" t="str" cm="1">
        <f t="array" ref="AL205">_xlfn.IFS(Table1[[#This Row],[loan_amount]] &lt; 900000, "lower size (&lt; 9L)", Table1[[#This Row],[loan_amount]] &lt;=3300000, "medium size (&lt;=33L)", Table1[[#This Row],[loan_amount]] &gt; 3300000, "larger size (&gt; 33L)")</f>
        <v>lower size (&lt; 9L)</v>
      </c>
      <c r="AM205" s="2">
        <f>IF(Table1[[#This Row],[dpd]] &gt;=30,1,0)</f>
        <v>0</v>
      </c>
      <c r="AN205" s="2">
        <f>COUNTIFS(Table1[Loan size],Table1[[#This Row],[Loan size]],Table1[dpd flag],1)/COUNTIF(Table1[Loan size],Table1[[#This Row],[Loan size]])</f>
        <v>0.13934426229508196</v>
      </c>
      <c r="AO205" s="2" t="str">
        <f>IF(OR(Table1[[#This Row],[credit_score]] &lt; 600, Table1[ [#This Row],[dti_ratio] ] &gt; 0.5, Table1[[#This Row],[dpd]] &gt;=30), "high risk", " not riskY")</f>
        <v xml:space="preserve"> not riskY</v>
      </c>
      <c r="AP205" s="26">
        <f>EOMONTH(Table1[[#This Row],[origination_date]],0)</f>
        <v>45077</v>
      </c>
      <c r="AQ205" s="2">
        <f>SUMIFS(Table1[loan_amount],Table1[origination month],Table1[[#This Row],[origination month]])</f>
        <v>12595100</v>
      </c>
      <c r="AR205" s="2">
        <f>AVERAGEIFS(Table1[months_on_book],Table1[product],Table1[[#This Row],[product]])</f>
        <v>21.092024539877301</v>
      </c>
      <c r="AS205" s="2" t="str">
        <f ca="1">IF(EDATE(Table1[[#This Row],[origination_date]],6) &gt;= TODAY(), "New Loan", "Old Loan")</f>
        <v>Old Loan</v>
      </c>
      <c r="AT205" s="2" t="str">
        <f>"Q"&amp;ROUNDUP(MONTH(Table1[[#This Row],[origination_date]])/3,0)&amp;YEAR(Table1[[#This Row],[origination_date]])</f>
        <v>Q22023</v>
      </c>
      <c r="AU205" s="2">
        <f>SUMIFS(Table1[loan_amount],Table1[quarter],Table1[[#This Row],[quarter]])</f>
        <v>42051000</v>
      </c>
      <c r="AV205" s="34" t="str">
        <f>_xlfn.TEXTJOIN("|",TRUE,Table1[[#This Row],[loan_id]:[loan_status]])</f>
        <v>L40202528|C2816038|45052|Personal Loan|Branch|Central|Self-Employed|240|423700|15.19|5639|712661|746|B|0.23|0.73|0|31|175266|314939|5|0|0|Active</v>
      </c>
      <c r="AW205" s="42">
        <f>YEAR(Loan_Table[ [#This Row],[origination_date] ])</f>
        <v>2024</v>
      </c>
    </row>
    <row r="206" spans="2:49" ht="18" customHeight="1">
      <c r="B206" s="5" t="s">
        <v>532</v>
      </c>
      <c r="C206" s="2" t="s">
        <v>533</v>
      </c>
      <c r="D206" s="3">
        <v>45035</v>
      </c>
      <c r="E206" s="2" t="s">
        <v>131</v>
      </c>
      <c r="F206" s="2" t="s">
        <v>132</v>
      </c>
      <c r="G206" s="2" t="s">
        <v>151</v>
      </c>
      <c r="H206" s="2" t="s">
        <v>134</v>
      </c>
      <c r="I206" s="2">
        <v>24</v>
      </c>
      <c r="J206" s="2">
        <v>320100</v>
      </c>
      <c r="K206" s="2">
        <v>18.09</v>
      </c>
      <c r="L206" s="2">
        <v>15995</v>
      </c>
      <c r="M206" s="2">
        <v>1008294</v>
      </c>
      <c r="N206" s="2">
        <v>700</v>
      </c>
      <c r="O206" s="2" t="s">
        <v>135</v>
      </c>
      <c r="P206" s="2">
        <v>0.22</v>
      </c>
      <c r="Q206" s="2">
        <v>0.68</v>
      </c>
      <c r="R206" s="2">
        <v>0</v>
      </c>
      <c r="S206" s="2">
        <v>24</v>
      </c>
      <c r="T206" s="2">
        <v>370939</v>
      </c>
      <c r="U206" s="2">
        <v>0</v>
      </c>
      <c r="V206" s="2">
        <v>0</v>
      </c>
      <c r="W206" s="2">
        <v>0</v>
      </c>
      <c r="X206" s="2">
        <v>0</v>
      </c>
      <c r="Y206" s="2" t="s">
        <v>141</v>
      </c>
      <c r="Z206" s="12">
        <f>SUMIF(Table1[product],Table1[[#This Row],[product]],Table1[loan_amount])</f>
        <v>74897600</v>
      </c>
      <c r="AA206" s="15">
        <f>SUMIF(Table1[region],Table1[[#This Row],[region]],Table1[current_balance])</f>
        <v>105779369</v>
      </c>
      <c r="AB206" s="2">
        <f>COUNTIF(Table1[loan_status],Table1[[#This Row],[loan_status]])</f>
        <v>139</v>
      </c>
      <c r="AC206" s="2">
        <f>COUNTIF(Table1[default_flag],1)/ROWS(Table1[loan_id])</f>
        <v>2.5999999999999999E-2</v>
      </c>
      <c r="AD206" s="2">
        <f>COUNTIFS(Table1[region],Table1[[#This Row],[region]],Table1[default_flag],1)/COUNTIF(Table1[region],Table1[[#This Row],[region]])</f>
        <v>2.6548672566371681E-2</v>
      </c>
      <c r="AE206" s="2">
        <f>COUNTIFS(Table1[channel],Table1[[#This Row],[channel]],Table1[prepayment_flag],1)/COUNTIF(Table1[channel],Table1[[#This Row],[channel]])</f>
        <v>7.1090047393364927E-2</v>
      </c>
      <c r="AF206" s="2">
        <f>AVERAGEIFS(Table1[interest_rate_pct],Table1[product],Table1[[#This Row],[product]],Table1[risk_band],Table1[[#This Row],[risk_band]])</f>
        <v>16.500166666666669</v>
      </c>
      <c r="AG206" s="2" t="str" cm="1">
        <f t="array" ref="AG206">_xlfn.IFS(Table1[[#This Row],[dti_ratio]] &lt; 0.2, " less than 0.2", Table1[[#This Row],[dti_ratio]] &lt; 0.3, "0.2 - 0.3", Table1[[#This Row],[dti_ratio]] &lt;= 0.5, "0.35 - 0.5", Table1[[#This Row],[dti_ratio]] &gt; 0.5, "greater than 0.5")</f>
        <v>0.2 - 0.3</v>
      </c>
      <c r="AH206" s="2">
        <f>COUNTIF(Table1[DTI band],Table1[[#This Row],[DTI band]])</f>
        <v>122</v>
      </c>
      <c r="AI206" s="2" t="str" cm="1">
        <f t="array" ref="AI206">_xlfn.IFS(Table1[[#This Row],[ltv_ratio]] &lt; 0.6, "less than 0.6 -less risky", Table1[[#This Row],[ltv_ratio]]  &lt;= 0.8, "0.6 - 0.8 -medium risky",Table1[[#This Row],[ltv_ratio]] &gt; 0.8, "greater than 0.8 -highly risky")</f>
        <v>0.6 - 0.8 -medium risky</v>
      </c>
      <c r="AJ206" s="2">
        <f>COUNTIF(Table1[LTV band],Table1[[#This Row],[LTV band]])</f>
        <v>302</v>
      </c>
      <c r="AK206" s="2">
        <f>COUNTIFS(Table1[count_loan_perband],Table1[[#This Row],[count_loan_perband]],Table1[default_flag],1)/COUNTIF(Table1[count_loan_perband],Table1[[#This Row],[count_loan_perband]])</f>
        <v>3.6423841059602648E-2</v>
      </c>
      <c r="AL206" s="2" t="str" cm="1">
        <f t="array" ref="AL206">_xlfn.IFS(Table1[[#This Row],[loan_amount]] &lt; 900000, "lower size (&lt; 9L)", Table1[[#This Row],[loan_amount]] &lt;=3300000, "medium size (&lt;=33L)", Table1[[#This Row],[loan_amount]] &gt; 3300000, "larger size (&gt; 33L)")</f>
        <v>lower size (&lt; 9L)</v>
      </c>
      <c r="AM206" s="2">
        <f>IF(Table1[[#This Row],[dpd]] &gt;=30,1,0)</f>
        <v>0</v>
      </c>
      <c r="AN206" s="2">
        <f>COUNTIFS(Table1[Loan size],Table1[[#This Row],[Loan size]],Table1[dpd flag],1)/COUNTIF(Table1[Loan size],Table1[[#This Row],[Loan size]])</f>
        <v>0.13934426229508196</v>
      </c>
      <c r="AO206" s="2" t="str">
        <f>IF(OR(Table1[[#This Row],[credit_score]] &lt; 600, Table1[ [#This Row],[dti_ratio] ] &gt; 0.5, Table1[[#This Row],[dpd]] &gt;=30), "high risk", " not riskY")</f>
        <v xml:space="preserve"> not riskY</v>
      </c>
      <c r="AP206" s="26">
        <f>EOMONTH(Table1[[#This Row],[origination_date]],0)</f>
        <v>45046</v>
      </c>
      <c r="AQ206" s="2">
        <f>SUMIFS(Table1[loan_amount],Table1[origination month],Table1[[#This Row],[origination month]])</f>
        <v>19321000</v>
      </c>
      <c r="AR206" s="2">
        <f>AVERAGEIFS(Table1[months_on_book],Table1[product],Table1[[#This Row],[product]])</f>
        <v>21.092024539877301</v>
      </c>
      <c r="AS206" s="2" t="str">
        <f ca="1">IF(EDATE(Table1[[#This Row],[origination_date]],6) &gt;= TODAY(), "New Loan", "Old Loan")</f>
        <v>Old Loan</v>
      </c>
      <c r="AT206" s="2" t="str">
        <f>"Q"&amp;ROUNDUP(MONTH(Table1[[#This Row],[origination_date]])/3,0)&amp;YEAR(Table1[[#This Row],[origination_date]])</f>
        <v>Q22023</v>
      </c>
      <c r="AU206" s="2">
        <f>SUMIFS(Table1[loan_amount],Table1[quarter],Table1[[#This Row],[quarter]])</f>
        <v>42051000</v>
      </c>
      <c r="AV206" s="34" t="str">
        <f>_xlfn.TEXTJOIN("|",TRUE,Table1[[#This Row],[loan_id]:[loan_status]])</f>
        <v>L46767577|C7932611|45035|Personal Loan|Online|North|Salaried|24|320100|18.09|15995|1008294|700|B|0.22|0.68|0|24|370939|0|0|0|0|Closed</v>
      </c>
      <c r="AW206" s="42">
        <f>YEAR(Loan_Table[ [#This Row],[origination_date] ])</f>
        <v>2024</v>
      </c>
    </row>
    <row r="207" spans="2:49" ht="18" customHeight="1">
      <c r="B207" s="5" t="s">
        <v>534</v>
      </c>
      <c r="C207" s="2" t="s">
        <v>535</v>
      </c>
      <c r="D207" s="3">
        <v>45063</v>
      </c>
      <c r="E207" s="2" t="s">
        <v>131</v>
      </c>
      <c r="F207" s="2" t="s">
        <v>132</v>
      </c>
      <c r="G207" s="2" t="s">
        <v>145</v>
      </c>
      <c r="H207" s="2" t="s">
        <v>146</v>
      </c>
      <c r="I207" s="2">
        <v>24</v>
      </c>
      <c r="J207" s="2">
        <v>826100</v>
      </c>
      <c r="K207" s="2">
        <v>16.63</v>
      </c>
      <c r="L207" s="2">
        <v>40698</v>
      </c>
      <c r="M207" s="2">
        <v>1504146</v>
      </c>
      <c r="N207" s="2">
        <v>722</v>
      </c>
      <c r="O207" s="2" t="s">
        <v>135</v>
      </c>
      <c r="P207" s="2">
        <v>0.22</v>
      </c>
      <c r="Q207" s="2">
        <v>0.77</v>
      </c>
      <c r="R207" s="2">
        <v>0</v>
      </c>
      <c r="S207" s="2">
        <v>24</v>
      </c>
      <c r="T207" s="2">
        <v>845837</v>
      </c>
      <c r="U207" s="2">
        <v>90167</v>
      </c>
      <c r="V207" s="2">
        <v>0</v>
      </c>
      <c r="W207" s="2">
        <v>0</v>
      </c>
      <c r="X207" s="2">
        <v>0</v>
      </c>
      <c r="Y207" s="2" t="s">
        <v>141</v>
      </c>
      <c r="Z207" s="12">
        <f>SUMIF(Table1[product],Table1[[#This Row],[product]],Table1[loan_amount])</f>
        <v>74897600</v>
      </c>
      <c r="AA207" s="15">
        <f>SUMIF(Table1[region],Table1[[#This Row],[region]],Table1[current_balance])</f>
        <v>98928695</v>
      </c>
      <c r="AB207" s="2">
        <f>COUNTIF(Table1[loan_status],Table1[[#This Row],[loan_status]])</f>
        <v>139</v>
      </c>
      <c r="AC207" s="2">
        <f>COUNTIF(Table1[default_flag],1)/ROWS(Table1[loan_id])</f>
        <v>2.5999999999999999E-2</v>
      </c>
      <c r="AD207" s="2">
        <f>COUNTIFS(Table1[region],Table1[[#This Row],[region]],Table1[default_flag],1)/COUNTIF(Table1[region],Table1[[#This Row],[region]])</f>
        <v>2.8571428571428571E-2</v>
      </c>
      <c r="AE207" s="2">
        <f>COUNTIFS(Table1[channel],Table1[[#This Row],[channel]],Table1[prepayment_flag],1)/COUNTIF(Table1[channel],Table1[[#This Row],[channel]])</f>
        <v>7.1090047393364927E-2</v>
      </c>
      <c r="AF207" s="2">
        <f>AVERAGEIFS(Table1[interest_rate_pct],Table1[product],Table1[[#This Row],[product]],Table1[risk_band],Table1[[#This Row],[risk_band]])</f>
        <v>16.500166666666669</v>
      </c>
      <c r="AG207" s="2" t="str" cm="1">
        <f t="array" ref="AG207">_xlfn.IFS(Table1[[#This Row],[dti_ratio]] &lt; 0.2, " less than 0.2", Table1[[#This Row],[dti_ratio]] &lt; 0.3, "0.2 - 0.3", Table1[[#This Row],[dti_ratio]] &lt;= 0.5, "0.35 - 0.5", Table1[[#This Row],[dti_ratio]] &gt; 0.5, "greater than 0.5")</f>
        <v>0.2 - 0.3</v>
      </c>
      <c r="AH207" s="2">
        <f>COUNTIF(Table1[DTI band],Table1[[#This Row],[DTI band]])</f>
        <v>122</v>
      </c>
      <c r="AI207" s="2" t="str" cm="1">
        <f t="array" ref="AI207">_xlfn.IFS(Table1[[#This Row],[ltv_ratio]] &lt; 0.6, "less than 0.6 -less risky", Table1[[#This Row],[ltv_ratio]]  &lt;= 0.8, "0.6 - 0.8 -medium risky",Table1[[#This Row],[ltv_ratio]] &gt; 0.8, "greater than 0.8 -highly risky")</f>
        <v>0.6 - 0.8 -medium risky</v>
      </c>
      <c r="AJ207" s="2">
        <f>COUNTIF(Table1[LTV band],Table1[[#This Row],[LTV band]])</f>
        <v>302</v>
      </c>
      <c r="AK207" s="2">
        <f>COUNTIFS(Table1[count_loan_perband],Table1[[#This Row],[count_loan_perband]],Table1[default_flag],1)/COUNTIF(Table1[count_loan_perband],Table1[[#This Row],[count_loan_perband]])</f>
        <v>3.6423841059602648E-2</v>
      </c>
      <c r="AL207" s="2" t="str" cm="1">
        <f t="array" ref="AL207">_xlfn.IFS(Table1[[#This Row],[loan_amount]] &lt; 900000, "lower size (&lt; 9L)", Table1[[#This Row],[loan_amount]] &lt;=3300000, "medium size (&lt;=33L)", Table1[[#This Row],[loan_amount]] &gt; 3300000, "larger size (&gt; 33L)")</f>
        <v>lower size (&lt; 9L)</v>
      </c>
      <c r="AM207" s="2">
        <f>IF(Table1[[#This Row],[dpd]] &gt;=30,1,0)</f>
        <v>0</v>
      </c>
      <c r="AN207" s="2">
        <f>COUNTIFS(Table1[Loan size],Table1[[#This Row],[Loan size]],Table1[dpd flag],1)/COUNTIF(Table1[Loan size],Table1[[#This Row],[Loan size]])</f>
        <v>0.13934426229508196</v>
      </c>
      <c r="AO207" s="2" t="str">
        <f>IF(OR(Table1[[#This Row],[credit_score]] &lt; 600, Table1[ [#This Row],[dti_ratio] ] &gt; 0.5, Table1[[#This Row],[dpd]] &gt;=30), "high risk", " not riskY")</f>
        <v xml:space="preserve"> not riskY</v>
      </c>
      <c r="AP207" s="26">
        <f>EOMONTH(Table1[[#This Row],[origination_date]],0)</f>
        <v>45077</v>
      </c>
      <c r="AQ207" s="2">
        <f>SUMIFS(Table1[loan_amount],Table1[origination month],Table1[[#This Row],[origination month]])</f>
        <v>12595100</v>
      </c>
      <c r="AR207" s="2">
        <f>AVERAGEIFS(Table1[months_on_book],Table1[product],Table1[[#This Row],[product]])</f>
        <v>21.092024539877301</v>
      </c>
      <c r="AS207" s="2" t="str">
        <f ca="1">IF(EDATE(Table1[[#This Row],[origination_date]],6) &gt;= TODAY(), "New Loan", "Old Loan")</f>
        <v>Old Loan</v>
      </c>
      <c r="AT207" s="2" t="str">
        <f>"Q"&amp;ROUNDUP(MONTH(Table1[[#This Row],[origination_date]])/3,0)&amp;YEAR(Table1[[#This Row],[origination_date]])</f>
        <v>Q22023</v>
      </c>
      <c r="AU207" s="2">
        <f>SUMIFS(Table1[loan_amount],Table1[quarter],Table1[[#This Row],[quarter]])</f>
        <v>42051000</v>
      </c>
      <c r="AV207" s="34" t="str">
        <f>_xlfn.TEXTJOIN("|",TRUE,Table1[[#This Row],[loan_id]:[loan_status]])</f>
        <v>L90171324|C2082075|45063|Personal Loan|Online|Central|Contract|24|826100|16.63|40698|1504146|722|B|0.22|0.77|0|24|845837|90167|0|0|0|Closed</v>
      </c>
      <c r="AW207" s="42">
        <f>YEAR(Loan_Table[ [#This Row],[origination_date] ])</f>
        <v>2024</v>
      </c>
    </row>
    <row r="208" spans="2:49" ht="18" customHeight="1">
      <c r="B208" s="5" t="s">
        <v>536</v>
      </c>
      <c r="C208" s="2" t="s">
        <v>537</v>
      </c>
      <c r="D208" s="3">
        <v>45018</v>
      </c>
      <c r="E208" s="2" t="s">
        <v>169</v>
      </c>
      <c r="F208" s="2" t="s">
        <v>159</v>
      </c>
      <c r="G208" s="2" t="s">
        <v>133</v>
      </c>
      <c r="H208" s="2" t="s">
        <v>152</v>
      </c>
      <c r="I208" s="2">
        <v>12</v>
      </c>
      <c r="J208" s="2">
        <v>4746300</v>
      </c>
      <c r="K208" s="2">
        <v>12.91</v>
      </c>
      <c r="L208" s="2">
        <v>423726</v>
      </c>
      <c r="M208" s="2">
        <v>609050</v>
      </c>
      <c r="N208" s="2">
        <v>627</v>
      </c>
      <c r="O208" s="2" t="s">
        <v>147</v>
      </c>
      <c r="P208" s="2">
        <v>0.16</v>
      </c>
      <c r="Q208" s="2">
        <v>0.68</v>
      </c>
      <c r="R208" s="2">
        <v>6994400</v>
      </c>
      <c r="S208" s="2">
        <v>12</v>
      </c>
      <c r="T208" s="2">
        <v>5133992</v>
      </c>
      <c r="U208" s="2">
        <v>0</v>
      </c>
      <c r="V208" s="2">
        <v>0</v>
      </c>
      <c r="W208" s="2">
        <v>0</v>
      </c>
      <c r="X208" s="2">
        <v>0</v>
      </c>
      <c r="Y208" s="2" t="s">
        <v>141</v>
      </c>
      <c r="Z208" s="12">
        <f>SUMIF(Table1[product],Table1[[#This Row],[product]],Table1[loan_amount])</f>
        <v>403369500</v>
      </c>
      <c r="AA208" s="15">
        <f>SUMIF(Table1[region],Table1[[#This Row],[region]],Table1[current_balance])</f>
        <v>94548000</v>
      </c>
      <c r="AB208" s="2">
        <f>COUNTIF(Table1[loan_status],Table1[[#This Row],[loan_status]])</f>
        <v>139</v>
      </c>
      <c r="AC208" s="2">
        <f>COUNTIF(Table1[default_flag],1)/ROWS(Table1[loan_id])</f>
        <v>2.5999999999999999E-2</v>
      </c>
      <c r="AD208" s="2">
        <f>COUNTIFS(Table1[region],Table1[[#This Row],[region]],Table1[default_flag],1)/COUNTIF(Table1[region],Table1[[#This Row],[region]])</f>
        <v>0</v>
      </c>
      <c r="AE208" s="2">
        <f>COUNTIFS(Table1[channel],Table1[[#This Row],[channel]],Table1[prepayment_flag],1)/COUNTIF(Table1[channel],Table1[[#This Row],[channel]])</f>
        <v>0.1</v>
      </c>
      <c r="AF208" s="2">
        <f>AVERAGEIFS(Table1[interest_rate_pct],Table1[product],Table1[[#This Row],[product]],Table1[risk_band],Table1[[#This Row],[risk_band]])</f>
        <v>13.406874999999999</v>
      </c>
      <c r="AG208" s="2" t="str" cm="1">
        <f t="array" ref="AG208">_xlfn.IFS(Table1[[#This Row],[dti_ratio]] &lt; 0.2, " less than 0.2", Table1[[#This Row],[dti_ratio]] &lt; 0.3, "0.2 - 0.3", Table1[[#This Row],[dti_ratio]] &lt;= 0.5, "0.35 - 0.5", Table1[[#This Row],[dti_ratio]] &gt; 0.5, "greater than 0.5")</f>
        <v xml:space="preserve"> less than 0.2</v>
      </c>
      <c r="AH208" s="2">
        <f>COUNTIF(Table1[DTI band],Table1[[#This Row],[DTI band]])</f>
        <v>86</v>
      </c>
      <c r="AI208" s="2" t="str" cm="1">
        <f t="array" ref="AI208">_xlfn.IFS(Table1[[#This Row],[ltv_ratio]] &lt; 0.6, "less than 0.6 -less risky", Table1[[#This Row],[ltv_ratio]]  &lt;= 0.8, "0.6 - 0.8 -medium risky",Table1[[#This Row],[ltv_ratio]] &gt; 0.8, "greater than 0.8 -highly risky")</f>
        <v>0.6 - 0.8 -medium risky</v>
      </c>
      <c r="AJ208" s="2">
        <f>COUNTIF(Table1[LTV band],Table1[[#This Row],[LTV band]])</f>
        <v>302</v>
      </c>
      <c r="AK208" s="2">
        <f>COUNTIFS(Table1[count_loan_perband],Table1[[#This Row],[count_loan_perband]],Table1[default_flag],1)/COUNTIF(Table1[count_loan_perband],Table1[[#This Row],[count_loan_perband]])</f>
        <v>3.6423841059602648E-2</v>
      </c>
      <c r="AL208" s="2" t="str" cm="1">
        <f t="array" ref="AL208">_xlfn.IFS(Table1[[#This Row],[loan_amount]] &lt; 900000, "lower size (&lt; 9L)", Table1[[#This Row],[loan_amount]] &lt;=3300000, "medium size (&lt;=33L)", Table1[[#This Row],[loan_amount]] &gt; 3300000, "larger size (&gt; 33L)")</f>
        <v>larger size (&gt; 33L)</v>
      </c>
      <c r="AM208" s="2">
        <f>IF(Table1[[#This Row],[dpd]] &gt;=30,1,0)</f>
        <v>0</v>
      </c>
      <c r="AN208" s="2">
        <f>COUNTIFS(Table1[Loan size],Table1[[#This Row],[Loan size]],Table1[dpd flag],1)/COUNTIF(Table1[Loan size],Table1[[#This Row],[Loan size]])</f>
        <v>0.16250000000000001</v>
      </c>
      <c r="AO208" s="2" t="str">
        <f>IF(OR(Table1[[#This Row],[credit_score]] &lt; 600, Table1[ [#This Row],[dti_ratio] ] &gt; 0.5, Table1[[#This Row],[dpd]] &gt;=30), "high risk", " not riskY")</f>
        <v xml:space="preserve"> not riskY</v>
      </c>
      <c r="AP208" s="26">
        <f>EOMONTH(Table1[[#This Row],[origination_date]],0)</f>
        <v>45046</v>
      </c>
      <c r="AQ208" s="2">
        <f>SUMIFS(Table1[loan_amount],Table1[origination month],Table1[[#This Row],[origination month]])</f>
        <v>19321000</v>
      </c>
      <c r="AR208" s="2">
        <f>AVERAGEIFS(Table1[months_on_book],Table1[product],Table1[[#This Row],[product]])</f>
        <v>20.516129032258064</v>
      </c>
      <c r="AS208" s="2" t="str">
        <f ca="1">IF(EDATE(Table1[[#This Row],[origination_date]],6) &gt;= TODAY(), "New Loan", "Old Loan")</f>
        <v>Old Loan</v>
      </c>
      <c r="AT208" s="2" t="str">
        <f>"Q"&amp;ROUNDUP(MONTH(Table1[[#This Row],[origination_date]])/3,0)&amp;YEAR(Table1[[#This Row],[origination_date]])</f>
        <v>Q22023</v>
      </c>
      <c r="AU208" s="2">
        <f>SUMIFS(Table1[loan_amount],Table1[quarter],Table1[[#This Row],[quarter]])</f>
        <v>42051000</v>
      </c>
      <c r="AV208" s="34" t="str">
        <f>_xlfn.TEXTJOIN("|",TRUE,Table1[[#This Row],[loan_id]:[loan_status]])</f>
        <v>L49045227|C4984094|45018|Home Loan|Partner|South|Self-Employed|12|4746300|12.91|423726|609050|627|D|0.16|0.68|6994400|12|5133992|0|0|0|0|Closed</v>
      </c>
      <c r="AW208" s="42">
        <f>YEAR(Loan_Table[ [#This Row],[origination_date] ])</f>
        <v>2024</v>
      </c>
    </row>
    <row r="209" spans="2:49" ht="18" customHeight="1">
      <c r="B209" s="5" t="s">
        <v>538</v>
      </c>
      <c r="C209" s="2" t="s">
        <v>539</v>
      </c>
      <c r="D209" s="3">
        <v>45027</v>
      </c>
      <c r="E209" s="2" t="s">
        <v>158</v>
      </c>
      <c r="F209" s="2" t="s">
        <v>144</v>
      </c>
      <c r="G209" s="2" t="s">
        <v>145</v>
      </c>
      <c r="H209" s="2" t="s">
        <v>134</v>
      </c>
      <c r="I209" s="2">
        <v>72</v>
      </c>
      <c r="J209" s="2">
        <v>1940900</v>
      </c>
      <c r="K209" s="2">
        <v>15.41</v>
      </c>
      <c r="L209" s="2">
        <v>41474</v>
      </c>
      <c r="M209" s="2">
        <v>877838</v>
      </c>
      <c r="N209" s="2">
        <v>696</v>
      </c>
      <c r="O209" s="2" t="s">
        <v>140</v>
      </c>
      <c r="P209" s="2">
        <v>0.09</v>
      </c>
      <c r="Q209" s="2">
        <v>0.81</v>
      </c>
      <c r="R209" s="2">
        <v>2381700</v>
      </c>
      <c r="S209" s="2">
        <v>32</v>
      </c>
      <c r="T209" s="2">
        <v>1347059</v>
      </c>
      <c r="U209" s="2">
        <v>912873</v>
      </c>
      <c r="V209" s="2">
        <v>0</v>
      </c>
      <c r="W209" s="2">
        <v>0</v>
      </c>
      <c r="X209" s="2">
        <v>0</v>
      </c>
      <c r="Y209" s="2" t="s">
        <v>148</v>
      </c>
      <c r="Z209" s="12">
        <f>SUMIF(Table1[product],Table1[[#This Row],[product]],Table1[loan_amount])</f>
        <v>201475100</v>
      </c>
      <c r="AA209" s="15">
        <f>SUMIF(Table1[region],Table1[[#This Row],[region]],Table1[current_balance])</f>
        <v>98928695</v>
      </c>
      <c r="AB209" s="2">
        <f>COUNTIF(Table1[loan_status],Table1[[#This Row],[loan_status]])</f>
        <v>301</v>
      </c>
      <c r="AC209" s="2">
        <f>COUNTIF(Table1[default_flag],1)/ROWS(Table1[loan_id])</f>
        <v>2.5999999999999999E-2</v>
      </c>
      <c r="AD209" s="2">
        <f>COUNTIFS(Table1[region],Table1[[#This Row],[region]],Table1[default_flag],1)/COUNTIF(Table1[region],Table1[[#This Row],[region]])</f>
        <v>2.8571428571428571E-2</v>
      </c>
      <c r="AE209" s="2">
        <f>COUNTIFS(Table1[channel],Table1[[#This Row],[channel]],Table1[prepayment_flag],1)/COUNTIF(Table1[channel],Table1[[#This Row],[channel]])</f>
        <v>5.8201058201058198E-2</v>
      </c>
      <c r="AF209" s="2">
        <f>AVERAGEIFS(Table1[interest_rate_pct],Table1[product],Table1[[#This Row],[product]],Table1[risk_band],Table1[[#This Row],[risk_band]])</f>
        <v>15.841379310344831</v>
      </c>
      <c r="AG209" s="2" t="str" cm="1">
        <f t="array" ref="AG209">_xlfn.IFS(Table1[[#This Row],[dti_ratio]] &lt; 0.2, " less than 0.2", Table1[[#This Row],[dti_ratio]] &lt; 0.3, "0.2 - 0.3", Table1[[#This Row],[dti_ratio]] &lt;= 0.5, "0.35 - 0.5", Table1[[#This Row],[dti_ratio]] &gt; 0.5, "greater than 0.5")</f>
        <v xml:space="preserve"> less than 0.2</v>
      </c>
      <c r="AH209" s="2">
        <f>COUNTIF(Table1[DTI band],Table1[[#This Row],[DTI band]])</f>
        <v>86</v>
      </c>
      <c r="AI209" s="2" t="str" cm="1">
        <f t="array" ref="AI209">_xlfn.IFS(Table1[[#This Row],[ltv_ratio]] &lt; 0.6, "less than 0.6 -less risky", Table1[[#This Row],[ltv_ratio]]  &lt;= 0.8, "0.6 - 0.8 -medium risky",Table1[[#This Row],[ltv_ratio]] &gt; 0.8, "greater than 0.8 -highly risky")</f>
        <v>greater than 0.8 -highly risky</v>
      </c>
      <c r="AJ209" s="2">
        <f>COUNTIF(Table1[LTV band],Table1[[#This Row],[LTV band]])</f>
        <v>141</v>
      </c>
      <c r="AK209" s="2">
        <f>COUNTIFS(Table1[count_loan_perband],Table1[[#This Row],[count_loan_perband]],Table1[default_flag],1)/COUNTIF(Table1[count_loan_perband],Table1[[#This Row],[count_loan_perband]])</f>
        <v>1.4184397163120567E-2</v>
      </c>
      <c r="AL209" s="2" t="str" cm="1">
        <f t="array" ref="AL209">_xlfn.IFS(Table1[[#This Row],[loan_amount]] &lt; 900000, "lower size (&lt; 9L)", Table1[[#This Row],[loan_amount]] &lt;=3300000, "medium size (&lt;=33L)", Table1[[#This Row],[loan_amount]] &gt; 3300000, "larger size (&gt; 33L)")</f>
        <v>medium size (&lt;=33L)</v>
      </c>
      <c r="AM209" s="2">
        <f>IF(Table1[[#This Row],[dpd]] &gt;=30,1,0)</f>
        <v>0</v>
      </c>
      <c r="AN209" s="2">
        <f>COUNTIFS(Table1[Loan size],Table1[[#This Row],[Loan size]],Table1[dpd flag],1)/COUNTIF(Table1[Loan size],Table1[[#This Row],[Loan size]])</f>
        <v>0.15909090909090909</v>
      </c>
      <c r="AO209" s="2" t="str">
        <f>IF(OR(Table1[[#This Row],[credit_score]] &lt; 600, Table1[ [#This Row],[dti_ratio] ] &gt; 0.5, Table1[[#This Row],[dpd]] &gt;=30), "high risk", " not riskY")</f>
        <v xml:space="preserve"> not riskY</v>
      </c>
      <c r="AP209" s="26">
        <f>EOMONTH(Table1[[#This Row],[origination_date]],0)</f>
        <v>45046</v>
      </c>
      <c r="AQ209" s="2">
        <f>SUMIFS(Table1[loan_amount],Table1[origination month],Table1[[#This Row],[origination month]])</f>
        <v>19321000</v>
      </c>
      <c r="AR209" s="2">
        <f>AVERAGEIFS(Table1[months_on_book],Table1[product],Table1[[#This Row],[product]])</f>
        <v>19.091954022988507</v>
      </c>
      <c r="AS209" s="2" t="str">
        <f ca="1">IF(EDATE(Table1[[#This Row],[origination_date]],6) &gt;= TODAY(), "New Loan", "Old Loan")</f>
        <v>Old Loan</v>
      </c>
      <c r="AT209" s="2" t="str">
        <f>"Q"&amp;ROUNDUP(MONTH(Table1[[#This Row],[origination_date]])/3,0)&amp;YEAR(Table1[[#This Row],[origination_date]])</f>
        <v>Q22023</v>
      </c>
      <c r="AU209" s="2">
        <f>SUMIFS(Table1[loan_amount],Table1[quarter],Table1[[#This Row],[quarter]])</f>
        <v>42051000</v>
      </c>
      <c r="AV209" s="34" t="str">
        <f>_xlfn.TEXTJOIN("|",TRUE,Table1[[#This Row],[loan_id]:[loan_status]])</f>
        <v>L47422666|C3817153|45027|SME Loan|Branch|Central|Salaried|72|1940900|15.41|41474|877838|696|C|0.09|0.81|2381700|32|1347059|912873|0|0|0|Active</v>
      </c>
      <c r="AW209" s="42">
        <f>YEAR(Loan_Table[ [#This Row],[origination_date] ])</f>
        <v>2024</v>
      </c>
    </row>
    <row r="210" spans="2:49" ht="18" customHeight="1">
      <c r="B210" s="5" t="s">
        <v>540</v>
      </c>
      <c r="C210" s="2" t="s">
        <v>541</v>
      </c>
      <c r="D210" s="3">
        <v>45023</v>
      </c>
      <c r="E210" s="2" t="s">
        <v>131</v>
      </c>
      <c r="F210" s="2" t="s">
        <v>132</v>
      </c>
      <c r="G210" s="2" t="s">
        <v>139</v>
      </c>
      <c r="H210" s="2" t="s">
        <v>134</v>
      </c>
      <c r="I210" s="2">
        <v>18</v>
      </c>
      <c r="J210" s="2">
        <v>650800</v>
      </c>
      <c r="K210" s="2">
        <v>15.67</v>
      </c>
      <c r="L210" s="2">
        <v>40806</v>
      </c>
      <c r="M210" s="2">
        <v>1047864</v>
      </c>
      <c r="N210" s="2">
        <v>754</v>
      </c>
      <c r="O210" s="2" t="s">
        <v>160</v>
      </c>
      <c r="P210" s="2">
        <v>0.08</v>
      </c>
      <c r="Q210" s="2">
        <v>0.74</v>
      </c>
      <c r="R210" s="2">
        <v>0</v>
      </c>
      <c r="S210" s="2">
        <v>18</v>
      </c>
      <c r="T210" s="2">
        <v>727254</v>
      </c>
      <c r="U210" s="2">
        <v>0</v>
      </c>
      <c r="V210" s="2">
        <v>0</v>
      </c>
      <c r="W210" s="2">
        <v>0</v>
      </c>
      <c r="X210" s="2">
        <v>0</v>
      </c>
      <c r="Y210" s="2" t="s">
        <v>141</v>
      </c>
      <c r="Z210" s="12">
        <f>SUMIF(Table1[product],Table1[[#This Row],[product]],Table1[loan_amount])</f>
        <v>74897600</v>
      </c>
      <c r="AA210" s="15">
        <f>SUMIF(Table1[region],Table1[[#This Row],[region]],Table1[current_balance])</f>
        <v>83903255</v>
      </c>
      <c r="AB210" s="2">
        <f>COUNTIF(Table1[loan_status],Table1[[#This Row],[loan_status]])</f>
        <v>139</v>
      </c>
      <c r="AC210" s="2">
        <f>COUNTIF(Table1[default_flag],1)/ROWS(Table1[loan_id])</f>
        <v>2.5999999999999999E-2</v>
      </c>
      <c r="AD210" s="2">
        <f>COUNTIFS(Table1[region],Table1[[#This Row],[region]],Table1[default_flag],1)/COUNTIF(Table1[region],Table1[[#This Row],[region]])</f>
        <v>4.2553191489361701E-2</v>
      </c>
      <c r="AE210" s="2">
        <f>COUNTIFS(Table1[channel],Table1[[#This Row],[channel]],Table1[prepayment_flag],1)/COUNTIF(Table1[channel],Table1[[#This Row],[channel]])</f>
        <v>7.1090047393364927E-2</v>
      </c>
      <c r="AF210" s="2">
        <f>AVERAGEIFS(Table1[interest_rate_pct],Table1[product],Table1[[#This Row],[product]],Table1[risk_band],Table1[[#This Row],[risk_band]])</f>
        <v>13.328333333333335</v>
      </c>
      <c r="AG210" s="2" t="str" cm="1">
        <f t="array" ref="AG210">_xlfn.IFS(Table1[[#This Row],[dti_ratio]] &lt; 0.2, " less than 0.2", Table1[[#This Row],[dti_ratio]] &lt; 0.3, "0.2 - 0.3", Table1[[#This Row],[dti_ratio]] &lt;= 0.5, "0.35 - 0.5", Table1[[#This Row],[dti_ratio]] &gt; 0.5, "greater than 0.5")</f>
        <v xml:space="preserve"> less than 0.2</v>
      </c>
      <c r="AH210" s="2">
        <f>COUNTIF(Table1[DTI band],Table1[[#This Row],[DTI band]])</f>
        <v>86</v>
      </c>
      <c r="AI210" s="2" t="str" cm="1">
        <f t="array" ref="AI210">_xlfn.IFS(Table1[[#This Row],[ltv_ratio]] &lt; 0.6, "less than 0.6 -less risky", Table1[[#This Row],[ltv_ratio]]  &lt;= 0.8, "0.6 - 0.8 -medium risky",Table1[[#This Row],[ltv_ratio]] &gt; 0.8, "greater than 0.8 -highly risky")</f>
        <v>0.6 - 0.8 -medium risky</v>
      </c>
      <c r="AJ210" s="2">
        <f>COUNTIF(Table1[LTV band],Table1[[#This Row],[LTV band]])</f>
        <v>302</v>
      </c>
      <c r="AK210" s="2">
        <f>COUNTIFS(Table1[count_loan_perband],Table1[[#This Row],[count_loan_perband]],Table1[default_flag],1)/COUNTIF(Table1[count_loan_perband],Table1[[#This Row],[count_loan_perband]])</f>
        <v>3.6423841059602648E-2</v>
      </c>
      <c r="AL210" s="2" t="str" cm="1">
        <f t="array" ref="AL210">_xlfn.IFS(Table1[[#This Row],[loan_amount]] &lt; 900000, "lower size (&lt; 9L)", Table1[[#This Row],[loan_amount]] &lt;=3300000, "medium size (&lt;=33L)", Table1[[#This Row],[loan_amount]] &gt; 3300000, "larger size (&gt; 33L)")</f>
        <v>lower size (&lt; 9L)</v>
      </c>
      <c r="AM210" s="2">
        <f>IF(Table1[[#This Row],[dpd]] &gt;=30,1,0)</f>
        <v>0</v>
      </c>
      <c r="AN210" s="2">
        <f>COUNTIFS(Table1[Loan size],Table1[[#This Row],[Loan size]],Table1[dpd flag],1)/COUNTIF(Table1[Loan size],Table1[[#This Row],[Loan size]])</f>
        <v>0.13934426229508196</v>
      </c>
      <c r="AO210" s="2" t="str">
        <f>IF(OR(Table1[[#This Row],[credit_score]] &lt; 600, Table1[ [#This Row],[dti_ratio] ] &gt; 0.5, Table1[[#This Row],[dpd]] &gt;=30), "high risk", " not riskY")</f>
        <v xml:space="preserve"> not riskY</v>
      </c>
      <c r="AP210" s="26">
        <f>EOMONTH(Table1[[#This Row],[origination_date]],0)</f>
        <v>45046</v>
      </c>
      <c r="AQ210" s="2">
        <f>SUMIFS(Table1[loan_amount],Table1[origination month],Table1[[#This Row],[origination month]])</f>
        <v>19321000</v>
      </c>
      <c r="AR210" s="2">
        <f>AVERAGEIFS(Table1[months_on_book],Table1[product],Table1[[#This Row],[product]])</f>
        <v>21.092024539877301</v>
      </c>
      <c r="AS210" s="2" t="str">
        <f ca="1">IF(EDATE(Table1[[#This Row],[origination_date]],6) &gt;= TODAY(), "New Loan", "Old Loan")</f>
        <v>Old Loan</v>
      </c>
      <c r="AT210" s="2" t="str">
        <f>"Q"&amp;ROUNDUP(MONTH(Table1[[#This Row],[origination_date]])/3,0)&amp;YEAR(Table1[[#This Row],[origination_date]])</f>
        <v>Q22023</v>
      </c>
      <c r="AU210" s="2">
        <f>SUMIFS(Table1[loan_amount],Table1[quarter],Table1[[#This Row],[quarter]])</f>
        <v>42051000</v>
      </c>
      <c r="AV210" s="34" t="str">
        <f>_xlfn.TEXTJOIN("|",TRUE,Table1[[#This Row],[loan_id]:[loan_status]])</f>
        <v>L88074156|C8977625|45023|Personal Loan|Online|West|Salaried|18|650800|15.67|40806|1047864|754|A|0.08|0.74|0|18|727254|0|0|0|0|Closed</v>
      </c>
      <c r="AW210" s="42">
        <f>YEAR(Loan_Table[ [#This Row],[origination_date] ])</f>
        <v>2024</v>
      </c>
    </row>
    <row r="211" spans="2:49" ht="18" customHeight="1">
      <c r="B211" s="5" t="s">
        <v>542</v>
      </c>
      <c r="C211" s="2" t="s">
        <v>543</v>
      </c>
      <c r="D211" s="3">
        <v>45401</v>
      </c>
      <c r="E211" s="2" t="s">
        <v>131</v>
      </c>
      <c r="F211" s="2" t="s">
        <v>144</v>
      </c>
      <c r="G211" s="2" t="s">
        <v>151</v>
      </c>
      <c r="H211" s="2" t="s">
        <v>134</v>
      </c>
      <c r="I211" s="2">
        <v>48</v>
      </c>
      <c r="J211" s="2">
        <v>820300</v>
      </c>
      <c r="K211" s="2">
        <v>16.37</v>
      </c>
      <c r="L211" s="2">
        <v>23403</v>
      </c>
      <c r="M211" s="2">
        <v>1263401</v>
      </c>
      <c r="N211" s="2">
        <v>728</v>
      </c>
      <c r="O211" s="2" t="s">
        <v>135</v>
      </c>
      <c r="P211" s="2">
        <v>0.49</v>
      </c>
      <c r="Q211" s="2">
        <v>0.71</v>
      </c>
      <c r="R211" s="2">
        <v>0</v>
      </c>
      <c r="S211" s="2">
        <v>20</v>
      </c>
      <c r="T211" s="2">
        <v>474647</v>
      </c>
      <c r="U211" s="2">
        <v>435175</v>
      </c>
      <c r="V211" s="2">
        <v>0</v>
      </c>
      <c r="W211" s="2">
        <v>0</v>
      </c>
      <c r="X211" s="2">
        <v>0</v>
      </c>
      <c r="Y211" s="2" t="s">
        <v>148</v>
      </c>
      <c r="Z211" s="12">
        <f>SUMIF(Table1[product],Table1[[#This Row],[product]],Table1[loan_amount])</f>
        <v>74897600</v>
      </c>
      <c r="AA211" s="15">
        <f>SUMIF(Table1[region],Table1[[#This Row],[region]],Table1[current_balance])</f>
        <v>105779369</v>
      </c>
      <c r="AB211" s="2">
        <f>COUNTIF(Table1[loan_status],Table1[[#This Row],[loan_status]])</f>
        <v>301</v>
      </c>
      <c r="AC211" s="2">
        <f>COUNTIF(Table1[default_flag],1)/ROWS(Table1[loan_id])</f>
        <v>2.5999999999999999E-2</v>
      </c>
      <c r="AD211" s="2">
        <f>COUNTIFS(Table1[region],Table1[[#This Row],[region]],Table1[default_flag],1)/COUNTIF(Table1[region],Table1[[#This Row],[region]])</f>
        <v>2.6548672566371681E-2</v>
      </c>
      <c r="AE211" s="2">
        <f>COUNTIFS(Table1[channel],Table1[[#This Row],[channel]],Table1[prepayment_flag],1)/COUNTIF(Table1[channel],Table1[[#This Row],[channel]])</f>
        <v>5.8201058201058198E-2</v>
      </c>
      <c r="AF211" s="2">
        <f>AVERAGEIFS(Table1[interest_rate_pct],Table1[product],Table1[[#This Row],[product]],Table1[risk_band],Table1[[#This Row],[risk_band]])</f>
        <v>16.500166666666669</v>
      </c>
      <c r="AG211" s="2" t="str" cm="1">
        <f t="array" ref="AG211">_xlfn.IFS(Table1[[#This Row],[dti_ratio]] &lt; 0.2, " less than 0.2", Table1[[#This Row],[dti_ratio]] &lt; 0.3, "0.2 - 0.3", Table1[[#This Row],[dti_ratio]] &lt;= 0.5, "0.35 - 0.5", Table1[[#This Row],[dti_ratio]] &gt; 0.5, "greater than 0.5")</f>
        <v>0.35 - 0.5</v>
      </c>
      <c r="AH211" s="2">
        <f>COUNTIF(Table1[DTI band],Table1[[#This Row],[DTI band]])</f>
        <v>260</v>
      </c>
      <c r="AI211" s="2" t="str" cm="1">
        <f t="array" ref="AI211">_xlfn.IFS(Table1[[#This Row],[ltv_ratio]] &lt; 0.6, "less than 0.6 -less risky", Table1[[#This Row],[ltv_ratio]]  &lt;= 0.8, "0.6 - 0.8 -medium risky",Table1[[#This Row],[ltv_ratio]] &gt; 0.8, "greater than 0.8 -highly risky")</f>
        <v>0.6 - 0.8 -medium risky</v>
      </c>
      <c r="AJ211" s="2">
        <f>COUNTIF(Table1[LTV band],Table1[[#This Row],[LTV band]])</f>
        <v>302</v>
      </c>
      <c r="AK211" s="2">
        <f>COUNTIFS(Table1[count_loan_perband],Table1[[#This Row],[count_loan_perband]],Table1[default_flag],1)/COUNTIF(Table1[count_loan_perband],Table1[[#This Row],[count_loan_perband]])</f>
        <v>3.6423841059602648E-2</v>
      </c>
      <c r="AL211" s="2" t="str" cm="1">
        <f t="array" ref="AL211">_xlfn.IFS(Table1[[#This Row],[loan_amount]] &lt; 900000, "lower size (&lt; 9L)", Table1[[#This Row],[loan_amount]] &lt;=3300000, "medium size (&lt;=33L)", Table1[[#This Row],[loan_amount]] &gt; 3300000, "larger size (&gt; 33L)")</f>
        <v>lower size (&lt; 9L)</v>
      </c>
      <c r="AM211" s="2">
        <f>IF(Table1[[#This Row],[dpd]] &gt;=30,1,0)</f>
        <v>0</v>
      </c>
      <c r="AN211" s="2">
        <f>COUNTIFS(Table1[Loan size],Table1[[#This Row],[Loan size]],Table1[dpd flag],1)/COUNTIF(Table1[Loan size],Table1[[#This Row],[Loan size]])</f>
        <v>0.13934426229508196</v>
      </c>
      <c r="AO211" s="2" t="str">
        <f>IF(OR(Table1[[#This Row],[credit_score]] &lt; 600, Table1[ [#This Row],[dti_ratio] ] &gt; 0.5, Table1[[#This Row],[dpd]] &gt;=30), "high risk", " not riskY")</f>
        <v xml:space="preserve"> not riskY</v>
      </c>
      <c r="AP211" s="26">
        <f>EOMONTH(Table1[[#This Row],[origination_date]],0)</f>
        <v>45412</v>
      </c>
      <c r="AQ211" s="2">
        <f>SUMIFS(Table1[loan_amount],Table1[origination month],Table1[[#This Row],[origination month]])</f>
        <v>8055200</v>
      </c>
      <c r="AR211" s="2">
        <f>AVERAGEIFS(Table1[months_on_book],Table1[product],Table1[[#This Row],[product]])</f>
        <v>21.092024539877301</v>
      </c>
      <c r="AS211" s="2" t="str">
        <f ca="1">IF(EDATE(Table1[[#This Row],[origination_date]],6) &gt;= TODAY(), "New Loan", "Old Loan")</f>
        <v>Old Loan</v>
      </c>
      <c r="AT211" s="2" t="str">
        <f>"Q"&amp;ROUNDUP(MONTH(Table1[[#This Row],[origination_date]])/3,0)&amp;YEAR(Table1[[#This Row],[origination_date]])</f>
        <v>Q22024</v>
      </c>
      <c r="AU211" s="2">
        <f>SUMIFS(Table1[loan_amount],Table1[quarter],Table1[[#This Row],[quarter]])</f>
        <v>46342100</v>
      </c>
      <c r="AV211" s="34" t="str">
        <f>_xlfn.TEXTJOIN("|",TRUE,Table1[[#This Row],[loan_id]:[loan_status]])</f>
        <v>L49088512|C5794500|45401|Personal Loan|Branch|North|Salaried|48|820300|16.37|23403|1263401|728|B|0.49|0.71|0|20|474647|435175|0|0|0|Active</v>
      </c>
      <c r="AW211" s="42">
        <f>YEAR(Loan_Table[ [#This Row],[origination_date] ])</f>
        <v>2024</v>
      </c>
    </row>
    <row r="212" spans="2:49" ht="18" customHeight="1">
      <c r="B212" s="5" t="s">
        <v>544</v>
      </c>
      <c r="C212" s="2" t="s">
        <v>545</v>
      </c>
      <c r="D212" s="3">
        <v>45470</v>
      </c>
      <c r="E212" s="2" t="s">
        <v>131</v>
      </c>
      <c r="F212" s="2" t="s">
        <v>213</v>
      </c>
      <c r="G212" s="2" t="s">
        <v>133</v>
      </c>
      <c r="H212" s="2" t="s">
        <v>134</v>
      </c>
      <c r="I212" s="2">
        <v>36</v>
      </c>
      <c r="J212" s="2">
        <v>547200</v>
      </c>
      <c r="K212" s="2">
        <v>25.72</v>
      </c>
      <c r="L212" s="2">
        <v>21965</v>
      </c>
      <c r="M212" s="2">
        <v>730254</v>
      </c>
      <c r="N212" s="2">
        <v>547</v>
      </c>
      <c r="O212" s="2" t="s">
        <v>166</v>
      </c>
      <c r="P212" s="2">
        <v>0.48</v>
      </c>
      <c r="Q212" s="2">
        <v>0.93</v>
      </c>
      <c r="R212" s="2">
        <v>0</v>
      </c>
      <c r="S212" s="2">
        <v>18</v>
      </c>
      <c r="T212" s="2">
        <v>341270</v>
      </c>
      <c r="U212" s="2">
        <v>290374</v>
      </c>
      <c r="V212" s="2">
        <v>0</v>
      </c>
      <c r="W212" s="2">
        <v>0</v>
      </c>
      <c r="X212" s="2">
        <v>0</v>
      </c>
      <c r="Y212" s="2" t="s">
        <v>148</v>
      </c>
      <c r="Z212" s="12">
        <f>SUMIF(Table1[product],Table1[[#This Row],[product]],Table1[loan_amount])</f>
        <v>74897600</v>
      </c>
      <c r="AA212" s="15">
        <f>SUMIF(Table1[region],Table1[[#This Row],[region]],Table1[current_balance])</f>
        <v>94548000</v>
      </c>
      <c r="AB212" s="2">
        <f>COUNTIF(Table1[loan_status],Table1[[#This Row],[loan_status]])</f>
        <v>301</v>
      </c>
      <c r="AC212" s="2">
        <f>COUNTIF(Table1[default_flag],1)/ROWS(Table1[loan_id])</f>
        <v>2.5999999999999999E-2</v>
      </c>
      <c r="AD212" s="2">
        <f>COUNTIFS(Table1[region],Table1[[#This Row],[region]],Table1[default_flag],1)/COUNTIF(Table1[region],Table1[[#This Row],[region]])</f>
        <v>0</v>
      </c>
      <c r="AE212" s="2">
        <f>COUNTIFS(Table1[channel],Table1[[#This Row],[channel]],Table1[prepayment_flag],1)/COUNTIF(Table1[channel],Table1[[#This Row],[channel]])</f>
        <v>0.12</v>
      </c>
      <c r="AF212" s="2">
        <f>AVERAGEIFS(Table1[interest_rate_pct],Table1[product],Table1[[#This Row],[product]],Table1[risk_band],Table1[[#This Row],[risk_band]])</f>
        <v>23.803750000000001</v>
      </c>
      <c r="AG212" s="2" t="str" cm="1">
        <f t="array" ref="AG212">_xlfn.IFS(Table1[[#This Row],[dti_ratio]] &lt; 0.2, " less than 0.2", Table1[[#This Row],[dti_ratio]] &lt; 0.3, "0.2 - 0.3", Table1[[#This Row],[dti_ratio]] &lt;= 0.5, "0.35 - 0.5", Table1[[#This Row],[dti_ratio]] &gt; 0.5, "greater than 0.5")</f>
        <v>0.35 - 0.5</v>
      </c>
      <c r="AH212" s="2">
        <f>COUNTIF(Table1[DTI band],Table1[[#This Row],[DTI band]])</f>
        <v>260</v>
      </c>
      <c r="AI212" s="2" t="str" cm="1">
        <f t="array" ref="AI212">_xlfn.IFS(Table1[[#This Row],[ltv_ratio]] &lt; 0.6, "less than 0.6 -less risky", Table1[[#This Row],[ltv_ratio]]  &lt;= 0.8, "0.6 - 0.8 -medium risky",Table1[[#This Row],[ltv_ratio]] &gt; 0.8, "greater than 0.8 -highly risky")</f>
        <v>greater than 0.8 -highly risky</v>
      </c>
      <c r="AJ212" s="2">
        <f>COUNTIF(Table1[LTV band],Table1[[#This Row],[LTV band]])</f>
        <v>141</v>
      </c>
      <c r="AK212" s="2">
        <f>COUNTIFS(Table1[count_loan_perband],Table1[[#This Row],[count_loan_perband]],Table1[default_flag],1)/COUNTIF(Table1[count_loan_perband],Table1[[#This Row],[count_loan_perband]])</f>
        <v>1.4184397163120567E-2</v>
      </c>
      <c r="AL212" s="2" t="str" cm="1">
        <f t="array" ref="AL212">_xlfn.IFS(Table1[[#This Row],[loan_amount]] &lt; 900000, "lower size (&lt; 9L)", Table1[[#This Row],[loan_amount]] &lt;=3300000, "medium size (&lt;=33L)", Table1[[#This Row],[loan_amount]] &gt; 3300000, "larger size (&gt; 33L)")</f>
        <v>lower size (&lt; 9L)</v>
      </c>
      <c r="AM212" s="2">
        <f>IF(Table1[[#This Row],[dpd]] &gt;=30,1,0)</f>
        <v>0</v>
      </c>
      <c r="AN212" s="2">
        <f>COUNTIFS(Table1[Loan size],Table1[[#This Row],[Loan size]],Table1[dpd flag],1)/COUNTIF(Table1[Loan size],Table1[[#This Row],[Loan size]])</f>
        <v>0.13934426229508196</v>
      </c>
      <c r="AO212" s="2" t="str">
        <f>IF(OR(Table1[[#This Row],[credit_score]] &lt; 600, Table1[ [#This Row],[dti_ratio] ] &gt; 0.5, Table1[[#This Row],[dpd]] &gt;=30), "high risk", " not riskY")</f>
        <v>high risk</v>
      </c>
      <c r="AP212" s="26">
        <f>EOMONTH(Table1[[#This Row],[origination_date]],0)</f>
        <v>45473</v>
      </c>
      <c r="AQ212" s="2">
        <f>SUMIFS(Table1[loan_amount],Table1[origination month],Table1[[#This Row],[origination month]])</f>
        <v>28625500</v>
      </c>
      <c r="AR212" s="2">
        <f>AVERAGEIFS(Table1[months_on_book],Table1[product],Table1[[#This Row],[product]])</f>
        <v>21.092024539877301</v>
      </c>
      <c r="AS212" s="2" t="str">
        <f ca="1">IF(EDATE(Table1[[#This Row],[origination_date]],6) &gt;= TODAY(), "New Loan", "Old Loan")</f>
        <v>Old Loan</v>
      </c>
      <c r="AT212" s="2" t="str">
        <f>"Q"&amp;ROUNDUP(MONTH(Table1[[#This Row],[origination_date]])/3,0)&amp;YEAR(Table1[[#This Row],[origination_date]])</f>
        <v>Q22024</v>
      </c>
      <c r="AU212" s="2">
        <f>SUMIFS(Table1[loan_amount],Table1[quarter],Table1[[#This Row],[quarter]])</f>
        <v>46342100</v>
      </c>
      <c r="AV212" s="34" t="str">
        <f>_xlfn.TEXTJOIN("|",TRUE,Table1[[#This Row],[loan_id]:[loan_status]])</f>
        <v>L24937334|C6414160|45470|Personal Loan|Call Center|South|Salaried|36|547200|25.72|21965|730254|547|E|0.48|0.93|0|18|341270|290374|0|0|0|Active</v>
      </c>
      <c r="AW212" s="42">
        <f>YEAR(Loan_Table[ [#This Row],[origination_date] ])</f>
        <v>2024</v>
      </c>
    </row>
    <row r="213" spans="2:49" ht="18" customHeight="1">
      <c r="B213" s="5" t="s">
        <v>546</v>
      </c>
      <c r="C213" s="2" t="s">
        <v>547</v>
      </c>
      <c r="D213" s="3">
        <v>45417</v>
      </c>
      <c r="E213" s="2" t="s">
        <v>158</v>
      </c>
      <c r="F213" s="2" t="s">
        <v>144</v>
      </c>
      <c r="G213" s="2" t="s">
        <v>133</v>
      </c>
      <c r="H213" s="2" t="s">
        <v>134</v>
      </c>
      <c r="I213" s="2">
        <v>24</v>
      </c>
      <c r="J213" s="2">
        <v>3011800</v>
      </c>
      <c r="K213" s="2">
        <v>17.3</v>
      </c>
      <c r="L213" s="2">
        <v>149345</v>
      </c>
      <c r="M213" s="2">
        <v>554816</v>
      </c>
      <c r="N213" s="2">
        <v>646</v>
      </c>
      <c r="O213" s="2" t="s">
        <v>147</v>
      </c>
      <c r="P213" s="2">
        <v>0.46</v>
      </c>
      <c r="Q213" s="2">
        <v>0.64</v>
      </c>
      <c r="R213" s="2">
        <v>4703300</v>
      </c>
      <c r="S213" s="2">
        <v>19</v>
      </c>
      <c r="T213" s="2">
        <v>2729971</v>
      </c>
      <c r="U213" s="2">
        <v>611822</v>
      </c>
      <c r="V213" s="2">
        <v>30</v>
      </c>
      <c r="W213" s="2">
        <v>0</v>
      </c>
      <c r="X213" s="2">
        <v>0</v>
      </c>
      <c r="Y213" s="2" t="s">
        <v>136</v>
      </c>
      <c r="Z213" s="12">
        <f>SUMIF(Table1[product],Table1[[#This Row],[product]],Table1[loan_amount])</f>
        <v>201475100</v>
      </c>
      <c r="AA213" s="15">
        <f>SUMIF(Table1[region],Table1[[#This Row],[region]],Table1[current_balance])</f>
        <v>94548000</v>
      </c>
      <c r="AB213" s="2">
        <f>COUNTIF(Table1[loan_status],Table1[[#This Row],[loan_status]])</f>
        <v>47</v>
      </c>
      <c r="AC213" s="2">
        <f>COUNTIF(Table1[default_flag],1)/ROWS(Table1[loan_id])</f>
        <v>2.5999999999999999E-2</v>
      </c>
      <c r="AD213" s="2">
        <f>COUNTIFS(Table1[region],Table1[[#This Row],[region]],Table1[default_flag],1)/COUNTIF(Table1[region],Table1[[#This Row],[region]])</f>
        <v>0</v>
      </c>
      <c r="AE213" s="2">
        <f>COUNTIFS(Table1[channel],Table1[[#This Row],[channel]],Table1[prepayment_flag],1)/COUNTIF(Table1[channel],Table1[[#This Row],[channel]])</f>
        <v>5.8201058201058198E-2</v>
      </c>
      <c r="AF213" s="2">
        <f>AVERAGEIFS(Table1[interest_rate_pct],Table1[product],Table1[[#This Row],[product]],Table1[risk_band],Table1[[#This Row],[risk_band]])</f>
        <v>18.241249999999997</v>
      </c>
      <c r="AG213" s="2" t="str" cm="1">
        <f t="array" ref="AG213">_xlfn.IFS(Table1[[#This Row],[dti_ratio]] &lt; 0.2, " less than 0.2", Table1[[#This Row],[dti_ratio]] &lt; 0.3, "0.2 - 0.3", Table1[[#This Row],[dti_ratio]] &lt;= 0.5, "0.35 - 0.5", Table1[[#This Row],[dti_ratio]] &gt; 0.5, "greater than 0.5")</f>
        <v>0.35 - 0.5</v>
      </c>
      <c r="AH213" s="2">
        <f>COUNTIF(Table1[DTI band],Table1[[#This Row],[DTI band]])</f>
        <v>260</v>
      </c>
      <c r="AI213" s="2" t="str" cm="1">
        <f t="array" ref="AI213">_xlfn.IFS(Table1[[#This Row],[ltv_ratio]] &lt; 0.6, "less than 0.6 -less risky", Table1[[#This Row],[ltv_ratio]]  &lt;= 0.8, "0.6 - 0.8 -medium risky",Table1[[#This Row],[ltv_ratio]] &gt; 0.8, "greater than 0.8 -highly risky")</f>
        <v>0.6 - 0.8 -medium risky</v>
      </c>
      <c r="AJ213" s="2">
        <f>COUNTIF(Table1[LTV band],Table1[[#This Row],[LTV band]])</f>
        <v>302</v>
      </c>
      <c r="AK213" s="2">
        <f>COUNTIFS(Table1[count_loan_perband],Table1[[#This Row],[count_loan_perband]],Table1[default_flag],1)/COUNTIF(Table1[count_loan_perband],Table1[[#This Row],[count_loan_perband]])</f>
        <v>3.6423841059602648E-2</v>
      </c>
      <c r="AL213" s="2" t="str" cm="1">
        <f t="array" ref="AL213">_xlfn.IFS(Table1[[#This Row],[loan_amount]] &lt; 900000, "lower size (&lt; 9L)", Table1[[#This Row],[loan_amount]] &lt;=3300000, "medium size (&lt;=33L)", Table1[[#This Row],[loan_amount]] &gt; 3300000, "larger size (&gt; 33L)")</f>
        <v>medium size (&lt;=33L)</v>
      </c>
      <c r="AM213" s="2">
        <f>IF(Table1[[#This Row],[dpd]] &gt;=30,1,0)</f>
        <v>1</v>
      </c>
      <c r="AN213" s="2">
        <f>COUNTIFS(Table1[Loan size],Table1[[#This Row],[Loan size]],Table1[dpd flag],1)/COUNTIF(Table1[Loan size],Table1[[#This Row],[Loan size]])</f>
        <v>0.15909090909090909</v>
      </c>
      <c r="AO213" s="2" t="str">
        <f>IF(OR(Table1[[#This Row],[credit_score]] &lt; 600, Table1[ [#This Row],[dti_ratio] ] &gt; 0.5, Table1[[#This Row],[dpd]] &gt;=30), "high risk", " not riskY")</f>
        <v>high risk</v>
      </c>
      <c r="AP213" s="26">
        <f>EOMONTH(Table1[[#This Row],[origination_date]],0)</f>
        <v>45443</v>
      </c>
      <c r="AQ213" s="2">
        <f>SUMIFS(Table1[loan_amount],Table1[origination month],Table1[[#This Row],[origination month]])</f>
        <v>9661400</v>
      </c>
      <c r="AR213" s="2">
        <f>AVERAGEIFS(Table1[months_on_book],Table1[product],Table1[[#This Row],[product]])</f>
        <v>19.091954022988507</v>
      </c>
      <c r="AS213" s="2" t="str">
        <f ca="1">IF(EDATE(Table1[[#This Row],[origination_date]],6) &gt;= TODAY(), "New Loan", "Old Loan")</f>
        <v>Old Loan</v>
      </c>
      <c r="AT213" s="2" t="str">
        <f>"Q"&amp;ROUNDUP(MONTH(Table1[[#This Row],[origination_date]])/3,0)&amp;YEAR(Table1[[#This Row],[origination_date]])</f>
        <v>Q22024</v>
      </c>
      <c r="AU213" s="2">
        <f>SUMIFS(Table1[loan_amount],Table1[quarter],Table1[[#This Row],[quarter]])</f>
        <v>46342100</v>
      </c>
      <c r="AV213" s="34" t="str">
        <f>_xlfn.TEXTJOIN("|",TRUE,Table1[[#This Row],[loan_id]:[loan_status]])</f>
        <v>L24959268|C6343138|45417|SME Loan|Branch|South|Salaried|24|3011800|17.3|149345|554816|646|D|0.46|0.64|4703300|19|2729971|611822|30|0|0|Delinquent</v>
      </c>
      <c r="AW213" s="42">
        <f>YEAR(Loan_Table[ [#This Row],[origination_date] ])</f>
        <v>2024</v>
      </c>
    </row>
    <row r="214" spans="2:49" ht="18" customHeight="1">
      <c r="B214" s="5" t="s">
        <v>548</v>
      </c>
      <c r="C214" s="2" t="s">
        <v>549</v>
      </c>
      <c r="D214" s="3">
        <v>45465</v>
      </c>
      <c r="E214" s="2" t="s">
        <v>169</v>
      </c>
      <c r="F214" s="2" t="s">
        <v>144</v>
      </c>
      <c r="G214" s="2" t="s">
        <v>151</v>
      </c>
      <c r="H214" s="2" t="s">
        <v>134</v>
      </c>
      <c r="I214" s="2">
        <v>36</v>
      </c>
      <c r="J214" s="2">
        <v>8095400</v>
      </c>
      <c r="K214" s="2">
        <v>12.78</v>
      </c>
      <c r="L214" s="2">
        <v>271909</v>
      </c>
      <c r="M214" s="2">
        <v>1036163</v>
      </c>
      <c r="N214" s="2">
        <v>661</v>
      </c>
      <c r="O214" s="2" t="s">
        <v>140</v>
      </c>
      <c r="P214" s="2">
        <v>0.43</v>
      </c>
      <c r="Q214" s="2">
        <v>0.81</v>
      </c>
      <c r="R214" s="2">
        <v>9940700</v>
      </c>
      <c r="S214" s="2">
        <v>18</v>
      </c>
      <c r="T214" s="2">
        <v>4582625</v>
      </c>
      <c r="U214" s="2">
        <v>4133530</v>
      </c>
      <c r="V214" s="2">
        <v>0</v>
      </c>
      <c r="W214" s="2">
        <v>0</v>
      </c>
      <c r="X214" s="2">
        <v>0</v>
      </c>
      <c r="Y214" s="2" t="s">
        <v>148</v>
      </c>
      <c r="Z214" s="12">
        <f>SUMIF(Table1[product],Table1[[#This Row],[product]],Table1[loan_amount])</f>
        <v>403369500</v>
      </c>
      <c r="AA214" s="15">
        <f>SUMIF(Table1[region],Table1[[#This Row],[region]],Table1[current_balance])</f>
        <v>105779369</v>
      </c>
      <c r="AB214" s="2">
        <f>COUNTIF(Table1[loan_status],Table1[[#This Row],[loan_status]])</f>
        <v>301</v>
      </c>
      <c r="AC214" s="2">
        <f>COUNTIF(Table1[default_flag],1)/ROWS(Table1[loan_id])</f>
        <v>2.5999999999999999E-2</v>
      </c>
      <c r="AD214" s="2">
        <f>COUNTIFS(Table1[region],Table1[[#This Row],[region]],Table1[default_flag],1)/COUNTIF(Table1[region],Table1[[#This Row],[region]])</f>
        <v>2.6548672566371681E-2</v>
      </c>
      <c r="AE214" s="2">
        <f>COUNTIFS(Table1[channel],Table1[[#This Row],[channel]],Table1[prepayment_flag],1)/COUNTIF(Table1[channel],Table1[[#This Row],[channel]])</f>
        <v>5.8201058201058198E-2</v>
      </c>
      <c r="AF214" s="2">
        <f>AVERAGEIFS(Table1[interest_rate_pct],Table1[product],Table1[[#This Row],[product]],Table1[risk_band],Table1[[#This Row],[risk_band]])</f>
        <v>11.719736842105268</v>
      </c>
      <c r="AG214" s="2" t="str" cm="1">
        <f t="array" ref="AG214">_xlfn.IFS(Table1[[#This Row],[dti_ratio]] &lt; 0.2, " less than 0.2", Table1[[#This Row],[dti_ratio]] &lt; 0.3, "0.2 - 0.3", Table1[[#This Row],[dti_ratio]] &lt;= 0.5, "0.35 - 0.5", Table1[[#This Row],[dti_ratio]] &gt; 0.5, "greater than 0.5")</f>
        <v>0.35 - 0.5</v>
      </c>
      <c r="AH214" s="2">
        <f>COUNTIF(Table1[DTI band],Table1[[#This Row],[DTI band]])</f>
        <v>260</v>
      </c>
      <c r="AI214" s="2" t="str" cm="1">
        <f t="array" ref="AI214">_xlfn.IFS(Table1[[#This Row],[ltv_ratio]] &lt; 0.6, "less than 0.6 -less risky", Table1[[#This Row],[ltv_ratio]]  &lt;= 0.8, "0.6 - 0.8 -medium risky",Table1[[#This Row],[ltv_ratio]] &gt; 0.8, "greater than 0.8 -highly risky")</f>
        <v>greater than 0.8 -highly risky</v>
      </c>
      <c r="AJ214" s="2">
        <f>COUNTIF(Table1[LTV band],Table1[[#This Row],[LTV band]])</f>
        <v>141</v>
      </c>
      <c r="AK214" s="2">
        <f>COUNTIFS(Table1[count_loan_perband],Table1[[#This Row],[count_loan_perband]],Table1[default_flag],1)/COUNTIF(Table1[count_loan_perband],Table1[[#This Row],[count_loan_perband]])</f>
        <v>1.4184397163120567E-2</v>
      </c>
      <c r="AL214" s="2" t="str" cm="1">
        <f t="array" ref="AL214">_xlfn.IFS(Table1[[#This Row],[loan_amount]] &lt; 900000, "lower size (&lt; 9L)", Table1[[#This Row],[loan_amount]] &lt;=3300000, "medium size (&lt;=33L)", Table1[[#This Row],[loan_amount]] &gt; 3300000, "larger size (&gt; 33L)")</f>
        <v>larger size (&gt; 33L)</v>
      </c>
      <c r="AM214" s="2">
        <f>IF(Table1[[#This Row],[dpd]] &gt;=30,1,0)</f>
        <v>0</v>
      </c>
      <c r="AN214" s="2">
        <f>COUNTIFS(Table1[Loan size],Table1[[#This Row],[Loan size]],Table1[dpd flag],1)/COUNTIF(Table1[Loan size],Table1[[#This Row],[Loan size]])</f>
        <v>0.16250000000000001</v>
      </c>
      <c r="AO214" s="2" t="str">
        <f>IF(OR(Table1[[#This Row],[credit_score]] &lt; 600, Table1[ [#This Row],[dti_ratio] ] &gt; 0.5, Table1[[#This Row],[dpd]] &gt;=30), "high risk", " not riskY")</f>
        <v xml:space="preserve"> not riskY</v>
      </c>
      <c r="AP214" s="26">
        <f>EOMONTH(Table1[[#This Row],[origination_date]],0)</f>
        <v>45473</v>
      </c>
      <c r="AQ214" s="2">
        <f>SUMIFS(Table1[loan_amount],Table1[origination month],Table1[[#This Row],[origination month]])</f>
        <v>28625500</v>
      </c>
      <c r="AR214" s="2">
        <f>AVERAGEIFS(Table1[months_on_book],Table1[product],Table1[[#This Row],[product]])</f>
        <v>20.516129032258064</v>
      </c>
      <c r="AS214" s="2" t="str">
        <f ca="1">IF(EDATE(Table1[[#This Row],[origination_date]],6) &gt;= TODAY(), "New Loan", "Old Loan")</f>
        <v>Old Loan</v>
      </c>
      <c r="AT214" s="2" t="str">
        <f>"Q"&amp;ROUNDUP(MONTH(Table1[[#This Row],[origination_date]])/3,0)&amp;YEAR(Table1[[#This Row],[origination_date]])</f>
        <v>Q22024</v>
      </c>
      <c r="AU214" s="2">
        <f>SUMIFS(Table1[loan_amount],Table1[quarter],Table1[[#This Row],[quarter]])</f>
        <v>46342100</v>
      </c>
      <c r="AV214" s="34" t="str">
        <f>_xlfn.TEXTJOIN("|",TRUE,Table1[[#This Row],[loan_id]:[loan_status]])</f>
        <v>L73464884|C8503286|45465|Home Loan|Branch|North|Salaried|36|8095400|12.78|271909|1036163|661|C|0.43|0.81|9940700|18|4582625|4133530|0|0|0|Active</v>
      </c>
      <c r="AW214" s="42">
        <f>YEAR(Loan_Table[ [#This Row],[origination_date] ])</f>
        <v>2024</v>
      </c>
    </row>
    <row r="215" spans="2:49" ht="18" customHeight="1">
      <c r="B215" s="5" t="s">
        <v>550</v>
      </c>
      <c r="C215" s="2" t="s">
        <v>551</v>
      </c>
      <c r="D215" s="3">
        <v>45464</v>
      </c>
      <c r="E215" s="2" t="s">
        <v>158</v>
      </c>
      <c r="F215" s="2" t="s">
        <v>213</v>
      </c>
      <c r="G215" s="2" t="s">
        <v>139</v>
      </c>
      <c r="H215" s="2" t="s">
        <v>134</v>
      </c>
      <c r="I215" s="2">
        <v>60</v>
      </c>
      <c r="J215" s="2">
        <v>1660200</v>
      </c>
      <c r="K215" s="2">
        <v>12.47</v>
      </c>
      <c r="L215" s="2">
        <v>37326</v>
      </c>
      <c r="M215" s="2">
        <v>662357</v>
      </c>
      <c r="N215" s="2">
        <v>739</v>
      </c>
      <c r="O215" s="2" t="s">
        <v>135</v>
      </c>
      <c r="P215" s="2">
        <v>0.42</v>
      </c>
      <c r="Q215" s="2">
        <v>0.66</v>
      </c>
      <c r="R215" s="2">
        <v>2512200</v>
      </c>
      <c r="S215" s="2">
        <v>18</v>
      </c>
      <c r="T215" s="2">
        <v>662938</v>
      </c>
      <c r="U215" s="2">
        <v>1121478</v>
      </c>
      <c r="V215" s="2">
        <v>0</v>
      </c>
      <c r="W215" s="2">
        <v>0</v>
      </c>
      <c r="X215" s="2">
        <v>0</v>
      </c>
      <c r="Y215" s="2" t="s">
        <v>148</v>
      </c>
      <c r="Z215" s="12">
        <f>SUMIF(Table1[product],Table1[[#This Row],[product]],Table1[loan_amount])</f>
        <v>201475100</v>
      </c>
      <c r="AA215" s="15">
        <f>SUMIF(Table1[region],Table1[[#This Row],[region]],Table1[current_balance])</f>
        <v>83903255</v>
      </c>
      <c r="AB215" s="2">
        <f>COUNTIF(Table1[loan_status],Table1[[#This Row],[loan_status]])</f>
        <v>301</v>
      </c>
      <c r="AC215" s="2">
        <f>COUNTIF(Table1[default_flag],1)/ROWS(Table1[loan_id])</f>
        <v>2.5999999999999999E-2</v>
      </c>
      <c r="AD215" s="2">
        <f>COUNTIFS(Table1[region],Table1[[#This Row],[region]],Table1[default_flag],1)/COUNTIF(Table1[region],Table1[[#This Row],[region]])</f>
        <v>4.2553191489361701E-2</v>
      </c>
      <c r="AE215" s="2">
        <f>COUNTIFS(Table1[channel],Table1[[#This Row],[channel]],Table1[prepayment_flag],1)/COUNTIF(Table1[channel],Table1[[#This Row],[channel]])</f>
        <v>0.12</v>
      </c>
      <c r="AF215" s="2">
        <f>AVERAGEIFS(Table1[interest_rate_pct],Table1[product],Table1[[#This Row],[product]],Table1[risk_band],Table1[[#This Row],[risk_band]])</f>
        <v>13.042631578947367</v>
      </c>
      <c r="AG215" s="2" t="str" cm="1">
        <f t="array" ref="AG215">_xlfn.IFS(Table1[[#This Row],[dti_ratio]] &lt; 0.2, " less than 0.2", Table1[[#This Row],[dti_ratio]] &lt; 0.3, "0.2 - 0.3", Table1[[#This Row],[dti_ratio]] &lt;= 0.5, "0.35 - 0.5", Table1[[#This Row],[dti_ratio]] &gt; 0.5, "greater than 0.5")</f>
        <v>0.35 - 0.5</v>
      </c>
      <c r="AH215" s="2">
        <f>COUNTIF(Table1[DTI band],Table1[[#This Row],[DTI band]])</f>
        <v>260</v>
      </c>
      <c r="AI215" s="2" t="str" cm="1">
        <f t="array" ref="AI215">_xlfn.IFS(Table1[[#This Row],[ltv_ratio]] &lt; 0.6, "less than 0.6 -less risky", Table1[[#This Row],[ltv_ratio]]  &lt;= 0.8, "0.6 - 0.8 -medium risky",Table1[[#This Row],[ltv_ratio]] &gt; 0.8, "greater than 0.8 -highly risky")</f>
        <v>0.6 - 0.8 -medium risky</v>
      </c>
      <c r="AJ215" s="2">
        <f>COUNTIF(Table1[LTV band],Table1[[#This Row],[LTV band]])</f>
        <v>302</v>
      </c>
      <c r="AK215" s="2">
        <f>COUNTIFS(Table1[count_loan_perband],Table1[[#This Row],[count_loan_perband]],Table1[default_flag],1)/COUNTIF(Table1[count_loan_perband],Table1[[#This Row],[count_loan_perband]])</f>
        <v>3.6423841059602648E-2</v>
      </c>
      <c r="AL215" s="2" t="str" cm="1">
        <f t="array" ref="AL215">_xlfn.IFS(Table1[[#This Row],[loan_amount]] &lt; 900000, "lower size (&lt; 9L)", Table1[[#This Row],[loan_amount]] &lt;=3300000, "medium size (&lt;=33L)", Table1[[#This Row],[loan_amount]] &gt; 3300000, "larger size (&gt; 33L)")</f>
        <v>medium size (&lt;=33L)</v>
      </c>
      <c r="AM215" s="2">
        <f>IF(Table1[[#This Row],[dpd]] &gt;=30,1,0)</f>
        <v>0</v>
      </c>
      <c r="AN215" s="2">
        <f>COUNTIFS(Table1[Loan size],Table1[[#This Row],[Loan size]],Table1[dpd flag],1)/COUNTIF(Table1[Loan size],Table1[[#This Row],[Loan size]])</f>
        <v>0.15909090909090909</v>
      </c>
      <c r="AO215" s="2" t="str">
        <f>IF(OR(Table1[[#This Row],[credit_score]] &lt; 600, Table1[ [#This Row],[dti_ratio] ] &gt; 0.5, Table1[[#This Row],[dpd]] &gt;=30), "high risk", " not riskY")</f>
        <v xml:space="preserve"> not riskY</v>
      </c>
      <c r="AP215" s="26">
        <f>EOMONTH(Table1[[#This Row],[origination_date]],0)</f>
        <v>45473</v>
      </c>
      <c r="AQ215" s="2">
        <f>SUMIFS(Table1[loan_amount],Table1[origination month],Table1[[#This Row],[origination month]])</f>
        <v>28625500</v>
      </c>
      <c r="AR215" s="2">
        <f>AVERAGEIFS(Table1[months_on_book],Table1[product],Table1[[#This Row],[product]])</f>
        <v>19.091954022988507</v>
      </c>
      <c r="AS215" s="2" t="str">
        <f ca="1">IF(EDATE(Table1[[#This Row],[origination_date]],6) &gt;= TODAY(), "New Loan", "Old Loan")</f>
        <v>Old Loan</v>
      </c>
      <c r="AT215" s="2" t="str">
        <f>"Q"&amp;ROUNDUP(MONTH(Table1[[#This Row],[origination_date]])/3,0)&amp;YEAR(Table1[[#This Row],[origination_date]])</f>
        <v>Q22024</v>
      </c>
      <c r="AU215" s="2">
        <f>SUMIFS(Table1[loan_amount],Table1[quarter],Table1[[#This Row],[quarter]])</f>
        <v>46342100</v>
      </c>
      <c r="AV215" s="34" t="str">
        <f>_xlfn.TEXTJOIN("|",TRUE,Table1[[#This Row],[loan_id]:[loan_status]])</f>
        <v>L19552832|C6529417|45464|SME Loan|Call Center|West|Salaried|60|1660200|12.47|37326|662357|739|B|0.42|0.66|2512200|18|662938|1121478|0|0|0|Active</v>
      </c>
      <c r="AW215" s="42">
        <f>YEAR(Loan_Table[ [#This Row],[origination_date] ])</f>
        <v>2024</v>
      </c>
    </row>
    <row r="216" spans="2:49" ht="18" customHeight="1">
      <c r="B216" s="5" t="s">
        <v>552</v>
      </c>
      <c r="C216" s="2" t="s">
        <v>553</v>
      </c>
      <c r="D216" s="3">
        <v>45473</v>
      </c>
      <c r="E216" s="2" t="s">
        <v>131</v>
      </c>
      <c r="F216" s="2" t="s">
        <v>132</v>
      </c>
      <c r="G216" s="2" t="s">
        <v>151</v>
      </c>
      <c r="H216" s="2" t="s">
        <v>146</v>
      </c>
      <c r="I216" s="2">
        <v>240</v>
      </c>
      <c r="J216" s="2">
        <v>784100</v>
      </c>
      <c r="K216" s="2">
        <v>17.97</v>
      </c>
      <c r="L216" s="2">
        <v>12083</v>
      </c>
      <c r="M216" s="2">
        <v>1123978</v>
      </c>
      <c r="N216" s="2">
        <v>704</v>
      </c>
      <c r="O216" s="2" t="s">
        <v>135</v>
      </c>
      <c r="P216" s="2">
        <v>0.41</v>
      </c>
      <c r="Q216" s="2">
        <v>0.72</v>
      </c>
      <c r="R216" s="2">
        <v>0</v>
      </c>
      <c r="S216" s="2">
        <v>18</v>
      </c>
      <c r="T216" s="2">
        <v>185905</v>
      </c>
      <c r="U216" s="2">
        <v>682737</v>
      </c>
      <c r="V216" s="2">
        <v>0</v>
      </c>
      <c r="W216" s="2">
        <v>0</v>
      </c>
      <c r="X216" s="2">
        <v>0</v>
      </c>
      <c r="Y216" s="2" t="s">
        <v>148</v>
      </c>
      <c r="Z216" s="12">
        <f>SUMIF(Table1[product],Table1[[#This Row],[product]],Table1[loan_amount])</f>
        <v>74897600</v>
      </c>
      <c r="AA216" s="15">
        <f>SUMIF(Table1[region],Table1[[#This Row],[region]],Table1[current_balance])</f>
        <v>105779369</v>
      </c>
      <c r="AB216" s="2">
        <f>COUNTIF(Table1[loan_status],Table1[[#This Row],[loan_status]])</f>
        <v>301</v>
      </c>
      <c r="AC216" s="2">
        <f>COUNTIF(Table1[default_flag],1)/ROWS(Table1[loan_id])</f>
        <v>2.5999999999999999E-2</v>
      </c>
      <c r="AD216" s="2">
        <f>COUNTIFS(Table1[region],Table1[[#This Row],[region]],Table1[default_flag],1)/COUNTIF(Table1[region],Table1[[#This Row],[region]])</f>
        <v>2.6548672566371681E-2</v>
      </c>
      <c r="AE216" s="2">
        <f>COUNTIFS(Table1[channel],Table1[[#This Row],[channel]],Table1[prepayment_flag],1)/COUNTIF(Table1[channel],Table1[[#This Row],[channel]])</f>
        <v>7.1090047393364927E-2</v>
      </c>
      <c r="AF216" s="2">
        <f>AVERAGEIFS(Table1[interest_rate_pct],Table1[product],Table1[[#This Row],[product]],Table1[risk_band],Table1[[#This Row],[risk_band]])</f>
        <v>16.500166666666669</v>
      </c>
      <c r="AG216" s="2" t="str" cm="1">
        <f t="array" ref="AG216">_xlfn.IFS(Table1[[#This Row],[dti_ratio]] &lt; 0.2, " less than 0.2", Table1[[#This Row],[dti_ratio]] &lt; 0.3, "0.2 - 0.3", Table1[[#This Row],[dti_ratio]] &lt;= 0.5, "0.35 - 0.5", Table1[[#This Row],[dti_ratio]] &gt; 0.5, "greater than 0.5")</f>
        <v>0.35 - 0.5</v>
      </c>
      <c r="AH216" s="2">
        <f>COUNTIF(Table1[DTI band],Table1[[#This Row],[DTI band]])</f>
        <v>260</v>
      </c>
      <c r="AI216" s="2" t="str" cm="1">
        <f t="array" ref="AI216">_xlfn.IFS(Table1[[#This Row],[ltv_ratio]] &lt; 0.6, "less than 0.6 -less risky", Table1[[#This Row],[ltv_ratio]]  &lt;= 0.8, "0.6 - 0.8 -medium risky",Table1[[#This Row],[ltv_ratio]] &gt; 0.8, "greater than 0.8 -highly risky")</f>
        <v>0.6 - 0.8 -medium risky</v>
      </c>
      <c r="AJ216" s="2">
        <f>COUNTIF(Table1[LTV band],Table1[[#This Row],[LTV band]])</f>
        <v>302</v>
      </c>
      <c r="AK216" s="2">
        <f>COUNTIFS(Table1[count_loan_perband],Table1[[#This Row],[count_loan_perband]],Table1[default_flag],1)/COUNTIF(Table1[count_loan_perband],Table1[[#This Row],[count_loan_perband]])</f>
        <v>3.6423841059602648E-2</v>
      </c>
      <c r="AL216" s="2" t="str" cm="1">
        <f t="array" ref="AL216">_xlfn.IFS(Table1[[#This Row],[loan_amount]] &lt; 900000, "lower size (&lt; 9L)", Table1[[#This Row],[loan_amount]] &lt;=3300000, "medium size (&lt;=33L)", Table1[[#This Row],[loan_amount]] &gt; 3300000, "larger size (&gt; 33L)")</f>
        <v>lower size (&lt; 9L)</v>
      </c>
      <c r="AM216" s="2">
        <f>IF(Table1[[#This Row],[dpd]] &gt;=30,1,0)</f>
        <v>0</v>
      </c>
      <c r="AN216" s="2">
        <f>COUNTIFS(Table1[Loan size],Table1[[#This Row],[Loan size]],Table1[dpd flag],1)/COUNTIF(Table1[Loan size],Table1[[#This Row],[Loan size]])</f>
        <v>0.13934426229508196</v>
      </c>
      <c r="AO216" s="2" t="str">
        <f>IF(OR(Table1[[#This Row],[credit_score]] &lt; 600, Table1[ [#This Row],[dti_ratio] ] &gt; 0.5, Table1[[#This Row],[dpd]] &gt;=30), "high risk", " not riskY")</f>
        <v xml:space="preserve"> not riskY</v>
      </c>
      <c r="AP216" s="26">
        <f>EOMONTH(Table1[[#This Row],[origination_date]],0)</f>
        <v>45473</v>
      </c>
      <c r="AQ216" s="2">
        <f>SUMIFS(Table1[loan_amount],Table1[origination month],Table1[[#This Row],[origination month]])</f>
        <v>28625500</v>
      </c>
      <c r="AR216" s="2">
        <f>AVERAGEIFS(Table1[months_on_book],Table1[product],Table1[[#This Row],[product]])</f>
        <v>21.092024539877301</v>
      </c>
      <c r="AS216" s="2" t="str">
        <f ca="1">IF(EDATE(Table1[[#This Row],[origination_date]],6) &gt;= TODAY(), "New Loan", "Old Loan")</f>
        <v>Old Loan</v>
      </c>
      <c r="AT216" s="2" t="str">
        <f>"Q"&amp;ROUNDUP(MONTH(Table1[[#This Row],[origination_date]])/3,0)&amp;YEAR(Table1[[#This Row],[origination_date]])</f>
        <v>Q22024</v>
      </c>
      <c r="AU216" s="2">
        <f>SUMIFS(Table1[loan_amount],Table1[quarter],Table1[[#This Row],[quarter]])</f>
        <v>46342100</v>
      </c>
      <c r="AV216" s="34" t="str">
        <f>_xlfn.TEXTJOIN("|",TRUE,Table1[[#This Row],[loan_id]:[loan_status]])</f>
        <v>L17127766|C4307606|45473|Personal Loan|Online|North|Contract|240|784100|17.97|12083|1123978|704|B|0.41|0.72|0|18|185905|682737|0|0|0|Active</v>
      </c>
      <c r="AW216" s="42">
        <f>YEAR(Loan_Table[ [#This Row],[origination_date] ])</f>
        <v>2024</v>
      </c>
    </row>
    <row r="217" spans="2:49" ht="18" customHeight="1">
      <c r="B217" s="5" t="s">
        <v>554</v>
      </c>
      <c r="C217" s="2" t="s">
        <v>555</v>
      </c>
      <c r="D217" s="3">
        <v>45413</v>
      </c>
      <c r="E217" s="2" t="s">
        <v>131</v>
      </c>
      <c r="F217" s="2" t="s">
        <v>132</v>
      </c>
      <c r="G217" s="2" t="s">
        <v>145</v>
      </c>
      <c r="H217" s="2" t="s">
        <v>152</v>
      </c>
      <c r="I217" s="2">
        <v>180</v>
      </c>
      <c r="J217" s="2">
        <v>268900</v>
      </c>
      <c r="K217" s="2">
        <v>16.47</v>
      </c>
      <c r="L217" s="2">
        <v>4038</v>
      </c>
      <c r="M217" s="2">
        <v>719296</v>
      </c>
      <c r="N217" s="2">
        <v>726</v>
      </c>
      <c r="O217" s="2" t="s">
        <v>135</v>
      </c>
      <c r="P217" s="2">
        <v>0.41</v>
      </c>
      <c r="Q217" s="2">
        <v>0.91</v>
      </c>
      <c r="R217" s="2">
        <v>0</v>
      </c>
      <c r="S217" s="2">
        <v>19</v>
      </c>
      <c r="T217" s="2">
        <v>71005</v>
      </c>
      <c r="U217" s="2">
        <v>225944</v>
      </c>
      <c r="V217" s="2">
        <v>10</v>
      </c>
      <c r="W217" s="2">
        <v>0</v>
      </c>
      <c r="X217" s="2">
        <v>0</v>
      </c>
      <c r="Y217" s="2" t="s">
        <v>148</v>
      </c>
      <c r="Z217" s="12">
        <f>SUMIF(Table1[product],Table1[[#This Row],[product]],Table1[loan_amount])</f>
        <v>74897600</v>
      </c>
      <c r="AA217" s="15">
        <f>SUMIF(Table1[region],Table1[[#This Row],[region]],Table1[current_balance])</f>
        <v>98928695</v>
      </c>
      <c r="AB217" s="2">
        <f>COUNTIF(Table1[loan_status],Table1[[#This Row],[loan_status]])</f>
        <v>301</v>
      </c>
      <c r="AC217" s="2">
        <f>COUNTIF(Table1[default_flag],1)/ROWS(Table1[loan_id])</f>
        <v>2.5999999999999999E-2</v>
      </c>
      <c r="AD217" s="2">
        <f>COUNTIFS(Table1[region],Table1[[#This Row],[region]],Table1[default_flag],1)/COUNTIF(Table1[region],Table1[[#This Row],[region]])</f>
        <v>2.8571428571428571E-2</v>
      </c>
      <c r="AE217" s="2">
        <f>COUNTIFS(Table1[channel],Table1[[#This Row],[channel]],Table1[prepayment_flag],1)/COUNTIF(Table1[channel],Table1[[#This Row],[channel]])</f>
        <v>7.1090047393364927E-2</v>
      </c>
      <c r="AF217" s="2">
        <f>AVERAGEIFS(Table1[interest_rate_pct],Table1[product],Table1[[#This Row],[product]],Table1[risk_band],Table1[[#This Row],[risk_band]])</f>
        <v>16.500166666666669</v>
      </c>
      <c r="AG217" s="2" t="str" cm="1">
        <f t="array" ref="AG217">_xlfn.IFS(Table1[[#This Row],[dti_ratio]] &lt; 0.2, " less than 0.2", Table1[[#This Row],[dti_ratio]] &lt; 0.3, "0.2 - 0.3", Table1[[#This Row],[dti_ratio]] &lt;= 0.5, "0.35 - 0.5", Table1[[#This Row],[dti_ratio]] &gt; 0.5, "greater than 0.5")</f>
        <v>0.35 - 0.5</v>
      </c>
      <c r="AH217" s="2">
        <f>COUNTIF(Table1[DTI band],Table1[[#This Row],[DTI band]])</f>
        <v>260</v>
      </c>
      <c r="AI217" s="2" t="str" cm="1">
        <f t="array" ref="AI217">_xlfn.IFS(Table1[[#This Row],[ltv_ratio]] &lt; 0.6, "less than 0.6 -less risky", Table1[[#This Row],[ltv_ratio]]  &lt;= 0.8, "0.6 - 0.8 -medium risky",Table1[[#This Row],[ltv_ratio]] &gt; 0.8, "greater than 0.8 -highly risky")</f>
        <v>greater than 0.8 -highly risky</v>
      </c>
      <c r="AJ217" s="2">
        <f>COUNTIF(Table1[LTV band],Table1[[#This Row],[LTV band]])</f>
        <v>141</v>
      </c>
      <c r="AK217" s="2">
        <f>COUNTIFS(Table1[count_loan_perband],Table1[[#This Row],[count_loan_perband]],Table1[default_flag],1)/COUNTIF(Table1[count_loan_perband],Table1[[#This Row],[count_loan_perband]])</f>
        <v>1.4184397163120567E-2</v>
      </c>
      <c r="AL217" s="2" t="str" cm="1">
        <f t="array" ref="AL217">_xlfn.IFS(Table1[[#This Row],[loan_amount]] &lt; 900000, "lower size (&lt; 9L)", Table1[[#This Row],[loan_amount]] &lt;=3300000, "medium size (&lt;=33L)", Table1[[#This Row],[loan_amount]] &gt; 3300000, "larger size (&gt; 33L)")</f>
        <v>lower size (&lt; 9L)</v>
      </c>
      <c r="AM217" s="2">
        <f>IF(Table1[[#This Row],[dpd]] &gt;=30,1,0)</f>
        <v>0</v>
      </c>
      <c r="AN217" s="2">
        <f>COUNTIFS(Table1[Loan size],Table1[[#This Row],[Loan size]],Table1[dpd flag],1)/COUNTIF(Table1[Loan size],Table1[[#This Row],[Loan size]])</f>
        <v>0.13934426229508196</v>
      </c>
      <c r="AO217" s="2" t="str">
        <f>IF(OR(Table1[[#This Row],[credit_score]] &lt; 600, Table1[ [#This Row],[dti_ratio] ] &gt; 0.5, Table1[[#This Row],[dpd]] &gt;=30), "high risk", " not riskY")</f>
        <v xml:space="preserve"> not riskY</v>
      </c>
      <c r="AP217" s="26">
        <f>EOMONTH(Table1[[#This Row],[origination_date]],0)</f>
        <v>45443</v>
      </c>
      <c r="AQ217" s="2">
        <f>SUMIFS(Table1[loan_amount],Table1[origination month],Table1[[#This Row],[origination month]])</f>
        <v>9661400</v>
      </c>
      <c r="AR217" s="2">
        <f>AVERAGEIFS(Table1[months_on_book],Table1[product],Table1[[#This Row],[product]])</f>
        <v>21.092024539877301</v>
      </c>
      <c r="AS217" s="2" t="str">
        <f ca="1">IF(EDATE(Table1[[#This Row],[origination_date]],6) &gt;= TODAY(), "New Loan", "Old Loan")</f>
        <v>Old Loan</v>
      </c>
      <c r="AT217" s="2" t="str">
        <f>"Q"&amp;ROUNDUP(MONTH(Table1[[#This Row],[origination_date]])/3,0)&amp;YEAR(Table1[[#This Row],[origination_date]])</f>
        <v>Q22024</v>
      </c>
      <c r="AU217" s="2">
        <f>SUMIFS(Table1[loan_amount],Table1[quarter],Table1[[#This Row],[quarter]])</f>
        <v>46342100</v>
      </c>
      <c r="AV217" s="34" t="str">
        <f>_xlfn.TEXTJOIN("|",TRUE,Table1[[#This Row],[loan_id]:[loan_status]])</f>
        <v>L26263179|C6453326|45413|Personal Loan|Online|Central|Self-Employed|180|268900|16.47|4038|719296|726|B|0.41|0.91|0|19|71005|225944|10|0|0|Active</v>
      </c>
      <c r="AW217" s="42">
        <f>YEAR(Loan_Table[ [#This Row],[origination_date] ])</f>
        <v>2024</v>
      </c>
    </row>
    <row r="218" spans="2:49" ht="18" customHeight="1">
      <c r="B218" s="5" t="s">
        <v>556</v>
      </c>
      <c r="C218" s="2" t="s">
        <v>557</v>
      </c>
      <c r="D218" s="3">
        <v>45406</v>
      </c>
      <c r="E218" s="2" t="s">
        <v>163</v>
      </c>
      <c r="F218" s="2" t="s">
        <v>213</v>
      </c>
      <c r="G218" s="2" t="s">
        <v>133</v>
      </c>
      <c r="H218" s="2" t="s">
        <v>134</v>
      </c>
      <c r="I218" s="2">
        <v>360</v>
      </c>
      <c r="J218" s="2">
        <v>859700</v>
      </c>
      <c r="K218" s="2">
        <v>16.38</v>
      </c>
      <c r="L218" s="2">
        <v>11825</v>
      </c>
      <c r="M218" s="2">
        <v>334064</v>
      </c>
      <c r="N218" s="2">
        <v>619</v>
      </c>
      <c r="O218" s="2" t="s">
        <v>147</v>
      </c>
      <c r="P218" s="2">
        <v>0.41</v>
      </c>
      <c r="Q218" s="2">
        <v>0.89</v>
      </c>
      <c r="R218" s="2">
        <v>970900</v>
      </c>
      <c r="S218" s="2">
        <v>20</v>
      </c>
      <c r="T218" s="2">
        <v>217665</v>
      </c>
      <c r="U218" s="2">
        <v>735914</v>
      </c>
      <c r="V218" s="2">
        <v>0</v>
      </c>
      <c r="W218" s="2">
        <v>0</v>
      </c>
      <c r="X218" s="2">
        <v>0</v>
      </c>
      <c r="Y218" s="2" t="s">
        <v>148</v>
      </c>
      <c r="Z218" s="12">
        <f>SUMIF(Table1[product],Table1[[#This Row],[product]],Table1[loan_amount])</f>
        <v>92273000</v>
      </c>
      <c r="AA218" s="15">
        <f>SUMIF(Table1[region],Table1[[#This Row],[region]],Table1[current_balance])</f>
        <v>94548000</v>
      </c>
      <c r="AB218" s="2">
        <f>COUNTIF(Table1[loan_status],Table1[[#This Row],[loan_status]])</f>
        <v>301</v>
      </c>
      <c r="AC218" s="2">
        <f>COUNTIF(Table1[default_flag],1)/ROWS(Table1[loan_id])</f>
        <v>2.5999999999999999E-2</v>
      </c>
      <c r="AD218" s="2">
        <f>COUNTIFS(Table1[region],Table1[[#This Row],[region]],Table1[default_flag],1)/COUNTIF(Table1[region],Table1[[#This Row],[region]])</f>
        <v>0</v>
      </c>
      <c r="AE218" s="2">
        <f>COUNTIFS(Table1[channel],Table1[[#This Row],[channel]],Table1[prepayment_flag],1)/COUNTIF(Table1[channel],Table1[[#This Row],[channel]])</f>
        <v>0.12</v>
      </c>
      <c r="AF218" s="2">
        <f>AVERAGEIFS(Table1[interest_rate_pct],Table1[product],Table1[[#This Row],[product]],Table1[risk_band],Table1[[#This Row],[risk_band]])</f>
        <v>15.092000000000001</v>
      </c>
      <c r="AG218" s="2" t="str" cm="1">
        <f t="array" ref="AG218">_xlfn.IFS(Table1[[#This Row],[dti_ratio]] &lt; 0.2, " less than 0.2", Table1[[#This Row],[dti_ratio]] &lt; 0.3, "0.2 - 0.3", Table1[[#This Row],[dti_ratio]] &lt;= 0.5, "0.35 - 0.5", Table1[[#This Row],[dti_ratio]] &gt; 0.5, "greater than 0.5")</f>
        <v>0.35 - 0.5</v>
      </c>
      <c r="AH218" s="2">
        <f>COUNTIF(Table1[DTI band],Table1[[#This Row],[DTI band]])</f>
        <v>260</v>
      </c>
      <c r="AI218" s="2" t="str" cm="1">
        <f t="array" ref="AI218">_xlfn.IFS(Table1[[#This Row],[ltv_ratio]] &lt; 0.6, "less than 0.6 -less risky", Table1[[#This Row],[ltv_ratio]]  &lt;= 0.8, "0.6 - 0.8 -medium risky",Table1[[#This Row],[ltv_ratio]] &gt; 0.8, "greater than 0.8 -highly risky")</f>
        <v>greater than 0.8 -highly risky</v>
      </c>
      <c r="AJ218" s="2">
        <f>COUNTIF(Table1[LTV band],Table1[[#This Row],[LTV band]])</f>
        <v>141</v>
      </c>
      <c r="AK218" s="2">
        <f>COUNTIFS(Table1[count_loan_perband],Table1[[#This Row],[count_loan_perband]],Table1[default_flag],1)/COUNTIF(Table1[count_loan_perband],Table1[[#This Row],[count_loan_perband]])</f>
        <v>1.4184397163120567E-2</v>
      </c>
      <c r="AL218" s="2" t="str" cm="1">
        <f t="array" ref="AL218">_xlfn.IFS(Table1[[#This Row],[loan_amount]] &lt; 900000, "lower size (&lt; 9L)", Table1[[#This Row],[loan_amount]] &lt;=3300000, "medium size (&lt;=33L)", Table1[[#This Row],[loan_amount]] &gt; 3300000, "larger size (&gt; 33L)")</f>
        <v>lower size (&lt; 9L)</v>
      </c>
      <c r="AM218" s="2">
        <f>IF(Table1[[#This Row],[dpd]] &gt;=30,1,0)</f>
        <v>0</v>
      </c>
      <c r="AN218" s="2">
        <f>COUNTIFS(Table1[Loan size],Table1[[#This Row],[Loan size]],Table1[dpd flag],1)/COUNTIF(Table1[Loan size],Table1[[#This Row],[Loan size]])</f>
        <v>0.13934426229508196</v>
      </c>
      <c r="AO218" s="2" t="str">
        <f>IF(OR(Table1[[#This Row],[credit_score]] &lt; 600, Table1[ [#This Row],[dti_ratio] ] &gt; 0.5, Table1[[#This Row],[dpd]] &gt;=30), "high risk", " not riskY")</f>
        <v xml:space="preserve"> not riskY</v>
      </c>
      <c r="AP218" s="26">
        <f>EOMONTH(Table1[[#This Row],[origination_date]],0)</f>
        <v>45412</v>
      </c>
      <c r="AQ218" s="2">
        <f>SUMIFS(Table1[loan_amount],Table1[origination month],Table1[[#This Row],[origination month]])</f>
        <v>8055200</v>
      </c>
      <c r="AR218" s="2">
        <f>AVERAGEIFS(Table1[months_on_book],Table1[product],Table1[[#This Row],[product]])</f>
        <v>20.262135922330096</v>
      </c>
      <c r="AS218" s="2" t="str">
        <f ca="1">IF(EDATE(Table1[[#This Row],[origination_date]],6) &gt;= TODAY(), "New Loan", "Old Loan")</f>
        <v>Old Loan</v>
      </c>
      <c r="AT218" s="2" t="str">
        <f>"Q"&amp;ROUNDUP(MONTH(Table1[[#This Row],[origination_date]])/3,0)&amp;YEAR(Table1[[#This Row],[origination_date]])</f>
        <v>Q22024</v>
      </c>
      <c r="AU218" s="2">
        <f>SUMIFS(Table1[loan_amount],Table1[quarter],Table1[[#This Row],[quarter]])</f>
        <v>46342100</v>
      </c>
      <c r="AV218" s="34" t="str">
        <f>_xlfn.TEXTJOIN("|",TRUE,Table1[[#This Row],[loan_id]:[loan_status]])</f>
        <v>L75726602|C1957775|45406|Auto Loan|Call Center|South|Salaried|360|859700|16.38|11825|334064|619|D|0.41|0.89|970900|20|217665|735914|0|0|0|Active</v>
      </c>
      <c r="AW218" s="42">
        <f>YEAR(Loan_Table[ [#This Row],[origination_date] ])</f>
        <v>2024</v>
      </c>
    </row>
    <row r="219" spans="2:49" ht="18" customHeight="1">
      <c r="B219" s="5" t="s">
        <v>558</v>
      </c>
      <c r="C219" s="2" t="s">
        <v>559</v>
      </c>
      <c r="D219" s="3">
        <v>45453</v>
      </c>
      <c r="E219" s="2" t="s">
        <v>158</v>
      </c>
      <c r="F219" s="2" t="s">
        <v>159</v>
      </c>
      <c r="G219" s="2" t="s">
        <v>133</v>
      </c>
      <c r="H219" s="2" t="s">
        <v>134</v>
      </c>
      <c r="I219" s="2">
        <v>48</v>
      </c>
      <c r="J219" s="2">
        <v>1701800</v>
      </c>
      <c r="K219" s="2">
        <v>18.260000000000002</v>
      </c>
      <c r="L219" s="2">
        <v>50222</v>
      </c>
      <c r="M219" s="2">
        <v>892753</v>
      </c>
      <c r="N219" s="2">
        <v>650</v>
      </c>
      <c r="O219" s="2" t="s">
        <v>140</v>
      </c>
      <c r="P219" s="2">
        <v>0.39</v>
      </c>
      <c r="Q219" s="2">
        <v>0.65</v>
      </c>
      <c r="R219" s="2">
        <v>2614500</v>
      </c>
      <c r="S219" s="2">
        <v>18</v>
      </c>
      <c r="T219" s="2">
        <v>903055</v>
      </c>
      <c r="U219" s="2">
        <v>985194</v>
      </c>
      <c r="V219" s="2">
        <v>0</v>
      </c>
      <c r="W219" s="2">
        <v>0</v>
      </c>
      <c r="X219" s="2">
        <v>0</v>
      </c>
      <c r="Y219" s="2" t="s">
        <v>148</v>
      </c>
      <c r="Z219" s="12">
        <f>SUMIF(Table1[product],Table1[[#This Row],[product]],Table1[loan_amount])</f>
        <v>201475100</v>
      </c>
      <c r="AA219" s="15">
        <f>SUMIF(Table1[region],Table1[[#This Row],[region]],Table1[current_balance])</f>
        <v>94548000</v>
      </c>
      <c r="AB219" s="2">
        <f>COUNTIF(Table1[loan_status],Table1[[#This Row],[loan_status]])</f>
        <v>301</v>
      </c>
      <c r="AC219" s="2">
        <f>COUNTIF(Table1[default_flag],1)/ROWS(Table1[loan_id])</f>
        <v>2.5999999999999999E-2</v>
      </c>
      <c r="AD219" s="2">
        <f>COUNTIFS(Table1[region],Table1[[#This Row],[region]],Table1[default_flag],1)/COUNTIF(Table1[region],Table1[[#This Row],[region]])</f>
        <v>0</v>
      </c>
      <c r="AE219" s="2">
        <f>COUNTIFS(Table1[channel],Table1[[#This Row],[channel]],Table1[prepayment_flag],1)/COUNTIF(Table1[channel],Table1[[#This Row],[channel]])</f>
        <v>0.1</v>
      </c>
      <c r="AF219" s="2">
        <f>AVERAGEIFS(Table1[interest_rate_pct],Table1[product],Table1[[#This Row],[product]],Table1[risk_band],Table1[[#This Row],[risk_band]])</f>
        <v>15.841379310344831</v>
      </c>
      <c r="AG219" s="2" t="str" cm="1">
        <f t="array" ref="AG219">_xlfn.IFS(Table1[[#This Row],[dti_ratio]] &lt; 0.2, " less than 0.2", Table1[[#This Row],[dti_ratio]] &lt; 0.3, "0.2 - 0.3", Table1[[#This Row],[dti_ratio]] &lt;= 0.5, "0.35 - 0.5", Table1[[#This Row],[dti_ratio]] &gt; 0.5, "greater than 0.5")</f>
        <v>0.35 - 0.5</v>
      </c>
      <c r="AH219" s="2">
        <f>COUNTIF(Table1[DTI band],Table1[[#This Row],[DTI band]])</f>
        <v>260</v>
      </c>
      <c r="AI219" s="2" t="str" cm="1">
        <f t="array" ref="AI219">_xlfn.IFS(Table1[[#This Row],[ltv_ratio]] &lt; 0.6, "less than 0.6 -less risky", Table1[[#This Row],[ltv_ratio]]  &lt;= 0.8, "0.6 - 0.8 -medium risky",Table1[[#This Row],[ltv_ratio]] &gt; 0.8, "greater than 0.8 -highly risky")</f>
        <v>0.6 - 0.8 -medium risky</v>
      </c>
      <c r="AJ219" s="2">
        <f>COUNTIF(Table1[LTV band],Table1[[#This Row],[LTV band]])</f>
        <v>302</v>
      </c>
      <c r="AK219" s="2">
        <f>COUNTIFS(Table1[count_loan_perband],Table1[[#This Row],[count_loan_perband]],Table1[default_flag],1)/COUNTIF(Table1[count_loan_perband],Table1[[#This Row],[count_loan_perband]])</f>
        <v>3.6423841059602648E-2</v>
      </c>
      <c r="AL219" s="2" t="str" cm="1">
        <f t="array" ref="AL219">_xlfn.IFS(Table1[[#This Row],[loan_amount]] &lt; 900000, "lower size (&lt; 9L)", Table1[[#This Row],[loan_amount]] &lt;=3300000, "medium size (&lt;=33L)", Table1[[#This Row],[loan_amount]] &gt; 3300000, "larger size (&gt; 33L)")</f>
        <v>medium size (&lt;=33L)</v>
      </c>
      <c r="AM219" s="2">
        <f>IF(Table1[[#This Row],[dpd]] &gt;=30,1,0)</f>
        <v>0</v>
      </c>
      <c r="AN219" s="2">
        <f>COUNTIFS(Table1[Loan size],Table1[[#This Row],[Loan size]],Table1[dpd flag],1)/COUNTIF(Table1[Loan size],Table1[[#This Row],[Loan size]])</f>
        <v>0.15909090909090909</v>
      </c>
      <c r="AO219" s="2" t="str">
        <f>IF(OR(Table1[[#This Row],[credit_score]] &lt; 600, Table1[ [#This Row],[dti_ratio] ] &gt; 0.5, Table1[[#This Row],[dpd]] &gt;=30), "high risk", " not riskY")</f>
        <v xml:space="preserve"> not riskY</v>
      </c>
      <c r="AP219" s="26">
        <f>EOMONTH(Table1[[#This Row],[origination_date]],0)</f>
        <v>45473</v>
      </c>
      <c r="AQ219" s="2">
        <f>SUMIFS(Table1[loan_amount],Table1[origination month],Table1[[#This Row],[origination month]])</f>
        <v>28625500</v>
      </c>
      <c r="AR219" s="2">
        <f>AVERAGEIFS(Table1[months_on_book],Table1[product],Table1[[#This Row],[product]])</f>
        <v>19.091954022988507</v>
      </c>
      <c r="AS219" s="2" t="str">
        <f ca="1">IF(EDATE(Table1[[#This Row],[origination_date]],6) &gt;= TODAY(), "New Loan", "Old Loan")</f>
        <v>Old Loan</v>
      </c>
      <c r="AT219" s="2" t="str">
        <f>"Q"&amp;ROUNDUP(MONTH(Table1[[#This Row],[origination_date]])/3,0)&amp;YEAR(Table1[[#This Row],[origination_date]])</f>
        <v>Q22024</v>
      </c>
      <c r="AU219" s="2">
        <f>SUMIFS(Table1[loan_amount],Table1[quarter],Table1[[#This Row],[quarter]])</f>
        <v>46342100</v>
      </c>
      <c r="AV219" s="34" t="str">
        <f>_xlfn.TEXTJOIN("|",TRUE,Table1[[#This Row],[loan_id]:[loan_status]])</f>
        <v>L80087581|C7113486|45453|SME Loan|Partner|South|Salaried|48|1701800|18.26|50222|892753|650|C|0.39|0.65|2614500|18|903055|985194|0|0|0|Active</v>
      </c>
      <c r="AW219" s="42">
        <f>YEAR(Loan_Table[ [#This Row],[origination_date] ])</f>
        <v>2024</v>
      </c>
    </row>
    <row r="220" spans="2:49" ht="18" customHeight="1">
      <c r="B220" s="5" t="s">
        <v>560</v>
      </c>
      <c r="C220" s="2" t="s">
        <v>561</v>
      </c>
      <c r="D220" s="3">
        <v>45439</v>
      </c>
      <c r="E220" s="2" t="s">
        <v>169</v>
      </c>
      <c r="F220" s="2" t="s">
        <v>132</v>
      </c>
      <c r="G220" s="2" t="s">
        <v>151</v>
      </c>
      <c r="H220" s="2" t="s">
        <v>134</v>
      </c>
      <c r="I220" s="2">
        <v>360</v>
      </c>
      <c r="J220" s="2">
        <v>4189000</v>
      </c>
      <c r="K220" s="2">
        <v>14.16</v>
      </c>
      <c r="L220" s="2">
        <v>50165</v>
      </c>
      <c r="M220" s="2">
        <v>1343207</v>
      </c>
      <c r="N220" s="2">
        <v>608</v>
      </c>
      <c r="O220" s="2" t="s">
        <v>147</v>
      </c>
      <c r="P220" s="2">
        <v>0.39</v>
      </c>
      <c r="Q220" s="2">
        <v>0.69</v>
      </c>
      <c r="R220" s="2">
        <v>6083700</v>
      </c>
      <c r="S220" s="2">
        <v>19</v>
      </c>
      <c r="T220" s="2">
        <v>913028</v>
      </c>
      <c r="U220" s="2">
        <v>3651642</v>
      </c>
      <c r="V220" s="2">
        <v>0</v>
      </c>
      <c r="W220" s="2">
        <v>0</v>
      </c>
      <c r="X220" s="2">
        <v>0</v>
      </c>
      <c r="Y220" s="2" t="s">
        <v>148</v>
      </c>
      <c r="Z220" s="12">
        <f>SUMIF(Table1[product],Table1[[#This Row],[product]],Table1[loan_amount])</f>
        <v>403369500</v>
      </c>
      <c r="AA220" s="15">
        <f>SUMIF(Table1[region],Table1[[#This Row],[region]],Table1[current_balance])</f>
        <v>105779369</v>
      </c>
      <c r="AB220" s="2">
        <f>COUNTIF(Table1[loan_status],Table1[[#This Row],[loan_status]])</f>
        <v>301</v>
      </c>
      <c r="AC220" s="2">
        <f>COUNTIF(Table1[default_flag],1)/ROWS(Table1[loan_id])</f>
        <v>2.5999999999999999E-2</v>
      </c>
      <c r="AD220" s="2">
        <f>COUNTIFS(Table1[region],Table1[[#This Row],[region]],Table1[default_flag],1)/COUNTIF(Table1[region],Table1[[#This Row],[region]])</f>
        <v>2.6548672566371681E-2</v>
      </c>
      <c r="AE220" s="2">
        <f>COUNTIFS(Table1[channel],Table1[[#This Row],[channel]],Table1[prepayment_flag],1)/COUNTIF(Table1[channel],Table1[[#This Row],[channel]])</f>
        <v>7.1090047393364927E-2</v>
      </c>
      <c r="AF220" s="2">
        <f>AVERAGEIFS(Table1[interest_rate_pct],Table1[product],Table1[[#This Row],[product]],Table1[risk_band],Table1[[#This Row],[risk_band]])</f>
        <v>13.406874999999999</v>
      </c>
      <c r="AG220" s="2" t="str" cm="1">
        <f t="array" ref="AG220">_xlfn.IFS(Table1[[#This Row],[dti_ratio]] &lt; 0.2, " less than 0.2", Table1[[#This Row],[dti_ratio]] &lt; 0.3, "0.2 - 0.3", Table1[[#This Row],[dti_ratio]] &lt;= 0.5, "0.35 - 0.5", Table1[[#This Row],[dti_ratio]] &gt; 0.5, "greater than 0.5")</f>
        <v>0.35 - 0.5</v>
      </c>
      <c r="AH220" s="2">
        <f>COUNTIF(Table1[DTI band],Table1[[#This Row],[DTI band]])</f>
        <v>260</v>
      </c>
      <c r="AI220" s="2" t="str" cm="1">
        <f t="array" ref="AI220">_xlfn.IFS(Table1[[#This Row],[ltv_ratio]] &lt; 0.6, "less than 0.6 -less risky", Table1[[#This Row],[ltv_ratio]]  &lt;= 0.8, "0.6 - 0.8 -medium risky",Table1[[#This Row],[ltv_ratio]] &gt; 0.8, "greater than 0.8 -highly risky")</f>
        <v>0.6 - 0.8 -medium risky</v>
      </c>
      <c r="AJ220" s="2">
        <f>COUNTIF(Table1[LTV band],Table1[[#This Row],[LTV band]])</f>
        <v>302</v>
      </c>
      <c r="AK220" s="2">
        <f>COUNTIFS(Table1[count_loan_perband],Table1[[#This Row],[count_loan_perband]],Table1[default_flag],1)/COUNTIF(Table1[count_loan_perband],Table1[[#This Row],[count_loan_perband]])</f>
        <v>3.6423841059602648E-2</v>
      </c>
      <c r="AL220" s="2" t="str" cm="1">
        <f t="array" ref="AL220">_xlfn.IFS(Table1[[#This Row],[loan_amount]] &lt; 900000, "lower size (&lt; 9L)", Table1[[#This Row],[loan_amount]] &lt;=3300000, "medium size (&lt;=33L)", Table1[[#This Row],[loan_amount]] &gt; 3300000, "larger size (&gt; 33L)")</f>
        <v>larger size (&gt; 33L)</v>
      </c>
      <c r="AM220" s="2">
        <f>IF(Table1[[#This Row],[dpd]] &gt;=30,1,0)</f>
        <v>0</v>
      </c>
      <c r="AN220" s="2">
        <f>COUNTIFS(Table1[Loan size],Table1[[#This Row],[Loan size]],Table1[dpd flag],1)/COUNTIF(Table1[Loan size],Table1[[#This Row],[Loan size]])</f>
        <v>0.16250000000000001</v>
      </c>
      <c r="AO220" s="2" t="str">
        <f>IF(OR(Table1[[#This Row],[credit_score]] &lt; 600, Table1[ [#This Row],[dti_ratio] ] &gt; 0.5, Table1[[#This Row],[dpd]] &gt;=30), "high risk", " not riskY")</f>
        <v xml:space="preserve"> not riskY</v>
      </c>
      <c r="AP220" s="26">
        <f>EOMONTH(Table1[[#This Row],[origination_date]],0)</f>
        <v>45443</v>
      </c>
      <c r="AQ220" s="2">
        <f>SUMIFS(Table1[loan_amount],Table1[origination month],Table1[[#This Row],[origination month]])</f>
        <v>9661400</v>
      </c>
      <c r="AR220" s="2">
        <f>AVERAGEIFS(Table1[months_on_book],Table1[product],Table1[[#This Row],[product]])</f>
        <v>20.516129032258064</v>
      </c>
      <c r="AS220" s="2" t="str">
        <f ca="1">IF(EDATE(Table1[[#This Row],[origination_date]],6) &gt;= TODAY(), "New Loan", "Old Loan")</f>
        <v>Old Loan</v>
      </c>
      <c r="AT220" s="2" t="str">
        <f>"Q"&amp;ROUNDUP(MONTH(Table1[[#This Row],[origination_date]])/3,0)&amp;YEAR(Table1[[#This Row],[origination_date]])</f>
        <v>Q22024</v>
      </c>
      <c r="AU220" s="2">
        <f>SUMIFS(Table1[loan_amount],Table1[quarter],Table1[[#This Row],[quarter]])</f>
        <v>46342100</v>
      </c>
      <c r="AV220" s="34" t="str">
        <f>_xlfn.TEXTJOIN("|",TRUE,Table1[[#This Row],[loan_id]:[loan_status]])</f>
        <v>L60328644|C2646242|45439|Home Loan|Online|North|Salaried|360|4189000|14.16|50165|1343207|608|D|0.39|0.69|6083700|19|913028|3651642|0|0|0|Active</v>
      </c>
      <c r="AW220" s="42">
        <f>YEAR(Loan_Table[ [#This Row],[origination_date] ])</f>
        <v>2024</v>
      </c>
    </row>
    <row r="221" spans="2:49" ht="18" customHeight="1">
      <c r="B221" s="5" t="s">
        <v>562</v>
      </c>
      <c r="C221" s="2" t="s">
        <v>563</v>
      </c>
      <c r="D221" s="3">
        <v>45404</v>
      </c>
      <c r="E221" s="2" t="s">
        <v>131</v>
      </c>
      <c r="F221" s="2" t="s">
        <v>132</v>
      </c>
      <c r="G221" s="2" t="s">
        <v>170</v>
      </c>
      <c r="H221" s="2" t="s">
        <v>152</v>
      </c>
      <c r="I221" s="2">
        <v>36</v>
      </c>
      <c r="J221" s="2">
        <v>342100</v>
      </c>
      <c r="K221" s="2">
        <v>17.59</v>
      </c>
      <c r="L221" s="2">
        <v>12297</v>
      </c>
      <c r="M221" s="2">
        <v>1078549</v>
      </c>
      <c r="N221" s="2">
        <v>692</v>
      </c>
      <c r="O221" s="2" t="s">
        <v>140</v>
      </c>
      <c r="P221" s="2">
        <v>0.37</v>
      </c>
      <c r="Q221" s="2">
        <v>0.8</v>
      </c>
      <c r="R221" s="2">
        <v>0</v>
      </c>
      <c r="S221" s="2">
        <v>20</v>
      </c>
      <c r="T221" s="2">
        <v>247049</v>
      </c>
      <c r="U221" s="2">
        <v>135168</v>
      </c>
      <c r="V221" s="2">
        <v>10</v>
      </c>
      <c r="W221" s="2">
        <v>0</v>
      </c>
      <c r="X221" s="2">
        <v>0</v>
      </c>
      <c r="Y221" s="2" t="s">
        <v>148</v>
      </c>
      <c r="Z221" s="12">
        <f>SUMIF(Table1[product],Table1[[#This Row],[product]],Table1[loan_amount])</f>
        <v>74897600</v>
      </c>
      <c r="AA221" s="15">
        <f>SUMIF(Table1[region],Table1[[#This Row],[region]],Table1[current_balance])</f>
        <v>83297251</v>
      </c>
      <c r="AB221" s="2">
        <f>COUNTIF(Table1[loan_status],Table1[[#This Row],[loan_status]])</f>
        <v>301</v>
      </c>
      <c r="AC221" s="2">
        <f>COUNTIF(Table1[default_flag],1)/ROWS(Table1[loan_id])</f>
        <v>2.5999999999999999E-2</v>
      </c>
      <c r="AD221" s="2">
        <f>COUNTIFS(Table1[region],Table1[[#This Row],[region]],Table1[default_flag],1)/COUNTIF(Table1[region],Table1[[#This Row],[region]])</f>
        <v>3.1914893617021274E-2</v>
      </c>
      <c r="AE221" s="2">
        <f>COUNTIFS(Table1[channel],Table1[[#This Row],[channel]],Table1[prepayment_flag],1)/COUNTIF(Table1[channel],Table1[[#This Row],[channel]])</f>
        <v>7.1090047393364927E-2</v>
      </c>
      <c r="AF221" s="2">
        <f>AVERAGEIFS(Table1[interest_rate_pct],Table1[product],Table1[[#This Row],[product]],Table1[risk_band],Table1[[#This Row],[risk_band]])</f>
        <v>18.603181818181817</v>
      </c>
      <c r="AG221" s="2" t="str" cm="1">
        <f t="array" ref="AG221">_xlfn.IFS(Table1[[#This Row],[dti_ratio]] &lt; 0.2, " less than 0.2", Table1[[#This Row],[dti_ratio]] &lt; 0.3, "0.2 - 0.3", Table1[[#This Row],[dti_ratio]] &lt;= 0.5, "0.35 - 0.5", Table1[[#This Row],[dti_ratio]] &gt; 0.5, "greater than 0.5")</f>
        <v>0.35 - 0.5</v>
      </c>
      <c r="AH221" s="2">
        <f>COUNTIF(Table1[DTI band],Table1[[#This Row],[DTI band]])</f>
        <v>260</v>
      </c>
      <c r="AI221" s="2" t="str" cm="1">
        <f t="array" ref="AI221">_xlfn.IFS(Table1[[#This Row],[ltv_ratio]] &lt; 0.6, "less than 0.6 -less risky", Table1[[#This Row],[ltv_ratio]]  &lt;= 0.8, "0.6 - 0.8 -medium risky",Table1[[#This Row],[ltv_ratio]] &gt; 0.8, "greater than 0.8 -highly risky")</f>
        <v>0.6 - 0.8 -medium risky</v>
      </c>
      <c r="AJ221" s="2">
        <f>COUNTIF(Table1[LTV band],Table1[[#This Row],[LTV band]])</f>
        <v>302</v>
      </c>
      <c r="AK221" s="2">
        <f>COUNTIFS(Table1[count_loan_perband],Table1[[#This Row],[count_loan_perband]],Table1[default_flag],1)/COUNTIF(Table1[count_loan_perband],Table1[[#This Row],[count_loan_perband]])</f>
        <v>3.6423841059602648E-2</v>
      </c>
      <c r="AL221" s="2" t="str" cm="1">
        <f t="array" ref="AL221">_xlfn.IFS(Table1[[#This Row],[loan_amount]] &lt; 900000, "lower size (&lt; 9L)", Table1[[#This Row],[loan_amount]] &lt;=3300000, "medium size (&lt;=33L)", Table1[[#This Row],[loan_amount]] &gt; 3300000, "larger size (&gt; 33L)")</f>
        <v>lower size (&lt; 9L)</v>
      </c>
      <c r="AM221" s="2">
        <f>IF(Table1[[#This Row],[dpd]] &gt;=30,1,0)</f>
        <v>0</v>
      </c>
      <c r="AN221" s="2">
        <f>COUNTIFS(Table1[Loan size],Table1[[#This Row],[Loan size]],Table1[dpd flag],1)/COUNTIF(Table1[Loan size],Table1[[#This Row],[Loan size]])</f>
        <v>0.13934426229508196</v>
      </c>
      <c r="AO221" s="2" t="str">
        <f>IF(OR(Table1[[#This Row],[credit_score]] &lt; 600, Table1[ [#This Row],[dti_ratio] ] &gt; 0.5, Table1[[#This Row],[dpd]] &gt;=30), "high risk", " not riskY")</f>
        <v xml:space="preserve"> not riskY</v>
      </c>
      <c r="AP221" s="26">
        <f>EOMONTH(Table1[[#This Row],[origination_date]],0)</f>
        <v>45412</v>
      </c>
      <c r="AQ221" s="2">
        <f>SUMIFS(Table1[loan_amount],Table1[origination month],Table1[[#This Row],[origination month]])</f>
        <v>8055200</v>
      </c>
      <c r="AR221" s="2">
        <f>AVERAGEIFS(Table1[months_on_book],Table1[product],Table1[[#This Row],[product]])</f>
        <v>21.092024539877301</v>
      </c>
      <c r="AS221" s="2" t="str">
        <f ca="1">IF(EDATE(Table1[[#This Row],[origination_date]],6) &gt;= TODAY(), "New Loan", "Old Loan")</f>
        <v>Old Loan</v>
      </c>
      <c r="AT221" s="2" t="str">
        <f>"Q"&amp;ROUNDUP(MONTH(Table1[[#This Row],[origination_date]])/3,0)&amp;YEAR(Table1[[#This Row],[origination_date]])</f>
        <v>Q22024</v>
      </c>
      <c r="AU221" s="2">
        <f>SUMIFS(Table1[loan_amount],Table1[quarter],Table1[[#This Row],[quarter]])</f>
        <v>46342100</v>
      </c>
      <c r="AV221" s="34" t="str">
        <f>_xlfn.TEXTJOIN("|",TRUE,Table1[[#This Row],[loan_id]:[loan_status]])</f>
        <v>L78956931|C5018860|45404|Personal Loan|Online|East|Self-Employed|36|342100|17.59|12297|1078549|692|C|0.37|0.8|0|20|247049|135168|10|0|0|Active</v>
      </c>
      <c r="AW221" s="42">
        <f>YEAR(Loan_Table[ [#This Row],[origination_date] ])</f>
        <v>2024</v>
      </c>
    </row>
    <row r="222" spans="2:49" ht="18" customHeight="1">
      <c r="B222" s="5" t="s">
        <v>564</v>
      </c>
      <c r="C222" s="2" t="s">
        <v>565</v>
      </c>
      <c r="D222" s="3">
        <v>45400</v>
      </c>
      <c r="E222" s="2" t="s">
        <v>163</v>
      </c>
      <c r="F222" s="2" t="s">
        <v>159</v>
      </c>
      <c r="G222" s="2" t="s">
        <v>170</v>
      </c>
      <c r="H222" s="2" t="s">
        <v>134</v>
      </c>
      <c r="I222" s="2">
        <v>240</v>
      </c>
      <c r="J222" s="2">
        <v>1188000</v>
      </c>
      <c r="K222" s="2">
        <v>10.87</v>
      </c>
      <c r="L222" s="2">
        <v>12157</v>
      </c>
      <c r="M222" s="2">
        <v>916120</v>
      </c>
      <c r="N222" s="2">
        <v>703</v>
      </c>
      <c r="O222" s="2" t="s">
        <v>135</v>
      </c>
      <c r="P222" s="2">
        <v>0.33</v>
      </c>
      <c r="Q222" s="2">
        <v>0.88</v>
      </c>
      <c r="R222" s="2">
        <v>1352700</v>
      </c>
      <c r="S222" s="2">
        <v>20</v>
      </c>
      <c r="T222" s="2">
        <v>233313</v>
      </c>
      <c r="U222" s="2">
        <v>1040777</v>
      </c>
      <c r="V222" s="2">
        <v>0</v>
      </c>
      <c r="W222" s="2">
        <v>0</v>
      </c>
      <c r="X222" s="2">
        <v>0</v>
      </c>
      <c r="Y222" s="2" t="s">
        <v>148</v>
      </c>
      <c r="Z222" s="12">
        <f>SUMIF(Table1[product],Table1[[#This Row],[product]],Table1[loan_amount])</f>
        <v>92273000</v>
      </c>
      <c r="AA222" s="15">
        <f>SUMIF(Table1[region],Table1[[#This Row],[region]],Table1[current_balance])</f>
        <v>83297251</v>
      </c>
      <c r="AB222" s="2">
        <f>COUNTIF(Table1[loan_status],Table1[[#This Row],[loan_status]])</f>
        <v>301</v>
      </c>
      <c r="AC222" s="2">
        <f>COUNTIF(Table1[default_flag],1)/ROWS(Table1[loan_id])</f>
        <v>2.5999999999999999E-2</v>
      </c>
      <c r="AD222" s="2">
        <f>COUNTIFS(Table1[region],Table1[[#This Row],[region]],Table1[default_flag],1)/COUNTIF(Table1[region],Table1[[#This Row],[region]])</f>
        <v>3.1914893617021274E-2</v>
      </c>
      <c r="AE222" s="2">
        <f>COUNTIFS(Table1[channel],Table1[[#This Row],[channel]],Table1[prepayment_flag],1)/COUNTIF(Table1[channel],Table1[[#This Row],[channel]])</f>
        <v>0.1</v>
      </c>
      <c r="AF222" s="2">
        <f>AVERAGEIFS(Table1[interest_rate_pct],Table1[product],Table1[[#This Row],[product]],Table1[risk_band],Table1[[#This Row],[risk_band]])</f>
        <v>10.611923076923079</v>
      </c>
      <c r="AG222" s="2" t="str" cm="1">
        <f t="array" ref="AG222">_xlfn.IFS(Table1[[#This Row],[dti_ratio]] &lt; 0.2, " less than 0.2", Table1[[#This Row],[dti_ratio]] &lt; 0.3, "0.2 - 0.3", Table1[[#This Row],[dti_ratio]] &lt;= 0.5, "0.35 - 0.5", Table1[[#This Row],[dti_ratio]] &gt; 0.5, "greater than 0.5")</f>
        <v>0.35 - 0.5</v>
      </c>
      <c r="AH222" s="2">
        <f>COUNTIF(Table1[DTI band],Table1[[#This Row],[DTI band]])</f>
        <v>260</v>
      </c>
      <c r="AI222" s="2" t="str" cm="1">
        <f t="array" ref="AI222">_xlfn.IFS(Table1[[#This Row],[ltv_ratio]] &lt; 0.6, "less than 0.6 -less risky", Table1[[#This Row],[ltv_ratio]]  &lt;= 0.8, "0.6 - 0.8 -medium risky",Table1[[#This Row],[ltv_ratio]] &gt; 0.8, "greater than 0.8 -highly risky")</f>
        <v>greater than 0.8 -highly risky</v>
      </c>
      <c r="AJ222" s="2">
        <f>COUNTIF(Table1[LTV band],Table1[[#This Row],[LTV band]])</f>
        <v>141</v>
      </c>
      <c r="AK222" s="2">
        <f>COUNTIFS(Table1[count_loan_perband],Table1[[#This Row],[count_loan_perband]],Table1[default_flag],1)/COUNTIF(Table1[count_loan_perband],Table1[[#This Row],[count_loan_perband]])</f>
        <v>1.4184397163120567E-2</v>
      </c>
      <c r="AL222" s="2" t="str" cm="1">
        <f t="array" ref="AL222">_xlfn.IFS(Table1[[#This Row],[loan_amount]] &lt; 900000, "lower size (&lt; 9L)", Table1[[#This Row],[loan_amount]] &lt;=3300000, "medium size (&lt;=33L)", Table1[[#This Row],[loan_amount]] &gt; 3300000, "larger size (&gt; 33L)")</f>
        <v>medium size (&lt;=33L)</v>
      </c>
      <c r="AM222" s="2">
        <f>IF(Table1[[#This Row],[dpd]] &gt;=30,1,0)</f>
        <v>0</v>
      </c>
      <c r="AN222" s="2">
        <f>COUNTIFS(Table1[Loan size],Table1[[#This Row],[Loan size]],Table1[dpd flag],1)/COUNTIF(Table1[Loan size],Table1[[#This Row],[Loan size]])</f>
        <v>0.15909090909090909</v>
      </c>
      <c r="AO222" s="2" t="str">
        <f>IF(OR(Table1[[#This Row],[credit_score]] &lt; 600, Table1[ [#This Row],[dti_ratio] ] &gt; 0.5, Table1[[#This Row],[dpd]] &gt;=30), "high risk", " not riskY")</f>
        <v xml:space="preserve"> not riskY</v>
      </c>
      <c r="AP222" s="26">
        <f>EOMONTH(Table1[[#This Row],[origination_date]],0)</f>
        <v>45412</v>
      </c>
      <c r="AQ222" s="2">
        <f>SUMIFS(Table1[loan_amount],Table1[origination month],Table1[[#This Row],[origination month]])</f>
        <v>8055200</v>
      </c>
      <c r="AR222" s="2">
        <f>AVERAGEIFS(Table1[months_on_book],Table1[product],Table1[[#This Row],[product]])</f>
        <v>20.262135922330096</v>
      </c>
      <c r="AS222" s="2" t="str">
        <f ca="1">IF(EDATE(Table1[[#This Row],[origination_date]],6) &gt;= TODAY(), "New Loan", "Old Loan")</f>
        <v>Old Loan</v>
      </c>
      <c r="AT222" s="2" t="str">
        <f>"Q"&amp;ROUNDUP(MONTH(Table1[[#This Row],[origination_date]])/3,0)&amp;YEAR(Table1[[#This Row],[origination_date]])</f>
        <v>Q22024</v>
      </c>
      <c r="AU222" s="2">
        <f>SUMIFS(Table1[loan_amount],Table1[quarter],Table1[[#This Row],[quarter]])</f>
        <v>46342100</v>
      </c>
      <c r="AV222" s="34" t="str">
        <f>_xlfn.TEXTJOIN("|",TRUE,Table1[[#This Row],[loan_id]:[loan_status]])</f>
        <v>L13353608|C3398169|45400|Auto Loan|Partner|East|Salaried|240|1188000|10.87|12157|916120|703|B|0.33|0.88|1352700|20|233313|1040777|0|0|0|Active</v>
      </c>
      <c r="AW222" s="42">
        <f>YEAR(Loan_Table[ [#This Row],[origination_date] ])</f>
        <v>2024</v>
      </c>
    </row>
    <row r="223" spans="2:49" ht="18" customHeight="1">
      <c r="B223" s="5" t="s">
        <v>566</v>
      </c>
      <c r="C223" s="2" t="s">
        <v>567</v>
      </c>
      <c r="D223" s="3">
        <v>45395</v>
      </c>
      <c r="E223" s="2" t="s">
        <v>158</v>
      </c>
      <c r="F223" s="2" t="s">
        <v>159</v>
      </c>
      <c r="G223" s="2" t="s">
        <v>145</v>
      </c>
      <c r="H223" s="2" t="s">
        <v>134</v>
      </c>
      <c r="I223" s="2">
        <v>24</v>
      </c>
      <c r="J223" s="2">
        <v>2420300</v>
      </c>
      <c r="K223" s="2">
        <v>15.12</v>
      </c>
      <c r="L223" s="2">
        <v>117490</v>
      </c>
      <c r="M223" s="2">
        <v>1312634</v>
      </c>
      <c r="N223" s="2">
        <v>685</v>
      </c>
      <c r="O223" s="2" t="s">
        <v>140</v>
      </c>
      <c r="P223" s="2">
        <v>0.33</v>
      </c>
      <c r="Q223" s="2">
        <v>0.69</v>
      </c>
      <c r="R223" s="2">
        <v>3486000</v>
      </c>
      <c r="S223" s="2">
        <v>20</v>
      </c>
      <c r="T223" s="2">
        <v>2282101</v>
      </c>
      <c r="U223" s="2">
        <v>382165</v>
      </c>
      <c r="V223" s="2">
        <v>5</v>
      </c>
      <c r="W223" s="2">
        <v>0</v>
      </c>
      <c r="X223" s="2">
        <v>0</v>
      </c>
      <c r="Y223" s="2" t="s">
        <v>148</v>
      </c>
      <c r="Z223" s="12">
        <f>SUMIF(Table1[product],Table1[[#This Row],[product]],Table1[loan_amount])</f>
        <v>201475100</v>
      </c>
      <c r="AA223" s="15">
        <f>SUMIF(Table1[region],Table1[[#This Row],[region]],Table1[current_balance])</f>
        <v>98928695</v>
      </c>
      <c r="AB223" s="2">
        <f>COUNTIF(Table1[loan_status],Table1[[#This Row],[loan_status]])</f>
        <v>301</v>
      </c>
      <c r="AC223" s="2">
        <f>COUNTIF(Table1[default_flag],1)/ROWS(Table1[loan_id])</f>
        <v>2.5999999999999999E-2</v>
      </c>
      <c r="AD223" s="2">
        <f>COUNTIFS(Table1[region],Table1[[#This Row],[region]],Table1[default_flag],1)/COUNTIF(Table1[region],Table1[[#This Row],[region]])</f>
        <v>2.8571428571428571E-2</v>
      </c>
      <c r="AE223" s="2">
        <f>COUNTIFS(Table1[channel],Table1[[#This Row],[channel]],Table1[prepayment_flag],1)/COUNTIF(Table1[channel],Table1[[#This Row],[channel]])</f>
        <v>0.1</v>
      </c>
      <c r="AF223" s="2">
        <f>AVERAGEIFS(Table1[interest_rate_pct],Table1[product],Table1[[#This Row],[product]],Table1[risk_band],Table1[[#This Row],[risk_band]])</f>
        <v>15.841379310344831</v>
      </c>
      <c r="AG223" s="2" t="str" cm="1">
        <f t="array" ref="AG223">_xlfn.IFS(Table1[[#This Row],[dti_ratio]] &lt; 0.2, " less than 0.2", Table1[[#This Row],[dti_ratio]] &lt; 0.3, "0.2 - 0.3", Table1[[#This Row],[dti_ratio]] &lt;= 0.5, "0.35 - 0.5", Table1[[#This Row],[dti_ratio]] &gt; 0.5, "greater than 0.5")</f>
        <v>0.35 - 0.5</v>
      </c>
      <c r="AH223" s="2">
        <f>COUNTIF(Table1[DTI band],Table1[[#This Row],[DTI band]])</f>
        <v>260</v>
      </c>
      <c r="AI223" s="2" t="str" cm="1">
        <f t="array" ref="AI223">_xlfn.IFS(Table1[[#This Row],[ltv_ratio]] &lt; 0.6, "less than 0.6 -less risky", Table1[[#This Row],[ltv_ratio]]  &lt;= 0.8, "0.6 - 0.8 -medium risky",Table1[[#This Row],[ltv_ratio]] &gt; 0.8, "greater than 0.8 -highly risky")</f>
        <v>0.6 - 0.8 -medium risky</v>
      </c>
      <c r="AJ223" s="2">
        <f>COUNTIF(Table1[LTV band],Table1[[#This Row],[LTV band]])</f>
        <v>302</v>
      </c>
      <c r="AK223" s="2">
        <f>COUNTIFS(Table1[count_loan_perband],Table1[[#This Row],[count_loan_perband]],Table1[default_flag],1)/COUNTIF(Table1[count_loan_perband],Table1[[#This Row],[count_loan_perband]])</f>
        <v>3.6423841059602648E-2</v>
      </c>
      <c r="AL223" s="2" t="str" cm="1">
        <f t="array" ref="AL223">_xlfn.IFS(Table1[[#This Row],[loan_amount]] &lt; 900000, "lower size (&lt; 9L)", Table1[[#This Row],[loan_amount]] &lt;=3300000, "medium size (&lt;=33L)", Table1[[#This Row],[loan_amount]] &gt; 3300000, "larger size (&gt; 33L)")</f>
        <v>medium size (&lt;=33L)</v>
      </c>
      <c r="AM223" s="2">
        <f>IF(Table1[[#This Row],[dpd]] &gt;=30,1,0)</f>
        <v>0</v>
      </c>
      <c r="AN223" s="2">
        <f>COUNTIFS(Table1[Loan size],Table1[[#This Row],[Loan size]],Table1[dpd flag],1)/COUNTIF(Table1[Loan size],Table1[[#This Row],[Loan size]])</f>
        <v>0.15909090909090909</v>
      </c>
      <c r="AO223" s="2" t="str">
        <f>IF(OR(Table1[[#This Row],[credit_score]] &lt; 600, Table1[ [#This Row],[dti_ratio] ] &gt; 0.5, Table1[[#This Row],[dpd]] &gt;=30), "high risk", " not riskY")</f>
        <v xml:space="preserve"> not riskY</v>
      </c>
      <c r="AP223" s="26">
        <f>EOMONTH(Table1[[#This Row],[origination_date]],0)</f>
        <v>45412</v>
      </c>
      <c r="AQ223" s="2">
        <f>SUMIFS(Table1[loan_amount],Table1[origination month],Table1[[#This Row],[origination month]])</f>
        <v>8055200</v>
      </c>
      <c r="AR223" s="2">
        <f>AVERAGEIFS(Table1[months_on_book],Table1[product],Table1[[#This Row],[product]])</f>
        <v>19.091954022988507</v>
      </c>
      <c r="AS223" s="2" t="str">
        <f ca="1">IF(EDATE(Table1[[#This Row],[origination_date]],6) &gt;= TODAY(), "New Loan", "Old Loan")</f>
        <v>Old Loan</v>
      </c>
      <c r="AT223" s="2" t="str">
        <f>"Q"&amp;ROUNDUP(MONTH(Table1[[#This Row],[origination_date]])/3,0)&amp;YEAR(Table1[[#This Row],[origination_date]])</f>
        <v>Q22024</v>
      </c>
      <c r="AU223" s="2">
        <f>SUMIFS(Table1[loan_amount],Table1[quarter],Table1[[#This Row],[quarter]])</f>
        <v>46342100</v>
      </c>
      <c r="AV223" s="34" t="str">
        <f>_xlfn.TEXTJOIN("|",TRUE,Table1[[#This Row],[loan_id]:[loan_status]])</f>
        <v>L80550838|C2590470|45395|SME Loan|Partner|Central|Salaried|24|2420300|15.12|117490|1312634|685|C|0.33|0.69|3486000|20|2282101|382165|5|0|0|Active</v>
      </c>
      <c r="AW223" s="42">
        <f>YEAR(Loan_Table[ [#This Row],[origination_date] ])</f>
        <v>2025</v>
      </c>
    </row>
    <row r="224" spans="2:49" ht="18" customHeight="1">
      <c r="B224" s="5" t="s">
        <v>568</v>
      </c>
      <c r="C224" s="2" t="s">
        <v>569</v>
      </c>
      <c r="D224" s="3">
        <v>45384</v>
      </c>
      <c r="E224" s="2" t="s">
        <v>131</v>
      </c>
      <c r="F224" s="2" t="s">
        <v>159</v>
      </c>
      <c r="G224" s="2" t="s">
        <v>151</v>
      </c>
      <c r="H224" s="2" t="s">
        <v>134</v>
      </c>
      <c r="I224" s="2">
        <v>72</v>
      </c>
      <c r="J224" s="2">
        <v>305500</v>
      </c>
      <c r="K224" s="2">
        <v>15.58</v>
      </c>
      <c r="L224" s="2">
        <v>6556</v>
      </c>
      <c r="M224" s="2">
        <v>880246</v>
      </c>
      <c r="N224" s="2">
        <v>760</v>
      </c>
      <c r="O224" s="2" t="s">
        <v>160</v>
      </c>
      <c r="P224" s="2">
        <v>0.33</v>
      </c>
      <c r="Q224" s="2">
        <v>0.65</v>
      </c>
      <c r="R224" s="2">
        <v>0</v>
      </c>
      <c r="S224" s="2">
        <v>20</v>
      </c>
      <c r="T224" s="2">
        <v>111766</v>
      </c>
      <c r="U224" s="2">
        <v>225465</v>
      </c>
      <c r="V224" s="2">
        <v>0</v>
      </c>
      <c r="W224" s="2">
        <v>0</v>
      </c>
      <c r="X224" s="2">
        <v>0</v>
      </c>
      <c r="Y224" s="2" t="s">
        <v>148</v>
      </c>
      <c r="Z224" s="12">
        <f>SUMIF(Table1[product],Table1[[#This Row],[product]],Table1[loan_amount])</f>
        <v>74897600</v>
      </c>
      <c r="AA224" s="15">
        <f>SUMIF(Table1[region],Table1[[#This Row],[region]],Table1[current_balance])</f>
        <v>105779369</v>
      </c>
      <c r="AB224" s="2">
        <f>COUNTIF(Table1[loan_status],Table1[[#This Row],[loan_status]])</f>
        <v>301</v>
      </c>
      <c r="AC224" s="2">
        <f>COUNTIF(Table1[default_flag],1)/ROWS(Table1[loan_id])</f>
        <v>2.5999999999999999E-2</v>
      </c>
      <c r="AD224" s="2">
        <f>COUNTIFS(Table1[region],Table1[[#This Row],[region]],Table1[default_flag],1)/COUNTIF(Table1[region],Table1[[#This Row],[region]])</f>
        <v>2.6548672566371681E-2</v>
      </c>
      <c r="AE224" s="2">
        <f>COUNTIFS(Table1[channel],Table1[[#This Row],[channel]],Table1[prepayment_flag],1)/COUNTIF(Table1[channel],Table1[[#This Row],[channel]])</f>
        <v>0.1</v>
      </c>
      <c r="AF224" s="2">
        <f>AVERAGEIFS(Table1[interest_rate_pct],Table1[product],Table1[[#This Row],[product]],Table1[risk_band],Table1[[#This Row],[risk_band]])</f>
        <v>13.328333333333335</v>
      </c>
      <c r="AG224" s="2" t="str" cm="1">
        <f t="array" ref="AG224">_xlfn.IFS(Table1[[#This Row],[dti_ratio]] &lt; 0.2, " less than 0.2", Table1[[#This Row],[dti_ratio]] &lt; 0.3, "0.2 - 0.3", Table1[[#This Row],[dti_ratio]] &lt;= 0.5, "0.35 - 0.5", Table1[[#This Row],[dti_ratio]] &gt; 0.5, "greater than 0.5")</f>
        <v>0.35 - 0.5</v>
      </c>
      <c r="AH224" s="2">
        <f>COUNTIF(Table1[DTI band],Table1[[#This Row],[DTI band]])</f>
        <v>260</v>
      </c>
      <c r="AI224" s="2" t="str" cm="1">
        <f t="array" ref="AI224">_xlfn.IFS(Table1[[#This Row],[ltv_ratio]] &lt; 0.6, "less than 0.6 -less risky", Table1[[#This Row],[ltv_ratio]]  &lt;= 0.8, "0.6 - 0.8 -medium risky",Table1[[#This Row],[ltv_ratio]] &gt; 0.8, "greater than 0.8 -highly risky")</f>
        <v>0.6 - 0.8 -medium risky</v>
      </c>
      <c r="AJ224" s="2">
        <f>COUNTIF(Table1[LTV band],Table1[[#This Row],[LTV band]])</f>
        <v>302</v>
      </c>
      <c r="AK224" s="2">
        <f>COUNTIFS(Table1[count_loan_perband],Table1[[#This Row],[count_loan_perband]],Table1[default_flag],1)/COUNTIF(Table1[count_loan_perband],Table1[[#This Row],[count_loan_perband]])</f>
        <v>3.6423841059602648E-2</v>
      </c>
      <c r="AL224" s="2" t="str" cm="1">
        <f t="array" ref="AL224">_xlfn.IFS(Table1[[#This Row],[loan_amount]] &lt; 900000, "lower size (&lt; 9L)", Table1[[#This Row],[loan_amount]] &lt;=3300000, "medium size (&lt;=33L)", Table1[[#This Row],[loan_amount]] &gt; 3300000, "larger size (&gt; 33L)")</f>
        <v>lower size (&lt; 9L)</v>
      </c>
      <c r="AM224" s="2">
        <f>IF(Table1[[#This Row],[dpd]] &gt;=30,1,0)</f>
        <v>0</v>
      </c>
      <c r="AN224" s="2">
        <f>COUNTIFS(Table1[Loan size],Table1[[#This Row],[Loan size]],Table1[dpd flag],1)/COUNTIF(Table1[Loan size],Table1[[#This Row],[Loan size]])</f>
        <v>0.13934426229508196</v>
      </c>
      <c r="AO224" s="2" t="str">
        <f>IF(OR(Table1[[#This Row],[credit_score]] &lt; 600, Table1[ [#This Row],[dti_ratio] ] &gt; 0.5, Table1[[#This Row],[dpd]] &gt;=30), "high risk", " not riskY")</f>
        <v xml:space="preserve"> not riskY</v>
      </c>
      <c r="AP224" s="26">
        <f>EOMONTH(Table1[[#This Row],[origination_date]],0)</f>
        <v>45412</v>
      </c>
      <c r="AQ224" s="2">
        <f>SUMIFS(Table1[loan_amount],Table1[origination month],Table1[[#This Row],[origination month]])</f>
        <v>8055200</v>
      </c>
      <c r="AR224" s="2">
        <f>AVERAGEIFS(Table1[months_on_book],Table1[product],Table1[[#This Row],[product]])</f>
        <v>21.092024539877301</v>
      </c>
      <c r="AS224" s="2" t="str">
        <f ca="1">IF(EDATE(Table1[[#This Row],[origination_date]],6) &gt;= TODAY(), "New Loan", "Old Loan")</f>
        <v>Old Loan</v>
      </c>
      <c r="AT224" s="2" t="str">
        <f>"Q"&amp;ROUNDUP(MONTH(Table1[[#This Row],[origination_date]])/3,0)&amp;YEAR(Table1[[#This Row],[origination_date]])</f>
        <v>Q22024</v>
      </c>
      <c r="AU224" s="2">
        <f>SUMIFS(Table1[loan_amount],Table1[quarter],Table1[[#This Row],[quarter]])</f>
        <v>46342100</v>
      </c>
      <c r="AV224" s="34" t="str">
        <f>_xlfn.TEXTJOIN("|",TRUE,Table1[[#This Row],[loan_id]:[loan_status]])</f>
        <v>L65967399|C1325464|45384|Personal Loan|Partner|North|Salaried|72|305500|15.58|6556|880246|760|A|0.33|0.65|0|20|111766|225465|0|0|0|Active</v>
      </c>
      <c r="AW224" s="42">
        <f>YEAR(Loan_Table[ [#This Row],[origination_date] ])</f>
        <v>2025</v>
      </c>
    </row>
    <row r="225" spans="2:49" ht="18" customHeight="1">
      <c r="B225" s="5" t="s">
        <v>570</v>
      </c>
      <c r="C225" s="2" t="s">
        <v>571</v>
      </c>
      <c r="D225" s="3">
        <v>45431</v>
      </c>
      <c r="E225" s="2" t="s">
        <v>177</v>
      </c>
      <c r="F225" s="2" t="s">
        <v>144</v>
      </c>
      <c r="G225" s="2" t="s">
        <v>133</v>
      </c>
      <c r="H225" s="2" t="s">
        <v>134</v>
      </c>
      <c r="I225" s="2">
        <v>60</v>
      </c>
      <c r="J225" s="2">
        <v>971100</v>
      </c>
      <c r="K225" s="2">
        <v>11.86</v>
      </c>
      <c r="L225" s="2">
        <v>21533</v>
      </c>
      <c r="M225" s="2">
        <v>706791</v>
      </c>
      <c r="N225" s="2">
        <v>706</v>
      </c>
      <c r="O225" s="2" t="s">
        <v>135</v>
      </c>
      <c r="P225" s="2">
        <v>0.31</v>
      </c>
      <c r="Q225" s="2">
        <v>0.84</v>
      </c>
      <c r="R225" s="2">
        <v>0</v>
      </c>
      <c r="S225" s="2">
        <v>19</v>
      </c>
      <c r="T225" s="2">
        <v>357004</v>
      </c>
      <c r="U225" s="2">
        <v>687039</v>
      </c>
      <c r="V225" s="2">
        <v>30</v>
      </c>
      <c r="W225" s="2">
        <v>0</v>
      </c>
      <c r="X225" s="2">
        <v>0</v>
      </c>
      <c r="Y225" s="2" t="s">
        <v>136</v>
      </c>
      <c r="Z225" s="12">
        <f>SUMIF(Table1[product],Table1[[#This Row],[product]],Table1[loan_amount])</f>
        <v>62765800</v>
      </c>
      <c r="AA225" s="15">
        <f>SUMIF(Table1[region],Table1[[#This Row],[region]],Table1[current_balance])</f>
        <v>94548000</v>
      </c>
      <c r="AB225" s="2">
        <f>COUNTIF(Table1[loan_status],Table1[[#This Row],[loan_status]])</f>
        <v>47</v>
      </c>
      <c r="AC225" s="2">
        <f>COUNTIF(Table1[default_flag],1)/ROWS(Table1[loan_id])</f>
        <v>2.5999999999999999E-2</v>
      </c>
      <c r="AD225" s="2">
        <f>COUNTIFS(Table1[region],Table1[[#This Row],[region]],Table1[default_flag],1)/COUNTIF(Table1[region],Table1[[#This Row],[region]])</f>
        <v>0</v>
      </c>
      <c r="AE225" s="2">
        <f>COUNTIFS(Table1[channel],Table1[[#This Row],[channel]],Table1[prepayment_flag],1)/COUNTIF(Table1[channel],Table1[[#This Row],[channel]])</f>
        <v>5.8201058201058198E-2</v>
      </c>
      <c r="AF225" s="2">
        <f>AVERAGEIFS(Table1[interest_rate_pct],Table1[product],Table1[[#This Row],[product]],Table1[risk_band],Table1[[#This Row],[risk_band]])</f>
        <v>10.832666666666663</v>
      </c>
      <c r="AG225" s="2" t="str" cm="1">
        <f t="array" ref="AG225">_xlfn.IFS(Table1[[#This Row],[dti_ratio]] &lt; 0.2, " less than 0.2", Table1[[#This Row],[dti_ratio]] &lt; 0.3, "0.2 - 0.3", Table1[[#This Row],[dti_ratio]] &lt;= 0.5, "0.35 - 0.5", Table1[[#This Row],[dti_ratio]] &gt; 0.5, "greater than 0.5")</f>
        <v>0.35 - 0.5</v>
      </c>
      <c r="AH225" s="2">
        <f>COUNTIF(Table1[DTI band],Table1[[#This Row],[DTI band]])</f>
        <v>260</v>
      </c>
      <c r="AI225" s="2" t="str" cm="1">
        <f t="array" ref="AI225">_xlfn.IFS(Table1[[#This Row],[ltv_ratio]] &lt; 0.6, "less than 0.6 -less risky", Table1[[#This Row],[ltv_ratio]]  &lt;= 0.8, "0.6 - 0.8 -medium risky",Table1[[#This Row],[ltv_ratio]] &gt; 0.8, "greater than 0.8 -highly risky")</f>
        <v>greater than 0.8 -highly risky</v>
      </c>
      <c r="AJ225" s="2">
        <f>COUNTIF(Table1[LTV band],Table1[[#This Row],[LTV band]])</f>
        <v>141</v>
      </c>
      <c r="AK225" s="2">
        <f>COUNTIFS(Table1[count_loan_perband],Table1[[#This Row],[count_loan_perband]],Table1[default_flag],1)/COUNTIF(Table1[count_loan_perband],Table1[[#This Row],[count_loan_perband]])</f>
        <v>1.4184397163120567E-2</v>
      </c>
      <c r="AL225" s="2" t="str" cm="1">
        <f t="array" ref="AL225">_xlfn.IFS(Table1[[#This Row],[loan_amount]] &lt; 900000, "lower size (&lt; 9L)", Table1[[#This Row],[loan_amount]] &lt;=3300000, "medium size (&lt;=33L)", Table1[[#This Row],[loan_amount]] &gt; 3300000, "larger size (&gt; 33L)")</f>
        <v>medium size (&lt;=33L)</v>
      </c>
      <c r="AM225" s="2">
        <f>IF(Table1[[#This Row],[dpd]] &gt;=30,1,0)</f>
        <v>1</v>
      </c>
      <c r="AN225" s="2">
        <f>COUNTIFS(Table1[Loan size],Table1[[#This Row],[Loan size]],Table1[dpd flag],1)/COUNTIF(Table1[Loan size],Table1[[#This Row],[Loan size]])</f>
        <v>0.15909090909090909</v>
      </c>
      <c r="AO225" s="2" t="str">
        <f>IF(OR(Table1[[#This Row],[credit_score]] &lt; 600, Table1[ [#This Row],[dti_ratio] ] &gt; 0.5, Table1[[#This Row],[dpd]] &gt;=30), "high risk", " not riskY")</f>
        <v>high risk</v>
      </c>
      <c r="AP225" s="26">
        <f>EOMONTH(Table1[[#This Row],[origination_date]],0)</f>
        <v>45443</v>
      </c>
      <c r="AQ225" s="2">
        <f>SUMIFS(Table1[loan_amount],Table1[origination month],Table1[[#This Row],[origination month]])</f>
        <v>9661400</v>
      </c>
      <c r="AR225" s="2">
        <f>AVERAGEIFS(Table1[months_on_book],Table1[product],Table1[[#This Row],[product]])</f>
        <v>21.962962962962962</v>
      </c>
      <c r="AS225" s="2" t="str">
        <f ca="1">IF(EDATE(Table1[[#This Row],[origination_date]],6) &gt;= TODAY(), "New Loan", "Old Loan")</f>
        <v>Old Loan</v>
      </c>
      <c r="AT225" s="2" t="str">
        <f>"Q"&amp;ROUNDUP(MONTH(Table1[[#This Row],[origination_date]])/3,0)&amp;YEAR(Table1[[#This Row],[origination_date]])</f>
        <v>Q22024</v>
      </c>
      <c r="AU225" s="2">
        <f>SUMIFS(Table1[loan_amount],Table1[quarter],Table1[[#This Row],[quarter]])</f>
        <v>46342100</v>
      </c>
      <c r="AV225" s="34" t="str">
        <f>_xlfn.TEXTJOIN("|",TRUE,Table1[[#This Row],[loan_id]:[loan_status]])</f>
        <v>L55094029|C7510748|45431|Education Loan|Branch|South|Salaried|60|971100|11.86|21533|706791|706|B|0.31|0.84|0|19|357004|687039|30|0|0|Delinquent</v>
      </c>
      <c r="AW225" s="42">
        <f>YEAR(Loan_Table[ [#This Row],[origination_date] ])</f>
        <v>2025</v>
      </c>
    </row>
    <row r="226" spans="2:49" ht="18" customHeight="1">
      <c r="B226" s="5" t="s">
        <v>572</v>
      </c>
      <c r="C226" s="2" t="s">
        <v>573</v>
      </c>
      <c r="D226" s="3">
        <v>45406</v>
      </c>
      <c r="E226" s="2" t="s">
        <v>131</v>
      </c>
      <c r="F226" s="2" t="s">
        <v>159</v>
      </c>
      <c r="G226" s="2" t="s">
        <v>170</v>
      </c>
      <c r="H226" s="2" t="s">
        <v>134</v>
      </c>
      <c r="I226" s="2">
        <v>180</v>
      </c>
      <c r="J226" s="2">
        <v>431600</v>
      </c>
      <c r="K226" s="2">
        <v>22.58</v>
      </c>
      <c r="L226" s="2">
        <v>8415</v>
      </c>
      <c r="M226" s="2">
        <v>926390</v>
      </c>
      <c r="N226" s="2">
        <v>584</v>
      </c>
      <c r="O226" s="2" t="s">
        <v>166</v>
      </c>
      <c r="P226" s="2">
        <v>0.3</v>
      </c>
      <c r="Q226" s="2">
        <v>0.71</v>
      </c>
      <c r="R226" s="2">
        <v>0</v>
      </c>
      <c r="S226" s="2">
        <v>20</v>
      </c>
      <c r="T226" s="2">
        <v>156992</v>
      </c>
      <c r="U226" s="2">
        <v>339578</v>
      </c>
      <c r="V226" s="2">
        <v>15</v>
      </c>
      <c r="W226" s="2">
        <v>0</v>
      </c>
      <c r="X226" s="2">
        <v>0</v>
      </c>
      <c r="Y226" s="2" t="s">
        <v>148</v>
      </c>
      <c r="Z226" s="12">
        <f>SUMIF(Table1[product],Table1[[#This Row],[product]],Table1[loan_amount])</f>
        <v>74897600</v>
      </c>
      <c r="AA226" s="15">
        <f>SUMIF(Table1[region],Table1[[#This Row],[region]],Table1[current_balance])</f>
        <v>83297251</v>
      </c>
      <c r="AB226" s="2">
        <f>COUNTIF(Table1[loan_status],Table1[[#This Row],[loan_status]])</f>
        <v>301</v>
      </c>
      <c r="AC226" s="2">
        <f>COUNTIF(Table1[default_flag],1)/ROWS(Table1[loan_id])</f>
        <v>2.5999999999999999E-2</v>
      </c>
      <c r="AD226" s="2">
        <f>COUNTIFS(Table1[region],Table1[[#This Row],[region]],Table1[default_flag],1)/COUNTIF(Table1[region],Table1[[#This Row],[region]])</f>
        <v>3.1914893617021274E-2</v>
      </c>
      <c r="AE226" s="2">
        <f>COUNTIFS(Table1[channel],Table1[[#This Row],[channel]],Table1[prepayment_flag],1)/COUNTIF(Table1[channel],Table1[[#This Row],[channel]])</f>
        <v>0.1</v>
      </c>
      <c r="AF226" s="2">
        <f>AVERAGEIFS(Table1[interest_rate_pct],Table1[product],Table1[[#This Row],[product]],Table1[risk_band],Table1[[#This Row],[risk_band]])</f>
        <v>23.803750000000001</v>
      </c>
      <c r="AG226" s="2" t="str" cm="1">
        <f t="array" ref="AG226">_xlfn.IFS(Table1[[#This Row],[dti_ratio]] &lt; 0.2, " less than 0.2", Table1[[#This Row],[dti_ratio]] &lt; 0.3, "0.2 - 0.3", Table1[[#This Row],[dti_ratio]] &lt;= 0.5, "0.35 - 0.5", Table1[[#This Row],[dti_ratio]] &gt; 0.5, "greater than 0.5")</f>
        <v>0.35 - 0.5</v>
      </c>
      <c r="AH226" s="2">
        <f>COUNTIF(Table1[DTI band],Table1[[#This Row],[DTI band]])</f>
        <v>260</v>
      </c>
      <c r="AI226" s="2" t="str" cm="1">
        <f t="array" ref="AI226">_xlfn.IFS(Table1[[#This Row],[ltv_ratio]] &lt; 0.6, "less than 0.6 -less risky", Table1[[#This Row],[ltv_ratio]]  &lt;= 0.8, "0.6 - 0.8 -medium risky",Table1[[#This Row],[ltv_ratio]] &gt; 0.8, "greater than 0.8 -highly risky")</f>
        <v>0.6 - 0.8 -medium risky</v>
      </c>
      <c r="AJ226" s="2">
        <f>COUNTIF(Table1[LTV band],Table1[[#This Row],[LTV band]])</f>
        <v>302</v>
      </c>
      <c r="AK226" s="2">
        <f>COUNTIFS(Table1[count_loan_perband],Table1[[#This Row],[count_loan_perband]],Table1[default_flag],1)/COUNTIF(Table1[count_loan_perband],Table1[[#This Row],[count_loan_perband]])</f>
        <v>3.6423841059602648E-2</v>
      </c>
      <c r="AL226" s="2" t="str" cm="1">
        <f t="array" ref="AL226">_xlfn.IFS(Table1[[#This Row],[loan_amount]] &lt; 900000, "lower size (&lt; 9L)", Table1[[#This Row],[loan_amount]] &lt;=3300000, "medium size (&lt;=33L)", Table1[[#This Row],[loan_amount]] &gt; 3300000, "larger size (&gt; 33L)")</f>
        <v>lower size (&lt; 9L)</v>
      </c>
      <c r="AM226" s="2">
        <f>IF(Table1[[#This Row],[dpd]] &gt;=30,1,0)</f>
        <v>0</v>
      </c>
      <c r="AN226" s="2">
        <f>COUNTIFS(Table1[Loan size],Table1[[#This Row],[Loan size]],Table1[dpd flag],1)/COUNTIF(Table1[Loan size],Table1[[#This Row],[Loan size]])</f>
        <v>0.13934426229508196</v>
      </c>
      <c r="AO226" s="2" t="str">
        <f>IF(OR(Table1[[#This Row],[credit_score]] &lt; 600, Table1[ [#This Row],[dti_ratio] ] &gt; 0.5, Table1[[#This Row],[dpd]] &gt;=30), "high risk", " not riskY")</f>
        <v>high risk</v>
      </c>
      <c r="AP226" s="26">
        <f>EOMONTH(Table1[[#This Row],[origination_date]],0)</f>
        <v>45412</v>
      </c>
      <c r="AQ226" s="2">
        <f>SUMIFS(Table1[loan_amount],Table1[origination month],Table1[[#This Row],[origination month]])</f>
        <v>8055200</v>
      </c>
      <c r="AR226" s="2">
        <f>AVERAGEIFS(Table1[months_on_book],Table1[product],Table1[[#This Row],[product]])</f>
        <v>21.092024539877301</v>
      </c>
      <c r="AS226" s="2" t="str">
        <f ca="1">IF(EDATE(Table1[[#This Row],[origination_date]],6) &gt;= TODAY(), "New Loan", "Old Loan")</f>
        <v>Old Loan</v>
      </c>
      <c r="AT226" s="2" t="str">
        <f>"Q"&amp;ROUNDUP(MONTH(Table1[[#This Row],[origination_date]])/3,0)&amp;YEAR(Table1[[#This Row],[origination_date]])</f>
        <v>Q22024</v>
      </c>
      <c r="AU226" s="2">
        <f>SUMIFS(Table1[loan_amount],Table1[quarter],Table1[[#This Row],[quarter]])</f>
        <v>46342100</v>
      </c>
      <c r="AV226" s="34" t="str">
        <f>_xlfn.TEXTJOIN("|",TRUE,Table1[[#This Row],[loan_id]:[loan_status]])</f>
        <v>L88710583|C6503892|45406|Personal Loan|Partner|East|Salaried|180|431600|22.58|8415|926390|584|E|0.3|0.71|0|20|156992|339578|15|0|0|Active</v>
      </c>
      <c r="AW226" s="42">
        <f>YEAR(Loan_Table[ [#This Row],[origination_date] ])</f>
        <v>2025</v>
      </c>
    </row>
    <row r="227" spans="2:49" ht="18" customHeight="1">
      <c r="B227" s="5" t="s">
        <v>574</v>
      </c>
      <c r="C227" s="2" t="s">
        <v>575</v>
      </c>
      <c r="D227" s="3">
        <v>45469</v>
      </c>
      <c r="E227" s="2" t="s">
        <v>169</v>
      </c>
      <c r="F227" s="2" t="s">
        <v>144</v>
      </c>
      <c r="G227" s="2" t="s">
        <v>139</v>
      </c>
      <c r="H227" s="2" t="s">
        <v>134</v>
      </c>
      <c r="I227" s="2">
        <v>120</v>
      </c>
      <c r="J227" s="2">
        <v>4082100</v>
      </c>
      <c r="K227" s="2">
        <v>10.37</v>
      </c>
      <c r="L227" s="2">
        <v>54785</v>
      </c>
      <c r="M227" s="2">
        <v>713171</v>
      </c>
      <c r="N227" s="2">
        <v>699</v>
      </c>
      <c r="O227" s="2" t="s">
        <v>140</v>
      </c>
      <c r="P227" s="2">
        <v>0.28999999999999998</v>
      </c>
      <c r="Q227" s="2">
        <v>0.77</v>
      </c>
      <c r="R227" s="2">
        <v>5287900</v>
      </c>
      <c r="S227" s="2">
        <v>18</v>
      </c>
      <c r="T227" s="2">
        <v>997818</v>
      </c>
      <c r="U227" s="2">
        <v>3338270</v>
      </c>
      <c r="V227" s="2">
        <v>0</v>
      </c>
      <c r="W227" s="2">
        <v>0</v>
      </c>
      <c r="X227" s="2">
        <v>0</v>
      </c>
      <c r="Y227" s="2" t="s">
        <v>148</v>
      </c>
      <c r="Z227" s="12">
        <f>SUMIF(Table1[product],Table1[[#This Row],[product]],Table1[loan_amount])</f>
        <v>403369500</v>
      </c>
      <c r="AA227" s="15">
        <f>SUMIF(Table1[region],Table1[[#This Row],[region]],Table1[current_balance])</f>
        <v>83903255</v>
      </c>
      <c r="AB227" s="2">
        <f>COUNTIF(Table1[loan_status],Table1[[#This Row],[loan_status]])</f>
        <v>301</v>
      </c>
      <c r="AC227" s="2">
        <f>COUNTIF(Table1[default_flag],1)/ROWS(Table1[loan_id])</f>
        <v>2.5999999999999999E-2</v>
      </c>
      <c r="AD227" s="2">
        <f>COUNTIFS(Table1[region],Table1[[#This Row],[region]],Table1[default_flag],1)/COUNTIF(Table1[region],Table1[[#This Row],[region]])</f>
        <v>4.2553191489361701E-2</v>
      </c>
      <c r="AE227" s="2">
        <f>COUNTIFS(Table1[channel],Table1[[#This Row],[channel]],Table1[prepayment_flag],1)/COUNTIF(Table1[channel],Table1[[#This Row],[channel]])</f>
        <v>5.8201058201058198E-2</v>
      </c>
      <c r="AF227" s="2">
        <f>AVERAGEIFS(Table1[interest_rate_pct],Table1[product],Table1[[#This Row],[product]],Table1[risk_band],Table1[[#This Row],[risk_band]])</f>
        <v>11.719736842105268</v>
      </c>
      <c r="AG227" s="2" t="str" cm="1">
        <f t="array" ref="AG227">_xlfn.IFS(Table1[[#This Row],[dti_ratio]] &lt; 0.2, " less than 0.2", Table1[[#This Row],[dti_ratio]] &lt; 0.3, "0.2 - 0.3", Table1[[#This Row],[dti_ratio]] &lt;= 0.5, "0.35 - 0.5", Table1[[#This Row],[dti_ratio]] &gt; 0.5, "greater than 0.5")</f>
        <v>0.2 - 0.3</v>
      </c>
      <c r="AH227" s="2">
        <f>COUNTIF(Table1[DTI band],Table1[[#This Row],[DTI band]])</f>
        <v>122</v>
      </c>
      <c r="AI227" s="2" t="str" cm="1">
        <f t="array" ref="AI227">_xlfn.IFS(Table1[[#This Row],[ltv_ratio]] &lt; 0.6, "less than 0.6 -less risky", Table1[[#This Row],[ltv_ratio]]  &lt;= 0.8, "0.6 - 0.8 -medium risky",Table1[[#This Row],[ltv_ratio]] &gt; 0.8, "greater than 0.8 -highly risky")</f>
        <v>0.6 - 0.8 -medium risky</v>
      </c>
      <c r="AJ227" s="2">
        <f>COUNTIF(Table1[LTV band],Table1[[#This Row],[LTV band]])</f>
        <v>302</v>
      </c>
      <c r="AK227" s="2">
        <f>COUNTIFS(Table1[count_loan_perband],Table1[[#This Row],[count_loan_perband]],Table1[default_flag],1)/COUNTIF(Table1[count_loan_perband],Table1[[#This Row],[count_loan_perband]])</f>
        <v>3.6423841059602648E-2</v>
      </c>
      <c r="AL227" s="2" t="str" cm="1">
        <f t="array" ref="AL227">_xlfn.IFS(Table1[[#This Row],[loan_amount]] &lt; 900000, "lower size (&lt; 9L)", Table1[[#This Row],[loan_amount]] &lt;=3300000, "medium size (&lt;=33L)", Table1[[#This Row],[loan_amount]] &gt; 3300000, "larger size (&gt; 33L)")</f>
        <v>larger size (&gt; 33L)</v>
      </c>
      <c r="AM227" s="2">
        <f>IF(Table1[[#This Row],[dpd]] &gt;=30,1,0)</f>
        <v>0</v>
      </c>
      <c r="AN227" s="2">
        <f>COUNTIFS(Table1[Loan size],Table1[[#This Row],[Loan size]],Table1[dpd flag],1)/COUNTIF(Table1[Loan size],Table1[[#This Row],[Loan size]])</f>
        <v>0.16250000000000001</v>
      </c>
      <c r="AO227" s="2" t="str">
        <f>IF(OR(Table1[[#This Row],[credit_score]] &lt; 600, Table1[ [#This Row],[dti_ratio] ] &gt; 0.5, Table1[[#This Row],[dpd]] &gt;=30), "high risk", " not riskY")</f>
        <v xml:space="preserve"> not riskY</v>
      </c>
      <c r="AP227" s="26">
        <f>EOMONTH(Table1[[#This Row],[origination_date]],0)</f>
        <v>45473</v>
      </c>
      <c r="AQ227" s="2">
        <f>SUMIFS(Table1[loan_amount],Table1[origination month],Table1[[#This Row],[origination month]])</f>
        <v>28625500</v>
      </c>
      <c r="AR227" s="2">
        <f>AVERAGEIFS(Table1[months_on_book],Table1[product],Table1[[#This Row],[product]])</f>
        <v>20.516129032258064</v>
      </c>
      <c r="AS227" s="2" t="str">
        <f ca="1">IF(EDATE(Table1[[#This Row],[origination_date]],6) &gt;= TODAY(), "New Loan", "Old Loan")</f>
        <v>Old Loan</v>
      </c>
      <c r="AT227" s="2" t="str">
        <f>"Q"&amp;ROUNDUP(MONTH(Table1[[#This Row],[origination_date]])/3,0)&amp;YEAR(Table1[[#This Row],[origination_date]])</f>
        <v>Q22024</v>
      </c>
      <c r="AU227" s="2">
        <f>SUMIFS(Table1[loan_amount],Table1[quarter],Table1[[#This Row],[quarter]])</f>
        <v>46342100</v>
      </c>
      <c r="AV227" s="34" t="str">
        <f>_xlfn.TEXTJOIN("|",TRUE,Table1[[#This Row],[loan_id]:[loan_status]])</f>
        <v>L11990275|C1361361|45469|Home Loan|Branch|West|Salaried|120|4082100|10.37|54785|713171|699|C|0.29|0.77|5287900|18|997818|3338270|0|0|0|Active</v>
      </c>
      <c r="AW227" s="42">
        <f>YEAR(Loan_Table[ [#This Row],[origination_date] ])</f>
        <v>2025</v>
      </c>
    </row>
    <row r="228" spans="2:49" ht="18" customHeight="1">
      <c r="B228" s="5" t="s">
        <v>576</v>
      </c>
      <c r="C228" s="2" t="s">
        <v>577</v>
      </c>
      <c r="D228" s="3">
        <v>45451</v>
      </c>
      <c r="E228" s="2" t="s">
        <v>169</v>
      </c>
      <c r="F228" s="2" t="s">
        <v>144</v>
      </c>
      <c r="G228" s="2" t="s">
        <v>170</v>
      </c>
      <c r="H228" s="2" t="s">
        <v>192</v>
      </c>
      <c r="I228" s="2">
        <v>36</v>
      </c>
      <c r="J228" s="2">
        <v>435500</v>
      </c>
      <c r="K228" s="2">
        <v>7.38</v>
      </c>
      <c r="L228" s="2">
        <v>13523</v>
      </c>
      <c r="M228" s="2">
        <v>738181</v>
      </c>
      <c r="N228" s="2">
        <v>747</v>
      </c>
      <c r="O228" s="2" t="s">
        <v>135</v>
      </c>
      <c r="P228" s="2">
        <v>0.28000000000000003</v>
      </c>
      <c r="Q228" s="2">
        <v>0.92</v>
      </c>
      <c r="R228" s="2">
        <v>471800</v>
      </c>
      <c r="S228" s="2">
        <v>18</v>
      </c>
      <c r="T228" s="2">
        <v>224620</v>
      </c>
      <c r="U228" s="2">
        <v>230164</v>
      </c>
      <c r="V228" s="2">
        <v>0</v>
      </c>
      <c r="W228" s="2">
        <v>0</v>
      </c>
      <c r="X228" s="2">
        <v>0</v>
      </c>
      <c r="Y228" s="2" t="s">
        <v>148</v>
      </c>
      <c r="Z228" s="12">
        <f>SUMIF(Table1[product],Table1[[#This Row],[product]],Table1[loan_amount])</f>
        <v>403369500</v>
      </c>
      <c r="AA228" s="15">
        <f>SUMIF(Table1[region],Table1[[#This Row],[region]],Table1[current_balance])</f>
        <v>83297251</v>
      </c>
      <c r="AB228" s="2">
        <f>COUNTIF(Table1[loan_status],Table1[[#This Row],[loan_status]])</f>
        <v>301</v>
      </c>
      <c r="AC228" s="2">
        <f>COUNTIF(Table1[default_flag],1)/ROWS(Table1[loan_id])</f>
        <v>2.5999999999999999E-2</v>
      </c>
      <c r="AD228" s="2">
        <f>COUNTIFS(Table1[region],Table1[[#This Row],[region]],Table1[default_flag],1)/COUNTIF(Table1[region],Table1[[#This Row],[region]])</f>
        <v>3.1914893617021274E-2</v>
      </c>
      <c r="AE228" s="2">
        <f>COUNTIFS(Table1[channel],Table1[[#This Row],[channel]],Table1[prepayment_flag],1)/COUNTIF(Table1[channel],Table1[[#This Row],[channel]])</f>
        <v>5.8201058201058198E-2</v>
      </c>
      <c r="AF228" s="2">
        <f>AVERAGEIFS(Table1[interest_rate_pct],Table1[product],Table1[[#This Row],[product]],Table1[risk_band],Table1[[#This Row],[risk_band]])</f>
        <v>8.8557142857142868</v>
      </c>
      <c r="AG228" s="2" t="str" cm="1">
        <f t="array" ref="AG228">_xlfn.IFS(Table1[[#This Row],[dti_ratio]] &lt; 0.2, " less than 0.2", Table1[[#This Row],[dti_ratio]] &lt; 0.3, "0.2 - 0.3", Table1[[#This Row],[dti_ratio]] &lt;= 0.5, "0.35 - 0.5", Table1[[#This Row],[dti_ratio]] &gt; 0.5, "greater than 0.5")</f>
        <v>0.2 - 0.3</v>
      </c>
      <c r="AH228" s="2">
        <f>COUNTIF(Table1[DTI band],Table1[[#This Row],[DTI band]])</f>
        <v>122</v>
      </c>
      <c r="AI228" s="2" t="str" cm="1">
        <f t="array" ref="AI228">_xlfn.IFS(Table1[[#This Row],[ltv_ratio]] &lt; 0.6, "less than 0.6 -less risky", Table1[[#This Row],[ltv_ratio]]  &lt;= 0.8, "0.6 - 0.8 -medium risky",Table1[[#This Row],[ltv_ratio]] &gt; 0.8, "greater than 0.8 -highly risky")</f>
        <v>greater than 0.8 -highly risky</v>
      </c>
      <c r="AJ228" s="2">
        <f>COUNTIF(Table1[LTV band],Table1[[#This Row],[LTV band]])</f>
        <v>141</v>
      </c>
      <c r="AK228" s="2">
        <f>COUNTIFS(Table1[count_loan_perband],Table1[[#This Row],[count_loan_perband]],Table1[default_flag],1)/COUNTIF(Table1[count_loan_perband],Table1[[#This Row],[count_loan_perband]])</f>
        <v>1.4184397163120567E-2</v>
      </c>
      <c r="AL228" s="2" t="str" cm="1">
        <f t="array" ref="AL228">_xlfn.IFS(Table1[[#This Row],[loan_amount]] &lt; 900000, "lower size (&lt; 9L)", Table1[[#This Row],[loan_amount]] &lt;=3300000, "medium size (&lt;=33L)", Table1[[#This Row],[loan_amount]] &gt; 3300000, "larger size (&gt; 33L)")</f>
        <v>lower size (&lt; 9L)</v>
      </c>
      <c r="AM228" s="2">
        <f>IF(Table1[[#This Row],[dpd]] &gt;=30,1,0)</f>
        <v>0</v>
      </c>
      <c r="AN228" s="2">
        <f>COUNTIFS(Table1[Loan size],Table1[[#This Row],[Loan size]],Table1[dpd flag],1)/COUNTIF(Table1[Loan size],Table1[[#This Row],[Loan size]])</f>
        <v>0.13934426229508196</v>
      </c>
      <c r="AO228" s="2" t="str">
        <f>IF(OR(Table1[[#This Row],[credit_score]] &lt; 600, Table1[ [#This Row],[dti_ratio] ] &gt; 0.5, Table1[[#This Row],[dpd]] &gt;=30), "high risk", " not riskY")</f>
        <v xml:space="preserve"> not riskY</v>
      </c>
      <c r="AP228" s="26">
        <f>EOMONTH(Table1[[#This Row],[origination_date]],0)</f>
        <v>45473</v>
      </c>
      <c r="AQ228" s="2">
        <f>SUMIFS(Table1[loan_amount],Table1[origination month],Table1[[#This Row],[origination month]])</f>
        <v>28625500</v>
      </c>
      <c r="AR228" s="2">
        <f>AVERAGEIFS(Table1[months_on_book],Table1[product],Table1[[#This Row],[product]])</f>
        <v>20.516129032258064</v>
      </c>
      <c r="AS228" s="2" t="str">
        <f ca="1">IF(EDATE(Table1[[#This Row],[origination_date]],6) &gt;= TODAY(), "New Loan", "Old Loan")</f>
        <v>Old Loan</v>
      </c>
      <c r="AT228" s="2" t="str">
        <f>"Q"&amp;ROUNDUP(MONTH(Table1[[#This Row],[origination_date]])/3,0)&amp;YEAR(Table1[[#This Row],[origination_date]])</f>
        <v>Q22024</v>
      </c>
      <c r="AU228" s="2">
        <f>SUMIFS(Table1[loan_amount],Table1[quarter],Table1[[#This Row],[quarter]])</f>
        <v>46342100</v>
      </c>
      <c r="AV228" s="34" t="str">
        <f>_xlfn.TEXTJOIN("|",TRUE,Table1[[#This Row],[loan_id]:[loan_status]])</f>
        <v>L58802020|C1110724|45451|Home Loan|Branch|East|Unemployed|36|435500|7.38|13523|738181|747|B|0.28|0.92|471800|18|224620|230164|0|0|0|Active</v>
      </c>
      <c r="AW228" s="42">
        <f>YEAR(Loan_Table[ [#This Row],[origination_date] ])</f>
        <v>2025</v>
      </c>
    </row>
    <row r="229" spans="2:49" ht="18" customHeight="1">
      <c r="B229" s="5" t="s">
        <v>578</v>
      </c>
      <c r="C229" s="2" t="s">
        <v>579</v>
      </c>
      <c r="D229" s="3">
        <v>45398</v>
      </c>
      <c r="E229" s="2" t="s">
        <v>177</v>
      </c>
      <c r="F229" s="2" t="s">
        <v>132</v>
      </c>
      <c r="G229" s="2" t="s">
        <v>139</v>
      </c>
      <c r="H229" s="2" t="s">
        <v>134</v>
      </c>
      <c r="I229" s="2">
        <v>180</v>
      </c>
      <c r="J229" s="2">
        <v>1687700</v>
      </c>
      <c r="K229" s="2">
        <v>15.06</v>
      </c>
      <c r="L229" s="2">
        <v>23690</v>
      </c>
      <c r="M229" s="2">
        <v>781138</v>
      </c>
      <c r="N229" s="2">
        <v>624</v>
      </c>
      <c r="O229" s="2" t="s">
        <v>147</v>
      </c>
      <c r="P229" s="2">
        <v>0.27</v>
      </c>
      <c r="Q229" s="2">
        <v>0.68</v>
      </c>
      <c r="R229" s="2">
        <v>0</v>
      </c>
      <c r="S229" s="2">
        <v>20</v>
      </c>
      <c r="T229" s="2">
        <v>477731</v>
      </c>
      <c r="U229" s="2">
        <v>1379414</v>
      </c>
      <c r="V229" s="2">
        <v>0</v>
      </c>
      <c r="W229" s="2">
        <v>0</v>
      </c>
      <c r="X229" s="2">
        <v>0</v>
      </c>
      <c r="Y229" s="2" t="s">
        <v>148</v>
      </c>
      <c r="Z229" s="12">
        <f>SUMIF(Table1[product],Table1[[#This Row],[product]],Table1[loan_amount])</f>
        <v>62765800</v>
      </c>
      <c r="AA229" s="15">
        <f>SUMIF(Table1[region],Table1[[#This Row],[region]],Table1[current_balance])</f>
        <v>83903255</v>
      </c>
      <c r="AB229" s="2">
        <f>COUNTIF(Table1[loan_status],Table1[[#This Row],[loan_status]])</f>
        <v>301</v>
      </c>
      <c r="AC229" s="2">
        <f>COUNTIF(Table1[default_flag],1)/ROWS(Table1[loan_id])</f>
        <v>2.5999999999999999E-2</v>
      </c>
      <c r="AD229" s="2">
        <f>COUNTIFS(Table1[region],Table1[[#This Row],[region]],Table1[default_flag],1)/COUNTIF(Table1[region],Table1[[#This Row],[region]])</f>
        <v>4.2553191489361701E-2</v>
      </c>
      <c r="AE229" s="2">
        <f>COUNTIFS(Table1[channel],Table1[[#This Row],[channel]],Table1[prepayment_flag],1)/COUNTIF(Table1[channel],Table1[[#This Row],[channel]])</f>
        <v>7.1090047393364927E-2</v>
      </c>
      <c r="AF229" s="2">
        <f>AVERAGEIFS(Table1[interest_rate_pct],Table1[product],Table1[[#This Row],[product]],Table1[risk_band],Table1[[#This Row],[risk_band]])</f>
        <v>15.810000000000002</v>
      </c>
      <c r="AG229" s="2" t="str" cm="1">
        <f t="array" ref="AG229">_xlfn.IFS(Table1[[#This Row],[dti_ratio]] &lt; 0.2, " less than 0.2", Table1[[#This Row],[dti_ratio]] &lt; 0.3, "0.2 - 0.3", Table1[[#This Row],[dti_ratio]] &lt;= 0.5, "0.35 - 0.5", Table1[[#This Row],[dti_ratio]] &gt; 0.5, "greater than 0.5")</f>
        <v>0.2 - 0.3</v>
      </c>
      <c r="AH229" s="2">
        <f>COUNTIF(Table1[DTI band],Table1[[#This Row],[DTI band]])</f>
        <v>122</v>
      </c>
      <c r="AI229" s="2" t="str" cm="1">
        <f t="array" ref="AI229">_xlfn.IFS(Table1[[#This Row],[ltv_ratio]] &lt; 0.6, "less than 0.6 -less risky", Table1[[#This Row],[ltv_ratio]]  &lt;= 0.8, "0.6 - 0.8 -medium risky",Table1[[#This Row],[ltv_ratio]] &gt; 0.8, "greater than 0.8 -highly risky")</f>
        <v>0.6 - 0.8 -medium risky</v>
      </c>
      <c r="AJ229" s="2">
        <f>COUNTIF(Table1[LTV band],Table1[[#This Row],[LTV band]])</f>
        <v>302</v>
      </c>
      <c r="AK229" s="2">
        <f>COUNTIFS(Table1[count_loan_perband],Table1[[#This Row],[count_loan_perband]],Table1[default_flag],1)/COUNTIF(Table1[count_loan_perband],Table1[[#This Row],[count_loan_perband]])</f>
        <v>3.6423841059602648E-2</v>
      </c>
      <c r="AL229" s="2" t="str" cm="1">
        <f t="array" ref="AL229">_xlfn.IFS(Table1[[#This Row],[loan_amount]] &lt; 900000, "lower size (&lt; 9L)", Table1[[#This Row],[loan_amount]] &lt;=3300000, "medium size (&lt;=33L)", Table1[[#This Row],[loan_amount]] &gt; 3300000, "larger size (&gt; 33L)")</f>
        <v>medium size (&lt;=33L)</v>
      </c>
      <c r="AM229" s="2">
        <f>IF(Table1[[#This Row],[dpd]] &gt;=30,1,0)</f>
        <v>0</v>
      </c>
      <c r="AN229" s="2">
        <f>COUNTIFS(Table1[Loan size],Table1[[#This Row],[Loan size]],Table1[dpd flag],1)/COUNTIF(Table1[Loan size],Table1[[#This Row],[Loan size]])</f>
        <v>0.15909090909090909</v>
      </c>
      <c r="AO229" s="2" t="str">
        <f>IF(OR(Table1[[#This Row],[credit_score]] &lt; 600, Table1[ [#This Row],[dti_ratio] ] &gt; 0.5, Table1[[#This Row],[dpd]] &gt;=30), "high risk", " not riskY")</f>
        <v xml:space="preserve"> not riskY</v>
      </c>
      <c r="AP229" s="26">
        <f>EOMONTH(Table1[[#This Row],[origination_date]],0)</f>
        <v>45412</v>
      </c>
      <c r="AQ229" s="2">
        <f>SUMIFS(Table1[loan_amount],Table1[origination month],Table1[[#This Row],[origination month]])</f>
        <v>8055200</v>
      </c>
      <c r="AR229" s="2">
        <f>AVERAGEIFS(Table1[months_on_book],Table1[product],Table1[[#This Row],[product]])</f>
        <v>21.962962962962962</v>
      </c>
      <c r="AS229" s="2" t="str">
        <f ca="1">IF(EDATE(Table1[[#This Row],[origination_date]],6) &gt;= TODAY(), "New Loan", "Old Loan")</f>
        <v>Old Loan</v>
      </c>
      <c r="AT229" s="2" t="str">
        <f>"Q"&amp;ROUNDUP(MONTH(Table1[[#This Row],[origination_date]])/3,0)&amp;YEAR(Table1[[#This Row],[origination_date]])</f>
        <v>Q22024</v>
      </c>
      <c r="AU229" s="2">
        <f>SUMIFS(Table1[loan_amount],Table1[quarter],Table1[[#This Row],[quarter]])</f>
        <v>46342100</v>
      </c>
      <c r="AV229" s="34" t="str">
        <f>_xlfn.TEXTJOIN("|",TRUE,Table1[[#This Row],[loan_id]:[loan_status]])</f>
        <v>L11616527|C6327669|45398|Education Loan|Online|West|Salaried|180|1687700|15.06|23690|781138|624|D|0.27|0.68|0|20|477731|1379414|0|0|0|Active</v>
      </c>
      <c r="AW229" s="42">
        <f>YEAR(Loan_Table[ [#This Row],[origination_date] ])</f>
        <v>2025</v>
      </c>
    </row>
    <row r="230" spans="2:49" ht="18" customHeight="1">
      <c r="B230" s="5" t="s">
        <v>580</v>
      </c>
      <c r="C230" s="2" t="s">
        <v>581</v>
      </c>
      <c r="D230" s="3">
        <v>45449</v>
      </c>
      <c r="E230" s="2" t="s">
        <v>169</v>
      </c>
      <c r="F230" s="2" t="s">
        <v>213</v>
      </c>
      <c r="G230" s="2" t="s">
        <v>151</v>
      </c>
      <c r="H230" s="2" t="s">
        <v>134</v>
      </c>
      <c r="I230" s="2">
        <v>180</v>
      </c>
      <c r="J230" s="2">
        <v>3794600</v>
      </c>
      <c r="K230" s="2">
        <v>10.49</v>
      </c>
      <c r="L230" s="2">
        <v>41922</v>
      </c>
      <c r="M230" s="2">
        <v>565107</v>
      </c>
      <c r="N230" s="2">
        <v>707</v>
      </c>
      <c r="O230" s="2" t="s">
        <v>135</v>
      </c>
      <c r="P230" s="2">
        <v>0.24</v>
      </c>
      <c r="Q230" s="2">
        <v>0.69</v>
      </c>
      <c r="R230" s="2">
        <v>5495300</v>
      </c>
      <c r="S230" s="2">
        <v>18</v>
      </c>
      <c r="T230" s="2">
        <v>665232</v>
      </c>
      <c r="U230" s="2">
        <v>3368200</v>
      </c>
      <c r="V230" s="2">
        <v>0</v>
      </c>
      <c r="W230" s="2">
        <v>1</v>
      </c>
      <c r="X230" s="2">
        <v>0</v>
      </c>
      <c r="Y230" s="2" t="s">
        <v>141</v>
      </c>
      <c r="Z230" s="12">
        <f>SUMIF(Table1[product],Table1[[#This Row],[product]],Table1[loan_amount])</f>
        <v>403369500</v>
      </c>
      <c r="AA230" s="15">
        <f>SUMIF(Table1[region],Table1[[#This Row],[region]],Table1[current_balance])</f>
        <v>105779369</v>
      </c>
      <c r="AB230" s="2">
        <f>COUNTIF(Table1[loan_status],Table1[[#This Row],[loan_status]])</f>
        <v>139</v>
      </c>
      <c r="AC230" s="2">
        <f>COUNTIF(Table1[default_flag],1)/ROWS(Table1[loan_id])</f>
        <v>2.5999999999999999E-2</v>
      </c>
      <c r="AD230" s="2">
        <f>COUNTIFS(Table1[region],Table1[[#This Row],[region]],Table1[default_flag],1)/COUNTIF(Table1[region],Table1[[#This Row],[region]])</f>
        <v>2.6548672566371681E-2</v>
      </c>
      <c r="AE230" s="2">
        <f>COUNTIFS(Table1[channel],Table1[[#This Row],[channel]],Table1[prepayment_flag],1)/COUNTIF(Table1[channel],Table1[[#This Row],[channel]])</f>
        <v>0.12</v>
      </c>
      <c r="AF230" s="2">
        <f>AVERAGEIFS(Table1[interest_rate_pct],Table1[product],Table1[[#This Row],[product]],Table1[risk_band],Table1[[#This Row],[risk_band]])</f>
        <v>8.8557142857142868</v>
      </c>
      <c r="AG230" s="2" t="str" cm="1">
        <f t="array" ref="AG230">_xlfn.IFS(Table1[[#This Row],[dti_ratio]] &lt; 0.2, " less than 0.2", Table1[[#This Row],[dti_ratio]] &lt; 0.3, "0.2 - 0.3", Table1[[#This Row],[dti_ratio]] &lt;= 0.5, "0.35 - 0.5", Table1[[#This Row],[dti_ratio]] &gt; 0.5, "greater than 0.5")</f>
        <v>0.2 - 0.3</v>
      </c>
      <c r="AH230" s="2">
        <f>COUNTIF(Table1[DTI band],Table1[[#This Row],[DTI band]])</f>
        <v>122</v>
      </c>
      <c r="AI230" s="2" t="str" cm="1">
        <f t="array" ref="AI230">_xlfn.IFS(Table1[[#This Row],[ltv_ratio]] &lt; 0.6, "less than 0.6 -less risky", Table1[[#This Row],[ltv_ratio]]  &lt;= 0.8, "0.6 - 0.8 -medium risky",Table1[[#This Row],[ltv_ratio]] &gt; 0.8, "greater than 0.8 -highly risky")</f>
        <v>0.6 - 0.8 -medium risky</v>
      </c>
      <c r="AJ230" s="2">
        <f>COUNTIF(Table1[LTV band],Table1[[#This Row],[LTV band]])</f>
        <v>302</v>
      </c>
      <c r="AK230" s="2">
        <f>COUNTIFS(Table1[count_loan_perband],Table1[[#This Row],[count_loan_perband]],Table1[default_flag],1)/COUNTIF(Table1[count_loan_perband],Table1[[#This Row],[count_loan_perband]])</f>
        <v>3.6423841059602648E-2</v>
      </c>
      <c r="AL230" s="2" t="str" cm="1">
        <f t="array" ref="AL230">_xlfn.IFS(Table1[[#This Row],[loan_amount]] &lt; 900000, "lower size (&lt; 9L)", Table1[[#This Row],[loan_amount]] &lt;=3300000, "medium size (&lt;=33L)", Table1[[#This Row],[loan_amount]] &gt; 3300000, "larger size (&gt; 33L)")</f>
        <v>larger size (&gt; 33L)</v>
      </c>
      <c r="AM230" s="2">
        <f>IF(Table1[[#This Row],[dpd]] &gt;=30,1,0)</f>
        <v>0</v>
      </c>
      <c r="AN230" s="2">
        <f>COUNTIFS(Table1[Loan size],Table1[[#This Row],[Loan size]],Table1[dpd flag],1)/COUNTIF(Table1[Loan size],Table1[[#This Row],[Loan size]])</f>
        <v>0.16250000000000001</v>
      </c>
      <c r="AO230" s="2" t="str">
        <f>IF(OR(Table1[[#This Row],[credit_score]] &lt; 600, Table1[ [#This Row],[dti_ratio] ] &gt; 0.5, Table1[[#This Row],[dpd]] &gt;=30), "high risk", " not riskY")</f>
        <v xml:space="preserve"> not riskY</v>
      </c>
      <c r="AP230" s="26">
        <f>EOMONTH(Table1[[#This Row],[origination_date]],0)</f>
        <v>45473</v>
      </c>
      <c r="AQ230" s="2">
        <f>SUMIFS(Table1[loan_amount],Table1[origination month],Table1[[#This Row],[origination month]])</f>
        <v>28625500</v>
      </c>
      <c r="AR230" s="2">
        <f>AVERAGEIFS(Table1[months_on_book],Table1[product],Table1[[#This Row],[product]])</f>
        <v>20.516129032258064</v>
      </c>
      <c r="AS230" s="2" t="str">
        <f ca="1">IF(EDATE(Table1[[#This Row],[origination_date]],6) &gt;= TODAY(), "New Loan", "Old Loan")</f>
        <v>Old Loan</v>
      </c>
      <c r="AT230" s="2" t="str">
        <f>"Q"&amp;ROUNDUP(MONTH(Table1[[#This Row],[origination_date]])/3,0)&amp;YEAR(Table1[[#This Row],[origination_date]])</f>
        <v>Q22024</v>
      </c>
      <c r="AU230" s="2">
        <f>SUMIFS(Table1[loan_amount],Table1[quarter],Table1[[#This Row],[quarter]])</f>
        <v>46342100</v>
      </c>
      <c r="AV230" s="34" t="str">
        <f>_xlfn.TEXTJOIN("|",TRUE,Table1[[#This Row],[loan_id]:[loan_status]])</f>
        <v>L40504942|C1855442|45449|Home Loan|Call Center|North|Salaried|180|3794600|10.49|41922|565107|707|B|0.24|0.69|5495300|18|665232|3368200|0|1|0|Closed</v>
      </c>
      <c r="AW230" s="42">
        <f>YEAR(Loan_Table[ [#This Row],[origination_date] ])</f>
        <v>2025</v>
      </c>
    </row>
    <row r="231" spans="2:49" ht="18" customHeight="1">
      <c r="B231" s="5" t="s">
        <v>582</v>
      </c>
      <c r="C231" s="2" t="s">
        <v>583</v>
      </c>
      <c r="D231" s="3">
        <v>45472</v>
      </c>
      <c r="E231" s="2" t="s">
        <v>169</v>
      </c>
      <c r="F231" s="2" t="s">
        <v>159</v>
      </c>
      <c r="G231" s="2" t="s">
        <v>145</v>
      </c>
      <c r="H231" s="2" t="s">
        <v>152</v>
      </c>
      <c r="I231" s="2">
        <v>120</v>
      </c>
      <c r="J231" s="2">
        <v>1864900</v>
      </c>
      <c r="K231" s="2">
        <v>9.08</v>
      </c>
      <c r="L231" s="2">
        <v>23705</v>
      </c>
      <c r="M231" s="2">
        <v>279305</v>
      </c>
      <c r="N231" s="2">
        <v>731</v>
      </c>
      <c r="O231" s="2" t="s">
        <v>135</v>
      </c>
      <c r="P231" s="2">
        <v>0.24</v>
      </c>
      <c r="Q231" s="2">
        <v>0.47</v>
      </c>
      <c r="R231" s="2">
        <v>3993300</v>
      </c>
      <c r="S231" s="2">
        <v>18</v>
      </c>
      <c r="T231" s="2">
        <v>416824</v>
      </c>
      <c r="U231" s="2">
        <v>1549676</v>
      </c>
      <c r="V231" s="2">
        <v>0</v>
      </c>
      <c r="W231" s="2">
        <v>0</v>
      </c>
      <c r="X231" s="2">
        <v>0</v>
      </c>
      <c r="Y231" s="2" t="s">
        <v>148</v>
      </c>
      <c r="Z231" s="12">
        <f>SUMIF(Table1[product],Table1[[#This Row],[product]],Table1[loan_amount])</f>
        <v>403369500</v>
      </c>
      <c r="AA231" s="15">
        <f>SUMIF(Table1[region],Table1[[#This Row],[region]],Table1[current_balance])</f>
        <v>98928695</v>
      </c>
      <c r="AB231" s="2">
        <f>COUNTIF(Table1[loan_status],Table1[[#This Row],[loan_status]])</f>
        <v>301</v>
      </c>
      <c r="AC231" s="2">
        <f>COUNTIF(Table1[default_flag],1)/ROWS(Table1[loan_id])</f>
        <v>2.5999999999999999E-2</v>
      </c>
      <c r="AD231" s="2">
        <f>COUNTIFS(Table1[region],Table1[[#This Row],[region]],Table1[default_flag],1)/COUNTIF(Table1[region],Table1[[#This Row],[region]])</f>
        <v>2.8571428571428571E-2</v>
      </c>
      <c r="AE231" s="2">
        <f>COUNTIFS(Table1[channel],Table1[[#This Row],[channel]],Table1[prepayment_flag],1)/COUNTIF(Table1[channel],Table1[[#This Row],[channel]])</f>
        <v>0.1</v>
      </c>
      <c r="AF231" s="2">
        <f>AVERAGEIFS(Table1[interest_rate_pct],Table1[product],Table1[[#This Row],[product]],Table1[risk_band],Table1[[#This Row],[risk_band]])</f>
        <v>8.8557142857142868</v>
      </c>
      <c r="AG231" s="2" t="str" cm="1">
        <f t="array" ref="AG231">_xlfn.IFS(Table1[[#This Row],[dti_ratio]] &lt; 0.2, " less than 0.2", Table1[[#This Row],[dti_ratio]] &lt; 0.3, "0.2 - 0.3", Table1[[#This Row],[dti_ratio]] &lt;= 0.5, "0.35 - 0.5", Table1[[#This Row],[dti_ratio]] &gt; 0.5, "greater than 0.5")</f>
        <v>0.2 - 0.3</v>
      </c>
      <c r="AH231" s="2">
        <f>COUNTIF(Table1[DTI band],Table1[[#This Row],[DTI band]])</f>
        <v>122</v>
      </c>
      <c r="AI231" s="2" t="str" cm="1">
        <f t="array" ref="AI231">_xlfn.IFS(Table1[[#This Row],[ltv_ratio]] &lt; 0.6, "less than 0.6 -less risky", Table1[[#This Row],[ltv_ratio]]  &lt;= 0.8, "0.6 - 0.8 -medium risky",Table1[[#This Row],[ltv_ratio]] &gt; 0.8, "greater than 0.8 -highly risky")</f>
        <v>less than 0.6 -less risky</v>
      </c>
      <c r="AJ231" s="2">
        <f>COUNTIF(Table1[LTV band],Table1[[#This Row],[LTV band]])</f>
        <v>57</v>
      </c>
      <c r="AK231" s="2">
        <f>COUNTIFS(Table1[count_loan_perband],Table1[[#This Row],[count_loan_perband]],Table1[default_flag],1)/COUNTIF(Table1[count_loan_perband],Table1[[#This Row],[count_loan_perband]])</f>
        <v>0</v>
      </c>
      <c r="AL231" s="2" t="str" cm="1">
        <f t="array" ref="AL231">_xlfn.IFS(Table1[[#This Row],[loan_amount]] &lt; 900000, "lower size (&lt; 9L)", Table1[[#This Row],[loan_amount]] &lt;=3300000, "medium size (&lt;=33L)", Table1[[#This Row],[loan_amount]] &gt; 3300000, "larger size (&gt; 33L)")</f>
        <v>medium size (&lt;=33L)</v>
      </c>
      <c r="AM231" s="2">
        <f>IF(Table1[[#This Row],[dpd]] &gt;=30,1,0)</f>
        <v>0</v>
      </c>
      <c r="AN231" s="2">
        <f>COUNTIFS(Table1[Loan size],Table1[[#This Row],[Loan size]],Table1[dpd flag],1)/COUNTIF(Table1[Loan size],Table1[[#This Row],[Loan size]])</f>
        <v>0.15909090909090909</v>
      </c>
      <c r="AO231" s="2" t="str">
        <f>IF(OR(Table1[[#This Row],[credit_score]] &lt; 600, Table1[ [#This Row],[dti_ratio] ] &gt; 0.5, Table1[[#This Row],[dpd]] &gt;=30), "high risk", " not riskY")</f>
        <v xml:space="preserve"> not riskY</v>
      </c>
      <c r="AP231" s="26">
        <f>EOMONTH(Table1[[#This Row],[origination_date]],0)</f>
        <v>45473</v>
      </c>
      <c r="AQ231" s="2">
        <f>SUMIFS(Table1[loan_amount],Table1[origination month],Table1[[#This Row],[origination month]])</f>
        <v>28625500</v>
      </c>
      <c r="AR231" s="2">
        <f>AVERAGEIFS(Table1[months_on_book],Table1[product],Table1[[#This Row],[product]])</f>
        <v>20.516129032258064</v>
      </c>
      <c r="AS231" s="2" t="str">
        <f ca="1">IF(EDATE(Table1[[#This Row],[origination_date]],6) &gt;= TODAY(), "New Loan", "Old Loan")</f>
        <v>Old Loan</v>
      </c>
      <c r="AT231" s="2" t="str">
        <f>"Q"&amp;ROUNDUP(MONTH(Table1[[#This Row],[origination_date]])/3,0)&amp;YEAR(Table1[[#This Row],[origination_date]])</f>
        <v>Q22024</v>
      </c>
      <c r="AU231" s="2">
        <f>SUMIFS(Table1[loan_amount],Table1[quarter],Table1[[#This Row],[quarter]])</f>
        <v>46342100</v>
      </c>
      <c r="AV231" s="34" t="str">
        <f>_xlfn.TEXTJOIN("|",TRUE,Table1[[#This Row],[loan_id]:[loan_status]])</f>
        <v>L78266757|C2874382|45472|Home Loan|Partner|Central|Self-Employed|120|1864900|9.08|23705|279305|731|B|0.24|0.47|3993300|18|416824|1549676|0|0|0|Active</v>
      </c>
      <c r="AW231" s="42">
        <f>YEAR(Loan_Table[ [#This Row],[origination_date] ])</f>
        <v>2025</v>
      </c>
    </row>
    <row r="232" spans="2:49" ht="18" customHeight="1">
      <c r="B232" s="5" t="s">
        <v>584</v>
      </c>
      <c r="C232" s="2" t="s">
        <v>585</v>
      </c>
      <c r="D232" s="3">
        <v>45435</v>
      </c>
      <c r="E232" s="2" t="s">
        <v>131</v>
      </c>
      <c r="F232" s="2" t="s">
        <v>132</v>
      </c>
      <c r="G232" s="2" t="s">
        <v>139</v>
      </c>
      <c r="H232" s="2" t="s">
        <v>152</v>
      </c>
      <c r="I232" s="2">
        <v>36</v>
      </c>
      <c r="J232" s="2">
        <v>436200</v>
      </c>
      <c r="K232" s="2">
        <v>15.78</v>
      </c>
      <c r="L232" s="2">
        <v>15288</v>
      </c>
      <c r="M232" s="2">
        <v>841628</v>
      </c>
      <c r="N232" s="2">
        <v>747</v>
      </c>
      <c r="O232" s="2" t="s">
        <v>135</v>
      </c>
      <c r="P232" s="2">
        <v>0.23</v>
      </c>
      <c r="Q232" s="2">
        <v>0.66</v>
      </c>
      <c r="R232" s="2">
        <v>0</v>
      </c>
      <c r="S232" s="2">
        <v>19</v>
      </c>
      <c r="T232" s="2">
        <v>277658</v>
      </c>
      <c r="U232" s="2">
        <v>202136</v>
      </c>
      <c r="V232" s="2">
        <v>5</v>
      </c>
      <c r="W232" s="2">
        <v>0</v>
      </c>
      <c r="X232" s="2">
        <v>0</v>
      </c>
      <c r="Y232" s="2" t="s">
        <v>148</v>
      </c>
      <c r="Z232" s="12">
        <f>SUMIF(Table1[product],Table1[[#This Row],[product]],Table1[loan_amount])</f>
        <v>74897600</v>
      </c>
      <c r="AA232" s="15">
        <f>SUMIF(Table1[region],Table1[[#This Row],[region]],Table1[current_balance])</f>
        <v>83903255</v>
      </c>
      <c r="AB232" s="2">
        <f>COUNTIF(Table1[loan_status],Table1[[#This Row],[loan_status]])</f>
        <v>301</v>
      </c>
      <c r="AC232" s="2">
        <f>COUNTIF(Table1[default_flag],1)/ROWS(Table1[loan_id])</f>
        <v>2.5999999999999999E-2</v>
      </c>
      <c r="AD232" s="2">
        <f>COUNTIFS(Table1[region],Table1[[#This Row],[region]],Table1[default_flag],1)/COUNTIF(Table1[region],Table1[[#This Row],[region]])</f>
        <v>4.2553191489361701E-2</v>
      </c>
      <c r="AE232" s="2">
        <f>COUNTIFS(Table1[channel],Table1[[#This Row],[channel]],Table1[prepayment_flag],1)/COUNTIF(Table1[channel],Table1[[#This Row],[channel]])</f>
        <v>7.1090047393364927E-2</v>
      </c>
      <c r="AF232" s="2">
        <f>AVERAGEIFS(Table1[interest_rate_pct],Table1[product],Table1[[#This Row],[product]],Table1[risk_band],Table1[[#This Row],[risk_band]])</f>
        <v>16.500166666666669</v>
      </c>
      <c r="AG232" s="2" t="str" cm="1">
        <f t="array" ref="AG232">_xlfn.IFS(Table1[[#This Row],[dti_ratio]] &lt; 0.2, " less than 0.2", Table1[[#This Row],[dti_ratio]] &lt; 0.3, "0.2 - 0.3", Table1[[#This Row],[dti_ratio]] &lt;= 0.5, "0.35 - 0.5", Table1[[#This Row],[dti_ratio]] &gt; 0.5, "greater than 0.5")</f>
        <v>0.2 - 0.3</v>
      </c>
      <c r="AH232" s="2">
        <f>COUNTIF(Table1[DTI band],Table1[[#This Row],[DTI band]])</f>
        <v>122</v>
      </c>
      <c r="AI232" s="2" t="str" cm="1">
        <f t="array" ref="AI232">_xlfn.IFS(Table1[[#This Row],[ltv_ratio]] &lt; 0.6, "less than 0.6 -less risky", Table1[[#This Row],[ltv_ratio]]  &lt;= 0.8, "0.6 - 0.8 -medium risky",Table1[[#This Row],[ltv_ratio]] &gt; 0.8, "greater than 0.8 -highly risky")</f>
        <v>0.6 - 0.8 -medium risky</v>
      </c>
      <c r="AJ232" s="2">
        <f>COUNTIF(Table1[LTV band],Table1[[#This Row],[LTV band]])</f>
        <v>302</v>
      </c>
      <c r="AK232" s="2">
        <f>COUNTIFS(Table1[count_loan_perband],Table1[[#This Row],[count_loan_perband]],Table1[default_flag],1)/COUNTIF(Table1[count_loan_perband],Table1[[#This Row],[count_loan_perband]])</f>
        <v>3.6423841059602648E-2</v>
      </c>
      <c r="AL232" s="2" t="str" cm="1">
        <f t="array" ref="AL232">_xlfn.IFS(Table1[[#This Row],[loan_amount]] &lt; 900000, "lower size (&lt; 9L)", Table1[[#This Row],[loan_amount]] &lt;=3300000, "medium size (&lt;=33L)", Table1[[#This Row],[loan_amount]] &gt; 3300000, "larger size (&gt; 33L)")</f>
        <v>lower size (&lt; 9L)</v>
      </c>
      <c r="AM232" s="2">
        <f>IF(Table1[[#This Row],[dpd]] &gt;=30,1,0)</f>
        <v>0</v>
      </c>
      <c r="AN232" s="2">
        <f>COUNTIFS(Table1[Loan size],Table1[[#This Row],[Loan size]],Table1[dpd flag],1)/COUNTIF(Table1[Loan size],Table1[[#This Row],[Loan size]])</f>
        <v>0.13934426229508196</v>
      </c>
      <c r="AO232" s="2" t="str">
        <f>IF(OR(Table1[[#This Row],[credit_score]] &lt; 600, Table1[ [#This Row],[dti_ratio] ] &gt; 0.5, Table1[[#This Row],[dpd]] &gt;=30), "high risk", " not riskY")</f>
        <v xml:space="preserve"> not riskY</v>
      </c>
      <c r="AP232" s="26">
        <f>EOMONTH(Table1[[#This Row],[origination_date]],0)</f>
        <v>45443</v>
      </c>
      <c r="AQ232" s="2">
        <f>SUMIFS(Table1[loan_amount],Table1[origination month],Table1[[#This Row],[origination month]])</f>
        <v>9661400</v>
      </c>
      <c r="AR232" s="2">
        <f>AVERAGEIFS(Table1[months_on_book],Table1[product],Table1[[#This Row],[product]])</f>
        <v>21.092024539877301</v>
      </c>
      <c r="AS232" s="2" t="str">
        <f ca="1">IF(EDATE(Table1[[#This Row],[origination_date]],6) &gt;= TODAY(), "New Loan", "Old Loan")</f>
        <v>Old Loan</v>
      </c>
      <c r="AT232" s="2" t="str">
        <f>"Q"&amp;ROUNDUP(MONTH(Table1[[#This Row],[origination_date]])/3,0)&amp;YEAR(Table1[[#This Row],[origination_date]])</f>
        <v>Q22024</v>
      </c>
      <c r="AU232" s="2">
        <f>SUMIFS(Table1[loan_amount],Table1[quarter],Table1[[#This Row],[quarter]])</f>
        <v>46342100</v>
      </c>
      <c r="AV232" s="34" t="str">
        <f>_xlfn.TEXTJOIN("|",TRUE,Table1[[#This Row],[loan_id]:[loan_status]])</f>
        <v>L90654469|C7644034|45435|Personal Loan|Online|West|Self-Employed|36|436200|15.78|15288|841628|747|B|0.23|0.66|0|19|277658|202136|5|0|0|Active</v>
      </c>
      <c r="AW232" s="42">
        <f>YEAR(Loan_Table[ [#This Row],[origination_date] ])</f>
        <v>2025</v>
      </c>
    </row>
    <row r="233" spans="2:49" ht="18" customHeight="1">
      <c r="B233" s="5" t="s">
        <v>586</v>
      </c>
      <c r="C233" s="2" t="s">
        <v>587</v>
      </c>
      <c r="D233" s="3">
        <v>45421</v>
      </c>
      <c r="E233" s="2" t="s">
        <v>163</v>
      </c>
      <c r="F233" s="2" t="s">
        <v>144</v>
      </c>
      <c r="G233" s="2" t="s">
        <v>145</v>
      </c>
      <c r="H233" s="2" t="s">
        <v>134</v>
      </c>
      <c r="I233" s="2">
        <v>36</v>
      </c>
      <c r="J233" s="2">
        <v>784400</v>
      </c>
      <c r="K233" s="2">
        <v>7</v>
      </c>
      <c r="L233" s="2">
        <v>24220</v>
      </c>
      <c r="M233" s="2">
        <v>654382</v>
      </c>
      <c r="N233" s="2">
        <v>796</v>
      </c>
      <c r="O233" s="2" t="s">
        <v>160</v>
      </c>
      <c r="P233" s="2">
        <v>0.21</v>
      </c>
      <c r="Q233" s="2">
        <v>0.61</v>
      </c>
      <c r="R233" s="2">
        <v>1295300</v>
      </c>
      <c r="S233" s="2">
        <v>19</v>
      </c>
      <c r="T233" s="2">
        <v>466540</v>
      </c>
      <c r="U233" s="2">
        <v>352635</v>
      </c>
      <c r="V233" s="2">
        <v>0</v>
      </c>
      <c r="W233" s="2">
        <v>0</v>
      </c>
      <c r="X233" s="2">
        <v>0</v>
      </c>
      <c r="Y233" s="2" t="s">
        <v>148</v>
      </c>
      <c r="Z233" s="12">
        <f>SUMIF(Table1[product],Table1[[#This Row],[product]],Table1[loan_amount])</f>
        <v>92273000</v>
      </c>
      <c r="AA233" s="15">
        <f>SUMIF(Table1[region],Table1[[#This Row],[region]],Table1[current_balance])</f>
        <v>98928695</v>
      </c>
      <c r="AB233" s="2">
        <f>COUNTIF(Table1[loan_status],Table1[[#This Row],[loan_status]])</f>
        <v>301</v>
      </c>
      <c r="AC233" s="2">
        <f>COUNTIF(Table1[default_flag],1)/ROWS(Table1[loan_id])</f>
        <v>2.5999999999999999E-2</v>
      </c>
      <c r="AD233" s="2">
        <f>COUNTIFS(Table1[region],Table1[[#This Row],[region]],Table1[default_flag],1)/COUNTIF(Table1[region],Table1[[#This Row],[region]])</f>
        <v>2.8571428571428571E-2</v>
      </c>
      <c r="AE233" s="2">
        <f>COUNTIFS(Table1[channel],Table1[[#This Row],[channel]],Table1[prepayment_flag],1)/COUNTIF(Table1[channel],Table1[[#This Row],[channel]])</f>
        <v>5.8201058201058198E-2</v>
      </c>
      <c r="AF233" s="2">
        <f>AVERAGEIFS(Table1[interest_rate_pct],Table1[product],Table1[[#This Row],[product]],Table1[risk_band],Table1[[#This Row],[risk_band]])</f>
        <v>7.9444999999999997</v>
      </c>
      <c r="AG233" s="2" t="str" cm="1">
        <f t="array" ref="AG233">_xlfn.IFS(Table1[[#This Row],[dti_ratio]] &lt; 0.2, " less than 0.2", Table1[[#This Row],[dti_ratio]] &lt; 0.3, "0.2 - 0.3", Table1[[#This Row],[dti_ratio]] &lt;= 0.5, "0.35 - 0.5", Table1[[#This Row],[dti_ratio]] &gt; 0.5, "greater than 0.5")</f>
        <v>0.2 - 0.3</v>
      </c>
      <c r="AH233" s="2">
        <f>COUNTIF(Table1[DTI band],Table1[[#This Row],[DTI band]])</f>
        <v>122</v>
      </c>
      <c r="AI233" s="2" t="str" cm="1">
        <f t="array" ref="AI233">_xlfn.IFS(Table1[[#This Row],[ltv_ratio]] &lt; 0.6, "less than 0.6 -less risky", Table1[[#This Row],[ltv_ratio]]  &lt;= 0.8, "0.6 - 0.8 -medium risky",Table1[[#This Row],[ltv_ratio]] &gt; 0.8, "greater than 0.8 -highly risky")</f>
        <v>0.6 - 0.8 -medium risky</v>
      </c>
      <c r="AJ233" s="2">
        <f>COUNTIF(Table1[LTV band],Table1[[#This Row],[LTV band]])</f>
        <v>302</v>
      </c>
      <c r="AK233" s="2">
        <f>COUNTIFS(Table1[count_loan_perband],Table1[[#This Row],[count_loan_perband]],Table1[default_flag],1)/COUNTIF(Table1[count_loan_perband],Table1[[#This Row],[count_loan_perband]])</f>
        <v>3.6423841059602648E-2</v>
      </c>
      <c r="AL233" s="2" t="str" cm="1">
        <f t="array" ref="AL233">_xlfn.IFS(Table1[[#This Row],[loan_amount]] &lt; 900000, "lower size (&lt; 9L)", Table1[[#This Row],[loan_amount]] &lt;=3300000, "medium size (&lt;=33L)", Table1[[#This Row],[loan_amount]] &gt; 3300000, "larger size (&gt; 33L)")</f>
        <v>lower size (&lt; 9L)</v>
      </c>
      <c r="AM233" s="2">
        <f>IF(Table1[[#This Row],[dpd]] &gt;=30,1,0)</f>
        <v>0</v>
      </c>
      <c r="AN233" s="2">
        <f>COUNTIFS(Table1[Loan size],Table1[[#This Row],[Loan size]],Table1[dpd flag],1)/COUNTIF(Table1[Loan size],Table1[[#This Row],[Loan size]])</f>
        <v>0.13934426229508196</v>
      </c>
      <c r="AO233" s="2" t="str">
        <f>IF(OR(Table1[[#This Row],[credit_score]] &lt; 600, Table1[ [#This Row],[dti_ratio] ] &gt; 0.5, Table1[[#This Row],[dpd]] &gt;=30), "high risk", " not riskY")</f>
        <v xml:space="preserve"> not riskY</v>
      </c>
      <c r="AP233" s="26">
        <f>EOMONTH(Table1[[#This Row],[origination_date]],0)</f>
        <v>45443</v>
      </c>
      <c r="AQ233" s="2">
        <f>SUMIFS(Table1[loan_amount],Table1[origination month],Table1[[#This Row],[origination month]])</f>
        <v>9661400</v>
      </c>
      <c r="AR233" s="2">
        <f>AVERAGEIFS(Table1[months_on_book],Table1[product],Table1[[#This Row],[product]])</f>
        <v>20.262135922330096</v>
      </c>
      <c r="AS233" s="2" t="str">
        <f ca="1">IF(EDATE(Table1[[#This Row],[origination_date]],6) &gt;= TODAY(), "New Loan", "Old Loan")</f>
        <v>Old Loan</v>
      </c>
      <c r="AT233" s="2" t="str">
        <f>"Q"&amp;ROUNDUP(MONTH(Table1[[#This Row],[origination_date]])/3,0)&amp;YEAR(Table1[[#This Row],[origination_date]])</f>
        <v>Q22024</v>
      </c>
      <c r="AU233" s="2">
        <f>SUMIFS(Table1[loan_amount],Table1[quarter],Table1[[#This Row],[quarter]])</f>
        <v>46342100</v>
      </c>
      <c r="AV233" s="34" t="str">
        <f>_xlfn.TEXTJOIN("|",TRUE,Table1[[#This Row],[loan_id]:[loan_status]])</f>
        <v>L41907337|C6320294|45421|Auto Loan|Branch|Central|Salaried|36|784400|7|24220|654382|796|A|0.21|0.61|1295300|19|466540|352635|0|0|0|Active</v>
      </c>
      <c r="AW233" s="42">
        <f>YEAR(Loan_Table[ [#This Row],[origination_date] ])</f>
        <v>2025</v>
      </c>
    </row>
    <row r="234" spans="2:49" ht="18" customHeight="1">
      <c r="B234" s="5" t="s">
        <v>588</v>
      </c>
      <c r="C234" s="2" t="s">
        <v>589</v>
      </c>
      <c r="D234" s="3">
        <v>45469</v>
      </c>
      <c r="E234" s="2" t="s">
        <v>158</v>
      </c>
      <c r="F234" s="2" t="s">
        <v>159</v>
      </c>
      <c r="G234" s="2" t="s">
        <v>151</v>
      </c>
      <c r="H234" s="2" t="s">
        <v>152</v>
      </c>
      <c r="I234" s="2">
        <v>18</v>
      </c>
      <c r="J234" s="2">
        <v>2438300</v>
      </c>
      <c r="K234" s="2">
        <v>14.81</v>
      </c>
      <c r="L234" s="2">
        <v>151895</v>
      </c>
      <c r="M234" s="2">
        <v>385976</v>
      </c>
      <c r="N234" s="2">
        <v>686</v>
      </c>
      <c r="O234" s="2" t="s">
        <v>140</v>
      </c>
      <c r="P234" s="2">
        <v>0.17</v>
      </c>
      <c r="Q234" s="2">
        <v>0.79</v>
      </c>
      <c r="R234" s="2">
        <v>3102900</v>
      </c>
      <c r="S234" s="2">
        <v>18</v>
      </c>
      <c r="T234" s="2">
        <v>2656433</v>
      </c>
      <c r="U234" s="2">
        <v>0</v>
      </c>
      <c r="V234" s="2">
        <v>5</v>
      </c>
      <c r="W234" s="2">
        <v>0</v>
      </c>
      <c r="X234" s="2">
        <v>0</v>
      </c>
      <c r="Y234" s="2" t="s">
        <v>141</v>
      </c>
      <c r="Z234" s="12">
        <f>SUMIF(Table1[product],Table1[[#This Row],[product]],Table1[loan_amount])</f>
        <v>201475100</v>
      </c>
      <c r="AA234" s="15">
        <f>SUMIF(Table1[region],Table1[[#This Row],[region]],Table1[current_balance])</f>
        <v>105779369</v>
      </c>
      <c r="AB234" s="2">
        <f>COUNTIF(Table1[loan_status],Table1[[#This Row],[loan_status]])</f>
        <v>139</v>
      </c>
      <c r="AC234" s="2">
        <f>COUNTIF(Table1[default_flag],1)/ROWS(Table1[loan_id])</f>
        <v>2.5999999999999999E-2</v>
      </c>
      <c r="AD234" s="2">
        <f>COUNTIFS(Table1[region],Table1[[#This Row],[region]],Table1[default_flag],1)/COUNTIF(Table1[region],Table1[[#This Row],[region]])</f>
        <v>2.6548672566371681E-2</v>
      </c>
      <c r="AE234" s="2">
        <f>COUNTIFS(Table1[channel],Table1[[#This Row],[channel]],Table1[prepayment_flag],1)/COUNTIF(Table1[channel],Table1[[#This Row],[channel]])</f>
        <v>0.1</v>
      </c>
      <c r="AF234" s="2">
        <f>AVERAGEIFS(Table1[interest_rate_pct],Table1[product],Table1[[#This Row],[product]],Table1[risk_band],Table1[[#This Row],[risk_band]])</f>
        <v>15.841379310344831</v>
      </c>
      <c r="AG234" s="2" t="str" cm="1">
        <f t="array" ref="AG234">_xlfn.IFS(Table1[[#This Row],[dti_ratio]] &lt; 0.2, " less than 0.2", Table1[[#This Row],[dti_ratio]] &lt; 0.3, "0.2 - 0.3", Table1[[#This Row],[dti_ratio]] &lt;= 0.5, "0.35 - 0.5", Table1[[#This Row],[dti_ratio]] &gt; 0.5, "greater than 0.5")</f>
        <v xml:space="preserve"> less than 0.2</v>
      </c>
      <c r="AH234" s="2">
        <f>COUNTIF(Table1[DTI band],Table1[[#This Row],[DTI band]])</f>
        <v>86</v>
      </c>
      <c r="AI234" s="2" t="str" cm="1">
        <f t="array" ref="AI234">_xlfn.IFS(Table1[[#This Row],[ltv_ratio]] &lt; 0.6, "less than 0.6 -less risky", Table1[[#This Row],[ltv_ratio]]  &lt;= 0.8, "0.6 - 0.8 -medium risky",Table1[[#This Row],[ltv_ratio]] &gt; 0.8, "greater than 0.8 -highly risky")</f>
        <v>0.6 - 0.8 -medium risky</v>
      </c>
      <c r="AJ234" s="2">
        <f>COUNTIF(Table1[LTV band],Table1[[#This Row],[LTV band]])</f>
        <v>302</v>
      </c>
      <c r="AK234" s="2">
        <f>COUNTIFS(Table1[count_loan_perband],Table1[[#This Row],[count_loan_perband]],Table1[default_flag],1)/COUNTIF(Table1[count_loan_perband],Table1[[#This Row],[count_loan_perband]])</f>
        <v>3.6423841059602648E-2</v>
      </c>
      <c r="AL234" s="2" t="str" cm="1">
        <f t="array" ref="AL234">_xlfn.IFS(Table1[[#This Row],[loan_amount]] &lt; 900000, "lower size (&lt; 9L)", Table1[[#This Row],[loan_amount]] &lt;=3300000, "medium size (&lt;=33L)", Table1[[#This Row],[loan_amount]] &gt; 3300000, "larger size (&gt; 33L)")</f>
        <v>medium size (&lt;=33L)</v>
      </c>
      <c r="AM234" s="2">
        <f>IF(Table1[[#This Row],[dpd]] &gt;=30,1,0)</f>
        <v>0</v>
      </c>
      <c r="AN234" s="2">
        <f>COUNTIFS(Table1[Loan size],Table1[[#This Row],[Loan size]],Table1[dpd flag],1)/COUNTIF(Table1[Loan size],Table1[[#This Row],[Loan size]])</f>
        <v>0.15909090909090909</v>
      </c>
      <c r="AO234" s="2" t="str">
        <f>IF(OR(Table1[[#This Row],[credit_score]] &lt; 600, Table1[ [#This Row],[dti_ratio] ] &gt; 0.5, Table1[[#This Row],[dpd]] &gt;=30), "high risk", " not riskY")</f>
        <v xml:space="preserve"> not riskY</v>
      </c>
      <c r="AP234" s="26">
        <f>EOMONTH(Table1[[#This Row],[origination_date]],0)</f>
        <v>45473</v>
      </c>
      <c r="AQ234" s="2">
        <f>SUMIFS(Table1[loan_amount],Table1[origination month],Table1[[#This Row],[origination month]])</f>
        <v>28625500</v>
      </c>
      <c r="AR234" s="2">
        <f>AVERAGEIFS(Table1[months_on_book],Table1[product],Table1[[#This Row],[product]])</f>
        <v>19.091954022988507</v>
      </c>
      <c r="AS234" s="2" t="str">
        <f ca="1">IF(EDATE(Table1[[#This Row],[origination_date]],6) &gt;= TODAY(), "New Loan", "Old Loan")</f>
        <v>Old Loan</v>
      </c>
      <c r="AT234" s="2" t="str">
        <f>"Q"&amp;ROUNDUP(MONTH(Table1[[#This Row],[origination_date]])/3,0)&amp;YEAR(Table1[[#This Row],[origination_date]])</f>
        <v>Q22024</v>
      </c>
      <c r="AU234" s="2">
        <f>SUMIFS(Table1[loan_amount],Table1[quarter],Table1[[#This Row],[quarter]])</f>
        <v>46342100</v>
      </c>
      <c r="AV234" s="34" t="str">
        <f>_xlfn.TEXTJOIN("|",TRUE,Table1[[#This Row],[loan_id]:[loan_status]])</f>
        <v>L97237892|C5887114|45469|SME Loan|Partner|North|Self-Employed|18|2438300|14.81|151895|385976|686|C|0.17|0.79|3102900|18|2656433|0|5|0|0|Closed</v>
      </c>
      <c r="AW234" s="42">
        <f>YEAR(Loan_Table[ [#This Row],[origination_date] ])</f>
        <v>2025</v>
      </c>
    </row>
    <row r="235" spans="2:49" ht="18" customHeight="1">
      <c r="B235" s="5" t="s">
        <v>590</v>
      </c>
      <c r="C235" s="2" t="s">
        <v>591</v>
      </c>
      <c r="D235" s="3">
        <v>45468</v>
      </c>
      <c r="E235" s="2" t="s">
        <v>131</v>
      </c>
      <c r="F235" s="2" t="s">
        <v>144</v>
      </c>
      <c r="G235" s="2" t="s">
        <v>145</v>
      </c>
      <c r="H235" s="2" t="s">
        <v>134</v>
      </c>
      <c r="I235" s="2">
        <v>36</v>
      </c>
      <c r="J235" s="2">
        <v>552100</v>
      </c>
      <c r="K235" s="2">
        <v>11.89</v>
      </c>
      <c r="L235" s="2">
        <v>18309</v>
      </c>
      <c r="M235" s="2">
        <v>695184</v>
      </c>
      <c r="N235" s="2">
        <v>818</v>
      </c>
      <c r="O235" s="2" t="s">
        <v>160</v>
      </c>
      <c r="P235" s="2">
        <v>0.16</v>
      </c>
      <c r="Q235" s="2">
        <v>0.78</v>
      </c>
      <c r="R235" s="2">
        <v>0</v>
      </c>
      <c r="S235" s="2">
        <v>18</v>
      </c>
      <c r="T235" s="2">
        <v>291717</v>
      </c>
      <c r="U235" s="2">
        <v>299770</v>
      </c>
      <c r="V235" s="2">
        <v>0</v>
      </c>
      <c r="W235" s="2">
        <v>0</v>
      </c>
      <c r="X235" s="2">
        <v>0</v>
      </c>
      <c r="Y235" s="2" t="s">
        <v>148</v>
      </c>
      <c r="Z235" s="12">
        <f>SUMIF(Table1[product],Table1[[#This Row],[product]],Table1[loan_amount])</f>
        <v>74897600</v>
      </c>
      <c r="AA235" s="15">
        <f>SUMIF(Table1[region],Table1[[#This Row],[region]],Table1[current_balance])</f>
        <v>98928695</v>
      </c>
      <c r="AB235" s="2">
        <f>COUNTIF(Table1[loan_status],Table1[[#This Row],[loan_status]])</f>
        <v>301</v>
      </c>
      <c r="AC235" s="2">
        <f>COUNTIF(Table1[default_flag],1)/ROWS(Table1[loan_id])</f>
        <v>2.5999999999999999E-2</v>
      </c>
      <c r="AD235" s="2">
        <f>COUNTIFS(Table1[region],Table1[[#This Row],[region]],Table1[default_flag],1)/COUNTIF(Table1[region],Table1[[#This Row],[region]])</f>
        <v>2.8571428571428571E-2</v>
      </c>
      <c r="AE235" s="2">
        <f>COUNTIFS(Table1[channel],Table1[[#This Row],[channel]],Table1[prepayment_flag],1)/COUNTIF(Table1[channel],Table1[[#This Row],[channel]])</f>
        <v>5.8201058201058198E-2</v>
      </c>
      <c r="AF235" s="2">
        <f>AVERAGEIFS(Table1[interest_rate_pct],Table1[product],Table1[[#This Row],[product]],Table1[risk_band],Table1[[#This Row],[risk_band]])</f>
        <v>13.328333333333335</v>
      </c>
      <c r="AG235" s="2" t="str" cm="1">
        <f t="array" ref="AG235">_xlfn.IFS(Table1[[#This Row],[dti_ratio]] &lt; 0.2, " less than 0.2", Table1[[#This Row],[dti_ratio]] &lt; 0.3, "0.2 - 0.3", Table1[[#This Row],[dti_ratio]] &lt;= 0.5, "0.35 - 0.5", Table1[[#This Row],[dti_ratio]] &gt; 0.5, "greater than 0.5")</f>
        <v xml:space="preserve"> less than 0.2</v>
      </c>
      <c r="AH235" s="2">
        <f>COUNTIF(Table1[DTI band],Table1[[#This Row],[DTI band]])</f>
        <v>86</v>
      </c>
      <c r="AI235" s="2" t="str" cm="1">
        <f t="array" ref="AI235">_xlfn.IFS(Table1[[#This Row],[ltv_ratio]] &lt; 0.6, "less than 0.6 -less risky", Table1[[#This Row],[ltv_ratio]]  &lt;= 0.8, "0.6 - 0.8 -medium risky",Table1[[#This Row],[ltv_ratio]] &gt; 0.8, "greater than 0.8 -highly risky")</f>
        <v>0.6 - 0.8 -medium risky</v>
      </c>
      <c r="AJ235" s="2">
        <f>COUNTIF(Table1[LTV band],Table1[[#This Row],[LTV band]])</f>
        <v>302</v>
      </c>
      <c r="AK235" s="2">
        <f>COUNTIFS(Table1[count_loan_perband],Table1[[#This Row],[count_loan_perband]],Table1[default_flag],1)/COUNTIF(Table1[count_loan_perband],Table1[[#This Row],[count_loan_perband]])</f>
        <v>3.6423841059602648E-2</v>
      </c>
      <c r="AL235" s="2" t="str" cm="1">
        <f t="array" ref="AL235">_xlfn.IFS(Table1[[#This Row],[loan_amount]] &lt; 900000, "lower size (&lt; 9L)", Table1[[#This Row],[loan_amount]] &lt;=3300000, "medium size (&lt;=33L)", Table1[[#This Row],[loan_amount]] &gt; 3300000, "larger size (&gt; 33L)")</f>
        <v>lower size (&lt; 9L)</v>
      </c>
      <c r="AM235" s="2">
        <f>IF(Table1[[#This Row],[dpd]] &gt;=30,1,0)</f>
        <v>0</v>
      </c>
      <c r="AN235" s="2">
        <f>COUNTIFS(Table1[Loan size],Table1[[#This Row],[Loan size]],Table1[dpd flag],1)/COUNTIF(Table1[Loan size],Table1[[#This Row],[Loan size]])</f>
        <v>0.13934426229508196</v>
      </c>
      <c r="AO235" s="2" t="str">
        <f>IF(OR(Table1[[#This Row],[credit_score]] &lt; 600, Table1[ [#This Row],[dti_ratio] ] &gt; 0.5, Table1[[#This Row],[dpd]] &gt;=30), "high risk", " not riskY")</f>
        <v xml:space="preserve"> not riskY</v>
      </c>
      <c r="AP235" s="26">
        <f>EOMONTH(Table1[[#This Row],[origination_date]],0)</f>
        <v>45473</v>
      </c>
      <c r="AQ235" s="2">
        <f>SUMIFS(Table1[loan_amount],Table1[origination month],Table1[[#This Row],[origination month]])</f>
        <v>28625500</v>
      </c>
      <c r="AR235" s="2">
        <f>AVERAGEIFS(Table1[months_on_book],Table1[product],Table1[[#This Row],[product]])</f>
        <v>21.092024539877301</v>
      </c>
      <c r="AS235" s="2" t="str">
        <f ca="1">IF(EDATE(Table1[[#This Row],[origination_date]],6) &gt;= TODAY(), "New Loan", "Old Loan")</f>
        <v>Old Loan</v>
      </c>
      <c r="AT235" s="2" t="str">
        <f>"Q"&amp;ROUNDUP(MONTH(Table1[[#This Row],[origination_date]])/3,0)&amp;YEAR(Table1[[#This Row],[origination_date]])</f>
        <v>Q22024</v>
      </c>
      <c r="AU235" s="2">
        <f>SUMIFS(Table1[loan_amount],Table1[quarter],Table1[[#This Row],[quarter]])</f>
        <v>46342100</v>
      </c>
      <c r="AV235" s="34" t="str">
        <f>_xlfn.TEXTJOIN("|",TRUE,Table1[[#This Row],[loan_id]:[loan_status]])</f>
        <v>L96372332|C3280450|45468|Personal Loan|Branch|Central|Salaried|36|552100|11.89|18309|695184|818|A|0.16|0.78|0|18|291717|299770|0|0|0|Active</v>
      </c>
      <c r="AW235" s="42">
        <f>YEAR(Loan_Table[ [#This Row],[origination_date] ])</f>
        <v>2025</v>
      </c>
    </row>
    <row r="236" spans="2:49" ht="18" customHeight="1">
      <c r="B236" s="5" t="s">
        <v>592</v>
      </c>
      <c r="C236" s="2" t="s">
        <v>593</v>
      </c>
      <c r="D236" s="3">
        <v>45448</v>
      </c>
      <c r="E236" s="2" t="s">
        <v>131</v>
      </c>
      <c r="F236" s="2" t="s">
        <v>144</v>
      </c>
      <c r="G236" s="2" t="s">
        <v>145</v>
      </c>
      <c r="H236" s="2" t="s">
        <v>134</v>
      </c>
      <c r="I236" s="2">
        <v>36</v>
      </c>
      <c r="J236" s="2">
        <v>820700</v>
      </c>
      <c r="K236" s="2">
        <v>18.29</v>
      </c>
      <c r="L236" s="2">
        <v>29790</v>
      </c>
      <c r="M236" s="2">
        <v>841244</v>
      </c>
      <c r="N236" s="2">
        <v>667</v>
      </c>
      <c r="O236" s="2" t="s">
        <v>140</v>
      </c>
      <c r="P236" s="2">
        <v>0.15</v>
      </c>
      <c r="Q236" s="2">
        <v>0.47</v>
      </c>
      <c r="R236" s="2">
        <v>0</v>
      </c>
      <c r="S236" s="2">
        <v>18</v>
      </c>
      <c r="T236" s="2">
        <v>491066</v>
      </c>
      <c r="U236" s="2">
        <v>419698</v>
      </c>
      <c r="V236" s="2">
        <v>10</v>
      </c>
      <c r="W236" s="2">
        <v>0</v>
      </c>
      <c r="X236" s="2">
        <v>0</v>
      </c>
      <c r="Y236" s="2" t="s">
        <v>148</v>
      </c>
      <c r="Z236" s="12">
        <f>SUMIF(Table1[product],Table1[[#This Row],[product]],Table1[loan_amount])</f>
        <v>74897600</v>
      </c>
      <c r="AA236" s="15">
        <f>SUMIF(Table1[region],Table1[[#This Row],[region]],Table1[current_balance])</f>
        <v>98928695</v>
      </c>
      <c r="AB236" s="2">
        <f>COUNTIF(Table1[loan_status],Table1[[#This Row],[loan_status]])</f>
        <v>301</v>
      </c>
      <c r="AC236" s="2">
        <f>COUNTIF(Table1[default_flag],1)/ROWS(Table1[loan_id])</f>
        <v>2.5999999999999999E-2</v>
      </c>
      <c r="AD236" s="2">
        <f>COUNTIFS(Table1[region],Table1[[#This Row],[region]],Table1[default_flag],1)/COUNTIF(Table1[region],Table1[[#This Row],[region]])</f>
        <v>2.8571428571428571E-2</v>
      </c>
      <c r="AE236" s="2">
        <f>COUNTIFS(Table1[channel],Table1[[#This Row],[channel]],Table1[prepayment_flag],1)/COUNTIF(Table1[channel],Table1[[#This Row],[channel]])</f>
        <v>5.8201058201058198E-2</v>
      </c>
      <c r="AF236" s="2">
        <f>AVERAGEIFS(Table1[interest_rate_pct],Table1[product],Table1[[#This Row],[product]],Table1[risk_band],Table1[[#This Row],[risk_band]])</f>
        <v>18.603181818181817</v>
      </c>
      <c r="AG236" s="2" t="str" cm="1">
        <f t="array" ref="AG236">_xlfn.IFS(Table1[[#This Row],[dti_ratio]] &lt; 0.2, " less than 0.2", Table1[[#This Row],[dti_ratio]] &lt; 0.3, "0.2 - 0.3", Table1[[#This Row],[dti_ratio]] &lt;= 0.5, "0.35 - 0.5", Table1[[#This Row],[dti_ratio]] &gt; 0.5, "greater than 0.5")</f>
        <v xml:space="preserve"> less than 0.2</v>
      </c>
      <c r="AH236" s="2">
        <f>COUNTIF(Table1[DTI band],Table1[[#This Row],[DTI band]])</f>
        <v>86</v>
      </c>
      <c r="AI236" s="2" t="str" cm="1">
        <f t="array" ref="AI236">_xlfn.IFS(Table1[[#This Row],[ltv_ratio]] &lt; 0.6, "less than 0.6 -less risky", Table1[[#This Row],[ltv_ratio]]  &lt;= 0.8, "0.6 - 0.8 -medium risky",Table1[[#This Row],[ltv_ratio]] &gt; 0.8, "greater than 0.8 -highly risky")</f>
        <v>less than 0.6 -less risky</v>
      </c>
      <c r="AJ236" s="2">
        <f>COUNTIF(Table1[LTV band],Table1[[#This Row],[LTV band]])</f>
        <v>57</v>
      </c>
      <c r="AK236" s="2">
        <f>COUNTIFS(Table1[count_loan_perband],Table1[[#This Row],[count_loan_perband]],Table1[default_flag],1)/COUNTIF(Table1[count_loan_perband],Table1[[#This Row],[count_loan_perband]])</f>
        <v>0</v>
      </c>
      <c r="AL236" s="2" t="str" cm="1">
        <f t="array" ref="AL236">_xlfn.IFS(Table1[[#This Row],[loan_amount]] &lt; 900000, "lower size (&lt; 9L)", Table1[[#This Row],[loan_amount]] &lt;=3300000, "medium size (&lt;=33L)", Table1[[#This Row],[loan_amount]] &gt; 3300000, "larger size (&gt; 33L)")</f>
        <v>lower size (&lt; 9L)</v>
      </c>
      <c r="AM236" s="2">
        <f>IF(Table1[[#This Row],[dpd]] &gt;=30,1,0)</f>
        <v>0</v>
      </c>
      <c r="AN236" s="2">
        <f>COUNTIFS(Table1[Loan size],Table1[[#This Row],[Loan size]],Table1[dpd flag],1)/COUNTIF(Table1[Loan size],Table1[[#This Row],[Loan size]])</f>
        <v>0.13934426229508196</v>
      </c>
      <c r="AO236" s="2" t="str">
        <f>IF(OR(Table1[[#This Row],[credit_score]] &lt; 600, Table1[ [#This Row],[dti_ratio] ] &gt; 0.5, Table1[[#This Row],[dpd]] &gt;=30), "high risk", " not riskY")</f>
        <v xml:space="preserve"> not riskY</v>
      </c>
      <c r="AP236" s="26">
        <f>EOMONTH(Table1[[#This Row],[origination_date]],0)</f>
        <v>45473</v>
      </c>
      <c r="AQ236" s="2">
        <f>SUMIFS(Table1[loan_amount],Table1[origination month],Table1[[#This Row],[origination month]])</f>
        <v>28625500</v>
      </c>
      <c r="AR236" s="2">
        <f>AVERAGEIFS(Table1[months_on_book],Table1[product],Table1[[#This Row],[product]])</f>
        <v>21.092024539877301</v>
      </c>
      <c r="AS236" s="2" t="str">
        <f ca="1">IF(EDATE(Table1[[#This Row],[origination_date]],6) &gt;= TODAY(), "New Loan", "Old Loan")</f>
        <v>Old Loan</v>
      </c>
      <c r="AT236" s="2" t="str">
        <f>"Q"&amp;ROUNDUP(MONTH(Table1[[#This Row],[origination_date]])/3,0)&amp;YEAR(Table1[[#This Row],[origination_date]])</f>
        <v>Q22024</v>
      </c>
      <c r="AU236" s="2">
        <f>SUMIFS(Table1[loan_amount],Table1[quarter],Table1[[#This Row],[quarter]])</f>
        <v>46342100</v>
      </c>
      <c r="AV236" s="34" t="str">
        <f>_xlfn.TEXTJOIN("|",TRUE,Table1[[#This Row],[loan_id]:[loan_status]])</f>
        <v>L14030635|C5583820|45448|Personal Loan|Branch|Central|Salaried|36|820700|18.29|29790|841244|667|C|0.15|0.47|0|18|491066|419698|10|0|0|Active</v>
      </c>
      <c r="AW236" s="42">
        <f>YEAR(Loan_Table[ [#This Row],[origination_date] ])</f>
        <v>2025</v>
      </c>
    </row>
    <row r="237" spans="2:49" ht="18" customHeight="1">
      <c r="B237" s="5" t="s">
        <v>594</v>
      </c>
      <c r="C237" s="2" t="s">
        <v>595</v>
      </c>
      <c r="D237" s="3">
        <v>45461</v>
      </c>
      <c r="E237" s="2" t="s">
        <v>158</v>
      </c>
      <c r="F237" s="2" t="s">
        <v>132</v>
      </c>
      <c r="G237" s="2" t="s">
        <v>151</v>
      </c>
      <c r="H237" s="2" t="s">
        <v>152</v>
      </c>
      <c r="I237" s="2">
        <v>36</v>
      </c>
      <c r="J237" s="2">
        <v>1848600</v>
      </c>
      <c r="K237" s="2">
        <v>13</v>
      </c>
      <c r="L237" s="2">
        <v>62287</v>
      </c>
      <c r="M237" s="2">
        <v>250116</v>
      </c>
      <c r="N237" s="2">
        <v>709</v>
      </c>
      <c r="O237" s="2" t="s">
        <v>135</v>
      </c>
      <c r="P237" s="2">
        <v>0.1</v>
      </c>
      <c r="Q237" s="2">
        <v>0.63</v>
      </c>
      <c r="R237" s="2">
        <v>2911700</v>
      </c>
      <c r="S237" s="2">
        <v>18</v>
      </c>
      <c r="T237" s="2">
        <v>990181</v>
      </c>
      <c r="U237" s="2">
        <v>1002610</v>
      </c>
      <c r="V237" s="2">
        <v>0</v>
      </c>
      <c r="W237" s="2">
        <v>0</v>
      </c>
      <c r="X237" s="2">
        <v>0</v>
      </c>
      <c r="Y237" s="2" t="s">
        <v>148</v>
      </c>
      <c r="Z237" s="12">
        <f>SUMIF(Table1[product],Table1[[#This Row],[product]],Table1[loan_amount])</f>
        <v>201475100</v>
      </c>
      <c r="AA237" s="15">
        <f>SUMIF(Table1[region],Table1[[#This Row],[region]],Table1[current_balance])</f>
        <v>105779369</v>
      </c>
      <c r="AB237" s="2">
        <f>COUNTIF(Table1[loan_status],Table1[[#This Row],[loan_status]])</f>
        <v>301</v>
      </c>
      <c r="AC237" s="2">
        <f>COUNTIF(Table1[default_flag],1)/ROWS(Table1[loan_id])</f>
        <v>2.5999999999999999E-2</v>
      </c>
      <c r="AD237" s="2">
        <f>COUNTIFS(Table1[region],Table1[[#This Row],[region]],Table1[default_flag],1)/COUNTIF(Table1[region],Table1[[#This Row],[region]])</f>
        <v>2.6548672566371681E-2</v>
      </c>
      <c r="AE237" s="2">
        <f>COUNTIFS(Table1[channel],Table1[[#This Row],[channel]],Table1[prepayment_flag],1)/COUNTIF(Table1[channel],Table1[[#This Row],[channel]])</f>
        <v>7.1090047393364927E-2</v>
      </c>
      <c r="AF237" s="2">
        <f>AVERAGEIFS(Table1[interest_rate_pct],Table1[product],Table1[[#This Row],[product]],Table1[risk_band],Table1[[#This Row],[risk_band]])</f>
        <v>13.042631578947367</v>
      </c>
      <c r="AG237" s="2" t="str" cm="1">
        <f t="array" ref="AG237">_xlfn.IFS(Table1[[#This Row],[dti_ratio]] &lt; 0.2, " less than 0.2", Table1[[#This Row],[dti_ratio]] &lt; 0.3, "0.2 - 0.3", Table1[[#This Row],[dti_ratio]] &lt;= 0.5, "0.35 - 0.5", Table1[[#This Row],[dti_ratio]] &gt; 0.5, "greater than 0.5")</f>
        <v xml:space="preserve"> less than 0.2</v>
      </c>
      <c r="AH237" s="2">
        <f>COUNTIF(Table1[DTI band],Table1[[#This Row],[DTI band]])</f>
        <v>86</v>
      </c>
      <c r="AI237" s="2" t="str" cm="1">
        <f t="array" ref="AI237">_xlfn.IFS(Table1[[#This Row],[ltv_ratio]] &lt; 0.6, "less than 0.6 -less risky", Table1[[#This Row],[ltv_ratio]]  &lt;= 0.8, "0.6 - 0.8 -medium risky",Table1[[#This Row],[ltv_ratio]] &gt; 0.8, "greater than 0.8 -highly risky")</f>
        <v>0.6 - 0.8 -medium risky</v>
      </c>
      <c r="AJ237" s="2">
        <f>COUNTIF(Table1[LTV band],Table1[[#This Row],[LTV band]])</f>
        <v>302</v>
      </c>
      <c r="AK237" s="2">
        <f>COUNTIFS(Table1[count_loan_perband],Table1[[#This Row],[count_loan_perband]],Table1[default_flag],1)/COUNTIF(Table1[count_loan_perband],Table1[[#This Row],[count_loan_perband]])</f>
        <v>3.6423841059602648E-2</v>
      </c>
      <c r="AL237" s="2" t="str" cm="1">
        <f t="array" ref="AL237">_xlfn.IFS(Table1[[#This Row],[loan_amount]] &lt; 900000, "lower size (&lt; 9L)", Table1[[#This Row],[loan_amount]] &lt;=3300000, "medium size (&lt;=33L)", Table1[[#This Row],[loan_amount]] &gt; 3300000, "larger size (&gt; 33L)")</f>
        <v>medium size (&lt;=33L)</v>
      </c>
      <c r="AM237" s="2">
        <f>IF(Table1[[#This Row],[dpd]] &gt;=30,1,0)</f>
        <v>0</v>
      </c>
      <c r="AN237" s="2">
        <f>COUNTIFS(Table1[Loan size],Table1[[#This Row],[Loan size]],Table1[dpd flag],1)/COUNTIF(Table1[Loan size],Table1[[#This Row],[Loan size]])</f>
        <v>0.15909090909090909</v>
      </c>
      <c r="AO237" s="2" t="str">
        <f>IF(OR(Table1[[#This Row],[credit_score]] &lt; 600, Table1[ [#This Row],[dti_ratio] ] &gt; 0.5, Table1[[#This Row],[dpd]] &gt;=30), "high risk", " not riskY")</f>
        <v xml:space="preserve"> not riskY</v>
      </c>
      <c r="AP237" s="26">
        <f>EOMONTH(Table1[[#This Row],[origination_date]],0)</f>
        <v>45473</v>
      </c>
      <c r="AQ237" s="2">
        <f>SUMIFS(Table1[loan_amount],Table1[origination month],Table1[[#This Row],[origination month]])</f>
        <v>28625500</v>
      </c>
      <c r="AR237" s="2">
        <f>AVERAGEIFS(Table1[months_on_book],Table1[product],Table1[[#This Row],[product]])</f>
        <v>19.091954022988507</v>
      </c>
      <c r="AS237" s="2" t="str">
        <f ca="1">IF(EDATE(Table1[[#This Row],[origination_date]],6) &gt;= TODAY(), "New Loan", "Old Loan")</f>
        <v>Old Loan</v>
      </c>
      <c r="AT237" s="2" t="str">
        <f>"Q"&amp;ROUNDUP(MONTH(Table1[[#This Row],[origination_date]])/3,0)&amp;YEAR(Table1[[#This Row],[origination_date]])</f>
        <v>Q22024</v>
      </c>
      <c r="AU237" s="2">
        <f>SUMIFS(Table1[loan_amount],Table1[quarter],Table1[[#This Row],[quarter]])</f>
        <v>46342100</v>
      </c>
      <c r="AV237" s="34" t="str">
        <f>_xlfn.TEXTJOIN("|",TRUE,Table1[[#This Row],[loan_id]:[loan_status]])</f>
        <v>L12044086|C9572599|45461|SME Loan|Online|North|Self-Employed|36|1848600|13|62287|250116|709|B|0.1|0.63|2911700|18|990181|1002610|0|0|0|Active</v>
      </c>
      <c r="AW237" s="42">
        <f>YEAR(Loan_Table[ [#This Row],[origination_date] ])</f>
        <v>2025</v>
      </c>
    </row>
    <row r="238" spans="2:49" ht="18" customHeight="1">
      <c r="B238" s="5" t="s">
        <v>596</v>
      </c>
      <c r="C238" s="2" t="s">
        <v>597</v>
      </c>
      <c r="D238" s="3">
        <v>45813</v>
      </c>
      <c r="E238" s="2" t="s">
        <v>169</v>
      </c>
      <c r="F238" s="2" t="s">
        <v>144</v>
      </c>
      <c r="G238" s="2" t="s">
        <v>139</v>
      </c>
      <c r="H238" s="2" t="s">
        <v>134</v>
      </c>
      <c r="I238" s="2">
        <v>120</v>
      </c>
      <c r="J238" s="2">
        <v>4782100</v>
      </c>
      <c r="K238" s="2">
        <v>11.22</v>
      </c>
      <c r="L238" s="2">
        <v>66470</v>
      </c>
      <c r="M238" s="2">
        <v>1350395</v>
      </c>
      <c r="N238" s="2">
        <v>667</v>
      </c>
      <c r="O238" s="2" t="s">
        <v>140</v>
      </c>
      <c r="P238" s="2">
        <v>0.64</v>
      </c>
      <c r="Q238" s="2">
        <v>0.65</v>
      </c>
      <c r="R238" s="2">
        <v>7409300</v>
      </c>
      <c r="S238" s="2">
        <v>6</v>
      </c>
      <c r="T238" s="2">
        <v>375741</v>
      </c>
      <c r="U238" s="2">
        <v>4513669</v>
      </c>
      <c r="V238" s="2">
        <v>0</v>
      </c>
      <c r="W238" s="2">
        <v>0</v>
      </c>
      <c r="X238" s="2">
        <v>0</v>
      </c>
      <c r="Y238" s="2" t="s">
        <v>148</v>
      </c>
      <c r="Z238" s="12">
        <f>SUMIF(Table1[product],Table1[[#This Row],[product]],Table1[loan_amount])</f>
        <v>403369500</v>
      </c>
      <c r="AA238" s="15">
        <f>SUMIF(Table1[region],Table1[[#This Row],[region]],Table1[current_balance])</f>
        <v>83903255</v>
      </c>
      <c r="AB238" s="2">
        <f>COUNTIF(Table1[loan_status],Table1[[#This Row],[loan_status]])</f>
        <v>301</v>
      </c>
      <c r="AC238" s="2">
        <f>COUNTIF(Table1[default_flag],1)/ROWS(Table1[loan_id])</f>
        <v>2.5999999999999999E-2</v>
      </c>
      <c r="AD238" s="2">
        <f>COUNTIFS(Table1[region],Table1[[#This Row],[region]],Table1[default_flag],1)/COUNTIF(Table1[region],Table1[[#This Row],[region]])</f>
        <v>4.2553191489361701E-2</v>
      </c>
      <c r="AE238" s="2">
        <f>COUNTIFS(Table1[channel],Table1[[#This Row],[channel]],Table1[prepayment_flag],1)/COUNTIF(Table1[channel],Table1[[#This Row],[channel]])</f>
        <v>5.8201058201058198E-2</v>
      </c>
      <c r="AF238" s="2">
        <f>AVERAGEIFS(Table1[interest_rate_pct],Table1[product],Table1[[#This Row],[product]],Table1[risk_band],Table1[[#This Row],[risk_band]])</f>
        <v>11.719736842105268</v>
      </c>
      <c r="AG238" s="2" t="str" cm="1">
        <f t="array" ref="AG238">_xlfn.IFS(Table1[[#This Row],[dti_ratio]] &lt; 0.2, " less than 0.2", Table1[[#This Row],[dti_ratio]] &lt; 0.3, "0.2 - 0.3", Table1[[#This Row],[dti_ratio]] &lt;= 0.5, "0.35 - 0.5", Table1[[#This Row],[dti_ratio]] &gt; 0.5, "greater than 0.5")</f>
        <v>greater than 0.5</v>
      </c>
      <c r="AH238" s="2">
        <f>COUNTIF(Table1[DTI band],Table1[[#This Row],[DTI band]])</f>
        <v>32</v>
      </c>
      <c r="AI238" s="2" t="str" cm="1">
        <f t="array" ref="AI238">_xlfn.IFS(Table1[[#This Row],[ltv_ratio]] &lt; 0.6, "less than 0.6 -less risky", Table1[[#This Row],[ltv_ratio]]  &lt;= 0.8, "0.6 - 0.8 -medium risky",Table1[[#This Row],[ltv_ratio]] &gt; 0.8, "greater than 0.8 -highly risky")</f>
        <v>0.6 - 0.8 -medium risky</v>
      </c>
      <c r="AJ238" s="2">
        <f>COUNTIF(Table1[LTV band],Table1[[#This Row],[LTV band]])</f>
        <v>302</v>
      </c>
      <c r="AK238" s="2">
        <f>COUNTIFS(Table1[count_loan_perband],Table1[[#This Row],[count_loan_perband]],Table1[default_flag],1)/COUNTIF(Table1[count_loan_perband],Table1[[#This Row],[count_loan_perband]])</f>
        <v>3.6423841059602648E-2</v>
      </c>
      <c r="AL238" s="2" t="str" cm="1">
        <f t="array" ref="AL238">_xlfn.IFS(Table1[[#This Row],[loan_amount]] &lt; 900000, "lower size (&lt; 9L)", Table1[[#This Row],[loan_amount]] &lt;=3300000, "medium size (&lt;=33L)", Table1[[#This Row],[loan_amount]] &gt; 3300000, "larger size (&gt; 33L)")</f>
        <v>larger size (&gt; 33L)</v>
      </c>
      <c r="AM238" s="2">
        <f>IF(Table1[[#This Row],[dpd]] &gt;=30,1,0)</f>
        <v>0</v>
      </c>
      <c r="AN238" s="2">
        <f>COUNTIFS(Table1[Loan size],Table1[[#This Row],[Loan size]],Table1[dpd flag],1)/COUNTIF(Table1[Loan size],Table1[[#This Row],[Loan size]])</f>
        <v>0.16250000000000001</v>
      </c>
      <c r="AO238" s="2" t="str">
        <f>IF(OR(Table1[[#This Row],[credit_score]] &lt; 600, Table1[ [#This Row],[dti_ratio] ] &gt; 0.5, Table1[[#This Row],[dpd]] &gt;=30), "high risk", " not riskY")</f>
        <v>high risk</v>
      </c>
      <c r="AP238" s="26">
        <f>EOMONTH(Table1[[#This Row],[origination_date]],0)</f>
        <v>45838</v>
      </c>
      <c r="AQ238" s="2">
        <f>SUMIFS(Table1[loan_amount],Table1[origination month],Table1[[#This Row],[origination month]])</f>
        <v>25448100</v>
      </c>
      <c r="AR238" s="2">
        <f>AVERAGEIFS(Table1[months_on_book],Table1[product],Table1[[#This Row],[product]])</f>
        <v>20.516129032258064</v>
      </c>
      <c r="AS238" s="2" t="str">
        <f ca="1">IF(EDATE(Table1[[#This Row],[origination_date]],6) &gt;= TODAY(), "New Loan", "Old Loan")</f>
        <v>Old Loan</v>
      </c>
      <c r="AT238" s="2" t="str">
        <f>"Q"&amp;ROUNDUP(MONTH(Table1[[#This Row],[origination_date]])/3,0)&amp;YEAR(Table1[[#This Row],[origination_date]])</f>
        <v>Q22025</v>
      </c>
      <c r="AU238" s="2">
        <f>SUMIFS(Table1[loan_amount],Table1[quarter],Table1[[#This Row],[quarter]])</f>
        <v>80205600</v>
      </c>
      <c r="AV238" s="34" t="str">
        <f>_xlfn.TEXTJOIN("|",TRUE,Table1[[#This Row],[loan_id]:[loan_status]])</f>
        <v>L68486194|C8157006|45813|Home Loan|Branch|West|Salaried|120|4782100|11.22|66470|1350395|667|C|0.64|0.65|7409300|6|375741|4513669|0|0|0|Active</v>
      </c>
      <c r="AW238" s="42">
        <f>YEAR(Loan_Table[ [#This Row],[origination_date] ])</f>
        <v>2025</v>
      </c>
    </row>
    <row r="239" spans="2:49" ht="18" customHeight="1">
      <c r="B239" s="5" t="s">
        <v>598</v>
      </c>
      <c r="C239" s="2" t="s">
        <v>599</v>
      </c>
      <c r="D239" s="3">
        <v>45777</v>
      </c>
      <c r="E239" s="2" t="s">
        <v>131</v>
      </c>
      <c r="F239" s="2" t="s">
        <v>132</v>
      </c>
      <c r="G239" s="2" t="s">
        <v>170</v>
      </c>
      <c r="H239" s="2" t="s">
        <v>134</v>
      </c>
      <c r="I239" s="2">
        <v>72</v>
      </c>
      <c r="J239" s="2">
        <v>446100</v>
      </c>
      <c r="K239" s="2">
        <v>18.77</v>
      </c>
      <c r="L239" s="2">
        <v>10370</v>
      </c>
      <c r="M239" s="2">
        <v>1393961</v>
      </c>
      <c r="N239" s="2">
        <v>656</v>
      </c>
      <c r="O239" s="2" t="s">
        <v>140</v>
      </c>
      <c r="P239" s="2">
        <v>0.61</v>
      </c>
      <c r="Q239" s="2">
        <v>0.76</v>
      </c>
      <c r="R239" s="2">
        <v>0</v>
      </c>
      <c r="S239" s="2">
        <v>8</v>
      </c>
      <c r="T239" s="2">
        <v>82456</v>
      </c>
      <c r="U239" s="2">
        <v>385973</v>
      </c>
      <c r="V239" s="2">
        <v>30</v>
      </c>
      <c r="W239" s="2">
        <v>0</v>
      </c>
      <c r="X239" s="2">
        <v>0</v>
      </c>
      <c r="Y239" s="2" t="s">
        <v>136</v>
      </c>
      <c r="Z239" s="12">
        <f>SUMIF(Table1[product],Table1[[#This Row],[product]],Table1[loan_amount])</f>
        <v>74897600</v>
      </c>
      <c r="AA239" s="15">
        <f>SUMIF(Table1[region],Table1[[#This Row],[region]],Table1[current_balance])</f>
        <v>83297251</v>
      </c>
      <c r="AB239" s="2">
        <f>COUNTIF(Table1[loan_status],Table1[[#This Row],[loan_status]])</f>
        <v>47</v>
      </c>
      <c r="AC239" s="2">
        <f>COUNTIF(Table1[default_flag],1)/ROWS(Table1[loan_id])</f>
        <v>2.5999999999999999E-2</v>
      </c>
      <c r="AD239" s="2">
        <f>COUNTIFS(Table1[region],Table1[[#This Row],[region]],Table1[default_flag],1)/COUNTIF(Table1[region],Table1[[#This Row],[region]])</f>
        <v>3.1914893617021274E-2</v>
      </c>
      <c r="AE239" s="2">
        <f>COUNTIFS(Table1[channel],Table1[[#This Row],[channel]],Table1[prepayment_flag],1)/COUNTIF(Table1[channel],Table1[[#This Row],[channel]])</f>
        <v>7.1090047393364927E-2</v>
      </c>
      <c r="AF239" s="2">
        <f>AVERAGEIFS(Table1[interest_rate_pct],Table1[product],Table1[[#This Row],[product]],Table1[risk_band],Table1[[#This Row],[risk_band]])</f>
        <v>18.603181818181817</v>
      </c>
      <c r="AG239" s="2" t="str" cm="1">
        <f t="array" ref="AG239">_xlfn.IFS(Table1[[#This Row],[dti_ratio]] &lt; 0.2, " less than 0.2", Table1[[#This Row],[dti_ratio]] &lt; 0.3, "0.2 - 0.3", Table1[[#This Row],[dti_ratio]] &lt;= 0.5, "0.35 - 0.5", Table1[[#This Row],[dti_ratio]] &gt; 0.5, "greater than 0.5")</f>
        <v>greater than 0.5</v>
      </c>
      <c r="AH239" s="2">
        <f>COUNTIF(Table1[DTI band],Table1[[#This Row],[DTI band]])</f>
        <v>32</v>
      </c>
      <c r="AI239" s="2" t="str" cm="1">
        <f t="array" ref="AI239">_xlfn.IFS(Table1[[#This Row],[ltv_ratio]] &lt; 0.6, "less than 0.6 -less risky", Table1[[#This Row],[ltv_ratio]]  &lt;= 0.8, "0.6 - 0.8 -medium risky",Table1[[#This Row],[ltv_ratio]] &gt; 0.8, "greater than 0.8 -highly risky")</f>
        <v>0.6 - 0.8 -medium risky</v>
      </c>
      <c r="AJ239" s="2">
        <f>COUNTIF(Table1[LTV band],Table1[[#This Row],[LTV band]])</f>
        <v>302</v>
      </c>
      <c r="AK239" s="2">
        <f>COUNTIFS(Table1[count_loan_perband],Table1[[#This Row],[count_loan_perband]],Table1[default_flag],1)/COUNTIF(Table1[count_loan_perband],Table1[[#This Row],[count_loan_perband]])</f>
        <v>3.6423841059602648E-2</v>
      </c>
      <c r="AL239" s="2" t="str" cm="1">
        <f t="array" ref="AL239">_xlfn.IFS(Table1[[#This Row],[loan_amount]] &lt; 900000, "lower size (&lt; 9L)", Table1[[#This Row],[loan_amount]] &lt;=3300000, "medium size (&lt;=33L)", Table1[[#This Row],[loan_amount]] &gt; 3300000, "larger size (&gt; 33L)")</f>
        <v>lower size (&lt; 9L)</v>
      </c>
      <c r="AM239" s="2">
        <f>IF(Table1[[#This Row],[dpd]] &gt;=30,1,0)</f>
        <v>1</v>
      </c>
      <c r="AN239" s="2">
        <f>COUNTIFS(Table1[Loan size],Table1[[#This Row],[Loan size]],Table1[dpd flag],1)/COUNTIF(Table1[Loan size],Table1[[#This Row],[Loan size]])</f>
        <v>0.13934426229508196</v>
      </c>
      <c r="AO239" s="2" t="str">
        <f>IF(OR(Table1[[#This Row],[credit_score]] &lt; 600, Table1[ [#This Row],[dti_ratio] ] &gt; 0.5, Table1[[#This Row],[dpd]] &gt;=30), "high risk", " not riskY")</f>
        <v>high risk</v>
      </c>
      <c r="AP239" s="26">
        <f>EOMONTH(Table1[[#This Row],[origination_date]],0)</f>
        <v>45777</v>
      </c>
      <c r="AQ239" s="2">
        <f>SUMIFS(Table1[loan_amount],Table1[origination month],Table1[[#This Row],[origination month]])</f>
        <v>18059300</v>
      </c>
      <c r="AR239" s="2">
        <f>AVERAGEIFS(Table1[months_on_book],Table1[product],Table1[[#This Row],[product]])</f>
        <v>21.092024539877301</v>
      </c>
      <c r="AS239" s="2" t="str">
        <f ca="1">IF(EDATE(Table1[[#This Row],[origination_date]],6) &gt;= TODAY(), "New Loan", "Old Loan")</f>
        <v>Old Loan</v>
      </c>
      <c r="AT239" s="2" t="str">
        <f>"Q"&amp;ROUNDUP(MONTH(Table1[[#This Row],[origination_date]])/3,0)&amp;YEAR(Table1[[#This Row],[origination_date]])</f>
        <v>Q22025</v>
      </c>
      <c r="AU239" s="2">
        <f>SUMIFS(Table1[loan_amount],Table1[quarter],Table1[[#This Row],[quarter]])</f>
        <v>80205600</v>
      </c>
      <c r="AV239" s="34" t="str">
        <f>_xlfn.TEXTJOIN("|",TRUE,Table1[[#This Row],[loan_id]:[loan_status]])</f>
        <v>L21365266|C6696258|45777|Personal Loan|Online|East|Salaried|72|446100|18.77|10370|1393961|656|C|0.61|0.76|0|8|82456|385973|30|0|0|Delinquent</v>
      </c>
      <c r="AW239" s="42">
        <f>YEAR(Loan_Table[ [#This Row],[origination_date] ])</f>
        <v>2025</v>
      </c>
    </row>
    <row r="240" spans="2:49" ht="18" customHeight="1">
      <c r="B240" s="5" t="s">
        <v>600</v>
      </c>
      <c r="C240" s="2" t="s">
        <v>601</v>
      </c>
      <c r="D240" s="3">
        <v>45801</v>
      </c>
      <c r="E240" s="2" t="s">
        <v>169</v>
      </c>
      <c r="F240" s="2" t="s">
        <v>132</v>
      </c>
      <c r="G240" s="2" t="s">
        <v>170</v>
      </c>
      <c r="H240" s="2" t="s">
        <v>134</v>
      </c>
      <c r="I240" s="2">
        <v>48</v>
      </c>
      <c r="J240" s="2">
        <v>3936800</v>
      </c>
      <c r="K240" s="2">
        <v>11.73</v>
      </c>
      <c r="L240" s="2">
        <v>103150</v>
      </c>
      <c r="M240" s="2">
        <v>567312</v>
      </c>
      <c r="N240" s="2">
        <v>673</v>
      </c>
      <c r="O240" s="2" t="s">
        <v>140</v>
      </c>
      <c r="P240" s="2">
        <v>0.55000000000000004</v>
      </c>
      <c r="Q240" s="2">
        <v>0.91</v>
      </c>
      <c r="R240" s="2">
        <v>4307400</v>
      </c>
      <c r="S240" s="2">
        <v>7</v>
      </c>
      <c r="T240" s="2">
        <v>687375</v>
      </c>
      <c r="U240" s="2">
        <v>3357175</v>
      </c>
      <c r="V240" s="2">
        <v>0</v>
      </c>
      <c r="W240" s="2">
        <v>0</v>
      </c>
      <c r="X240" s="2">
        <v>0</v>
      </c>
      <c r="Y240" s="2" t="s">
        <v>148</v>
      </c>
      <c r="Z240" s="12">
        <f>SUMIF(Table1[product],Table1[[#This Row],[product]],Table1[loan_amount])</f>
        <v>403369500</v>
      </c>
      <c r="AA240" s="15">
        <f>SUMIF(Table1[region],Table1[[#This Row],[region]],Table1[current_balance])</f>
        <v>83297251</v>
      </c>
      <c r="AB240" s="2">
        <f>COUNTIF(Table1[loan_status],Table1[[#This Row],[loan_status]])</f>
        <v>301</v>
      </c>
      <c r="AC240" s="2">
        <f>COUNTIF(Table1[default_flag],1)/ROWS(Table1[loan_id])</f>
        <v>2.5999999999999999E-2</v>
      </c>
      <c r="AD240" s="2">
        <f>COUNTIFS(Table1[region],Table1[[#This Row],[region]],Table1[default_flag],1)/COUNTIF(Table1[region],Table1[[#This Row],[region]])</f>
        <v>3.1914893617021274E-2</v>
      </c>
      <c r="AE240" s="2">
        <f>COUNTIFS(Table1[channel],Table1[[#This Row],[channel]],Table1[prepayment_flag],1)/COUNTIF(Table1[channel],Table1[[#This Row],[channel]])</f>
        <v>7.1090047393364927E-2</v>
      </c>
      <c r="AF240" s="2">
        <f>AVERAGEIFS(Table1[interest_rate_pct],Table1[product],Table1[[#This Row],[product]],Table1[risk_band],Table1[[#This Row],[risk_band]])</f>
        <v>11.719736842105268</v>
      </c>
      <c r="AG240" s="2" t="str" cm="1">
        <f t="array" ref="AG240">_xlfn.IFS(Table1[[#This Row],[dti_ratio]] &lt; 0.2, " less than 0.2", Table1[[#This Row],[dti_ratio]] &lt; 0.3, "0.2 - 0.3", Table1[[#This Row],[dti_ratio]] &lt;= 0.5, "0.35 - 0.5", Table1[[#This Row],[dti_ratio]] &gt; 0.5, "greater than 0.5")</f>
        <v>greater than 0.5</v>
      </c>
      <c r="AH240" s="2">
        <f>COUNTIF(Table1[DTI band],Table1[[#This Row],[DTI band]])</f>
        <v>32</v>
      </c>
      <c r="AI240" s="2" t="str" cm="1">
        <f t="array" ref="AI240">_xlfn.IFS(Table1[[#This Row],[ltv_ratio]] &lt; 0.6, "less than 0.6 -less risky", Table1[[#This Row],[ltv_ratio]]  &lt;= 0.8, "0.6 - 0.8 -medium risky",Table1[[#This Row],[ltv_ratio]] &gt; 0.8, "greater than 0.8 -highly risky")</f>
        <v>greater than 0.8 -highly risky</v>
      </c>
      <c r="AJ240" s="2">
        <f>COUNTIF(Table1[LTV band],Table1[[#This Row],[LTV band]])</f>
        <v>141</v>
      </c>
      <c r="AK240" s="2">
        <f>COUNTIFS(Table1[count_loan_perband],Table1[[#This Row],[count_loan_perband]],Table1[default_flag],1)/COUNTIF(Table1[count_loan_perband],Table1[[#This Row],[count_loan_perband]])</f>
        <v>1.4184397163120567E-2</v>
      </c>
      <c r="AL240" s="2" t="str" cm="1">
        <f t="array" ref="AL240">_xlfn.IFS(Table1[[#This Row],[loan_amount]] &lt; 900000, "lower size (&lt; 9L)", Table1[[#This Row],[loan_amount]] &lt;=3300000, "medium size (&lt;=33L)", Table1[[#This Row],[loan_amount]] &gt; 3300000, "larger size (&gt; 33L)")</f>
        <v>larger size (&gt; 33L)</v>
      </c>
      <c r="AM240" s="2">
        <f>IF(Table1[[#This Row],[dpd]] &gt;=30,1,0)</f>
        <v>0</v>
      </c>
      <c r="AN240" s="2">
        <f>COUNTIFS(Table1[Loan size],Table1[[#This Row],[Loan size]],Table1[dpd flag],1)/COUNTIF(Table1[Loan size],Table1[[#This Row],[Loan size]])</f>
        <v>0.16250000000000001</v>
      </c>
      <c r="AO240" s="2" t="str">
        <f>IF(OR(Table1[[#This Row],[credit_score]] &lt; 600, Table1[ [#This Row],[dti_ratio] ] &gt; 0.5, Table1[[#This Row],[dpd]] &gt;=30), "high risk", " not riskY")</f>
        <v>high risk</v>
      </c>
      <c r="AP240" s="26">
        <f>EOMONTH(Table1[[#This Row],[origination_date]],0)</f>
        <v>45808</v>
      </c>
      <c r="AQ240" s="2">
        <f>SUMIFS(Table1[loan_amount],Table1[origination month],Table1[[#This Row],[origination month]])</f>
        <v>36698200</v>
      </c>
      <c r="AR240" s="2">
        <f>AVERAGEIFS(Table1[months_on_book],Table1[product],Table1[[#This Row],[product]])</f>
        <v>20.516129032258064</v>
      </c>
      <c r="AS240" s="2" t="str">
        <f ca="1">IF(EDATE(Table1[[#This Row],[origination_date]],6) &gt;= TODAY(), "New Loan", "Old Loan")</f>
        <v>Old Loan</v>
      </c>
      <c r="AT240" s="2" t="str">
        <f>"Q"&amp;ROUNDUP(MONTH(Table1[[#This Row],[origination_date]])/3,0)&amp;YEAR(Table1[[#This Row],[origination_date]])</f>
        <v>Q22025</v>
      </c>
      <c r="AU240" s="2">
        <f>SUMIFS(Table1[loan_amount],Table1[quarter],Table1[[#This Row],[quarter]])</f>
        <v>80205600</v>
      </c>
      <c r="AV240" s="34" t="str">
        <f>_xlfn.TEXTJOIN("|",TRUE,Table1[[#This Row],[loan_id]:[loan_status]])</f>
        <v>L81010590|C7875310|45801|Home Loan|Online|East|Salaried|48|3936800|11.73|103150|567312|673|C|0.55|0.91|4307400|7|687375|3357175|0|0|0|Active</v>
      </c>
      <c r="AW240" s="42">
        <f>YEAR(Loan_Table[ [#This Row],[origination_date] ])</f>
        <v>2025</v>
      </c>
    </row>
    <row r="241" spans="2:49" ht="18" customHeight="1">
      <c r="B241" s="5" t="s">
        <v>602</v>
      </c>
      <c r="C241" s="2" t="s">
        <v>603</v>
      </c>
      <c r="D241" s="3">
        <v>45830</v>
      </c>
      <c r="E241" s="2" t="s">
        <v>177</v>
      </c>
      <c r="F241" s="2" t="s">
        <v>144</v>
      </c>
      <c r="G241" s="2" t="s">
        <v>151</v>
      </c>
      <c r="H241" s="2" t="s">
        <v>134</v>
      </c>
      <c r="I241" s="2">
        <v>180</v>
      </c>
      <c r="J241" s="2">
        <v>809600</v>
      </c>
      <c r="K241" s="2">
        <v>8.34</v>
      </c>
      <c r="L241" s="2">
        <v>7897</v>
      </c>
      <c r="M241" s="2">
        <v>1163505</v>
      </c>
      <c r="N241" s="2">
        <v>764</v>
      </c>
      <c r="O241" s="2" t="s">
        <v>160</v>
      </c>
      <c r="P241" s="2">
        <v>0.51</v>
      </c>
      <c r="Q241" s="2">
        <v>0.62</v>
      </c>
      <c r="R241" s="2">
        <v>0</v>
      </c>
      <c r="S241" s="2">
        <v>6</v>
      </c>
      <c r="T241" s="2">
        <v>46523</v>
      </c>
      <c r="U241" s="2">
        <v>776581</v>
      </c>
      <c r="V241" s="2">
        <v>0</v>
      </c>
      <c r="W241" s="2">
        <v>0</v>
      </c>
      <c r="X241" s="2">
        <v>0</v>
      </c>
      <c r="Y241" s="2" t="s">
        <v>148</v>
      </c>
      <c r="Z241" s="12">
        <f>SUMIF(Table1[product],Table1[[#This Row],[product]],Table1[loan_amount])</f>
        <v>62765800</v>
      </c>
      <c r="AA241" s="15">
        <f>SUMIF(Table1[region],Table1[[#This Row],[region]],Table1[current_balance])</f>
        <v>105779369</v>
      </c>
      <c r="AB241" s="2">
        <f>COUNTIF(Table1[loan_status],Table1[[#This Row],[loan_status]])</f>
        <v>301</v>
      </c>
      <c r="AC241" s="2">
        <f>COUNTIF(Table1[default_flag],1)/ROWS(Table1[loan_id])</f>
        <v>2.5999999999999999E-2</v>
      </c>
      <c r="AD241" s="2">
        <f>COUNTIFS(Table1[region],Table1[[#This Row],[region]],Table1[default_flag],1)/COUNTIF(Table1[region],Table1[[#This Row],[region]])</f>
        <v>2.6548672566371681E-2</v>
      </c>
      <c r="AE241" s="2">
        <f>COUNTIFS(Table1[channel],Table1[[#This Row],[channel]],Table1[prepayment_flag],1)/COUNTIF(Table1[channel],Table1[[#This Row],[channel]])</f>
        <v>5.8201058201058198E-2</v>
      </c>
      <c r="AF241" s="2">
        <f>AVERAGEIFS(Table1[interest_rate_pct],Table1[product],Table1[[#This Row],[product]],Table1[risk_band],Table1[[#This Row],[risk_band]])</f>
        <v>8.5057142857142871</v>
      </c>
      <c r="AG241" s="2" t="str" cm="1">
        <f t="array" ref="AG241">_xlfn.IFS(Table1[[#This Row],[dti_ratio]] &lt; 0.2, " less than 0.2", Table1[[#This Row],[dti_ratio]] &lt; 0.3, "0.2 - 0.3", Table1[[#This Row],[dti_ratio]] &lt;= 0.5, "0.35 - 0.5", Table1[[#This Row],[dti_ratio]] &gt; 0.5, "greater than 0.5")</f>
        <v>greater than 0.5</v>
      </c>
      <c r="AH241" s="2">
        <f>COUNTIF(Table1[DTI band],Table1[[#This Row],[DTI band]])</f>
        <v>32</v>
      </c>
      <c r="AI241" s="2" t="str" cm="1">
        <f t="array" ref="AI241">_xlfn.IFS(Table1[[#This Row],[ltv_ratio]] &lt; 0.6, "less than 0.6 -less risky", Table1[[#This Row],[ltv_ratio]]  &lt;= 0.8, "0.6 - 0.8 -medium risky",Table1[[#This Row],[ltv_ratio]] &gt; 0.8, "greater than 0.8 -highly risky")</f>
        <v>0.6 - 0.8 -medium risky</v>
      </c>
      <c r="AJ241" s="2">
        <f>COUNTIF(Table1[LTV band],Table1[[#This Row],[LTV band]])</f>
        <v>302</v>
      </c>
      <c r="AK241" s="2">
        <f>COUNTIFS(Table1[count_loan_perband],Table1[[#This Row],[count_loan_perband]],Table1[default_flag],1)/COUNTIF(Table1[count_loan_perband],Table1[[#This Row],[count_loan_perband]])</f>
        <v>3.6423841059602648E-2</v>
      </c>
      <c r="AL241" s="2" t="str" cm="1">
        <f t="array" ref="AL241">_xlfn.IFS(Table1[[#This Row],[loan_amount]] &lt; 900000, "lower size (&lt; 9L)", Table1[[#This Row],[loan_amount]] &lt;=3300000, "medium size (&lt;=33L)", Table1[[#This Row],[loan_amount]] &gt; 3300000, "larger size (&gt; 33L)")</f>
        <v>lower size (&lt; 9L)</v>
      </c>
      <c r="AM241" s="2">
        <f>IF(Table1[[#This Row],[dpd]] &gt;=30,1,0)</f>
        <v>0</v>
      </c>
      <c r="AN241" s="2">
        <f>COUNTIFS(Table1[Loan size],Table1[[#This Row],[Loan size]],Table1[dpd flag],1)/COUNTIF(Table1[Loan size],Table1[[#This Row],[Loan size]])</f>
        <v>0.13934426229508196</v>
      </c>
      <c r="AO241" s="2" t="str">
        <f>IF(OR(Table1[[#This Row],[credit_score]] &lt; 600, Table1[ [#This Row],[dti_ratio] ] &gt; 0.5, Table1[[#This Row],[dpd]] &gt;=30), "high risk", " not riskY")</f>
        <v>high risk</v>
      </c>
      <c r="AP241" s="26">
        <f>EOMONTH(Table1[[#This Row],[origination_date]],0)</f>
        <v>45838</v>
      </c>
      <c r="AQ241" s="2">
        <f>SUMIFS(Table1[loan_amount],Table1[origination month],Table1[[#This Row],[origination month]])</f>
        <v>25448100</v>
      </c>
      <c r="AR241" s="2">
        <f>AVERAGEIFS(Table1[months_on_book],Table1[product],Table1[[#This Row],[product]])</f>
        <v>21.962962962962962</v>
      </c>
      <c r="AS241" s="2" t="str">
        <f ca="1">IF(EDATE(Table1[[#This Row],[origination_date]],6) &gt;= TODAY(), "New Loan", "Old Loan")</f>
        <v>Old Loan</v>
      </c>
      <c r="AT241" s="2" t="str">
        <f>"Q"&amp;ROUNDUP(MONTH(Table1[[#This Row],[origination_date]])/3,0)&amp;YEAR(Table1[[#This Row],[origination_date]])</f>
        <v>Q22025</v>
      </c>
      <c r="AU241" s="2">
        <f>SUMIFS(Table1[loan_amount],Table1[quarter],Table1[[#This Row],[quarter]])</f>
        <v>80205600</v>
      </c>
      <c r="AV241" s="34" t="str">
        <f>_xlfn.TEXTJOIN("|",TRUE,Table1[[#This Row],[loan_id]:[loan_status]])</f>
        <v>L43629195|C7276365|45830|Education Loan|Branch|North|Salaried|180|809600|8.34|7897|1163505|764|A|0.51|0.62|0|6|46523|776581|0|0|0|Active</v>
      </c>
      <c r="AW241" s="42">
        <f>YEAR(Loan_Table[ [#This Row],[origination_date] ])</f>
        <v>2025</v>
      </c>
    </row>
    <row r="242" spans="2:49" ht="18" customHeight="1">
      <c r="B242" s="5" t="s">
        <v>604</v>
      </c>
      <c r="C242" s="2" t="s">
        <v>605</v>
      </c>
      <c r="D242" s="3">
        <v>45803</v>
      </c>
      <c r="E242" s="2" t="s">
        <v>158</v>
      </c>
      <c r="F242" s="2" t="s">
        <v>132</v>
      </c>
      <c r="G242" s="2" t="s">
        <v>170</v>
      </c>
      <c r="H242" s="2" t="s">
        <v>134</v>
      </c>
      <c r="I242" s="2">
        <v>24</v>
      </c>
      <c r="J242" s="2">
        <v>2739900</v>
      </c>
      <c r="K242" s="2">
        <v>11.41</v>
      </c>
      <c r="L242" s="2">
        <v>128223</v>
      </c>
      <c r="M242" s="2">
        <v>745822</v>
      </c>
      <c r="N242" s="2">
        <v>782</v>
      </c>
      <c r="O242" s="2" t="s">
        <v>160</v>
      </c>
      <c r="P242" s="2">
        <v>0.48</v>
      </c>
      <c r="Q242" s="2">
        <v>0.61</v>
      </c>
      <c r="R242" s="2">
        <v>4486600</v>
      </c>
      <c r="S242" s="2">
        <v>7</v>
      </c>
      <c r="T242" s="2">
        <v>843527</v>
      </c>
      <c r="U242" s="2">
        <v>1969318</v>
      </c>
      <c r="V242" s="2">
        <v>0</v>
      </c>
      <c r="W242" s="2">
        <v>1</v>
      </c>
      <c r="X242" s="2">
        <v>0</v>
      </c>
      <c r="Y242" s="2" t="s">
        <v>141</v>
      </c>
      <c r="Z242" s="12">
        <f>SUMIF(Table1[product],Table1[[#This Row],[product]],Table1[loan_amount])</f>
        <v>201475100</v>
      </c>
      <c r="AA242" s="15">
        <f>SUMIF(Table1[region],Table1[[#This Row],[region]],Table1[current_balance])</f>
        <v>83297251</v>
      </c>
      <c r="AB242" s="2">
        <f>COUNTIF(Table1[loan_status],Table1[[#This Row],[loan_status]])</f>
        <v>139</v>
      </c>
      <c r="AC242" s="2">
        <f>COUNTIF(Table1[default_flag],1)/ROWS(Table1[loan_id])</f>
        <v>2.5999999999999999E-2</v>
      </c>
      <c r="AD242" s="2">
        <f>COUNTIFS(Table1[region],Table1[[#This Row],[region]],Table1[default_flag],1)/COUNTIF(Table1[region],Table1[[#This Row],[region]])</f>
        <v>3.1914893617021274E-2</v>
      </c>
      <c r="AE242" s="2">
        <f>COUNTIFS(Table1[channel],Table1[[#This Row],[channel]],Table1[prepayment_flag],1)/COUNTIF(Table1[channel],Table1[[#This Row],[channel]])</f>
        <v>7.1090047393364927E-2</v>
      </c>
      <c r="AF242" s="2">
        <f>AVERAGEIFS(Table1[interest_rate_pct],Table1[product],Table1[[#This Row],[product]],Table1[risk_band],Table1[[#This Row],[risk_band]])</f>
        <v>10.537499999999998</v>
      </c>
      <c r="AG242" s="2" t="str" cm="1">
        <f t="array" ref="AG242">_xlfn.IFS(Table1[[#This Row],[dti_ratio]] &lt; 0.2, " less than 0.2", Table1[[#This Row],[dti_ratio]] &lt; 0.3, "0.2 - 0.3", Table1[[#This Row],[dti_ratio]] &lt;= 0.5, "0.35 - 0.5", Table1[[#This Row],[dti_ratio]] &gt; 0.5, "greater than 0.5")</f>
        <v>0.35 - 0.5</v>
      </c>
      <c r="AH242" s="2">
        <f>COUNTIF(Table1[DTI band],Table1[[#This Row],[DTI band]])</f>
        <v>260</v>
      </c>
      <c r="AI242" s="2" t="str" cm="1">
        <f t="array" ref="AI242">_xlfn.IFS(Table1[[#This Row],[ltv_ratio]] &lt; 0.6, "less than 0.6 -less risky", Table1[[#This Row],[ltv_ratio]]  &lt;= 0.8, "0.6 - 0.8 -medium risky",Table1[[#This Row],[ltv_ratio]] &gt; 0.8, "greater than 0.8 -highly risky")</f>
        <v>0.6 - 0.8 -medium risky</v>
      </c>
      <c r="AJ242" s="2">
        <f>COUNTIF(Table1[LTV band],Table1[[#This Row],[LTV band]])</f>
        <v>302</v>
      </c>
      <c r="AK242" s="2">
        <f>COUNTIFS(Table1[count_loan_perband],Table1[[#This Row],[count_loan_perband]],Table1[default_flag],1)/COUNTIF(Table1[count_loan_perband],Table1[[#This Row],[count_loan_perband]])</f>
        <v>3.6423841059602648E-2</v>
      </c>
      <c r="AL242" s="2" t="str" cm="1">
        <f t="array" ref="AL242">_xlfn.IFS(Table1[[#This Row],[loan_amount]] &lt; 900000, "lower size (&lt; 9L)", Table1[[#This Row],[loan_amount]] &lt;=3300000, "medium size (&lt;=33L)", Table1[[#This Row],[loan_amount]] &gt; 3300000, "larger size (&gt; 33L)")</f>
        <v>medium size (&lt;=33L)</v>
      </c>
      <c r="AM242" s="2">
        <f>IF(Table1[[#This Row],[dpd]] &gt;=30,1,0)</f>
        <v>0</v>
      </c>
      <c r="AN242" s="2">
        <f>COUNTIFS(Table1[Loan size],Table1[[#This Row],[Loan size]],Table1[dpd flag],1)/COUNTIF(Table1[Loan size],Table1[[#This Row],[Loan size]])</f>
        <v>0.15909090909090909</v>
      </c>
      <c r="AO242" s="2" t="str">
        <f>IF(OR(Table1[[#This Row],[credit_score]] &lt; 600, Table1[ [#This Row],[dti_ratio] ] &gt; 0.5, Table1[[#This Row],[dpd]] &gt;=30), "high risk", " not riskY")</f>
        <v xml:space="preserve"> not riskY</v>
      </c>
      <c r="AP242" s="26">
        <f>EOMONTH(Table1[[#This Row],[origination_date]],0)</f>
        <v>45808</v>
      </c>
      <c r="AQ242" s="2">
        <f>SUMIFS(Table1[loan_amount],Table1[origination month],Table1[[#This Row],[origination month]])</f>
        <v>36698200</v>
      </c>
      <c r="AR242" s="2">
        <f>AVERAGEIFS(Table1[months_on_book],Table1[product],Table1[[#This Row],[product]])</f>
        <v>19.091954022988507</v>
      </c>
      <c r="AS242" s="2" t="str">
        <f ca="1">IF(EDATE(Table1[[#This Row],[origination_date]],6) &gt;= TODAY(), "New Loan", "Old Loan")</f>
        <v>Old Loan</v>
      </c>
      <c r="AT242" s="2" t="str">
        <f>"Q"&amp;ROUNDUP(MONTH(Table1[[#This Row],[origination_date]])/3,0)&amp;YEAR(Table1[[#This Row],[origination_date]])</f>
        <v>Q22025</v>
      </c>
      <c r="AU242" s="2">
        <f>SUMIFS(Table1[loan_amount],Table1[quarter],Table1[[#This Row],[quarter]])</f>
        <v>80205600</v>
      </c>
      <c r="AV242" s="34" t="str">
        <f>_xlfn.TEXTJOIN("|",TRUE,Table1[[#This Row],[loan_id]:[loan_status]])</f>
        <v>L85577340|C2730711|45803|SME Loan|Online|East|Salaried|24|2739900|11.41|128223|745822|782|A|0.48|0.61|4486600|7|843527|1969318|0|1|0|Closed</v>
      </c>
      <c r="AW242" s="42">
        <f>YEAR(Loan_Table[ [#This Row],[origination_date] ])</f>
        <v>2025</v>
      </c>
    </row>
    <row r="243" spans="2:49" ht="18" customHeight="1">
      <c r="B243" s="5" t="s">
        <v>606</v>
      </c>
      <c r="C243" s="2" t="s">
        <v>607</v>
      </c>
      <c r="D243" s="3">
        <v>45821</v>
      </c>
      <c r="E243" s="2" t="s">
        <v>158</v>
      </c>
      <c r="F243" s="2" t="s">
        <v>144</v>
      </c>
      <c r="G243" s="2" t="s">
        <v>151</v>
      </c>
      <c r="H243" s="2" t="s">
        <v>152</v>
      </c>
      <c r="I243" s="2">
        <v>36</v>
      </c>
      <c r="J243" s="2">
        <v>2896800</v>
      </c>
      <c r="K243" s="2">
        <v>11.11</v>
      </c>
      <c r="L243" s="2">
        <v>94988</v>
      </c>
      <c r="M243" s="2">
        <v>902522</v>
      </c>
      <c r="N243" s="2">
        <v>761</v>
      </c>
      <c r="O243" s="2" t="s">
        <v>160</v>
      </c>
      <c r="P243" s="2">
        <v>0.46</v>
      </c>
      <c r="Q243" s="2">
        <v>0.74</v>
      </c>
      <c r="R243" s="2">
        <v>3934400</v>
      </c>
      <c r="S243" s="2">
        <v>6</v>
      </c>
      <c r="T243" s="2">
        <v>538630</v>
      </c>
      <c r="U243" s="2">
        <v>2422537</v>
      </c>
      <c r="V243" s="2">
        <v>0</v>
      </c>
      <c r="W243" s="2">
        <v>0</v>
      </c>
      <c r="X243" s="2">
        <v>0</v>
      </c>
      <c r="Y243" s="2" t="s">
        <v>148</v>
      </c>
      <c r="Z243" s="12">
        <f>SUMIF(Table1[product],Table1[[#This Row],[product]],Table1[loan_amount])</f>
        <v>201475100</v>
      </c>
      <c r="AA243" s="15">
        <f>SUMIF(Table1[region],Table1[[#This Row],[region]],Table1[current_balance])</f>
        <v>105779369</v>
      </c>
      <c r="AB243" s="2">
        <f>COUNTIF(Table1[loan_status],Table1[[#This Row],[loan_status]])</f>
        <v>301</v>
      </c>
      <c r="AC243" s="2">
        <f>COUNTIF(Table1[default_flag],1)/ROWS(Table1[loan_id])</f>
        <v>2.5999999999999999E-2</v>
      </c>
      <c r="AD243" s="2">
        <f>COUNTIFS(Table1[region],Table1[[#This Row],[region]],Table1[default_flag],1)/COUNTIF(Table1[region],Table1[[#This Row],[region]])</f>
        <v>2.6548672566371681E-2</v>
      </c>
      <c r="AE243" s="2">
        <f>COUNTIFS(Table1[channel],Table1[[#This Row],[channel]],Table1[prepayment_flag],1)/COUNTIF(Table1[channel],Table1[[#This Row],[channel]])</f>
        <v>5.8201058201058198E-2</v>
      </c>
      <c r="AF243" s="2">
        <f>AVERAGEIFS(Table1[interest_rate_pct],Table1[product],Table1[[#This Row],[product]],Table1[risk_band],Table1[[#This Row],[risk_band]])</f>
        <v>10.537499999999998</v>
      </c>
      <c r="AG243" s="2" t="str" cm="1">
        <f t="array" ref="AG243">_xlfn.IFS(Table1[[#This Row],[dti_ratio]] &lt; 0.2, " less than 0.2", Table1[[#This Row],[dti_ratio]] &lt; 0.3, "0.2 - 0.3", Table1[[#This Row],[dti_ratio]] &lt;= 0.5, "0.35 - 0.5", Table1[[#This Row],[dti_ratio]] &gt; 0.5, "greater than 0.5")</f>
        <v>0.35 - 0.5</v>
      </c>
      <c r="AH243" s="2">
        <f>COUNTIF(Table1[DTI band],Table1[[#This Row],[DTI band]])</f>
        <v>260</v>
      </c>
      <c r="AI243" s="2" t="str" cm="1">
        <f t="array" ref="AI243">_xlfn.IFS(Table1[[#This Row],[ltv_ratio]] &lt; 0.6, "less than 0.6 -less risky", Table1[[#This Row],[ltv_ratio]]  &lt;= 0.8, "0.6 - 0.8 -medium risky",Table1[[#This Row],[ltv_ratio]] &gt; 0.8, "greater than 0.8 -highly risky")</f>
        <v>0.6 - 0.8 -medium risky</v>
      </c>
      <c r="AJ243" s="2">
        <f>COUNTIF(Table1[LTV band],Table1[[#This Row],[LTV band]])</f>
        <v>302</v>
      </c>
      <c r="AK243" s="2">
        <f>COUNTIFS(Table1[count_loan_perband],Table1[[#This Row],[count_loan_perband]],Table1[default_flag],1)/COUNTIF(Table1[count_loan_perband],Table1[[#This Row],[count_loan_perband]])</f>
        <v>3.6423841059602648E-2</v>
      </c>
      <c r="AL243" s="2" t="str" cm="1">
        <f t="array" ref="AL243">_xlfn.IFS(Table1[[#This Row],[loan_amount]] &lt; 900000, "lower size (&lt; 9L)", Table1[[#This Row],[loan_amount]] &lt;=3300000, "medium size (&lt;=33L)", Table1[[#This Row],[loan_amount]] &gt; 3300000, "larger size (&gt; 33L)")</f>
        <v>medium size (&lt;=33L)</v>
      </c>
      <c r="AM243" s="2">
        <f>IF(Table1[[#This Row],[dpd]] &gt;=30,1,0)</f>
        <v>0</v>
      </c>
      <c r="AN243" s="2">
        <f>COUNTIFS(Table1[Loan size],Table1[[#This Row],[Loan size]],Table1[dpd flag],1)/COUNTIF(Table1[Loan size],Table1[[#This Row],[Loan size]])</f>
        <v>0.15909090909090909</v>
      </c>
      <c r="AO243" s="2" t="str">
        <f>IF(OR(Table1[[#This Row],[credit_score]] &lt; 600, Table1[ [#This Row],[dti_ratio] ] &gt; 0.5, Table1[[#This Row],[dpd]] &gt;=30), "high risk", " not riskY")</f>
        <v xml:space="preserve"> not riskY</v>
      </c>
      <c r="AP243" s="26">
        <f>EOMONTH(Table1[[#This Row],[origination_date]],0)</f>
        <v>45838</v>
      </c>
      <c r="AQ243" s="2">
        <f>SUMIFS(Table1[loan_amount],Table1[origination month],Table1[[#This Row],[origination month]])</f>
        <v>25448100</v>
      </c>
      <c r="AR243" s="2">
        <f>AVERAGEIFS(Table1[months_on_book],Table1[product],Table1[[#This Row],[product]])</f>
        <v>19.091954022988507</v>
      </c>
      <c r="AS243" s="2" t="str">
        <f ca="1">IF(EDATE(Table1[[#This Row],[origination_date]],6) &gt;= TODAY(), "New Loan", "Old Loan")</f>
        <v>Old Loan</v>
      </c>
      <c r="AT243" s="2" t="str">
        <f>"Q"&amp;ROUNDUP(MONTH(Table1[[#This Row],[origination_date]])/3,0)&amp;YEAR(Table1[[#This Row],[origination_date]])</f>
        <v>Q22025</v>
      </c>
      <c r="AU243" s="2">
        <f>SUMIFS(Table1[loan_amount],Table1[quarter],Table1[[#This Row],[quarter]])</f>
        <v>80205600</v>
      </c>
      <c r="AV243" s="34" t="str">
        <f>_xlfn.TEXTJOIN("|",TRUE,Table1[[#This Row],[loan_id]:[loan_status]])</f>
        <v>L79481118|C5105749|45821|SME Loan|Branch|North|Self-Employed|36|2896800|11.11|94988|902522|761|A|0.46|0.74|3934400|6|538630|2422537|0|0|0|Active</v>
      </c>
      <c r="AW243" s="42">
        <f>YEAR(Loan_Table[ [#This Row],[origination_date] ])</f>
        <v>2025</v>
      </c>
    </row>
    <row r="244" spans="2:49" ht="18" customHeight="1">
      <c r="B244" s="5" t="s">
        <v>608</v>
      </c>
      <c r="C244" s="2" t="s">
        <v>609</v>
      </c>
      <c r="D244" s="3">
        <v>45786</v>
      </c>
      <c r="E244" s="2" t="s">
        <v>169</v>
      </c>
      <c r="F244" s="2" t="s">
        <v>144</v>
      </c>
      <c r="G244" s="2" t="s">
        <v>139</v>
      </c>
      <c r="H244" s="2" t="s">
        <v>152</v>
      </c>
      <c r="I244" s="2">
        <v>60</v>
      </c>
      <c r="J244" s="2">
        <v>3293300</v>
      </c>
      <c r="K244" s="2">
        <v>12.43</v>
      </c>
      <c r="L244" s="2">
        <v>73975</v>
      </c>
      <c r="M244" s="2">
        <v>859987</v>
      </c>
      <c r="N244" s="2">
        <v>661</v>
      </c>
      <c r="O244" s="2" t="s">
        <v>140</v>
      </c>
      <c r="P244" s="2">
        <v>0.45</v>
      </c>
      <c r="Q244" s="2">
        <v>0.66</v>
      </c>
      <c r="R244" s="2">
        <v>4996400</v>
      </c>
      <c r="S244" s="2">
        <v>7</v>
      </c>
      <c r="T244" s="2">
        <v>455457</v>
      </c>
      <c r="U244" s="2">
        <v>2933360</v>
      </c>
      <c r="V244" s="2">
        <v>0</v>
      </c>
      <c r="W244" s="2">
        <v>0</v>
      </c>
      <c r="X244" s="2">
        <v>0</v>
      </c>
      <c r="Y244" s="2" t="s">
        <v>148</v>
      </c>
      <c r="Z244" s="12">
        <f>SUMIF(Table1[product],Table1[[#This Row],[product]],Table1[loan_amount])</f>
        <v>403369500</v>
      </c>
      <c r="AA244" s="15">
        <f>SUMIF(Table1[region],Table1[[#This Row],[region]],Table1[current_balance])</f>
        <v>83903255</v>
      </c>
      <c r="AB244" s="2">
        <f>COUNTIF(Table1[loan_status],Table1[[#This Row],[loan_status]])</f>
        <v>301</v>
      </c>
      <c r="AC244" s="2">
        <f>COUNTIF(Table1[default_flag],1)/ROWS(Table1[loan_id])</f>
        <v>2.5999999999999999E-2</v>
      </c>
      <c r="AD244" s="2">
        <f>COUNTIFS(Table1[region],Table1[[#This Row],[region]],Table1[default_flag],1)/COUNTIF(Table1[region],Table1[[#This Row],[region]])</f>
        <v>4.2553191489361701E-2</v>
      </c>
      <c r="AE244" s="2">
        <f>COUNTIFS(Table1[channel],Table1[[#This Row],[channel]],Table1[prepayment_flag],1)/COUNTIF(Table1[channel],Table1[[#This Row],[channel]])</f>
        <v>5.8201058201058198E-2</v>
      </c>
      <c r="AF244" s="2">
        <f>AVERAGEIFS(Table1[interest_rate_pct],Table1[product],Table1[[#This Row],[product]],Table1[risk_band],Table1[[#This Row],[risk_band]])</f>
        <v>11.719736842105268</v>
      </c>
      <c r="AG244" s="2" t="str" cm="1">
        <f t="array" ref="AG244">_xlfn.IFS(Table1[[#This Row],[dti_ratio]] &lt; 0.2, " less than 0.2", Table1[[#This Row],[dti_ratio]] &lt; 0.3, "0.2 - 0.3", Table1[[#This Row],[dti_ratio]] &lt;= 0.5, "0.35 - 0.5", Table1[[#This Row],[dti_ratio]] &gt; 0.5, "greater than 0.5")</f>
        <v>0.35 - 0.5</v>
      </c>
      <c r="AH244" s="2">
        <f>COUNTIF(Table1[DTI band],Table1[[#This Row],[DTI band]])</f>
        <v>260</v>
      </c>
      <c r="AI244" s="2" t="str" cm="1">
        <f t="array" ref="AI244">_xlfn.IFS(Table1[[#This Row],[ltv_ratio]] &lt; 0.6, "less than 0.6 -less risky", Table1[[#This Row],[ltv_ratio]]  &lt;= 0.8, "0.6 - 0.8 -medium risky",Table1[[#This Row],[ltv_ratio]] &gt; 0.8, "greater than 0.8 -highly risky")</f>
        <v>0.6 - 0.8 -medium risky</v>
      </c>
      <c r="AJ244" s="2">
        <f>COUNTIF(Table1[LTV band],Table1[[#This Row],[LTV band]])</f>
        <v>302</v>
      </c>
      <c r="AK244" s="2">
        <f>COUNTIFS(Table1[count_loan_perband],Table1[[#This Row],[count_loan_perband]],Table1[default_flag],1)/COUNTIF(Table1[count_loan_perband],Table1[[#This Row],[count_loan_perband]])</f>
        <v>3.6423841059602648E-2</v>
      </c>
      <c r="AL244" s="2" t="str" cm="1">
        <f t="array" ref="AL244">_xlfn.IFS(Table1[[#This Row],[loan_amount]] &lt; 900000, "lower size (&lt; 9L)", Table1[[#This Row],[loan_amount]] &lt;=3300000, "medium size (&lt;=33L)", Table1[[#This Row],[loan_amount]] &gt; 3300000, "larger size (&gt; 33L)")</f>
        <v>medium size (&lt;=33L)</v>
      </c>
      <c r="AM244" s="2">
        <f>IF(Table1[[#This Row],[dpd]] &gt;=30,1,0)</f>
        <v>0</v>
      </c>
      <c r="AN244" s="2">
        <f>COUNTIFS(Table1[Loan size],Table1[[#This Row],[Loan size]],Table1[dpd flag],1)/COUNTIF(Table1[Loan size],Table1[[#This Row],[Loan size]])</f>
        <v>0.15909090909090909</v>
      </c>
      <c r="AO244" s="2" t="str">
        <f>IF(OR(Table1[[#This Row],[credit_score]] &lt; 600, Table1[ [#This Row],[dti_ratio] ] &gt; 0.5, Table1[[#This Row],[dpd]] &gt;=30), "high risk", " not riskY")</f>
        <v xml:space="preserve"> not riskY</v>
      </c>
      <c r="AP244" s="26">
        <f>EOMONTH(Table1[[#This Row],[origination_date]],0)</f>
        <v>45808</v>
      </c>
      <c r="AQ244" s="2">
        <f>SUMIFS(Table1[loan_amount],Table1[origination month],Table1[[#This Row],[origination month]])</f>
        <v>36698200</v>
      </c>
      <c r="AR244" s="2">
        <f>AVERAGEIFS(Table1[months_on_book],Table1[product],Table1[[#This Row],[product]])</f>
        <v>20.516129032258064</v>
      </c>
      <c r="AS244" s="2" t="str">
        <f ca="1">IF(EDATE(Table1[[#This Row],[origination_date]],6) &gt;= TODAY(), "New Loan", "Old Loan")</f>
        <v>Old Loan</v>
      </c>
      <c r="AT244" s="2" t="str">
        <f>"Q"&amp;ROUNDUP(MONTH(Table1[[#This Row],[origination_date]])/3,0)&amp;YEAR(Table1[[#This Row],[origination_date]])</f>
        <v>Q22025</v>
      </c>
      <c r="AU244" s="2">
        <f>SUMIFS(Table1[loan_amount],Table1[quarter],Table1[[#This Row],[quarter]])</f>
        <v>80205600</v>
      </c>
      <c r="AV244" s="34" t="str">
        <f>_xlfn.TEXTJOIN("|",TRUE,Table1[[#This Row],[loan_id]:[loan_status]])</f>
        <v>L84486805|C1498558|45786|Home Loan|Branch|West|Self-Employed|60|3293300|12.43|73975|859987|661|C|0.45|0.66|4996400|7|455457|2933360|0|0|0|Active</v>
      </c>
      <c r="AW244" s="42">
        <f>YEAR(Loan_Table[ [#This Row],[origination_date] ])</f>
        <v>2025</v>
      </c>
    </row>
    <row r="245" spans="2:49" ht="18" customHeight="1">
      <c r="B245" s="5" t="s">
        <v>610</v>
      </c>
      <c r="C245" s="2" t="s">
        <v>611</v>
      </c>
      <c r="D245" s="3">
        <v>45800</v>
      </c>
      <c r="E245" s="2" t="s">
        <v>169</v>
      </c>
      <c r="F245" s="2" t="s">
        <v>144</v>
      </c>
      <c r="G245" s="2" t="s">
        <v>170</v>
      </c>
      <c r="H245" s="2" t="s">
        <v>134</v>
      </c>
      <c r="I245" s="2">
        <v>48</v>
      </c>
      <c r="J245" s="2">
        <v>1988000</v>
      </c>
      <c r="K245" s="2">
        <v>13</v>
      </c>
      <c r="L245" s="2">
        <v>53333</v>
      </c>
      <c r="M245" s="2">
        <v>1189000</v>
      </c>
      <c r="N245" s="2">
        <v>670</v>
      </c>
      <c r="O245" s="2" t="s">
        <v>140</v>
      </c>
      <c r="P245" s="2">
        <v>0.43</v>
      </c>
      <c r="Q245" s="2">
        <v>0.89</v>
      </c>
      <c r="R245" s="2">
        <v>2232400</v>
      </c>
      <c r="S245" s="2">
        <v>7</v>
      </c>
      <c r="T245" s="2">
        <v>370496</v>
      </c>
      <c r="U245" s="2">
        <v>1677807</v>
      </c>
      <c r="V245" s="2">
        <v>0</v>
      </c>
      <c r="W245" s="2">
        <v>0</v>
      </c>
      <c r="X245" s="2">
        <v>0</v>
      </c>
      <c r="Y245" s="2" t="s">
        <v>148</v>
      </c>
      <c r="Z245" s="12">
        <f>SUMIF(Table1[product],Table1[[#This Row],[product]],Table1[loan_amount])</f>
        <v>403369500</v>
      </c>
      <c r="AA245" s="15">
        <f>SUMIF(Table1[region],Table1[[#This Row],[region]],Table1[current_balance])</f>
        <v>83297251</v>
      </c>
      <c r="AB245" s="2">
        <f>COUNTIF(Table1[loan_status],Table1[[#This Row],[loan_status]])</f>
        <v>301</v>
      </c>
      <c r="AC245" s="2">
        <f>COUNTIF(Table1[default_flag],1)/ROWS(Table1[loan_id])</f>
        <v>2.5999999999999999E-2</v>
      </c>
      <c r="AD245" s="2">
        <f>COUNTIFS(Table1[region],Table1[[#This Row],[region]],Table1[default_flag],1)/COUNTIF(Table1[region],Table1[[#This Row],[region]])</f>
        <v>3.1914893617021274E-2</v>
      </c>
      <c r="AE245" s="2">
        <f>COUNTIFS(Table1[channel],Table1[[#This Row],[channel]],Table1[prepayment_flag],1)/COUNTIF(Table1[channel],Table1[[#This Row],[channel]])</f>
        <v>5.8201058201058198E-2</v>
      </c>
      <c r="AF245" s="2">
        <f>AVERAGEIFS(Table1[interest_rate_pct],Table1[product],Table1[[#This Row],[product]],Table1[risk_band],Table1[[#This Row],[risk_band]])</f>
        <v>11.719736842105268</v>
      </c>
      <c r="AG245" s="2" t="str" cm="1">
        <f t="array" ref="AG245">_xlfn.IFS(Table1[[#This Row],[dti_ratio]] &lt; 0.2, " less than 0.2", Table1[[#This Row],[dti_ratio]] &lt; 0.3, "0.2 - 0.3", Table1[[#This Row],[dti_ratio]] &lt;= 0.5, "0.35 - 0.5", Table1[[#This Row],[dti_ratio]] &gt; 0.5, "greater than 0.5")</f>
        <v>0.35 - 0.5</v>
      </c>
      <c r="AH245" s="2">
        <f>COUNTIF(Table1[DTI band],Table1[[#This Row],[DTI band]])</f>
        <v>260</v>
      </c>
      <c r="AI245" s="2" t="str" cm="1">
        <f t="array" ref="AI245">_xlfn.IFS(Table1[[#This Row],[ltv_ratio]] &lt; 0.6, "less than 0.6 -less risky", Table1[[#This Row],[ltv_ratio]]  &lt;= 0.8, "0.6 - 0.8 -medium risky",Table1[[#This Row],[ltv_ratio]] &gt; 0.8, "greater than 0.8 -highly risky")</f>
        <v>greater than 0.8 -highly risky</v>
      </c>
      <c r="AJ245" s="2">
        <f>COUNTIF(Table1[LTV band],Table1[[#This Row],[LTV band]])</f>
        <v>141</v>
      </c>
      <c r="AK245" s="2">
        <f>COUNTIFS(Table1[count_loan_perband],Table1[[#This Row],[count_loan_perband]],Table1[default_flag],1)/COUNTIF(Table1[count_loan_perband],Table1[[#This Row],[count_loan_perband]])</f>
        <v>1.4184397163120567E-2</v>
      </c>
      <c r="AL245" s="2" t="str" cm="1">
        <f t="array" ref="AL245">_xlfn.IFS(Table1[[#This Row],[loan_amount]] &lt; 900000, "lower size (&lt; 9L)", Table1[[#This Row],[loan_amount]] &lt;=3300000, "medium size (&lt;=33L)", Table1[[#This Row],[loan_amount]] &gt; 3300000, "larger size (&gt; 33L)")</f>
        <v>medium size (&lt;=33L)</v>
      </c>
      <c r="AM245" s="2">
        <f>IF(Table1[[#This Row],[dpd]] &gt;=30,1,0)</f>
        <v>0</v>
      </c>
      <c r="AN245" s="2">
        <f>COUNTIFS(Table1[Loan size],Table1[[#This Row],[Loan size]],Table1[dpd flag],1)/COUNTIF(Table1[Loan size],Table1[[#This Row],[Loan size]])</f>
        <v>0.15909090909090909</v>
      </c>
      <c r="AO245" s="2" t="str">
        <f>IF(OR(Table1[[#This Row],[credit_score]] &lt; 600, Table1[ [#This Row],[dti_ratio] ] &gt; 0.5, Table1[[#This Row],[dpd]] &gt;=30), "high risk", " not riskY")</f>
        <v xml:space="preserve"> not riskY</v>
      </c>
      <c r="AP245" s="26">
        <f>EOMONTH(Table1[[#This Row],[origination_date]],0)</f>
        <v>45808</v>
      </c>
      <c r="AQ245" s="2">
        <f>SUMIFS(Table1[loan_amount],Table1[origination month],Table1[[#This Row],[origination month]])</f>
        <v>36698200</v>
      </c>
      <c r="AR245" s="2">
        <f>AVERAGEIFS(Table1[months_on_book],Table1[product],Table1[[#This Row],[product]])</f>
        <v>20.516129032258064</v>
      </c>
      <c r="AS245" s="2" t="str">
        <f ca="1">IF(EDATE(Table1[[#This Row],[origination_date]],6) &gt;= TODAY(), "New Loan", "Old Loan")</f>
        <v>Old Loan</v>
      </c>
      <c r="AT245" s="2" t="str">
        <f>"Q"&amp;ROUNDUP(MONTH(Table1[[#This Row],[origination_date]])/3,0)&amp;YEAR(Table1[[#This Row],[origination_date]])</f>
        <v>Q22025</v>
      </c>
      <c r="AU245" s="2">
        <f>SUMIFS(Table1[loan_amount],Table1[quarter],Table1[[#This Row],[quarter]])</f>
        <v>80205600</v>
      </c>
      <c r="AV245" s="34" t="str">
        <f>_xlfn.TEXTJOIN("|",TRUE,Table1[[#This Row],[loan_id]:[loan_status]])</f>
        <v>L92441066|C6609833|45800|Home Loan|Branch|East|Salaried|48|1988000|13|53333|1189000|670|C|0.43|0.89|2232400|7|370496|1677807|0|0|0|Active</v>
      </c>
      <c r="AW245" s="42">
        <f>YEAR(Loan_Table[ [#This Row],[origination_date] ])</f>
        <v>2025</v>
      </c>
    </row>
    <row r="246" spans="2:49" ht="18" customHeight="1">
      <c r="B246" s="5" t="s">
        <v>612</v>
      </c>
      <c r="C246" s="2" t="s">
        <v>613</v>
      </c>
      <c r="D246" s="3">
        <v>45799</v>
      </c>
      <c r="E246" s="2" t="s">
        <v>163</v>
      </c>
      <c r="F246" s="2" t="s">
        <v>132</v>
      </c>
      <c r="G246" s="2" t="s">
        <v>151</v>
      </c>
      <c r="H246" s="2" t="s">
        <v>152</v>
      </c>
      <c r="I246" s="2">
        <v>36</v>
      </c>
      <c r="J246" s="2">
        <v>1062000</v>
      </c>
      <c r="K246" s="2">
        <v>17.87</v>
      </c>
      <c r="L246" s="2">
        <v>38325</v>
      </c>
      <c r="M246" s="2">
        <v>962876</v>
      </c>
      <c r="N246" s="2">
        <v>570</v>
      </c>
      <c r="O246" s="2" t="s">
        <v>166</v>
      </c>
      <c r="P246" s="2">
        <v>0.43</v>
      </c>
      <c r="Q246" s="2">
        <v>0.57999999999999996</v>
      </c>
      <c r="R246" s="2">
        <v>1815500</v>
      </c>
      <c r="S246" s="2">
        <v>7</v>
      </c>
      <c r="T246" s="2">
        <v>244551</v>
      </c>
      <c r="U246" s="2">
        <v>861731</v>
      </c>
      <c r="V246" s="2">
        <v>0</v>
      </c>
      <c r="W246" s="2">
        <v>0</v>
      </c>
      <c r="X246" s="2">
        <v>0</v>
      </c>
      <c r="Y246" s="2" t="s">
        <v>148</v>
      </c>
      <c r="Z246" s="12">
        <f>SUMIF(Table1[product],Table1[[#This Row],[product]],Table1[loan_amount])</f>
        <v>92273000</v>
      </c>
      <c r="AA246" s="15">
        <f>SUMIF(Table1[region],Table1[[#This Row],[region]],Table1[current_balance])</f>
        <v>105779369</v>
      </c>
      <c r="AB246" s="2">
        <f>COUNTIF(Table1[loan_status],Table1[[#This Row],[loan_status]])</f>
        <v>301</v>
      </c>
      <c r="AC246" s="2">
        <f>COUNTIF(Table1[default_flag],1)/ROWS(Table1[loan_id])</f>
        <v>2.5999999999999999E-2</v>
      </c>
      <c r="AD246" s="2">
        <f>COUNTIFS(Table1[region],Table1[[#This Row],[region]],Table1[default_flag],1)/COUNTIF(Table1[region],Table1[[#This Row],[region]])</f>
        <v>2.6548672566371681E-2</v>
      </c>
      <c r="AE246" s="2">
        <f>COUNTIFS(Table1[channel],Table1[[#This Row],[channel]],Table1[prepayment_flag],1)/COUNTIF(Table1[channel],Table1[[#This Row],[channel]])</f>
        <v>7.1090047393364927E-2</v>
      </c>
      <c r="AF246" s="2">
        <f>AVERAGEIFS(Table1[interest_rate_pct],Table1[product],Table1[[#This Row],[product]],Table1[risk_band],Table1[[#This Row],[risk_band]])</f>
        <v>17.744166666666668</v>
      </c>
      <c r="AG246" s="2" t="str" cm="1">
        <f t="array" ref="AG246">_xlfn.IFS(Table1[[#This Row],[dti_ratio]] &lt; 0.2, " less than 0.2", Table1[[#This Row],[dti_ratio]] &lt; 0.3, "0.2 - 0.3", Table1[[#This Row],[dti_ratio]] &lt;= 0.5, "0.35 - 0.5", Table1[[#This Row],[dti_ratio]] &gt; 0.5, "greater than 0.5")</f>
        <v>0.35 - 0.5</v>
      </c>
      <c r="AH246" s="2">
        <f>COUNTIF(Table1[DTI band],Table1[[#This Row],[DTI band]])</f>
        <v>260</v>
      </c>
      <c r="AI246" s="2" t="str" cm="1">
        <f t="array" ref="AI246">_xlfn.IFS(Table1[[#This Row],[ltv_ratio]] &lt; 0.6, "less than 0.6 -less risky", Table1[[#This Row],[ltv_ratio]]  &lt;= 0.8, "0.6 - 0.8 -medium risky",Table1[[#This Row],[ltv_ratio]] &gt; 0.8, "greater than 0.8 -highly risky")</f>
        <v>less than 0.6 -less risky</v>
      </c>
      <c r="AJ246" s="2">
        <f>COUNTIF(Table1[LTV band],Table1[[#This Row],[LTV band]])</f>
        <v>57</v>
      </c>
      <c r="AK246" s="2">
        <f>COUNTIFS(Table1[count_loan_perband],Table1[[#This Row],[count_loan_perband]],Table1[default_flag],1)/COUNTIF(Table1[count_loan_perband],Table1[[#This Row],[count_loan_perband]])</f>
        <v>0</v>
      </c>
      <c r="AL246" s="2" t="str" cm="1">
        <f t="array" ref="AL246">_xlfn.IFS(Table1[[#This Row],[loan_amount]] &lt; 900000, "lower size (&lt; 9L)", Table1[[#This Row],[loan_amount]] &lt;=3300000, "medium size (&lt;=33L)", Table1[[#This Row],[loan_amount]] &gt; 3300000, "larger size (&gt; 33L)")</f>
        <v>medium size (&lt;=33L)</v>
      </c>
      <c r="AM246" s="2">
        <f>IF(Table1[[#This Row],[dpd]] &gt;=30,1,0)</f>
        <v>0</v>
      </c>
      <c r="AN246" s="2">
        <f>COUNTIFS(Table1[Loan size],Table1[[#This Row],[Loan size]],Table1[dpd flag],1)/COUNTIF(Table1[Loan size],Table1[[#This Row],[Loan size]])</f>
        <v>0.15909090909090909</v>
      </c>
      <c r="AO246" s="2" t="str">
        <f>IF(OR(Table1[[#This Row],[credit_score]] &lt; 600, Table1[ [#This Row],[dti_ratio] ] &gt; 0.5, Table1[[#This Row],[dpd]] &gt;=30), "high risk", " not riskY")</f>
        <v>high risk</v>
      </c>
      <c r="AP246" s="26">
        <f>EOMONTH(Table1[[#This Row],[origination_date]],0)</f>
        <v>45808</v>
      </c>
      <c r="AQ246" s="2">
        <f>SUMIFS(Table1[loan_amount],Table1[origination month],Table1[[#This Row],[origination month]])</f>
        <v>36698200</v>
      </c>
      <c r="AR246" s="2">
        <f>AVERAGEIFS(Table1[months_on_book],Table1[product],Table1[[#This Row],[product]])</f>
        <v>20.262135922330096</v>
      </c>
      <c r="AS246" s="2" t="str">
        <f ca="1">IF(EDATE(Table1[[#This Row],[origination_date]],6) &gt;= TODAY(), "New Loan", "Old Loan")</f>
        <v>Old Loan</v>
      </c>
      <c r="AT246" s="2" t="str">
        <f>"Q"&amp;ROUNDUP(MONTH(Table1[[#This Row],[origination_date]])/3,0)&amp;YEAR(Table1[[#This Row],[origination_date]])</f>
        <v>Q22025</v>
      </c>
      <c r="AU246" s="2">
        <f>SUMIFS(Table1[loan_amount],Table1[quarter],Table1[[#This Row],[quarter]])</f>
        <v>80205600</v>
      </c>
      <c r="AV246" s="34" t="str">
        <f>_xlfn.TEXTJOIN("|",TRUE,Table1[[#This Row],[loan_id]:[loan_status]])</f>
        <v>L15846090|C8654803|45799|Auto Loan|Online|North|Self-Employed|36|1062000|17.87|38325|962876|570|E|0.43|0.58|1815500|7|244551|861731|0|0|0|Active</v>
      </c>
      <c r="AW246" s="42">
        <f>YEAR(Loan_Table[ [#This Row],[origination_date] ])</f>
        <v>2025</v>
      </c>
    </row>
    <row r="247" spans="2:49" ht="18" customHeight="1">
      <c r="B247" s="5" t="s">
        <v>614</v>
      </c>
      <c r="C247" s="2" t="s">
        <v>615</v>
      </c>
      <c r="D247" s="3">
        <v>45767</v>
      </c>
      <c r="E247" s="2" t="s">
        <v>131</v>
      </c>
      <c r="F247" s="2" t="s">
        <v>144</v>
      </c>
      <c r="G247" s="2" t="s">
        <v>151</v>
      </c>
      <c r="H247" s="2" t="s">
        <v>134</v>
      </c>
      <c r="I247" s="2">
        <v>12</v>
      </c>
      <c r="J247" s="2">
        <v>166600</v>
      </c>
      <c r="K247" s="2">
        <v>17.940000000000001</v>
      </c>
      <c r="L247" s="2">
        <v>15269</v>
      </c>
      <c r="M247" s="2">
        <v>597130</v>
      </c>
      <c r="N247" s="2">
        <v>699</v>
      </c>
      <c r="O247" s="2" t="s">
        <v>140</v>
      </c>
      <c r="P247" s="2">
        <v>0.43</v>
      </c>
      <c r="Q247" s="2">
        <v>1.03</v>
      </c>
      <c r="R247" s="2">
        <v>0</v>
      </c>
      <c r="S247" s="2">
        <v>8</v>
      </c>
      <c r="T247" s="2">
        <v>105008</v>
      </c>
      <c r="U247" s="2">
        <v>69562</v>
      </c>
      <c r="V247" s="2">
        <v>0</v>
      </c>
      <c r="W247" s="2">
        <v>0</v>
      </c>
      <c r="X247" s="2">
        <v>0</v>
      </c>
      <c r="Y247" s="2" t="s">
        <v>148</v>
      </c>
      <c r="Z247" s="12">
        <f>SUMIF(Table1[product],Table1[[#This Row],[product]],Table1[loan_amount])</f>
        <v>74897600</v>
      </c>
      <c r="AA247" s="15">
        <f>SUMIF(Table1[region],Table1[[#This Row],[region]],Table1[current_balance])</f>
        <v>105779369</v>
      </c>
      <c r="AB247" s="2">
        <f>COUNTIF(Table1[loan_status],Table1[[#This Row],[loan_status]])</f>
        <v>301</v>
      </c>
      <c r="AC247" s="2">
        <f>COUNTIF(Table1[default_flag],1)/ROWS(Table1[loan_id])</f>
        <v>2.5999999999999999E-2</v>
      </c>
      <c r="AD247" s="2">
        <f>COUNTIFS(Table1[region],Table1[[#This Row],[region]],Table1[default_flag],1)/COUNTIF(Table1[region],Table1[[#This Row],[region]])</f>
        <v>2.6548672566371681E-2</v>
      </c>
      <c r="AE247" s="2">
        <f>COUNTIFS(Table1[channel],Table1[[#This Row],[channel]],Table1[prepayment_flag],1)/COUNTIF(Table1[channel],Table1[[#This Row],[channel]])</f>
        <v>5.8201058201058198E-2</v>
      </c>
      <c r="AF247" s="2">
        <f>AVERAGEIFS(Table1[interest_rate_pct],Table1[product],Table1[[#This Row],[product]],Table1[risk_band],Table1[[#This Row],[risk_band]])</f>
        <v>18.603181818181817</v>
      </c>
      <c r="AG247" s="2" t="str" cm="1">
        <f t="array" ref="AG247">_xlfn.IFS(Table1[[#This Row],[dti_ratio]] &lt; 0.2, " less than 0.2", Table1[[#This Row],[dti_ratio]] &lt; 0.3, "0.2 - 0.3", Table1[[#This Row],[dti_ratio]] &lt;= 0.5, "0.35 - 0.5", Table1[[#This Row],[dti_ratio]] &gt; 0.5, "greater than 0.5")</f>
        <v>0.35 - 0.5</v>
      </c>
      <c r="AH247" s="2">
        <f>COUNTIF(Table1[DTI band],Table1[[#This Row],[DTI band]])</f>
        <v>260</v>
      </c>
      <c r="AI247" s="2" t="str" cm="1">
        <f t="array" ref="AI247">_xlfn.IFS(Table1[[#This Row],[ltv_ratio]] &lt; 0.6, "less than 0.6 -less risky", Table1[[#This Row],[ltv_ratio]]  &lt;= 0.8, "0.6 - 0.8 -medium risky",Table1[[#This Row],[ltv_ratio]] &gt; 0.8, "greater than 0.8 -highly risky")</f>
        <v>greater than 0.8 -highly risky</v>
      </c>
      <c r="AJ247" s="2">
        <f>COUNTIF(Table1[LTV band],Table1[[#This Row],[LTV band]])</f>
        <v>141</v>
      </c>
      <c r="AK247" s="2">
        <f>COUNTIFS(Table1[count_loan_perband],Table1[[#This Row],[count_loan_perband]],Table1[default_flag],1)/COUNTIF(Table1[count_loan_perband],Table1[[#This Row],[count_loan_perband]])</f>
        <v>1.4184397163120567E-2</v>
      </c>
      <c r="AL247" s="2" t="str" cm="1">
        <f t="array" ref="AL247">_xlfn.IFS(Table1[[#This Row],[loan_amount]] &lt; 900000, "lower size (&lt; 9L)", Table1[[#This Row],[loan_amount]] &lt;=3300000, "medium size (&lt;=33L)", Table1[[#This Row],[loan_amount]] &gt; 3300000, "larger size (&gt; 33L)")</f>
        <v>lower size (&lt; 9L)</v>
      </c>
      <c r="AM247" s="2">
        <f>IF(Table1[[#This Row],[dpd]] &gt;=30,1,0)</f>
        <v>0</v>
      </c>
      <c r="AN247" s="2">
        <f>COUNTIFS(Table1[Loan size],Table1[[#This Row],[Loan size]],Table1[dpd flag],1)/COUNTIF(Table1[Loan size],Table1[[#This Row],[Loan size]])</f>
        <v>0.13934426229508196</v>
      </c>
      <c r="AO247" s="2" t="str">
        <f>IF(OR(Table1[[#This Row],[credit_score]] &lt; 600, Table1[ [#This Row],[dti_ratio] ] &gt; 0.5, Table1[[#This Row],[dpd]] &gt;=30), "high risk", " not riskY")</f>
        <v xml:space="preserve"> not riskY</v>
      </c>
      <c r="AP247" s="26">
        <f>EOMONTH(Table1[[#This Row],[origination_date]],0)</f>
        <v>45777</v>
      </c>
      <c r="AQ247" s="2">
        <f>SUMIFS(Table1[loan_amount],Table1[origination month],Table1[[#This Row],[origination month]])</f>
        <v>18059300</v>
      </c>
      <c r="AR247" s="2">
        <f>AVERAGEIFS(Table1[months_on_book],Table1[product],Table1[[#This Row],[product]])</f>
        <v>21.092024539877301</v>
      </c>
      <c r="AS247" s="2" t="str">
        <f ca="1">IF(EDATE(Table1[[#This Row],[origination_date]],6) &gt;= TODAY(), "New Loan", "Old Loan")</f>
        <v>Old Loan</v>
      </c>
      <c r="AT247" s="2" t="str">
        <f>"Q"&amp;ROUNDUP(MONTH(Table1[[#This Row],[origination_date]])/3,0)&amp;YEAR(Table1[[#This Row],[origination_date]])</f>
        <v>Q22025</v>
      </c>
      <c r="AU247" s="2">
        <f>SUMIFS(Table1[loan_amount],Table1[quarter],Table1[[#This Row],[quarter]])</f>
        <v>80205600</v>
      </c>
      <c r="AV247" s="34" t="str">
        <f>_xlfn.TEXTJOIN("|",TRUE,Table1[[#This Row],[loan_id]:[loan_status]])</f>
        <v>L82428792|C3158902|45767|Personal Loan|Branch|North|Salaried|12|166600|17.94|15269|597130|699|C|0.43|1.03|0|8|105008|69562|0|0|0|Active</v>
      </c>
      <c r="AW247" s="42">
        <f>YEAR(Loan_Table[ [#This Row],[origination_date] ])</f>
        <v>2025</v>
      </c>
    </row>
    <row r="248" spans="2:49" ht="18" customHeight="1">
      <c r="B248" s="5" t="s">
        <v>616</v>
      </c>
      <c r="C248" s="2" t="s">
        <v>617</v>
      </c>
      <c r="D248" s="3">
        <v>45768</v>
      </c>
      <c r="E248" s="2" t="s">
        <v>177</v>
      </c>
      <c r="F248" s="2" t="s">
        <v>213</v>
      </c>
      <c r="G248" s="2" t="s">
        <v>133</v>
      </c>
      <c r="H248" s="2" t="s">
        <v>134</v>
      </c>
      <c r="I248" s="2">
        <v>36</v>
      </c>
      <c r="J248" s="2">
        <v>761700</v>
      </c>
      <c r="K248" s="2">
        <v>15.74</v>
      </c>
      <c r="L248" s="2">
        <v>26681</v>
      </c>
      <c r="M248" s="2">
        <v>1064276</v>
      </c>
      <c r="N248" s="2">
        <v>635</v>
      </c>
      <c r="O248" s="2" t="s">
        <v>147</v>
      </c>
      <c r="P248" s="2">
        <v>0.42</v>
      </c>
      <c r="Q248" s="2">
        <v>0.45</v>
      </c>
      <c r="R248" s="2">
        <v>0</v>
      </c>
      <c r="S248" s="2">
        <v>8</v>
      </c>
      <c r="T248" s="2">
        <v>214415</v>
      </c>
      <c r="U248" s="2">
        <v>579256</v>
      </c>
      <c r="V248" s="2">
        <v>0</v>
      </c>
      <c r="W248" s="2">
        <v>0</v>
      </c>
      <c r="X248" s="2">
        <v>0</v>
      </c>
      <c r="Y248" s="2" t="s">
        <v>148</v>
      </c>
      <c r="Z248" s="12">
        <f>SUMIF(Table1[product],Table1[[#This Row],[product]],Table1[loan_amount])</f>
        <v>62765800</v>
      </c>
      <c r="AA248" s="15">
        <f>SUMIF(Table1[region],Table1[[#This Row],[region]],Table1[current_balance])</f>
        <v>94548000</v>
      </c>
      <c r="AB248" s="2">
        <f>COUNTIF(Table1[loan_status],Table1[[#This Row],[loan_status]])</f>
        <v>301</v>
      </c>
      <c r="AC248" s="2">
        <f>COUNTIF(Table1[default_flag],1)/ROWS(Table1[loan_id])</f>
        <v>2.5999999999999999E-2</v>
      </c>
      <c r="AD248" s="2">
        <f>COUNTIFS(Table1[region],Table1[[#This Row],[region]],Table1[default_flag],1)/COUNTIF(Table1[region],Table1[[#This Row],[region]])</f>
        <v>0</v>
      </c>
      <c r="AE248" s="2">
        <f>COUNTIFS(Table1[channel],Table1[[#This Row],[channel]],Table1[prepayment_flag],1)/COUNTIF(Table1[channel],Table1[[#This Row],[channel]])</f>
        <v>0.12</v>
      </c>
      <c r="AF248" s="2">
        <f>AVERAGEIFS(Table1[interest_rate_pct],Table1[product],Table1[[#This Row],[product]],Table1[risk_band],Table1[[#This Row],[risk_band]])</f>
        <v>15.810000000000002</v>
      </c>
      <c r="AG248" s="2" t="str" cm="1">
        <f t="array" ref="AG248">_xlfn.IFS(Table1[[#This Row],[dti_ratio]] &lt; 0.2, " less than 0.2", Table1[[#This Row],[dti_ratio]] &lt; 0.3, "0.2 - 0.3", Table1[[#This Row],[dti_ratio]] &lt;= 0.5, "0.35 - 0.5", Table1[[#This Row],[dti_ratio]] &gt; 0.5, "greater than 0.5")</f>
        <v>0.35 - 0.5</v>
      </c>
      <c r="AH248" s="2">
        <f>COUNTIF(Table1[DTI band],Table1[[#This Row],[DTI band]])</f>
        <v>260</v>
      </c>
      <c r="AI248" s="2" t="str" cm="1">
        <f t="array" ref="AI248">_xlfn.IFS(Table1[[#This Row],[ltv_ratio]] &lt; 0.6, "less than 0.6 -less risky", Table1[[#This Row],[ltv_ratio]]  &lt;= 0.8, "0.6 - 0.8 -medium risky",Table1[[#This Row],[ltv_ratio]] &gt; 0.8, "greater than 0.8 -highly risky")</f>
        <v>less than 0.6 -less risky</v>
      </c>
      <c r="AJ248" s="2">
        <f>COUNTIF(Table1[LTV band],Table1[[#This Row],[LTV band]])</f>
        <v>57</v>
      </c>
      <c r="AK248" s="2">
        <f>COUNTIFS(Table1[count_loan_perband],Table1[[#This Row],[count_loan_perband]],Table1[default_flag],1)/COUNTIF(Table1[count_loan_perband],Table1[[#This Row],[count_loan_perband]])</f>
        <v>0</v>
      </c>
      <c r="AL248" s="2" t="str" cm="1">
        <f t="array" ref="AL248">_xlfn.IFS(Table1[[#This Row],[loan_amount]] &lt; 900000, "lower size (&lt; 9L)", Table1[[#This Row],[loan_amount]] &lt;=3300000, "medium size (&lt;=33L)", Table1[[#This Row],[loan_amount]] &gt; 3300000, "larger size (&gt; 33L)")</f>
        <v>lower size (&lt; 9L)</v>
      </c>
      <c r="AM248" s="2">
        <f>IF(Table1[[#This Row],[dpd]] &gt;=30,1,0)</f>
        <v>0</v>
      </c>
      <c r="AN248" s="2">
        <f>COUNTIFS(Table1[Loan size],Table1[[#This Row],[Loan size]],Table1[dpd flag],1)/COUNTIF(Table1[Loan size],Table1[[#This Row],[Loan size]])</f>
        <v>0.13934426229508196</v>
      </c>
      <c r="AO248" s="2" t="str">
        <f>IF(OR(Table1[[#This Row],[credit_score]] &lt; 600, Table1[ [#This Row],[dti_ratio] ] &gt; 0.5, Table1[[#This Row],[dpd]] &gt;=30), "high risk", " not riskY")</f>
        <v xml:space="preserve"> not riskY</v>
      </c>
      <c r="AP248" s="26">
        <f>EOMONTH(Table1[[#This Row],[origination_date]],0)</f>
        <v>45777</v>
      </c>
      <c r="AQ248" s="2">
        <f>SUMIFS(Table1[loan_amount],Table1[origination month],Table1[[#This Row],[origination month]])</f>
        <v>18059300</v>
      </c>
      <c r="AR248" s="2">
        <f>AVERAGEIFS(Table1[months_on_book],Table1[product],Table1[[#This Row],[product]])</f>
        <v>21.962962962962962</v>
      </c>
      <c r="AS248" s="2" t="str">
        <f ca="1">IF(EDATE(Table1[[#This Row],[origination_date]],6) &gt;= TODAY(), "New Loan", "Old Loan")</f>
        <v>Old Loan</v>
      </c>
      <c r="AT248" s="2" t="str">
        <f>"Q"&amp;ROUNDUP(MONTH(Table1[[#This Row],[origination_date]])/3,0)&amp;YEAR(Table1[[#This Row],[origination_date]])</f>
        <v>Q22025</v>
      </c>
      <c r="AU248" s="2">
        <f>SUMIFS(Table1[loan_amount],Table1[quarter],Table1[[#This Row],[quarter]])</f>
        <v>80205600</v>
      </c>
      <c r="AV248" s="34" t="str">
        <f>_xlfn.TEXTJOIN("|",TRUE,Table1[[#This Row],[loan_id]:[loan_status]])</f>
        <v>L86957200|C3093129|45768|Education Loan|Call Center|South|Salaried|36|761700|15.74|26681|1064276|635|D|0.42|0.45|0|8|214415|579256|0|0|0|Active</v>
      </c>
      <c r="AW248" s="42">
        <f>YEAR(Loan_Table[ [#This Row],[origination_date] ])</f>
        <v>2025</v>
      </c>
    </row>
    <row r="249" spans="2:49" ht="18" customHeight="1">
      <c r="B249" s="5" t="s">
        <v>618</v>
      </c>
      <c r="C249" s="2" t="s">
        <v>619</v>
      </c>
      <c r="D249" s="3">
        <v>45759</v>
      </c>
      <c r="E249" s="2" t="s">
        <v>158</v>
      </c>
      <c r="F249" s="2" t="s">
        <v>144</v>
      </c>
      <c r="G249" s="2" t="s">
        <v>139</v>
      </c>
      <c r="H249" s="2" t="s">
        <v>152</v>
      </c>
      <c r="I249" s="2">
        <v>18</v>
      </c>
      <c r="J249" s="2">
        <v>1864500</v>
      </c>
      <c r="K249" s="2">
        <v>8.52</v>
      </c>
      <c r="L249" s="2">
        <v>110710</v>
      </c>
      <c r="M249" s="2">
        <v>229191</v>
      </c>
      <c r="N249" s="2">
        <v>817</v>
      </c>
      <c r="O249" s="2" t="s">
        <v>160</v>
      </c>
      <c r="P249" s="2">
        <v>0.41</v>
      </c>
      <c r="Q249" s="2">
        <v>0.63</v>
      </c>
      <c r="R249" s="2">
        <v>2949000</v>
      </c>
      <c r="S249" s="2">
        <v>8</v>
      </c>
      <c r="T249" s="2">
        <v>791054</v>
      </c>
      <c r="U249" s="2">
        <v>1115807</v>
      </c>
      <c r="V249" s="2">
        <v>0</v>
      </c>
      <c r="W249" s="2">
        <v>0</v>
      </c>
      <c r="X249" s="2">
        <v>0</v>
      </c>
      <c r="Y249" s="2" t="s">
        <v>148</v>
      </c>
      <c r="Z249" s="12">
        <f>SUMIF(Table1[product],Table1[[#This Row],[product]],Table1[loan_amount])</f>
        <v>201475100</v>
      </c>
      <c r="AA249" s="15">
        <f>SUMIF(Table1[region],Table1[[#This Row],[region]],Table1[current_balance])</f>
        <v>83903255</v>
      </c>
      <c r="AB249" s="2">
        <f>COUNTIF(Table1[loan_status],Table1[[#This Row],[loan_status]])</f>
        <v>301</v>
      </c>
      <c r="AC249" s="2">
        <f>COUNTIF(Table1[default_flag],1)/ROWS(Table1[loan_id])</f>
        <v>2.5999999999999999E-2</v>
      </c>
      <c r="AD249" s="2">
        <f>COUNTIFS(Table1[region],Table1[[#This Row],[region]],Table1[default_flag],1)/COUNTIF(Table1[region],Table1[[#This Row],[region]])</f>
        <v>4.2553191489361701E-2</v>
      </c>
      <c r="AE249" s="2">
        <f>COUNTIFS(Table1[channel],Table1[[#This Row],[channel]],Table1[prepayment_flag],1)/COUNTIF(Table1[channel],Table1[[#This Row],[channel]])</f>
        <v>5.8201058201058198E-2</v>
      </c>
      <c r="AF249" s="2">
        <f>AVERAGEIFS(Table1[interest_rate_pct],Table1[product],Table1[[#This Row],[product]],Table1[risk_band],Table1[[#This Row],[risk_band]])</f>
        <v>10.537499999999998</v>
      </c>
      <c r="AG249" s="2" t="str" cm="1">
        <f t="array" ref="AG249">_xlfn.IFS(Table1[[#This Row],[dti_ratio]] &lt; 0.2, " less than 0.2", Table1[[#This Row],[dti_ratio]] &lt; 0.3, "0.2 - 0.3", Table1[[#This Row],[dti_ratio]] &lt;= 0.5, "0.35 - 0.5", Table1[[#This Row],[dti_ratio]] &gt; 0.5, "greater than 0.5")</f>
        <v>0.35 - 0.5</v>
      </c>
      <c r="AH249" s="2">
        <f>COUNTIF(Table1[DTI band],Table1[[#This Row],[DTI band]])</f>
        <v>260</v>
      </c>
      <c r="AI249" s="2" t="str" cm="1">
        <f t="array" ref="AI249">_xlfn.IFS(Table1[[#This Row],[ltv_ratio]] &lt; 0.6, "less than 0.6 -less risky", Table1[[#This Row],[ltv_ratio]]  &lt;= 0.8, "0.6 - 0.8 -medium risky",Table1[[#This Row],[ltv_ratio]] &gt; 0.8, "greater than 0.8 -highly risky")</f>
        <v>0.6 - 0.8 -medium risky</v>
      </c>
      <c r="AJ249" s="2">
        <f>COUNTIF(Table1[LTV band],Table1[[#This Row],[LTV band]])</f>
        <v>302</v>
      </c>
      <c r="AK249" s="2">
        <f>COUNTIFS(Table1[count_loan_perband],Table1[[#This Row],[count_loan_perband]],Table1[default_flag],1)/COUNTIF(Table1[count_loan_perband],Table1[[#This Row],[count_loan_perband]])</f>
        <v>3.6423841059602648E-2</v>
      </c>
      <c r="AL249" s="2" t="str" cm="1">
        <f t="array" ref="AL249">_xlfn.IFS(Table1[[#This Row],[loan_amount]] &lt; 900000, "lower size (&lt; 9L)", Table1[[#This Row],[loan_amount]] &lt;=3300000, "medium size (&lt;=33L)", Table1[[#This Row],[loan_amount]] &gt; 3300000, "larger size (&gt; 33L)")</f>
        <v>medium size (&lt;=33L)</v>
      </c>
      <c r="AM249" s="2">
        <f>IF(Table1[[#This Row],[dpd]] &gt;=30,1,0)</f>
        <v>0</v>
      </c>
      <c r="AN249" s="2">
        <f>COUNTIFS(Table1[Loan size],Table1[[#This Row],[Loan size]],Table1[dpd flag],1)/COUNTIF(Table1[Loan size],Table1[[#This Row],[Loan size]])</f>
        <v>0.15909090909090909</v>
      </c>
      <c r="AO249" s="2" t="str">
        <f>IF(OR(Table1[[#This Row],[credit_score]] &lt; 600, Table1[ [#This Row],[dti_ratio] ] &gt; 0.5, Table1[[#This Row],[dpd]] &gt;=30), "high risk", " not riskY")</f>
        <v xml:space="preserve"> not riskY</v>
      </c>
      <c r="AP249" s="26">
        <f>EOMONTH(Table1[[#This Row],[origination_date]],0)</f>
        <v>45777</v>
      </c>
      <c r="AQ249" s="2">
        <f>SUMIFS(Table1[loan_amount],Table1[origination month],Table1[[#This Row],[origination month]])</f>
        <v>18059300</v>
      </c>
      <c r="AR249" s="2">
        <f>AVERAGEIFS(Table1[months_on_book],Table1[product],Table1[[#This Row],[product]])</f>
        <v>19.091954022988507</v>
      </c>
      <c r="AS249" s="2" t="str">
        <f ca="1">IF(EDATE(Table1[[#This Row],[origination_date]],6) &gt;= TODAY(), "New Loan", "Old Loan")</f>
        <v>Old Loan</v>
      </c>
      <c r="AT249" s="2" t="str">
        <f>"Q"&amp;ROUNDUP(MONTH(Table1[[#This Row],[origination_date]])/3,0)&amp;YEAR(Table1[[#This Row],[origination_date]])</f>
        <v>Q22025</v>
      </c>
      <c r="AU249" s="2">
        <f>SUMIFS(Table1[loan_amount],Table1[quarter],Table1[[#This Row],[quarter]])</f>
        <v>80205600</v>
      </c>
      <c r="AV249" s="34" t="str">
        <f>_xlfn.TEXTJOIN("|",TRUE,Table1[[#This Row],[loan_id]:[loan_status]])</f>
        <v>L97806011|C1947502|45759|SME Loan|Branch|West|Self-Employed|18|1864500|8.52|110710|229191|817|A|0.41|0.63|2949000|8|791054|1115807|0|0|0|Active</v>
      </c>
      <c r="AW249" s="42">
        <f>YEAR(Loan_Table[ [#This Row],[origination_date] ])</f>
        <v>2025</v>
      </c>
    </row>
    <row r="250" spans="2:49" ht="18" customHeight="1">
      <c r="B250" s="5" t="s">
        <v>620</v>
      </c>
      <c r="C250" s="2" t="s">
        <v>621</v>
      </c>
      <c r="D250" s="3">
        <v>45783</v>
      </c>
      <c r="E250" s="2" t="s">
        <v>158</v>
      </c>
      <c r="F250" s="2" t="s">
        <v>159</v>
      </c>
      <c r="G250" s="2" t="s">
        <v>151</v>
      </c>
      <c r="H250" s="2" t="s">
        <v>134</v>
      </c>
      <c r="I250" s="2">
        <v>84</v>
      </c>
      <c r="J250" s="2">
        <v>3717200</v>
      </c>
      <c r="K250" s="2">
        <v>12.36</v>
      </c>
      <c r="L250" s="2">
        <v>66337</v>
      </c>
      <c r="M250" s="2">
        <v>1695547</v>
      </c>
      <c r="N250" s="2">
        <v>746</v>
      </c>
      <c r="O250" s="2" t="s">
        <v>135</v>
      </c>
      <c r="P250" s="2">
        <v>0.41</v>
      </c>
      <c r="Q250" s="2">
        <v>0.71</v>
      </c>
      <c r="R250" s="2">
        <v>5224800</v>
      </c>
      <c r="S250" s="2">
        <v>7</v>
      </c>
      <c r="T250" s="2">
        <v>404213</v>
      </c>
      <c r="U250" s="2">
        <v>3420191</v>
      </c>
      <c r="V250" s="2">
        <v>5</v>
      </c>
      <c r="W250" s="2">
        <v>0</v>
      </c>
      <c r="X250" s="2">
        <v>0</v>
      </c>
      <c r="Y250" s="2" t="s">
        <v>148</v>
      </c>
      <c r="Z250" s="12">
        <f>SUMIF(Table1[product],Table1[[#This Row],[product]],Table1[loan_amount])</f>
        <v>201475100</v>
      </c>
      <c r="AA250" s="15">
        <f>SUMIF(Table1[region],Table1[[#This Row],[region]],Table1[current_balance])</f>
        <v>105779369</v>
      </c>
      <c r="AB250" s="2">
        <f>COUNTIF(Table1[loan_status],Table1[[#This Row],[loan_status]])</f>
        <v>301</v>
      </c>
      <c r="AC250" s="2">
        <f>COUNTIF(Table1[default_flag],1)/ROWS(Table1[loan_id])</f>
        <v>2.5999999999999999E-2</v>
      </c>
      <c r="AD250" s="2">
        <f>COUNTIFS(Table1[region],Table1[[#This Row],[region]],Table1[default_flag],1)/COUNTIF(Table1[region],Table1[[#This Row],[region]])</f>
        <v>2.6548672566371681E-2</v>
      </c>
      <c r="AE250" s="2">
        <f>COUNTIFS(Table1[channel],Table1[[#This Row],[channel]],Table1[prepayment_flag],1)/COUNTIF(Table1[channel],Table1[[#This Row],[channel]])</f>
        <v>0.1</v>
      </c>
      <c r="AF250" s="2">
        <f>AVERAGEIFS(Table1[interest_rate_pct],Table1[product],Table1[[#This Row],[product]],Table1[risk_band],Table1[[#This Row],[risk_band]])</f>
        <v>13.042631578947367</v>
      </c>
      <c r="AG250" s="2" t="str" cm="1">
        <f t="array" ref="AG250">_xlfn.IFS(Table1[[#This Row],[dti_ratio]] &lt; 0.2, " less than 0.2", Table1[[#This Row],[dti_ratio]] &lt; 0.3, "0.2 - 0.3", Table1[[#This Row],[dti_ratio]] &lt;= 0.5, "0.35 - 0.5", Table1[[#This Row],[dti_ratio]] &gt; 0.5, "greater than 0.5")</f>
        <v>0.35 - 0.5</v>
      </c>
      <c r="AH250" s="2">
        <f>COUNTIF(Table1[DTI band],Table1[[#This Row],[DTI band]])</f>
        <v>260</v>
      </c>
      <c r="AI250" s="2" t="str" cm="1">
        <f t="array" ref="AI250">_xlfn.IFS(Table1[[#This Row],[ltv_ratio]] &lt; 0.6, "less than 0.6 -less risky", Table1[[#This Row],[ltv_ratio]]  &lt;= 0.8, "0.6 - 0.8 -medium risky",Table1[[#This Row],[ltv_ratio]] &gt; 0.8, "greater than 0.8 -highly risky")</f>
        <v>0.6 - 0.8 -medium risky</v>
      </c>
      <c r="AJ250" s="2">
        <f>COUNTIF(Table1[LTV band],Table1[[#This Row],[LTV band]])</f>
        <v>302</v>
      </c>
      <c r="AK250" s="2">
        <f>COUNTIFS(Table1[count_loan_perband],Table1[[#This Row],[count_loan_perband]],Table1[default_flag],1)/COUNTIF(Table1[count_loan_perband],Table1[[#This Row],[count_loan_perband]])</f>
        <v>3.6423841059602648E-2</v>
      </c>
      <c r="AL250" s="2" t="str" cm="1">
        <f t="array" ref="AL250">_xlfn.IFS(Table1[[#This Row],[loan_amount]] &lt; 900000, "lower size (&lt; 9L)", Table1[[#This Row],[loan_amount]] &lt;=3300000, "medium size (&lt;=33L)", Table1[[#This Row],[loan_amount]] &gt; 3300000, "larger size (&gt; 33L)")</f>
        <v>larger size (&gt; 33L)</v>
      </c>
      <c r="AM250" s="2">
        <f>IF(Table1[[#This Row],[dpd]] &gt;=30,1,0)</f>
        <v>0</v>
      </c>
      <c r="AN250" s="2">
        <f>COUNTIFS(Table1[Loan size],Table1[[#This Row],[Loan size]],Table1[dpd flag],1)/COUNTIF(Table1[Loan size],Table1[[#This Row],[Loan size]])</f>
        <v>0.16250000000000001</v>
      </c>
      <c r="AO250" s="2" t="str">
        <f>IF(OR(Table1[[#This Row],[credit_score]] &lt; 600, Table1[ [#This Row],[dti_ratio] ] &gt; 0.5, Table1[[#This Row],[dpd]] &gt;=30), "high risk", " not riskY")</f>
        <v xml:space="preserve"> not riskY</v>
      </c>
      <c r="AP250" s="26">
        <f>EOMONTH(Table1[[#This Row],[origination_date]],0)</f>
        <v>45808</v>
      </c>
      <c r="AQ250" s="2">
        <f>SUMIFS(Table1[loan_amount],Table1[origination month],Table1[[#This Row],[origination month]])</f>
        <v>36698200</v>
      </c>
      <c r="AR250" s="2">
        <f>AVERAGEIFS(Table1[months_on_book],Table1[product],Table1[[#This Row],[product]])</f>
        <v>19.091954022988507</v>
      </c>
      <c r="AS250" s="2" t="str">
        <f ca="1">IF(EDATE(Table1[[#This Row],[origination_date]],6) &gt;= TODAY(), "New Loan", "Old Loan")</f>
        <v>Old Loan</v>
      </c>
      <c r="AT250" s="2" t="str">
        <f>"Q"&amp;ROUNDUP(MONTH(Table1[[#This Row],[origination_date]])/3,0)&amp;YEAR(Table1[[#This Row],[origination_date]])</f>
        <v>Q22025</v>
      </c>
      <c r="AU250" s="2">
        <f>SUMIFS(Table1[loan_amount],Table1[quarter],Table1[[#This Row],[quarter]])</f>
        <v>80205600</v>
      </c>
      <c r="AV250" s="34" t="str">
        <f>_xlfn.TEXTJOIN("|",TRUE,Table1[[#This Row],[loan_id]:[loan_status]])</f>
        <v>L60871249|C4044132|45783|SME Loan|Partner|North|Salaried|84|3717200|12.36|66337|1695547|746|B|0.41|0.71|5224800|7|404213|3420191|5|0|0|Active</v>
      </c>
      <c r="AW250" s="42">
        <f>YEAR(Loan_Table[ [#This Row],[origination_date] ])</f>
        <v>2025</v>
      </c>
    </row>
    <row r="251" spans="2:49" ht="18" customHeight="1">
      <c r="B251" s="5" t="s">
        <v>622</v>
      </c>
      <c r="C251" s="2" t="s">
        <v>623</v>
      </c>
      <c r="D251" s="3">
        <v>45781</v>
      </c>
      <c r="E251" s="2" t="s">
        <v>163</v>
      </c>
      <c r="F251" s="2" t="s">
        <v>132</v>
      </c>
      <c r="G251" s="2" t="s">
        <v>145</v>
      </c>
      <c r="H251" s="2" t="s">
        <v>134</v>
      </c>
      <c r="I251" s="2">
        <v>24</v>
      </c>
      <c r="J251" s="2">
        <v>1439100</v>
      </c>
      <c r="K251" s="2">
        <v>8.7799999999999994</v>
      </c>
      <c r="L251" s="2">
        <v>65600</v>
      </c>
      <c r="M251" s="2">
        <v>939856</v>
      </c>
      <c r="N251" s="2">
        <v>753</v>
      </c>
      <c r="O251" s="2" t="s">
        <v>160</v>
      </c>
      <c r="P251" s="2">
        <v>0.41</v>
      </c>
      <c r="Q251" s="2">
        <v>0.5</v>
      </c>
      <c r="R251" s="2">
        <v>2871000</v>
      </c>
      <c r="S251" s="2">
        <v>7</v>
      </c>
      <c r="T251" s="2">
        <v>438942</v>
      </c>
      <c r="U251" s="2">
        <v>1029640</v>
      </c>
      <c r="V251" s="2">
        <v>0</v>
      </c>
      <c r="W251" s="2">
        <v>1</v>
      </c>
      <c r="X251" s="2">
        <v>0</v>
      </c>
      <c r="Y251" s="2" t="s">
        <v>141</v>
      </c>
      <c r="Z251" s="12">
        <f>SUMIF(Table1[product],Table1[[#This Row],[product]],Table1[loan_amount])</f>
        <v>92273000</v>
      </c>
      <c r="AA251" s="15">
        <f>SUMIF(Table1[region],Table1[[#This Row],[region]],Table1[current_balance])</f>
        <v>98928695</v>
      </c>
      <c r="AB251" s="2">
        <f>COUNTIF(Table1[loan_status],Table1[[#This Row],[loan_status]])</f>
        <v>139</v>
      </c>
      <c r="AC251" s="2">
        <f>COUNTIF(Table1[default_flag],1)/ROWS(Table1[loan_id])</f>
        <v>2.5999999999999999E-2</v>
      </c>
      <c r="AD251" s="2">
        <f>COUNTIFS(Table1[region],Table1[[#This Row],[region]],Table1[default_flag],1)/COUNTIF(Table1[region],Table1[[#This Row],[region]])</f>
        <v>2.8571428571428571E-2</v>
      </c>
      <c r="AE251" s="2">
        <f>COUNTIFS(Table1[channel],Table1[[#This Row],[channel]],Table1[prepayment_flag],1)/COUNTIF(Table1[channel],Table1[[#This Row],[channel]])</f>
        <v>7.1090047393364927E-2</v>
      </c>
      <c r="AF251" s="2">
        <f>AVERAGEIFS(Table1[interest_rate_pct],Table1[product],Table1[[#This Row],[product]],Table1[risk_band],Table1[[#This Row],[risk_band]])</f>
        <v>7.9444999999999997</v>
      </c>
      <c r="AG251" s="2" t="str" cm="1">
        <f t="array" ref="AG251">_xlfn.IFS(Table1[[#This Row],[dti_ratio]] &lt; 0.2, " less than 0.2", Table1[[#This Row],[dti_ratio]] &lt; 0.3, "0.2 - 0.3", Table1[[#This Row],[dti_ratio]] &lt;= 0.5, "0.35 - 0.5", Table1[[#This Row],[dti_ratio]] &gt; 0.5, "greater than 0.5")</f>
        <v>0.35 - 0.5</v>
      </c>
      <c r="AH251" s="2">
        <f>COUNTIF(Table1[DTI band],Table1[[#This Row],[DTI band]])</f>
        <v>260</v>
      </c>
      <c r="AI251" s="2" t="str" cm="1">
        <f t="array" ref="AI251">_xlfn.IFS(Table1[[#This Row],[ltv_ratio]] &lt; 0.6, "less than 0.6 -less risky", Table1[[#This Row],[ltv_ratio]]  &lt;= 0.8, "0.6 - 0.8 -medium risky",Table1[[#This Row],[ltv_ratio]] &gt; 0.8, "greater than 0.8 -highly risky")</f>
        <v>less than 0.6 -less risky</v>
      </c>
      <c r="AJ251" s="2">
        <f>COUNTIF(Table1[LTV band],Table1[[#This Row],[LTV band]])</f>
        <v>57</v>
      </c>
      <c r="AK251" s="2">
        <f>COUNTIFS(Table1[count_loan_perband],Table1[[#This Row],[count_loan_perband]],Table1[default_flag],1)/COUNTIF(Table1[count_loan_perband],Table1[[#This Row],[count_loan_perband]])</f>
        <v>0</v>
      </c>
      <c r="AL251" s="2" t="str" cm="1">
        <f t="array" ref="AL251">_xlfn.IFS(Table1[[#This Row],[loan_amount]] &lt; 900000, "lower size (&lt; 9L)", Table1[[#This Row],[loan_amount]] &lt;=3300000, "medium size (&lt;=33L)", Table1[[#This Row],[loan_amount]] &gt; 3300000, "larger size (&gt; 33L)")</f>
        <v>medium size (&lt;=33L)</v>
      </c>
      <c r="AM251" s="2">
        <f>IF(Table1[[#This Row],[dpd]] &gt;=30,1,0)</f>
        <v>0</v>
      </c>
      <c r="AN251" s="2">
        <f>COUNTIFS(Table1[Loan size],Table1[[#This Row],[Loan size]],Table1[dpd flag],1)/COUNTIF(Table1[Loan size],Table1[[#This Row],[Loan size]])</f>
        <v>0.15909090909090909</v>
      </c>
      <c r="AO251" s="2" t="str">
        <f>IF(OR(Table1[[#This Row],[credit_score]] &lt; 600, Table1[ [#This Row],[dti_ratio] ] &gt; 0.5, Table1[[#This Row],[dpd]] &gt;=30), "high risk", " not riskY")</f>
        <v xml:space="preserve"> not riskY</v>
      </c>
      <c r="AP251" s="26">
        <f>EOMONTH(Table1[[#This Row],[origination_date]],0)</f>
        <v>45808</v>
      </c>
      <c r="AQ251" s="2">
        <f>SUMIFS(Table1[loan_amount],Table1[origination month],Table1[[#This Row],[origination month]])</f>
        <v>36698200</v>
      </c>
      <c r="AR251" s="2">
        <f>AVERAGEIFS(Table1[months_on_book],Table1[product],Table1[[#This Row],[product]])</f>
        <v>20.262135922330096</v>
      </c>
      <c r="AS251" s="2" t="str">
        <f ca="1">IF(EDATE(Table1[[#This Row],[origination_date]],6) &gt;= TODAY(), "New Loan", "Old Loan")</f>
        <v>Old Loan</v>
      </c>
      <c r="AT251" s="2" t="str">
        <f>"Q"&amp;ROUNDUP(MONTH(Table1[[#This Row],[origination_date]])/3,0)&amp;YEAR(Table1[[#This Row],[origination_date]])</f>
        <v>Q22025</v>
      </c>
      <c r="AU251" s="2">
        <f>SUMIFS(Table1[loan_amount],Table1[quarter],Table1[[#This Row],[quarter]])</f>
        <v>80205600</v>
      </c>
      <c r="AV251" s="34" t="str">
        <f>_xlfn.TEXTJOIN("|",TRUE,Table1[[#This Row],[loan_id]:[loan_status]])</f>
        <v>L38412295|C9973311|45781|Auto Loan|Online|Central|Salaried|24|1439100|8.78|65600|939856|753|A|0.41|0.5|2871000|7|438942|1029640|0|1|0|Closed</v>
      </c>
      <c r="AW251" s="42">
        <f>YEAR(Loan_Table[ [#This Row],[origination_date] ])</f>
        <v>2025</v>
      </c>
    </row>
    <row r="252" spans="2:49" ht="18" customHeight="1">
      <c r="B252" s="5" t="s">
        <v>624</v>
      </c>
      <c r="C252" s="2" t="s">
        <v>625</v>
      </c>
      <c r="D252" s="3">
        <v>45791</v>
      </c>
      <c r="E252" s="2" t="s">
        <v>163</v>
      </c>
      <c r="F252" s="2" t="s">
        <v>132</v>
      </c>
      <c r="G252" s="2" t="s">
        <v>139</v>
      </c>
      <c r="H252" s="2" t="s">
        <v>192</v>
      </c>
      <c r="I252" s="2">
        <v>360</v>
      </c>
      <c r="J252" s="2">
        <v>736600</v>
      </c>
      <c r="K252" s="2">
        <v>16.23</v>
      </c>
      <c r="L252" s="2">
        <v>10042</v>
      </c>
      <c r="M252" s="2">
        <v>452176</v>
      </c>
      <c r="N252" s="2">
        <v>598</v>
      </c>
      <c r="O252" s="2" t="s">
        <v>166</v>
      </c>
      <c r="P252" s="2">
        <v>0.41</v>
      </c>
      <c r="Q252" s="2">
        <v>0.87</v>
      </c>
      <c r="R252" s="2">
        <v>846300</v>
      </c>
      <c r="S252" s="2">
        <v>7</v>
      </c>
      <c r="T252" s="2">
        <v>67496</v>
      </c>
      <c r="U252" s="2">
        <v>696999</v>
      </c>
      <c r="V252" s="2">
        <v>0</v>
      </c>
      <c r="W252" s="2">
        <v>0</v>
      </c>
      <c r="X252" s="2">
        <v>0</v>
      </c>
      <c r="Y252" s="2" t="s">
        <v>148</v>
      </c>
      <c r="Z252" s="12">
        <f>SUMIF(Table1[product],Table1[[#This Row],[product]],Table1[loan_amount])</f>
        <v>92273000</v>
      </c>
      <c r="AA252" s="15">
        <f>SUMIF(Table1[region],Table1[[#This Row],[region]],Table1[current_balance])</f>
        <v>83903255</v>
      </c>
      <c r="AB252" s="2">
        <f>COUNTIF(Table1[loan_status],Table1[[#This Row],[loan_status]])</f>
        <v>301</v>
      </c>
      <c r="AC252" s="2">
        <f>COUNTIF(Table1[default_flag],1)/ROWS(Table1[loan_id])</f>
        <v>2.5999999999999999E-2</v>
      </c>
      <c r="AD252" s="2">
        <f>COUNTIFS(Table1[region],Table1[[#This Row],[region]],Table1[default_flag],1)/COUNTIF(Table1[region],Table1[[#This Row],[region]])</f>
        <v>4.2553191489361701E-2</v>
      </c>
      <c r="AE252" s="2">
        <f>COUNTIFS(Table1[channel],Table1[[#This Row],[channel]],Table1[prepayment_flag],1)/COUNTIF(Table1[channel],Table1[[#This Row],[channel]])</f>
        <v>7.1090047393364927E-2</v>
      </c>
      <c r="AF252" s="2">
        <f>AVERAGEIFS(Table1[interest_rate_pct],Table1[product],Table1[[#This Row],[product]],Table1[risk_band],Table1[[#This Row],[risk_band]])</f>
        <v>17.744166666666668</v>
      </c>
      <c r="AG252" s="2" t="str" cm="1">
        <f t="array" ref="AG252">_xlfn.IFS(Table1[[#This Row],[dti_ratio]] &lt; 0.2, " less than 0.2", Table1[[#This Row],[dti_ratio]] &lt; 0.3, "0.2 - 0.3", Table1[[#This Row],[dti_ratio]] &lt;= 0.5, "0.35 - 0.5", Table1[[#This Row],[dti_ratio]] &gt; 0.5, "greater than 0.5")</f>
        <v>0.35 - 0.5</v>
      </c>
      <c r="AH252" s="2">
        <f>COUNTIF(Table1[DTI band],Table1[[#This Row],[DTI band]])</f>
        <v>260</v>
      </c>
      <c r="AI252" s="2" t="str" cm="1">
        <f t="array" ref="AI252">_xlfn.IFS(Table1[[#This Row],[ltv_ratio]] &lt; 0.6, "less than 0.6 -less risky", Table1[[#This Row],[ltv_ratio]]  &lt;= 0.8, "0.6 - 0.8 -medium risky",Table1[[#This Row],[ltv_ratio]] &gt; 0.8, "greater than 0.8 -highly risky")</f>
        <v>greater than 0.8 -highly risky</v>
      </c>
      <c r="AJ252" s="2">
        <f>COUNTIF(Table1[LTV band],Table1[[#This Row],[LTV band]])</f>
        <v>141</v>
      </c>
      <c r="AK252" s="2">
        <f>COUNTIFS(Table1[count_loan_perband],Table1[[#This Row],[count_loan_perband]],Table1[default_flag],1)/COUNTIF(Table1[count_loan_perband],Table1[[#This Row],[count_loan_perband]])</f>
        <v>1.4184397163120567E-2</v>
      </c>
      <c r="AL252" s="2" t="str" cm="1">
        <f t="array" ref="AL252">_xlfn.IFS(Table1[[#This Row],[loan_amount]] &lt; 900000, "lower size (&lt; 9L)", Table1[[#This Row],[loan_amount]] &lt;=3300000, "medium size (&lt;=33L)", Table1[[#This Row],[loan_amount]] &gt; 3300000, "larger size (&gt; 33L)")</f>
        <v>lower size (&lt; 9L)</v>
      </c>
      <c r="AM252" s="2">
        <f>IF(Table1[[#This Row],[dpd]] &gt;=30,1,0)</f>
        <v>0</v>
      </c>
      <c r="AN252" s="2">
        <f>COUNTIFS(Table1[Loan size],Table1[[#This Row],[Loan size]],Table1[dpd flag],1)/COUNTIF(Table1[Loan size],Table1[[#This Row],[Loan size]])</f>
        <v>0.13934426229508196</v>
      </c>
      <c r="AO252" s="2" t="str">
        <f>IF(OR(Table1[[#This Row],[credit_score]] &lt; 600, Table1[ [#This Row],[dti_ratio] ] &gt; 0.5, Table1[[#This Row],[dpd]] &gt;=30), "high risk", " not riskY")</f>
        <v>high risk</v>
      </c>
      <c r="AP252" s="26">
        <f>EOMONTH(Table1[[#This Row],[origination_date]],0)</f>
        <v>45808</v>
      </c>
      <c r="AQ252" s="2">
        <f>SUMIFS(Table1[loan_amount],Table1[origination month],Table1[[#This Row],[origination month]])</f>
        <v>36698200</v>
      </c>
      <c r="AR252" s="2">
        <f>AVERAGEIFS(Table1[months_on_book],Table1[product],Table1[[#This Row],[product]])</f>
        <v>20.262135922330096</v>
      </c>
      <c r="AS252" s="2" t="str">
        <f ca="1">IF(EDATE(Table1[[#This Row],[origination_date]],6) &gt;= TODAY(), "New Loan", "Old Loan")</f>
        <v>Old Loan</v>
      </c>
      <c r="AT252" s="2" t="str">
        <f>"Q"&amp;ROUNDUP(MONTH(Table1[[#This Row],[origination_date]])/3,0)&amp;YEAR(Table1[[#This Row],[origination_date]])</f>
        <v>Q22025</v>
      </c>
      <c r="AU252" s="2">
        <f>SUMIFS(Table1[loan_amount],Table1[quarter],Table1[[#This Row],[quarter]])</f>
        <v>80205600</v>
      </c>
      <c r="AV252" s="34" t="str">
        <f>_xlfn.TEXTJOIN("|",TRUE,Table1[[#This Row],[loan_id]:[loan_status]])</f>
        <v>L17599988|C5789771|45791|Auto Loan|Online|West|Unemployed|360|736600|16.23|10042|452176|598|E|0.41|0.87|846300|7|67496|696999|0|0|0|Active</v>
      </c>
      <c r="AW252" s="42">
        <f>YEAR(Loan_Table[ [#This Row],[origination_date] ])</f>
        <v>2025</v>
      </c>
    </row>
    <row r="253" spans="2:49" ht="18" customHeight="1">
      <c r="B253" s="5" t="s">
        <v>626</v>
      </c>
      <c r="C253" s="2" t="s">
        <v>627</v>
      </c>
      <c r="D253" s="3">
        <v>45764</v>
      </c>
      <c r="E253" s="2" t="s">
        <v>169</v>
      </c>
      <c r="F253" s="2" t="s">
        <v>132</v>
      </c>
      <c r="G253" s="2" t="s">
        <v>170</v>
      </c>
      <c r="H253" s="2" t="s">
        <v>152</v>
      </c>
      <c r="I253" s="2">
        <v>24</v>
      </c>
      <c r="J253" s="2">
        <v>3007300</v>
      </c>
      <c r="K253" s="2">
        <v>11.12</v>
      </c>
      <c r="L253" s="2">
        <v>140331</v>
      </c>
      <c r="M253" s="2">
        <v>797309</v>
      </c>
      <c r="N253" s="2">
        <v>666</v>
      </c>
      <c r="O253" s="2" t="s">
        <v>140</v>
      </c>
      <c r="P253" s="2">
        <v>0.4</v>
      </c>
      <c r="Q253" s="2">
        <v>0.61</v>
      </c>
      <c r="R253" s="2">
        <v>4951400</v>
      </c>
      <c r="S253" s="2">
        <v>8</v>
      </c>
      <c r="T253" s="2">
        <v>1038248</v>
      </c>
      <c r="U253" s="2">
        <v>2058228</v>
      </c>
      <c r="V253" s="2">
        <v>30</v>
      </c>
      <c r="W253" s="2">
        <v>0</v>
      </c>
      <c r="X253" s="2">
        <v>0</v>
      </c>
      <c r="Y253" s="2" t="s">
        <v>136</v>
      </c>
      <c r="Z253" s="12">
        <f>SUMIF(Table1[product],Table1[[#This Row],[product]],Table1[loan_amount])</f>
        <v>403369500</v>
      </c>
      <c r="AA253" s="15">
        <f>SUMIF(Table1[region],Table1[[#This Row],[region]],Table1[current_balance])</f>
        <v>83297251</v>
      </c>
      <c r="AB253" s="2">
        <f>COUNTIF(Table1[loan_status],Table1[[#This Row],[loan_status]])</f>
        <v>47</v>
      </c>
      <c r="AC253" s="2">
        <f>COUNTIF(Table1[default_flag],1)/ROWS(Table1[loan_id])</f>
        <v>2.5999999999999999E-2</v>
      </c>
      <c r="AD253" s="2">
        <f>COUNTIFS(Table1[region],Table1[[#This Row],[region]],Table1[default_flag],1)/COUNTIF(Table1[region],Table1[[#This Row],[region]])</f>
        <v>3.1914893617021274E-2</v>
      </c>
      <c r="AE253" s="2">
        <f>COUNTIFS(Table1[channel],Table1[[#This Row],[channel]],Table1[prepayment_flag],1)/COUNTIF(Table1[channel],Table1[[#This Row],[channel]])</f>
        <v>7.1090047393364927E-2</v>
      </c>
      <c r="AF253" s="2">
        <f>AVERAGEIFS(Table1[interest_rate_pct],Table1[product],Table1[[#This Row],[product]],Table1[risk_band],Table1[[#This Row],[risk_band]])</f>
        <v>11.719736842105268</v>
      </c>
      <c r="AG253" s="2" t="str" cm="1">
        <f t="array" ref="AG253">_xlfn.IFS(Table1[[#This Row],[dti_ratio]] &lt; 0.2, " less than 0.2", Table1[[#This Row],[dti_ratio]] &lt; 0.3, "0.2 - 0.3", Table1[[#This Row],[dti_ratio]] &lt;= 0.5, "0.35 - 0.5", Table1[[#This Row],[dti_ratio]] &gt; 0.5, "greater than 0.5")</f>
        <v>0.35 - 0.5</v>
      </c>
      <c r="AH253" s="2">
        <f>COUNTIF(Table1[DTI band],Table1[[#This Row],[DTI band]])</f>
        <v>260</v>
      </c>
      <c r="AI253" s="2" t="str" cm="1">
        <f t="array" ref="AI253">_xlfn.IFS(Table1[[#This Row],[ltv_ratio]] &lt; 0.6, "less than 0.6 -less risky", Table1[[#This Row],[ltv_ratio]]  &lt;= 0.8, "0.6 - 0.8 -medium risky",Table1[[#This Row],[ltv_ratio]] &gt; 0.8, "greater than 0.8 -highly risky")</f>
        <v>0.6 - 0.8 -medium risky</v>
      </c>
      <c r="AJ253" s="2">
        <f>COUNTIF(Table1[LTV band],Table1[[#This Row],[LTV band]])</f>
        <v>302</v>
      </c>
      <c r="AK253" s="2">
        <f>COUNTIFS(Table1[count_loan_perband],Table1[[#This Row],[count_loan_perband]],Table1[default_flag],1)/COUNTIF(Table1[count_loan_perband],Table1[[#This Row],[count_loan_perband]])</f>
        <v>3.6423841059602648E-2</v>
      </c>
      <c r="AL253" s="2" t="str" cm="1">
        <f t="array" ref="AL253">_xlfn.IFS(Table1[[#This Row],[loan_amount]] &lt; 900000, "lower size (&lt; 9L)", Table1[[#This Row],[loan_amount]] &lt;=3300000, "medium size (&lt;=33L)", Table1[[#This Row],[loan_amount]] &gt; 3300000, "larger size (&gt; 33L)")</f>
        <v>medium size (&lt;=33L)</v>
      </c>
      <c r="AM253" s="2">
        <f>IF(Table1[[#This Row],[dpd]] &gt;=30,1,0)</f>
        <v>1</v>
      </c>
      <c r="AN253" s="2">
        <f>COUNTIFS(Table1[Loan size],Table1[[#This Row],[Loan size]],Table1[dpd flag],1)/COUNTIF(Table1[Loan size],Table1[[#This Row],[Loan size]])</f>
        <v>0.15909090909090909</v>
      </c>
      <c r="AO253" s="2" t="str">
        <f>IF(OR(Table1[[#This Row],[credit_score]] &lt; 600, Table1[ [#This Row],[dti_ratio] ] &gt; 0.5, Table1[[#This Row],[dpd]] &gt;=30), "high risk", " not riskY")</f>
        <v>high risk</v>
      </c>
      <c r="AP253" s="26">
        <f>EOMONTH(Table1[[#This Row],[origination_date]],0)</f>
        <v>45777</v>
      </c>
      <c r="AQ253" s="2">
        <f>SUMIFS(Table1[loan_amount],Table1[origination month],Table1[[#This Row],[origination month]])</f>
        <v>18059300</v>
      </c>
      <c r="AR253" s="2">
        <f>AVERAGEIFS(Table1[months_on_book],Table1[product],Table1[[#This Row],[product]])</f>
        <v>20.516129032258064</v>
      </c>
      <c r="AS253" s="2" t="str">
        <f ca="1">IF(EDATE(Table1[[#This Row],[origination_date]],6) &gt;= TODAY(), "New Loan", "Old Loan")</f>
        <v>Old Loan</v>
      </c>
      <c r="AT253" s="2" t="str">
        <f>"Q"&amp;ROUNDUP(MONTH(Table1[[#This Row],[origination_date]])/3,0)&amp;YEAR(Table1[[#This Row],[origination_date]])</f>
        <v>Q22025</v>
      </c>
      <c r="AU253" s="2">
        <f>SUMIFS(Table1[loan_amount],Table1[quarter],Table1[[#This Row],[quarter]])</f>
        <v>80205600</v>
      </c>
      <c r="AV253" s="34" t="str">
        <f>_xlfn.TEXTJOIN("|",TRUE,Table1[[#This Row],[loan_id]:[loan_status]])</f>
        <v>L48329387|C5614653|45764|Home Loan|Online|East|Self-Employed|24|3007300|11.12|140331|797309|666|C|0.4|0.61|4951400|8|1038248|2058228|30|0|0|Delinquent</v>
      </c>
      <c r="AW253" s="42">
        <f>YEAR(Loan_Table[ [#This Row],[origination_date] ])</f>
        <v>2025</v>
      </c>
    </row>
    <row r="254" spans="2:49" ht="18" customHeight="1">
      <c r="B254" s="5" t="s">
        <v>628</v>
      </c>
      <c r="C254" s="2" t="s">
        <v>629</v>
      </c>
      <c r="D254" s="3">
        <v>45764</v>
      </c>
      <c r="E254" s="2" t="s">
        <v>163</v>
      </c>
      <c r="F254" s="2" t="s">
        <v>213</v>
      </c>
      <c r="G254" s="2" t="s">
        <v>133</v>
      </c>
      <c r="H254" s="2" t="s">
        <v>146</v>
      </c>
      <c r="I254" s="2">
        <v>360</v>
      </c>
      <c r="J254" s="2">
        <v>433100</v>
      </c>
      <c r="K254" s="2">
        <v>7</v>
      </c>
      <c r="L254" s="2">
        <v>2881</v>
      </c>
      <c r="M254" s="2">
        <v>266634</v>
      </c>
      <c r="N254" s="2">
        <v>825</v>
      </c>
      <c r="O254" s="2" t="s">
        <v>160</v>
      </c>
      <c r="P254" s="2">
        <v>0.38</v>
      </c>
      <c r="Q254" s="2">
        <v>0.73</v>
      </c>
      <c r="R254" s="2">
        <v>595100</v>
      </c>
      <c r="S254" s="2">
        <v>8</v>
      </c>
      <c r="T254" s="2">
        <v>21254</v>
      </c>
      <c r="U254" s="2">
        <v>419931</v>
      </c>
      <c r="V254" s="2">
        <v>0</v>
      </c>
      <c r="W254" s="2">
        <v>0</v>
      </c>
      <c r="X254" s="2">
        <v>0</v>
      </c>
      <c r="Y254" s="2" t="s">
        <v>148</v>
      </c>
      <c r="Z254" s="12">
        <f>SUMIF(Table1[product],Table1[[#This Row],[product]],Table1[loan_amount])</f>
        <v>92273000</v>
      </c>
      <c r="AA254" s="15">
        <f>SUMIF(Table1[region],Table1[[#This Row],[region]],Table1[current_balance])</f>
        <v>94548000</v>
      </c>
      <c r="AB254" s="2">
        <f>COUNTIF(Table1[loan_status],Table1[[#This Row],[loan_status]])</f>
        <v>301</v>
      </c>
      <c r="AC254" s="2">
        <f>COUNTIF(Table1[default_flag],1)/ROWS(Table1[loan_id])</f>
        <v>2.5999999999999999E-2</v>
      </c>
      <c r="AD254" s="2">
        <f>COUNTIFS(Table1[region],Table1[[#This Row],[region]],Table1[default_flag],1)/COUNTIF(Table1[region],Table1[[#This Row],[region]])</f>
        <v>0</v>
      </c>
      <c r="AE254" s="2">
        <f>COUNTIFS(Table1[channel],Table1[[#This Row],[channel]],Table1[prepayment_flag],1)/COUNTIF(Table1[channel],Table1[[#This Row],[channel]])</f>
        <v>0.12</v>
      </c>
      <c r="AF254" s="2">
        <f>AVERAGEIFS(Table1[interest_rate_pct],Table1[product],Table1[[#This Row],[product]],Table1[risk_band],Table1[[#This Row],[risk_band]])</f>
        <v>7.9444999999999997</v>
      </c>
      <c r="AG254" s="2" t="str" cm="1">
        <f t="array" ref="AG254">_xlfn.IFS(Table1[[#This Row],[dti_ratio]] &lt; 0.2, " less than 0.2", Table1[[#This Row],[dti_ratio]] &lt; 0.3, "0.2 - 0.3", Table1[[#This Row],[dti_ratio]] &lt;= 0.5, "0.35 - 0.5", Table1[[#This Row],[dti_ratio]] &gt; 0.5, "greater than 0.5")</f>
        <v>0.35 - 0.5</v>
      </c>
      <c r="AH254" s="2">
        <f>COUNTIF(Table1[DTI band],Table1[[#This Row],[DTI band]])</f>
        <v>260</v>
      </c>
      <c r="AI254" s="2" t="str" cm="1">
        <f t="array" ref="AI254">_xlfn.IFS(Table1[[#This Row],[ltv_ratio]] &lt; 0.6, "less than 0.6 -less risky", Table1[[#This Row],[ltv_ratio]]  &lt;= 0.8, "0.6 - 0.8 -medium risky",Table1[[#This Row],[ltv_ratio]] &gt; 0.8, "greater than 0.8 -highly risky")</f>
        <v>0.6 - 0.8 -medium risky</v>
      </c>
      <c r="AJ254" s="2">
        <f>COUNTIF(Table1[LTV band],Table1[[#This Row],[LTV band]])</f>
        <v>302</v>
      </c>
      <c r="AK254" s="2">
        <f>COUNTIFS(Table1[count_loan_perband],Table1[[#This Row],[count_loan_perband]],Table1[default_flag],1)/COUNTIF(Table1[count_loan_perband],Table1[[#This Row],[count_loan_perband]])</f>
        <v>3.6423841059602648E-2</v>
      </c>
      <c r="AL254" s="2" t="str" cm="1">
        <f t="array" ref="AL254">_xlfn.IFS(Table1[[#This Row],[loan_amount]] &lt; 900000, "lower size (&lt; 9L)", Table1[[#This Row],[loan_amount]] &lt;=3300000, "medium size (&lt;=33L)", Table1[[#This Row],[loan_amount]] &gt; 3300000, "larger size (&gt; 33L)")</f>
        <v>lower size (&lt; 9L)</v>
      </c>
      <c r="AM254" s="2">
        <f>IF(Table1[[#This Row],[dpd]] &gt;=30,1,0)</f>
        <v>0</v>
      </c>
      <c r="AN254" s="2">
        <f>COUNTIFS(Table1[Loan size],Table1[[#This Row],[Loan size]],Table1[dpd flag],1)/COUNTIF(Table1[Loan size],Table1[[#This Row],[Loan size]])</f>
        <v>0.13934426229508196</v>
      </c>
      <c r="AO254" s="2" t="str">
        <f>IF(OR(Table1[[#This Row],[credit_score]] &lt; 600, Table1[ [#This Row],[dti_ratio] ] &gt; 0.5, Table1[[#This Row],[dpd]] &gt;=30), "high risk", " not riskY")</f>
        <v xml:space="preserve"> not riskY</v>
      </c>
      <c r="AP254" s="26">
        <f>EOMONTH(Table1[[#This Row],[origination_date]],0)</f>
        <v>45777</v>
      </c>
      <c r="AQ254" s="2">
        <f>SUMIFS(Table1[loan_amount],Table1[origination month],Table1[[#This Row],[origination month]])</f>
        <v>18059300</v>
      </c>
      <c r="AR254" s="2">
        <f>AVERAGEIFS(Table1[months_on_book],Table1[product],Table1[[#This Row],[product]])</f>
        <v>20.262135922330096</v>
      </c>
      <c r="AS254" s="2" t="str">
        <f ca="1">IF(EDATE(Table1[[#This Row],[origination_date]],6) &gt;= TODAY(), "New Loan", "Old Loan")</f>
        <v>Old Loan</v>
      </c>
      <c r="AT254" s="2" t="str">
        <f>"Q"&amp;ROUNDUP(MONTH(Table1[[#This Row],[origination_date]])/3,0)&amp;YEAR(Table1[[#This Row],[origination_date]])</f>
        <v>Q22025</v>
      </c>
      <c r="AU254" s="2">
        <f>SUMIFS(Table1[loan_amount],Table1[quarter],Table1[[#This Row],[quarter]])</f>
        <v>80205600</v>
      </c>
      <c r="AV254" s="34" t="str">
        <f>_xlfn.TEXTJOIN("|",TRUE,Table1[[#This Row],[loan_id]:[loan_status]])</f>
        <v>L52398658|C6437597|45764|Auto Loan|Call Center|South|Contract|360|433100|7|2881|266634|825|A|0.38|0.73|595100|8|21254|419931|0|0|0|Active</v>
      </c>
      <c r="AW254" s="42">
        <f>YEAR(Loan_Table[ [#This Row],[origination_date] ])</f>
        <v>2025</v>
      </c>
    </row>
    <row r="255" spans="2:49" ht="18" customHeight="1">
      <c r="B255" s="5" t="s">
        <v>630</v>
      </c>
      <c r="C255" s="2" t="s">
        <v>631</v>
      </c>
      <c r="D255" s="3">
        <v>45780</v>
      </c>
      <c r="E255" s="2" t="s">
        <v>158</v>
      </c>
      <c r="F255" s="2" t="s">
        <v>144</v>
      </c>
      <c r="G255" s="2" t="s">
        <v>133</v>
      </c>
      <c r="H255" s="2" t="s">
        <v>146</v>
      </c>
      <c r="I255" s="2">
        <v>24</v>
      </c>
      <c r="J255" s="2">
        <v>2782200</v>
      </c>
      <c r="K255" s="2">
        <v>17.170000000000002</v>
      </c>
      <c r="L255" s="2">
        <v>137786</v>
      </c>
      <c r="M255" s="2">
        <v>1149549</v>
      </c>
      <c r="N255" s="2">
        <v>639</v>
      </c>
      <c r="O255" s="2" t="s">
        <v>147</v>
      </c>
      <c r="P255" s="2">
        <v>0.37</v>
      </c>
      <c r="Q255" s="2">
        <v>0.59</v>
      </c>
      <c r="R255" s="2">
        <v>4748200</v>
      </c>
      <c r="S255" s="2">
        <v>7</v>
      </c>
      <c r="T255" s="2">
        <v>935698</v>
      </c>
      <c r="U255" s="2">
        <v>1957966</v>
      </c>
      <c r="V255" s="2">
        <v>0</v>
      </c>
      <c r="W255" s="2">
        <v>0</v>
      </c>
      <c r="X255" s="2">
        <v>0</v>
      </c>
      <c r="Y255" s="2" t="s">
        <v>148</v>
      </c>
      <c r="Z255" s="12">
        <f>SUMIF(Table1[product],Table1[[#This Row],[product]],Table1[loan_amount])</f>
        <v>201475100</v>
      </c>
      <c r="AA255" s="15">
        <f>SUMIF(Table1[region],Table1[[#This Row],[region]],Table1[current_balance])</f>
        <v>94548000</v>
      </c>
      <c r="AB255" s="2">
        <f>COUNTIF(Table1[loan_status],Table1[[#This Row],[loan_status]])</f>
        <v>301</v>
      </c>
      <c r="AC255" s="2">
        <f>COUNTIF(Table1[default_flag],1)/ROWS(Table1[loan_id])</f>
        <v>2.5999999999999999E-2</v>
      </c>
      <c r="AD255" s="2">
        <f>COUNTIFS(Table1[region],Table1[[#This Row],[region]],Table1[default_flag],1)/COUNTIF(Table1[region],Table1[[#This Row],[region]])</f>
        <v>0</v>
      </c>
      <c r="AE255" s="2">
        <f>COUNTIFS(Table1[channel],Table1[[#This Row],[channel]],Table1[prepayment_flag],1)/COUNTIF(Table1[channel],Table1[[#This Row],[channel]])</f>
        <v>5.8201058201058198E-2</v>
      </c>
      <c r="AF255" s="2">
        <f>AVERAGEIFS(Table1[interest_rate_pct],Table1[product],Table1[[#This Row],[product]],Table1[risk_band],Table1[[#This Row],[risk_band]])</f>
        <v>18.241249999999997</v>
      </c>
      <c r="AG255" s="2" t="str" cm="1">
        <f t="array" ref="AG255">_xlfn.IFS(Table1[[#This Row],[dti_ratio]] &lt; 0.2, " less than 0.2", Table1[[#This Row],[dti_ratio]] &lt; 0.3, "0.2 - 0.3", Table1[[#This Row],[dti_ratio]] &lt;= 0.5, "0.35 - 0.5", Table1[[#This Row],[dti_ratio]] &gt; 0.5, "greater than 0.5")</f>
        <v>0.35 - 0.5</v>
      </c>
      <c r="AH255" s="2">
        <f>COUNTIF(Table1[DTI band],Table1[[#This Row],[DTI band]])</f>
        <v>260</v>
      </c>
      <c r="AI255" s="2" t="str" cm="1">
        <f t="array" ref="AI255">_xlfn.IFS(Table1[[#This Row],[ltv_ratio]] &lt; 0.6, "less than 0.6 -less risky", Table1[[#This Row],[ltv_ratio]]  &lt;= 0.8, "0.6 - 0.8 -medium risky",Table1[[#This Row],[ltv_ratio]] &gt; 0.8, "greater than 0.8 -highly risky")</f>
        <v>less than 0.6 -less risky</v>
      </c>
      <c r="AJ255" s="2">
        <f>COUNTIF(Table1[LTV band],Table1[[#This Row],[LTV band]])</f>
        <v>57</v>
      </c>
      <c r="AK255" s="2">
        <f>COUNTIFS(Table1[count_loan_perband],Table1[[#This Row],[count_loan_perband]],Table1[default_flag],1)/COUNTIF(Table1[count_loan_perband],Table1[[#This Row],[count_loan_perband]])</f>
        <v>0</v>
      </c>
      <c r="AL255" s="2" t="str" cm="1">
        <f t="array" ref="AL255">_xlfn.IFS(Table1[[#This Row],[loan_amount]] &lt; 900000, "lower size (&lt; 9L)", Table1[[#This Row],[loan_amount]] &lt;=3300000, "medium size (&lt;=33L)", Table1[[#This Row],[loan_amount]] &gt; 3300000, "larger size (&gt; 33L)")</f>
        <v>medium size (&lt;=33L)</v>
      </c>
      <c r="AM255" s="2">
        <f>IF(Table1[[#This Row],[dpd]] &gt;=30,1,0)</f>
        <v>0</v>
      </c>
      <c r="AN255" s="2">
        <f>COUNTIFS(Table1[Loan size],Table1[[#This Row],[Loan size]],Table1[dpd flag],1)/COUNTIF(Table1[Loan size],Table1[[#This Row],[Loan size]])</f>
        <v>0.15909090909090909</v>
      </c>
      <c r="AO255" s="2" t="str">
        <f>IF(OR(Table1[[#This Row],[credit_score]] &lt; 600, Table1[ [#This Row],[dti_ratio] ] &gt; 0.5, Table1[[#This Row],[dpd]] &gt;=30), "high risk", " not riskY")</f>
        <v xml:space="preserve"> not riskY</v>
      </c>
      <c r="AP255" s="26">
        <f>EOMONTH(Table1[[#This Row],[origination_date]],0)</f>
        <v>45808</v>
      </c>
      <c r="AQ255" s="2">
        <f>SUMIFS(Table1[loan_amount],Table1[origination month],Table1[[#This Row],[origination month]])</f>
        <v>36698200</v>
      </c>
      <c r="AR255" s="2">
        <f>AVERAGEIFS(Table1[months_on_book],Table1[product],Table1[[#This Row],[product]])</f>
        <v>19.091954022988507</v>
      </c>
      <c r="AS255" s="2" t="str">
        <f ca="1">IF(EDATE(Table1[[#This Row],[origination_date]],6) &gt;= TODAY(), "New Loan", "Old Loan")</f>
        <v>Old Loan</v>
      </c>
      <c r="AT255" s="2" t="str">
        <f>"Q"&amp;ROUNDUP(MONTH(Table1[[#This Row],[origination_date]])/3,0)&amp;YEAR(Table1[[#This Row],[origination_date]])</f>
        <v>Q22025</v>
      </c>
      <c r="AU255" s="2">
        <f>SUMIFS(Table1[loan_amount],Table1[quarter],Table1[[#This Row],[quarter]])</f>
        <v>80205600</v>
      </c>
      <c r="AV255" s="34" t="str">
        <f>_xlfn.TEXTJOIN("|",TRUE,Table1[[#This Row],[loan_id]:[loan_status]])</f>
        <v>L83950700|C8637044|45780|SME Loan|Branch|South|Contract|24|2782200|17.17|137786|1149549|639|D|0.37|0.59|4748200|7|935698|1957966|0|0|0|Active</v>
      </c>
      <c r="AW255" s="42">
        <f>YEAR(Loan_Table[ [#This Row],[origination_date] ])</f>
        <v>2025</v>
      </c>
    </row>
    <row r="256" spans="2:49" ht="18" customHeight="1">
      <c r="B256" s="5" t="s">
        <v>632</v>
      </c>
      <c r="C256" s="2" t="s">
        <v>633</v>
      </c>
      <c r="D256" s="3">
        <v>45829</v>
      </c>
      <c r="E256" s="2" t="s">
        <v>169</v>
      </c>
      <c r="F256" s="2" t="s">
        <v>132</v>
      </c>
      <c r="G256" s="2" t="s">
        <v>145</v>
      </c>
      <c r="H256" s="2" t="s">
        <v>152</v>
      </c>
      <c r="I256" s="2">
        <v>60</v>
      </c>
      <c r="J256" s="2">
        <v>7685900</v>
      </c>
      <c r="K256" s="2">
        <v>11.28</v>
      </c>
      <c r="L256" s="2">
        <v>168185</v>
      </c>
      <c r="M256" s="2">
        <v>1513427</v>
      </c>
      <c r="N256" s="2">
        <v>687</v>
      </c>
      <c r="O256" s="2" t="s">
        <v>140</v>
      </c>
      <c r="P256" s="2">
        <v>0.37</v>
      </c>
      <c r="Q256" s="2">
        <v>0.78</v>
      </c>
      <c r="R256" s="2">
        <v>9796600</v>
      </c>
      <c r="S256" s="2">
        <v>6</v>
      </c>
      <c r="T256" s="2">
        <v>867786</v>
      </c>
      <c r="U256" s="2">
        <v>6991508</v>
      </c>
      <c r="V256" s="2">
        <v>90</v>
      </c>
      <c r="W256" s="2">
        <v>1</v>
      </c>
      <c r="X256" s="2">
        <v>1</v>
      </c>
      <c r="Y256" s="2" t="s">
        <v>153</v>
      </c>
      <c r="Z256" s="12">
        <f>SUMIF(Table1[product],Table1[[#This Row],[product]],Table1[loan_amount])</f>
        <v>403369500</v>
      </c>
      <c r="AA256" s="15">
        <f>SUMIF(Table1[region],Table1[[#This Row],[region]],Table1[current_balance])</f>
        <v>98928695</v>
      </c>
      <c r="AB256" s="2">
        <f>COUNTIF(Table1[loan_status],Table1[[#This Row],[loan_status]])</f>
        <v>13</v>
      </c>
      <c r="AC256" s="2">
        <f>COUNTIF(Table1[default_flag],1)/ROWS(Table1[loan_id])</f>
        <v>2.5999999999999999E-2</v>
      </c>
      <c r="AD256" s="2">
        <f>COUNTIFS(Table1[region],Table1[[#This Row],[region]],Table1[default_flag],1)/COUNTIF(Table1[region],Table1[[#This Row],[region]])</f>
        <v>2.8571428571428571E-2</v>
      </c>
      <c r="AE256" s="2">
        <f>COUNTIFS(Table1[channel],Table1[[#This Row],[channel]],Table1[prepayment_flag],1)/COUNTIF(Table1[channel],Table1[[#This Row],[channel]])</f>
        <v>7.1090047393364927E-2</v>
      </c>
      <c r="AF256" s="2">
        <f>AVERAGEIFS(Table1[interest_rate_pct],Table1[product],Table1[[#This Row],[product]],Table1[risk_band],Table1[[#This Row],[risk_band]])</f>
        <v>11.719736842105268</v>
      </c>
      <c r="AG256" s="2" t="str" cm="1">
        <f t="array" ref="AG256">_xlfn.IFS(Table1[[#This Row],[dti_ratio]] &lt; 0.2, " less than 0.2", Table1[[#This Row],[dti_ratio]] &lt; 0.3, "0.2 - 0.3", Table1[[#This Row],[dti_ratio]] &lt;= 0.5, "0.35 - 0.5", Table1[[#This Row],[dti_ratio]] &gt; 0.5, "greater than 0.5")</f>
        <v>0.35 - 0.5</v>
      </c>
      <c r="AH256" s="2">
        <f>COUNTIF(Table1[DTI band],Table1[[#This Row],[DTI band]])</f>
        <v>260</v>
      </c>
      <c r="AI256" s="2" t="str" cm="1">
        <f t="array" ref="AI256">_xlfn.IFS(Table1[[#This Row],[ltv_ratio]] &lt; 0.6, "less than 0.6 -less risky", Table1[[#This Row],[ltv_ratio]]  &lt;= 0.8, "0.6 - 0.8 -medium risky",Table1[[#This Row],[ltv_ratio]] &gt; 0.8, "greater than 0.8 -highly risky")</f>
        <v>0.6 - 0.8 -medium risky</v>
      </c>
      <c r="AJ256" s="2">
        <f>COUNTIF(Table1[LTV band],Table1[[#This Row],[LTV band]])</f>
        <v>302</v>
      </c>
      <c r="AK256" s="2">
        <f>COUNTIFS(Table1[count_loan_perband],Table1[[#This Row],[count_loan_perband]],Table1[default_flag],1)/COUNTIF(Table1[count_loan_perband],Table1[[#This Row],[count_loan_perband]])</f>
        <v>3.6423841059602648E-2</v>
      </c>
      <c r="AL256" s="2" t="str" cm="1">
        <f t="array" ref="AL256">_xlfn.IFS(Table1[[#This Row],[loan_amount]] &lt; 900000, "lower size (&lt; 9L)", Table1[[#This Row],[loan_amount]] &lt;=3300000, "medium size (&lt;=33L)", Table1[[#This Row],[loan_amount]] &gt; 3300000, "larger size (&gt; 33L)")</f>
        <v>larger size (&gt; 33L)</v>
      </c>
      <c r="AM256" s="2">
        <f>IF(Table1[[#This Row],[dpd]] &gt;=30,1,0)</f>
        <v>1</v>
      </c>
      <c r="AN256" s="2">
        <f>COUNTIFS(Table1[Loan size],Table1[[#This Row],[Loan size]],Table1[dpd flag],1)/COUNTIF(Table1[Loan size],Table1[[#This Row],[Loan size]])</f>
        <v>0.16250000000000001</v>
      </c>
      <c r="AO256" s="2" t="str">
        <f>IF(OR(Table1[[#This Row],[credit_score]] &lt; 600, Table1[ [#This Row],[dti_ratio] ] &gt; 0.5, Table1[[#This Row],[dpd]] &gt;=30), "high risk", " not riskY")</f>
        <v>high risk</v>
      </c>
      <c r="AP256" s="26">
        <f>EOMONTH(Table1[[#This Row],[origination_date]],0)</f>
        <v>45838</v>
      </c>
      <c r="AQ256" s="2">
        <f>SUMIFS(Table1[loan_amount],Table1[origination month],Table1[[#This Row],[origination month]])</f>
        <v>25448100</v>
      </c>
      <c r="AR256" s="2">
        <f>AVERAGEIFS(Table1[months_on_book],Table1[product],Table1[[#This Row],[product]])</f>
        <v>20.516129032258064</v>
      </c>
      <c r="AS256" s="2" t="str">
        <f ca="1">IF(EDATE(Table1[[#This Row],[origination_date]],6) &gt;= TODAY(), "New Loan", "Old Loan")</f>
        <v>Old Loan</v>
      </c>
      <c r="AT256" s="2" t="str">
        <f>"Q"&amp;ROUNDUP(MONTH(Table1[[#This Row],[origination_date]])/3,0)&amp;YEAR(Table1[[#This Row],[origination_date]])</f>
        <v>Q22025</v>
      </c>
      <c r="AU256" s="2">
        <f>SUMIFS(Table1[loan_amount],Table1[quarter],Table1[[#This Row],[quarter]])</f>
        <v>80205600</v>
      </c>
      <c r="AV256" s="34" t="str">
        <f>_xlfn.TEXTJOIN("|",TRUE,Table1[[#This Row],[loan_id]:[loan_status]])</f>
        <v>L65317854|C6851125|45829|Home Loan|Online|Central|Self-Employed|60|7685900|11.28|168185|1513427|687|C|0.37|0.78|9796600|6|867786|6991508|90|1|1|Default</v>
      </c>
      <c r="AW256" s="42">
        <f>YEAR(Loan_Table[ [#This Row],[origination_date] ])</f>
        <v>2025</v>
      </c>
    </row>
    <row r="257" spans="2:49" ht="18" customHeight="1">
      <c r="B257" s="5" t="s">
        <v>634</v>
      </c>
      <c r="C257" s="2" t="s">
        <v>635</v>
      </c>
      <c r="D257" s="3">
        <v>45822</v>
      </c>
      <c r="E257" s="2" t="s">
        <v>158</v>
      </c>
      <c r="F257" s="2" t="s">
        <v>159</v>
      </c>
      <c r="G257" s="2" t="s">
        <v>145</v>
      </c>
      <c r="H257" s="2" t="s">
        <v>134</v>
      </c>
      <c r="I257" s="2">
        <v>24</v>
      </c>
      <c r="J257" s="2">
        <v>1804200</v>
      </c>
      <c r="K257" s="2">
        <v>17.16</v>
      </c>
      <c r="L257" s="2">
        <v>89343</v>
      </c>
      <c r="M257" s="2">
        <v>1061077</v>
      </c>
      <c r="N257" s="2">
        <v>659</v>
      </c>
      <c r="O257" s="2" t="s">
        <v>140</v>
      </c>
      <c r="P257" s="2">
        <v>0.36</v>
      </c>
      <c r="Q257" s="2">
        <v>0.87</v>
      </c>
      <c r="R257" s="2">
        <v>2065700</v>
      </c>
      <c r="S257" s="2">
        <v>6</v>
      </c>
      <c r="T257" s="2">
        <v>460408</v>
      </c>
      <c r="U257" s="2">
        <v>1405712</v>
      </c>
      <c r="V257" s="2">
        <v>0</v>
      </c>
      <c r="W257" s="2">
        <v>0</v>
      </c>
      <c r="X257" s="2">
        <v>0</v>
      </c>
      <c r="Y257" s="2" t="s">
        <v>148</v>
      </c>
      <c r="Z257" s="12">
        <f>SUMIF(Table1[product],Table1[[#This Row],[product]],Table1[loan_amount])</f>
        <v>201475100</v>
      </c>
      <c r="AA257" s="15">
        <f>SUMIF(Table1[region],Table1[[#This Row],[region]],Table1[current_balance])</f>
        <v>98928695</v>
      </c>
      <c r="AB257" s="2">
        <f>COUNTIF(Table1[loan_status],Table1[[#This Row],[loan_status]])</f>
        <v>301</v>
      </c>
      <c r="AC257" s="2">
        <f>COUNTIF(Table1[default_flag],1)/ROWS(Table1[loan_id])</f>
        <v>2.5999999999999999E-2</v>
      </c>
      <c r="AD257" s="2">
        <f>COUNTIFS(Table1[region],Table1[[#This Row],[region]],Table1[default_flag],1)/COUNTIF(Table1[region],Table1[[#This Row],[region]])</f>
        <v>2.8571428571428571E-2</v>
      </c>
      <c r="AE257" s="2">
        <f>COUNTIFS(Table1[channel],Table1[[#This Row],[channel]],Table1[prepayment_flag],1)/COUNTIF(Table1[channel],Table1[[#This Row],[channel]])</f>
        <v>0.1</v>
      </c>
      <c r="AF257" s="2">
        <f>AVERAGEIFS(Table1[interest_rate_pct],Table1[product],Table1[[#This Row],[product]],Table1[risk_band],Table1[[#This Row],[risk_band]])</f>
        <v>15.841379310344831</v>
      </c>
      <c r="AG257" s="2" t="str" cm="1">
        <f t="array" ref="AG257">_xlfn.IFS(Table1[[#This Row],[dti_ratio]] &lt; 0.2, " less than 0.2", Table1[[#This Row],[dti_ratio]] &lt; 0.3, "0.2 - 0.3", Table1[[#This Row],[dti_ratio]] &lt;= 0.5, "0.35 - 0.5", Table1[[#This Row],[dti_ratio]] &gt; 0.5, "greater than 0.5")</f>
        <v>0.35 - 0.5</v>
      </c>
      <c r="AH257" s="2">
        <f>COUNTIF(Table1[DTI band],Table1[[#This Row],[DTI band]])</f>
        <v>260</v>
      </c>
      <c r="AI257" s="2" t="str" cm="1">
        <f t="array" ref="AI257">_xlfn.IFS(Table1[[#This Row],[ltv_ratio]] &lt; 0.6, "less than 0.6 -less risky", Table1[[#This Row],[ltv_ratio]]  &lt;= 0.8, "0.6 - 0.8 -medium risky",Table1[[#This Row],[ltv_ratio]] &gt; 0.8, "greater than 0.8 -highly risky")</f>
        <v>greater than 0.8 -highly risky</v>
      </c>
      <c r="AJ257" s="2">
        <f>COUNTIF(Table1[LTV band],Table1[[#This Row],[LTV band]])</f>
        <v>141</v>
      </c>
      <c r="AK257" s="2">
        <f>COUNTIFS(Table1[count_loan_perband],Table1[[#This Row],[count_loan_perband]],Table1[default_flag],1)/COUNTIF(Table1[count_loan_perband],Table1[[#This Row],[count_loan_perband]])</f>
        <v>1.4184397163120567E-2</v>
      </c>
      <c r="AL257" s="2" t="str" cm="1">
        <f t="array" ref="AL257">_xlfn.IFS(Table1[[#This Row],[loan_amount]] &lt; 900000, "lower size (&lt; 9L)", Table1[[#This Row],[loan_amount]] &lt;=3300000, "medium size (&lt;=33L)", Table1[[#This Row],[loan_amount]] &gt; 3300000, "larger size (&gt; 33L)")</f>
        <v>medium size (&lt;=33L)</v>
      </c>
      <c r="AM257" s="2">
        <f>IF(Table1[[#This Row],[dpd]] &gt;=30,1,0)</f>
        <v>0</v>
      </c>
      <c r="AN257" s="2">
        <f>COUNTIFS(Table1[Loan size],Table1[[#This Row],[Loan size]],Table1[dpd flag],1)/COUNTIF(Table1[Loan size],Table1[[#This Row],[Loan size]])</f>
        <v>0.15909090909090909</v>
      </c>
      <c r="AO257" s="2" t="str">
        <f>IF(OR(Table1[[#This Row],[credit_score]] &lt; 600, Table1[ [#This Row],[dti_ratio] ] &gt; 0.5, Table1[[#This Row],[dpd]] &gt;=30), "high risk", " not riskY")</f>
        <v xml:space="preserve"> not riskY</v>
      </c>
      <c r="AP257" s="26">
        <f>EOMONTH(Table1[[#This Row],[origination_date]],0)</f>
        <v>45838</v>
      </c>
      <c r="AQ257" s="2">
        <f>SUMIFS(Table1[loan_amount],Table1[origination month],Table1[[#This Row],[origination month]])</f>
        <v>25448100</v>
      </c>
      <c r="AR257" s="2">
        <f>AVERAGEIFS(Table1[months_on_book],Table1[product],Table1[[#This Row],[product]])</f>
        <v>19.091954022988507</v>
      </c>
      <c r="AS257" s="2" t="str">
        <f ca="1">IF(EDATE(Table1[[#This Row],[origination_date]],6) &gt;= TODAY(), "New Loan", "Old Loan")</f>
        <v>Old Loan</v>
      </c>
      <c r="AT257" s="2" t="str">
        <f>"Q"&amp;ROUNDUP(MONTH(Table1[[#This Row],[origination_date]])/3,0)&amp;YEAR(Table1[[#This Row],[origination_date]])</f>
        <v>Q22025</v>
      </c>
      <c r="AU257" s="2">
        <f>SUMIFS(Table1[loan_amount],Table1[quarter],Table1[[#This Row],[quarter]])</f>
        <v>80205600</v>
      </c>
      <c r="AV257" s="34" t="str">
        <f>_xlfn.TEXTJOIN("|",TRUE,Table1[[#This Row],[loan_id]:[loan_status]])</f>
        <v>L49304565|C7037588|45822|SME Loan|Partner|Central|Salaried|24|1804200|17.16|89343|1061077|659|C|0.36|0.87|2065700|6|460408|1405712|0|0|0|Active</v>
      </c>
      <c r="AW257" s="42">
        <f>YEAR(Loan_Table[ [#This Row],[origination_date] ])</f>
        <v>2025</v>
      </c>
    </row>
    <row r="258" spans="2:49" ht="18" customHeight="1">
      <c r="B258" s="5" t="s">
        <v>636</v>
      </c>
      <c r="C258" s="2" t="s">
        <v>637</v>
      </c>
      <c r="D258" s="3">
        <v>45756</v>
      </c>
      <c r="E258" s="2" t="s">
        <v>158</v>
      </c>
      <c r="F258" s="2" t="s">
        <v>144</v>
      </c>
      <c r="G258" s="2" t="s">
        <v>145</v>
      </c>
      <c r="H258" s="2" t="s">
        <v>192</v>
      </c>
      <c r="I258" s="2">
        <v>12</v>
      </c>
      <c r="J258" s="2">
        <v>2462600</v>
      </c>
      <c r="K258" s="2">
        <v>10.99</v>
      </c>
      <c r="L258" s="2">
        <v>217637</v>
      </c>
      <c r="M258" s="2">
        <v>1068084</v>
      </c>
      <c r="N258" s="2">
        <v>772</v>
      </c>
      <c r="O258" s="2" t="s">
        <v>160</v>
      </c>
      <c r="P258" s="2">
        <v>0.34</v>
      </c>
      <c r="Q258" s="2">
        <v>0.75</v>
      </c>
      <c r="R258" s="2">
        <v>3274800</v>
      </c>
      <c r="S258" s="2">
        <v>8</v>
      </c>
      <c r="T258" s="2">
        <v>1514821</v>
      </c>
      <c r="U258" s="2">
        <v>1019950</v>
      </c>
      <c r="V258" s="2">
        <v>0</v>
      </c>
      <c r="W258" s="2">
        <v>1</v>
      </c>
      <c r="X258" s="2">
        <v>0</v>
      </c>
      <c r="Y258" s="2" t="s">
        <v>141</v>
      </c>
      <c r="Z258" s="12">
        <f>SUMIF(Table1[product],Table1[[#This Row],[product]],Table1[loan_amount])</f>
        <v>201475100</v>
      </c>
      <c r="AA258" s="15">
        <f>SUMIF(Table1[region],Table1[[#This Row],[region]],Table1[current_balance])</f>
        <v>98928695</v>
      </c>
      <c r="AB258" s="2">
        <f>COUNTIF(Table1[loan_status],Table1[[#This Row],[loan_status]])</f>
        <v>139</v>
      </c>
      <c r="AC258" s="2">
        <f>COUNTIF(Table1[default_flag],1)/ROWS(Table1[loan_id])</f>
        <v>2.5999999999999999E-2</v>
      </c>
      <c r="AD258" s="2">
        <f>COUNTIFS(Table1[region],Table1[[#This Row],[region]],Table1[default_flag],1)/COUNTIF(Table1[region],Table1[[#This Row],[region]])</f>
        <v>2.8571428571428571E-2</v>
      </c>
      <c r="AE258" s="2">
        <f>COUNTIFS(Table1[channel],Table1[[#This Row],[channel]],Table1[prepayment_flag],1)/COUNTIF(Table1[channel],Table1[[#This Row],[channel]])</f>
        <v>5.8201058201058198E-2</v>
      </c>
      <c r="AF258" s="2">
        <f>AVERAGEIFS(Table1[interest_rate_pct],Table1[product],Table1[[#This Row],[product]],Table1[risk_band],Table1[[#This Row],[risk_band]])</f>
        <v>10.537499999999998</v>
      </c>
      <c r="AG258" s="2" t="str" cm="1">
        <f t="array" ref="AG258">_xlfn.IFS(Table1[[#This Row],[dti_ratio]] &lt; 0.2, " less than 0.2", Table1[[#This Row],[dti_ratio]] &lt; 0.3, "0.2 - 0.3", Table1[[#This Row],[dti_ratio]] &lt;= 0.5, "0.35 - 0.5", Table1[[#This Row],[dti_ratio]] &gt; 0.5, "greater than 0.5")</f>
        <v>0.35 - 0.5</v>
      </c>
      <c r="AH258" s="2">
        <f>COUNTIF(Table1[DTI band],Table1[[#This Row],[DTI band]])</f>
        <v>260</v>
      </c>
      <c r="AI258" s="2" t="str" cm="1">
        <f t="array" ref="AI258">_xlfn.IFS(Table1[[#This Row],[ltv_ratio]] &lt; 0.6, "less than 0.6 -less risky", Table1[[#This Row],[ltv_ratio]]  &lt;= 0.8, "0.6 - 0.8 -medium risky",Table1[[#This Row],[ltv_ratio]] &gt; 0.8, "greater than 0.8 -highly risky")</f>
        <v>0.6 - 0.8 -medium risky</v>
      </c>
      <c r="AJ258" s="2">
        <f>COUNTIF(Table1[LTV band],Table1[[#This Row],[LTV band]])</f>
        <v>302</v>
      </c>
      <c r="AK258" s="2">
        <f>COUNTIFS(Table1[count_loan_perband],Table1[[#This Row],[count_loan_perband]],Table1[default_flag],1)/COUNTIF(Table1[count_loan_perband],Table1[[#This Row],[count_loan_perband]])</f>
        <v>3.6423841059602648E-2</v>
      </c>
      <c r="AL258" s="2" t="str" cm="1">
        <f t="array" ref="AL258">_xlfn.IFS(Table1[[#This Row],[loan_amount]] &lt; 900000, "lower size (&lt; 9L)", Table1[[#This Row],[loan_amount]] &lt;=3300000, "medium size (&lt;=33L)", Table1[[#This Row],[loan_amount]] &gt; 3300000, "larger size (&gt; 33L)")</f>
        <v>medium size (&lt;=33L)</v>
      </c>
      <c r="AM258" s="2">
        <f>IF(Table1[[#This Row],[dpd]] &gt;=30,1,0)</f>
        <v>0</v>
      </c>
      <c r="AN258" s="2">
        <f>COUNTIFS(Table1[Loan size],Table1[[#This Row],[Loan size]],Table1[dpd flag],1)/COUNTIF(Table1[Loan size],Table1[[#This Row],[Loan size]])</f>
        <v>0.15909090909090909</v>
      </c>
      <c r="AO258" s="2" t="str">
        <f>IF(OR(Table1[[#This Row],[credit_score]] &lt; 600, Table1[ [#This Row],[dti_ratio] ] &gt; 0.5, Table1[[#This Row],[dpd]] &gt;=30), "high risk", " not riskY")</f>
        <v xml:space="preserve"> not riskY</v>
      </c>
      <c r="AP258" s="26">
        <f>EOMONTH(Table1[[#This Row],[origination_date]],0)</f>
        <v>45777</v>
      </c>
      <c r="AQ258" s="2">
        <f>SUMIFS(Table1[loan_amount],Table1[origination month],Table1[[#This Row],[origination month]])</f>
        <v>18059300</v>
      </c>
      <c r="AR258" s="2">
        <f>AVERAGEIFS(Table1[months_on_book],Table1[product],Table1[[#This Row],[product]])</f>
        <v>19.091954022988507</v>
      </c>
      <c r="AS258" s="2" t="str">
        <f ca="1">IF(EDATE(Table1[[#This Row],[origination_date]],6) &gt;= TODAY(), "New Loan", "Old Loan")</f>
        <v>Old Loan</v>
      </c>
      <c r="AT258" s="2" t="str">
        <f>"Q"&amp;ROUNDUP(MONTH(Table1[[#This Row],[origination_date]])/3,0)&amp;YEAR(Table1[[#This Row],[origination_date]])</f>
        <v>Q22025</v>
      </c>
      <c r="AU258" s="2">
        <f>SUMIFS(Table1[loan_amount],Table1[quarter],Table1[[#This Row],[quarter]])</f>
        <v>80205600</v>
      </c>
      <c r="AV258" s="34" t="str">
        <f>_xlfn.TEXTJOIN("|",TRUE,Table1[[#This Row],[loan_id]:[loan_status]])</f>
        <v>L35949529|C6214280|45756|SME Loan|Branch|Central|Unemployed|12|2462600|10.99|217637|1068084|772|A|0.34|0.75|3274800|8|1514821|1019950|0|1|0|Closed</v>
      </c>
      <c r="AW258" s="42">
        <f>YEAR(Loan_Table[ [#This Row],[origination_date] ])</f>
        <v>2025</v>
      </c>
    </row>
    <row r="259" spans="2:49" ht="18" customHeight="1">
      <c r="B259" s="5" t="s">
        <v>638</v>
      </c>
      <c r="C259" s="2" t="s">
        <v>639</v>
      </c>
      <c r="D259" s="3">
        <v>45769</v>
      </c>
      <c r="E259" s="2" t="s">
        <v>177</v>
      </c>
      <c r="F259" s="2" t="s">
        <v>132</v>
      </c>
      <c r="G259" s="2" t="s">
        <v>151</v>
      </c>
      <c r="H259" s="2" t="s">
        <v>152</v>
      </c>
      <c r="I259" s="2">
        <v>360</v>
      </c>
      <c r="J259" s="2">
        <v>1813000</v>
      </c>
      <c r="K259" s="2">
        <v>15.21</v>
      </c>
      <c r="L259" s="2">
        <v>23229</v>
      </c>
      <c r="M259" s="2">
        <v>1393557</v>
      </c>
      <c r="N259" s="2">
        <v>631</v>
      </c>
      <c r="O259" s="2" t="s">
        <v>147</v>
      </c>
      <c r="P259" s="2">
        <v>0.34</v>
      </c>
      <c r="Q259" s="2">
        <v>0.52</v>
      </c>
      <c r="R259" s="2">
        <v>0</v>
      </c>
      <c r="S259" s="2">
        <v>8</v>
      </c>
      <c r="T259" s="2">
        <v>188052</v>
      </c>
      <c r="U259" s="2">
        <v>1698483</v>
      </c>
      <c r="V259" s="2">
        <v>0</v>
      </c>
      <c r="W259" s="2">
        <v>0</v>
      </c>
      <c r="X259" s="2">
        <v>0</v>
      </c>
      <c r="Y259" s="2" t="s">
        <v>148</v>
      </c>
      <c r="Z259" s="12">
        <f>SUMIF(Table1[product],Table1[[#This Row],[product]],Table1[loan_amount])</f>
        <v>62765800</v>
      </c>
      <c r="AA259" s="15">
        <f>SUMIF(Table1[region],Table1[[#This Row],[region]],Table1[current_balance])</f>
        <v>105779369</v>
      </c>
      <c r="AB259" s="2">
        <f>COUNTIF(Table1[loan_status],Table1[[#This Row],[loan_status]])</f>
        <v>301</v>
      </c>
      <c r="AC259" s="2">
        <f>COUNTIF(Table1[default_flag],1)/ROWS(Table1[loan_id])</f>
        <v>2.5999999999999999E-2</v>
      </c>
      <c r="AD259" s="2">
        <f>COUNTIFS(Table1[region],Table1[[#This Row],[region]],Table1[default_flag],1)/COUNTIF(Table1[region],Table1[[#This Row],[region]])</f>
        <v>2.6548672566371681E-2</v>
      </c>
      <c r="AE259" s="2">
        <f>COUNTIFS(Table1[channel],Table1[[#This Row],[channel]],Table1[prepayment_flag],1)/COUNTIF(Table1[channel],Table1[[#This Row],[channel]])</f>
        <v>7.1090047393364927E-2</v>
      </c>
      <c r="AF259" s="2">
        <f>AVERAGEIFS(Table1[interest_rate_pct],Table1[product],Table1[[#This Row],[product]],Table1[risk_band],Table1[[#This Row],[risk_band]])</f>
        <v>15.810000000000002</v>
      </c>
      <c r="AG259" s="2" t="str" cm="1">
        <f t="array" ref="AG259">_xlfn.IFS(Table1[[#This Row],[dti_ratio]] &lt; 0.2, " less than 0.2", Table1[[#This Row],[dti_ratio]] &lt; 0.3, "0.2 - 0.3", Table1[[#This Row],[dti_ratio]] &lt;= 0.5, "0.35 - 0.5", Table1[[#This Row],[dti_ratio]] &gt; 0.5, "greater than 0.5")</f>
        <v>0.35 - 0.5</v>
      </c>
      <c r="AH259" s="2">
        <f>COUNTIF(Table1[DTI band],Table1[[#This Row],[DTI band]])</f>
        <v>260</v>
      </c>
      <c r="AI259" s="2" t="str" cm="1">
        <f t="array" ref="AI259">_xlfn.IFS(Table1[[#This Row],[ltv_ratio]] &lt; 0.6, "less than 0.6 -less risky", Table1[[#This Row],[ltv_ratio]]  &lt;= 0.8, "0.6 - 0.8 -medium risky",Table1[[#This Row],[ltv_ratio]] &gt; 0.8, "greater than 0.8 -highly risky")</f>
        <v>less than 0.6 -less risky</v>
      </c>
      <c r="AJ259" s="2">
        <f>COUNTIF(Table1[LTV band],Table1[[#This Row],[LTV band]])</f>
        <v>57</v>
      </c>
      <c r="AK259" s="2">
        <f>COUNTIFS(Table1[count_loan_perband],Table1[[#This Row],[count_loan_perband]],Table1[default_flag],1)/COUNTIF(Table1[count_loan_perband],Table1[[#This Row],[count_loan_perband]])</f>
        <v>0</v>
      </c>
      <c r="AL259" s="2" t="str" cm="1">
        <f t="array" ref="AL259">_xlfn.IFS(Table1[[#This Row],[loan_amount]] &lt; 900000, "lower size (&lt; 9L)", Table1[[#This Row],[loan_amount]] &lt;=3300000, "medium size (&lt;=33L)", Table1[[#This Row],[loan_amount]] &gt; 3300000, "larger size (&gt; 33L)")</f>
        <v>medium size (&lt;=33L)</v>
      </c>
      <c r="AM259" s="2">
        <f>IF(Table1[[#This Row],[dpd]] &gt;=30,1,0)</f>
        <v>0</v>
      </c>
      <c r="AN259" s="2">
        <f>COUNTIFS(Table1[Loan size],Table1[[#This Row],[Loan size]],Table1[dpd flag],1)/COUNTIF(Table1[Loan size],Table1[[#This Row],[Loan size]])</f>
        <v>0.15909090909090909</v>
      </c>
      <c r="AO259" s="2" t="str">
        <f>IF(OR(Table1[[#This Row],[credit_score]] &lt; 600, Table1[ [#This Row],[dti_ratio] ] &gt; 0.5, Table1[[#This Row],[dpd]] &gt;=30), "high risk", " not riskY")</f>
        <v xml:space="preserve"> not riskY</v>
      </c>
      <c r="AP259" s="26">
        <f>EOMONTH(Table1[[#This Row],[origination_date]],0)</f>
        <v>45777</v>
      </c>
      <c r="AQ259" s="2">
        <f>SUMIFS(Table1[loan_amount],Table1[origination month],Table1[[#This Row],[origination month]])</f>
        <v>18059300</v>
      </c>
      <c r="AR259" s="2">
        <f>AVERAGEIFS(Table1[months_on_book],Table1[product],Table1[[#This Row],[product]])</f>
        <v>21.962962962962962</v>
      </c>
      <c r="AS259" s="2" t="str">
        <f ca="1">IF(EDATE(Table1[[#This Row],[origination_date]],6) &gt;= TODAY(), "New Loan", "Old Loan")</f>
        <v>Old Loan</v>
      </c>
      <c r="AT259" s="2" t="str">
        <f>"Q"&amp;ROUNDUP(MONTH(Table1[[#This Row],[origination_date]])/3,0)&amp;YEAR(Table1[[#This Row],[origination_date]])</f>
        <v>Q22025</v>
      </c>
      <c r="AU259" s="2">
        <f>SUMIFS(Table1[loan_amount],Table1[quarter],Table1[[#This Row],[quarter]])</f>
        <v>80205600</v>
      </c>
      <c r="AV259" s="34" t="str">
        <f>_xlfn.TEXTJOIN("|",TRUE,Table1[[#This Row],[loan_id]:[loan_status]])</f>
        <v>L34889349|C5328193|45769|Education Loan|Online|North|Self-Employed|360|1813000|15.21|23229|1393557|631|D|0.34|0.52|0|8|188052|1698483|0|0|0|Active</v>
      </c>
      <c r="AW259" s="42">
        <f>YEAR(Loan_Table[ [#This Row],[origination_date] ])</f>
        <v>2025</v>
      </c>
    </row>
    <row r="260" spans="2:49" ht="18" customHeight="1">
      <c r="B260" s="5" t="s">
        <v>640</v>
      </c>
      <c r="C260" s="2" t="s">
        <v>641</v>
      </c>
      <c r="D260" s="3">
        <v>45784</v>
      </c>
      <c r="E260" s="2" t="s">
        <v>158</v>
      </c>
      <c r="F260" s="2" t="s">
        <v>132</v>
      </c>
      <c r="G260" s="2" t="s">
        <v>133</v>
      </c>
      <c r="H260" s="2" t="s">
        <v>134</v>
      </c>
      <c r="I260" s="2">
        <v>48</v>
      </c>
      <c r="J260" s="2">
        <v>3147900</v>
      </c>
      <c r="K260" s="2">
        <v>20.14</v>
      </c>
      <c r="L260" s="2">
        <v>96027</v>
      </c>
      <c r="M260" s="2">
        <v>667395</v>
      </c>
      <c r="N260" s="2">
        <v>595</v>
      </c>
      <c r="O260" s="2" t="s">
        <v>166</v>
      </c>
      <c r="P260" s="2">
        <v>0.33</v>
      </c>
      <c r="Q260" s="2">
        <v>0.67</v>
      </c>
      <c r="R260" s="2">
        <v>4718400</v>
      </c>
      <c r="S260" s="2">
        <v>7</v>
      </c>
      <c r="T260" s="2">
        <v>638912</v>
      </c>
      <c r="U260" s="2">
        <v>2656918</v>
      </c>
      <c r="V260" s="2">
        <v>0</v>
      </c>
      <c r="W260" s="2">
        <v>0</v>
      </c>
      <c r="X260" s="2">
        <v>0</v>
      </c>
      <c r="Y260" s="2" t="s">
        <v>148</v>
      </c>
      <c r="Z260" s="12">
        <f>SUMIF(Table1[product],Table1[[#This Row],[product]],Table1[loan_amount])</f>
        <v>201475100</v>
      </c>
      <c r="AA260" s="15">
        <f>SUMIF(Table1[region],Table1[[#This Row],[region]],Table1[current_balance])</f>
        <v>94548000</v>
      </c>
      <c r="AB260" s="2">
        <f>COUNTIF(Table1[loan_status],Table1[[#This Row],[loan_status]])</f>
        <v>301</v>
      </c>
      <c r="AC260" s="2">
        <f>COUNTIF(Table1[default_flag],1)/ROWS(Table1[loan_id])</f>
        <v>2.5999999999999999E-2</v>
      </c>
      <c r="AD260" s="2">
        <f>COUNTIFS(Table1[region],Table1[[#This Row],[region]],Table1[default_flag],1)/COUNTIF(Table1[region],Table1[[#This Row],[region]])</f>
        <v>0</v>
      </c>
      <c r="AE260" s="2">
        <f>COUNTIFS(Table1[channel],Table1[[#This Row],[channel]],Table1[prepayment_flag],1)/COUNTIF(Table1[channel],Table1[[#This Row],[channel]])</f>
        <v>7.1090047393364927E-2</v>
      </c>
      <c r="AF260" s="2">
        <f>AVERAGEIFS(Table1[interest_rate_pct],Table1[product],Table1[[#This Row],[product]],Table1[risk_band],Table1[[#This Row],[risk_band]])</f>
        <v>20.521428571428572</v>
      </c>
      <c r="AG260" s="2" t="str" cm="1">
        <f t="array" ref="AG260">_xlfn.IFS(Table1[[#This Row],[dti_ratio]] &lt; 0.2, " less than 0.2", Table1[[#This Row],[dti_ratio]] &lt; 0.3, "0.2 - 0.3", Table1[[#This Row],[dti_ratio]] &lt;= 0.5, "0.35 - 0.5", Table1[[#This Row],[dti_ratio]] &gt; 0.5, "greater than 0.5")</f>
        <v>0.35 - 0.5</v>
      </c>
      <c r="AH260" s="2">
        <f>COUNTIF(Table1[DTI band],Table1[[#This Row],[DTI band]])</f>
        <v>260</v>
      </c>
      <c r="AI260" s="2" t="str" cm="1">
        <f t="array" ref="AI260">_xlfn.IFS(Table1[[#This Row],[ltv_ratio]] &lt; 0.6, "less than 0.6 -less risky", Table1[[#This Row],[ltv_ratio]]  &lt;= 0.8, "0.6 - 0.8 -medium risky",Table1[[#This Row],[ltv_ratio]] &gt; 0.8, "greater than 0.8 -highly risky")</f>
        <v>0.6 - 0.8 -medium risky</v>
      </c>
      <c r="AJ260" s="2">
        <f>COUNTIF(Table1[LTV band],Table1[[#This Row],[LTV band]])</f>
        <v>302</v>
      </c>
      <c r="AK260" s="2">
        <f>COUNTIFS(Table1[count_loan_perband],Table1[[#This Row],[count_loan_perband]],Table1[default_flag],1)/COUNTIF(Table1[count_loan_perband],Table1[[#This Row],[count_loan_perband]])</f>
        <v>3.6423841059602648E-2</v>
      </c>
      <c r="AL260" s="2" t="str" cm="1">
        <f t="array" ref="AL260">_xlfn.IFS(Table1[[#This Row],[loan_amount]] &lt; 900000, "lower size (&lt; 9L)", Table1[[#This Row],[loan_amount]] &lt;=3300000, "medium size (&lt;=33L)", Table1[[#This Row],[loan_amount]] &gt; 3300000, "larger size (&gt; 33L)")</f>
        <v>medium size (&lt;=33L)</v>
      </c>
      <c r="AM260" s="2">
        <f>IF(Table1[[#This Row],[dpd]] &gt;=30,1,0)</f>
        <v>0</v>
      </c>
      <c r="AN260" s="2">
        <f>COUNTIFS(Table1[Loan size],Table1[[#This Row],[Loan size]],Table1[dpd flag],1)/COUNTIF(Table1[Loan size],Table1[[#This Row],[Loan size]])</f>
        <v>0.15909090909090909</v>
      </c>
      <c r="AO260" s="2" t="str">
        <f>IF(OR(Table1[[#This Row],[credit_score]] &lt; 600, Table1[ [#This Row],[dti_ratio] ] &gt; 0.5, Table1[[#This Row],[dpd]] &gt;=30), "high risk", " not riskY")</f>
        <v>high risk</v>
      </c>
      <c r="AP260" s="26">
        <f>EOMONTH(Table1[[#This Row],[origination_date]],0)</f>
        <v>45808</v>
      </c>
      <c r="AQ260" s="2">
        <f>SUMIFS(Table1[loan_amount],Table1[origination month],Table1[[#This Row],[origination month]])</f>
        <v>36698200</v>
      </c>
      <c r="AR260" s="2">
        <f>AVERAGEIFS(Table1[months_on_book],Table1[product],Table1[[#This Row],[product]])</f>
        <v>19.091954022988507</v>
      </c>
      <c r="AS260" s="2" t="str">
        <f ca="1">IF(EDATE(Table1[[#This Row],[origination_date]],6) &gt;= TODAY(), "New Loan", "Old Loan")</f>
        <v>Old Loan</v>
      </c>
      <c r="AT260" s="2" t="str">
        <f>"Q"&amp;ROUNDUP(MONTH(Table1[[#This Row],[origination_date]])/3,0)&amp;YEAR(Table1[[#This Row],[origination_date]])</f>
        <v>Q22025</v>
      </c>
      <c r="AU260" s="2">
        <f>SUMIFS(Table1[loan_amount],Table1[quarter],Table1[[#This Row],[quarter]])</f>
        <v>80205600</v>
      </c>
      <c r="AV260" s="34" t="str">
        <f>_xlfn.TEXTJOIN("|",TRUE,Table1[[#This Row],[loan_id]:[loan_status]])</f>
        <v>L99822507|C1039412|45784|SME Loan|Online|South|Salaried|48|3147900|20.14|96027|667395|595|E|0.33|0.67|4718400|7|638912|2656918|0|0|0|Active</v>
      </c>
      <c r="AW260" s="42">
        <f>YEAR(Loan_Table[ [#This Row],[origination_date] ])</f>
        <v>2022</v>
      </c>
    </row>
    <row r="261" spans="2:49" ht="18" customHeight="1">
      <c r="B261" s="5" t="s">
        <v>642</v>
      </c>
      <c r="C261" s="2" t="s">
        <v>643</v>
      </c>
      <c r="D261" s="3">
        <v>45761</v>
      </c>
      <c r="E261" s="2" t="s">
        <v>158</v>
      </c>
      <c r="F261" s="2" t="s">
        <v>144</v>
      </c>
      <c r="G261" s="2" t="s">
        <v>139</v>
      </c>
      <c r="H261" s="2" t="s">
        <v>152</v>
      </c>
      <c r="I261" s="2">
        <v>72</v>
      </c>
      <c r="J261" s="2">
        <v>1994100</v>
      </c>
      <c r="K261" s="2">
        <v>14.45</v>
      </c>
      <c r="L261" s="2">
        <v>41572</v>
      </c>
      <c r="M261" s="2">
        <v>710306</v>
      </c>
      <c r="N261" s="2">
        <v>708</v>
      </c>
      <c r="O261" s="2" t="s">
        <v>135</v>
      </c>
      <c r="P261" s="2">
        <v>0.31</v>
      </c>
      <c r="Q261" s="2">
        <v>0.77</v>
      </c>
      <c r="R261" s="2">
        <v>2604900</v>
      </c>
      <c r="S261" s="2">
        <v>8</v>
      </c>
      <c r="T261" s="2">
        <v>285250</v>
      </c>
      <c r="U261" s="2">
        <v>1785689</v>
      </c>
      <c r="V261" s="2">
        <v>0</v>
      </c>
      <c r="W261" s="2">
        <v>0</v>
      </c>
      <c r="X261" s="2">
        <v>0</v>
      </c>
      <c r="Y261" s="2" t="s">
        <v>148</v>
      </c>
      <c r="Z261" s="12">
        <f>SUMIF(Table1[product],Table1[[#This Row],[product]],Table1[loan_amount])</f>
        <v>201475100</v>
      </c>
      <c r="AA261" s="15">
        <f>SUMIF(Table1[region],Table1[[#This Row],[region]],Table1[current_balance])</f>
        <v>83903255</v>
      </c>
      <c r="AB261" s="2">
        <f>COUNTIF(Table1[loan_status],Table1[[#This Row],[loan_status]])</f>
        <v>301</v>
      </c>
      <c r="AC261" s="2">
        <f>COUNTIF(Table1[default_flag],1)/ROWS(Table1[loan_id])</f>
        <v>2.5999999999999999E-2</v>
      </c>
      <c r="AD261" s="2">
        <f>COUNTIFS(Table1[region],Table1[[#This Row],[region]],Table1[default_flag],1)/COUNTIF(Table1[region],Table1[[#This Row],[region]])</f>
        <v>4.2553191489361701E-2</v>
      </c>
      <c r="AE261" s="2">
        <f>COUNTIFS(Table1[channel],Table1[[#This Row],[channel]],Table1[prepayment_flag],1)/COUNTIF(Table1[channel],Table1[[#This Row],[channel]])</f>
        <v>5.8201058201058198E-2</v>
      </c>
      <c r="AF261" s="2">
        <f>AVERAGEIFS(Table1[interest_rate_pct],Table1[product],Table1[[#This Row],[product]],Table1[risk_band],Table1[[#This Row],[risk_band]])</f>
        <v>13.042631578947367</v>
      </c>
      <c r="AG261" s="2" t="str" cm="1">
        <f t="array" ref="AG261">_xlfn.IFS(Table1[[#This Row],[dti_ratio]] &lt; 0.2, " less than 0.2", Table1[[#This Row],[dti_ratio]] &lt; 0.3, "0.2 - 0.3", Table1[[#This Row],[dti_ratio]] &lt;= 0.5, "0.35 - 0.5", Table1[[#This Row],[dti_ratio]] &gt; 0.5, "greater than 0.5")</f>
        <v>0.35 - 0.5</v>
      </c>
      <c r="AH261" s="2">
        <f>COUNTIF(Table1[DTI band],Table1[[#This Row],[DTI band]])</f>
        <v>260</v>
      </c>
      <c r="AI261" s="2" t="str" cm="1">
        <f t="array" ref="AI261">_xlfn.IFS(Table1[[#This Row],[ltv_ratio]] &lt; 0.6, "less than 0.6 -less risky", Table1[[#This Row],[ltv_ratio]]  &lt;= 0.8, "0.6 - 0.8 -medium risky",Table1[[#This Row],[ltv_ratio]] &gt; 0.8, "greater than 0.8 -highly risky")</f>
        <v>0.6 - 0.8 -medium risky</v>
      </c>
      <c r="AJ261" s="2">
        <f>COUNTIF(Table1[LTV band],Table1[[#This Row],[LTV band]])</f>
        <v>302</v>
      </c>
      <c r="AK261" s="2">
        <f>COUNTIFS(Table1[count_loan_perband],Table1[[#This Row],[count_loan_perband]],Table1[default_flag],1)/COUNTIF(Table1[count_loan_perband],Table1[[#This Row],[count_loan_perband]])</f>
        <v>3.6423841059602648E-2</v>
      </c>
      <c r="AL261" s="2" t="str" cm="1">
        <f t="array" ref="AL261">_xlfn.IFS(Table1[[#This Row],[loan_amount]] &lt; 900000, "lower size (&lt; 9L)", Table1[[#This Row],[loan_amount]] &lt;=3300000, "medium size (&lt;=33L)", Table1[[#This Row],[loan_amount]] &gt; 3300000, "larger size (&gt; 33L)")</f>
        <v>medium size (&lt;=33L)</v>
      </c>
      <c r="AM261" s="2">
        <f>IF(Table1[[#This Row],[dpd]] &gt;=30,1,0)</f>
        <v>0</v>
      </c>
      <c r="AN261" s="2">
        <f>COUNTIFS(Table1[Loan size],Table1[[#This Row],[Loan size]],Table1[dpd flag],1)/COUNTIF(Table1[Loan size],Table1[[#This Row],[Loan size]])</f>
        <v>0.15909090909090909</v>
      </c>
      <c r="AO261" s="2" t="str">
        <f>IF(OR(Table1[[#This Row],[credit_score]] &lt; 600, Table1[ [#This Row],[dti_ratio] ] &gt; 0.5, Table1[[#This Row],[dpd]] &gt;=30), "high risk", " not riskY")</f>
        <v xml:space="preserve"> not riskY</v>
      </c>
      <c r="AP261" s="26">
        <f>EOMONTH(Table1[[#This Row],[origination_date]],0)</f>
        <v>45777</v>
      </c>
      <c r="AQ261" s="2">
        <f>SUMIFS(Table1[loan_amount],Table1[origination month],Table1[[#This Row],[origination month]])</f>
        <v>18059300</v>
      </c>
      <c r="AR261" s="2">
        <f>AVERAGEIFS(Table1[months_on_book],Table1[product],Table1[[#This Row],[product]])</f>
        <v>19.091954022988507</v>
      </c>
      <c r="AS261" s="2" t="str">
        <f ca="1">IF(EDATE(Table1[[#This Row],[origination_date]],6) &gt;= TODAY(), "New Loan", "Old Loan")</f>
        <v>Old Loan</v>
      </c>
      <c r="AT261" s="2" t="str">
        <f>"Q"&amp;ROUNDUP(MONTH(Table1[[#This Row],[origination_date]])/3,0)&amp;YEAR(Table1[[#This Row],[origination_date]])</f>
        <v>Q22025</v>
      </c>
      <c r="AU261" s="2">
        <f>SUMIFS(Table1[loan_amount],Table1[quarter],Table1[[#This Row],[quarter]])</f>
        <v>80205600</v>
      </c>
      <c r="AV261" s="34" t="str">
        <f>_xlfn.TEXTJOIN("|",TRUE,Table1[[#This Row],[loan_id]:[loan_status]])</f>
        <v>L66678787|C9323576|45761|SME Loan|Branch|West|Self-Employed|72|1994100|14.45|41572|710306|708|B|0.31|0.77|2604900|8|285250|1785689|0|0|0|Active</v>
      </c>
      <c r="AW261" s="42">
        <f>YEAR(Loan_Table[ [#This Row],[origination_date] ])</f>
        <v>2022</v>
      </c>
    </row>
    <row r="262" spans="2:49" ht="18" customHeight="1">
      <c r="B262" s="5" t="s">
        <v>644</v>
      </c>
      <c r="C262" s="2" t="s">
        <v>645</v>
      </c>
      <c r="D262" s="3">
        <v>45835</v>
      </c>
      <c r="E262" s="2" t="s">
        <v>163</v>
      </c>
      <c r="F262" s="2" t="s">
        <v>144</v>
      </c>
      <c r="G262" s="2" t="s">
        <v>133</v>
      </c>
      <c r="H262" s="2" t="s">
        <v>134</v>
      </c>
      <c r="I262" s="2">
        <v>48</v>
      </c>
      <c r="J262" s="2">
        <v>1125700</v>
      </c>
      <c r="K262" s="2">
        <v>17.89</v>
      </c>
      <c r="L262" s="2">
        <v>33003</v>
      </c>
      <c r="M262" s="2">
        <v>1239674</v>
      </c>
      <c r="N262" s="2">
        <v>567</v>
      </c>
      <c r="O262" s="2" t="s">
        <v>166</v>
      </c>
      <c r="P262" s="2">
        <v>0.3</v>
      </c>
      <c r="Q262" s="2">
        <v>0.94</v>
      </c>
      <c r="R262" s="2">
        <v>1199200</v>
      </c>
      <c r="S262" s="2">
        <v>6</v>
      </c>
      <c r="T262" s="2">
        <v>179459</v>
      </c>
      <c r="U262" s="2">
        <v>986519</v>
      </c>
      <c r="V262" s="2">
        <v>0</v>
      </c>
      <c r="W262" s="2">
        <v>0</v>
      </c>
      <c r="X262" s="2">
        <v>0</v>
      </c>
      <c r="Y262" s="2" t="s">
        <v>148</v>
      </c>
      <c r="Z262" s="12">
        <f>SUMIF(Table1[product],Table1[[#This Row],[product]],Table1[loan_amount])</f>
        <v>92273000</v>
      </c>
      <c r="AA262" s="15">
        <f>SUMIF(Table1[region],Table1[[#This Row],[region]],Table1[current_balance])</f>
        <v>94548000</v>
      </c>
      <c r="AB262" s="2">
        <f>COUNTIF(Table1[loan_status],Table1[[#This Row],[loan_status]])</f>
        <v>301</v>
      </c>
      <c r="AC262" s="2">
        <f>COUNTIF(Table1[default_flag],1)/ROWS(Table1[loan_id])</f>
        <v>2.5999999999999999E-2</v>
      </c>
      <c r="AD262" s="2">
        <f>COUNTIFS(Table1[region],Table1[[#This Row],[region]],Table1[default_flag],1)/COUNTIF(Table1[region],Table1[[#This Row],[region]])</f>
        <v>0</v>
      </c>
      <c r="AE262" s="2">
        <f>COUNTIFS(Table1[channel],Table1[[#This Row],[channel]],Table1[prepayment_flag],1)/COUNTIF(Table1[channel],Table1[[#This Row],[channel]])</f>
        <v>5.8201058201058198E-2</v>
      </c>
      <c r="AF262" s="2">
        <f>AVERAGEIFS(Table1[interest_rate_pct],Table1[product],Table1[[#This Row],[product]],Table1[risk_band],Table1[[#This Row],[risk_band]])</f>
        <v>17.744166666666668</v>
      </c>
      <c r="AG262" s="2" t="str" cm="1">
        <f t="array" ref="AG262">_xlfn.IFS(Table1[[#This Row],[dti_ratio]] &lt; 0.2, " less than 0.2", Table1[[#This Row],[dti_ratio]] &lt; 0.3, "0.2 - 0.3", Table1[[#This Row],[dti_ratio]] &lt;= 0.5, "0.35 - 0.5", Table1[[#This Row],[dti_ratio]] &gt; 0.5, "greater than 0.5")</f>
        <v>0.35 - 0.5</v>
      </c>
      <c r="AH262" s="2">
        <f>COUNTIF(Table1[DTI band],Table1[[#This Row],[DTI band]])</f>
        <v>260</v>
      </c>
      <c r="AI262" s="2" t="str" cm="1">
        <f t="array" ref="AI262">_xlfn.IFS(Table1[[#This Row],[ltv_ratio]] &lt; 0.6, "less than 0.6 -less risky", Table1[[#This Row],[ltv_ratio]]  &lt;= 0.8, "0.6 - 0.8 -medium risky",Table1[[#This Row],[ltv_ratio]] &gt; 0.8, "greater than 0.8 -highly risky")</f>
        <v>greater than 0.8 -highly risky</v>
      </c>
      <c r="AJ262" s="2">
        <f>COUNTIF(Table1[LTV band],Table1[[#This Row],[LTV band]])</f>
        <v>141</v>
      </c>
      <c r="AK262" s="2">
        <f>COUNTIFS(Table1[count_loan_perband],Table1[[#This Row],[count_loan_perband]],Table1[default_flag],1)/COUNTIF(Table1[count_loan_perband],Table1[[#This Row],[count_loan_perband]])</f>
        <v>1.4184397163120567E-2</v>
      </c>
      <c r="AL262" s="2" t="str" cm="1">
        <f t="array" ref="AL262">_xlfn.IFS(Table1[[#This Row],[loan_amount]] &lt; 900000, "lower size (&lt; 9L)", Table1[[#This Row],[loan_amount]] &lt;=3300000, "medium size (&lt;=33L)", Table1[[#This Row],[loan_amount]] &gt; 3300000, "larger size (&gt; 33L)")</f>
        <v>medium size (&lt;=33L)</v>
      </c>
      <c r="AM262" s="2">
        <f>IF(Table1[[#This Row],[dpd]] &gt;=30,1,0)</f>
        <v>0</v>
      </c>
      <c r="AN262" s="2">
        <f>COUNTIFS(Table1[Loan size],Table1[[#This Row],[Loan size]],Table1[dpd flag],1)/COUNTIF(Table1[Loan size],Table1[[#This Row],[Loan size]])</f>
        <v>0.15909090909090909</v>
      </c>
      <c r="AO262" s="2" t="str">
        <f>IF(OR(Table1[[#This Row],[credit_score]] &lt; 600, Table1[ [#This Row],[dti_ratio] ] &gt; 0.5, Table1[[#This Row],[dpd]] &gt;=30), "high risk", " not riskY")</f>
        <v>high risk</v>
      </c>
      <c r="AP262" s="26">
        <f>EOMONTH(Table1[[#This Row],[origination_date]],0)</f>
        <v>45838</v>
      </c>
      <c r="AQ262" s="2">
        <f>SUMIFS(Table1[loan_amount],Table1[origination month],Table1[[#This Row],[origination month]])</f>
        <v>25448100</v>
      </c>
      <c r="AR262" s="2">
        <f>AVERAGEIFS(Table1[months_on_book],Table1[product],Table1[[#This Row],[product]])</f>
        <v>20.262135922330096</v>
      </c>
      <c r="AS262" s="2" t="str">
        <f ca="1">IF(EDATE(Table1[[#This Row],[origination_date]],6) &gt;= TODAY(), "New Loan", "Old Loan")</f>
        <v>Old Loan</v>
      </c>
      <c r="AT262" s="2" t="str">
        <f>"Q"&amp;ROUNDUP(MONTH(Table1[[#This Row],[origination_date]])/3,0)&amp;YEAR(Table1[[#This Row],[origination_date]])</f>
        <v>Q22025</v>
      </c>
      <c r="AU262" s="2">
        <f>SUMIFS(Table1[loan_amount],Table1[quarter],Table1[[#This Row],[quarter]])</f>
        <v>80205600</v>
      </c>
      <c r="AV262" s="34" t="str">
        <f>_xlfn.TEXTJOIN("|",TRUE,Table1[[#This Row],[loan_id]:[loan_status]])</f>
        <v>L90272030|C1141744|45835|Auto Loan|Branch|South|Salaried|48|1125700|17.89|33003|1239674|567|E|0.3|0.94|1199200|6|179459|986519|0|0|0|Active</v>
      </c>
      <c r="AW262" s="42">
        <f>YEAR(Loan_Table[ [#This Row],[origination_date] ])</f>
        <v>2022</v>
      </c>
    </row>
    <row r="263" spans="2:49" ht="18" customHeight="1">
      <c r="B263" s="5" t="s">
        <v>646</v>
      </c>
      <c r="C263" s="2" t="s">
        <v>647</v>
      </c>
      <c r="D263" s="3">
        <v>45819</v>
      </c>
      <c r="E263" s="2" t="s">
        <v>169</v>
      </c>
      <c r="F263" s="2" t="s">
        <v>144</v>
      </c>
      <c r="G263" s="2" t="s">
        <v>145</v>
      </c>
      <c r="H263" s="2" t="s">
        <v>152</v>
      </c>
      <c r="I263" s="2">
        <v>240</v>
      </c>
      <c r="J263" s="2">
        <v>5172000</v>
      </c>
      <c r="K263" s="2">
        <v>11.85</v>
      </c>
      <c r="L263" s="2">
        <v>56408</v>
      </c>
      <c r="M263" s="2">
        <v>1406471</v>
      </c>
      <c r="N263" s="2">
        <v>664</v>
      </c>
      <c r="O263" s="2" t="s">
        <v>140</v>
      </c>
      <c r="P263" s="2">
        <v>0.28999999999999998</v>
      </c>
      <c r="Q263" s="2">
        <v>0.92</v>
      </c>
      <c r="R263" s="2">
        <v>5593700</v>
      </c>
      <c r="S263" s="2">
        <v>6</v>
      </c>
      <c r="T263" s="2">
        <v>343327</v>
      </c>
      <c r="U263" s="2">
        <v>4951249</v>
      </c>
      <c r="V263" s="2">
        <v>0</v>
      </c>
      <c r="W263" s="2">
        <v>0</v>
      </c>
      <c r="X263" s="2">
        <v>0</v>
      </c>
      <c r="Y263" s="2" t="s">
        <v>148</v>
      </c>
      <c r="Z263" s="12">
        <f>SUMIF(Table1[product],Table1[[#This Row],[product]],Table1[loan_amount])</f>
        <v>403369500</v>
      </c>
      <c r="AA263" s="15">
        <f>SUMIF(Table1[region],Table1[[#This Row],[region]],Table1[current_balance])</f>
        <v>98928695</v>
      </c>
      <c r="AB263" s="2">
        <f>COUNTIF(Table1[loan_status],Table1[[#This Row],[loan_status]])</f>
        <v>301</v>
      </c>
      <c r="AC263" s="2">
        <f>COUNTIF(Table1[default_flag],1)/ROWS(Table1[loan_id])</f>
        <v>2.5999999999999999E-2</v>
      </c>
      <c r="AD263" s="2">
        <f>COUNTIFS(Table1[region],Table1[[#This Row],[region]],Table1[default_flag],1)/COUNTIF(Table1[region],Table1[[#This Row],[region]])</f>
        <v>2.8571428571428571E-2</v>
      </c>
      <c r="AE263" s="2">
        <f>COUNTIFS(Table1[channel],Table1[[#This Row],[channel]],Table1[prepayment_flag],1)/COUNTIF(Table1[channel],Table1[[#This Row],[channel]])</f>
        <v>5.8201058201058198E-2</v>
      </c>
      <c r="AF263" s="2">
        <f>AVERAGEIFS(Table1[interest_rate_pct],Table1[product],Table1[[#This Row],[product]],Table1[risk_band],Table1[[#This Row],[risk_band]])</f>
        <v>11.719736842105268</v>
      </c>
      <c r="AG263" s="2" t="str" cm="1">
        <f t="array" ref="AG263">_xlfn.IFS(Table1[[#This Row],[dti_ratio]] &lt; 0.2, " less than 0.2", Table1[[#This Row],[dti_ratio]] &lt; 0.3, "0.2 - 0.3", Table1[[#This Row],[dti_ratio]] &lt;= 0.5, "0.35 - 0.5", Table1[[#This Row],[dti_ratio]] &gt; 0.5, "greater than 0.5")</f>
        <v>0.2 - 0.3</v>
      </c>
      <c r="AH263" s="2">
        <f>COUNTIF(Table1[DTI band],Table1[[#This Row],[DTI band]])</f>
        <v>122</v>
      </c>
      <c r="AI263" s="2" t="str" cm="1">
        <f t="array" ref="AI263">_xlfn.IFS(Table1[[#This Row],[ltv_ratio]] &lt; 0.6, "less than 0.6 -less risky", Table1[[#This Row],[ltv_ratio]]  &lt;= 0.8, "0.6 - 0.8 -medium risky",Table1[[#This Row],[ltv_ratio]] &gt; 0.8, "greater than 0.8 -highly risky")</f>
        <v>greater than 0.8 -highly risky</v>
      </c>
      <c r="AJ263" s="2">
        <f>COUNTIF(Table1[LTV band],Table1[[#This Row],[LTV band]])</f>
        <v>141</v>
      </c>
      <c r="AK263" s="2">
        <f>COUNTIFS(Table1[count_loan_perband],Table1[[#This Row],[count_loan_perband]],Table1[default_flag],1)/COUNTIF(Table1[count_loan_perband],Table1[[#This Row],[count_loan_perband]])</f>
        <v>1.4184397163120567E-2</v>
      </c>
      <c r="AL263" s="2" t="str" cm="1">
        <f t="array" ref="AL263">_xlfn.IFS(Table1[[#This Row],[loan_amount]] &lt; 900000, "lower size (&lt; 9L)", Table1[[#This Row],[loan_amount]] &lt;=3300000, "medium size (&lt;=33L)", Table1[[#This Row],[loan_amount]] &gt; 3300000, "larger size (&gt; 33L)")</f>
        <v>larger size (&gt; 33L)</v>
      </c>
      <c r="AM263" s="2">
        <f>IF(Table1[[#This Row],[dpd]] &gt;=30,1,0)</f>
        <v>0</v>
      </c>
      <c r="AN263" s="2">
        <f>COUNTIFS(Table1[Loan size],Table1[[#This Row],[Loan size]],Table1[dpd flag],1)/COUNTIF(Table1[Loan size],Table1[[#This Row],[Loan size]])</f>
        <v>0.16250000000000001</v>
      </c>
      <c r="AO263" s="2" t="str">
        <f>IF(OR(Table1[[#This Row],[credit_score]] &lt; 600, Table1[ [#This Row],[dti_ratio] ] &gt; 0.5, Table1[[#This Row],[dpd]] &gt;=30), "high risk", " not riskY")</f>
        <v xml:space="preserve"> not riskY</v>
      </c>
      <c r="AP263" s="26">
        <f>EOMONTH(Table1[[#This Row],[origination_date]],0)</f>
        <v>45838</v>
      </c>
      <c r="AQ263" s="2">
        <f>SUMIFS(Table1[loan_amount],Table1[origination month],Table1[[#This Row],[origination month]])</f>
        <v>25448100</v>
      </c>
      <c r="AR263" s="2">
        <f>AVERAGEIFS(Table1[months_on_book],Table1[product],Table1[[#This Row],[product]])</f>
        <v>20.516129032258064</v>
      </c>
      <c r="AS263" s="2" t="str">
        <f ca="1">IF(EDATE(Table1[[#This Row],[origination_date]],6) &gt;= TODAY(), "New Loan", "Old Loan")</f>
        <v>Old Loan</v>
      </c>
      <c r="AT263" s="2" t="str">
        <f>"Q"&amp;ROUNDUP(MONTH(Table1[[#This Row],[origination_date]])/3,0)&amp;YEAR(Table1[[#This Row],[origination_date]])</f>
        <v>Q22025</v>
      </c>
      <c r="AU263" s="2">
        <f>SUMIFS(Table1[loan_amount],Table1[quarter],Table1[[#This Row],[quarter]])</f>
        <v>80205600</v>
      </c>
      <c r="AV263" s="34" t="str">
        <f>_xlfn.TEXTJOIN("|",TRUE,Table1[[#This Row],[loan_id]:[loan_status]])</f>
        <v>L96570789|C5684926|45819|Home Loan|Branch|Central|Self-Employed|240|5172000|11.85|56408|1406471|664|C|0.29|0.92|5593700|6|343327|4951249|0|0|0|Active</v>
      </c>
      <c r="AW263" s="42">
        <f>YEAR(Loan_Table[ [#This Row],[origination_date] ])</f>
        <v>2022</v>
      </c>
    </row>
    <row r="264" spans="2:49" ht="18" customHeight="1">
      <c r="B264" s="5" t="s">
        <v>648</v>
      </c>
      <c r="C264" s="2" t="s">
        <v>649</v>
      </c>
      <c r="D264" s="3">
        <v>45789</v>
      </c>
      <c r="E264" s="2" t="s">
        <v>163</v>
      </c>
      <c r="F264" s="2" t="s">
        <v>132</v>
      </c>
      <c r="G264" s="2" t="s">
        <v>145</v>
      </c>
      <c r="H264" s="2" t="s">
        <v>134</v>
      </c>
      <c r="I264" s="2">
        <v>18</v>
      </c>
      <c r="J264" s="2">
        <v>769200</v>
      </c>
      <c r="K264" s="2">
        <v>11.07</v>
      </c>
      <c r="L264" s="2">
        <v>46576</v>
      </c>
      <c r="M264" s="2">
        <v>759026</v>
      </c>
      <c r="N264" s="2">
        <v>725</v>
      </c>
      <c r="O264" s="2" t="s">
        <v>135</v>
      </c>
      <c r="P264" s="2">
        <v>0.27</v>
      </c>
      <c r="Q264" s="2">
        <v>0.82</v>
      </c>
      <c r="R264" s="2">
        <v>940400</v>
      </c>
      <c r="S264" s="2">
        <v>7</v>
      </c>
      <c r="T264" s="2">
        <v>298980</v>
      </c>
      <c r="U264" s="2">
        <v>490088</v>
      </c>
      <c r="V264" s="2">
        <v>15</v>
      </c>
      <c r="W264" s="2">
        <v>0</v>
      </c>
      <c r="X264" s="2">
        <v>0</v>
      </c>
      <c r="Y264" s="2" t="s">
        <v>148</v>
      </c>
      <c r="Z264" s="12">
        <f>SUMIF(Table1[product],Table1[[#This Row],[product]],Table1[loan_amount])</f>
        <v>92273000</v>
      </c>
      <c r="AA264" s="15">
        <f>SUMIF(Table1[region],Table1[[#This Row],[region]],Table1[current_balance])</f>
        <v>98928695</v>
      </c>
      <c r="AB264" s="2">
        <f>COUNTIF(Table1[loan_status],Table1[[#This Row],[loan_status]])</f>
        <v>301</v>
      </c>
      <c r="AC264" s="2">
        <f>COUNTIF(Table1[default_flag],1)/ROWS(Table1[loan_id])</f>
        <v>2.5999999999999999E-2</v>
      </c>
      <c r="AD264" s="2">
        <f>COUNTIFS(Table1[region],Table1[[#This Row],[region]],Table1[default_flag],1)/COUNTIF(Table1[region],Table1[[#This Row],[region]])</f>
        <v>2.8571428571428571E-2</v>
      </c>
      <c r="AE264" s="2">
        <f>COUNTIFS(Table1[channel],Table1[[#This Row],[channel]],Table1[prepayment_flag],1)/COUNTIF(Table1[channel],Table1[[#This Row],[channel]])</f>
        <v>7.1090047393364927E-2</v>
      </c>
      <c r="AF264" s="2">
        <f>AVERAGEIFS(Table1[interest_rate_pct],Table1[product],Table1[[#This Row],[product]],Table1[risk_band],Table1[[#This Row],[risk_band]])</f>
        <v>10.611923076923079</v>
      </c>
      <c r="AG264" s="2" t="str" cm="1">
        <f t="array" ref="AG264">_xlfn.IFS(Table1[[#This Row],[dti_ratio]] &lt; 0.2, " less than 0.2", Table1[[#This Row],[dti_ratio]] &lt; 0.3, "0.2 - 0.3", Table1[[#This Row],[dti_ratio]] &lt;= 0.5, "0.35 - 0.5", Table1[[#This Row],[dti_ratio]] &gt; 0.5, "greater than 0.5")</f>
        <v>0.2 - 0.3</v>
      </c>
      <c r="AH264" s="2">
        <f>COUNTIF(Table1[DTI band],Table1[[#This Row],[DTI band]])</f>
        <v>122</v>
      </c>
      <c r="AI264" s="2" t="str" cm="1">
        <f t="array" ref="AI264">_xlfn.IFS(Table1[[#This Row],[ltv_ratio]] &lt; 0.6, "less than 0.6 -less risky", Table1[[#This Row],[ltv_ratio]]  &lt;= 0.8, "0.6 - 0.8 -medium risky",Table1[[#This Row],[ltv_ratio]] &gt; 0.8, "greater than 0.8 -highly risky")</f>
        <v>greater than 0.8 -highly risky</v>
      </c>
      <c r="AJ264" s="2">
        <f>COUNTIF(Table1[LTV band],Table1[[#This Row],[LTV band]])</f>
        <v>141</v>
      </c>
      <c r="AK264" s="2">
        <f>COUNTIFS(Table1[count_loan_perband],Table1[[#This Row],[count_loan_perband]],Table1[default_flag],1)/COUNTIF(Table1[count_loan_perband],Table1[[#This Row],[count_loan_perband]])</f>
        <v>1.4184397163120567E-2</v>
      </c>
      <c r="AL264" s="2" t="str" cm="1">
        <f t="array" ref="AL264">_xlfn.IFS(Table1[[#This Row],[loan_amount]] &lt; 900000, "lower size (&lt; 9L)", Table1[[#This Row],[loan_amount]] &lt;=3300000, "medium size (&lt;=33L)", Table1[[#This Row],[loan_amount]] &gt; 3300000, "larger size (&gt; 33L)")</f>
        <v>lower size (&lt; 9L)</v>
      </c>
      <c r="AM264" s="2">
        <f>IF(Table1[[#This Row],[dpd]] &gt;=30,1,0)</f>
        <v>0</v>
      </c>
      <c r="AN264" s="2">
        <f>COUNTIFS(Table1[Loan size],Table1[[#This Row],[Loan size]],Table1[dpd flag],1)/COUNTIF(Table1[Loan size],Table1[[#This Row],[Loan size]])</f>
        <v>0.13934426229508196</v>
      </c>
      <c r="AO264" s="2" t="str">
        <f>IF(OR(Table1[[#This Row],[credit_score]] &lt; 600, Table1[ [#This Row],[dti_ratio] ] &gt; 0.5, Table1[[#This Row],[dpd]] &gt;=30), "high risk", " not riskY")</f>
        <v xml:space="preserve"> not riskY</v>
      </c>
      <c r="AP264" s="26">
        <f>EOMONTH(Table1[[#This Row],[origination_date]],0)</f>
        <v>45808</v>
      </c>
      <c r="AQ264" s="2">
        <f>SUMIFS(Table1[loan_amount],Table1[origination month],Table1[[#This Row],[origination month]])</f>
        <v>36698200</v>
      </c>
      <c r="AR264" s="2">
        <f>AVERAGEIFS(Table1[months_on_book],Table1[product],Table1[[#This Row],[product]])</f>
        <v>20.262135922330096</v>
      </c>
      <c r="AS264" s="2" t="str">
        <f ca="1">IF(EDATE(Table1[[#This Row],[origination_date]],6) &gt;= TODAY(), "New Loan", "Old Loan")</f>
        <v>Old Loan</v>
      </c>
      <c r="AT264" s="2" t="str">
        <f>"Q"&amp;ROUNDUP(MONTH(Table1[[#This Row],[origination_date]])/3,0)&amp;YEAR(Table1[[#This Row],[origination_date]])</f>
        <v>Q22025</v>
      </c>
      <c r="AU264" s="2">
        <f>SUMIFS(Table1[loan_amount],Table1[quarter],Table1[[#This Row],[quarter]])</f>
        <v>80205600</v>
      </c>
      <c r="AV264" s="34" t="str">
        <f>_xlfn.TEXTJOIN("|",TRUE,Table1[[#This Row],[loan_id]:[loan_status]])</f>
        <v>L82683769|C5088861|45789|Auto Loan|Online|Central|Salaried|18|769200|11.07|46576|759026|725|B|0.27|0.82|940400|7|298980|490088|15|0|0|Active</v>
      </c>
      <c r="AW264" s="42">
        <f>YEAR(Loan_Table[ [#This Row],[origination_date] ])</f>
        <v>2022</v>
      </c>
    </row>
    <row r="265" spans="2:49" ht="18" customHeight="1">
      <c r="B265" s="5" t="s">
        <v>650</v>
      </c>
      <c r="C265" s="2" t="s">
        <v>651</v>
      </c>
      <c r="D265" s="3">
        <v>45785</v>
      </c>
      <c r="E265" s="2" t="s">
        <v>177</v>
      </c>
      <c r="F265" s="2" t="s">
        <v>159</v>
      </c>
      <c r="G265" s="2" t="s">
        <v>145</v>
      </c>
      <c r="H265" s="2" t="s">
        <v>134</v>
      </c>
      <c r="I265" s="2">
        <v>60</v>
      </c>
      <c r="J265" s="2">
        <v>1086600</v>
      </c>
      <c r="K265" s="2">
        <v>14.64</v>
      </c>
      <c r="L265" s="2">
        <v>25645</v>
      </c>
      <c r="M265" s="2">
        <v>1417857</v>
      </c>
      <c r="N265" s="2">
        <v>676</v>
      </c>
      <c r="O265" s="2" t="s">
        <v>140</v>
      </c>
      <c r="P265" s="2">
        <v>0.26</v>
      </c>
      <c r="Q265" s="2">
        <v>0.68</v>
      </c>
      <c r="R265" s="2">
        <v>0</v>
      </c>
      <c r="S265" s="2">
        <v>7</v>
      </c>
      <c r="T265" s="2">
        <v>178188</v>
      </c>
      <c r="U265" s="2">
        <v>945530</v>
      </c>
      <c r="V265" s="2">
        <v>10</v>
      </c>
      <c r="W265" s="2">
        <v>0</v>
      </c>
      <c r="X265" s="2">
        <v>0</v>
      </c>
      <c r="Y265" s="2" t="s">
        <v>148</v>
      </c>
      <c r="Z265" s="12">
        <f>SUMIF(Table1[product],Table1[[#This Row],[product]],Table1[loan_amount])</f>
        <v>62765800</v>
      </c>
      <c r="AA265" s="15">
        <f>SUMIF(Table1[region],Table1[[#This Row],[region]],Table1[current_balance])</f>
        <v>98928695</v>
      </c>
      <c r="AB265" s="2">
        <f>COUNTIF(Table1[loan_status],Table1[[#This Row],[loan_status]])</f>
        <v>301</v>
      </c>
      <c r="AC265" s="2">
        <f>COUNTIF(Table1[default_flag],1)/ROWS(Table1[loan_id])</f>
        <v>2.5999999999999999E-2</v>
      </c>
      <c r="AD265" s="2">
        <f>COUNTIFS(Table1[region],Table1[[#This Row],[region]],Table1[default_flag],1)/COUNTIF(Table1[region],Table1[[#This Row],[region]])</f>
        <v>2.8571428571428571E-2</v>
      </c>
      <c r="AE265" s="2">
        <f>COUNTIFS(Table1[channel],Table1[[#This Row],[channel]],Table1[prepayment_flag],1)/COUNTIF(Table1[channel],Table1[[#This Row],[channel]])</f>
        <v>0.1</v>
      </c>
      <c r="AF265" s="2">
        <f>AVERAGEIFS(Table1[interest_rate_pct],Table1[product],Table1[[#This Row],[product]],Table1[risk_band],Table1[[#This Row],[risk_band]])</f>
        <v>13.463888888888889</v>
      </c>
      <c r="AG265" s="2" t="str" cm="1">
        <f t="array" ref="AG265">_xlfn.IFS(Table1[[#This Row],[dti_ratio]] &lt; 0.2, " less than 0.2", Table1[[#This Row],[dti_ratio]] &lt; 0.3, "0.2 - 0.3", Table1[[#This Row],[dti_ratio]] &lt;= 0.5, "0.35 - 0.5", Table1[[#This Row],[dti_ratio]] &gt; 0.5, "greater than 0.5")</f>
        <v>0.2 - 0.3</v>
      </c>
      <c r="AH265" s="2">
        <f>COUNTIF(Table1[DTI band],Table1[[#This Row],[DTI band]])</f>
        <v>122</v>
      </c>
      <c r="AI265" s="2" t="str" cm="1">
        <f t="array" ref="AI265">_xlfn.IFS(Table1[[#This Row],[ltv_ratio]] &lt; 0.6, "less than 0.6 -less risky", Table1[[#This Row],[ltv_ratio]]  &lt;= 0.8, "0.6 - 0.8 -medium risky",Table1[[#This Row],[ltv_ratio]] &gt; 0.8, "greater than 0.8 -highly risky")</f>
        <v>0.6 - 0.8 -medium risky</v>
      </c>
      <c r="AJ265" s="2">
        <f>COUNTIF(Table1[LTV band],Table1[[#This Row],[LTV band]])</f>
        <v>302</v>
      </c>
      <c r="AK265" s="2">
        <f>COUNTIFS(Table1[count_loan_perband],Table1[[#This Row],[count_loan_perband]],Table1[default_flag],1)/COUNTIF(Table1[count_loan_perband],Table1[[#This Row],[count_loan_perband]])</f>
        <v>3.6423841059602648E-2</v>
      </c>
      <c r="AL265" s="2" t="str" cm="1">
        <f t="array" ref="AL265">_xlfn.IFS(Table1[[#This Row],[loan_amount]] &lt; 900000, "lower size (&lt; 9L)", Table1[[#This Row],[loan_amount]] &lt;=3300000, "medium size (&lt;=33L)", Table1[[#This Row],[loan_amount]] &gt; 3300000, "larger size (&gt; 33L)")</f>
        <v>medium size (&lt;=33L)</v>
      </c>
      <c r="AM265" s="2">
        <f>IF(Table1[[#This Row],[dpd]] &gt;=30,1,0)</f>
        <v>0</v>
      </c>
      <c r="AN265" s="2">
        <f>COUNTIFS(Table1[Loan size],Table1[[#This Row],[Loan size]],Table1[dpd flag],1)/COUNTIF(Table1[Loan size],Table1[[#This Row],[Loan size]])</f>
        <v>0.15909090909090909</v>
      </c>
      <c r="AO265" s="2" t="str">
        <f>IF(OR(Table1[[#This Row],[credit_score]] &lt; 600, Table1[ [#This Row],[dti_ratio] ] &gt; 0.5, Table1[[#This Row],[dpd]] &gt;=30), "high risk", " not riskY")</f>
        <v xml:space="preserve"> not riskY</v>
      </c>
      <c r="AP265" s="26">
        <f>EOMONTH(Table1[[#This Row],[origination_date]],0)</f>
        <v>45808</v>
      </c>
      <c r="AQ265" s="2">
        <f>SUMIFS(Table1[loan_amount],Table1[origination month],Table1[[#This Row],[origination month]])</f>
        <v>36698200</v>
      </c>
      <c r="AR265" s="2">
        <f>AVERAGEIFS(Table1[months_on_book],Table1[product],Table1[[#This Row],[product]])</f>
        <v>21.962962962962962</v>
      </c>
      <c r="AS265" s="2" t="str">
        <f ca="1">IF(EDATE(Table1[[#This Row],[origination_date]],6) &gt;= TODAY(), "New Loan", "Old Loan")</f>
        <v>Old Loan</v>
      </c>
      <c r="AT265" s="2" t="str">
        <f>"Q"&amp;ROUNDUP(MONTH(Table1[[#This Row],[origination_date]])/3,0)&amp;YEAR(Table1[[#This Row],[origination_date]])</f>
        <v>Q22025</v>
      </c>
      <c r="AU265" s="2">
        <f>SUMIFS(Table1[loan_amount],Table1[quarter],Table1[[#This Row],[quarter]])</f>
        <v>80205600</v>
      </c>
      <c r="AV265" s="34" t="str">
        <f>_xlfn.TEXTJOIN("|",TRUE,Table1[[#This Row],[loan_id]:[loan_status]])</f>
        <v>L33036858|C2406931|45785|Education Loan|Partner|Central|Salaried|60|1086600|14.64|25645|1417857|676|C|0.26|0.68|0|7|178188|945530|10|0|0|Active</v>
      </c>
      <c r="AW265" s="42">
        <f>YEAR(Loan_Table[ [#This Row],[origination_date] ])</f>
        <v>2022</v>
      </c>
    </row>
    <row r="266" spans="2:49" ht="18" customHeight="1">
      <c r="B266" s="5" t="s">
        <v>652</v>
      </c>
      <c r="C266" s="2" t="s">
        <v>653</v>
      </c>
      <c r="D266" s="3">
        <v>45795</v>
      </c>
      <c r="E266" s="2" t="s">
        <v>131</v>
      </c>
      <c r="F266" s="2" t="s">
        <v>213</v>
      </c>
      <c r="G266" s="2" t="s">
        <v>151</v>
      </c>
      <c r="H266" s="2" t="s">
        <v>134</v>
      </c>
      <c r="I266" s="2">
        <v>72</v>
      </c>
      <c r="J266" s="2">
        <v>473300</v>
      </c>
      <c r="K266" s="2">
        <v>16.13</v>
      </c>
      <c r="L266" s="2">
        <v>10301</v>
      </c>
      <c r="M266" s="2">
        <v>790926</v>
      </c>
      <c r="N266" s="2">
        <v>742</v>
      </c>
      <c r="O266" s="2" t="s">
        <v>135</v>
      </c>
      <c r="P266" s="2">
        <v>0.23</v>
      </c>
      <c r="Q266" s="2">
        <v>0.55000000000000004</v>
      </c>
      <c r="R266" s="2">
        <v>0</v>
      </c>
      <c r="S266" s="2">
        <v>7</v>
      </c>
      <c r="T266" s="2">
        <v>72786</v>
      </c>
      <c r="U266" s="2">
        <v>418327</v>
      </c>
      <c r="V266" s="2">
        <v>0</v>
      </c>
      <c r="W266" s="2">
        <v>0</v>
      </c>
      <c r="X266" s="2">
        <v>0</v>
      </c>
      <c r="Y266" s="2" t="s">
        <v>148</v>
      </c>
      <c r="Z266" s="12">
        <f>SUMIF(Table1[product],Table1[[#This Row],[product]],Table1[loan_amount])</f>
        <v>74897600</v>
      </c>
      <c r="AA266" s="15">
        <f>SUMIF(Table1[region],Table1[[#This Row],[region]],Table1[current_balance])</f>
        <v>105779369</v>
      </c>
      <c r="AB266" s="2">
        <f>COUNTIF(Table1[loan_status],Table1[[#This Row],[loan_status]])</f>
        <v>301</v>
      </c>
      <c r="AC266" s="2">
        <f>COUNTIF(Table1[default_flag],1)/ROWS(Table1[loan_id])</f>
        <v>2.5999999999999999E-2</v>
      </c>
      <c r="AD266" s="2">
        <f>COUNTIFS(Table1[region],Table1[[#This Row],[region]],Table1[default_flag],1)/COUNTIF(Table1[region],Table1[[#This Row],[region]])</f>
        <v>2.6548672566371681E-2</v>
      </c>
      <c r="AE266" s="2">
        <f>COUNTIFS(Table1[channel],Table1[[#This Row],[channel]],Table1[prepayment_flag],1)/COUNTIF(Table1[channel],Table1[[#This Row],[channel]])</f>
        <v>0.12</v>
      </c>
      <c r="AF266" s="2">
        <f>AVERAGEIFS(Table1[interest_rate_pct],Table1[product],Table1[[#This Row],[product]],Table1[risk_band],Table1[[#This Row],[risk_band]])</f>
        <v>16.500166666666669</v>
      </c>
      <c r="AG266" s="2" t="str" cm="1">
        <f t="array" ref="AG266">_xlfn.IFS(Table1[[#This Row],[dti_ratio]] &lt; 0.2, " less than 0.2", Table1[[#This Row],[dti_ratio]] &lt; 0.3, "0.2 - 0.3", Table1[[#This Row],[dti_ratio]] &lt;= 0.5, "0.35 - 0.5", Table1[[#This Row],[dti_ratio]] &gt; 0.5, "greater than 0.5")</f>
        <v>0.2 - 0.3</v>
      </c>
      <c r="AH266" s="2">
        <f>COUNTIF(Table1[DTI band],Table1[[#This Row],[DTI band]])</f>
        <v>122</v>
      </c>
      <c r="AI266" s="2" t="str" cm="1">
        <f t="array" ref="AI266">_xlfn.IFS(Table1[[#This Row],[ltv_ratio]] &lt; 0.6, "less than 0.6 -less risky", Table1[[#This Row],[ltv_ratio]]  &lt;= 0.8, "0.6 - 0.8 -medium risky",Table1[[#This Row],[ltv_ratio]] &gt; 0.8, "greater than 0.8 -highly risky")</f>
        <v>less than 0.6 -less risky</v>
      </c>
      <c r="AJ266" s="2">
        <f>COUNTIF(Table1[LTV band],Table1[[#This Row],[LTV band]])</f>
        <v>57</v>
      </c>
      <c r="AK266" s="2">
        <f>COUNTIFS(Table1[count_loan_perband],Table1[[#This Row],[count_loan_perband]],Table1[default_flag],1)/COUNTIF(Table1[count_loan_perband],Table1[[#This Row],[count_loan_perband]])</f>
        <v>0</v>
      </c>
      <c r="AL266" s="2" t="str" cm="1">
        <f t="array" ref="AL266">_xlfn.IFS(Table1[[#This Row],[loan_amount]] &lt; 900000, "lower size (&lt; 9L)", Table1[[#This Row],[loan_amount]] &lt;=3300000, "medium size (&lt;=33L)", Table1[[#This Row],[loan_amount]] &gt; 3300000, "larger size (&gt; 33L)")</f>
        <v>lower size (&lt; 9L)</v>
      </c>
      <c r="AM266" s="2">
        <f>IF(Table1[[#This Row],[dpd]] &gt;=30,1,0)</f>
        <v>0</v>
      </c>
      <c r="AN266" s="2">
        <f>COUNTIFS(Table1[Loan size],Table1[[#This Row],[Loan size]],Table1[dpd flag],1)/COUNTIF(Table1[Loan size],Table1[[#This Row],[Loan size]])</f>
        <v>0.13934426229508196</v>
      </c>
      <c r="AO266" s="2" t="str">
        <f>IF(OR(Table1[[#This Row],[credit_score]] &lt; 600, Table1[ [#This Row],[dti_ratio] ] &gt; 0.5, Table1[[#This Row],[dpd]] &gt;=30), "high risk", " not riskY")</f>
        <v xml:space="preserve"> not riskY</v>
      </c>
      <c r="AP266" s="26">
        <f>EOMONTH(Table1[[#This Row],[origination_date]],0)</f>
        <v>45808</v>
      </c>
      <c r="AQ266" s="2">
        <f>SUMIFS(Table1[loan_amount],Table1[origination month],Table1[[#This Row],[origination month]])</f>
        <v>36698200</v>
      </c>
      <c r="AR266" s="2">
        <f>AVERAGEIFS(Table1[months_on_book],Table1[product],Table1[[#This Row],[product]])</f>
        <v>21.092024539877301</v>
      </c>
      <c r="AS266" s="2" t="str">
        <f ca="1">IF(EDATE(Table1[[#This Row],[origination_date]],6) &gt;= TODAY(), "New Loan", "Old Loan")</f>
        <v>Old Loan</v>
      </c>
      <c r="AT266" s="2" t="str">
        <f>"Q"&amp;ROUNDUP(MONTH(Table1[[#This Row],[origination_date]])/3,0)&amp;YEAR(Table1[[#This Row],[origination_date]])</f>
        <v>Q22025</v>
      </c>
      <c r="AU266" s="2">
        <f>SUMIFS(Table1[loan_amount],Table1[quarter],Table1[[#This Row],[quarter]])</f>
        <v>80205600</v>
      </c>
      <c r="AV266" s="34" t="str">
        <f>_xlfn.TEXTJOIN("|",TRUE,Table1[[#This Row],[loan_id]:[loan_status]])</f>
        <v>L30937666|C6871897|45795|Personal Loan|Call Center|North|Salaried|72|473300|16.13|10301|790926|742|B|0.23|0.55|0|7|72786|418327|0|0|0|Active</v>
      </c>
      <c r="AW266" s="42">
        <f>YEAR(Loan_Table[ [#This Row],[origination_date] ])</f>
        <v>2022</v>
      </c>
    </row>
    <row r="267" spans="2:49" ht="18" customHeight="1">
      <c r="B267" s="5" t="s">
        <v>654</v>
      </c>
      <c r="C267" s="2" t="s">
        <v>655</v>
      </c>
      <c r="D267" s="3">
        <v>45812</v>
      </c>
      <c r="E267" s="2" t="s">
        <v>163</v>
      </c>
      <c r="F267" s="2" t="s">
        <v>159</v>
      </c>
      <c r="G267" s="2" t="s">
        <v>139</v>
      </c>
      <c r="H267" s="2" t="s">
        <v>134</v>
      </c>
      <c r="I267" s="2">
        <v>12</v>
      </c>
      <c r="J267" s="2">
        <v>1171800</v>
      </c>
      <c r="K267" s="2">
        <v>10.58</v>
      </c>
      <c r="L267" s="2">
        <v>103336</v>
      </c>
      <c r="M267" s="2">
        <v>1400822</v>
      </c>
      <c r="N267" s="2">
        <v>717</v>
      </c>
      <c r="O267" s="2" t="s">
        <v>135</v>
      </c>
      <c r="P267" s="2">
        <v>0.23</v>
      </c>
      <c r="Q267" s="2">
        <v>0.59</v>
      </c>
      <c r="R267" s="2">
        <v>1983500</v>
      </c>
      <c r="S267" s="2">
        <v>6</v>
      </c>
      <c r="T267" s="2">
        <v>578881</v>
      </c>
      <c r="U267" s="2">
        <v>617714</v>
      </c>
      <c r="V267" s="2">
        <v>45</v>
      </c>
      <c r="W267" s="2">
        <v>0</v>
      </c>
      <c r="X267" s="2">
        <v>0</v>
      </c>
      <c r="Y267" s="2" t="s">
        <v>136</v>
      </c>
      <c r="Z267" s="12">
        <f>SUMIF(Table1[product],Table1[[#This Row],[product]],Table1[loan_amount])</f>
        <v>92273000</v>
      </c>
      <c r="AA267" s="15">
        <f>SUMIF(Table1[region],Table1[[#This Row],[region]],Table1[current_balance])</f>
        <v>83903255</v>
      </c>
      <c r="AB267" s="2">
        <f>COUNTIF(Table1[loan_status],Table1[[#This Row],[loan_status]])</f>
        <v>47</v>
      </c>
      <c r="AC267" s="2">
        <f>COUNTIF(Table1[default_flag],1)/ROWS(Table1[loan_id])</f>
        <v>2.5999999999999999E-2</v>
      </c>
      <c r="AD267" s="2">
        <f>COUNTIFS(Table1[region],Table1[[#This Row],[region]],Table1[default_flag],1)/COUNTIF(Table1[region],Table1[[#This Row],[region]])</f>
        <v>4.2553191489361701E-2</v>
      </c>
      <c r="AE267" s="2">
        <f>COUNTIFS(Table1[channel],Table1[[#This Row],[channel]],Table1[prepayment_flag],1)/COUNTIF(Table1[channel],Table1[[#This Row],[channel]])</f>
        <v>0.1</v>
      </c>
      <c r="AF267" s="2">
        <f>AVERAGEIFS(Table1[interest_rate_pct],Table1[product],Table1[[#This Row],[product]],Table1[risk_band],Table1[[#This Row],[risk_band]])</f>
        <v>10.611923076923079</v>
      </c>
      <c r="AG267" s="2" t="str" cm="1">
        <f t="array" ref="AG267">_xlfn.IFS(Table1[[#This Row],[dti_ratio]] &lt; 0.2, " less than 0.2", Table1[[#This Row],[dti_ratio]] &lt; 0.3, "0.2 - 0.3", Table1[[#This Row],[dti_ratio]] &lt;= 0.5, "0.35 - 0.5", Table1[[#This Row],[dti_ratio]] &gt; 0.5, "greater than 0.5")</f>
        <v>0.2 - 0.3</v>
      </c>
      <c r="AH267" s="2">
        <f>COUNTIF(Table1[DTI band],Table1[[#This Row],[DTI band]])</f>
        <v>122</v>
      </c>
      <c r="AI267" s="2" t="str" cm="1">
        <f t="array" ref="AI267">_xlfn.IFS(Table1[[#This Row],[ltv_ratio]] &lt; 0.6, "less than 0.6 -less risky", Table1[[#This Row],[ltv_ratio]]  &lt;= 0.8, "0.6 - 0.8 -medium risky",Table1[[#This Row],[ltv_ratio]] &gt; 0.8, "greater than 0.8 -highly risky")</f>
        <v>less than 0.6 -less risky</v>
      </c>
      <c r="AJ267" s="2">
        <f>COUNTIF(Table1[LTV band],Table1[[#This Row],[LTV band]])</f>
        <v>57</v>
      </c>
      <c r="AK267" s="2">
        <f>COUNTIFS(Table1[count_loan_perband],Table1[[#This Row],[count_loan_perband]],Table1[default_flag],1)/COUNTIF(Table1[count_loan_perband],Table1[[#This Row],[count_loan_perband]])</f>
        <v>0</v>
      </c>
      <c r="AL267" s="2" t="str" cm="1">
        <f t="array" ref="AL267">_xlfn.IFS(Table1[[#This Row],[loan_amount]] &lt; 900000, "lower size (&lt; 9L)", Table1[[#This Row],[loan_amount]] &lt;=3300000, "medium size (&lt;=33L)", Table1[[#This Row],[loan_amount]] &gt; 3300000, "larger size (&gt; 33L)")</f>
        <v>medium size (&lt;=33L)</v>
      </c>
      <c r="AM267" s="2">
        <f>IF(Table1[[#This Row],[dpd]] &gt;=30,1,0)</f>
        <v>1</v>
      </c>
      <c r="AN267" s="2">
        <f>COUNTIFS(Table1[Loan size],Table1[[#This Row],[Loan size]],Table1[dpd flag],1)/COUNTIF(Table1[Loan size],Table1[[#This Row],[Loan size]])</f>
        <v>0.15909090909090909</v>
      </c>
      <c r="AO267" s="2" t="str">
        <f>IF(OR(Table1[[#This Row],[credit_score]] &lt; 600, Table1[ [#This Row],[dti_ratio] ] &gt; 0.5, Table1[[#This Row],[dpd]] &gt;=30), "high risk", " not riskY")</f>
        <v>high risk</v>
      </c>
      <c r="AP267" s="26">
        <f>EOMONTH(Table1[[#This Row],[origination_date]],0)</f>
        <v>45838</v>
      </c>
      <c r="AQ267" s="2">
        <f>SUMIFS(Table1[loan_amount],Table1[origination month],Table1[[#This Row],[origination month]])</f>
        <v>25448100</v>
      </c>
      <c r="AR267" s="2">
        <f>AVERAGEIFS(Table1[months_on_book],Table1[product],Table1[[#This Row],[product]])</f>
        <v>20.262135922330096</v>
      </c>
      <c r="AS267" s="2" t="str">
        <f ca="1">IF(EDATE(Table1[[#This Row],[origination_date]],6) &gt;= TODAY(), "New Loan", "Old Loan")</f>
        <v>Old Loan</v>
      </c>
      <c r="AT267" s="2" t="str">
        <f>"Q"&amp;ROUNDUP(MONTH(Table1[[#This Row],[origination_date]])/3,0)&amp;YEAR(Table1[[#This Row],[origination_date]])</f>
        <v>Q22025</v>
      </c>
      <c r="AU267" s="2">
        <f>SUMIFS(Table1[loan_amount],Table1[quarter],Table1[[#This Row],[quarter]])</f>
        <v>80205600</v>
      </c>
      <c r="AV267" s="34" t="str">
        <f>_xlfn.TEXTJOIN("|",TRUE,Table1[[#This Row],[loan_id]:[loan_status]])</f>
        <v>L22950775|C2558150|45812|Auto Loan|Partner|West|Salaried|12|1171800|10.58|103336|1400822|717|B|0.23|0.59|1983500|6|578881|617714|45|0|0|Delinquent</v>
      </c>
      <c r="AW267" s="42">
        <f>YEAR(Loan_Table[ [#This Row],[origination_date] ])</f>
        <v>2022</v>
      </c>
    </row>
    <row r="268" spans="2:49" ht="18" customHeight="1">
      <c r="B268" s="5" t="s">
        <v>656</v>
      </c>
      <c r="C268" s="2" t="s">
        <v>657</v>
      </c>
      <c r="D268" s="3">
        <v>45780</v>
      </c>
      <c r="E268" s="2" t="s">
        <v>158</v>
      </c>
      <c r="F268" s="2" t="s">
        <v>159</v>
      </c>
      <c r="G268" s="2" t="s">
        <v>145</v>
      </c>
      <c r="H268" s="2" t="s">
        <v>134</v>
      </c>
      <c r="I268" s="2">
        <v>60</v>
      </c>
      <c r="J268" s="2">
        <v>2283600</v>
      </c>
      <c r="K268" s="2">
        <v>11.46</v>
      </c>
      <c r="L268" s="2">
        <v>50176</v>
      </c>
      <c r="M268" s="2">
        <v>480309</v>
      </c>
      <c r="N268" s="2">
        <v>722</v>
      </c>
      <c r="O268" s="2" t="s">
        <v>135</v>
      </c>
      <c r="P268" s="2">
        <v>0.2</v>
      </c>
      <c r="Q268" s="2">
        <v>0.73</v>
      </c>
      <c r="R268" s="2">
        <v>3116300</v>
      </c>
      <c r="S268" s="2">
        <v>7</v>
      </c>
      <c r="T268" s="2">
        <v>301210</v>
      </c>
      <c r="U268" s="2">
        <v>2043453</v>
      </c>
      <c r="V268" s="2">
        <v>0</v>
      </c>
      <c r="W268" s="2">
        <v>0</v>
      </c>
      <c r="X268" s="2">
        <v>0</v>
      </c>
      <c r="Y268" s="2" t="s">
        <v>148</v>
      </c>
      <c r="Z268" s="12">
        <f>SUMIF(Table1[product],Table1[[#This Row],[product]],Table1[loan_amount])</f>
        <v>201475100</v>
      </c>
      <c r="AA268" s="15">
        <f>SUMIF(Table1[region],Table1[[#This Row],[region]],Table1[current_balance])</f>
        <v>98928695</v>
      </c>
      <c r="AB268" s="2">
        <f>COUNTIF(Table1[loan_status],Table1[[#This Row],[loan_status]])</f>
        <v>301</v>
      </c>
      <c r="AC268" s="2">
        <f>COUNTIF(Table1[default_flag],1)/ROWS(Table1[loan_id])</f>
        <v>2.5999999999999999E-2</v>
      </c>
      <c r="AD268" s="2">
        <f>COUNTIFS(Table1[region],Table1[[#This Row],[region]],Table1[default_flag],1)/COUNTIF(Table1[region],Table1[[#This Row],[region]])</f>
        <v>2.8571428571428571E-2</v>
      </c>
      <c r="AE268" s="2">
        <f>COUNTIFS(Table1[channel],Table1[[#This Row],[channel]],Table1[prepayment_flag],1)/COUNTIF(Table1[channel],Table1[[#This Row],[channel]])</f>
        <v>0.1</v>
      </c>
      <c r="AF268" s="2">
        <f>AVERAGEIFS(Table1[interest_rate_pct],Table1[product],Table1[[#This Row],[product]],Table1[risk_band],Table1[[#This Row],[risk_band]])</f>
        <v>13.042631578947367</v>
      </c>
      <c r="AG268" s="2" t="str" cm="1">
        <f t="array" ref="AG268">_xlfn.IFS(Table1[[#This Row],[dti_ratio]] &lt; 0.2, " less than 0.2", Table1[[#This Row],[dti_ratio]] &lt; 0.3, "0.2 - 0.3", Table1[[#This Row],[dti_ratio]] &lt;= 0.5, "0.35 - 0.5", Table1[[#This Row],[dti_ratio]] &gt; 0.5, "greater than 0.5")</f>
        <v>0.2 - 0.3</v>
      </c>
      <c r="AH268" s="2">
        <f>COUNTIF(Table1[DTI band],Table1[[#This Row],[DTI band]])</f>
        <v>122</v>
      </c>
      <c r="AI268" s="2" t="str" cm="1">
        <f t="array" ref="AI268">_xlfn.IFS(Table1[[#This Row],[ltv_ratio]] &lt; 0.6, "less than 0.6 -less risky", Table1[[#This Row],[ltv_ratio]]  &lt;= 0.8, "0.6 - 0.8 -medium risky",Table1[[#This Row],[ltv_ratio]] &gt; 0.8, "greater than 0.8 -highly risky")</f>
        <v>0.6 - 0.8 -medium risky</v>
      </c>
      <c r="AJ268" s="2">
        <f>COUNTIF(Table1[LTV band],Table1[[#This Row],[LTV band]])</f>
        <v>302</v>
      </c>
      <c r="AK268" s="2">
        <f>COUNTIFS(Table1[count_loan_perband],Table1[[#This Row],[count_loan_perband]],Table1[default_flag],1)/COUNTIF(Table1[count_loan_perband],Table1[[#This Row],[count_loan_perband]])</f>
        <v>3.6423841059602648E-2</v>
      </c>
      <c r="AL268" s="2" t="str" cm="1">
        <f t="array" ref="AL268">_xlfn.IFS(Table1[[#This Row],[loan_amount]] &lt; 900000, "lower size (&lt; 9L)", Table1[[#This Row],[loan_amount]] &lt;=3300000, "medium size (&lt;=33L)", Table1[[#This Row],[loan_amount]] &gt; 3300000, "larger size (&gt; 33L)")</f>
        <v>medium size (&lt;=33L)</v>
      </c>
      <c r="AM268" s="2">
        <f>IF(Table1[[#This Row],[dpd]] &gt;=30,1,0)</f>
        <v>0</v>
      </c>
      <c r="AN268" s="2">
        <f>COUNTIFS(Table1[Loan size],Table1[[#This Row],[Loan size]],Table1[dpd flag],1)/COUNTIF(Table1[Loan size],Table1[[#This Row],[Loan size]])</f>
        <v>0.15909090909090909</v>
      </c>
      <c r="AO268" s="2" t="str">
        <f>IF(OR(Table1[[#This Row],[credit_score]] &lt; 600, Table1[ [#This Row],[dti_ratio] ] &gt; 0.5, Table1[[#This Row],[dpd]] &gt;=30), "high risk", " not riskY")</f>
        <v xml:space="preserve"> not riskY</v>
      </c>
      <c r="AP268" s="26">
        <f>EOMONTH(Table1[[#This Row],[origination_date]],0)</f>
        <v>45808</v>
      </c>
      <c r="AQ268" s="2">
        <f>SUMIFS(Table1[loan_amount],Table1[origination month],Table1[[#This Row],[origination month]])</f>
        <v>36698200</v>
      </c>
      <c r="AR268" s="2">
        <f>AVERAGEIFS(Table1[months_on_book],Table1[product],Table1[[#This Row],[product]])</f>
        <v>19.091954022988507</v>
      </c>
      <c r="AS268" s="2" t="str">
        <f ca="1">IF(EDATE(Table1[[#This Row],[origination_date]],6) &gt;= TODAY(), "New Loan", "Old Loan")</f>
        <v>Old Loan</v>
      </c>
      <c r="AT268" s="2" t="str">
        <f>"Q"&amp;ROUNDUP(MONTH(Table1[[#This Row],[origination_date]])/3,0)&amp;YEAR(Table1[[#This Row],[origination_date]])</f>
        <v>Q22025</v>
      </c>
      <c r="AU268" s="2">
        <f>SUMIFS(Table1[loan_amount],Table1[quarter],Table1[[#This Row],[quarter]])</f>
        <v>80205600</v>
      </c>
      <c r="AV268" s="34" t="str">
        <f>_xlfn.TEXTJOIN("|",TRUE,Table1[[#This Row],[loan_id]:[loan_status]])</f>
        <v>L10585992|C9542284|45780|SME Loan|Partner|Central|Salaried|60|2283600|11.46|50176|480309|722|B|0.2|0.73|3116300|7|301210|2043453|0|0|0|Active</v>
      </c>
      <c r="AW268" s="42">
        <f>YEAR(Loan_Table[ [#This Row],[origination_date] ])</f>
        <v>2022</v>
      </c>
    </row>
    <row r="269" spans="2:49" ht="18" customHeight="1">
      <c r="B269" s="5" t="s">
        <v>658</v>
      </c>
      <c r="C269" s="2" t="s">
        <v>659</v>
      </c>
      <c r="D269" s="3">
        <v>45793</v>
      </c>
      <c r="E269" s="2" t="s">
        <v>177</v>
      </c>
      <c r="F269" s="2" t="s">
        <v>159</v>
      </c>
      <c r="G269" s="2" t="s">
        <v>145</v>
      </c>
      <c r="H269" s="2" t="s">
        <v>134</v>
      </c>
      <c r="I269" s="2">
        <v>180</v>
      </c>
      <c r="J269" s="2">
        <v>942800</v>
      </c>
      <c r="K269" s="2">
        <v>11.68</v>
      </c>
      <c r="L269" s="2">
        <v>11122</v>
      </c>
      <c r="M269" s="2">
        <v>625810</v>
      </c>
      <c r="N269" s="2">
        <v>704</v>
      </c>
      <c r="O269" s="2" t="s">
        <v>135</v>
      </c>
      <c r="P269" s="2">
        <v>0.18</v>
      </c>
      <c r="Q269" s="2">
        <v>0.69</v>
      </c>
      <c r="R269" s="2">
        <v>0</v>
      </c>
      <c r="S269" s="2">
        <v>7</v>
      </c>
      <c r="T269" s="2">
        <v>73450</v>
      </c>
      <c r="U269" s="2">
        <v>895044</v>
      </c>
      <c r="V269" s="2">
        <v>5</v>
      </c>
      <c r="W269" s="2">
        <v>1</v>
      </c>
      <c r="X269" s="2">
        <v>0</v>
      </c>
      <c r="Y269" s="2" t="s">
        <v>141</v>
      </c>
      <c r="Z269" s="12">
        <f>SUMIF(Table1[product],Table1[[#This Row],[product]],Table1[loan_amount])</f>
        <v>62765800</v>
      </c>
      <c r="AA269" s="15">
        <f>SUMIF(Table1[region],Table1[[#This Row],[region]],Table1[current_balance])</f>
        <v>98928695</v>
      </c>
      <c r="AB269" s="2">
        <f>COUNTIF(Table1[loan_status],Table1[[#This Row],[loan_status]])</f>
        <v>139</v>
      </c>
      <c r="AC269" s="2">
        <f>COUNTIF(Table1[default_flag],1)/ROWS(Table1[loan_id])</f>
        <v>2.5999999999999999E-2</v>
      </c>
      <c r="AD269" s="2">
        <f>COUNTIFS(Table1[region],Table1[[#This Row],[region]],Table1[default_flag],1)/COUNTIF(Table1[region],Table1[[#This Row],[region]])</f>
        <v>2.8571428571428571E-2</v>
      </c>
      <c r="AE269" s="2">
        <f>COUNTIFS(Table1[channel],Table1[[#This Row],[channel]],Table1[prepayment_flag],1)/COUNTIF(Table1[channel],Table1[[#This Row],[channel]])</f>
        <v>0.1</v>
      </c>
      <c r="AF269" s="2">
        <f>AVERAGEIFS(Table1[interest_rate_pct],Table1[product],Table1[[#This Row],[product]],Table1[risk_band],Table1[[#This Row],[risk_band]])</f>
        <v>10.832666666666663</v>
      </c>
      <c r="AG269" s="2" t="str" cm="1">
        <f t="array" ref="AG269">_xlfn.IFS(Table1[[#This Row],[dti_ratio]] &lt; 0.2, " less than 0.2", Table1[[#This Row],[dti_ratio]] &lt; 0.3, "0.2 - 0.3", Table1[[#This Row],[dti_ratio]] &lt;= 0.5, "0.35 - 0.5", Table1[[#This Row],[dti_ratio]] &gt; 0.5, "greater than 0.5")</f>
        <v xml:space="preserve"> less than 0.2</v>
      </c>
      <c r="AH269" s="2">
        <f>COUNTIF(Table1[DTI band],Table1[[#This Row],[DTI band]])</f>
        <v>86</v>
      </c>
      <c r="AI269" s="2" t="str" cm="1">
        <f t="array" ref="AI269">_xlfn.IFS(Table1[[#This Row],[ltv_ratio]] &lt; 0.6, "less than 0.6 -less risky", Table1[[#This Row],[ltv_ratio]]  &lt;= 0.8, "0.6 - 0.8 -medium risky",Table1[[#This Row],[ltv_ratio]] &gt; 0.8, "greater than 0.8 -highly risky")</f>
        <v>0.6 - 0.8 -medium risky</v>
      </c>
      <c r="AJ269" s="2">
        <f>COUNTIF(Table1[LTV band],Table1[[#This Row],[LTV band]])</f>
        <v>302</v>
      </c>
      <c r="AK269" s="2">
        <f>COUNTIFS(Table1[count_loan_perband],Table1[[#This Row],[count_loan_perband]],Table1[default_flag],1)/COUNTIF(Table1[count_loan_perband],Table1[[#This Row],[count_loan_perband]])</f>
        <v>3.6423841059602648E-2</v>
      </c>
      <c r="AL269" s="2" t="str" cm="1">
        <f t="array" ref="AL269">_xlfn.IFS(Table1[[#This Row],[loan_amount]] &lt; 900000, "lower size (&lt; 9L)", Table1[[#This Row],[loan_amount]] &lt;=3300000, "medium size (&lt;=33L)", Table1[[#This Row],[loan_amount]] &gt; 3300000, "larger size (&gt; 33L)")</f>
        <v>medium size (&lt;=33L)</v>
      </c>
      <c r="AM269" s="2">
        <f>IF(Table1[[#This Row],[dpd]] &gt;=30,1,0)</f>
        <v>0</v>
      </c>
      <c r="AN269" s="2">
        <f>COUNTIFS(Table1[Loan size],Table1[[#This Row],[Loan size]],Table1[dpd flag],1)/COUNTIF(Table1[Loan size],Table1[[#This Row],[Loan size]])</f>
        <v>0.15909090909090909</v>
      </c>
      <c r="AO269" s="2" t="str">
        <f>IF(OR(Table1[[#This Row],[credit_score]] &lt; 600, Table1[ [#This Row],[dti_ratio] ] &gt; 0.5, Table1[[#This Row],[dpd]] &gt;=30), "high risk", " not riskY")</f>
        <v xml:space="preserve"> not riskY</v>
      </c>
      <c r="AP269" s="26">
        <f>EOMONTH(Table1[[#This Row],[origination_date]],0)</f>
        <v>45808</v>
      </c>
      <c r="AQ269" s="2">
        <f>SUMIFS(Table1[loan_amount],Table1[origination month],Table1[[#This Row],[origination month]])</f>
        <v>36698200</v>
      </c>
      <c r="AR269" s="2">
        <f>AVERAGEIFS(Table1[months_on_book],Table1[product],Table1[[#This Row],[product]])</f>
        <v>21.962962962962962</v>
      </c>
      <c r="AS269" s="2" t="str">
        <f ca="1">IF(EDATE(Table1[[#This Row],[origination_date]],6) &gt;= TODAY(), "New Loan", "Old Loan")</f>
        <v>Old Loan</v>
      </c>
      <c r="AT269" s="2" t="str">
        <f>"Q"&amp;ROUNDUP(MONTH(Table1[[#This Row],[origination_date]])/3,0)&amp;YEAR(Table1[[#This Row],[origination_date]])</f>
        <v>Q22025</v>
      </c>
      <c r="AU269" s="2">
        <f>SUMIFS(Table1[loan_amount],Table1[quarter],Table1[[#This Row],[quarter]])</f>
        <v>80205600</v>
      </c>
      <c r="AV269" s="34" t="str">
        <f>_xlfn.TEXTJOIN("|",TRUE,Table1[[#This Row],[loan_id]:[loan_status]])</f>
        <v>L36688168|C3290336|45793|Education Loan|Partner|Central|Salaried|180|942800|11.68|11122|625810|704|B|0.18|0.69|0|7|73450|895044|5|1|0|Closed</v>
      </c>
      <c r="AW269" s="42">
        <f>YEAR(Loan_Table[ [#This Row],[origination_date] ])</f>
        <v>2022</v>
      </c>
    </row>
    <row r="270" spans="2:49" ht="18" customHeight="1">
      <c r="B270" s="5" t="s">
        <v>660</v>
      </c>
      <c r="C270" s="2" t="s">
        <v>661</v>
      </c>
      <c r="D270" s="3">
        <v>45782</v>
      </c>
      <c r="E270" s="2" t="s">
        <v>169</v>
      </c>
      <c r="F270" s="2" t="s">
        <v>144</v>
      </c>
      <c r="G270" s="2" t="s">
        <v>170</v>
      </c>
      <c r="H270" s="2" t="s">
        <v>134</v>
      </c>
      <c r="I270" s="2">
        <v>60</v>
      </c>
      <c r="J270" s="2">
        <v>6299700</v>
      </c>
      <c r="K270" s="2">
        <v>7</v>
      </c>
      <c r="L270" s="2">
        <v>124742</v>
      </c>
      <c r="M270" s="2">
        <v>1016040</v>
      </c>
      <c r="N270" s="2">
        <v>797</v>
      </c>
      <c r="O270" s="2" t="s">
        <v>160</v>
      </c>
      <c r="P270" s="2">
        <v>0.17</v>
      </c>
      <c r="Q270" s="2">
        <v>0.89</v>
      </c>
      <c r="R270" s="2">
        <v>7116000</v>
      </c>
      <c r="S270" s="2">
        <v>7</v>
      </c>
      <c r="T270" s="2">
        <v>818466</v>
      </c>
      <c r="U270" s="2">
        <v>5584129</v>
      </c>
      <c r="V270" s="2">
        <v>0</v>
      </c>
      <c r="W270" s="2">
        <v>0</v>
      </c>
      <c r="X270" s="2">
        <v>0</v>
      </c>
      <c r="Y270" s="2" t="s">
        <v>148</v>
      </c>
      <c r="Z270" s="12">
        <f>SUMIF(Table1[product],Table1[[#This Row],[product]],Table1[loan_amount])</f>
        <v>403369500</v>
      </c>
      <c r="AA270" s="15">
        <f>SUMIF(Table1[region],Table1[[#This Row],[region]],Table1[current_balance])</f>
        <v>83297251</v>
      </c>
      <c r="AB270" s="2">
        <f>COUNTIF(Table1[loan_status],Table1[[#This Row],[loan_status]])</f>
        <v>301</v>
      </c>
      <c r="AC270" s="2">
        <f>COUNTIF(Table1[default_flag],1)/ROWS(Table1[loan_id])</f>
        <v>2.5999999999999999E-2</v>
      </c>
      <c r="AD270" s="2">
        <f>COUNTIFS(Table1[region],Table1[[#This Row],[region]],Table1[default_flag],1)/COUNTIF(Table1[region],Table1[[#This Row],[region]])</f>
        <v>3.1914893617021274E-2</v>
      </c>
      <c r="AE270" s="2">
        <f>COUNTIFS(Table1[channel],Table1[[#This Row],[channel]],Table1[prepayment_flag],1)/COUNTIF(Table1[channel],Table1[[#This Row],[channel]])</f>
        <v>5.8201058201058198E-2</v>
      </c>
      <c r="AF270" s="2">
        <f>AVERAGEIFS(Table1[interest_rate_pct],Table1[product],Table1[[#This Row],[product]],Table1[risk_band],Table1[[#This Row],[risk_band]])</f>
        <v>7.1876190476190471</v>
      </c>
      <c r="AG270" s="2" t="str" cm="1">
        <f t="array" ref="AG270">_xlfn.IFS(Table1[[#This Row],[dti_ratio]] &lt; 0.2, " less than 0.2", Table1[[#This Row],[dti_ratio]] &lt; 0.3, "0.2 - 0.3", Table1[[#This Row],[dti_ratio]] &lt;= 0.5, "0.35 - 0.5", Table1[[#This Row],[dti_ratio]] &gt; 0.5, "greater than 0.5")</f>
        <v xml:space="preserve"> less than 0.2</v>
      </c>
      <c r="AH270" s="2">
        <f>COUNTIF(Table1[DTI band],Table1[[#This Row],[DTI band]])</f>
        <v>86</v>
      </c>
      <c r="AI270" s="2" t="str" cm="1">
        <f t="array" ref="AI270">_xlfn.IFS(Table1[[#This Row],[ltv_ratio]] &lt; 0.6, "less than 0.6 -less risky", Table1[[#This Row],[ltv_ratio]]  &lt;= 0.8, "0.6 - 0.8 -medium risky",Table1[[#This Row],[ltv_ratio]] &gt; 0.8, "greater than 0.8 -highly risky")</f>
        <v>greater than 0.8 -highly risky</v>
      </c>
      <c r="AJ270" s="2">
        <f>COUNTIF(Table1[LTV band],Table1[[#This Row],[LTV band]])</f>
        <v>141</v>
      </c>
      <c r="AK270" s="2">
        <f>COUNTIFS(Table1[count_loan_perband],Table1[[#This Row],[count_loan_perband]],Table1[default_flag],1)/COUNTIF(Table1[count_loan_perband],Table1[[#This Row],[count_loan_perband]])</f>
        <v>1.4184397163120567E-2</v>
      </c>
      <c r="AL270" s="2" t="str" cm="1">
        <f t="array" ref="AL270">_xlfn.IFS(Table1[[#This Row],[loan_amount]] &lt; 900000, "lower size (&lt; 9L)", Table1[[#This Row],[loan_amount]] &lt;=3300000, "medium size (&lt;=33L)", Table1[[#This Row],[loan_amount]] &gt; 3300000, "larger size (&gt; 33L)")</f>
        <v>larger size (&gt; 33L)</v>
      </c>
      <c r="AM270" s="2">
        <f>IF(Table1[[#This Row],[dpd]] &gt;=30,1,0)</f>
        <v>0</v>
      </c>
      <c r="AN270" s="2">
        <f>COUNTIFS(Table1[Loan size],Table1[[#This Row],[Loan size]],Table1[dpd flag],1)/COUNTIF(Table1[Loan size],Table1[[#This Row],[Loan size]])</f>
        <v>0.16250000000000001</v>
      </c>
      <c r="AO270" s="2" t="str">
        <f>IF(OR(Table1[[#This Row],[credit_score]] &lt; 600, Table1[ [#This Row],[dti_ratio] ] &gt; 0.5, Table1[[#This Row],[dpd]] &gt;=30), "high risk", " not riskY")</f>
        <v xml:space="preserve"> not riskY</v>
      </c>
      <c r="AP270" s="26">
        <f>EOMONTH(Table1[[#This Row],[origination_date]],0)</f>
        <v>45808</v>
      </c>
      <c r="AQ270" s="2">
        <f>SUMIFS(Table1[loan_amount],Table1[origination month],Table1[[#This Row],[origination month]])</f>
        <v>36698200</v>
      </c>
      <c r="AR270" s="2">
        <f>AVERAGEIFS(Table1[months_on_book],Table1[product],Table1[[#This Row],[product]])</f>
        <v>20.516129032258064</v>
      </c>
      <c r="AS270" s="2" t="str">
        <f ca="1">IF(EDATE(Table1[[#This Row],[origination_date]],6) &gt;= TODAY(), "New Loan", "Old Loan")</f>
        <v>Old Loan</v>
      </c>
      <c r="AT270" s="2" t="str">
        <f>"Q"&amp;ROUNDUP(MONTH(Table1[[#This Row],[origination_date]])/3,0)&amp;YEAR(Table1[[#This Row],[origination_date]])</f>
        <v>Q22025</v>
      </c>
      <c r="AU270" s="2">
        <f>SUMIFS(Table1[loan_amount],Table1[quarter],Table1[[#This Row],[quarter]])</f>
        <v>80205600</v>
      </c>
      <c r="AV270" s="34" t="str">
        <f>_xlfn.TEXTJOIN("|",TRUE,Table1[[#This Row],[loan_id]:[loan_status]])</f>
        <v>L20698682|C3555175|45782|Home Loan|Branch|East|Salaried|60|6299700|7|124742|1016040|797|A|0.17|0.89|7116000|7|818466|5584129|0|0|0|Active</v>
      </c>
      <c r="AW270" s="42">
        <f>YEAR(Loan_Table[ [#This Row],[origination_date] ])</f>
        <v>2022</v>
      </c>
    </row>
    <row r="271" spans="2:49" ht="18" customHeight="1">
      <c r="B271" s="5" t="s">
        <v>662</v>
      </c>
      <c r="C271" s="2" t="s">
        <v>663</v>
      </c>
      <c r="D271" s="3">
        <v>45777</v>
      </c>
      <c r="E271" s="2" t="s">
        <v>131</v>
      </c>
      <c r="F271" s="2" t="s">
        <v>144</v>
      </c>
      <c r="G271" s="2" t="s">
        <v>133</v>
      </c>
      <c r="H271" s="2" t="s">
        <v>134</v>
      </c>
      <c r="I271" s="2">
        <v>84</v>
      </c>
      <c r="J271" s="2">
        <v>577000</v>
      </c>
      <c r="K271" s="2">
        <v>23</v>
      </c>
      <c r="L271" s="2">
        <v>13875</v>
      </c>
      <c r="M271" s="2">
        <v>712719</v>
      </c>
      <c r="N271" s="2">
        <v>614</v>
      </c>
      <c r="O271" s="2" t="s">
        <v>147</v>
      </c>
      <c r="P271" s="2">
        <v>0.13</v>
      </c>
      <c r="Q271" s="2">
        <v>0.65</v>
      </c>
      <c r="R271" s="2">
        <v>0</v>
      </c>
      <c r="S271" s="2">
        <v>8</v>
      </c>
      <c r="T271" s="2">
        <v>103727</v>
      </c>
      <c r="U271" s="2">
        <v>508662</v>
      </c>
      <c r="V271" s="2">
        <v>0</v>
      </c>
      <c r="W271" s="2">
        <v>0</v>
      </c>
      <c r="X271" s="2">
        <v>0</v>
      </c>
      <c r="Y271" s="2" t="s">
        <v>148</v>
      </c>
      <c r="Z271" s="12">
        <f>SUMIF(Table1[product],Table1[[#This Row],[product]],Table1[loan_amount])</f>
        <v>74897600</v>
      </c>
      <c r="AA271" s="15">
        <f>SUMIF(Table1[region],Table1[[#This Row],[region]],Table1[current_balance])</f>
        <v>94548000</v>
      </c>
      <c r="AB271" s="2">
        <f>COUNTIF(Table1[loan_status],Table1[[#This Row],[loan_status]])</f>
        <v>301</v>
      </c>
      <c r="AC271" s="2">
        <f>COUNTIF(Table1[default_flag],1)/ROWS(Table1[loan_id])</f>
        <v>2.5999999999999999E-2</v>
      </c>
      <c r="AD271" s="2">
        <f>COUNTIFS(Table1[region],Table1[[#This Row],[region]],Table1[default_flag],1)/COUNTIF(Table1[region],Table1[[#This Row],[region]])</f>
        <v>0</v>
      </c>
      <c r="AE271" s="2">
        <f>COUNTIFS(Table1[channel],Table1[[#This Row],[channel]],Table1[prepayment_flag],1)/COUNTIF(Table1[channel],Table1[[#This Row],[channel]])</f>
        <v>5.8201058201058198E-2</v>
      </c>
      <c r="AF271" s="2">
        <f>AVERAGEIFS(Table1[interest_rate_pct],Table1[product],Table1[[#This Row],[product]],Table1[risk_band],Table1[[#This Row],[risk_band]])</f>
        <v>20.962592592592593</v>
      </c>
      <c r="AG271" s="2" t="str" cm="1">
        <f t="array" ref="AG271">_xlfn.IFS(Table1[[#This Row],[dti_ratio]] &lt; 0.2, " less than 0.2", Table1[[#This Row],[dti_ratio]] &lt; 0.3, "0.2 - 0.3", Table1[[#This Row],[dti_ratio]] &lt;= 0.5, "0.35 - 0.5", Table1[[#This Row],[dti_ratio]] &gt; 0.5, "greater than 0.5")</f>
        <v xml:space="preserve"> less than 0.2</v>
      </c>
      <c r="AH271" s="2">
        <f>COUNTIF(Table1[DTI band],Table1[[#This Row],[DTI band]])</f>
        <v>86</v>
      </c>
      <c r="AI271" s="2" t="str" cm="1">
        <f t="array" ref="AI271">_xlfn.IFS(Table1[[#This Row],[ltv_ratio]] &lt; 0.6, "less than 0.6 -less risky", Table1[[#This Row],[ltv_ratio]]  &lt;= 0.8, "0.6 - 0.8 -medium risky",Table1[[#This Row],[ltv_ratio]] &gt; 0.8, "greater than 0.8 -highly risky")</f>
        <v>0.6 - 0.8 -medium risky</v>
      </c>
      <c r="AJ271" s="2">
        <f>COUNTIF(Table1[LTV band],Table1[[#This Row],[LTV band]])</f>
        <v>302</v>
      </c>
      <c r="AK271" s="2">
        <f>COUNTIFS(Table1[count_loan_perband],Table1[[#This Row],[count_loan_perband]],Table1[default_flag],1)/COUNTIF(Table1[count_loan_perband],Table1[[#This Row],[count_loan_perband]])</f>
        <v>3.6423841059602648E-2</v>
      </c>
      <c r="AL271" s="2" t="str" cm="1">
        <f t="array" ref="AL271">_xlfn.IFS(Table1[[#This Row],[loan_amount]] &lt; 900000, "lower size (&lt; 9L)", Table1[[#This Row],[loan_amount]] &lt;=3300000, "medium size (&lt;=33L)", Table1[[#This Row],[loan_amount]] &gt; 3300000, "larger size (&gt; 33L)")</f>
        <v>lower size (&lt; 9L)</v>
      </c>
      <c r="AM271" s="2">
        <f>IF(Table1[[#This Row],[dpd]] &gt;=30,1,0)</f>
        <v>0</v>
      </c>
      <c r="AN271" s="2">
        <f>COUNTIFS(Table1[Loan size],Table1[[#This Row],[Loan size]],Table1[dpd flag],1)/COUNTIF(Table1[Loan size],Table1[[#This Row],[Loan size]])</f>
        <v>0.13934426229508196</v>
      </c>
      <c r="AO271" s="2" t="str">
        <f>IF(OR(Table1[[#This Row],[credit_score]] &lt; 600, Table1[ [#This Row],[dti_ratio] ] &gt; 0.5, Table1[[#This Row],[dpd]] &gt;=30), "high risk", " not riskY")</f>
        <v xml:space="preserve"> not riskY</v>
      </c>
      <c r="AP271" s="26">
        <f>EOMONTH(Table1[[#This Row],[origination_date]],0)</f>
        <v>45777</v>
      </c>
      <c r="AQ271" s="2">
        <f>SUMIFS(Table1[loan_amount],Table1[origination month],Table1[[#This Row],[origination month]])</f>
        <v>18059300</v>
      </c>
      <c r="AR271" s="2">
        <f>AVERAGEIFS(Table1[months_on_book],Table1[product],Table1[[#This Row],[product]])</f>
        <v>21.092024539877301</v>
      </c>
      <c r="AS271" s="2" t="str">
        <f ca="1">IF(EDATE(Table1[[#This Row],[origination_date]],6) &gt;= TODAY(), "New Loan", "Old Loan")</f>
        <v>Old Loan</v>
      </c>
      <c r="AT271" s="2" t="str">
        <f>"Q"&amp;ROUNDUP(MONTH(Table1[[#This Row],[origination_date]])/3,0)&amp;YEAR(Table1[[#This Row],[origination_date]])</f>
        <v>Q22025</v>
      </c>
      <c r="AU271" s="2">
        <f>SUMIFS(Table1[loan_amount],Table1[quarter],Table1[[#This Row],[quarter]])</f>
        <v>80205600</v>
      </c>
      <c r="AV271" s="34" t="str">
        <f>_xlfn.TEXTJOIN("|",TRUE,Table1[[#This Row],[loan_id]:[loan_status]])</f>
        <v>L68911436|C5779148|45777|Personal Loan|Branch|South|Salaried|84|577000|23|13875|712719|614|D|0.13|0.65|0|8|103727|508662|0|0|0|Active</v>
      </c>
      <c r="AW271" s="42">
        <f>YEAR(Loan_Table[ [#This Row],[origination_date] ])</f>
        <v>2022</v>
      </c>
    </row>
    <row r="272" spans="2:49" ht="18" customHeight="1">
      <c r="B272" s="5" t="s">
        <v>664</v>
      </c>
      <c r="C272" s="2" t="s">
        <v>665</v>
      </c>
      <c r="D272" s="3">
        <v>45757</v>
      </c>
      <c r="E272" s="2" t="s">
        <v>169</v>
      </c>
      <c r="F272" s="2" t="s">
        <v>132</v>
      </c>
      <c r="G272" s="2" t="s">
        <v>133</v>
      </c>
      <c r="H272" s="2" t="s">
        <v>152</v>
      </c>
      <c r="I272" s="2">
        <v>24</v>
      </c>
      <c r="J272" s="2">
        <v>3040400</v>
      </c>
      <c r="K272" s="2">
        <v>13.74</v>
      </c>
      <c r="L272" s="2">
        <v>145605</v>
      </c>
      <c r="M272" s="2">
        <v>269832</v>
      </c>
      <c r="N272" s="2">
        <v>640</v>
      </c>
      <c r="O272" s="2" t="s">
        <v>147</v>
      </c>
      <c r="P272" s="2">
        <v>0.13</v>
      </c>
      <c r="Q272" s="2">
        <v>0.54</v>
      </c>
      <c r="R272" s="2">
        <v>5635800</v>
      </c>
      <c r="S272" s="2">
        <v>8</v>
      </c>
      <c r="T272" s="2">
        <v>1122023</v>
      </c>
      <c r="U272" s="2">
        <v>2029777</v>
      </c>
      <c r="V272" s="2">
        <v>60</v>
      </c>
      <c r="W272" s="2">
        <v>0</v>
      </c>
      <c r="X272" s="2">
        <v>0</v>
      </c>
      <c r="Y272" s="2" t="s">
        <v>136</v>
      </c>
      <c r="Z272" s="12">
        <f>SUMIF(Table1[product],Table1[[#This Row],[product]],Table1[loan_amount])</f>
        <v>403369500</v>
      </c>
      <c r="AA272" s="15">
        <f>SUMIF(Table1[region],Table1[[#This Row],[region]],Table1[current_balance])</f>
        <v>94548000</v>
      </c>
      <c r="AB272" s="2">
        <f>COUNTIF(Table1[loan_status],Table1[[#This Row],[loan_status]])</f>
        <v>47</v>
      </c>
      <c r="AC272" s="2">
        <f>COUNTIF(Table1[default_flag],1)/ROWS(Table1[loan_id])</f>
        <v>2.5999999999999999E-2</v>
      </c>
      <c r="AD272" s="2">
        <f>COUNTIFS(Table1[region],Table1[[#This Row],[region]],Table1[default_flag],1)/COUNTIF(Table1[region],Table1[[#This Row],[region]])</f>
        <v>0</v>
      </c>
      <c r="AE272" s="2">
        <f>COUNTIFS(Table1[channel],Table1[[#This Row],[channel]],Table1[prepayment_flag],1)/COUNTIF(Table1[channel],Table1[[#This Row],[channel]])</f>
        <v>7.1090047393364927E-2</v>
      </c>
      <c r="AF272" s="2">
        <f>AVERAGEIFS(Table1[interest_rate_pct],Table1[product],Table1[[#This Row],[product]],Table1[risk_band],Table1[[#This Row],[risk_band]])</f>
        <v>13.406874999999999</v>
      </c>
      <c r="AG272" s="2" t="str" cm="1">
        <f t="array" ref="AG272">_xlfn.IFS(Table1[[#This Row],[dti_ratio]] &lt; 0.2, " less than 0.2", Table1[[#This Row],[dti_ratio]] &lt; 0.3, "0.2 - 0.3", Table1[[#This Row],[dti_ratio]] &lt;= 0.5, "0.35 - 0.5", Table1[[#This Row],[dti_ratio]] &gt; 0.5, "greater than 0.5")</f>
        <v xml:space="preserve"> less than 0.2</v>
      </c>
      <c r="AH272" s="2">
        <f>COUNTIF(Table1[DTI band],Table1[[#This Row],[DTI band]])</f>
        <v>86</v>
      </c>
      <c r="AI272" s="2" t="str" cm="1">
        <f t="array" ref="AI272">_xlfn.IFS(Table1[[#This Row],[ltv_ratio]] &lt; 0.6, "less than 0.6 -less risky", Table1[[#This Row],[ltv_ratio]]  &lt;= 0.8, "0.6 - 0.8 -medium risky",Table1[[#This Row],[ltv_ratio]] &gt; 0.8, "greater than 0.8 -highly risky")</f>
        <v>less than 0.6 -less risky</v>
      </c>
      <c r="AJ272" s="2">
        <f>COUNTIF(Table1[LTV band],Table1[[#This Row],[LTV band]])</f>
        <v>57</v>
      </c>
      <c r="AK272" s="2">
        <f>COUNTIFS(Table1[count_loan_perband],Table1[[#This Row],[count_loan_perband]],Table1[default_flag],1)/COUNTIF(Table1[count_loan_perband],Table1[[#This Row],[count_loan_perband]])</f>
        <v>0</v>
      </c>
      <c r="AL272" s="2" t="str" cm="1">
        <f t="array" ref="AL272">_xlfn.IFS(Table1[[#This Row],[loan_amount]] &lt; 900000, "lower size (&lt; 9L)", Table1[[#This Row],[loan_amount]] &lt;=3300000, "medium size (&lt;=33L)", Table1[[#This Row],[loan_amount]] &gt; 3300000, "larger size (&gt; 33L)")</f>
        <v>medium size (&lt;=33L)</v>
      </c>
      <c r="AM272" s="2">
        <f>IF(Table1[[#This Row],[dpd]] &gt;=30,1,0)</f>
        <v>1</v>
      </c>
      <c r="AN272" s="2">
        <f>COUNTIFS(Table1[Loan size],Table1[[#This Row],[Loan size]],Table1[dpd flag],1)/COUNTIF(Table1[Loan size],Table1[[#This Row],[Loan size]])</f>
        <v>0.15909090909090909</v>
      </c>
      <c r="AO272" s="2" t="str">
        <f>IF(OR(Table1[[#This Row],[credit_score]] &lt; 600, Table1[ [#This Row],[dti_ratio] ] &gt; 0.5, Table1[[#This Row],[dpd]] &gt;=30), "high risk", " not riskY")</f>
        <v>high risk</v>
      </c>
      <c r="AP272" s="26">
        <f>EOMONTH(Table1[[#This Row],[origination_date]],0)</f>
        <v>45777</v>
      </c>
      <c r="AQ272" s="2">
        <f>SUMIFS(Table1[loan_amount],Table1[origination month],Table1[[#This Row],[origination month]])</f>
        <v>18059300</v>
      </c>
      <c r="AR272" s="2">
        <f>AVERAGEIFS(Table1[months_on_book],Table1[product],Table1[[#This Row],[product]])</f>
        <v>20.516129032258064</v>
      </c>
      <c r="AS272" s="2" t="str">
        <f ca="1">IF(EDATE(Table1[[#This Row],[origination_date]],6) &gt;= TODAY(), "New Loan", "Old Loan")</f>
        <v>Old Loan</v>
      </c>
      <c r="AT272" s="2" t="str">
        <f>"Q"&amp;ROUNDUP(MONTH(Table1[[#This Row],[origination_date]])/3,0)&amp;YEAR(Table1[[#This Row],[origination_date]])</f>
        <v>Q22025</v>
      </c>
      <c r="AU272" s="2">
        <f>SUMIFS(Table1[loan_amount],Table1[quarter],Table1[[#This Row],[quarter]])</f>
        <v>80205600</v>
      </c>
      <c r="AV272" s="34" t="str">
        <f>_xlfn.TEXTJOIN("|",TRUE,Table1[[#This Row],[loan_id]:[loan_status]])</f>
        <v>L60804990|C1915047|45757|Home Loan|Online|South|Self-Employed|24|3040400|13.74|145605|269832|640|D|0.13|0.54|5635800|8|1122023|2029777|60|0|0|Delinquent</v>
      </c>
      <c r="AW272" s="42">
        <f>YEAR(Loan_Table[ [#This Row],[origination_date] ])</f>
        <v>2022</v>
      </c>
    </row>
    <row r="273" spans="2:49" ht="18" customHeight="1">
      <c r="B273" s="5" t="s">
        <v>666</v>
      </c>
      <c r="C273" s="2" t="s">
        <v>667</v>
      </c>
      <c r="D273" s="3">
        <v>45774</v>
      </c>
      <c r="E273" s="2" t="s">
        <v>177</v>
      </c>
      <c r="F273" s="2" t="s">
        <v>144</v>
      </c>
      <c r="G273" s="2" t="s">
        <v>151</v>
      </c>
      <c r="H273" s="2" t="s">
        <v>152</v>
      </c>
      <c r="I273" s="2">
        <v>120</v>
      </c>
      <c r="J273" s="2">
        <v>901100</v>
      </c>
      <c r="K273" s="2">
        <v>10.54</v>
      </c>
      <c r="L273" s="2">
        <v>12179</v>
      </c>
      <c r="M273" s="2">
        <v>552504</v>
      </c>
      <c r="N273" s="2">
        <v>739</v>
      </c>
      <c r="O273" s="2" t="s">
        <v>135</v>
      </c>
      <c r="P273" s="2">
        <v>0.12</v>
      </c>
      <c r="Q273" s="2">
        <v>0.43</v>
      </c>
      <c r="R273" s="2">
        <v>0</v>
      </c>
      <c r="S273" s="2">
        <v>8</v>
      </c>
      <c r="T273" s="2">
        <v>85746</v>
      </c>
      <c r="U273" s="2">
        <v>840681</v>
      </c>
      <c r="V273" s="2">
        <v>0</v>
      </c>
      <c r="W273" s="2">
        <v>0</v>
      </c>
      <c r="X273" s="2">
        <v>0</v>
      </c>
      <c r="Y273" s="2" t="s">
        <v>148</v>
      </c>
      <c r="Z273" s="12">
        <f>SUMIF(Table1[product],Table1[[#This Row],[product]],Table1[loan_amount])</f>
        <v>62765800</v>
      </c>
      <c r="AA273" s="15">
        <f>SUMIF(Table1[region],Table1[[#This Row],[region]],Table1[current_balance])</f>
        <v>105779369</v>
      </c>
      <c r="AB273" s="2">
        <f>COUNTIF(Table1[loan_status],Table1[[#This Row],[loan_status]])</f>
        <v>301</v>
      </c>
      <c r="AC273" s="2">
        <f>COUNTIF(Table1[default_flag],1)/ROWS(Table1[loan_id])</f>
        <v>2.5999999999999999E-2</v>
      </c>
      <c r="AD273" s="2">
        <f>COUNTIFS(Table1[region],Table1[[#This Row],[region]],Table1[default_flag],1)/COUNTIF(Table1[region],Table1[[#This Row],[region]])</f>
        <v>2.6548672566371681E-2</v>
      </c>
      <c r="AE273" s="2">
        <f>COUNTIFS(Table1[channel],Table1[[#This Row],[channel]],Table1[prepayment_flag],1)/COUNTIF(Table1[channel],Table1[[#This Row],[channel]])</f>
        <v>5.8201058201058198E-2</v>
      </c>
      <c r="AF273" s="2">
        <f>AVERAGEIFS(Table1[interest_rate_pct],Table1[product],Table1[[#This Row],[product]],Table1[risk_band],Table1[[#This Row],[risk_band]])</f>
        <v>10.832666666666663</v>
      </c>
      <c r="AG273" s="2" t="str" cm="1">
        <f t="array" ref="AG273">_xlfn.IFS(Table1[[#This Row],[dti_ratio]] &lt; 0.2, " less than 0.2", Table1[[#This Row],[dti_ratio]] &lt; 0.3, "0.2 - 0.3", Table1[[#This Row],[dti_ratio]] &lt;= 0.5, "0.35 - 0.5", Table1[[#This Row],[dti_ratio]] &gt; 0.5, "greater than 0.5")</f>
        <v xml:space="preserve"> less than 0.2</v>
      </c>
      <c r="AH273" s="2">
        <f>COUNTIF(Table1[DTI band],Table1[[#This Row],[DTI band]])</f>
        <v>86</v>
      </c>
      <c r="AI273" s="2" t="str" cm="1">
        <f t="array" ref="AI273">_xlfn.IFS(Table1[[#This Row],[ltv_ratio]] &lt; 0.6, "less than 0.6 -less risky", Table1[[#This Row],[ltv_ratio]]  &lt;= 0.8, "0.6 - 0.8 -medium risky",Table1[[#This Row],[ltv_ratio]] &gt; 0.8, "greater than 0.8 -highly risky")</f>
        <v>less than 0.6 -less risky</v>
      </c>
      <c r="AJ273" s="2">
        <f>COUNTIF(Table1[LTV band],Table1[[#This Row],[LTV band]])</f>
        <v>57</v>
      </c>
      <c r="AK273" s="2">
        <f>COUNTIFS(Table1[count_loan_perband],Table1[[#This Row],[count_loan_perband]],Table1[default_flag],1)/COUNTIF(Table1[count_loan_perband],Table1[[#This Row],[count_loan_perband]])</f>
        <v>0</v>
      </c>
      <c r="AL273" s="2" t="str" cm="1">
        <f t="array" ref="AL273">_xlfn.IFS(Table1[[#This Row],[loan_amount]] &lt; 900000, "lower size (&lt; 9L)", Table1[[#This Row],[loan_amount]] &lt;=3300000, "medium size (&lt;=33L)", Table1[[#This Row],[loan_amount]] &gt; 3300000, "larger size (&gt; 33L)")</f>
        <v>medium size (&lt;=33L)</v>
      </c>
      <c r="AM273" s="2">
        <f>IF(Table1[[#This Row],[dpd]] &gt;=30,1,0)</f>
        <v>0</v>
      </c>
      <c r="AN273" s="2">
        <f>COUNTIFS(Table1[Loan size],Table1[[#This Row],[Loan size]],Table1[dpd flag],1)/COUNTIF(Table1[Loan size],Table1[[#This Row],[Loan size]])</f>
        <v>0.15909090909090909</v>
      </c>
      <c r="AO273" s="2" t="str">
        <f>IF(OR(Table1[[#This Row],[credit_score]] &lt; 600, Table1[ [#This Row],[dti_ratio] ] &gt; 0.5, Table1[[#This Row],[dpd]] &gt;=30), "high risk", " not riskY")</f>
        <v xml:space="preserve"> not riskY</v>
      </c>
      <c r="AP273" s="26">
        <f>EOMONTH(Table1[[#This Row],[origination_date]],0)</f>
        <v>45777</v>
      </c>
      <c r="AQ273" s="2">
        <f>SUMIFS(Table1[loan_amount],Table1[origination month],Table1[[#This Row],[origination month]])</f>
        <v>18059300</v>
      </c>
      <c r="AR273" s="2">
        <f>AVERAGEIFS(Table1[months_on_book],Table1[product],Table1[[#This Row],[product]])</f>
        <v>21.962962962962962</v>
      </c>
      <c r="AS273" s="2" t="str">
        <f ca="1">IF(EDATE(Table1[[#This Row],[origination_date]],6) &gt;= TODAY(), "New Loan", "Old Loan")</f>
        <v>Old Loan</v>
      </c>
      <c r="AT273" s="2" t="str">
        <f>"Q"&amp;ROUNDUP(MONTH(Table1[[#This Row],[origination_date]])/3,0)&amp;YEAR(Table1[[#This Row],[origination_date]])</f>
        <v>Q22025</v>
      </c>
      <c r="AU273" s="2">
        <f>SUMIFS(Table1[loan_amount],Table1[quarter],Table1[[#This Row],[quarter]])</f>
        <v>80205600</v>
      </c>
      <c r="AV273" s="34" t="str">
        <f>_xlfn.TEXTJOIN("|",TRUE,Table1[[#This Row],[loan_id]:[loan_status]])</f>
        <v>L69788218|C1316324|45774|Education Loan|Branch|North|Self-Employed|120|901100|10.54|12179|552504|739|B|0.12|0.43|0|8|85746|840681|0|0|0|Active</v>
      </c>
      <c r="AW273" s="42">
        <f>YEAR(Loan_Table[ [#This Row],[origination_date] ])</f>
        <v>2022</v>
      </c>
    </row>
    <row r="274" spans="2:49" ht="18" customHeight="1">
      <c r="B274" s="5" t="s">
        <v>668</v>
      </c>
      <c r="C274" s="2" t="s">
        <v>669</v>
      </c>
      <c r="D274" s="3">
        <v>45766</v>
      </c>
      <c r="E274" s="2" t="s">
        <v>163</v>
      </c>
      <c r="F274" s="2" t="s">
        <v>132</v>
      </c>
      <c r="G274" s="2" t="s">
        <v>145</v>
      </c>
      <c r="H274" s="2" t="s">
        <v>192</v>
      </c>
      <c r="I274" s="2">
        <v>60</v>
      </c>
      <c r="J274" s="2">
        <v>591800</v>
      </c>
      <c r="K274" s="2">
        <v>13.33</v>
      </c>
      <c r="L274" s="2">
        <v>13565</v>
      </c>
      <c r="M274" s="2">
        <v>1362877</v>
      </c>
      <c r="N274" s="2">
        <v>646</v>
      </c>
      <c r="O274" s="2" t="s">
        <v>147</v>
      </c>
      <c r="P274" s="2">
        <v>0.09</v>
      </c>
      <c r="Q274" s="2">
        <v>0.6</v>
      </c>
      <c r="R274" s="2">
        <v>979400</v>
      </c>
      <c r="S274" s="2">
        <v>8</v>
      </c>
      <c r="T274" s="2">
        <v>92991</v>
      </c>
      <c r="U274" s="2">
        <v>519846</v>
      </c>
      <c r="V274" s="2">
        <v>30</v>
      </c>
      <c r="W274" s="2">
        <v>0</v>
      </c>
      <c r="X274" s="2">
        <v>0</v>
      </c>
      <c r="Y274" s="2" t="s">
        <v>136</v>
      </c>
      <c r="Z274" s="12">
        <f>SUMIF(Table1[product],Table1[[#This Row],[product]],Table1[loan_amount])</f>
        <v>92273000</v>
      </c>
      <c r="AA274" s="15">
        <f>SUMIF(Table1[region],Table1[[#This Row],[region]],Table1[current_balance])</f>
        <v>98928695</v>
      </c>
      <c r="AB274" s="2">
        <f>COUNTIF(Table1[loan_status],Table1[[#This Row],[loan_status]])</f>
        <v>47</v>
      </c>
      <c r="AC274" s="2">
        <f>COUNTIF(Table1[default_flag],1)/ROWS(Table1[loan_id])</f>
        <v>2.5999999999999999E-2</v>
      </c>
      <c r="AD274" s="2">
        <f>COUNTIFS(Table1[region],Table1[[#This Row],[region]],Table1[default_flag],1)/COUNTIF(Table1[region],Table1[[#This Row],[region]])</f>
        <v>2.8571428571428571E-2</v>
      </c>
      <c r="AE274" s="2">
        <f>COUNTIFS(Table1[channel],Table1[[#This Row],[channel]],Table1[prepayment_flag],1)/COUNTIF(Table1[channel],Table1[[#This Row],[channel]])</f>
        <v>7.1090047393364927E-2</v>
      </c>
      <c r="AF274" s="2">
        <f>AVERAGEIFS(Table1[interest_rate_pct],Table1[product],Table1[[#This Row],[product]],Table1[risk_band],Table1[[#This Row],[risk_band]])</f>
        <v>15.092000000000001</v>
      </c>
      <c r="AG274" s="2" t="str" cm="1">
        <f t="array" ref="AG274">_xlfn.IFS(Table1[[#This Row],[dti_ratio]] &lt; 0.2, " less than 0.2", Table1[[#This Row],[dti_ratio]] &lt; 0.3, "0.2 - 0.3", Table1[[#This Row],[dti_ratio]] &lt;= 0.5, "0.35 - 0.5", Table1[[#This Row],[dti_ratio]] &gt; 0.5, "greater than 0.5")</f>
        <v xml:space="preserve"> less than 0.2</v>
      </c>
      <c r="AH274" s="2">
        <f>COUNTIF(Table1[DTI band],Table1[[#This Row],[DTI band]])</f>
        <v>86</v>
      </c>
      <c r="AI274" s="2" t="str" cm="1">
        <f t="array" ref="AI274">_xlfn.IFS(Table1[[#This Row],[ltv_ratio]] &lt; 0.6, "less than 0.6 -less risky", Table1[[#This Row],[ltv_ratio]]  &lt;= 0.8, "0.6 - 0.8 -medium risky",Table1[[#This Row],[ltv_ratio]] &gt; 0.8, "greater than 0.8 -highly risky")</f>
        <v>0.6 - 0.8 -medium risky</v>
      </c>
      <c r="AJ274" s="2">
        <f>COUNTIF(Table1[LTV band],Table1[[#This Row],[LTV band]])</f>
        <v>302</v>
      </c>
      <c r="AK274" s="2">
        <f>COUNTIFS(Table1[count_loan_perband],Table1[[#This Row],[count_loan_perband]],Table1[default_flag],1)/COUNTIF(Table1[count_loan_perband],Table1[[#This Row],[count_loan_perband]])</f>
        <v>3.6423841059602648E-2</v>
      </c>
      <c r="AL274" s="2" t="str" cm="1">
        <f t="array" ref="AL274">_xlfn.IFS(Table1[[#This Row],[loan_amount]] &lt; 900000, "lower size (&lt; 9L)", Table1[[#This Row],[loan_amount]] &lt;=3300000, "medium size (&lt;=33L)", Table1[[#This Row],[loan_amount]] &gt; 3300000, "larger size (&gt; 33L)")</f>
        <v>lower size (&lt; 9L)</v>
      </c>
      <c r="AM274" s="2">
        <f>IF(Table1[[#This Row],[dpd]] &gt;=30,1,0)</f>
        <v>1</v>
      </c>
      <c r="AN274" s="2">
        <f>COUNTIFS(Table1[Loan size],Table1[[#This Row],[Loan size]],Table1[dpd flag],1)/COUNTIF(Table1[Loan size],Table1[[#This Row],[Loan size]])</f>
        <v>0.13934426229508196</v>
      </c>
      <c r="AO274" s="2" t="str">
        <f>IF(OR(Table1[[#This Row],[credit_score]] &lt; 600, Table1[ [#This Row],[dti_ratio] ] &gt; 0.5, Table1[[#This Row],[dpd]] &gt;=30), "high risk", " not riskY")</f>
        <v>high risk</v>
      </c>
      <c r="AP274" s="26">
        <f>EOMONTH(Table1[[#This Row],[origination_date]],0)</f>
        <v>45777</v>
      </c>
      <c r="AQ274" s="2">
        <f>SUMIFS(Table1[loan_amount],Table1[origination month],Table1[[#This Row],[origination month]])</f>
        <v>18059300</v>
      </c>
      <c r="AR274" s="2">
        <f>AVERAGEIFS(Table1[months_on_book],Table1[product],Table1[[#This Row],[product]])</f>
        <v>20.262135922330096</v>
      </c>
      <c r="AS274" s="2" t="str">
        <f ca="1">IF(EDATE(Table1[[#This Row],[origination_date]],6) &gt;= TODAY(), "New Loan", "Old Loan")</f>
        <v>Old Loan</v>
      </c>
      <c r="AT274" s="2" t="str">
        <f>"Q"&amp;ROUNDUP(MONTH(Table1[[#This Row],[origination_date]])/3,0)&amp;YEAR(Table1[[#This Row],[origination_date]])</f>
        <v>Q22025</v>
      </c>
      <c r="AU274" s="2">
        <f>SUMIFS(Table1[loan_amount],Table1[quarter],Table1[[#This Row],[quarter]])</f>
        <v>80205600</v>
      </c>
      <c r="AV274" s="34" t="str">
        <f>_xlfn.TEXTJOIN("|",TRUE,Table1[[#This Row],[loan_id]:[loan_status]])</f>
        <v>L50534734|C8421977|45766|Auto Loan|Online|Central|Unemployed|60|591800|13.33|13565|1362877|646|D|0.09|0.6|979400|8|92991|519846|30|0|0|Delinquent</v>
      </c>
      <c r="AW274" s="42">
        <f>YEAR(Loan_Table[ [#This Row],[origination_date] ])</f>
        <v>2022</v>
      </c>
    </row>
    <row r="275" spans="2:49" ht="18" customHeight="1">
      <c r="B275" s="5" t="s">
        <v>670</v>
      </c>
      <c r="C275" s="2" t="s">
        <v>671</v>
      </c>
      <c r="D275" s="3">
        <v>44828</v>
      </c>
      <c r="E275" s="2" t="s">
        <v>158</v>
      </c>
      <c r="F275" s="2" t="s">
        <v>132</v>
      </c>
      <c r="G275" s="2" t="s">
        <v>139</v>
      </c>
      <c r="H275" s="2" t="s">
        <v>134</v>
      </c>
      <c r="I275" s="2">
        <v>36</v>
      </c>
      <c r="J275" s="2">
        <v>1413400</v>
      </c>
      <c r="K275" s="2">
        <v>15.88</v>
      </c>
      <c r="L275" s="2">
        <v>49607</v>
      </c>
      <c r="M275" s="2">
        <v>698156</v>
      </c>
      <c r="N275" s="2">
        <v>664</v>
      </c>
      <c r="O275" s="2" t="s">
        <v>140</v>
      </c>
      <c r="P275" s="2">
        <v>0.53</v>
      </c>
      <c r="Q275" s="2">
        <v>0.72</v>
      </c>
      <c r="R275" s="2">
        <v>1954800</v>
      </c>
      <c r="S275" s="2">
        <v>36</v>
      </c>
      <c r="T275" s="2">
        <v>1754757</v>
      </c>
      <c r="U275" s="2">
        <v>0</v>
      </c>
      <c r="V275" s="2">
        <v>0</v>
      </c>
      <c r="W275" s="2">
        <v>0</v>
      </c>
      <c r="X275" s="2">
        <v>0</v>
      </c>
      <c r="Y275" s="2" t="s">
        <v>141</v>
      </c>
      <c r="Z275" s="12">
        <f>SUMIF(Table1[product],Table1[[#This Row],[product]],Table1[loan_amount])</f>
        <v>201475100</v>
      </c>
      <c r="AA275" s="15">
        <f>SUMIF(Table1[region],Table1[[#This Row],[region]],Table1[current_balance])</f>
        <v>83903255</v>
      </c>
      <c r="AB275" s="2">
        <f>COUNTIF(Table1[loan_status],Table1[[#This Row],[loan_status]])</f>
        <v>139</v>
      </c>
      <c r="AC275" s="2">
        <f>COUNTIF(Table1[default_flag],1)/ROWS(Table1[loan_id])</f>
        <v>2.5999999999999999E-2</v>
      </c>
      <c r="AD275" s="2">
        <f>COUNTIFS(Table1[region],Table1[[#This Row],[region]],Table1[default_flag],1)/COUNTIF(Table1[region],Table1[[#This Row],[region]])</f>
        <v>4.2553191489361701E-2</v>
      </c>
      <c r="AE275" s="2">
        <f>COUNTIFS(Table1[channel],Table1[[#This Row],[channel]],Table1[prepayment_flag],1)/COUNTIF(Table1[channel],Table1[[#This Row],[channel]])</f>
        <v>7.1090047393364927E-2</v>
      </c>
      <c r="AF275" s="2">
        <f>AVERAGEIFS(Table1[interest_rate_pct],Table1[product],Table1[[#This Row],[product]],Table1[risk_band],Table1[[#This Row],[risk_band]])</f>
        <v>15.841379310344831</v>
      </c>
      <c r="AG275" s="2" t="str" cm="1">
        <f t="array" ref="AG275">_xlfn.IFS(Table1[[#This Row],[dti_ratio]] &lt; 0.2, " less than 0.2", Table1[[#This Row],[dti_ratio]] &lt; 0.3, "0.2 - 0.3", Table1[[#This Row],[dti_ratio]] &lt;= 0.5, "0.35 - 0.5", Table1[[#This Row],[dti_ratio]] &gt; 0.5, "greater than 0.5")</f>
        <v>greater than 0.5</v>
      </c>
      <c r="AH275" s="2">
        <f>COUNTIF(Table1[DTI band],Table1[[#This Row],[DTI band]])</f>
        <v>32</v>
      </c>
      <c r="AI275" s="2" t="str" cm="1">
        <f t="array" ref="AI275">_xlfn.IFS(Table1[[#This Row],[ltv_ratio]] &lt; 0.6, "less than 0.6 -less risky", Table1[[#This Row],[ltv_ratio]]  &lt;= 0.8, "0.6 - 0.8 -medium risky",Table1[[#This Row],[ltv_ratio]] &gt; 0.8, "greater than 0.8 -highly risky")</f>
        <v>0.6 - 0.8 -medium risky</v>
      </c>
      <c r="AJ275" s="2">
        <f>COUNTIF(Table1[LTV band],Table1[[#This Row],[LTV band]])</f>
        <v>302</v>
      </c>
      <c r="AK275" s="2">
        <f>COUNTIFS(Table1[count_loan_perband],Table1[[#This Row],[count_loan_perband]],Table1[default_flag],1)/COUNTIF(Table1[count_loan_perband],Table1[[#This Row],[count_loan_perband]])</f>
        <v>3.6423841059602648E-2</v>
      </c>
      <c r="AL275" s="2" t="str" cm="1">
        <f t="array" ref="AL275">_xlfn.IFS(Table1[[#This Row],[loan_amount]] &lt; 900000, "lower size (&lt; 9L)", Table1[[#This Row],[loan_amount]] &lt;=3300000, "medium size (&lt;=33L)", Table1[[#This Row],[loan_amount]] &gt; 3300000, "larger size (&gt; 33L)")</f>
        <v>medium size (&lt;=33L)</v>
      </c>
      <c r="AM275" s="2">
        <f>IF(Table1[[#This Row],[dpd]] &gt;=30,1,0)</f>
        <v>0</v>
      </c>
      <c r="AN275" s="2">
        <f>COUNTIFS(Table1[Loan size],Table1[[#This Row],[Loan size]],Table1[dpd flag],1)/COUNTIF(Table1[Loan size],Table1[[#This Row],[Loan size]])</f>
        <v>0.15909090909090909</v>
      </c>
      <c r="AO275" s="2" t="str">
        <f>IF(OR(Table1[[#This Row],[credit_score]] &lt; 600, Table1[ [#This Row],[dti_ratio] ] &gt; 0.5, Table1[[#This Row],[dpd]] &gt;=30), "high risk", " not riskY")</f>
        <v>high risk</v>
      </c>
      <c r="AP275" s="26">
        <f>EOMONTH(Table1[[#This Row],[origination_date]],0)</f>
        <v>44834</v>
      </c>
      <c r="AQ275" s="2">
        <f>SUMIFS(Table1[loan_amount],Table1[origination month],Table1[[#This Row],[origination month]])</f>
        <v>15111800</v>
      </c>
      <c r="AR275" s="2">
        <f>AVERAGEIFS(Table1[months_on_book],Table1[product],Table1[[#This Row],[product]])</f>
        <v>19.091954022988507</v>
      </c>
      <c r="AS275" s="2" t="str">
        <f ca="1">IF(EDATE(Table1[[#This Row],[origination_date]],6) &gt;= TODAY(), "New Loan", "Old Loan")</f>
        <v>Old Loan</v>
      </c>
      <c r="AT275" s="2" t="str">
        <f>"Q"&amp;ROUNDUP(MONTH(Table1[[#This Row],[origination_date]])/3,0)&amp;YEAR(Table1[[#This Row],[origination_date]])</f>
        <v>Q32022</v>
      </c>
      <c r="AU275" s="2">
        <f>SUMIFS(Table1[loan_amount],Table1[quarter],Table1[[#This Row],[quarter]])</f>
        <v>29441400</v>
      </c>
      <c r="AV275" s="34" t="str">
        <f>_xlfn.TEXTJOIN("|",TRUE,Table1[[#This Row],[loan_id]:[loan_status]])</f>
        <v>L56355141|C1049260|44828|SME Loan|Online|West|Salaried|36|1413400|15.88|49607|698156|664|C|0.53|0.72|1954800|36|1754757|0|0|0|0|Closed</v>
      </c>
      <c r="AW275" s="42">
        <f>YEAR(Loan_Table[ [#This Row],[origination_date] ])</f>
        <v>2022</v>
      </c>
    </row>
    <row r="276" spans="2:49" ht="18" customHeight="1">
      <c r="B276" s="5" t="s">
        <v>672</v>
      </c>
      <c r="C276" s="2" t="s">
        <v>673</v>
      </c>
      <c r="D276" s="3">
        <v>44777</v>
      </c>
      <c r="E276" s="2" t="s">
        <v>177</v>
      </c>
      <c r="F276" s="2" t="s">
        <v>159</v>
      </c>
      <c r="G276" s="2" t="s">
        <v>139</v>
      </c>
      <c r="H276" s="2" t="s">
        <v>146</v>
      </c>
      <c r="I276" s="2">
        <v>24</v>
      </c>
      <c r="J276" s="2">
        <v>1143200</v>
      </c>
      <c r="K276" s="2">
        <v>11.51</v>
      </c>
      <c r="L276" s="2">
        <v>53553</v>
      </c>
      <c r="M276" s="2">
        <v>1607224</v>
      </c>
      <c r="N276" s="2">
        <v>724</v>
      </c>
      <c r="O276" s="2" t="s">
        <v>135</v>
      </c>
      <c r="P276" s="2">
        <v>0.45</v>
      </c>
      <c r="Q276" s="2">
        <v>0.67</v>
      </c>
      <c r="R276" s="2">
        <v>0</v>
      </c>
      <c r="S276" s="2">
        <v>24</v>
      </c>
      <c r="T276" s="2">
        <v>1145123</v>
      </c>
      <c r="U276" s="2">
        <v>103343</v>
      </c>
      <c r="V276" s="2">
        <v>0</v>
      </c>
      <c r="W276" s="2">
        <v>0</v>
      </c>
      <c r="X276" s="2">
        <v>0</v>
      </c>
      <c r="Y276" s="2" t="s">
        <v>141</v>
      </c>
      <c r="Z276" s="12">
        <f>SUMIF(Table1[product],Table1[[#This Row],[product]],Table1[loan_amount])</f>
        <v>62765800</v>
      </c>
      <c r="AA276" s="15">
        <f>SUMIF(Table1[region],Table1[[#This Row],[region]],Table1[current_balance])</f>
        <v>83903255</v>
      </c>
      <c r="AB276" s="2">
        <f>COUNTIF(Table1[loan_status],Table1[[#This Row],[loan_status]])</f>
        <v>139</v>
      </c>
      <c r="AC276" s="2">
        <f>COUNTIF(Table1[default_flag],1)/ROWS(Table1[loan_id])</f>
        <v>2.5999999999999999E-2</v>
      </c>
      <c r="AD276" s="2">
        <f>COUNTIFS(Table1[region],Table1[[#This Row],[region]],Table1[default_flag],1)/COUNTIF(Table1[region],Table1[[#This Row],[region]])</f>
        <v>4.2553191489361701E-2</v>
      </c>
      <c r="AE276" s="2">
        <f>COUNTIFS(Table1[channel],Table1[[#This Row],[channel]],Table1[prepayment_flag],1)/COUNTIF(Table1[channel],Table1[[#This Row],[channel]])</f>
        <v>0.1</v>
      </c>
      <c r="AF276" s="2">
        <f>AVERAGEIFS(Table1[interest_rate_pct],Table1[product],Table1[[#This Row],[product]],Table1[risk_band],Table1[[#This Row],[risk_band]])</f>
        <v>10.832666666666663</v>
      </c>
      <c r="AG276" s="2" t="str" cm="1">
        <f t="array" ref="AG276">_xlfn.IFS(Table1[[#This Row],[dti_ratio]] &lt; 0.2, " less than 0.2", Table1[[#This Row],[dti_ratio]] &lt; 0.3, "0.2 - 0.3", Table1[[#This Row],[dti_ratio]] &lt;= 0.5, "0.35 - 0.5", Table1[[#This Row],[dti_ratio]] &gt; 0.5, "greater than 0.5")</f>
        <v>0.35 - 0.5</v>
      </c>
      <c r="AH276" s="2">
        <f>COUNTIF(Table1[DTI band],Table1[[#This Row],[DTI band]])</f>
        <v>260</v>
      </c>
      <c r="AI276" s="2" t="str" cm="1">
        <f t="array" ref="AI276">_xlfn.IFS(Table1[[#This Row],[ltv_ratio]] &lt; 0.6, "less than 0.6 -less risky", Table1[[#This Row],[ltv_ratio]]  &lt;= 0.8, "0.6 - 0.8 -medium risky",Table1[[#This Row],[ltv_ratio]] &gt; 0.8, "greater than 0.8 -highly risky")</f>
        <v>0.6 - 0.8 -medium risky</v>
      </c>
      <c r="AJ276" s="2">
        <f>COUNTIF(Table1[LTV band],Table1[[#This Row],[LTV band]])</f>
        <v>302</v>
      </c>
      <c r="AK276" s="2">
        <f>COUNTIFS(Table1[count_loan_perband],Table1[[#This Row],[count_loan_perband]],Table1[default_flag],1)/COUNTIF(Table1[count_loan_perband],Table1[[#This Row],[count_loan_perband]])</f>
        <v>3.6423841059602648E-2</v>
      </c>
      <c r="AL276" s="2" t="str" cm="1">
        <f t="array" ref="AL276">_xlfn.IFS(Table1[[#This Row],[loan_amount]] &lt; 900000, "lower size (&lt; 9L)", Table1[[#This Row],[loan_amount]] &lt;=3300000, "medium size (&lt;=33L)", Table1[[#This Row],[loan_amount]] &gt; 3300000, "larger size (&gt; 33L)")</f>
        <v>medium size (&lt;=33L)</v>
      </c>
      <c r="AM276" s="2">
        <f>IF(Table1[[#This Row],[dpd]] &gt;=30,1,0)</f>
        <v>0</v>
      </c>
      <c r="AN276" s="2">
        <f>COUNTIFS(Table1[Loan size],Table1[[#This Row],[Loan size]],Table1[dpd flag],1)/COUNTIF(Table1[Loan size],Table1[[#This Row],[Loan size]])</f>
        <v>0.15909090909090909</v>
      </c>
      <c r="AO276" s="2" t="str">
        <f>IF(OR(Table1[[#This Row],[credit_score]] &lt; 600, Table1[ [#This Row],[dti_ratio] ] &gt; 0.5, Table1[[#This Row],[dpd]] &gt;=30), "high risk", " not riskY")</f>
        <v xml:space="preserve"> not riskY</v>
      </c>
      <c r="AP276" s="26">
        <f>EOMONTH(Table1[[#This Row],[origination_date]],0)</f>
        <v>44804</v>
      </c>
      <c r="AQ276" s="2">
        <f>SUMIFS(Table1[loan_amount],Table1[origination month],Table1[[#This Row],[origination month]])</f>
        <v>9810900</v>
      </c>
      <c r="AR276" s="2">
        <f>AVERAGEIFS(Table1[months_on_book],Table1[product],Table1[[#This Row],[product]])</f>
        <v>21.962962962962962</v>
      </c>
      <c r="AS276" s="2" t="str">
        <f ca="1">IF(EDATE(Table1[[#This Row],[origination_date]],6) &gt;= TODAY(), "New Loan", "Old Loan")</f>
        <v>Old Loan</v>
      </c>
      <c r="AT276" s="2" t="str">
        <f>"Q"&amp;ROUNDUP(MONTH(Table1[[#This Row],[origination_date]])/3,0)&amp;YEAR(Table1[[#This Row],[origination_date]])</f>
        <v>Q32022</v>
      </c>
      <c r="AU276" s="2">
        <f>SUMIFS(Table1[loan_amount],Table1[quarter],Table1[[#This Row],[quarter]])</f>
        <v>29441400</v>
      </c>
      <c r="AV276" s="34" t="str">
        <f>_xlfn.TEXTJOIN("|",TRUE,Table1[[#This Row],[loan_id]:[loan_status]])</f>
        <v>L82440920|C2210969|44777|Education Loan|Partner|West|Contract|24|1143200|11.51|53553|1607224|724|B|0.45|0.67|0|24|1145123|103343|0|0|0|Closed</v>
      </c>
      <c r="AW276" s="42">
        <f>YEAR(Loan_Table[ [#This Row],[origination_date] ])</f>
        <v>2022</v>
      </c>
    </row>
    <row r="277" spans="2:49" ht="18" customHeight="1">
      <c r="B277" s="5" t="s">
        <v>674</v>
      </c>
      <c r="C277" s="2" t="s">
        <v>675</v>
      </c>
      <c r="D277" s="3">
        <v>44815</v>
      </c>
      <c r="E277" s="2" t="s">
        <v>131</v>
      </c>
      <c r="F277" s="2" t="s">
        <v>132</v>
      </c>
      <c r="G277" s="2" t="s">
        <v>151</v>
      </c>
      <c r="H277" s="2" t="s">
        <v>146</v>
      </c>
      <c r="I277" s="2">
        <v>12</v>
      </c>
      <c r="J277" s="2">
        <v>50000</v>
      </c>
      <c r="K277" s="2">
        <v>16.62</v>
      </c>
      <c r="L277" s="2">
        <v>4551</v>
      </c>
      <c r="M277" s="2">
        <v>1175170</v>
      </c>
      <c r="N277" s="2">
        <v>725</v>
      </c>
      <c r="O277" s="2" t="s">
        <v>135</v>
      </c>
      <c r="P277" s="2">
        <v>0.42</v>
      </c>
      <c r="Q277" s="2">
        <v>0.79</v>
      </c>
      <c r="R277" s="2">
        <v>0</v>
      </c>
      <c r="S277" s="2">
        <v>12</v>
      </c>
      <c r="T277" s="2">
        <v>46430</v>
      </c>
      <c r="U277" s="2">
        <v>6894</v>
      </c>
      <c r="V277" s="2">
        <v>0</v>
      </c>
      <c r="W277" s="2">
        <v>0</v>
      </c>
      <c r="X277" s="2">
        <v>0</v>
      </c>
      <c r="Y277" s="2" t="s">
        <v>141</v>
      </c>
      <c r="Z277" s="12">
        <f>SUMIF(Table1[product],Table1[[#This Row],[product]],Table1[loan_amount])</f>
        <v>74897600</v>
      </c>
      <c r="AA277" s="15">
        <f>SUMIF(Table1[region],Table1[[#This Row],[region]],Table1[current_balance])</f>
        <v>105779369</v>
      </c>
      <c r="AB277" s="2">
        <f>COUNTIF(Table1[loan_status],Table1[[#This Row],[loan_status]])</f>
        <v>139</v>
      </c>
      <c r="AC277" s="2">
        <f>COUNTIF(Table1[default_flag],1)/ROWS(Table1[loan_id])</f>
        <v>2.5999999999999999E-2</v>
      </c>
      <c r="AD277" s="2">
        <f>COUNTIFS(Table1[region],Table1[[#This Row],[region]],Table1[default_flag],1)/COUNTIF(Table1[region],Table1[[#This Row],[region]])</f>
        <v>2.6548672566371681E-2</v>
      </c>
      <c r="AE277" s="2">
        <f>COUNTIFS(Table1[channel],Table1[[#This Row],[channel]],Table1[prepayment_flag],1)/COUNTIF(Table1[channel],Table1[[#This Row],[channel]])</f>
        <v>7.1090047393364927E-2</v>
      </c>
      <c r="AF277" s="2">
        <f>AVERAGEIFS(Table1[interest_rate_pct],Table1[product],Table1[[#This Row],[product]],Table1[risk_band],Table1[[#This Row],[risk_band]])</f>
        <v>16.500166666666669</v>
      </c>
      <c r="AG277" s="2" t="str" cm="1">
        <f t="array" ref="AG277">_xlfn.IFS(Table1[[#This Row],[dti_ratio]] &lt; 0.2, " less than 0.2", Table1[[#This Row],[dti_ratio]] &lt; 0.3, "0.2 - 0.3", Table1[[#This Row],[dti_ratio]] &lt;= 0.5, "0.35 - 0.5", Table1[[#This Row],[dti_ratio]] &gt; 0.5, "greater than 0.5")</f>
        <v>0.35 - 0.5</v>
      </c>
      <c r="AH277" s="2">
        <f>COUNTIF(Table1[DTI band],Table1[[#This Row],[DTI band]])</f>
        <v>260</v>
      </c>
      <c r="AI277" s="2" t="str" cm="1">
        <f t="array" ref="AI277">_xlfn.IFS(Table1[[#This Row],[ltv_ratio]] &lt; 0.6, "less than 0.6 -less risky", Table1[[#This Row],[ltv_ratio]]  &lt;= 0.8, "0.6 - 0.8 -medium risky",Table1[[#This Row],[ltv_ratio]] &gt; 0.8, "greater than 0.8 -highly risky")</f>
        <v>0.6 - 0.8 -medium risky</v>
      </c>
      <c r="AJ277" s="2">
        <f>COUNTIF(Table1[LTV band],Table1[[#This Row],[LTV band]])</f>
        <v>302</v>
      </c>
      <c r="AK277" s="2">
        <f>COUNTIFS(Table1[count_loan_perband],Table1[[#This Row],[count_loan_perband]],Table1[default_flag],1)/COUNTIF(Table1[count_loan_perband],Table1[[#This Row],[count_loan_perband]])</f>
        <v>3.6423841059602648E-2</v>
      </c>
      <c r="AL277" s="2" t="str" cm="1">
        <f t="array" ref="AL277">_xlfn.IFS(Table1[[#This Row],[loan_amount]] &lt; 900000, "lower size (&lt; 9L)", Table1[[#This Row],[loan_amount]] &lt;=3300000, "medium size (&lt;=33L)", Table1[[#This Row],[loan_amount]] &gt; 3300000, "larger size (&gt; 33L)")</f>
        <v>lower size (&lt; 9L)</v>
      </c>
      <c r="AM277" s="2">
        <f>IF(Table1[[#This Row],[dpd]] &gt;=30,1,0)</f>
        <v>0</v>
      </c>
      <c r="AN277" s="2">
        <f>COUNTIFS(Table1[Loan size],Table1[[#This Row],[Loan size]],Table1[dpd flag],1)/COUNTIF(Table1[Loan size],Table1[[#This Row],[Loan size]])</f>
        <v>0.13934426229508196</v>
      </c>
      <c r="AO277" s="2" t="str">
        <f>IF(OR(Table1[[#This Row],[credit_score]] &lt; 600, Table1[ [#This Row],[dti_ratio] ] &gt; 0.5, Table1[[#This Row],[dpd]] &gt;=30), "high risk", " not riskY")</f>
        <v xml:space="preserve"> not riskY</v>
      </c>
      <c r="AP277" s="26">
        <f>EOMONTH(Table1[[#This Row],[origination_date]],0)</f>
        <v>44834</v>
      </c>
      <c r="AQ277" s="2">
        <f>SUMIFS(Table1[loan_amount],Table1[origination month],Table1[[#This Row],[origination month]])</f>
        <v>15111800</v>
      </c>
      <c r="AR277" s="2">
        <f>AVERAGEIFS(Table1[months_on_book],Table1[product],Table1[[#This Row],[product]])</f>
        <v>21.092024539877301</v>
      </c>
      <c r="AS277" s="2" t="str">
        <f ca="1">IF(EDATE(Table1[[#This Row],[origination_date]],6) &gt;= TODAY(), "New Loan", "Old Loan")</f>
        <v>Old Loan</v>
      </c>
      <c r="AT277" s="2" t="str">
        <f>"Q"&amp;ROUNDUP(MONTH(Table1[[#This Row],[origination_date]])/3,0)&amp;YEAR(Table1[[#This Row],[origination_date]])</f>
        <v>Q32022</v>
      </c>
      <c r="AU277" s="2">
        <f>SUMIFS(Table1[loan_amount],Table1[quarter],Table1[[#This Row],[quarter]])</f>
        <v>29441400</v>
      </c>
      <c r="AV277" s="34" t="str">
        <f>_xlfn.TEXTJOIN("|",TRUE,Table1[[#This Row],[loan_id]:[loan_status]])</f>
        <v>L54937628|C5130371|44815|Personal Loan|Online|North|Contract|12|50000|16.62|4551|1175170|725|B|0.42|0.79|0|12|46430|6894|0|0|0|Closed</v>
      </c>
      <c r="AW277" s="42">
        <f>YEAR(Loan_Table[ [#This Row],[origination_date] ])</f>
        <v>2022</v>
      </c>
    </row>
    <row r="278" spans="2:49" ht="18" customHeight="1">
      <c r="B278" s="5" t="s">
        <v>676</v>
      </c>
      <c r="C278" s="2" t="s">
        <v>677</v>
      </c>
      <c r="D278" s="3">
        <v>44765</v>
      </c>
      <c r="E278" s="2" t="s">
        <v>131</v>
      </c>
      <c r="F278" s="2" t="s">
        <v>132</v>
      </c>
      <c r="G278" s="2" t="s">
        <v>145</v>
      </c>
      <c r="H278" s="2" t="s">
        <v>146</v>
      </c>
      <c r="I278" s="2">
        <v>120</v>
      </c>
      <c r="J278" s="2">
        <v>530900</v>
      </c>
      <c r="K278" s="2">
        <v>15.86</v>
      </c>
      <c r="L278" s="2">
        <v>8847</v>
      </c>
      <c r="M278" s="2">
        <v>931555</v>
      </c>
      <c r="N278" s="2">
        <v>733</v>
      </c>
      <c r="O278" s="2" t="s">
        <v>135</v>
      </c>
      <c r="P278" s="2">
        <v>0.41</v>
      </c>
      <c r="Q278" s="2">
        <v>0.87</v>
      </c>
      <c r="R278" s="2">
        <v>0</v>
      </c>
      <c r="S278" s="2">
        <v>41</v>
      </c>
      <c r="T278" s="2">
        <v>342485</v>
      </c>
      <c r="U278" s="2">
        <v>303489</v>
      </c>
      <c r="V278" s="2">
        <v>30</v>
      </c>
      <c r="W278" s="2">
        <v>0</v>
      </c>
      <c r="X278" s="2">
        <v>0</v>
      </c>
      <c r="Y278" s="2" t="s">
        <v>136</v>
      </c>
      <c r="Z278" s="12">
        <f>SUMIF(Table1[product],Table1[[#This Row],[product]],Table1[loan_amount])</f>
        <v>74897600</v>
      </c>
      <c r="AA278" s="15">
        <f>SUMIF(Table1[region],Table1[[#This Row],[region]],Table1[current_balance])</f>
        <v>98928695</v>
      </c>
      <c r="AB278" s="2">
        <f>COUNTIF(Table1[loan_status],Table1[[#This Row],[loan_status]])</f>
        <v>47</v>
      </c>
      <c r="AC278" s="2">
        <f>COUNTIF(Table1[default_flag],1)/ROWS(Table1[loan_id])</f>
        <v>2.5999999999999999E-2</v>
      </c>
      <c r="AD278" s="2">
        <f>COUNTIFS(Table1[region],Table1[[#This Row],[region]],Table1[default_flag],1)/COUNTIF(Table1[region],Table1[[#This Row],[region]])</f>
        <v>2.8571428571428571E-2</v>
      </c>
      <c r="AE278" s="2">
        <f>COUNTIFS(Table1[channel],Table1[[#This Row],[channel]],Table1[prepayment_flag],1)/COUNTIF(Table1[channel],Table1[[#This Row],[channel]])</f>
        <v>7.1090047393364927E-2</v>
      </c>
      <c r="AF278" s="2">
        <f>AVERAGEIFS(Table1[interest_rate_pct],Table1[product],Table1[[#This Row],[product]],Table1[risk_band],Table1[[#This Row],[risk_band]])</f>
        <v>16.500166666666669</v>
      </c>
      <c r="AG278" s="2" t="str" cm="1">
        <f t="array" ref="AG278">_xlfn.IFS(Table1[[#This Row],[dti_ratio]] &lt; 0.2, " less than 0.2", Table1[[#This Row],[dti_ratio]] &lt; 0.3, "0.2 - 0.3", Table1[[#This Row],[dti_ratio]] &lt;= 0.5, "0.35 - 0.5", Table1[[#This Row],[dti_ratio]] &gt; 0.5, "greater than 0.5")</f>
        <v>0.35 - 0.5</v>
      </c>
      <c r="AH278" s="2">
        <f>COUNTIF(Table1[DTI band],Table1[[#This Row],[DTI band]])</f>
        <v>260</v>
      </c>
      <c r="AI278" s="2" t="str" cm="1">
        <f t="array" ref="AI278">_xlfn.IFS(Table1[[#This Row],[ltv_ratio]] &lt; 0.6, "less than 0.6 -less risky", Table1[[#This Row],[ltv_ratio]]  &lt;= 0.8, "0.6 - 0.8 -medium risky",Table1[[#This Row],[ltv_ratio]] &gt; 0.8, "greater than 0.8 -highly risky")</f>
        <v>greater than 0.8 -highly risky</v>
      </c>
      <c r="AJ278" s="2">
        <f>COUNTIF(Table1[LTV band],Table1[[#This Row],[LTV band]])</f>
        <v>141</v>
      </c>
      <c r="AK278" s="2">
        <f>COUNTIFS(Table1[count_loan_perband],Table1[[#This Row],[count_loan_perband]],Table1[default_flag],1)/COUNTIF(Table1[count_loan_perband],Table1[[#This Row],[count_loan_perband]])</f>
        <v>1.4184397163120567E-2</v>
      </c>
      <c r="AL278" s="2" t="str" cm="1">
        <f t="array" ref="AL278">_xlfn.IFS(Table1[[#This Row],[loan_amount]] &lt; 900000, "lower size (&lt; 9L)", Table1[[#This Row],[loan_amount]] &lt;=3300000, "medium size (&lt;=33L)", Table1[[#This Row],[loan_amount]] &gt; 3300000, "larger size (&gt; 33L)")</f>
        <v>lower size (&lt; 9L)</v>
      </c>
      <c r="AM278" s="2">
        <f>IF(Table1[[#This Row],[dpd]] &gt;=30,1,0)</f>
        <v>1</v>
      </c>
      <c r="AN278" s="2">
        <f>COUNTIFS(Table1[Loan size],Table1[[#This Row],[Loan size]],Table1[dpd flag],1)/COUNTIF(Table1[Loan size],Table1[[#This Row],[Loan size]])</f>
        <v>0.13934426229508196</v>
      </c>
      <c r="AO278" s="2" t="str">
        <f>IF(OR(Table1[[#This Row],[credit_score]] &lt; 600, Table1[ [#This Row],[dti_ratio] ] &gt; 0.5, Table1[[#This Row],[dpd]] &gt;=30), "high risk", " not riskY")</f>
        <v>high risk</v>
      </c>
      <c r="AP278" s="26">
        <f>EOMONTH(Table1[[#This Row],[origination_date]],0)</f>
        <v>44773</v>
      </c>
      <c r="AQ278" s="2">
        <f>SUMIFS(Table1[loan_amount],Table1[origination month],Table1[[#This Row],[origination month]])</f>
        <v>4518700</v>
      </c>
      <c r="AR278" s="2">
        <f>AVERAGEIFS(Table1[months_on_book],Table1[product],Table1[[#This Row],[product]])</f>
        <v>21.092024539877301</v>
      </c>
      <c r="AS278" s="2" t="str">
        <f ca="1">IF(EDATE(Table1[[#This Row],[origination_date]],6) &gt;= TODAY(), "New Loan", "Old Loan")</f>
        <v>Old Loan</v>
      </c>
      <c r="AT278" s="2" t="str">
        <f>"Q"&amp;ROUNDUP(MONTH(Table1[[#This Row],[origination_date]])/3,0)&amp;YEAR(Table1[[#This Row],[origination_date]])</f>
        <v>Q32022</v>
      </c>
      <c r="AU278" s="2">
        <f>SUMIFS(Table1[loan_amount],Table1[quarter],Table1[[#This Row],[quarter]])</f>
        <v>29441400</v>
      </c>
      <c r="AV278" s="34" t="str">
        <f>_xlfn.TEXTJOIN("|",TRUE,Table1[[#This Row],[loan_id]:[loan_status]])</f>
        <v>L50154064|C4660453|44765|Personal Loan|Online|Central|Contract|120|530900|15.86|8847|931555|733|B|0.41|0.87|0|41|342485|303489|30|0|0|Delinquent</v>
      </c>
      <c r="AW278" s="42">
        <f>YEAR(Loan_Table[ [#This Row],[origination_date] ])</f>
        <v>2022</v>
      </c>
    </row>
    <row r="279" spans="2:49" ht="18" customHeight="1">
      <c r="B279" s="5" t="s">
        <v>678</v>
      </c>
      <c r="C279" s="2" t="s">
        <v>679</v>
      </c>
      <c r="D279" s="3">
        <v>44830</v>
      </c>
      <c r="E279" s="2" t="s">
        <v>177</v>
      </c>
      <c r="F279" s="2" t="s">
        <v>159</v>
      </c>
      <c r="G279" s="2" t="s">
        <v>170</v>
      </c>
      <c r="H279" s="2" t="s">
        <v>134</v>
      </c>
      <c r="I279" s="2">
        <v>360</v>
      </c>
      <c r="J279" s="2">
        <v>1204100</v>
      </c>
      <c r="K279" s="2">
        <v>15.68</v>
      </c>
      <c r="L279" s="2">
        <v>15882</v>
      </c>
      <c r="M279" s="2">
        <v>1169464</v>
      </c>
      <c r="N279" s="2">
        <v>637</v>
      </c>
      <c r="O279" s="2" t="s">
        <v>147</v>
      </c>
      <c r="P279" s="2">
        <v>0.41</v>
      </c>
      <c r="Q279" s="2">
        <v>0.72</v>
      </c>
      <c r="R279" s="2">
        <v>0</v>
      </c>
      <c r="S279" s="2">
        <v>39</v>
      </c>
      <c r="T279" s="2">
        <v>597866</v>
      </c>
      <c r="U279" s="2">
        <v>851678</v>
      </c>
      <c r="V279" s="2">
        <v>0</v>
      </c>
      <c r="W279" s="2">
        <v>0</v>
      </c>
      <c r="X279" s="2">
        <v>0</v>
      </c>
      <c r="Y279" s="2" t="s">
        <v>148</v>
      </c>
      <c r="Z279" s="12">
        <f>SUMIF(Table1[product],Table1[[#This Row],[product]],Table1[loan_amount])</f>
        <v>62765800</v>
      </c>
      <c r="AA279" s="15">
        <f>SUMIF(Table1[region],Table1[[#This Row],[region]],Table1[current_balance])</f>
        <v>83297251</v>
      </c>
      <c r="AB279" s="2">
        <f>COUNTIF(Table1[loan_status],Table1[[#This Row],[loan_status]])</f>
        <v>301</v>
      </c>
      <c r="AC279" s="2">
        <f>COUNTIF(Table1[default_flag],1)/ROWS(Table1[loan_id])</f>
        <v>2.5999999999999999E-2</v>
      </c>
      <c r="AD279" s="2">
        <f>COUNTIFS(Table1[region],Table1[[#This Row],[region]],Table1[default_flag],1)/COUNTIF(Table1[region],Table1[[#This Row],[region]])</f>
        <v>3.1914893617021274E-2</v>
      </c>
      <c r="AE279" s="2">
        <f>COUNTIFS(Table1[channel],Table1[[#This Row],[channel]],Table1[prepayment_flag],1)/COUNTIF(Table1[channel],Table1[[#This Row],[channel]])</f>
        <v>0.1</v>
      </c>
      <c r="AF279" s="2">
        <f>AVERAGEIFS(Table1[interest_rate_pct],Table1[product],Table1[[#This Row],[product]],Table1[risk_band],Table1[[#This Row],[risk_band]])</f>
        <v>15.810000000000002</v>
      </c>
      <c r="AG279" s="2" t="str" cm="1">
        <f t="array" ref="AG279">_xlfn.IFS(Table1[[#This Row],[dti_ratio]] &lt; 0.2, " less than 0.2", Table1[[#This Row],[dti_ratio]] &lt; 0.3, "0.2 - 0.3", Table1[[#This Row],[dti_ratio]] &lt;= 0.5, "0.35 - 0.5", Table1[[#This Row],[dti_ratio]] &gt; 0.5, "greater than 0.5")</f>
        <v>0.35 - 0.5</v>
      </c>
      <c r="AH279" s="2">
        <f>COUNTIF(Table1[DTI band],Table1[[#This Row],[DTI band]])</f>
        <v>260</v>
      </c>
      <c r="AI279" s="2" t="str" cm="1">
        <f t="array" ref="AI279">_xlfn.IFS(Table1[[#This Row],[ltv_ratio]] &lt; 0.6, "less than 0.6 -less risky", Table1[[#This Row],[ltv_ratio]]  &lt;= 0.8, "0.6 - 0.8 -medium risky",Table1[[#This Row],[ltv_ratio]] &gt; 0.8, "greater than 0.8 -highly risky")</f>
        <v>0.6 - 0.8 -medium risky</v>
      </c>
      <c r="AJ279" s="2">
        <f>COUNTIF(Table1[LTV band],Table1[[#This Row],[LTV band]])</f>
        <v>302</v>
      </c>
      <c r="AK279" s="2">
        <f>COUNTIFS(Table1[count_loan_perband],Table1[[#This Row],[count_loan_perband]],Table1[default_flag],1)/COUNTIF(Table1[count_loan_perband],Table1[[#This Row],[count_loan_perband]])</f>
        <v>3.6423841059602648E-2</v>
      </c>
      <c r="AL279" s="2" t="str" cm="1">
        <f t="array" ref="AL279">_xlfn.IFS(Table1[[#This Row],[loan_amount]] &lt; 900000, "lower size (&lt; 9L)", Table1[[#This Row],[loan_amount]] &lt;=3300000, "medium size (&lt;=33L)", Table1[[#This Row],[loan_amount]] &gt; 3300000, "larger size (&gt; 33L)")</f>
        <v>medium size (&lt;=33L)</v>
      </c>
      <c r="AM279" s="2">
        <f>IF(Table1[[#This Row],[dpd]] &gt;=30,1,0)</f>
        <v>0</v>
      </c>
      <c r="AN279" s="2">
        <f>COUNTIFS(Table1[Loan size],Table1[[#This Row],[Loan size]],Table1[dpd flag],1)/COUNTIF(Table1[Loan size],Table1[[#This Row],[Loan size]])</f>
        <v>0.15909090909090909</v>
      </c>
      <c r="AO279" s="2" t="str">
        <f>IF(OR(Table1[[#This Row],[credit_score]] &lt; 600, Table1[ [#This Row],[dti_ratio] ] &gt; 0.5, Table1[[#This Row],[dpd]] &gt;=30), "high risk", " not riskY")</f>
        <v xml:space="preserve"> not riskY</v>
      </c>
      <c r="AP279" s="26">
        <f>EOMONTH(Table1[[#This Row],[origination_date]],0)</f>
        <v>44834</v>
      </c>
      <c r="AQ279" s="2">
        <f>SUMIFS(Table1[loan_amount],Table1[origination month],Table1[[#This Row],[origination month]])</f>
        <v>15111800</v>
      </c>
      <c r="AR279" s="2">
        <f>AVERAGEIFS(Table1[months_on_book],Table1[product],Table1[[#This Row],[product]])</f>
        <v>21.962962962962962</v>
      </c>
      <c r="AS279" s="2" t="str">
        <f ca="1">IF(EDATE(Table1[[#This Row],[origination_date]],6) &gt;= TODAY(), "New Loan", "Old Loan")</f>
        <v>Old Loan</v>
      </c>
      <c r="AT279" s="2" t="str">
        <f>"Q"&amp;ROUNDUP(MONTH(Table1[[#This Row],[origination_date]])/3,0)&amp;YEAR(Table1[[#This Row],[origination_date]])</f>
        <v>Q32022</v>
      </c>
      <c r="AU279" s="2">
        <f>SUMIFS(Table1[loan_amount],Table1[quarter],Table1[[#This Row],[quarter]])</f>
        <v>29441400</v>
      </c>
      <c r="AV279" s="34" t="str">
        <f>_xlfn.TEXTJOIN("|",TRUE,Table1[[#This Row],[loan_id]:[loan_status]])</f>
        <v>L97763978|C1813966|44830|Education Loan|Partner|East|Salaried|360|1204100|15.68|15882|1169464|637|D|0.41|0.72|0|39|597866|851678|0|0|0|Active</v>
      </c>
      <c r="AW279" s="42">
        <f>YEAR(Loan_Table[ [#This Row],[origination_date] ])</f>
        <v>2022</v>
      </c>
    </row>
    <row r="280" spans="2:49" ht="18" customHeight="1">
      <c r="B280" s="5" t="s">
        <v>680</v>
      </c>
      <c r="C280" s="2" t="s">
        <v>681</v>
      </c>
      <c r="D280" s="3">
        <v>44796</v>
      </c>
      <c r="E280" s="2" t="s">
        <v>177</v>
      </c>
      <c r="F280" s="2" t="s">
        <v>132</v>
      </c>
      <c r="G280" s="2" t="s">
        <v>139</v>
      </c>
      <c r="H280" s="2" t="s">
        <v>146</v>
      </c>
      <c r="I280" s="2">
        <v>72</v>
      </c>
      <c r="J280" s="2">
        <v>761600</v>
      </c>
      <c r="K280" s="2">
        <v>19.420000000000002</v>
      </c>
      <c r="L280" s="2">
        <v>17987</v>
      </c>
      <c r="M280" s="2">
        <v>300984</v>
      </c>
      <c r="N280" s="2">
        <v>557</v>
      </c>
      <c r="O280" s="2" t="s">
        <v>166</v>
      </c>
      <c r="P280" s="2">
        <v>0.4</v>
      </c>
      <c r="Q280" s="2">
        <v>0.74</v>
      </c>
      <c r="R280" s="2">
        <v>0</v>
      </c>
      <c r="S280" s="2">
        <v>40</v>
      </c>
      <c r="T280" s="2">
        <v>673873</v>
      </c>
      <c r="U280" s="2">
        <v>284931</v>
      </c>
      <c r="V280" s="2">
        <v>0</v>
      </c>
      <c r="W280" s="2">
        <v>0</v>
      </c>
      <c r="X280" s="2">
        <v>0</v>
      </c>
      <c r="Y280" s="2" t="s">
        <v>148</v>
      </c>
      <c r="Z280" s="12">
        <f>SUMIF(Table1[product],Table1[[#This Row],[product]],Table1[loan_amount])</f>
        <v>62765800</v>
      </c>
      <c r="AA280" s="15">
        <f>SUMIF(Table1[region],Table1[[#This Row],[region]],Table1[current_balance])</f>
        <v>83903255</v>
      </c>
      <c r="AB280" s="2">
        <f>COUNTIF(Table1[loan_status],Table1[[#This Row],[loan_status]])</f>
        <v>301</v>
      </c>
      <c r="AC280" s="2">
        <f>COUNTIF(Table1[default_flag],1)/ROWS(Table1[loan_id])</f>
        <v>2.5999999999999999E-2</v>
      </c>
      <c r="AD280" s="2">
        <f>COUNTIFS(Table1[region],Table1[[#This Row],[region]],Table1[default_flag],1)/COUNTIF(Table1[region],Table1[[#This Row],[region]])</f>
        <v>4.2553191489361701E-2</v>
      </c>
      <c r="AE280" s="2">
        <f>COUNTIFS(Table1[channel],Table1[[#This Row],[channel]],Table1[prepayment_flag],1)/COUNTIF(Table1[channel],Table1[[#This Row],[channel]])</f>
        <v>7.1090047393364927E-2</v>
      </c>
      <c r="AF280" s="2">
        <f>AVERAGEIFS(Table1[interest_rate_pct],Table1[product],Table1[[#This Row],[product]],Table1[risk_band],Table1[[#This Row],[risk_band]])</f>
        <v>19.806666666666668</v>
      </c>
      <c r="AG280" s="2" t="str" cm="1">
        <f t="array" ref="AG280">_xlfn.IFS(Table1[[#This Row],[dti_ratio]] &lt; 0.2, " less than 0.2", Table1[[#This Row],[dti_ratio]] &lt; 0.3, "0.2 - 0.3", Table1[[#This Row],[dti_ratio]] &lt;= 0.5, "0.35 - 0.5", Table1[[#This Row],[dti_ratio]] &gt; 0.5, "greater than 0.5")</f>
        <v>0.35 - 0.5</v>
      </c>
      <c r="AH280" s="2">
        <f>COUNTIF(Table1[DTI band],Table1[[#This Row],[DTI band]])</f>
        <v>260</v>
      </c>
      <c r="AI280" s="2" t="str" cm="1">
        <f t="array" ref="AI280">_xlfn.IFS(Table1[[#This Row],[ltv_ratio]] &lt; 0.6, "less than 0.6 -less risky", Table1[[#This Row],[ltv_ratio]]  &lt;= 0.8, "0.6 - 0.8 -medium risky",Table1[[#This Row],[ltv_ratio]] &gt; 0.8, "greater than 0.8 -highly risky")</f>
        <v>0.6 - 0.8 -medium risky</v>
      </c>
      <c r="AJ280" s="2">
        <f>COUNTIF(Table1[LTV band],Table1[[#This Row],[LTV band]])</f>
        <v>302</v>
      </c>
      <c r="AK280" s="2">
        <f>COUNTIFS(Table1[count_loan_perband],Table1[[#This Row],[count_loan_perband]],Table1[default_flag],1)/COUNTIF(Table1[count_loan_perband],Table1[[#This Row],[count_loan_perband]])</f>
        <v>3.6423841059602648E-2</v>
      </c>
      <c r="AL280" s="2" t="str" cm="1">
        <f t="array" ref="AL280">_xlfn.IFS(Table1[[#This Row],[loan_amount]] &lt; 900000, "lower size (&lt; 9L)", Table1[[#This Row],[loan_amount]] &lt;=3300000, "medium size (&lt;=33L)", Table1[[#This Row],[loan_amount]] &gt; 3300000, "larger size (&gt; 33L)")</f>
        <v>lower size (&lt; 9L)</v>
      </c>
      <c r="AM280" s="2">
        <f>IF(Table1[[#This Row],[dpd]] &gt;=30,1,0)</f>
        <v>0</v>
      </c>
      <c r="AN280" s="2">
        <f>COUNTIFS(Table1[Loan size],Table1[[#This Row],[Loan size]],Table1[dpd flag],1)/COUNTIF(Table1[Loan size],Table1[[#This Row],[Loan size]])</f>
        <v>0.13934426229508196</v>
      </c>
      <c r="AO280" s="2" t="str">
        <f>IF(OR(Table1[[#This Row],[credit_score]] &lt; 600, Table1[ [#This Row],[dti_ratio] ] &gt; 0.5, Table1[[#This Row],[dpd]] &gt;=30), "high risk", " not riskY")</f>
        <v>high risk</v>
      </c>
      <c r="AP280" s="26">
        <f>EOMONTH(Table1[[#This Row],[origination_date]],0)</f>
        <v>44804</v>
      </c>
      <c r="AQ280" s="2">
        <f>SUMIFS(Table1[loan_amount],Table1[origination month],Table1[[#This Row],[origination month]])</f>
        <v>9810900</v>
      </c>
      <c r="AR280" s="2">
        <f>AVERAGEIFS(Table1[months_on_book],Table1[product],Table1[[#This Row],[product]])</f>
        <v>21.962962962962962</v>
      </c>
      <c r="AS280" s="2" t="str">
        <f ca="1">IF(EDATE(Table1[[#This Row],[origination_date]],6) &gt;= TODAY(), "New Loan", "Old Loan")</f>
        <v>Old Loan</v>
      </c>
      <c r="AT280" s="2" t="str">
        <f>"Q"&amp;ROUNDUP(MONTH(Table1[[#This Row],[origination_date]])/3,0)&amp;YEAR(Table1[[#This Row],[origination_date]])</f>
        <v>Q32022</v>
      </c>
      <c r="AU280" s="2">
        <f>SUMIFS(Table1[loan_amount],Table1[quarter],Table1[[#This Row],[quarter]])</f>
        <v>29441400</v>
      </c>
      <c r="AV280" s="34" t="str">
        <f>_xlfn.TEXTJOIN("|",TRUE,Table1[[#This Row],[loan_id]:[loan_status]])</f>
        <v>L21692935|C4362527|44796|Education Loan|Online|West|Contract|72|761600|19.42|17987|300984|557|E|0.4|0.74|0|40|673873|284931|0|0|0|Active</v>
      </c>
      <c r="AW280" s="42">
        <f>YEAR(Loan_Table[ [#This Row],[origination_date] ])</f>
        <v>2022</v>
      </c>
    </row>
    <row r="281" spans="2:49" ht="18" customHeight="1">
      <c r="B281" s="5" t="s">
        <v>682</v>
      </c>
      <c r="C281" s="2" t="s">
        <v>683</v>
      </c>
      <c r="D281" s="3">
        <v>44820</v>
      </c>
      <c r="E281" s="2" t="s">
        <v>131</v>
      </c>
      <c r="F281" s="2" t="s">
        <v>132</v>
      </c>
      <c r="G281" s="2" t="s">
        <v>170</v>
      </c>
      <c r="H281" s="2" t="s">
        <v>134</v>
      </c>
      <c r="I281" s="2">
        <v>360</v>
      </c>
      <c r="J281" s="2">
        <v>254800</v>
      </c>
      <c r="K281" s="2">
        <v>14.05</v>
      </c>
      <c r="L281" s="2">
        <v>3029</v>
      </c>
      <c r="M281" s="2">
        <v>1074926</v>
      </c>
      <c r="N281" s="2">
        <v>783</v>
      </c>
      <c r="O281" s="2" t="s">
        <v>160</v>
      </c>
      <c r="P281" s="2">
        <v>0.39</v>
      </c>
      <c r="Q281" s="2">
        <v>0.75</v>
      </c>
      <c r="R281" s="2">
        <v>0</v>
      </c>
      <c r="S281" s="2">
        <v>39</v>
      </c>
      <c r="T281" s="2">
        <v>108377</v>
      </c>
      <c r="U281" s="2">
        <v>192962</v>
      </c>
      <c r="V281" s="2">
        <v>0</v>
      </c>
      <c r="W281" s="2">
        <v>0</v>
      </c>
      <c r="X281" s="2">
        <v>0</v>
      </c>
      <c r="Y281" s="2" t="s">
        <v>148</v>
      </c>
      <c r="Z281" s="12">
        <f>SUMIF(Table1[product],Table1[[#This Row],[product]],Table1[loan_amount])</f>
        <v>74897600</v>
      </c>
      <c r="AA281" s="15">
        <f>SUMIF(Table1[region],Table1[[#This Row],[region]],Table1[current_balance])</f>
        <v>83297251</v>
      </c>
      <c r="AB281" s="2">
        <f>COUNTIF(Table1[loan_status],Table1[[#This Row],[loan_status]])</f>
        <v>301</v>
      </c>
      <c r="AC281" s="2">
        <f>COUNTIF(Table1[default_flag],1)/ROWS(Table1[loan_id])</f>
        <v>2.5999999999999999E-2</v>
      </c>
      <c r="AD281" s="2">
        <f>COUNTIFS(Table1[region],Table1[[#This Row],[region]],Table1[default_flag],1)/COUNTIF(Table1[region],Table1[[#This Row],[region]])</f>
        <v>3.1914893617021274E-2</v>
      </c>
      <c r="AE281" s="2">
        <f>COUNTIFS(Table1[channel],Table1[[#This Row],[channel]],Table1[prepayment_flag],1)/COUNTIF(Table1[channel],Table1[[#This Row],[channel]])</f>
        <v>7.1090047393364927E-2</v>
      </c>
      <c r="AF281" s="2">
        <f>AVERAGEIFS(Table1[interest_rate_pct],Table1[product],Table1[[#This Row],[product]],Table1[risk_band],Table1[[#This Row],[risk_band]])</f>
        <v>13.328333333333335</v>
      </c>
      <c r="AG281" s="2" t="str" cm="1">
        <f t="array" ref="AG281">_xlfn.IFS(Table1[[#This Row],[dti_ratio]] &lt; 0.2, " less than 0.2", Table1[[#This Row],[dti_ratio]] &lt; 0.3, "0.2 - 0.3", Table1[[#This Row],[dti_ratio]] &lt;= 0.5, "0.35 - 0.5", Table1[[#This Row],[dti_ratio]] &gt; 0.5, "greater than 0.5")</f>
        <v>0.35 - 0.5</v>
      </c>
      <c r="AH281" s="2">
        <f>COUNTIF(Table1[DTI band],Table1[[#This Row],[DTI band]])</f>
        <v>260</v>
      </c>
      <c r="AI281" s="2" t="str" cm="1">
        <f t="array" ref="AI281">_xlfn.IFS(Table1[[#This Row],[ltv_ratio]] &lt; 0.6, "less than 0.6 -less risky", Table1[[#This Row],[ltv_ratio]]  &lt;= 0.8, "0.6 - 0.8 -medium risky",Table1[[#This Row],[ltv_ratio]] &gt; 0.8, "greater than 0.8 -highly risky")</f>
        <v>0.6 - 0.8 -medium risky</v>
      </c>
      <c r="AJ281" s="2">
        <f>COUNTIF(Table1[LTV band],Table1[[#This Row],[LTV band]])</f>
        <v>302</v>
      </c>
      <c r="AK281" s="2">
        <f>COUNTIFS(Table1[count_loan_perband],Table1[[#This Row],[count_loan_perband]],Table1[default_flag],1)/COUNTIF(Table1[count_loan_perband],Table1[[#This Row],[count_loan_perband]])</f>
        <v>3.6423841059602648E-2</v>
      </c>
      <c r="AL281" s="2" t="str" cm="1">
        <f t="array" ref="AL281">_xlfn.IFS(Table1[[#This Row],[loan_amount]] &lt; 900000, "lower size (&lt; 9L)", Table1[[#This Row],[loan_amount]] &lt;=3300000, "medium size (&lt;=33L)", Table1[[#This Row],[loan_amount]] &gt; 3300000, "larger size (&gt; 33L)")</f>
        <v>lower size (&lt; 9L)</v>
      </c>
      <c r="AM281" s="2">
        <f>IF(Table1[[#This Row],[dpd]] &gt;=30,1,0)</f>
        <v>0</v>
      </c>
      <c r="AN281" s="2">
        <f>COUNTIFS(Table1[Loan size],Table1[[#This Row],[Loan size]],Table1[dpd flag],1)/COUNTIF(Table1[Loan size],Table1[[#This Row],[Loan size]])</f>
        <v>0.13934426229508196</v>
      </c>
      <c r="AO281" s="2" t="str">
        <f>IF(OR(Table1[[#This Row],[credit_score]] &lt; 600, Table1[ [#This Row],[dti_ratio] ] &gt; 0.5, Table1[[#This Row],[dpd]] &gt;=30), "high risk", " not riskY")</f>
        <v xml:space="preserve"> not riskY</v>
      </c>
      <c r="AP281" s="26">
        <f>EOMONTH(Table1[[#This Row],[origination_date]],0)</f>
        <v>44834</v>
      </c>
      <c r="AQ281" s="2">
        <f>SUMIFS(Table1[loan_amount],Table1[origination month],Table1[[#This Row],[origination month]])</f>
        <v>15111800</v>
      </c>
      <c r="AR281" s="2">
        <f>AVERAGEIFS(Table1[months_on_book],Table1[product],Table1[[#This Row],[product]])</f>
        <v>21.092024539877301</v>
      </c>
      <c r="AS281" s="2" t="str">
        <f ca="1">IF(EDATE(Table1[[#This Row],[origination_date]],6) &gt;= TODAY(), "New Loan", "Old Loan")</f>
        <v>Old Loan</v>
      </c>
      <c r="AT281" s="2" t="str">
        <f>"Q"&amp;ROUNDUP(MONTH(Table1[[#This Row],[origination_date]])/3,0)&amp;YEAR(Table1[[#This Row],[origination_date]])</f>
        <v>Q32022</v>
      </c>
      <c r="AU281" s="2">
        <f>SUMIFS(Table1[loan_amount],Table1[quarter],Table1[[#This Row],[quarter]])</f>
        <v>29441400</v>
      </c>
      <c r="AV281" s="34" t="str">
        <f>_xlfn.TEXTJOIN("|",TRUE,Table1[[#This Row],[loan_id]:[loan_status]])</f>
        <v>L81715832|C5824612|44820|Personal Loan|Online|East|Salaried|360|254800|14.05|3029|1074926|783|A|0.39|0.75|0|39|108377|192962|0|0|0|Active</v>
      </c>
      <c r="AW281" s="42">
        <f>YEAR(Loan_Table[ [#This Row],[origination_date] ])</f>
        <v>2022</v>
      </c>
    </row>
    <row r="282" spans="2:49" ht="18" customHeight="1">
      <c r="B282" s="5" t="s">
        <v>684</v>
      </c>
      <c r="C282" s="2" t="s">
        <v>685</v>
      </c>
      <c r="D282" s="3">
        <v>44782</v>
      </c>
      <c r="E282" s="2" t="s">
        <v>163</v>
      </c>
      <c r="F282" s="2" t="s">
        <v>132</v>
      </c>
      <c r="G282" s="2" t="s">
        <v>151</v>
      </c>
      <c r="H282" s="2" t="s">
        <v>134</v>
      </c>
      <c r="I282" s="2">
        <v>48</v>
      </c>
      <c r="J282" s="2">
        <v>698400</v>
      </c>
      <c r="K282" s="2">
        <v>8.61</v>
      </c>
      <c r="L282" s="2">
        <v>17251</v>
      </c>
      <c r="M282" s="2">
        <v>737467</v>
      </c>
      <c r="N282" s="2">
        <v>753</v>
      </c>
      <c r="O282" s="2" t="s">
        <v>160</v>
      </c>
      <c r="P282" s="2">
        <v>0.39</v>
      </c>
      <c r="Q282" s="2">
        <v>0.75</v>
      </c>
      <c r="R282" s="2">
        <v>931700</v>
      </c>
      <c r="S282" s="2">
        <v>40</v>
      </c>
      <c r="T282" s="2">
        <v>685258</v>
      </c>
      <c r="U282" s="2">
        <v>93318</v>
      </c>
      <c r="V282" s="2">
        <v>30</v>
      </c>
      <c r="W282" s="2">
        <v>0</v>
      </c>
      <c r="X282" s="2">
        <v>0</v>
      </c>
      <c r="Y282" s="2" t="s">
        <v>136</v>
      </c>
      <c r="Z282" s="12">
        <f>SUMIF(Table1[product],Table1[[#This Row],[product]],Table1[loan_amount])</f>
        <v>92273000</v>
      </c>
      <c r="AA282" s="15">
        <f>SUMIF(Table1[region],Table1[[#This Row],[region]],Table1[current_balance])</f>
        <v>105779369</v>
      </c>
      <c r="AB282" s="2">
        <f>COUNTIF(Table1[loan_status],Table1[[#This Row],[loan_status]])</f>
        <v>47</v>
      </c>
      <c r="AC282" s="2">
        <f>COUNTIF(Table1[default_flag],1)/ROWS(Table1[loan_id])</f>
        <v>2.5999999999999999E-2</v>
      </c>
      <c r="AD282" s="2">
        <f>COUNTIFS(Table1[region],Table1[[#This Row],[region]],Table1[default_flag],1)/COUNTIF(Table1[region],Table1[[#This Row],[region]])</f>
        <v>2.6548672566371681E-2</v>
      </c>
      <c r="AE282" s="2">
        <f>COUNTIFS(Table1[channel],Table1[[#This Row],[channel]],Table1[prepayment_flag],1)/COUNTIF(Table1[channel],Table1[[#This Row],[channel]])</f>
        <v>7.1090047393364927E-2</v>
      </c>
      <c r="AF282" s="2">
        <f>AVERAGEIFS(Table1[interest_rate_pct],Table1[product],Table1[[#This Row],[product]],Table1[risk_band],Table1[[#This Row],[risk_band]])</f>
        <v>7.9444999999999997</v>
      </c>
      <c r="AG282" s="2" t="str" cm="1">
        <f t="array" ref="AG282">_xlfn.IFS(Table1[[#This Row],[dti_ratio]] &lt; 0.2, " less than 0.2", Table1[[#This Row],[dti_ratio]] &lt; 0.3, "0.2 - 0.3", Table1[[#This Row],[dti_ratio]] &lt;= 0.5, "0.35 - 0.5", Table1[[#This Row],[dti_ratio]] &gt; 0.5, "greater than 0.5")</f>
        <v>0.35 - 0.5</v>
      </c>
      <c r="AH282" s="2">
        <f>COUNTIF(Table1[DTI band],Table1[[#This Row],[DTI band]])</f>
        <v>260</v>
      </c>
      <c r="AI282" s="2" t="str" cm="1">
        <f t="array" ref="AI282">_xlfn.IFS(Table1[[#This Row],[ltv_ratio]] &lt; 0.6, "less than 0.6 -less risky", Table1[[#This Row],[ltv_ratio]]  &lt;= 0.8, "0.6 - 0.8 -medium risky",Table1[[#This Row],[ltv_ratio]] &gt; 0.8, "greater than 0.8 -highly risky")</f>
        <v>0.6 - 0.8 -medium risky</v>
      </c>
      <c r="AJ282" s="2">
        <f>COUNTIF(Table1[LTV band],Table1[[#This Row],[LTV band]])</f>
        <v>302</v>
      </c>
      <c r="AK282" s="2">
        <f>COUNTIFS(Table1[count_loan_perband],Table1[[#This Row],[count_loan_perband]],Table1[default_flag],1)/COUNTIF(Table1[count_loan_perband],Table1[[#This Row],[count_loan_perband]])</f>
        <v>3.6423841059602648E-2</v>
      </c>
      <c r="AL282" s="2" t="str" cm="1">
        <f t="array" ref="AL282">_xlfn.IFS(Table1[[#This Row],[loan_amount]] &lt; 900000, "lower size (&lt; 9L)", Table1[[#This Row],[loan_amount]] &lt;=3300000, "medium size (&lt;=33L)", Table1[[#This Row],[loan_amount]] &gt; 3300000, "larger size (&gt; 33L)")</f>
        <v>lower size (&lt; 9L)</v>
      </c>
      <c r="AM282" s="2">
        <f>IF(Table1[[#This Row],[dpd]] &gt;=30,1,0)</f>
        <v>1</v>
      </c>
      <c r="AN282" s="2">
        <f>COUNTIFS(Table1[Loan size],Table1[[#This Row],[Loan size]],Table1[dpd flag],1)/COUNTIF(Table1[Loan size],Table1[[#This Row],[Loan size]])</f>
        <v>0.13934426229508196</v>
      </c>
      <c r="AO282" s="2" t="str">
        <f>IF(OR(Table1[[#This Row],[credit_score]] &lt; 600, Table1[ [#This Row],[dti_ratio] ] &gt; 0.5, Table1[[#This Row],[dpd]] &gt;=30), "high risk", " not riskY")</f>
        <v>high risk</v>
      </c>
      <c r="AP282" s="26">
        <f>EOMONTH(Table1[[#This Row],[origination_date]],0)</f>
        <v>44804</v>
      </c>
      <c r="AQ282" s="2">
        <f>SUMIFS(Table1[loan_amount],Table1[origination month],Table1[[#This Row],[origination month]])</f>
        <v>9810900</v>
      </c>
      <c r="AR282" s="2">
        <f>AVERAGEIFS(Table1[months_on_book],Table1[product],Table1[[#This Row],[product]])</f>
        <v>20.262135922330096</v>
      </c>
      <c r="AS282" s="2" t="str">
        <f ca="1">IF(EDATE(Table1[[#This Row],[origination_date]],6) &gt;= TODAY(), "New Loan", "Old Loan")</f>
        <v>Old Loan</v>
      </c>
      <c r="AT282" s="2" t="str">
        <f>"Q"&amp;ROUNDUP(MONTH(Table1[[#This Row],[origination_date]])/3,0)&amp;YEAR(Table1[[#This Row],[origination_date]])</f>
        <v>Q32022</v>
      </c>
      <c r="AU282" s="2">
        <f>SUMIFS(Table1[loan_amount],Table1[quarter],Table1[[#This Row],[quarter]])</f>
        <v>29441400</v>
      </c>
      <c r="AV282" s="34" t="str">
        <f>_xlfn.TEXTJOIN("|",TRUE,Table1[[#This Row],[loan_id]:[loan_status]])</f>
        <v>L62129761|C5393740|44782|Auto Loan|Online|North|Salaried|48|698400|8.61|17251|737467|753|A|0.39|0.75|931700|40|685258|93318|30|0|0|Delinquent</v>
      </c>
      <c r="AW282" s="42">
        <f>YEAR(Loan_Table[ [#This Row],[origination_date] ])</f>
        <v>2022</v>
      </c>
    </row>
    <row r="283" spans="2:49" ht="18" customHeight="1">
      <c r="B283" s="5" t="s">
        <v>686</v>
      </c>
      <c r="C283" s="2" t="s">
        <v>687</v>
      </c>
      <c r="D283" s="3">
        <v>44809</v>
      </c>
      <c r="E283" s="2" t="s">
        <v>169</v>
      </c>
      <c r="F283" s="2" t="s">
        <v>132</v>
      </c>
      <c r="G283" s="2" t="s">
        <v>151</v>
      </c>
      <c r="H283" s="2" t="s">
        <v>146</v>
      </c>
      <c r="I283" s="2">
        <v>180</v>
      </c>
      <c r="J283" s="2">
        <v>5449500</v>
      </c>
      <c r="K283" s="2">
        <v>8.34</v>
      </c>
      <c r="L283" s="2">
        <v>53154</v>
      </c>
      <c r="M283" s="2">
        <v>912768</v>
      </c>
      <c r="N283" s="2">
        <v>711</v>
      </c>
      <c r="O283" s="2" t="s">
        <v>135</v>
      </c>
      <c r="P283" s="2">
        <v>0.39</v>
      </c>
      <c r="Q283" s="2">
        <v>0.78</v>
      </c>
      <c r="R283" s="2">
        <v>7000100</v>
      </c>
      <c r="S283" s="2">
        <v>39</v>
      </c>
      <c r="T283" s="2">
        <v>2111466</v>
      </c>
      <c r="U283" s="2">
        <v>3928869</v>
      </c>
      <c r="V283" s="2">
        <v>0</v>
      </c>
      <c r="W283" s="2">
        <v>0</v>
      </c>
      <c r="X283" s="2">
        <v>0</v>
      </c>
      <c r="Y283" s="2" t="s">
        <v>148</v>
      </c>
      <c r="Z283" s="12">
        <f>SUMIF(Table1[product],Table1[[#This Row],[product]],Table1[loan_amount])</f>
        <v>403369500</v>
      </c>
      <c r="AA283" s="15">
        <f>SUMIF(Table1[region],Table1[[#This Row],[region]],Table1[current_balance])</f>
        <v>105779369</v>
      </c>
      <c r="AB283" s="2">
        <f>COUNTIF(Table1[loan_status],Table1[[#This Row],[loan_status]])</f>
        <v>301</v>
      </c>
      <c r="AC283" s="2">
        <f>COUNTIF(Table1[default_flag],1)/ROWS(Table1[loan_id])</f>
        <v>2.5999999999999999E-2</v>
      </c>
      <c r="AD283" s="2">
        <f>COUNTIFS(Table1[region],Table1[[#This Row],[region]],Table1[default_flag],1)/COUNTIF(Table1[region],Table1[[#This Row],[region]])</f>
        <v>2.6548672566371681E-2</v>
      </c>
      <c r="AE283" s="2">
        <f>COUNTIFS(Table1[channel],Table1[[#This Row],[channel]],Table1[prepayment_flag],1)/COUNTIF(Table1[channel],Table1[[#This Row],[channel]])</f>
        <v>7.1090047393364927E-2</v>
      </c>
      <c r="AF283" s="2">
        <f>AVERAGEIFS(Table1[interest_rate_pct],Table1[product],Table1[[#This Row],[product]],Table1[risk_band],Table1[[#This Row],[risk_band]])</f>
        <v>8.8557142857142868</v>
      </c>
      <c r="AG283" s="2" t="str" cm="1">
        <f t="array" ref="AG283">_xlfn.IFS(Table1[[#This Row],[dti_ratio]] &lt; 0.2, " less than 0.2", Table1[[#This Row],[dti_ratio]] &lt; 0.3, "0.2 - 0.3", Table1[[#This Row],[dti_ratio]] &lt;= 0.5, "0.35 - 0.5", Table1[[#This Row],[dti_ratio]] &gt; 0.5, "greater than 0.5")</f>
        <v>0.35 - 0.5</v>
      </c>
      <c r="AH283" s="2">
        <f>COUNTIF(Table1[DTI band],Table1[[#This Row],[DTI band]])</f>
        <v>260</v>
      </c>
      <c r="AI283" s="2" t="str" cm="1">
        <f t="array" ref="AI283">_xlfn.IFS(Table1[[#This Row],[ltv_ratio]] &lt; 0.6, "less than 0.6 -less risky", Table1[[#This Row],[ltv_ratio]]  &lt;= 0.8, "0.6 - 0.8 -medium risky",Table1[[#This Row],[ltv_ratio]] &gt; 0.8, "greater than 0.8 -highly risky")</f>
        <v>0.6 - 0.8 -medium risky</v>
      </c>
      <c r="AJ283" s="2">
        <f>COUNTIF(Table1[LTV band],Table1[[#This Row],[LTV band]])</f>
        <v>302</v>
      </c>
      <c r="AK283" s="2">
        <f>COUNTIFS(Table1[count_loan_perband],Table1[[#This Row],[count_loan_perband]],Table1[default_flag],1)/COUNTIF(Table1[count_loan_perband],Table1[[#This Row],[count_loan_perband]])</f>
        <v>3.6423841059602648E-2</v>
      </c>
      <c r="AL283" s="2" t="str" cm="1">
        <f t="array" ref="AL283">_xlfn.IFS(Table1[[#This Row],[loan_amount]] &lt; 900000, "lower size (&lt; 9L)", Table1[[#This Row],[loan_amount]] &lt;=3300000, "medium size (&lt;=33L)", Table1[[#This Row],[loan_amount]] &gt; 3300000, "larger size (&gt; 33L)")</f>
        <v>larger size (&gt; 33L)</v>
      </c>
      <c r="AM283" s="2">
        <f>IF(Table1[[#This Row],[dpd]] &gt;=30,1,0)</f>
        <v>0</v>
      </c>
      <c r="AN283" s="2">
        <f>COUNTIFS(Table1[Loan size],Table1[[#This Row],[Loan size]],Table1[dpd flag],1)/COUNTIF(Table1[Loan size],Table1[[#This Row],[Loan size]])</f>
        <v>0.16250000000000001</v>
      </c>
      <c r="AO283" s="2" t="str">
        <f>IF(OR(Table1[[#This Row],[credit_score]] &lt; 600, Table1[ [#This Row],[dti_ratio] ] &gt; 0.5, Table1[[#This Row],[dpd]] &gt;=30), "high risk", " not riskY")</f>
        <v xml:space="preserve"> not riskY</v>
      </c>
      <c r="AP283" s="26">
        <f>EOMONTH(Table1[[#This Row],[origination_date]],0)</f>
        <v>44834</v>
      </c>
      <c r="AQ283" s="2">
        <f>SUMIFS(Table1[loan_amount],Table1[origination month],Table1[[#This Row],[origination month]])</f>
        <v>15111800</v>
      </c>
      <c r="AR283" s="2">
        <f>AVERAGEIFS(Table1[months_on_book],Table1[product],Table1[[#This Row],[product]])</f>
        <v>20.516129032258064</v>
      </c>
      <c r="AS283" s="2" t="str">
        <f ca="1">IF(EDATE(Table1[[#This Row],[origination_date]],6) &gt;= TODAY(), "New Loan", "Old Loan")</f>
        <v>Old Loan</v>
      </c>
      <c r="AT283" s="2" t="str">
        <f>"Q"&amp;ROUNDUP(MONTH(Table1[[#This Row],[origination_date]])/3,0)&amp;YEAR(Table1[[#This Row],[origination_date]])</f>
        <v>Q32022</v>
      </c>
      <c r="AU283" s="2">
        <f>SUMIFS(Table1[loan_amount],Table1[quarter],Table1[[#This Row],[quarter]])</f>
        <v>29441400</v>
      </c>
      <c r="AV283" s="34" t="str">
        <f>_xlfn.TEXTJOIN("|",TRUE,Table1[[#This Row],[loan_id]:[loan_status]])</f>
        <v>L84048545|C2489785|44809|Home Loan|Online|North|Contract|180|5449500|8.34|53154|912768|711|B|0.39|0.78|7000100|39|2111466|3928869|0|0|0|Active</v>
      </c>
      <c r="AW283" s="42">
        <f>YEAR(Loan_Table[ [#This Row],[origination_date] ])</f>
        <v>2022</v>
      </c>
    </row>
    <row r="284" spans="2:49" ht="18" customHeight="1">
      <c r="B284" s="5" t="s">
        <v>688</v>
      </c>
      <c r="C284" s="2" t="s">
        <v>689</v>
      </c>
      <c r="D284" s="3">
        <v>44826</v>
      </c>
      <c r="E284" s="2" t="s">
        <v>163</v>
      </c>
      <c r="F284" s="2" t="s">
        <v>213</v>
      </c>
      <c r="G284" s="2" t="s">
        <v>139</v>
      </c>
      <c r="H284" s="2" t="s">
        <v>134</v>
      </c>
      <c r="I284" s="2">
        <v>24</v>
      </c>
      <c r="J284" s="2">
        <v>648500</v>
      </c>
      <c r="K284" s="2">
        <v>13.49</v>
      </c>
      <c r="L284" s="2">
        <v>30980</v>
      </c>
      <c r="M284" s="2">
        <v>150000</v>
      </c>
      <c r="N284" s="2">
        <v>650</v>
      </c>
      <c r="O284" s="2" t="s">
        <v>140</v>
      </c>
      <c r="P284" s="2">
        <v>0.37</v>
      </c>
      <c r="Q284" s="2">
        <v>0.45</v>
      </c>
      <c r="R284" s="2">
        <v>1429500</v>
      </c>
      <c r="S284" s="2">
        <v>24</v>
      </c>
      <c r="T284" s="2">
        <v>661448</v>
      </c>
      <c r="U284" s="2">
        <v>57038</v>
      </c>
      <c r="V284" s="2">
        <v>0</v>
      </c>
      <c r="W284" s="2">
        <v>0</v>
      </c>
      <c r="X284" s="2">
        <v>0</v>
      </c>
      <c r="Y284" s="2" t="s">
        <v>141</v>
      </c>
      <c r="Z284" s="12">
        <f>SUMIF(Table1[product],Table1[[#This Row],[product]],Table1[loan_amount])</f>
        <v>92273000</v>
      </c>
      <c r="AA284" s="15">
        <f>SUMIF(Table1[region],Table1[[#This Row],[region]],Table1[current_balance])</f>
        <v>83903255</v>
      </c>
      <c r="AB284" s="2">
        <f>COUNTIF(Table1[loan_status],Table1[[#This Row],[loan_status]])</f>
        <v>139</v>
      </c>
      <c r="AC284" s="2">
        <f>COUNTIF(Table1[default_flag],1)/ROWS(Table1[loan_id])</f>
        <v>2.5999999999999999E-2</v>
      </c>
      <c r="AD284" s="2">
        <f>COUNTIFS(Table1[region],Table1[[#This Row],[region]],Table1[default_flag],1)/COUNTIF(Table1[region],Table1[[#This Row],[region]])</f>
        <v>4.2553191489361701E-2</v>
      </c>
      <c r="AE284" s="2">
        <f>COUNTIFS(Table1[channel],Table1[[#This Row],[channel]],Table1[prepayment_flag],1)/COUNTIF(Table1[channel],Table1[[#This Row],[channel]])</f>
        <v>0.12</v>
      </c>
      <c r="AF284" s="2">
        <f>AVERAGEIFS(Table1[interest_rate_pct],Table1[product],Table1[[#This Row],[product]],Table1[risk_band],Table1[[#This Row],[risk_band]])</f>
        <v>13.246500000000001</v>
      </c>
      <c r="AG284" s="2" t="str" cm="1">
        <f t="array" ref="AG284">_xlfn.IFS(Table1[[#This Row],[dti_ratio]] &lt; 0.2, " less than 0.2", Table1[[#This Row],[dti_ratio]] &lt; 0.3, "0.2 - 0.3", Table1[[#This Row],[dti_ratio]] &lt;= 0.5, "0.35 - 0.5", Table1[[#This Row],[dti_ratio]] &gt; 0.5, "greater than 0.5")</f>
        <v>0.35 - 0.5</v>
      </c>
      <c r="AH284" s="2">
        <f>COUNTIF(Table1[DTI band],Table1[[#This Row],[DTI band]])</f>
        <v>260</v>
      </c>
      <c r="AI284" s="2" t="str" cm="1">
        <f t="array" ref="AI284">_xlfn.IFS(Table1[[#This Row],[ltv_ratio]] &lt; 0.6, "less than 0.6 -less risky", Table1[[#This Row],[ltv_ratio]]  &lt;= 0.8, "0.6 - 0.8 -medium risky",Table1[[#This Row],[ltv_ratio]] &gt; 0.8, "greater than 0.8 -highly risky")</f>
        <v>less than 0.6 -less risky</v>
      </c>
      <c r="AJ284" s="2">
        <f>COUNTIF(Table1[LTV band],Table1[[#This Row],[LTV band]])</f>
        <v>57</v>
      </c>
      <c r="AK284" s="2">
        <f>COUNTIFS(Table1[count_loan_perband],Table1[[#This Row],[count_loan_perband]],Table1[default_flag],1)/COUNTIF(Table1[count_loan_perband],Table1[[#This Row],[count_loan_perband]])</f>
        <v>0</v>
      </c>
      <c r="AL284" s="2" t="str" cm="1">
        <f t="array" ref="AL284">_xlfn.IFS(Table1[[#This Row],[loan_amount]] &lt; 900000, "lower size (&lt; 9L)", Table1[[#This Row],[loan_amount]] &lt;=3300000, "medium size (&lt;=33L)", Table1[[#This Row],[loan_amount]] &gt; 3300000, "larger size (&gt; 33L)")</f>
        <v>lower size (&lt; 9L)</v>
      </c>
      <c r="AM284" s="2">
        <f>IF(Table1[[#This Row],[dpd]] &gt;=30,1,0)</f>
        <v>0</v>
      </c>
      <c r="AN284" s="2">
        <f>COUNTIFS(Table1[Loan size],Table1[[#This Row],[Loan size]],Table1[dpd flag],1)/COUNTIF(Table1[Loan size],Table1[[#This Row],[Loan size]])</f>
        <v>0.13934426229508196</v>
      </c>
      <c r="AO284" s="2" t="str">
        <f>IF(OR(Table1[[#This Row],[credit_score]] &lt; 600, Table1[ [#This Row],[dti_ratio] ] &gt; 0.5, Table1[[#This Row],[dpd]] &gt;=30), "high risk", " not riskY")</f>
        <v xml:space="preserve"> not riskY</v>
      </c>
      <c r="AP284" s="26">
        <f>EOMONTH(Table1[[#This Row],[origination_date]],0)</f>
        <v>44834</v>
      </c>
      <c r="AQ284" s="2">
        <f>SUMIFS(Table1[loan_amount],Table1[origination month],Table1[[#This Row],[origination month]])</f>
        <v>15111800</v>
      </c>
      <c r="AR284" s="2">
        <f>AVERAGEIFS(Table1[months_on_book],Table1[product],Table1[[#This Row],[product]])</f>
        <v>20.262135922330096</v>
      </c>
      <c r="AS284" s="2" t="str">
        <f ca="1">IF(EDATE(Table1[[#This Row],[origination_date]],6) &gt;= TODAY(), "New Loan", "Old Loan")</f>
        <v>Old Loan</v>
      </c>
      <c r="AT284" s="2" t="str">
        <f>"Q"&amp;ROUNDUP(MONTH(Table1[[#This Row],[origination_date]])/3,0)&amp;YEAR(Table1[[#This Row],[origination_date]])</f>
        <v>Q32022</v>
      </c>
      <c r="AU284" s="2">
        <f>SUMIFS(Table1[loan_amount],Table1[quarter],Table1[[#This Row],[quarter]])</f>
        <v>29441400</v>
      </c>
      <c r="AV284" s="34" t="str">
        <f>_xlfn.TEXTJOIN("|",TRUE,Table1[[#This Row],[loan_id]:[loan_status]])</f>
        <v>L76508560|C7297983|44826|Auto Loan|Call Center|West|Salaried|24|648500|13.49|30980|150000|650|C|0.37|0.45|1429500|24|661448|57038|0|0|0|Closed</v>
      </c>
      <c r="AW284" s="42">
        <f>YEAR(Loan_Table[ [#This Row],[origination_date] ])</f>
        <v>2023</v>
      </c>
    </row>
    <row r="285" spans="2:49" ht="18" customHeight="1">
      <c r="B285" s="5" t="s">
        <v>690</v>
      </c>
      <c r="C285" s="2" t="s">
        <v>691</v>
      </c>
      <c r="D285" s="3">
        <v>44764</v>
      </c>
      <c r="E285" s="2" t="s">
        <v>169</v>
      </c>
      <c r="F285" s="2" t="s">
        <v>132</v>
      </c>
      <c r="G285" s="2" t="s">
        <v>133</v>
      </c>
      <c r="H285" s="2" t="s">
        <v>134</v>
      </c>
      <c r="I285" s="2">
        <v>360</v>
      </c>
      <c r="J285" s="2">
        <v>1837000</v>
      </c>
      <c r="K285" s="2">
        <v>9.27</v>
      </c>
      <c r="L285" s="2">
        <v>15139</v>
      </c>
      <c r="M285" s="2">
        <v>950930</v>
      </c>
      <c r="N285" s="2">
        <v>713</v>
      </c>
      <c r="O285" s="2" t="s">
        <v>135</v>
      </c>
      <c r="P285" s="2">
        <v>0.36</v>
      </c>
      <c r="Q285" s="2">
        <v>0.82</v>
      </c>
      <c r="R285" s="2">
        <v>2247500</v>
      </c>
      <c r="S285" s="2">
        <v>41</v>
      </c>
      <c r="T285" s="2">
        <v>573789</v>
      </c>
      <c r="U285" s="2">
        <v>1495941</v>
      </c>
      <c r="V285" s="2">
        <v>10</v>
      </c>
      <c r="W285" s="2">
        <v>0</v>
      </c>
      <c r="X285" s="2">
        <v>0</v>
      </c>
      <c r="Y285" s="2" t="s">
        <v>148</v>
      </c>
      <c r="Z285" s="12">
        <f>SUMIF(Table1[product],Table1[[#This Row],[product]],Table1[loan_amount])</f>
        <v>403369500</v>
      </c>
      <c r="AA285" s="15">
        <f>SUMIF(Table1[region],Table1[[#This Row],[region]],Table1[current_balance])</f>
        <v>94548000</v>
      </c>
      <c r="AB285" s="2">
        <f>COUNTIF(Table1[loan_status],Table1[[#This Row],[loan_status]])</f>
        <v>301</v>
      </c>
      <c r="AC285" s="2">
        <f>COUNTIF(Table1[default_flag],1)/ROWS(Table1[loan_id])</f>
        <v>2.5999999999999999E-2</v>
      </c>
      <c r="AD285" s="2">
        <f>COUNTIFS(Table1[region],Table1[[#This Row],[region]],Table1[default_flag],1)/COUNTIF(Table1[region],Table1[[#This Row],[region]])</f>
        <v>0</v>
      </c>
      <c r="AE285" s="2">
        <f>COUNTIFS(Table1[channel],Table1[[#This Row],[channel]],Table1[prepayment_flag],1)/COUNTIF(Table1[channel],Table1[[#This Row],[channel]])</f>
        <v>7.1090047393364927E-2</v>
      </c>
      <c r="AF285" s="2">
        <f>AVERAGEIFS(Table1[interest_rate_pct],Table1[product],Table1[[#This Row],[product]],Table1[risk_band],Table1[[#This Row],[risk_band]])</f>
        <v>8.8557142857142868</v>
      </c>
      <c r="AG285" s="2" t="str" cm="1">
        <f t="array" ref="AG285">_xlfn.IFS(Table1[[#This Row],[dti_ratio]] &lt; 0.2, " less than 0.2", Table1[[#This Row],[dti_ratio]] &lt; 0.3, "0.2 - 0.3", Table1[[#This Row],[dti_ratio]] &lt;= 0.5, "0.35 - 0.5", Table1[[#This Row],[dti_ratio]] &gt; 0.5, "greater than 0.5")</f>
        <v>0.35 - 0.5</v>
      </c>
      <c r="AH285" s="2">
        <f>COUNTIF(Table1[DTI band],Table1[[#This Row],[DTI band]])</f>
        <v>260</v>
      </c>
      <c r="AI285" s="2" t="str" cm="1">
        <f t="array" ref="AI285">_xlfn.IFS(Table1[[#This Row],[ltv_ratio]] &lt; 0.6, "less than 0.6 -less risky", Table1[[#This Row],[ltv_ratio]]  &lt;= 0.8, "0.6 - 0.8 -medium risky",Table1[[#This Row],[ltv_ratio]] &gt; 0.8, "greater than 0.8 -highly risky")</f>
        <v>greater than 0.8 -highly risky</v>
      </c>
      <c r="AJ285" s="2">
        <f>COUNTIF(Table1[LTV band],Table1[[#This Row],[LTV band]])</f>
        <v>141</v>
      </c>
      <c r="AK285" s="2">
        <f>COUNTIFS(Table1[count_loan_perband],Table1[[#This Row],[count_loan_perband]],Table1[default_flag],1)/COUNTIF(Table1[count_loan_perband],Table1[[#This Row],[count_loan_perband]])</f>
        <v>1.4184397163120567E-2</v>
      </c>
      <c r="AL285" s="2" t="str" cm="1">
        <f t="array" ref="AL285">_xlfn.IFS(Table1[[#This Row],[loan_amount]] &lt; 900000, "lower size (&lt; 9L)", Table1[[#This Row],[loan_amount]] &lt;=3300000, "medium size (&lt;=33L)", Table1[[#This Row],[loan_amount]] &gt; 3300000, "larger size (&gt; 33L)")</f>
        <v>medium size (&lt;=33L)</v>
      </c>
      <c r="AM285" s="2">
        <f>IF(Table1[[#This Row],[dpd]] &gt;=30,1,0)</f>
        <v>0</v>
      </c>
      <c r="AN285" s="2">
        <f>COUNTIFS(Table1[Loan size],Table1[[#This Row],[Loan size]],Table1[dpd flag],1)/COUNTIF(Table1[Loan size],Table1[[#This Row],[Loan size]])</f>
        <v>0.15909090909090909</v>
      </c>
      <c r="AO285" s="2" t="str">
        <f>IF(OR(Table1[[#This Row],[credit_score]] &lt; 600, Table1[ [#This Row],[dti_ratio] ] &gt; 0.5, Table1[[#This Row],[dpd]] &gt;=30), "high risk", " not riskY")</f>
        <v xml:space="preserve"> not riskY</v>
      </c>
      <c r="AP285" s="26">
        <f>EOMONTH(Table1[[#This Row],[origination_date]],0)</f>
        <v>44773</v>
      </c>
      <c r="AQ285" s="2">
        <f>SUMIFS(Table1[loan_amount],Table1[origination month],Table1[[#This Row],[origination month]])</f>
        <v>4518700</v>
      </c>
      <c r="AR285" s="2">
        <f>AVERAGEIFS(Table1[months_on_book],Table1[product],Table1[[#This Row],[product]])</f>
        <v>20.516129032258064</v>
      </c>
      <c r="AS285" s="2" t="str">
        <f ca="1">IF(EDATE(Table1[[#This Row],[origination_date]],6) &gt;= TODAY(), "New Loan", "Old Loan")</f>
        <v>Old Loan</v>
      </c>
      <c r="AT285" s="2" t="str">
        <f>"Q"&amp;ROUNDUP(MONTH(Table1[[#This Row],[origination_date]])/3,0)&amp;YEAR(Table1[[#This Row],[origination_date]])</f>
        <v>Q32022</v>
      </c>
      <c r="AU285" s="2">
        <f>SUMIFS(Table1[loan_amount],Table1[quarter],Table1[[#This Row],[quarter]])</f>
        <v>29441400</v>
      </c>
      <c r="AV285" s="34" t="str">
        <f>_xlfn.TEXTJOIN("|",TRUE,Table1[[#This Row],[loan_id]:[loan_status]])</f>
        <v>L79105952|C8592174|44764|Home Loan|Online|South|Salaried|360|1837000|9.27|15139|950930|713|B|0.36|0.82|2247500|41|573789|1495941|10|0|0|Active</v>
      </c>
      <c r="AW285" s="42">
        <f>YEAR(Loan_Table[ [#This Row],[origination_date] ])</f>
        <v>2023</v>
      </c>
    </row>
    <row r="286" spans="2:49" ht="18" customHeight="1">
      <c r="B286" s="5" t="s">
        <v>692</v>
      </c>
      <c r="C286" s="2" t="s">
        <v>693</v>
      </c>
      <c r="D286" s="3">
        <v>44799</v>
      </c>
      <c r="E286" s="2" t="s">
        <v>158</v>
      </c>
      <c r="F286" s="2" t="s">
        <v>144</v>
      </c>
      <c r="G286" s="2" t="s">
        <v>151</v>
      </c>
      <c r="H286" s="2" t="s">
        <v>134</v>
      </c>
      <c r="I286" s="2">
        <v>12</v>
      </c>
      <c r="J286" s="2">
        <v>3338100</v>
      </c>
      <c r="K286" s="2">
        <v>10.95</v>
      </c>
      <c r="L286" s="2">
        <v>294949</v>
      </c>
      <c r="M286" s="2">
        <v>1523803</v>
      </c>
      <c r="N286" s="2">
        <v>788</v>
      </c>
      <c r="O286" s="2" t="s">
        <v>160</v>
      </c>
      <c r="P286" s="2">
        <v>0.32</v>
      </c>
      <c r="Q286" s="2">
        <v>0.79</v>
      </c>
      <c r="R286" s="2">
        <v>4241400</v>
      </c>
      <c r="S286" s="2">
        <v>12</v>
      </c>
      <c r="T286" s="2">
        <v>3287074</v>
      </c>
      <c r="U286" s="2">
        <v>197235</v>
      </c>
      <c r="V286" s="2">
        <v>0</v>
      </c>
      <c r="W286" s="2">
        <v>0</v>
      </c>
      <c r="X286" s="2">
        <v>0</v>
      </c>
      <c r="Y286" s="2" t="s">
        <v>141</v>
      </c>
      <c r="Z286" s="12">
        <f>SUMIF(Table1[product],Table1[[#This Row],[product]],Table1[loan_amount])</f>
        <v>201475100</v>
      </c>
      <c r="AA286" s="15">
        <f>SUMIF(Table1[region],Table1[[#This Row],[region]],Table1[current_balance])</f>
        <v>105779369</v>
      </c>
      <c r="AB286" s="2">
        <f>COUNTIF(Table1[loan_status],Table1[[#This Row],[loan_status]])</f>
        <v>139</v>
      </c>
      <c r="AC286" s="2">
        <f>COUNTIF(Table1[default_flag],1)/ROWS(Table1[loan_id])</f>
        <v>2.5999999999999999E-2</v>
      </c>
      <c r="AD286" s="2">
        <f>COUNTIFS(Table1[region],Table1[[#This Row],[region]],Table1[default_flag],1)/COUNTIF(Table1[region],Table1[[#This Row],[region]])</f>
        <v>2.6548672566371681E-2</v>
      </c>
      <c r="AE286" s="2">
        <f>COUNTIFS(Table1[channel],Table1[[#This Row],[channel]],Table1[prepayment_flag],1)/COUNTIF(Table1[channel],Table1[[#This Row],[channel]])</f>
        <v>5.8201058201058198E-2</v>
      </c>
      <c r="AF286" s="2">
        <f>AVERAGEIFS(Table1[interest_rate_pct],Table1[product],Table1[[#This Row],[product]],Table1[risk_band],Table1[[#This Row],[risk_band]])</f>
        <v>10.537499999999998</v>
      </c>
      <c r="AG286" s="2" t="str" cm="1">
        <f t="array" ref="AG286">_xlfn.IFS(Table1[[#This Row],[dti_ratio]] &lt; 0.2, " less than 0.2", Table1[[#This Row],[dti_ratio]] &lt; 0.3, "0.2 - 0.3", Table1[[#This Row],[dti_ratio]] &lt;= 0.5, "0.35 - 0.5", Table1[[#This Row],[dti_ratio]] &gt; 0.5, "greater than 0.5")</f>
        <v>0.35 - 0.5</v>
      </c>
      <c r="AH286" s="2">
        <f>COUNTIF(Table1[DTI band],Table1[[#This Row],[DTI band]])</f>
        <v>260</v>
      </c>
      <c r="AI286" s="2" t="str" cm="1">
        <f t="array" ref="AI286">_xlfn.IFS(Table1[[#This Row],[ltv_ratio]] &lt; 0.6, "less than 0.6 -less risky", Table1[[#This Row],[ltv_ratio]]  &lt;= 0.8, "0.6 - 0.8 -medium risky",Table1[[#This Row],[ltv_ratio]] &gt; 0.8, "greater than 0.8 -highly risky")</f>
        <v>0.6 - 0.8 -medium risky</v>
      </c>
      <c r="AJ286" s="2">
        <f>COUNTIF(Table1[LTV band],Table1[[#This Row],[LTV band]])</f>
        <v>302</v>
      </c>
      <c r="AK286" s="2">
        <f>COUNTIFS(Table1[count_loan_perband],Table1[[#This Row],[count_loan_perband]],Table1[default_flag],1)/COUNTIF(Table1[count_loan_perband],Table1[[#This Row],[count_loan_perband]])</f>
        <v>3.6423841059602648E-2</v>
      </c>
      <c r="AL286" s="2" t="str" cm="1">
        <f t="array" ref="AL286">_xlfn.IFS(Table1[[#This Row],[loan_amount]] &lt; 900000, "lower size (&lt; 9L)", Table1[[#This Row],[loan_amount]] &lt;=3300000, "medium size (&lt;=33L)", Table1[[#This Row],[loan_amount]] &gt; 3300000, "larger size (&gt; 33L)")</f>
        <v>larger size (&gt; 33L)</v>
      </c>
      <c r="AM286" s="2">
        <f>IF(Table1[[#This Row],[dpd]] &gt;=30,1,0)</f>
        <v>0</v>
      </c>
      <c r="AN286" s="2">
        <f>COUNTIFS(Table1[Loan size],Table1[[#This Row],[Loan size]],Table1[dpd flag],1)/COUNTIF(Table1[Loan size],Table1[[#This Row],[Loan size]])</f>
        <v>0.16250000000000001</v>
      </c>
      <c r="AO286" s="2" t="str">
        <f>IF(OR(Table1[[#This Row],[credit_score]] &lt; 600, Table1[ [#This Row],[dti_ratio] ] &gt; 0.5, Table1[[#This Row],[dpd]] &gt;=30), "high risk", " not riskY")</f>
        <v xml:space="preserve"> not riskY</v>
      </c>
      <c r="AP286" s="26">
        <f>EOMONTH(Table1[[#This Row],[origination_date]],0)</f>
        <v>44804</v>
      </c>
      <c r="AQ286" s="2">
        <f>SUMIFS(Table1[loan_amount],Table1[origination month],Table1[[#This Row],[origination month]])</f>
        <v>9810900</v>
      </c>
      <c r="AR286" s="2">
        <f>AVERAGEIFS(Table1[months_on_book],Table1[product],Table1[[#This Row],[product]])</f>
        <v>19.091954022988507</v>
      </c>
      <c r="AS286" s="2" t="str">
        <f ca="1">IF(EDATE(Table1[[#This Row],[origination_date]],6) &gt;= TODAY(), "New Loan", "Old Loan")</f>
        <v>Old Loan</v>
      </c>
      <c r="AT286" s="2" t="str">
        <f>"Q"&amp;ROUNDUP(MONTH(Table1[[#This Row],[origination_date]])/3,0)&amp;YEAR(Table1[[#This Row],[origination_date]])</f>
        <v>Q32022</v>
      </c>
      <c r="AU286" s="2">
        <f>SUMIFS(Table1[loan_amount],Table1[quarter],Table1[[#This Row],[quarter]])</f>
        <v>29441400</v>
      </c>
      <c r="AV286" s="34" t="str">
        <f>_xlfn.TEXTJOIN("|",TRUE,Table1[[#This Row],[loan_id]:[loan_status]])</f>
        <v>L52813443|C5713776|44799|SME Loan|Branch|North|Salaried|12|3338100|10.95|294949|1523803|788|A|0.32|0.79|4241400|12|3287074|197235|0|0|0|Closed</v>
      </c>
      <c r="AW286" s="42">
        <f>YEAR(Loan_Table[ [#This Row],[origination_date] ])</f>
        <v>2023</v>
      </c>
    </row>
    <row r="287" spans="2:49" ht="18" customHeight="1">
      <c r="B287" s="5" t="s">
        <v>694</v>
      </c>
      <c r="C287" s="2" t="s">
        <v>695</v>
      </c>
      <c r="D287" s="3">
        <v>44778</v>
      </c>
      <c r="E287" s="2" t="s">
        <v>131</v>
      </c>
      <c r="F287" s="2" t="s">
        <v>144</v>
      </c>
      <c r="G287" s="2" t="s">
        <v>145</v>
      </c>
      <c r="H287" s="2" t="s">
        <v>146</v>
      </c>
      <c r="I287" s="2">
        <v>360</v>
      </c>
      <c r="J287" s="2">
        <v>398400</v>
      </c>
      <c r="K287" s="2">
        <v>10.14</v>
      </c>
      <c r="L287" s="2">
        <v>3538</v>
      </c>
      <c r="M287" s="2">
        <v>663314</v>
      </c>
      <c r="N287" s="2">
        <v>850</v>
      </c>
      <c r="O287" s="2" t="s">
        <v>160</v>
      </c>
      <c r="P287" s="2">
        <v>0.32</v>
      </c>
      <c r="Q287" s="2">
        <v>0.61</v>
      </c>
      <c r="R287" s="2">
        <v>0</v>
      </c>
      <c r="S287" s="2">
        <v>40</v>
      </c>
      <c r="T287" s="2">
        <v>127411</v>
      </c>
      <c r="U287" s="2">
        <v>324853</v>
      </c>
      <c r="V287" s="2">
        <v>0</v>
      </c>
      <c r="W287" s="2">
        <v>1</v>
      </c>
      <c r="X287" s="2">
        <v>0</v>
      </c>
      <c r="Y287" s="2" t="s">
        <v>141</v>
      </c>
      <c r="Z287" s="12">
        <f>SUMIF(Table1[product],Table1[[#This Row],[product]],Table1[loan_amount])</f>
        <v>74897600</v>
      </c>
      <c r="AA287" s="15">
        <f>SUMIF(Table1[region],Table1[[#This Row],[region]],Table1[current_balance])</f>
        <v>98928695</v>
      </c>
      <c r="AB287" s="2">
        <f>COUNTIF(Table1[loan_status],Table1[[#This Row],[loan_status]])</f>
        <v>139</v>
      </c>
      <c r="AC287" s="2">
        <f>COUNTIF(Table1[default_flag],1)/ROWS(Table1[loan_id])</f>
        <v>2.5999999999999999E-2</v>
      </c>
      <c r="AD287" s="2">
        <f>COUNTIFS(Table1[region],Table1[[#This Row],[region]],Table1[default_flag],1)/COUNTIF(Table1[region],Table1[[#This Row],[region]])</f>
        <v>2.8571428571428571E-2</v>
      </c>
      <c r="AE287" s="2">
        <f>COUNTIFS(Table1[channel],Table1[[#This Row],[channel]],Table1[prepayment_flag],1)/COUNTIF(Table1[channel],Table1[[#This Row],[channel]])</f>
        <v>5.8201058201058198E-2</v>
      </c>
      <c r="AF287" s="2">
        <f>AVERAGEIFS(Table1[interest_rate_pct],Table1[product],Table1[[#This Row],[product]],Table1[risk_band],Table1[[#This Row],[risk_band]])</f>
        <v>13.328333333333335</v>
      </c>
      <c r="AG287" s="2" t="str" cm="1">
        <f t="array" ref="AG287">_xlfn.IFS(Table1[[#This Row],[dti_ratio]] &lt; 0.2, " less than 0.2", Table1[[#This Row],[dti_ratio]] &lt; 0.3, "0.2 - 0.3", Table1[[#This Row],[dti_ratio]] &lt;= 0.5, "0.35 - 0.5", Table1[[#This Row],[dti_ratio]] &gt; 0.5, "greater than 0.5")</f>
        <v>0.35 - 0.5</v>
      </c>
      <c r="AH287" s="2">
        <f>COUNTIF(Table1[DTI band],Table1[[#This Row],[DTI band]])</f>
        <v>260</v>
      </c>
      <c r="AI287" s="2" t="str" cm="1">
        <f t="array" ref="AI287">_xlfn.IFS(Table1[[#This Row],[ltv_ratio]] &lt; 0.6, "less than 0.6 -less risky", Table1[[#This Row],[ltv_ratio]]  &lt;= 0.8, "0.6 - 0.8 -medium risky",Table1[[#This Row],[ltv_ratio]] &gt; 0.8, "greater than 0.8 -highly risky")</f>
        <v>0.6 - 0.8 -medium risky</v>
      </c>
      <c r="AJ287" s="2">
        <f>COUNTIF(Table1[LTV band],Table1[[#This Row],[LTV band]])</f>
        <v>302</v>
      </c>
      <c r="AK287" s="2">
        <f>COUNTIFS(Table1[count_loan_perband],Table1[[#This Row],[count_loan_perband]],Table1[default_flag],1)/COUNTIF(Table1[count_loan_perband],Table1[[#This Row],[count_loan_perband]])</f>
        <v>3.6423841059602648E-2</v>
      </c>
      <c r="AL287" s="2" t="str" cm="1">
        <f t="array" ref="AL287">_xlfn.IFS(Table1[[#This Row],[loan_amount]] &lt; 900000, "lower size (&lt; 9L)", Table1[[#This Row],[loan_amount]] &lt;=3300000, "medium size (&lt;=33L)", Table1[[#This Row],[loan_amount]] &gt; 3300000, "larger size (&gt; 33L)")</f>
        <v>lower size (&lt; 9L)</v>
      </c>
      <c r="AM287" s="2">
        <f>IF(Table1[[#This Row],[dpd]] &gt;=30,1,0)</f>
        <v>0</v>
      </c>
      <c r="AN287" s="2">
        <f>COUNTIFS(Table1[Loan size],Table1[[#This Row],[Loan size]],Table1[dpd flag],1)/COUNTIF(Table1[Loan size],Table1[[#This Row],[Loan size]])</f>
        <v>0.13934426229508196</v>
      </c>
      <c r="AO287" s="2" t="str">
        <f>IF(OR(Table1[[#This Row],[credit_score]] &lt; 600, Table1[ [#This Row],[dti_ratio] ] &gt; 0.5, Table1[[#This Row],[dpd]] &gt;=30), "high risk", " not riskY")</f>
        <v xml:space="preserve"> not riskY</v>
      </c>
      <c r="AP287" s="26">
        <f>EOMONTH(Table1[[#This Row],[origination_date]],0)</f>
        <v>44804</v>
      </c>
      <c r="AQ287" s="2">
        <f>SUMIFS(Table1[loan_amount],Table1[origination month],Table1[[#This Row],[origination month]])</f>
        <v>9810900</v>
      </c>
      <c r="AR287" s="2">
        <f>AVERAGEIFS(Table1[months_on_book],Table1[product],Table1[[#This Row],[product]])</f>
        <v>21.092024539877301</v>
      </c>
      <c r="AS287" s="2" t="str">
        <f ca="1">IF(EDATE(Table1[[#This Row],[origination_date]],6) &gt;= TODAY(), "New Loan", "Old Loan")</f>
        <v>Old Loan</v>
      </c>
      <c r="AT287" s="2" t="str">
        <f>"Q"&amp;ROUNDUP(MONTH(Table1[[#This Row],[origination_date]])/3,0)&amp;YEAR(Table1[[#This Row],[origination_date]])</f>
        <v>Q32022</v>
      </c>
      <c r="AU287" s="2">
        <f>SUMIFS(Table1[loan_amount],Table1[quarter],Table1[[#This Row],[quarter]])</f>
        <v>29441400</v>
      </c>
      <c r="AV287" s="34" t="str">
        <f>_xlfn.TEXTJOIN("|",TRUE,Table1[[#This Row],[loan_id]:[loan_status]])</f>
        <v>L35913858|C6307429|44778|Personal Loan|Branch|Central|Contract|360|398400|10.14|3538|663314|850|A|0.32|0.61|0|40|127411|324853|0|1|0|Closed</v>
      </c>
      <c r="AW287" s="42">
        <f>YEAR(Loan_Table[ [#This Row],[origination_date] ])</f>
        <v>2023</v>
      </c>
    </row>
    <row r="288" spans="2:49" ht="18" customHeight="1">
      <c r="B288" s="5" t="s">
        <v>696</v>
      </c>
      <c r="C288" s="2" t="s">
        <v>697</v>
      </c>
      <c r="D288" s="3">
        <v>44768</v>
      </c>
      <c r="E288" s="2" t="s">
        <v>163</v>
      </c>
      <c r="F288" s="2" t="s">
        <v>144</v>
      </c>
      <c r="G288" s="2" t="s">
        <v>151</v>
      </c>
      <c r="H288" s="2" t="s">
        <v>134</v>
      </c>
      <c r="I288" s="2">
        <v>12</v>
      </c>
      <c r="J288" s="2">
        <v>378900</v>
      </c>
      <c r="K288" s="2">
        <v>17.28</v>
      </c>
      <c r="L288" s="2">
        <v>34608</v>
      </c>
      <c r="M288" s="2">
        <v>1432595</v>
      </c>
      <c r="N288" s="2">
        <v>562</v>
      </c>
      <c r="O288" s="2" t="s">
        <v>166</v>
      </c>
      <c r="P288" s="2">
        <v>0.3</v>
      </c>
      <c r="Q288" s="2">
        <v>0.7</v>
      </c>
      <c r="R288" s="2">
        <v>542300</v>
      </c>
      <c r="S288" s="2">
        <v>12</v>
      </c>
      <c r="T288" s="2">
        <v>381832</v>
      </c>
      <c r="U288" s="2">
        <v>23258</v>
      </c>
      <c r="V288" s="2">
        <v>0</v>
      </c>
      <c r="W288" s="2">
        <v>0</v>
      </c>
      <c r="X288" s="2">
        <v>0</v>
      </c>
      <c r="Y288" s="2" t="s">
        <v>141</v>
      </c>
      <c r="Z288" s="12">
        <f>SUMIF(Table1[product],Table1[[#This Row],[product]],Table1[loan_amount])</f>
        <v>92273000</v>
      </c>
      <c r="AA288" s="15">
        <f>SUMIF(Table1[region],Table1[[#This Row],[region]],Table1[current_balance])</f>
        <v>105779369</v>
      </c>
      <c r="AB288" s="2">
        <f>COUNTIF(Table1[loan_status],Table1[[#This Row],[loan_status]])</f>
        <v>139</v>
      </c>
      <c r="AC288" s="2">
        <f>COUNTIF(Table1[default_flag],1)/ROWS(Table1[loan_id])</f>
        <v>2.5999999999999999E-2</v>
      </c>
      <c r="AD288" s="2">
        <f>COUNTIFS(Table1[region],Table1[[#This Row],[region]],Table1[default_flag],1)/COUNTIF(Table1[region],Table1[[#This Row],[region]])</f>
        <v>2.6548672566371681E-2</v>
      </c>
      <c r="AE288" s="2">
        <f>COUNTIFS(Table1[channel],Table1[[#This Row],[channel]],Table1[prepayment_flag],1)/COUNTIF(Table1[channel],Table1[[#This Row],[channel]])</f>
        <v>5.8201058201058198E-2</v>
      </c>
      <c r="AF288" s="2">
        <f>AVERAGEIFS(Table1[interest_rate_pct],Table1[product],Table1[[#This Row],[product]],Table1[risk_band],Table1[[#This Row],[risk_band]])</f>
        <v>17.744166666666668</v>
      </c>
      <c r="AG288" s="2" t="str" cm="1">
        <f t="array" ref="AG288">_xlfn.IFS(Table1[[#This Row],[dti_ratio]] &lt; 0.2, " less than 0.2", Table1[[#This Row],[dti_ratio]] &lt; 0.3, "0.2 - 0.3", Table1[[#This Row],[dti_ratio]] &lt;= 0.5, "0.35 - 0.5", Table1[[#This Row],[dti_ratio]] &gt; 0.5, "greater than 0.5")</f>
        <v>0.35 - 0.5</v>
      </c>
      <c r="AH288" s="2">
        <f>COUNTIF(Table1[DTI band],Table1[[#This Row],[DTI band]])</f>
        <v>260</v>
      </c>
      <c r="AI288" s="2" t="str" cm="1">
        <f t="array" ref="AI288">_xlfn.IFS(Table1[[#This Row],[ltv_ratio]] &lt; 0.6, "less than 0.6 -less risky", Table1[[#This Row],[ltv_ratio]]  &lt;= 0.8, "0.6 - 0.8 -medium risky",Table1[[#This Row],[ltv_ratio]] &gt; 0.8, "greater than 0.8 -highly risky")</f>
        <v>0.6 - 0.8 -medium risky</v>
      </c>
      <c r="AJ288" s="2">
        <f>COUNTIF(Table1[LTV band],Table1[[#This Row],[LTV band]])</f>
        <v>302</v>
      </c>
      <c r="AK288" s="2">
        <f>COUNTIFS(Table1[count_loan_perband],Table1[[#This Row],[count_loan_perband]],Table1[default_flag],1)/COUNTIF(Table1[count_loan_perband],Table1[[#This Row],[count_loan_perband]])</f>
        <v>3.6423841059602648E-2</v>
      </c>
      <c r="AL288" s="2" t="str" cm="1">
        <f t="array" ref="AL288">_xlfn.IFS(Table1[[#This Row],[loan_amount]] &lt; 900000, "lower size (&lt; 9L)", Table1[[#This Row],[loan_amount]] &lt;=3300000, "medium size (&lt;=33L)", Table1[[#This Row],[loan_amount]] &gt; 3300000, "larger size (&gt; 33L)")</f>
        <v>lower size (&lt; 9L)</v>
      </c>
      <c r="AM288" s="2">
        <f>IF(Table1[[#This Row],[dpd]] &gt;=30,1,0)</f>
        <v>0</v>
      </c>
      <c r="AN288" s="2">
        <f>COUNTIFS(Table1[Loan size],Table1[[#This Row],[Loan size]],Table1[dpd flag],1)/COUNTIF(Table1[Loan size],Table1[[#This Row],[Loan size]])</f>
        <v>0.13934426229508196</v>
      </c>
      <c r="AO288" s="2" t="str">
        <f>IF(OR(Table1[[#This Row],[credit_score]] &lt; 600, Table1[ [#This Row],[dti_ratio] ] &gt; 0.5, Table1[[#This Row],[dpd]] &gt;=30), "high risk", " not riskY")</f>
        <v>high risk</v>
      </c>
      <c r="AP288" s="26">
        <f>EOMONTH(Table1[[#This Row],[origination_date]],0)</f>
        <v>44773</v>
      </c>
      <c r="AQ288" s="2">
        <f>SUMIFS(Table1[loan_amount],Table1[origination month],Table1[[#This Row],[origination month]])</f>
        <v>4518700</v>
      </c>
      <c r="AR288" s="2">
        <f>AVERAGEIFS(Table1[months_on_book],Table1[product],Table1[[#This Row],[product]])</f>
        <v>20.262135922330096</v>
      </c>
      <c r="AS288" s="2" t="str">
        <f ca="1">IF(EDATE(Table1[[#This Row],[origination_date]],6) &gt;= TODAY(), "New Loan", "Old Loan")</f>
        <v>Old Loan</v>
      </c>
      <c r="AT288" s="2" t="str">
        <f>"Q"&amp;ROUNDUP(MONTH(Table1[[#This Row],[origination_date]])/3,0)&amp;YEAR(Table1[[#This Row],[origination_date]])</f>
        <v>Q32022</v>
      </c>
      <c r="AU288" s="2">
        <f>SUMIFS(Table1[loan_amount],Table1[quarter],Table1[[#This Row],[quarter]])</f>
        <v>29441400</v>
      </c>
      <c r="AV288" s="34" t="str">
        <f>_xlfn.TEXTJOIN("|",TRUE,Table1[[#This Row],[loan_id]:[loan_status]])</f>
        <v>L76903831|C5437751|44768|Auto Loan|Branch|North|Salaried|12|378900|17.28|34608|1432595|562|E|0.3|0.7|542300|12|381832|23258|0|0|0|Closed</v>
      </c>
      <c r="AW288" s="42">
        <f>YEAR(Loan_Table[ [#This Row],[origination_date] ])</f>
        <v>2023</v>
      </c>
    </row>
    <row r="289" spans="2:49" ht="18" customHeight="1">
      <c r="B289" s="5" t="s">
        <v>698</v>
      </c>
      <c r="C289" s="2" t="s">
        <v>699</v>
      </c>
      <c r="D289" s="3">
        <v>44761</v>
      </c>
      <c r="E289" s="2" t="s">
        <v>131</v>
      </c>
      <c r="F289" s="2" t="s">
        <v>132</v>
      </c>
      <c r="G289" s="2" t="s">
        <v>151</v>
      </c>
      <c r="H289" s="2" t="s">
        <v>134</v>
      </c>
      <c r="I289" s="2">
        <v>240</v>
      </c>
      <c r="J289" s="2">
        <v>416800</v>
      </c>
      <c r="K289" s="2">
        <v>22.07</v>
      </c>
      <c r="L289" s="2">
        <v>7763</v>
      </c>
      <c r="M289" s="2">
        <v>760982</v>
      </c>
      <c r="N289" s="2">
        <v>589</v>
      </c>
      <c r="O289" s="2" t="s">
        <v>166</v>
      </c>
      <c r="P289" s="2">
        <v>0.28999999999999998</v>
      </c>
      <c r="Q289" s="2">
        <v>0.53</v>
      </c>
      <c r="R289" s="2">
        <v>0</v>
      </c>
      <c r="S289" s="2">
        <v>41</v>
      </c>
      <c r="T289" s="2">
        <v>323820</v>
      </c>
      <c r="U289" s="2">
        <v>218697</v>
      </c>
      <c r="V289" s="2">
        <v>60</v>
      </c>
      <c r="W289" s="2">
        <v>0</v>
      </c>
      <c r="X289" s="2">
        <v>0</v>
      </c>
      <c r="Y289" s="2" t="s">
        <v>136</v>
      </c>
      <c r="Z289" s="12">
        <f>SUMIF(Table1[product],Table1[[#This Row],[product]],Table1[loan_amount])</f>
        <v>74897600</v>
      </c>
      <c r="AA289" s="15">
        <f>SUMIF(Table1[region],Table1[[#This Row],[region]],Table1[current_balance])</f>
        <v>105779369</v>
      </c>
      <c r="AB289" s="2">
        <f>COUNTIF(Table1[loan_status],Table1[[#This Row],[loan_status]])</f>
        <v>47</v>
      </c>
      <c r="AC289" s="2">
        <f>COUNTIF(Table1[default_flag],1)/ROWS(Table1[loan_id])</f>
        <v>2.5999999999999999E-2</v>
      </c>
      <c r="AD289" s="2">
        <f>COUNTIFS(Table1[region],Table1[[#This Row],[region]],Table1[default_flag],1)/COUNTIF(Table1[region],Table1[[#This Row],[region]])</f>
        <v>2.6548672566371681E-2</v>
      </c>
      <c r="AE289" s="2">
        <f>COUNTIFS(Table1[channel],Table1[[#This Row],[channel]],Table1[prepayment_flag],1)/COUNTIF(Table1[channel],Table1[[#This Row],[channel]])</f>
        <v>7.1090047393364927E-2</v>
      </c>
      <c r="AF289" s="2">
        <f>AVERAGEIFS(Table1[interest_rate_pct],Table1[product],Table1[[#This Row],[product]],Table1[risk_band],Table1[[#This Row],[risk_band]])</f>
        <v>23.803750000000001</v>
      </c>
      <c r="AG289" s="2" t="str" cm="1">
        <f t="array" ref="AG289">_xlfn.IFS(Table1[[#This Row],[dti_ratio]] &lt; 0.2, " less than 0.2", Table1[[#This Row],[dti_ratio]] &lt; 0.3, "0.2 - 0.3", Table1[[#This Row],[dti_ratio]] &lt;= 0.5, "0.35 - 0.5", Table1[[#This Row],[dti_ratio]] &gt; 0.5, "greater than 0.5")</f>
        <v>0.2 - 0.3</v>
      </c>
      <c r="AH289" s="2">
        <f>COUNTIF(Table1[DTI band],Table1[[#This Row],[DTI band]])</f>
        <v>122</v>
      </c>
      <c r="AI289" s="2" t="str" cm="1">
        <f t="array" ref="AI289">_xlfn.IFS(Table1[[#This Row],[ltv_ratio]] &lt; 0.6, "less than 0.6 -less risky", Table1[[#This Row],[ltv_ratio]]  &lt;= 0.8, "0.6 - 0.8 -medium risky",Table1[[#This Row],[ltv_ratio]] &gt; 0.8, "greater than 0.8 -highly risky")</f>
        <v>less than 0.6 -less risky</v>
      </c>
      <c r="AJ289" s="2">
        <f>COUNTIF(Table1[LTV band],Table1[[#This Row],[LTV band]])</f>
        <v>57</v>
      </c>
      <c r="AK289" s="2">
        <f>COUNTIFS(Table1[count_loan_perband],Table1[[#This Row],[count_loan_perband]],Table1[default_flag],1)/COUNTIF(Table1[count_loan_perband],Table1[[#This Row],[count_loan_perband]])</f>
        <v>0</v>
      </c>
      <c r="AL289" s="2" t="str" cm="1">
        <f t="array" ref="AL289">_xlfn.IFS(Table1[[#This Row],[loan_amount]] &lt; 900000, "lower size (&lt; 9L)", Table1[[#This Row],[loan_amount]] &lt;=3300000, "medium size (&lt;=33L)", Table1[[#This Row],[loan_amount]] &gt; 3300000, "larger size (&gt; 33L)")</f>
        <v>lower size (&lt; 9L)</v>
      </c>
      <c r="AM289" s="2">
        <f>IF(Table1[[#This Row],[dpd]] &gt;=30,1,0)</f>
        <v>1</v>
      </c>
      <c r="AN289" s="2">
        <f>COUNTIFS(Table1[Loan size],Table1[[#This Row],[Loan size]],Table1[dpd flag],1)/COUNTIF(Table1[Loan size],Table1[[#This Row],[Loan size]])</f>
        <v>0.13934426229508196</v>
      </c>
      <c r="AO289" s="2" t="str">
        <f>IF(OR(Table1[[#This Row],[credit_score]] &lt; 600, Table1[ [#This Row],[dti_ratio] ] &gt; 0.5, Table1[[#This Row],[dpd]] &gt;=30), "high risk", " not riskY")</f>
        <v>high risk</v>
      </c>
      <c r="AP289" s="26">
        <f>EOMONTH(Table1[[#This Row],[origination_date]],0)</f>
        <v>44773</v>
      </c>
      <c r="AQ289" s="2">
        <f>SUMIFS(Table1[loan_amount],Table1[origination month],Table1[[#This Row],[origination month]])</f>
        <v>4518700</v>
      </c>
      <c r="AR289" s="2">
        <f>AVERAGEIFS(Table1[months_on_book],Table1[product],Table1[[#This Row],[product]])</f>
        <v>21.092024539877301</v>
      </c>
      <c r="AS289" s="2" t="str">
        <f ca="1">IF(EDATE(Table1[[#This Row],[origination_date]],6) &gt;= TODAY(), "New Loan", "Old Loan")</f>
        <v>Old Loan</v>
      </c>
      <c r="AT289" s="2" t="str">
        <f>"Q"&amp;ROUNDUP(MONTH(Table1[[#This Row],[origination_date]])/3,0)&amp;YEAR(Table1[[#This Row],[origination_date]])</f>
        <v>Q32022</v>
      </c>
      <c r="AU289" s="2">
        <f>SUMIFS(Table1[loan_amount],Table1[quarter],Table1[[#This Row],[quarter]])</f>
        <v>29441400</v>
      </c>
      <c r="AV289" s="34" t="str">
        <f>_xlfn.TEXTJOIN("|",TRUE,Table1[[#This Row],[loan_id]:[loan_status]])</f>
        <v>L55753532|C2164027|44761|Personal Loan|Online|North|Salaried|240|416800|22.07|7763|760982|589|E|0.29|0.53|0|41|323820|218697|60|0|0|Delinquent</v>
      </c>
      <c r="AW289" s="42">
        <f>YEAR(Loan_Table[ [#This Row],[origination_date] ])</f>
        <v>2023</v>
      </c>
    </row>
    <row r="290" spans="2:49" ht="18" customHeight="1">
      <c r="B290" s="5" t="s">
        <v>700</v>
      </c>
      <c r="C290" s="2" t="s">
        <v>701</v>
      </c>
      <c r="D290" s="3">
        <v>44781</v>
      </c>
      <c r="E290" s="2" t="s">
        <v>131</v>
      </c>
      <c r="F290" s="2" t="s">
        <v>132</v>
      </c>
      <c r="G290" s="2" t="s">
        <v>139</v>
      </c>
      <c r="H290" s="2" t="s">
        <v>192</v>
      </c>
      <c r="I290" s="2">
        <v>12</v>
      </c>
      <c r="J290" s="2">
        <v>280700</v>
      </c>
      <c r="K290" s="2">
        <v>12.65</v>
      </c>
      <c r="L290" s="2">
        <v>25025</v>
      </c>
      <c r="M290" s="2">
        <v>899212</v>
      </c>
      <c r="N290" s="2">
        <v>780</v>
      </c>
      <c r="O290" s="2" t="s">
        <v>160</v>
      </c>
      <c r="P290" s="2">
        <v>0.28999999999999998</v>
      </c>
      <c r="Q290" s="2">
        <v>0.62</v>
      </c>
      <c r="R290" s="2">
        <v>0</v>
      </c>
      <c r="S290" s="2">
        <v>12</v>
      </c>
      <c r="T290" s="2">
        <v>282241</v>
      </c>
      <c r="U290" s="2">
        <v>12662</v>
      </c>
      <c r="V290" s="2">
        <v>30</v>
      </c>
      <c r="W290" s="2">
        <v>0</v>
      </c>
      <c r="X290" s="2">
        <v>0</v>
      </c>
      <c r="Y290" s="2" t="s">
        <v>141</v>
      </c>
      <c r="Z290" s="12">
        <f>SUMIF(Table1[product],Table1[[#This Row],[product]],Table1[loan_amount])</f>
        <v>74897600</v>
      </c>
      <c r="AA290" s="15">
        <f>SUMIF(Table1[region],Table1[[#This Row],[region]],Table1[current_balance])</f>
        <v>83903255</v>
      </c>
      <c r="AB290" s="2">
        <f>COUNTIF(Table1[loan_status],Table1[[#This Row],[loan_status]])</f>
        <v>139</v>
      </c>
      <c r="AC290" s="2">
        <f>COUNTIF(Table1[default_flag],1)/ROWS(Table1[loan_id])</f>
        <v>2.5999999999999999E-2</v>
      </c>
      <c r="AD290" s="2">
        <f>COUNTIFS(Table1[region],Table1[[#This Row],[region]],Table1[default_flag],1)/COUNTIF(Table1[region],Table1[[#This Row],[region]])</f>
        <v>4.2553191489361701E-2</v>
      </c>
      <c r="AE290" s="2">
        <f>COUNTIFS(Table1[channel],Table1[[#This Row],[channel]],Table1[prepayment_flag],1)/COUNTIF(Table1[channel],Table1[[#This Row],[channel]])</f>
        <v>7.1090047393364927E-2</v>
      </c>
      <c r="AF290" s="2">
        <f>AVERAGEIFS(Table1[interest_rate_pct],Table1[product],Table1[[#This Row],[product]],Table1[risk_band],Table1[[#This Row],[risk_band]])</f>
        <v>13.328333333333335</v>
      </c>
      <c r="AG290" s="2" t="str" cm="1">
        <f t="array" ref="AG290">_xlfn.IFS(Table1[[#This Row],[dti_ratio]] &lt; 0.2, " less than 0.2", Table1[[#This Row],[dti_ratio]] &lt; 0.3, "0.2 - 0.3", Table1[[#This Row],[dti_ratio]] &lt;= 0.5, "0.35 - 0.5", Table1[[#This Row],[dti_ratio]] &gt; 0.5, "greater than 0.5")</f>
        <v>0.2 - 0.3</v>
      </c>
      <c r="AH290" s="2">
        <f>COUNTIF(Table1[DTI band],Table1[[#This Row],[DTI band]])</f>
        <v>122</v>
      </c>
      <c r="AI290" s="2" t="str" cm="1">
        <f t="array" ref="AI290">_xlfn.IFS(Table1[[#This Row],[ltv_ratio]] &lt; 0.6, "less than 0.6 -less risky", Table1[[#This Row],[ltv_ratio]]  &lt;= 0.8, "0.6 - 0.8 -medium risky",Table1[[#This Row],[ltv_ratio]] &gt; 0.8, "greater than 0.8 -highly risky")</f>
        <v>0.6 - 0.8 -medium risky</v>
      </c>
      <c r="AJ290" s="2">
        <f>COUNTIF(Table1[LTV band],Table1[[#This Row],[LTV band]])</f>
        <v>302</v>
      </c>
      <c r="AK290" s="2">
        <f>COUNTIFS(Table1[count_loan_perband],Table1[[#This Row],[count_loan_perband]],Table1[default_flag],1)/COUNTIF(Table1[count_loan_perband],Table1[[#This Row],[count_loan_perband]])</f>
        <v>3.6423841059602648E-2</v>
      </c>
      <c r="AL290" s="2" t="str" cm="1">
        <f t="array" ref="AL290">_xlfn.IFS(Table1[[#This Row],[loan_amount]] &lt; 900000, "lower size (&lt; 9L)", Table1[[#This Row],[loan_amount]] &lt;=3300000, "medium size (&lt;=33L)", Table1[[#This Row],[loan_amount]] &gt; 3300000, "larger size (&gt; 33L)")</f>
        <v>lower size (&lt; 9L)</v>
      </c>
      <c r="AM290" s="2">
        <f>IF(Table1[[#This Row],[dpd]] &gt;=30,1,0)</f>
        <v>1</v>
      </c>
      <c r="AN290" s="2">
        <f>COUNTIFS(Table1[Loan size],Table1[[#This Row],[Loan size]],Table1[dpd flag],1)/COUNTIF(Table1[Loan size],Table1[[#This Row],[Loan size]])</f>
        <v>0.13934426229508196</v>
      </c>
      <c r="AO290" s="2" t="str">
        <f>IF(OR(Table1[[#This Row],[credit_score]] &lt; 600, Table1[ [#This Row],[dti_ratio] ] &gt; 0.5, Table1[[#This Row],[dpd]] &gt;=30), "high risk", " not riskY")</f>
        <v>high risk</v>
      </c>
      <c r="AP290" s="26">
        <f>EOMONTH(Table1[[#This Row],[origination_date]],0)</f>
        <v>44804</v>
      </c>
      <c r="AQ290" s="2">
        <f>SUMIFS(Table1[loan_amount],Table1[origination month],Table1[[#This Row],[origination month]])</f>
        <v>9810900</v>
      </c>
      <c r="AR290" s="2">
        <f>AVERAGEIFS(Table1[months_on_book],Table1[product],Table1[[#This Row],[product]])</f>
        <v>21.092024539877301</v>
      </c>
      <c r="AS290" s="2" t="str">
        <f ca="1">IF(EDATE(Table1[[#This Row],[origination_date]],6) &gt;= TODAY(), "New Loan", "Old Loan")</f>
        <v>Old Loan</v>
      </c>
      <c r="AT290" s="2" t="str">
        <f>"Q"&amp;ROUNDUP(MONTH(Table1[[#This Row],[origination_date]])/3,0)&amp;YEAR(Table1[[#This Row],[origination_date]])</f>
        <v>Q32022</v>
      </c>
      <c r="AU290" s="2">
        <f>SUMIFS(Table1[loan_amount],Table1[quarter],Table1[[#This Row],[quarter]])</f>
        <v>29441400</v>
      </c>
      <c r="AV290" s="34" t="str">
        <f>_xlfn.TEXTJOIN("|",TRUE,Table1[[#This Row],[loan_id]:[loan_status]])</f>
        <v>L78227896|C1480437|44781|Personal Loan|Online|West|Unemployed|12|280700|12.65|25025|899212|780|A|0.29|0.62|0|12|282241|12662|30|0|0|Closed</v>
      </c>
      <c r="AW290" s="42">
        <f>YEAR(Loan_Table[ [#This Row],[origination_date] ])</f>
        <v>2023</v>
      </c>
    </row>
    <row r="291" spans="2:49" ht="18" customHeight="1">
      <c r="B291" s="5" t="s">
        <v>702</v>
      </c>
      <c r="C291" s="2" t="s">
        <v>703</v>
      </c>
      <c r="D291" s="3">
        <v>44805</v>
      </c>
      <c r="E291" s="2" t="s">
        <v>131</v>
      </c>
      <c r="F291" s="2" t="s">
        <v>144</v>
      </c>
      <c r="G291" s="2" t="s">
        <v>145</v>
      </c>
      <c r="H291" s="2" t="s">
        <v>134</v>
      </c>
      <c r="I291" s="2">
        <v>24</v>
      </c>
      <c r="J291" s="2">
        <v>361500</v>
      </c>
      <c r="K291" s="2">
        <v>13.36</v>
      </c>
      <c r="L291" s="2">
        <v>17248</v>
      </c>
      <c r="M291" s="2">
        <v>784777</v>
      </c>
      <c r="N291" s="2">
        <v>772</v>
      </c>
      <c r="O291" s="2" t="s">
        <v>160</v>
      </c>
      <c r="P291" s="2">
        <v>0.28999999999999998</v>
      </c>
      <c r="Q291" s="2">
        <v>0.92</v>
      </c>
      <c r="R291" s="2">
        <v>0</v>
      </c>
      <c r="S291" s="2">
        <v>24</v>
      </c>
      <c r="T291" s="2">
        <v>374206</v>
      </c>
      <c r="U291" s="2">
        <v>25931</v>
      </c>
      <c r="V291" s="2">
        <v>0</v>
      </c>
      <c r="W291" s="2">
        <v>0</v>
      </c>
      <c r="X291" s="2">
        <v>0</v>
      </c>
      <c r="Y291" s="2" t="s">
        <v>141</v>
      </c>
      <c r="Z291" s="12">
        <f>SUMIF(Table1[product],Table1[[#This Row],[product]],Table1[loan_amount])</f>
        <v>74897600</v>
      </c>
      <c r="AA291" s="15">
        <f>SUMIF(Table1[region],Table1[[#This Row],[region]],Table1[current_balance])</f>
        <v>98928695</v>
      </c>
      <c r="AB291" s="2">
        <f>COUNTIF(Table1[loan_status],Table1[[#This Row],[loan_status]])</f>
        <v>139</v>
      </c>
      <c r="AC291" s="2">
        <f>COUNTIF(Table1[default_flag],1)/ROWS(Table1[loan_id])</f>
        <v>2.5999999999999999E-2</v>
      </c>
      <c r="AD291" s="2">
        <f>COUNTIFS(Table1[region],Table1[[#This Row],[region]],Table1[default_flag],1)/COUNTIF(Table1[region],Table1[[#This Row],[region]])</f>
        <v>2.8571428571428571E-2</v>
      </c>
      <c r="AE291" s="2">
        <f>COUNTIFS(Table1[channel],Table1[[#This Row],[channel]],Table1[prepayment_flag],1)/COUNTIF(Table1[channel],Table1[[#This Row],[channel]])</f>
        <v>5.8201058201058198E-2</v>
      </c>
      <c r="AF291" s="2">
        <f>AVERAGEIFS(Table1[interest_rate_pct],Table1[product],Table1[[#This Row],[product]],Table1[risk_band],Table1[[#This Row],[risk_band]])</f>
        <v>13.328333333333335</v>
      </c>
      <c r="AG291" s="2" t="str" cm="1">
        <f t="array" ref="AG291">_xlfn.IFS(Table1[[#This Row],[dti_ratio]] &lt; 0.2, " less than 0.2", Table1[[#This Row],[dti_ratio]] &lt; 0.3, "0.2 - 0.3", Table1[[#This Row],[dti_ratio]] &lt;= 0.5, "0.35 - 0.5", Table1[[#This Row],[dti_ratio]] &gt; 0.5, "greater than 0.5")</f>
        <v>0.2 - 0.3</v>
      </c>
      <c r="AH291" s="2">
        <f>COUNTIF(Table1[DTI band],Table1[[#This Row],[DTI band]])</f>
        <v>122</v>
      </c>
      <c r="AI291" s="2" t="str" cm="1">
        <f t="array" ref="AI291">_xlfn.IFS(Table1[[#This Row],[ltv_ratio]] &lt; 0.6, "less than 0.6 -less risky", Table1[[#This Row],[ltv_ratio]]  &lt;= 0.8, "0.6 - 0.8 -medium risky",Table1[[#This Row],[ltv_ratio]] &gt; 0.8, "greater than 0.8 -highly risky")</f>
        <v>greater than 0.8 -highly risky</v>
      </c>
      <c r="AJ291" s="2">
        <f>COUNTIF(Table1[LTV band],Table1[[#This Row],[LTV band]])</f>
        <v>141</v>
      </c>
      <c r="AK291" s="2">
        <f>COUNTIFS(Table1[count_loan_perband],Table1[[#This Row],[count_loan_perband]],Table1[default_flag],1)/COUNTIF(Table1[count_loan_perband],Table1[[#This Row],[count_loan_perband]])</f>
        <v>1.4184397163120567E-2</v>
      </c>
      <c r="AL291" s="2" t="str" cm="1">
        <f t="array" ref="AL291">_xlfn.IFS(Table1[[#This Row],[loan_amount]] &lt; 900000, "lower size (&lt; 9L)", Table1[[#This Row],[loan_amount]] &lt;=3300000, "medium size (&lt;=33L)", Table1[[#This Row],[loan_amount]] &gt; 3300000, "larger size (&gt; 33L)")</f>
        <v>lower size (&lt; 9L)</v>
      </c>
      <c r="AM291" s="2">
        <f>IF(Table1[[#This Row],[dpd]] &gt;=30,1,0)</f>
        <v>0</v>
      </c>
      <c r="AN291" s="2">
        <f>COUNTIFS(Table1[Loan size],Table1[[#This Row],[Loan size]],Table1[dpd flag],1)/COUNTIF(Table1[Loan size],Table1[[#This Row],[Loan size]])</f>
        <v>0.13934426229508196</v>
      </c>
      <c r="AO291" s="2" t="str">
        <f>IF(OR(Table1[[#This Row],[credit_score]] &lt; 600, Table1[ [#This Row],[dti_ratio] ] &gt; 0.5, Table1[[#This Row],[dpd]] &gt;=30), "high risk", " not riskY")</f>
        <v xml:space="preserve"> not riskY</v>
      </c>
      <c r="AP291" s="26">
        <f>EOMONTH(Table1[[#This Row],[origination_date]],0)</f>
        <v>44834</v>
      </c>
      <c r="AQ291" s="2">
        <f>SUMIFS(Table1[loan_amount],Table1[origination month],Table1[[#This Row],[origination month]])</f>
        <v>15111800</v>
      </c>
      <c r="AR291" s="2">
        <f>AVERAGEIFS(Table1[months_on_book],Table1[product],Table1[[#This Row],[product]])</f>
        <v>21.092024539877301</v>
      </c>
      <c r="AS291" s="2" t="str">
        <f ca="1">IF(EDATE(Table1[[#This Row],[origination_date]],6) &gt;= TODAY(), "New Loan", "Old Loan")</f>
        <v>Old Loan</v>
      </c>
      <c r="AT291" s="2" t="str">
        <f>"Q"&amp;ROUNDUP(MONTH(Table1[[#This Row],[origination_date]])/3,0)&amp;YEAR(Table1[[#This Row],[origination_date]])</f>
        <v>Q32022</v>
      </c>
      <c r="AU291" s="2">
        <f>SUMIFS(Table1[loan_amount],Table1[quarter],Table1[[#This Row],[quarter]])</f>
        <v>29441400</v>
      </c>
      <c r="AV291" s="34" t="str">
        <f>_xlfn.TEXTJOIN("|",TRUE,Table1[[#This Row],[loan_id]:[loan_status]])</f>
        <v>L66725433|C9382342|44805|Personal Loan|Branch|Central|Salaried|24|361500|13.36|17248|784777|772|A|0.29|0.92|0|24|374206|25931|0|0|0|Closed</v>
      </c>
      <c r="AW291" s="42">
        <f>YEAR(Loan_Table[ [#This Row],[origination_date] ])</f>
        <v>2023</v>
      </c>
    </row>
    <row r="292" spans="2:49" ht="18" customHeight="1">
      <c r="B292" s="5" t="s">
        <v>704</v>
      </c>
      <c r="C292" s="2" t="s">
        <v>705</v>
      </c>
      <c r="D292" s="3">
        <v>44745</v>
      </c>
      <c r="E292" s="2" t="s">
        <v>131</v>
      </c>
      <c r="F292" s="2" t="s">
        <v>159</v>
      </c>
      <c r="G292" s="2" t="s">
        <v>151</v>
      </c>
      <c r="H292" s="2" t="s">
        <v>134</v>
      </c>
      <c r="I292" s="2">
        <v>24</v>
      </c>
      <c r="J292" s="2">
        <v>383800</v>
      </c>
      <c r="K292" s="2">
        <v>16.62</v>
      </c>
      <c r="L292" s="2">
        <v>18906</v>
      </c>
      <c r="M292" s="2">
        <v>1169138</v>
      </c>
      <c r="N292" s="2">
        <v>737</v>
      </c>
      <c r="O292" s="2" t="s">
        <v>135</v>
      </c>
      <c r="P292" s="2">
        <v>0.26</v>
      </c>
      <c r="Q292" s="2">
        <v>0.73</v>
      </c>
      <c r="R292" s="2">
        <v>0</v>
      </c>
      <c r="S292" s="2">
        <v>24</v>
      </c>
      <c r="T292" s="2">
        <v>394655</v>
      </c>
      <c r="U292" s="2">
        <v>40175</v>
      </c>
      <c r="V292" s="2">
        <v>0</v>
      </c>
      <c r="W292" s="2">
        <v>0</v>
      </c>
      <c r="X292" s="2">
        <v>0</v>
      </c>
      <c r="Y292" s="2" t="s">
        <v>141</v>
      </c>
      <c r="Z292" s="12">
        <f>SUMIF(Table1[product],Table1[[#This Row],[product]],Table1[loan_amount])</f>
        <v>74897600</v>
      </c>
      <c r="AA292" s="15">
        <f>SUMIF(Table1[region],Table1[[#This Row],[region]],Table1[current_balance])</f>
        <v>105779369</v>
      </c>
      <c r="AB292" s="2">
        <f>COUNTIF(Table1[loan_status],Table1[[#This Row],[loan_status]])</f>
        <v>139</v>
      </c>
      <c r="AC292" s="2">
        <f>COUNTIF(Table1[default_flag],1)/ROWS(Table1[loan_id])</f>
        <v>2.5999999999999999E-2</v>
      </c>
      <c r="AD292" s="2">
        <f>COUNTIFS(Table1[region],Table1[[#This Row],[region]],Table1[default_flag],1)/COUNTIF(Table1[region],Table1[[#This Row],[region]])</f>
        <v>2.6548672566371681E-2</v>
      </c>
      <c r="AE292" s="2">
        <f>COUNTIFS(Table1[channel],Table1[[#This Row],[channel]],Table1[prepayment_flag],1)/COUNTIF(Table1[channel],Table1[[#This Row],[channel]])</f>
        <v>0.1</v>
      </c>
      <c r="AF292" s="2">
        <f>AVERAGEIFS(Table1[interest_rate_pct],Table1[product],Table1[[#This Row],[product]],Table1[risk_band],Table1[[#This Row],[risk_band]])</f>
        <v>16.500166666666669</v>
      </c>
      <c r="AG292" s="2" t="str" cm="1">
        <f t="array" ref="AG292">_xlfn.IFS(Table1[[#This Row],[dti_ratio]] &lt; 0.2, " less than 0.2", Table1[[#This Row],[dti_ratio]] &lt; 0.3, "0.2 - 0.3", Table1[[#This Row],[dti_ratio]] &lt;= 0.5, "0.35 - 0.5", Table1[[#This Row],[dti_ratio]] &gt; 0.5, "greater than 0.5")</f>
        <v>0.2 - 0.3</v>
      </c>
      <c r="AH292" s="2">
        <f>COUNTIF(Table1[DTI band],Table1[[#This Row],[DTI band]])</f>
        <v>122</v>
      </c>
      <c r="AI292" s="2" t="str" cm="1">
        <f t="array" ref="AI292">_xlfn.IFS(Table1[[#This Row],[ltv_ratio]] &lt; 0.6, "less than 0.6 -less risky", Table1[[#This Row],[ltv_ratio]]  &lt;= 0.8, "0.6 - 0.8 -medium risky",Table1[[#This Row],[ltv_ratio]] &gt; 0.8, "greater than 0.8 -highly risky")</f>
        <v>0.6 - 0.8 -medium risky</v>
      </c>
      <c r="AJ292" s="2">
        <f>COUNTIF(Table1[LTV band],Table1[[#This Row],[LTV band]])</f>
        <v>302</v>
      </c>
      <c r="AK292" s="2">
        <f>COUNTIFS(Table1[count_loan_perband],Table1[[#This Row],[count_loan_perband]],Table1[default_flag],1)/COUNTIF(Table1[count_loan_perband],Table1[[#This Row],[count_loan_perband]])</f>
        <v>3.6423841059602648E-2</v>
      </c>
      <c r="AL292" s="2" t="str" cm="1">
        <f t="array" ref="AL292">_xlfn.IFS(Table1[[#This Row],[loan_amount]] &lt; 900000, "lower size (&lt; 9L)", Table1[[#This Row],[loan_amount]] &lt;=3300000, "medium size (&lt;=33L)", Table1[[#This Row],[loan_amount]] &gt; 3300000, "larger size (&gt; 33L)")</f>
        <v>lower size (&lt; 9L)</v>
      </c>
      <c r="AM292" s="2">
        <f>IF(Table1[[#This Row],[dpd]] &gt;=30,1,0)</f>
        <v>0</v>
      </c>
      <c r="AN292" s="2">
        <f>COUNTIFS(Table1[Loan size],Table1[[#This Row],[Loan size]],Table1[dpd flag],1)/COUNTIF(Table1[Loan size],Table1[[#This Row],[Loan size]])</f>
        <v>0.13934426229508196</v>
      </c>
      <c r="AO292" s="2" t="str">
        <f>IF(OR(Table1[[#This Row],[credit_score]] &lt; 600, Table1[ [#This Row],[dti_ratio] ] &gt; 0.5, Table1[[#This Row],[dpd]] &gt;=30), "high risk", " not riskY")</f>
        <v xml:space="preserve"> not riskY</v>
      </c>
      <c r="AP292" s="26">
        <f>EOMONTH(Table1[[#This Row],[origination_date]],0)</f>
        <v>44773</v>
      </c>
      <c r="AQ292" s="2">
        <f>SUMIFS(Table1[loan_amount],Table1[origination month],Table1[[#This Row],[origination month]])</f>
        <v>4518700</v>
      </c>
      <c r="AR292" s="2">
        <f>AVERAGEIFS(Table1[months_on_book],Table1[product],Table1[[#This Row],[product]])</f>
        <v>21.092024539877301</v>
      </c>
      <c r="AS292" s="2" t="str">
        <f ca="1">IF(EDATE(Table1[[#This Row],[origination_date]],6) &gt;= TODAY(), "New Loan", "Old Loan")</f>
        <v>Old Loan</v>
      </c>
      <c r="AT292" s="2" t="str">
        <f>"Q"&amp;ROUNDUP(MONTH(Table1[[#This Row],[origination_date]])/3,0)&amp;YEAR(Table1[[#This Row],[origination_date]])</f>
        <v>Q32022</v>
      </c>
      <c r="AU292" s="2">
        <f>SUMIFS(Table1[loan_amount],Table1[quarter],Table1[[#This Row],[quarter]])</f>
        <v>29441400</v>
      </c>
      <c r="AV292" s="34" t="str">
        <f>_xlfn.TEXTJOIN("|",TRUE,Table1[[#This Row],[loan_id]:[loan_status]])</f>
        <v>L18032585|C3466688|44745|Personal Loan|Partner|North|Salaried|24|383800|16.62|18906|1169138|737|B|0.26|0.73|0|24|394655|40175|0|0|0|Closed</v>
      </c>
      <c r="AW292" s="42">
        <f>YEAR(Loan_Table[ [#This Row],[origination_date] ])</f>
        <v>2023</v>
      </c>
    </row>
    <row r="293" spans="2:49" ht="18" customHeight="1">
      <c r="B293" s="5" t="s">
        <v>706</v>
      </c>
      <c r="C293" s="2" t="s">
        <v>707</v>
      </c>
      <c r="D293" s="3">
        <v>44815</v>
      </c>
      <c r="E293" s="2" t="s">
        <v>163</v>
      </c>
      <c r="F293" s="2" t="s">
        <v>144</v>
      </c>
      <c r="G293" s="2" t="s">
        <v>145</v>
      </c>
      <c r="H293" s="2" t="s">
        <v>134</v>
      </c>
      <c r="I293" s="2">
        <v>180</v>
      </c>
      <c r="J293" s="2">
        <v>924800</v>
      </c>
      <c r="K293" s="2">
        <v>11.7</v>
      </c>
      <c r="L293" s="2">
        <v>10921</v>
      </c>
      <c r="M293" s="2">
        <v>1225632</v>
      </c>
      <c r="N293" s="2">
        <v>680</v>
      </c>
      <c r="O293" s="2" t="s">
        <v>140</v>
      </c>
      <c r="P293" s="2">
        <v>0.24</v>
      </c>
      <c r="Q293" s="2">
        <v>0.87</v>
      </c>
      <c r="R293" s="2">
        <v>1067000</v>
      </c>
      <c r="S293" s="2">
        <v>39</v>
      </c>
      <c r="T293" s="2">
        <v>397032</v>
      </c>
      <c r="U293" s="2">
        <v>668430</v>
      </c>
      <c r="V293" s="2">
        <v>0</v>
      </c>
      <c r="W293" s="2">
        <v>0</v>
      </c>
      <c r="X293" s="2">
        <v>0</v>
      </c>
      <c r="Y293" s="2" t="s">
        <v>148</v>
      </c>
      <c r="Z293" s="12">
        <f>SUMIF(Table1[product],Table1[[#This Row],[product]],Table1[loan_amount])</f>
        <v>92273000</v>
      </c>
      <c r="AA293" s="15">
        <f>SUMIF(Table1[region],Table1[[#This Row],[region]],Table1[current_balance])</f>
        <v>98928695</v>
      </c>
      <c r="AB293" s="2">
        <f>COUNTIF(Table1[loan_status],Table1[[#This Row],[loan_status]])</f>
        <v>301</v>
      </c>
      <c r="AC293" s="2">
        <f>COUNTIF(Table1[default_flag],1)/ROWS(Table1[loan_id])</f>
        <v>2.5999999999999999E-2</v>
      </c>
      <c r="AD293" s="2">
        <f>COUNTIFS(Table1[region],Table1[[#This Row],[region]],Table1[default_flag],1)/COUNTIF(Table1[region],Table1[[#This Row],[region]])</f>
        <v>2.8571428571428571E-2</v>
      </c>
      <c r="AE293" s="2">
        <f>COUNTIFS(Table1[channel],Table1[[#This Row],[channel]],Table1[prepayment_flag],1)/COUNTIF(Table1[channel],Table1[[#This Row],[channel]])</f>
        <v>5.8201058201058198E-2</v>
      </c>
      <c r="AF293" s="2">
        <f>AVERAGEIFS(Table1[interest_rate_pct],Table1[product],Table1[[#This Row],[product]],Table1[risk_band],Table1[[#This Row],[risk_band]])</f>
        <v>13.246500000000001</v>
      </c>
      <c r="AG293" s="2" t="str" cm="1">
        <f t="array" ref="AG293">_xlfn.IFS(Table1[[#This Row],[dti_ratio]] &lt; 0.2, " less than 0.2", Table1[[#This Row],[dti_ratio]] &lt; 0.3, "0.2 - 0.3", Table1[[#This Row],[dti_ratio]] &lt;= 0.5, "0.35 - 0.5", Table1[[#This Row],[dti_ratio]] &gt; 0.5, "greater than 0.5")</f>
        <v>0.2 - 0.3</v>
      </c>
      <c r="AH293" s="2">
        <f>COUNTIF(Table1[DTI band],Table1[[#This Row],[DTI band]])</f>
        <v>122</v>
      </c>
      <c r="AI293" s="2" t="str" cm="1">
        <f t="array" ref="AI293">_xlfn.IFS(Table1[[#This Row],[ltv_ratio]] &lt; 0.6, "less than 0.6 -less risky", Table1[[#This Row],[ltv_ratio]]  &lt;= 0.8, "0.6 - 0.8 -medium risky",Table1[[#This Row],[ltv_ratio]] &gt; 0.8, "greater than 0.8 -highly risky")</f>
        <v>greater than 0.8 -highly risky</v>
      </c>
      <c r="AJ293" s="2">
        <f>COUNTIF(Table1[LTV band],Table1[[#This Row],[LTV band]])</f>
        <v>141</v>
      </c>
      <c r="AK293" s="2">
        <f>COUNTIFS(Table1[count_loan_perband],Table1[[#This Row],[count_loan_perband]],Table1[default_flag],1)/COUNTIF(Table1[count_loan_perband],Table1[[#This Row],[count_loan_perband]])</f>
        <v>1.4184397163120567E-2</v>
      </c>
      <c r="AL293" s="2" t="str" cm="1">
        <f t="array" ref="AL293">_xlfn.IFS(Table1[[#This Row],[loan_amount]] &lt; 900000, "lower size (&lt; 9L)", Table1[[#This Row],[loan_amount]] &lt;=3300000, "medium size (&lt;=33L)", Table1[[#This Row],[loan_amount]] &gt; 3300000, "larger size (&gt; 33L)")</f>
        <v>medium size (&lt;=33L)</v>
      </c>
      <c r="AM293" s="2">
        <f>IF(Table1[[#This Row],[dpd]] &gt;=30,1,0)</f>
        <v>0</v>
      </c>
      <c r="AN293" s="2">
        <f>COUNTIFS(Table1[Loan size],Table1[[#This Row],[Loan size]],Table1[dpd flag],1)/COUNTIF(Table1[Loan size],Table1[[#This Row],[Loan size]])</f>
        <v>0.15909090909090909</v>
      </c>
      <c r="AO293" s="2" t="str">
        <f>IF(OR(Table1[[#This Row],[credit_score]] &lt; 600, Table1[ [#This Row],[dti_ratio] ] &gt; 0.5, Table1[[#This Row],[dpd]] &gt;=30), "high risk", " not riskY")</f>
        <v xml:space="preserve"> not riskY</v>
      </c>
      <c r="AP293" s="26">
        <f>EOMONTH(Table1[[#This Row],[origination_date]],0)</f>
        <v>44834</v>
      </c>
      <c r="AQ293" s="2">
        <f>SUMIFS(Table1[loan_amount],Table1[origination month],Table1[[#This Row],[origination month]])</f>
        <v>15111800</v>
      </c>
      <c r="AR293" s="2">
        <f>AVERAGEIFS(Table1[months_on_book],Table1[product],Table1[[#This Row],[product]])</f>
        <v>20.262135922330096</v>
      </c>
      <c r="AS293" s="2" t="str">
        <f ca="1">IF(EDATE(Table1[[#This Row],[origination_date]],6) &gt;= TODAY(), "New Loan", "Old Loan")</f>
        <v>Old Loan</v>
      </c>
      <c r="AT293" s="2" t="str">
        <f>"Q"&amp;ROUNDUP(MONTH(Table1[[#This Row],[origination_date]])/3,0)&amp;YEAR(Table1[[#This Row],[origination_date]])</f>
        <v>Q32022</v>
      </c>
      <c r="AU293" s="2">
        <f>SUMIFS(Table1[loan_amount],Table1[quarter],Table1[[#This Row],[quarter]])</f>
        <v>29441400</v>
      </c>
      <c r="AV293" s="34" t="str">
        <f>_xlfn.TEXTJOIN("|",TRUE,Table1[[#This Row],[loan_id]:[loan_status]])</f>
        <v>L79439717|C1855861|44815|Auto Loan|Branch|Central|Salaried|180|924800|11.7|10921|1225632|680|C|0.24|0.87|1067000|39|397032|668430|0|0|0|Active</v>
      </c>
      <c r="AW293" s="42">
        <f>YEAR(Loan_Table[ [#This Row],[origination_date] ])</f>
        <v>2023</v>
      </c>
    </row>
    <row r="294" spans="2:49" ht="18" customHeight="1">
      <c r="B294" s="5" t="s">
        <v>708</v>
      </c>
      <c r="C294" s="2" t="s">
        <v>709</v>
      </c>
      <c r="D294" s="3">
        <v>44754</v>
      </c>
      <c r="E294" s="2" t="s">
        <v>131</v>
      </c>
      <c r="F294" s="2" t="s">
        <v>132</v>
      </c>
      <c r="G294" s="2" t="s">
        <v>139</v>
      </c>
      <c r="H294" s="2" t="s">
        <v>134</v>
      </c>
      <c r="I294" s="2">
        <v>120</v>
      </c>
      <c r="J294" s="2">
        <v>761800</v>
      </c>
      <c r="K294" s="2">
        <v>10.88</v>
      </c>
      <c r="L294" s="2">
        <v>10442</v>
      </c>
      <c r="M294" s="2">
        <v>1239432</v>
      </c>
      <c r="N294" s="2">
        <v>824</v>
      </c>
      <c r="O294" s="2" t="s">
        <v>160</v>
      </c>
      <c r="P294" s="2">
        <v>0.23</v>
      </c>
      <c r="Q294" s="2">
        <v>0.88</v>
      </c>
      <c r="R294" s="2">
        <v>0</v>
      </c>
      <c r="S294" s="2">
        <v>41</v>
      </c>
      <c r="T294" s="2">
        <v>432837</v>
      </c>
      <c r="U294" s="2">
        <v>442238</v>
      </c>
      <c r="V294" s="2">
        <v>0</v>
      </c>
      <c r="W294" s="2">
        <v>1</v>
      </c>
      <c r="X294" s="2">
        <v>0</v>
      </c>
      <c r="Y294" s="2" t="s">
        <v>141</v>
      </c>
      <c r="Z294" s="12">
        <f>SUMIF(Table1[product],Table1[[#This Row],[product]],Table1[loan_amount])</f>
        <v>74897600</v>
      </c>
      <c r="AA294" s="15">
        <f>SUMIF(Table1[region],Table1[[#This Row],[region]],Table1[current_balance])</f>
        <v>83903255</v>
      </c>
      <c r="AB294" s="2">
        <f>COUNTIF(Table1[loan_status],Table1[[#This Row],[loan_status]])</f>
        <v>139</v>
      </c>
      <c r="AC294" s="2">
        <f>COUNTIF(Table1[default_flag],1)/ROWS(Table1[loan_id])</f>
        <v>2.5999999999999999E-2</v>
      </c>
      <c r="AD294" s="2">
        <f>COUNTIFS(Table1[region],Table1[[#This Row],[region]],Table1[default_flag],1)/COUNTIF(Table1[region],Table1[[#This Row],[region]])</f>
        <v>4.2553191489361701E-2</v>
      </c>
      <c r="AE294" s="2">
        <f>COUNTIFS(Table1[channel],Table1[[#This Row],[channel]],Table1[prepayment_flag],1)/COUNTIF(Table1[channel],Table1[[#This Row],[channel]])</f>
        <v>7.1090047393364927E-2</v>
      </c>
      <c r="AF294" s="2">
        <f>AVERAGEIFS(Table1[interest_rate_pct],Table1[product],Table1[[#This Row],[product]],Table1[risk_band],Table1[[#This Row],[risk_band]])</f>
        <v>13.328333333333335</v>
      </c>
      <c r="AG294" s="2" t="str" cm="1">
        <f t="array" ref="AG294">_xlfn.IFS(Table1[[#This Row],[dti_ratio]] &lt; 0.2, " less than 0.2", Table1[[#This Row],[dti_ratio]] &lt; 0.3, "0.2 - 0.3", Table1[[#This Row],[dti_ratio]] &lt;= 0.5, "0.35 - 0.5", Table1[[#This Row],[dti_ratio]] &gt; 0.5, "greater than 0.5")</f>
        <v>0.2 - 0.3</v>
      </c>
      <c r="AH294" s="2">
        <f>COUNTIF(Table1[DTI band],Table1[[#This Row],[DTI band]])</f>
        <v>122</v>
      </c>
      <c r="AI294" s="2" t="str" cm="1">
        <f t="array" ref="AI294">_xlfn.IFS(Table1[[#This Row],[ltv_ratio]] &lt; 0.6, "less than 0.6 -less risky", Table1[[#This Row],[ltv_ratio]]  &lt;= 0.8, "0.6 - 0.8 -medium risky",Table1[[#This Row],[ltv_ratio]] &gt; 0.8, "greater than 0.8 -highly risky")</f>
        <v>greater than 0.8 -highly risky</v>
      </c>
      <c r="AJ294" s="2">
        <f>COUNTIF(Table1[LTV band],Table1[[#This Row],[LTV band]])</f>
        <v>141</v>
      </c>
      <c r="AK294" s="2">
        <f>COUNTIFS(Table1[count_loan_perband],Table1[[#This Row],[count_loan_perband]],Table1[default_flag],1)/COUNTIF(Table1[count_loan_perband],Table1[[#This Row],[count_loan_perband]])</f>
        <v>1.4184397163120567E-2</v>
      </c>
      <c r="AL294" s="2" t="str" cm="1">
        <f t="array" ref="AL294">_xlfn.IFS(Table1[[#This Row],[loan_amount]] &lt; 900000, "lower size (&lt; 9L)", Table1[[#This Row],[loan_amount]] &lt;=3300000, "medium size (&lt;=33L)", Table1[[#This Row],[loan_amount]] &gt; 3300000, "larger size (&gt; 33L)")</f>
        <v>lower size (&lt; 9L)</v>
      </c>
      <c r="AM294" s="2">
        <f>IF(Table1[[#This Row],[dpd]] &gt;=30,1,0)</f>
        <v>0</v>
      </c>
      <c r="AN294" s="2">
        <f>COUNTIFS(Table1[Loan size],Table1[[#This Row],[Loan size]],Table1[dpd flag],1)/COUNTIF(Table1[Loan size],Table1[[#This Row],[Loan size]])</f>
        <v>0.13934426229508196</v>
      </c>
      <c r="AO294" s="2" t="str">
        <f>IF(OR(Table1[[#This Row],[credit_score]] &lt; 600, Table1[ [#This Row],[dti_ratio] ] &gt; 0.5, Table1[[#This Row],[dpd]] &gt;=30), "high risk", " not riskY")</f>
        <v xml:space="preserve"> not riskY</v>
      </c>
      <c r="AP294" s="26">
        <f>EOMONTH(Table1[[#This Row],[origination_date]],0)</f>
        <v>44773</v>
      </c>
      <c r="AQ294" s="2">
        <f>SUMIFS(Table1[loan_amount],Table1[origination month],Table1[[#This Row],[origination month]])</f>
        <v>4518700</v>
      </c>
      <c r="AR294" s="2">
        <f>AVERAGEIFS(Table1[months_on_book],Table1[product],Table1[[#This Row],[product]])</f>
        <v>21.092024539877301</v>
      </c>
      <c r="AS294" s="2" t="str">
        <f ca="1">IF(EDATE(Table1[[#This Row],[origination_date]],6) &gt;= TODAY(), "New Loan", "Old Loan")</f>
        <v>Old Loan</v>
      </c>
      <c r="AT294" s="2" t="str">
        <f>"Q"&amp;ROUNDUP(MONTH(Table1[[#This Row],[origination_date]])/3,0)&amp;YEAR(Table1[[#This Row],[origination_date]])</f>
        <v>Q32022</v>
      </c>
      <c r="AU294" s="2">
        <f>SUMIFS(Table1[loan_amount],Table1[quarter],Table1[[#This Row],[quarter]])</f>
        <v>29441400</v>
      </c>
      <c r="AV294" s="34" t="str">
        <f>_xlfn.TEXTJOIN("|",TRUE,Table1[[#This Row],[loan_id]:[loan_status]])</f>
        <v>L23638594|C1515087|44754|Personal Loan|Online|West|Salaried|120|761800|10.88|10442|1239432|824|A|0.23|0.88|0|41|432837|442238|0|1|0|Closed</v>
      </c>
      <c r="AW294" s="42">
        <f>YEAR(Loan_Table[ [#This Row],[origination_date] ])</f>
        <v>2023</v>
      </c>
    </row>
    <row r="295" spans="2:49" ht="18" customHeight="1">
      <c r="B295" s="5" t="s">
        <v>710</v>
      </c>
      <c r="C295" s="2" t="s">
        <v>711</v>
      </c>
      <c r="D295" s="3">
        <v>44784</v>
      </c>
      <c r="E295" s="2" t="s">
        <v>131</v>
      </c>
      <c r="F295" s="2" t="s">
        <v>132</v>
      </c>
      <c r="G295" s="2" t="s">
        <v>139</v>
      </c>
      <c r="H295" s="2" t="s">
        <v>134</v>
      </c>
      <c r="I295" s="2">
        <v>24</v>
      </c>
      <c r="J295" s="2">
        <v>816900</v>
      </c>
      <c r="K295" s="2">
        <v>21.43</v>
      </c>
      <c r="L295" s="2">
        <v>42150</v>
      </c>
      <c r="M295" s="2">
        <v>1241594</v>
      </c>
      <c r="N295" s="2">
        <v>630</v>
      </c>
      <c r="O295" s="2" t="s">
        <v>147</v>
      </c>
      <c r="P295" s="2">
        <v>0.22</v>
      </c>
      <c r="Q295" s="2">
        <v>0.81</v>
      </c>
      <c r="R295" s="2">
        <v>0</v>
      </c>
      <c r="S295" s="2">
        <v>24</v>
      </c>
      <c r="T295" s="2">
        <v>1008804</v>
      </c>
      <c r="U295" s="2">
        <v>0</v>
      </c>
      <c r="V295" s="2">
        <v>0</v>
      </c>
      <c r="W295" s="2">
        <v>0</v>
      </c>
      <c r="X295" s="2">
        <v>0</v>
      </c>
      <c r="Y295" s="2" t="s">
        <v>141</v>
      </c>
      <c r="Z295" s="12">
        <f>SUMIF(Table1[product],Table1[[#This Row],[product]],Table1[loan_amount])</f>
        <v>74897600</v>
      </c>
      <c r="AA295" s="15">
        <f>SUMIF(Table1[region],Table1[[#This Row],[region]],Table1[current_balance])</f>
        <v>83903255</v>
      </c>
      <c r="AB295" s="2">
        <f>COUNTIF(Table1[loan_status],Table1[[#This Row],[loan_status]])</f>
        <v>139</v>
      </c>
      <c r="AC295" s="2">
        <f>COUNTIF(Table1[default_flag],1)/ROWS(Table1[loan_id])</f>
        <v>2.5999999999999999E-2</v>
      </c>
      <c r="AD295" s="2">
        <f>COUNTIFS(Table1[region],Table1[[#This Row],[region]],Table1[default_flag],1)/COUNTIF(Table1[region],Table1[[#This Row],[region]])</f>
        <v>4.2553191489361701E-2</v>
      </c>
      <c r="AE295" s="2">
        <f>COUNTIFS(Table1[channel],Table1[[#This Row],[channel]],Table1[prepayment_flag],1)/COUNTIF(Table1[channel],Table1[[#This Row],[channel]])</f>
        <v>7.1090047393364927E-2</v>
      </c>
      <c r="AF295" s="2">
        <f>AVERAGEIFS(Table1[interest_rate_pct],Table1[product],Table1[[#This Row],[product]],Table1[risk_band],Table1[[#This Row],[risk_band]])</f>
        <v>20.962592592592593</v>
      </c>
      <c r="AG295" s="2" t="str" cm="1">
        <f t="array" ref="AG295">_xlfn.IFS(Table1[[#This Row],[dti_ratio]] &lt; 0.2, " less than 0.2", Table1[[#This Row],[dti_ratio]] &lt; 0.3, "0.2 - 0.3", Table1[[#This Row],[dti_ratio]] &lt;= 0.5, "0.35 - 0.5", Table1[[#This Row],[dti_ratio]] &gt; 0.5, "greater than 0.5")</f>
        <v>0.2 - 0.3</v>
      </c>
      <c r="AH295" s="2">
        <f>COUNTIF(Table1[DTI band],Table1[[#This Row],[DTI band]])</f>
        <v>122</v>
      </c>
      <c r="AI295" s="2" t="str" cm="1">
        <f t="array" ref="AI295">_xlfn.IFS(Table1[[#This Row],[ltv_ratio]] &lt; 0.6, "less than 0.6 -less risky", Table1[[#This Row],[ltv_ratio]]  &lt;= 0.8, "0.6 - 0.8 -medium risky",Table1[[#This Row],[ltv_ratio]] &gt; 0.8, "greater than 0.8 -highly risky")</f>
        <v>greater than 0.8 -highly risky</v>
      </c>
      <c r="AJ295" s="2">
        <f>COUNTIF(Table1[LTV band],Table1[[#This Row],[LTV band]])</f>
        <v>141</v>
      </c>
      <c r="AK295" s="2">
        <f>COUNTIFS(Table1[count_loan_perband],Table1[[#This Row],[count_loan_perband]],Table1[default_flag],1)/COUNTIF(Table1[count_loan_perband],Table1[[#This Row],[count_loan_perband]])</f>
        <v>1.4184397163120567E-2</v>
      </c>
      <c r="AL295" s="2" t="str" cm="1">
        <f t="array" ref="AL295">_xlfn.IFS(Table1[[#This Row],[loan_amount]] &lt; 900000, "lower size (&lt; 9L)", Table1[[#This Row],[loan_amount]] &lt;=3300000, "medium size (&lt;=33L)", Table1[[#This Row],[loan_amount]] &gt; 3300000, "larger size (&gt; 33L)")</f>
        <v>lower size (&lt; 9L)</v>
      </c>
      <c r="AM295" s="2">
        <f>IF(Table1[[#This Row],[dpd]] &gt;=30,1,0)</f>
        <v>0</v>
      </c>
      <c r="AN295" s="2">
        <f>COUNTIFS(Table1[Loan size],Table1[[#This Row],[Loan size]],Table1[dpd flag],1)/COUNTIF(Table1[Loan size],Table1[[#This Row],[Loan size]])</f>
        <v>0.13934426229508196</v>
      </c>
      <c r="AO295" s="2" t="str">
        <f>IF(OR(Table1[[#This Row],[credit_score]] &lt; 600, Table1[ [#This Row],[dti_ratio] ] &gt; 0.5, Table1[[#This Row],[dpd]] &gt;=30), "high risk", " not riskY")</f>
        <v xml:space="preserve"> not riskY</v>
      </c>
      <c r="AP295" s="26">
        <f>EOMONTH(Table1[[#This Row],[origination_date]],0)</f>
        <v>44804</v>
      </c>
      <c r="AQ295" s="2">
        <f>SUMIFS(Table1[loan_amount],Table1[origination month],Table1[[#This Row],[origination month]])</f>
        <v>9810900</v>
      </c>
      <c r="AR295" s="2">
        <f>AVERAGEIFS(Table1[months_on_book],Table1[product],Table1[[#This Row],[product]])</f>
        <v>21.092024539877301</v>
      </c>
      <c r="AS295" s="2" t="str">
        <f ca="1">IF(EDATE(Table1[[#This Row],[origination_date]],6) &gt;= TODAY(), "New Loan", "Old Loan")</f>
        <v>Old Loan</v>
      </c>
      <c r="AT295" s="2" t="str">
        <f>"Q"&amp;ROUNDUP(MONTH(Table1[[#This Row],[origination_date]])/3,0)&amp;YEAR(Table1[[#This Row],[origination_date]])</f>
        <v>Q32022</v>
      </c>
      <c r="AU295" s="2">
        <f>SUMIFS(Table1[loan_amount],Table1[quarter],Table1[[#This Row],[quarter]])</f>
        <v>29441400</v>
      </c>
      <c r="AV295" s="34" t="str">
        <f>_xlfn.TEXTJOIN("|",TRUE,Table1[[#This Row],[loan_id]:[loan_status]])</f>
        <v>L55066706|C7386204|44784|Personal Loan|Online|West|Salaried|24|816900|21.43|42150|1241594|630|D|0.22|0.81|0|24|1008804|0|0|0|0|Closed</v>
      </c>
      <c r="AW295" s="42">
        <f>YEAR(Loan_Table[ [#This Row],[origination_date] ])</f>
        <v>2023</v>
      </c>
    </row>
    <row r="296" spans="2:49" ht="18" customHeight="1">
      <c r="B296" s="5" t="s">
        <v>712</v>
      </c>
      <c r="C296" s="2" t="s">
        <v>713</v>
      </c>
      <c r="D296" s="3">
        <v>44806</v>
      </c>
      <c r="E296" s="2" t="s">
        <v>169</v>
      </c>
      <c r="F296" s="2" t="s">
        <v>132</v>
      </c>
      <c r="G296" s="2" t="s">
        <v>145</v>
      </c>
      <c r="H296" s="2" t="s">
        <v>134</v>
      </c>
      <c r="I296" s="2">
        <v>120</v>
      </c>
      <c r="J296" s="2">
        <v>4805200</v>
      </c>
      <c r="K296" s="2">
        <v>7.9</v>
      </c>
      <c r="L296" s="2">
        <v>58047</v>
      </c>
      <c r="M296" s="2">
        <v>437231</v>
      </c>
      <c r="N296" s="2">
        <v>731</v>
      </c>
      <c r="O296" s="2" t="s">
        <v>135</v>
      </c>
      <c r="P296" s="2">
        <v>0.19</v>
      </c>
      <c r="Q296" s="2">
        <v>0.54</v>
      </c>
      <c r="R296" s="2">
        <v>8845900</v>
      </c>
      <c r="S296" s="2">
        <v>39</v>
      </c>
      <c r="T296" s="2">
        <v>2133659</v>
      </c>
      <c r="U296" s="2">
        <v>3165035</v>
      </c>
      <c r="V296" s="2">
        <v>30</v>
      </c>
      <c r="W296" s="2">
        <v>0</v>
      </c>
      <c r="X296" s="2">
        <v>0</v>
      </c>
      <c r="Y296" s="2" t="s">
        <v>136</v>
      </c>
      <c r="Z296" s="12">
        <f>SUMIF(Table1[product],Table1[[#This Row],[product]],Table1[loan_amount])</f>
        <v>403369500</v>
      </c>
      <c r="AA296" s="15">
        <f>SUMIF(Table1[region],Table1[[#This Row],[region]],Table1[current_balance])</f>
        <v>98928695</v>
      </c>
      <c r="AB296" s="2">
        <f>COUNTIF(Table1[loan_status],Table1[[#This Row],[loan_status]])</f>
        <v>47</v>
      </c>
      <c r="AC296" s="2">
        <f>COUNTIF(Table1[default_flag],1)/ROWS(Table1[loan_id])</f>
        <v>2.5999999999999999E-2</v>
      </c>
      <c r="AD296" s="2">
        <f>COUNTIFS(Table1[region],Table1[[#This Row],[region]],Table1[default_flag],1)/COUNTIF(Table1[region],Table1[[#This Row],[region]])</f>
        <v>2.8571428571428571E-2</v>
      </c>
      <c r="AE296" s="2">
        <f>COUNTIFS(Table1[channel],Table1[[#This Row],[channel]],Table1[prepayment_flag],1)/COUNTIF(Table1[channel],Table1[[#This Row],[channel]])</f>
        <v>7.1090047393364927E-2</v>
      </c>
      <c r="AF296" s="2">
        <f>AVERAGEIFS(Table1[interest_rate_pct],Table1[product],Table1[[#This Row],[product]],Table1[risk_band],Table1[[#This Row],[risk_band]])</f>
        <v>8.8557142857142868</v>
      </c>
      <c r="AG296" s="2" t="str" cm="1">
        <f t="array" ref="AG296">_xlfn.IFS(Table1[[#This Row],[dti_ratio]] &lt; 0.2, " less than 0.2", Table1[[#This Row],[dti_ratio]] &lt; 0.3, "0.2 - 0.3", Table1[[#This Row],[dti_ratio]] &lt;= 0.5, "0.35 - 0.5", Table1[[#This Row],[dti_ratio]] &gt; 0.5, "greater than 0.5")</f>
        <v xml:space="preserve"> less than 0.2</v>
      </c>
      <c r="AH296" s="2">
        <f>COUNTIF(Table1[DTI band],Table1[[#This Row],[DTI band]])</f>
        <v>86</v>
      </c>
      <c r="AI296" s="2" t="str" cm="1">
        <f t="array" ref="AI296">_xlfn.IFS(Table1[[#This Row],[ltv_ratio]] &lt; 0.6, "less than 0.6 -less risky", Table1[[#This Row],[ltv_ratio]]  &lt;= 0.8, "0.6 - 0.8 -medium risky",Table1[[#This Row],[ltv_ratio]] &gt; 0.8, "greater than 0.8 -highly risky")</f>
        <v>less than 0.6 -less risky</v>
      </c>
      <c r="AJ296" s="2">
        <f>COUNTIF(Table1[LTV band],Table1[[#This Row],[LTV band]])</f>
        <v>57</v>
      </c>
      <c r="AK296" s="2">
        <f>COUNTIFS(Table1[count_loan_perband],Table1[[#This Row],[count_loan_perband]],Table1[default_flag],1)/COUNTIF(Table1[count_loan_perband],Table1[[#This Row],[count_loan_perband]])</f>
        <v>0</v>
      </c>
      <c r="AL296" s="2" t="str" cm="1">
        <f t="array" ref="AL296">_xlfn.IFS(Table1[[#This Row],[loan_amount]] &lt; 900000, "lower size (&lt; 9L)", Table1[[#This Row],[loan_amount]] &lt;=3300000, "medium size (&lt;=33L)", Table1[[#This Row],[loan_amount]] &gt; 3300000, "larger size (&gt; 33L)")</f>
        <v>larger size (&gt; 33L)</v>
      </c>
      <c r="AM296" s="2">
        <f>IF(Table1[[#This Row],[dpd]] &gt;=30,1,0)</f>
        <v>1</v>
      </c>
      <c r="AN296" s="2">
        <f>COUNTIFS(Table1[Loan size],Table1[[#This Row],[Loan size]],Table1[dpd flag],1)/COUNTIF(Table1[Loan size],Table1[[#This Row],[Loan size]])</f>
        <v>0.16250000000000001</v>
      </c>
      <c r="AO296" s="2" t="str">
        <f>IF(OR(Table1[[#This Row],[credit_score]] &lt; 600, Table1[ [#This Row],[dti_ratio] ] &gt; 0.5, Table1[[#This Row],[dpd]] &gt;=30), "high risk", " not riskY")</f>
        <v>high risk</v>
      </c>
      <c r="AP296" s="26">
        <f>EOMONTH(Table1[[#This Row],[origination_date]],0)</f>
        <v>44834</v>
      </c>
      <c r="AQ296" s="2">
        <f>SUMIFS(Table1[loan_amount],Table1[origination month],Table1[[#This Row],[origination month]])</f>
        <v>15111800</v>
      </c>
      <c r="AR296" s="2">
        <f>AVERAGEIFS(Table1[months_on_book],Table1[product],Table1[[#This Row],[product]])</f>
        <v>20.516129032258064</v>
      </c>
      <c r="AS296" s="2" t="str">
        <f ca="1">IF(EDATE(Table1[[#This Row],[origination_date]],6) &gt;= TODAY(), "New Loan", "Old Loan")</f>
        <v>Old Loan</v>
      </c>
      <c r="AT296" s="2" t="str">
        <f>"Q"&amp;ROUNDUP(MONTH(Table1[[#This Row],[origination_date]])/3,0)&amp;YEAR(Table1[[#This Row],[origination_date]])</f>
        <v>Q32022</v>
      </c>
      <c r="AU296" s="2">
        <f>SUMIFS(Table1[loan_amount],Table1[quarter],Table1[[#This Row],[quarter]])</f>
        <v>29441400</v>
      </c>
      <c r="AV296" s="34" t="str">
        <f>_xlfn.TEXTJOIN("|",TRUE,Table1[[#This Row],[loan_id]:[loan_status]])</f>
        <v>L84335846|C3317433|44806|Home Loan|Online|Central|Salaried|120|4805200|7.9|58047|437231|731|B|0.19|0.54|8845900|39|2133659|3165035|30|0|0|Delinquent</v>
      </c>
      <c r="AW296" s="42">
        <f>YEAR(Loan_Table[ [#This Row],[origination_date] ])</f>
        <v>2023</v>
      </c>
    </row>
    <row r="297" spans="2:49" ht="18" customHeight="1">
      <c r="B297" s="5" t="s">
        <v>714</v>
      </c>
      <c r="C297" s="2" t="s">
        <v>715</v>
      </c>
      <c r="D297" s="3">
        <v>44794</v>
      </c>
      <c r="E297" s="2" t="s">
        <v>158</v>
      </c>
      <c r="F297" s="2" t="s">
        <v>132</v>
      </c>
      <c r="G297" s="2" t="s">
        <v>145</v>
      </c>
      <c r="H297" s="2" t="s">
        <v>134</v>
      </c>
      <c r="I297" s="2">
        <v>24</v>
      </c>
      <c r="J297" s="2">
        <v>2373600</v>
      </c>
      <c r="K297" s="2">
        <v>19.7</v>
      </c>
      <c r="L297" s="2">
        <v>120459</v>
      </c>
      <c r="M297" s="2">
        <v>638859</v>
      </c>
      <c r="N297" s="2">
        <v>586</v>
      </c>
      <c r="O297" s="2" t="s">
        <v>166</v>
      </c>
      <c r="P297" s="2">
        <v>0.19</v>
      </c>
      <c r="Q297" s="2">
        <v>0.73</v>
      </c>
      <c r="R297" s="2">
        <v>3237800</v>
      </c>
      <c r="S297" s="2">
        <v>24</v>
      </c>
      <c r="T297" s="2">
        <v>2743583</v>
      </c>
      <c r="U297" s="2">
        <v>4096</v>
      </c>
      <c r="V297" s="2">
        <v>0</v>
      </c>
      <c r="W297" s="2">
        <v>0</v>
      </c>
      <c r="X297" s="2">
        <v>0</v>
      </c>
      <c r="Y297" s="2" t="s">
        <v>141</v>
      </c>
      <c r="Z297" s="12">
        <f>SUMIF(Table1[product],Table1[[#This Row],[product]],Table1[loan_amount])</f>
        <v>201475100</v>
      </c>
      <c r="AA297" s="15">
        <f>SUMIF(Table1[region],Table1[[#This Row],[region]],Table1[current_balance])</f>
        <v>98928695</v>
      </c>
      <c r="AB297" s="2">
        <f>COUNTIF(Table1[loan_status],Table1[[#This Row],[loan_status]])</f>
        <v>139</v>
      </c>
      <c r="AC297" s="2">
        <f>COUNTIF(Table1[default_flag],1)/ROWS(Table1[loan_id])</f>
        <v>2.5999999999999999E-2</v>
      </c>
      <c r="AD297" s="2">
        <f>COUNTIFS(Table1[region],Table1[[#This Row],[region]],Table1[default_flag],1)/COUNTIF(Table1[region],Table1[[#This Row],[region]])</f>
        <v>2.8571428571428571E-2</v>
      </c>
      <c r="AE297" s="2">
        <f>COUNTIFS(Table1[channel],Table1[[#This Row],[channel]],Table1[prepayment_flag],1)/COUNTIF(Table1[channel],Table1[[#This Row],[channel]])</f>
        <v>7.1090047393364927E-2</v>
      </c>
      <c r="AF297" s="2">
        <f>AVERAGEIFS(Table1[interest_rate_pct],Table1[product],Table1[[#This Row],[product]],Table1[risk_band],Table1[[#This Row],[risk_band]])</f>
        <v>20.521428571428572</v>
      </c>
      <c r="AG297" s="2" t="str" cm="1">
        <f t="array" ref="AG297">_xlfn.IFS(Table1[[#This Row],[dti_ratio]] &lt; 0.2, " less than 0.2", Table1[[#This Row],[dti_ratio]] &lt; 0.3, "0.2 - 0.3", Table1[[#This Row],[dti_ratio]] &lt;= 0.5, "0.35 - 0.5", Table1[[#This Row],[dti_ratio]] &gt; 0.5, "greater than 0.5")</f>
        <v xml:space="preserve"> less than 0.2</v>
      </c>
      <c r="AH297" s="2">
        <f>COUNTIF(Table1[DTI band],Table1[[#This Row],[DTI band]])</f>
        <v>86</v>
      </c>
      <c r="AI297" s="2" t="str" cm="1">
        <f t="array" ref="AI297">_xlfn.IFS(Table1[[#This Row],[ltv_ratio]] &lt; 0.6, "less than 0.6 -less risky", Table1[[#This Row],[ltv_ratio]]  &lt;= 0.8, "0.6 - 0.8 -medium risky",Table1[[#This Row],[ltv_ratio]] &gt; 0.8, "greater than 0.8 -highly risky")</f>
        <v>0.6 - 0.8 -medium risky</v>
      </c>
      <c r="AJ297" s="2">
        <f>COUNTIF(Table1[LTV band],Table1[[#This Row],[LTV band]])</f>
        <v>302</v>
      </c>
      <c r="AK297" s="2">
        <f>COUNTIFS(Table1[count_loan_perband],Table1[[#This Row],[count_loan_perband]],Table1[default_flag],1)/COUNTIF(Table1[count_loan_perband],Table1[[#This Row],[count_loan_perband]])</f>
        <v>3.6423841059602648E-2</v>
      </c>
      <c r="AL297" s="2" t="str" cm="1">
        <f t="array" ref="AL297">_xlfn.IFS(Table1[[#This Row],[loan_amount]] &lt; 900000, "lower size (&lt; 9L)", Table1[[#This Row],[loan_amount]] &lt;=3300000, "medium size (&lt;=33L)", Table1[[#This Row],[loan_amount]] &gt; 3300000, "larger size (&gt; 33L)")</f>
        <v>medium size (&lt;=33L)</v>
      </c>
      <c r="AM297" s="2">
        <f>IF(Table1[[#This Row],[dpd]] &gt;=30,1,0)</f>
        <v>0</v>
      </c>
      <c r="AN297" s="2">
        <f>COUNTIFS(Table1[Loan size],Table1[[#This Row],[Loan size]],Table1[dpd flag],1)/COUNTIF(Table1[Loan size],Table1[[#This Row],[Loan size]])</f>
        <v>0.15909090909090909</v>
      </c>
      <c r="AO297" s="2" t="str">
        <f>IF(OR(Table1[[#This Row],[credit_score]] &lt; 600, Table1[ [#This Row],[dti_ratio] ] &gt; 0.5, Table1[[#This Row],[dpd]] &gt;=30), "high risk", " not riskY")</f>
        <v>high risk</v>
      </c>
      <c r="AP297" s="26">
        <f>EOMONTH(Table1[[#This Row],[origination_date]],0)</f>
        <v>44804</v>
      </c>
      <c r="AQ297" s="2">
        <f>SUMIFS(Table1[loan_amount],Table1[origination month],Table1[[#This Row],[origination month]])</f>
        <v>9810900</v>
      </c>
      <c r="AR297" s="2">
        <f>AVERAGEIFS(Table1[months_on_book],Table1[product],Table1[[#This Row],[product]])</f>
        <v>19.091954022988507</v>
      </c>
      <c r="AS297" s="2" t="str">
        <f ca="1">IF(EDATE(Table1[[#This Row],[origination_date]],6) &gt;= TODAY(), "New Loan", "Old Loan")</f>
        <v>Old Loan</v>
      </c>
      <c r="AT297" s="2" t="str">
        <f>"Q"&amp;ROUNDUP(MONTH(Table1[[#This Row],[origination_date]])/3,0)&amp;YEAR(Table1[[#This Row],[origination_date]])</f>
        <v>Q32022</v>
      </c>
      <c r="AU297" s="2">
        <f>SUMIFS(Table1[loan_amount],Table1[quarter],Table1[[#This Row],[quarter]])</f>
        <v>29441400</v>
      </c>
      <c r="AV297" s="34" t="str">
        <f>_xlfn.TEXTJOIN("|",TRUE,Table1[[#This Row],[loan_id]:[loan_status]])</f>
        <v>L40081977|C6549795|44794|SME Loan|Online|Central|Salaried|24|2373600|19.7|120459|638859|586|E|0.19|0.73|3237800|24|2743583|4096|0|0|0|Closed</v>
      </c>
      <c r="AW297" s="42">
        <f>YEAR(Loan_Table[ [#This Row],[origination_date] ])</f>
        <v>2023</v>
      </c>
    </row>
    <row r="298" spans="2:49" ht="18" customHeight="1">
      <c r="B298" s="5" t="s">
        <v>716</v>
      </c>
      <c r="C298" s="2" t="s">
        <v>717</v>
      </c>
      <c r="D298" s="3">
        <v>44757</v>
      </c>
      <c r="E298" s="2" t="s">
        <v>131</v>
      </c>
      <c r="F298" s="2" t="s">
        <v>132</v>
      </c>
      <c r="G298" s="2" t="s">
        <v>151</v>
      </c>
      <c r="H298" s="2" t="s">
        <v>134</v>
      </c>
      <c r="I298" s="2">
        <v>48</v>
      </c>
      <c r="J298" s="2">
        <v>209500</v>
      </c>
      <c r="K298" s="2">
        <v>15.08</v>
      </c>
      <c r="L298" s="2">
        <v>5839</v>
      </c>
      <c r="M298" s="2">
        <v>933064</v>
      </c>
      <c r="N298" s="2">
        <v>756</v>
      </c>
      <c r="O298" s="2" t="s">
        <v>160</v>
      </c>
      <c r="P298" s="2">
        <v>0.17</v>
      </c>
      <c r="Q298" s="2">
        <v>0.96</v>
      </c>
      <c r="R298" s="2">
        <v>0</v>
      </c>
      <c r="S298" s="2">
        <v>41</v>
      </c>
      <c r="T298" s="2">
        <v>209595</v>
      </c>
      <c r="U298" s="2">
        <v>43082</v>
      </c>
      <c r="V298" s="2">
        <v>10</v>
      </c>
      <c r="W298" s="2">
        <v>0</v>
      </c>
      <c r="X298" s="2">
        <v>0</v>
      </c>
      <c r="Y298" s="2" t="s">
        <v>148</v>
      </c>
      <c r="Z298" s="12">
        <f>SUMIF(Table1[product],Table1[[#This Row],[product]],Table1[loan_amount])</f>
        <v>74897600</v>
      </c>
      <c r="AA298" s="15">
        <f>SUMIF(Table1[region],Table1[[#This Row],[region]],Table1[current_balance])</f>
        <v>105779369</v>
      </c>
      <c r="AB298" s="2">
        <f>COUNTIF(Table1[loan_status],Table1[[#This Row],[loan_status]])</f>
        <v>301</v>
      </c>
      <c r="AC298" s="2">
        <f>COUNTIF(Table1[default_flag],1)/ROWS(Table1[loan_id])</f>
        <v>2.5999999999999999E-2</v>
      </c>
      <c r="AD298" s="2">
        <f>COUNTIFS(Table1[region],Table1[[#This Row],[region]],Table1[default_flag],1)/COUNTIF(Table1[region],Table1[[#This Row],[region]])</f>
        <v>2.6548672566371681E-2</v>
      </c>
      <c r="AE298" s="2">
        <f>COUNTIFS(Table1[channel],Table1[[#This Row],[channel]],Table1[prepayment_flag],1)/COUNTIF(Table1[channel],Table1[[#This Row],[channel]])</f>
        <v>7.1090047393364927E-2</v>
      </c>
      <c r="AF298" s="2">
        <f>AVERAGEIFS(Table1[interest_rate_pct],Table1[product],Table1[[#This Row],[product]],Table1[risk_band],Table1[[#This Row],[risk_band]])</f>
        <v>13.328333333333335</v>
      </c>
      <c r="AG298" s="2" t="str" cm="1">
        <f t="array" ref="AG298">_xlfn.IFS(Table1[[#This Row],[dti_ratio]] &lt; 0.2, " less than 0.2", Table1[[#This Row],[dti_ratio]] &lt; 0.3, "0.2 - 0.3", Table1[[#This Row],[dti_ratio]] &lt;= 0.5, "0.35 - 0.5", Table1[[#This Row],[dti_ratio]] &gt; 0.5, "greater than 0.5")</f>
        <v xml:space="preserve"> less than 0.2</v>
      </c>
      <c r="AH298" s="2">
        <f>COUNTIF(Table1[DTI band],Table1[[#This Row],[DTI band]])</f>
        <v>86</v>
      </c>
      <c r="AI298" s="2" t="str" cm="1">
        <f t="array" ref="AI298">_xlfn.IFS(Table1[[#This Row],[ltv_ratio]] &lt; 0.6, "less than 0.6 -less risky", Table1[[#This Row],[ltv_ratio]]  &lt;= 0.8, "0.6 - 0.8 -medium risky",Table1[[#This Row],[ltv_ratio]] &gt; 0.8, "greater than 0.8 -highly risky")</f>
        <v>greater than 0.8 -highly risky</v>
      </c>
      <c r="AJ298" s="2">
        <f>COUNTIF(Table1[LTV band],Table1[[#This Row],[LTV band]])</f>
        <v>141</v>
      </c>
      <c r="AK298" s="2">
        <f>COUNTIFS(Table1[count_loan_perband],Table1[[#This Row],[count_loan_perband]],Table1[default_flag],1)/COUNTIF(Table1[count_loan_perband],Table1[[#This Row],[count_loan_perband]])</f>
        <v>1.4184397163120567E-2</v>
      </c>
      <c r="AL298" s="2" t="str" cm="1">
        <f t="array" ref="AL298">_xlfn.IFS(Table1[[#This Row],[loan_amount]] &lt; 900000, "lower size (&lt; 9L)", Table1[[#This Row],[loan_amount]] &lt;=3300000, "medium size (&lt;=33L)", Table1[[#This Row],[loan_amount]] &gt; 3300000, "larger size (&gt; 33L)")</f>
        <v>lower size (&lt; 9L)</v>
      </c>
      <c r="AM298" s="2">
        <f>IF(Table1[[#This Row],[dpd]] &gt;=30,1,0)</f>
        <v>0</v>
      </c>
      <c r="AN298" s="2">
        <f>COUNTIFS(Table1[Loan size],Table1[[#This Row],[Loan size]],Table1[dpd flag],1)/COUNTIF(Table1[Loan size],Table1[[#This Row],[Loan size]])</f>
        <v>0.13934426229508196</v>
      </c>
      <c r="AO298" s="2" t="str">
        <f>IF(OR(Table1[[#This Row],[credit_score]] &lt; 600, Table1[ [#This Row],[dti_ratio] ] &gt; 0.5, Table1[[#This Row],[dpd]] &gt;=30), "high risk", " not riskY")</f>
        <v xml:space="preserve"> not riskY</v>
      </c>
      <c r="AP298" s="26">
        <f>EOMONTH(Table1[[#This Row],[origination_date]],0)</f>
        <v>44773</v>
      </c>
      <c r="AQ298" s="2">
        <f>SUMIFS(Table1[loan_amount],Table1[origination month],Table1[[#This Row],[origination month]])</f>
        <v>4518700</v>
      </c>
      <c r="AR298" s="2">
        <f>AVERAGEIFS(Table1[months_on_book],Table1[product],Table1[[#This Row],[product]])</f>
        <v>21.092024539877301</v>
      </c>
      <c r="AS298" s="2" t="str">
        <f ca="1">IF(EDATE(Table1[[#This Row],[origination_date]],6) &gt;= TODAY(), "New Loan", "Old Loan")</f>
        <v>Old Loan</v>
      </c>
      <c r="AT298" s="2" t="str">
        <f>"Q"&amp;ROUNDUP(MONTH(Table1[[#This Row],[origination_date]])/3,0)&amp;YEAR(Table1[[#This Row],[origination_date]])</f>
        <v>Q32022</v>
      </c>
      <c r="AU298" s="2">
        <f>SUMIFS(Table1[loan_amount],Table1[quarter],Table1[[#This Row],[quarter]])</f>
        <v>29441400</v>
      </c>
      <c r="AV298" s="34" t="str">
        <f>_xlfn.TEXTJOIN("|",TRUE,Table1[[#This Row],[loan_id]:[loan_status]])</f>
        <v>L67134797|C6906421|44757|Personal Loan|Online|North|Salaried|48|209500|15.08|5839|933064|756|A|0.17|0.96|0|41|209595|43082|10|0|0|Active</v>
      </c>
      <c r="AW298" s="42">
        <f>YEAR(Loan_Table[ [#This Row],[origination_date] ])</f>
        <v>2023</v>
      </c>
    </row>
    <row r="299" spans="2:49" ht="18" customHeight="1">
      <c r="B299" s="5" t="s">
        <v>718</v>
      </c>
      <c r="C299" s="2" t="s">
        <v>719</v>
      </c>
      <c r="D299" s="3">
        <v>45111</v>
      </c>
      <c r="E299" s="2" t="s">
        <v>177</v>
      </c>
      <c r="F299" s="2" t="s">
        <v>144</v>
      </c>
      <c r="G299" s="2" t="s">
        <v>133</v>
      </c>
      <c r="H299" s="2" t="s">
        <v>134</v>
      </c>
      <c r="I299" s="2">
        <v>48</v>
      </c>
      <c r="J299" s="2">
        <v>1499200</v>
      </c>
      <c r="K299" s="2">
        <v>18.61</v>
      </c>
      <c r="L299" s="2">
        <v>44518</v>
      </c>
      <c r="M299" s="2">
        <v>1560773</v>
      </c>
      <c r="N299" s="2">
        <v>559</v>
      </c>
      <c r="O299" s="2" t="s">
        <v>166</v>
      </c>
      <c r="P299" s="2">
        <v>0.61</v>
      </c>
      <c r="Q299" s="2">
        <v>0.72</v>
      </c>
      <c r="R299" s="2">
        <v>0</v>
      </c>
      <c r="S299" s="2">
        <v>29</v>
      </c>
      <c r="T299" s="2">
        <v>1213470</v>
      </c>
      <c r="U299" s="2">
        <v>555431</v>
      </c>
      <c r="V299" s="2">
        <v>0</v>
      </c>
      <c r="W299" s="2">
        <v>0</v>
      </c>
      <c r="X299" s="2">
        <v>0</v>
      </c>
      <c r="Y299" s="2" t="s">
        <v>148</v>
      </c>
      <c r="Z299" s="12">
        <f>SUMIF(Table1[product],Table1[[#This Row],[product]],Table1[loan_amount])</f>
        <v>62765800</v>
      </c>
      <c r="AA299" s="15">
        <f>SUMIF(Table1[region],Table1[[#This Row],[region]],Table1[current_balance])</f>
        <v>94548000</v>
      </c>
      <c r="AB299" s="2">
        <f>COUNTIF(Table1[loan_status],Table1[[#This Row],[loan_status]])</f>
        <v>301</v>
      </c>
      <c r="AC299" s="2">
        <f>COUNTIF(Table1[default_flag],1)/ROWS(Table1[loan_id])</f>
        <v>2.5999999999999999E-2</v>
      </c>
      <c r="AD299" s="2">
        <f>COUNTIFS(Table1[region],Table1[[#This Row],[region]],Table1[default_flag],1)/COUNTIF(Table1[region],Table1[[#This Row],[region]])</f>
        <v>0</v>
      </c>
      <c r="AE299" s="2">
        <f>COUNTIFS(Table1[channel],Table1[[#This Row],[channel]],Table1[prepayment_flag],1)/COUNTIF(Table1[channel],Table1[[#This Row],[channel]])</f>
        <v>5.8201058201058198E-2</v>
      </c>
      <c r="AF299" s="2">
        <f>AVERAGEIFS(Table1[interest_rate_pct],Table1[product],Table1[[#This Row],[product]],Table1[risk_band],Table1[[#This Row],[risk_band]])</f>
        <v>19.806666666666668</v>
      </c>
      <c r="AG299" s="2" t="str" cm="1">
        <f t="array" ref="AG299">_xlfn.IFS(Table1[[#This Row],[dti_ratio]] &lt; 0.2, " less than 0.2", Table1[[#This Row],[dti_ratio]] &lt; 0.3, "0.2 - 0.3", Table1[[#This Row],[dti_ratio]] &lt;= 0.5, "0.35 - 0.5", Table1[[#This Row],[dti_ratio]] &gt; 0.5, "greater than 0.5")</f>
        <v>greater than 0.5</v>
      </c>
      <c r="AH299" s="2">
        <f>COUNTIF(Table1[DTI band],Table1[[#This Row],[DTI band]])</f>
        <v>32</v>
      </c>
      <c r="AI299" s="2" t="str" cm="1">
        <f t="array" ref="AI299">_xlfn.IFS(Table1[[#This Row],[ltv_ratio]] &lt; 0.6, "less than 0.6 -less risky", Table1[[#This Row],[ltv_ratio]]  &lt;= 0.8, "0.6 - 0.8 -medium risky",Table1[[#This Row],[ltv_ratio]] &gt; 0.8, "greater than 0.8 -highly risky")</f>
        <v>0.6 - 0.8 -medium risky</v>
      </c>
      <c r="AJ299" s="2">
        <f>COUNTIF(Table1[LTV band],Table1[[#This Row],[LTV band]])</f>
        <v>302</v>
      </c>
      <c r="AK299" s="2">
        <f>COUNTIFS(Table1[count_loan_perband],Table1[[#This Row],[count_loan_perband]],Table1[default_flag],1)/COUNTIF(Table1[count_loan_perband],Table1[[#This Row],[count_loan_perband]])</f>
        <v>3.6423841059602648E-2</v>
      </c>
      <c r="AL299" s="2" t="str" cm="1">
        <f t="array" ref="AL299">_xlfn.IFS(Table1[[#This Row],[loan_amount]] &lt; 900000, "lower size (&lt; 9L)", Table1[[#This Row],[loan_amount]] &lt;=3300000, "medium size (&lt;=33L)", Table1[[#This Row],[loan_amount]] &gt; 3300000, "larger size (&gt; 33L)")</f>
        <v>medium size (&lt;=33L)</v>
      </c>
      <c r="AM299" s="2">
        <f>IF(Table1[[#This Row],[dpd]] &gt;=30,1,0)</f>
        <v>0</v>
      </c>
      <c r="AN299" s="2">
        <f>COUNTIFS(Table1[Loan size],Table1[[#This Row],[Loan size]],Table1[dpd flag],1)/COUNTIF(Table1[Loan size],Table1[[#This Row],[Loan size]])</f>
        <v>0.15909090909090909</v>
      </c>
      <c r="AO299" s="2" t="str">
        <f>IF(OR(Table1[[#This Row],[credit_score]] &lt; 600, Table1[ [#This Row],[dti_ratio] ] &gt; 0.5, Table1[[#This Row],[dpd]] &gt;=30), "high risk", " not riskY")</f>
        <v>high risk</v>
      </c>
      <c r="AP299" s="26">
        <f>EOMONTH(Table1[[#This Row],[origination_date]],0)</f>
        <v>45138</v>
      </c>
      <c r="AQ299" s="2">
        <f>SUMIFS(Table1[loan_amount],Table1[origination month],Table1[[#This Row],[origination month]])</f>
        <v>25129700</v>
      </c>
      <c r="AR299" s="2">
        <f>AVERAGEIFS(Table1[months_on_book],Table1[product],Table1[[#This Row],[product]])</f>
        <v>21.962962962962962</v>
      </c>
      <c r="AS299" s="2" t="str">
        <f ca="1">IF(EDATE(Table1[[#This Row],[origination_date]],6) &gt;= TODAY(), "New Loan", "Old Loan")</f>
        <v>Old Loan</v>
      </c>
      <c r="AT299" s="2" t="str">
        <f>"Q"&amp;ROUNDUP(MONTH(Table1[[#This Row],[origination_date]])/3,0)&amp;YEAR(Table1[[#This Row],[origination_date]])</f>
        <v>Q32023</v>
      </c>
      <c r="AU299" s="2">
        <f>SUMIFS(Table1[loan_amount],Table1[quarter],Table1[[#This Row],[quarter]])</f>
        <v>77300600</v>
      </c>
      <c r="AV299" s="34" t="str">
        <f>_xlfn.TEXTJOIN("|",TRUE,Table1[[#This Row],[loan_id]:[loan_status]])</f>
        <v>L63643829|C3853368|45111|Education Loan|Branch|South|Salaried|48|1499200|18.61|44518|1560773|559|E|0.61|0.72|0|29|1213470|555431|0|0|0|Active</v>
      </c>
      <c r="AW299" s="42">
        <f>YEAR(Loan_Table[ [#This Row],[origination_date] ])</f>
        <v>2023</v>
      </c>
    </row>
    <row r="300" spans="2:49" ht="18" customHeight="1">
      <c r="B300" s="5" t="s">
        <v>720</v>
      </c>
      <c r="C300" s="2" t="s">
        <v>721</v>
      </c>
      <c r="D300" s="3">
        <v>45178</v>
      </c>
      <c r="E300" s="2" t="s">
        <v>158</v>
      </c>
      <c r="F300" s="2" t="s">
        <v>144</v>
      </c>
      <c r="G300" s="2" t="s">
        <v>133</v>
      </c>
      <c r="H300" s="2" t="s">
        <v>152</v>
      </c>
      <c r="I300" s="2">
        <v>12</v>
      </c>
      <c r="J300" s="2">
        <v>2437000</v>
      </c>
      <c r="K300" s="2">
        <v>9.57</v>
      </c>
      <c r="L300" s="2">
        <v>213764</v>
      </c>
      <c r="M300" s="2">
        <v>637246</v>
      </c>
      <c r="N300" s="2">
        <v>815</v>
      </c>
      <c r="O300" s="2" t="s">
        <v>160</v>
      </c>
      <c r="P300" s="2">
        <v>0.5</v>
      </c>
      <c r="Q300" s="2">
        <v>0.61</v>
      </c>
      <c r="R300" s="2">
        <v>3963400</v>
      </c>
      <c r="S300" s="2">
        <v>12</v>
      </c>
      <c r="T300" s="2">
        <v>2335712</v>
      </c>
      <c r="U300" s="2">
        <v>194576</v>
      </c>
      <c r="V300" s="2">
        <v>0</v>
      </c>
      <c r="W300" s="2">
        <v>1</v>
      </c>
      <c r="X300" s="2">
        <v>0</v>
      </c>
      <c r="Y300" s="2" t="s">
        <v>141</v>
      </c>
      <c r="Z300" s="12">
        <f>SUMIF(Table1[product],Table1[[#This Row],[product]],Table1[loan_amount])</f>
        <v>201475100</v>
      </c>
      <c r="AA300" s="15">
        <f>SUMIF(Table1[region],Table1[[#This Row],[region]],Table1[current_balance])</f>
        <v>94548000</v>
      </c>
      <c r="AB300" s="2">
        <f>COUNTIF(Table1[loan_status],Table1[[#This Row],[loan_status]])</f>
        <v>139</v>
      </c>
      <c r="AC300" s="2">
        <f>COUNTIF(Table1[default_flag],1)/ROWS(Table1[loan_id])</f>
        <v>2.5999999999999999E-2</v>
      </c>
      <c r="AD300" s="2">
        <f>COUNTIFS(Table1[region],Table1[[#This Row],[region]],Table1[default_flag],1)/COUNTIF(Table1[region],Table1[[#This Row],[region]])</f>
        <v>0</v>
      </c>
      <c r="AE300" s="2">
        <f>COUNTIFS(Table1[channel],Table1[[#This Row],[channel]],Table1[prepayment_flag],1)/COUNTIF(Table1[channel],Table1[[#This Row],[channel]])</f>
        <v>5.8201058201058198E-2</v>
      </c>
      <c r="AF300" s="2">
        <f>AVERAGEIFS(Table1[interest_rate_pct],Table1[product],Table1[[#This Row],[product]],Table1[risk_band],Table1[[#This Row],[risk_band]])</f>
        <v>10.537499999999998</v>
      </c>
      <c r="AG300" s="2" t="str" cm="1">
        <f t="array" ref="AG300">_xlfn.IFS(Table1[[#This Row],[dti_ratio]] &lt; 0.2, " less than 0.2", Table1[[#This Row],[dti_ratio]] &lt; 0.3, "0.2 - 0.3", Table1[[#This Row],[dti_ratio]] &lt;= 0.5, "0.35 - 0.5", Table1[[#This Row],[dti_ratio]] &gt; 0.5, "greater than 0.5")</f>
        <v>0.35 - 0.5</v>
      </c>
      <c r="AH300" s="2">
        <f>COUNTIF(Table1[DTI band],Table1[[#This Row],[DTI band]])</f>
        <v>260</v>
      </c>
      <c r="AI300" s="2" t="str" cm="1">
        <f t="array" ref="AI300">_xlfn.IFS(Table1[[#This Row],[ltv_ratio]] &lt; 0.6, "less than 0.6 -less risky", Table1[[#This Row],[ltv_ratio]]  &lt;= 0.8, "0.6 - 0.8 -medium risky",Table1[[#This Row],[ltv_ratio]] &gt; 0.8, "greater than 0.8 -highly risky")</f>
        <v>0.6 - 0.8 -medium risky</v>
      </c>
      <c r="AJ300" s="2">
        <f>COUNTIF(Table1[LTV band],Table1[[#This Row],[LTV band]])</f>
        <v>302</v>
      </c>
      <c r="AK300" s="2">
        <f>COUNTIFS(Table1[count_loan_perband],Table1[[#This Row],[count_loan_perband]],Table1[default_flag],1)/COUNTIF(Table1[count_loan_perband],Table1[[#This Row],[count_loan_perband]])</f>
        <v>3.6423841059602648E-2</v>
      </c>
      <c r="AL300" s="2" t="str" cm="1">
        <f t="array" ref="AL300">_xlfn.IFS(Table1[[#This Row],[loan_amount]] &lt; 900000, "lower size (&lt; 9L)", Table1[[#This Row],[loan_amount]] &lt;=3300000, "medium size (&lt;=33L)", Table1[[#This Row],[loan_amount]] &gt; 3300000, "larger size (&gt; 33L)")</f>
        <v>medium size (&lt;=33L)</v>
      </c>
      <c r="AM300" s="2">
        <f>IF(Table1[[#This Row],[dpd]] &gt;=30,1,0)</f>
        <v>0</v>
      </c>
      <c r="AN300" s="2">
        <f>COUNTIFS(Table1[Loan size],Table1[[#This Row],[Loan size]],Table1[dpd flag],1)/COUNTIF(Table1[Loan size],Table1[[#This Row],[Loan size]])</f>
        <v>0.15909090909090909</v>
      </c>
      <c r="AO300" s="2" t="str">
        <f>IF(OR(Table1[[#This Row],[credit_score]] &lt; 600, Table1[ [#This Row],[dti_ratio] ] &gt; 0.5, Table1[[#This Row],[dpd]] &gt;=30), "high risk", " not riskY")</f>
        <v xml:space="preserve"> not riskY</v>
      </c>
      <c r="AP300" s="26">
        <f>EOMONTH(Table1[[#This Row],[origination_date]],0)</f>
        <v>45199</v>
      </c>
      <c r="AQ300" s="2">
        <f>SUMIFS(Table1[loan_amount],Table1[origination month],Table1[[#This Row],[origination month]])</f>
        <v>13815100</v>
      </c>
      <c r="AR300" s="2">
        <f>AVERAGEIFS(Table1[months_on_book],Table1[product],Table1[[#This Row],[product]])</f>
        <v>19.091954022988507</v>
      </c>
      <c r="AS300" s="2" t="str">
        <f ca="1">IF(EDATE(Table1[[#This Row],[origination_date]],6) &gt;= TODAY(), "New Loan", "Old Loan")</f>
        <v>Old Loan</v>
      </c>
      <c r="AT300" s="2" t="str">
        <f>"Q"&amp;ROUNDUP(MONTH(Table1[[#This Row],[origination_date]])/3,0)&amp;YEAR(Table1[[#This Row],[origination_date]])</f>
        <v>Q32023</v>
      </c>
      <c r="AU300" s="2">
        <f>SUMIFS(Table1[loan_amount],Table1[quarter],Table1[[#This Row],[quarter]])</f>
        <v>77300600</v>
      </c>
      <c r="AV300" s="34" t="str">
        <f>_xlfn.TEXTJOIN("|",TRUE,Table1[[#This Row],[loan_id]:[loan_status]])</f>
        <v>L47131441|C6634112|45178|SME Loan|Branch|South|Self-Employed|12|2437000|9.57|213764|637246|815|A|0.5|0.61|3963400|12|2335712|194576|0|1|0|Closed</v>
      </c>
      <c r="AW300" s="42">
        <f>YEAR(Loan_Table[ [#This Row],[origination_date] ])</f>
        <v>2023</v>
      </c>
    </row>
    <row r="301" spans="2:49" ht="18" customHeight="1">
      <c r="B301" s="5" t="s">
        <v>722</v>
      </c>
      <c r="C301" s="2" t="s">
        <v>723</v>
      </c>
      <c r="D301" s="3">
        <v>45145</v>
      </c>
      <c r="E301" s="2" t="s">
        <v>169</v>
      </c>
      <c r="F301" s="2" t="s">
        <v>144</v>
      </c>
      <c r="G301" s="2" t="s">
        <v>145</v>
      </c>
      <c r="H301" s="2" t="s">
        <v>134</v>
      </c>
      <c r="I301" s="2">
        <v>120</v>
      </c>
      <c r="J301" s="2">
        <v>5717200</v>
      </c>
      <c r="K301" s="2">
        <v>7</v>
      </c>
      <c r="L301" s="2">
        <v>66382</v>
      </c>
      <c r="M301" s="2">
        <v>1273092</v>
      </c>
      <c r="N301" s="2">
        <v>775</v>
      </c>
      <c r="O301" s="2" t="s">
        <v>160</v>
      </c>
      <c r="P301" s="2">
        <v>0.48</v>
      </c>
      <c r="Q301" s="2">
        <v>0.68</v>
      </c>
      <c r="R301" s="2">
        <v>8411200</v>
      </c>
      <c r="S301" s="2">
        <v>28</v>
      </c>
      <c r="T301" s="2">
        <v>1593425</v>
      </c>
      <c r="U301" s="2">
        <v>4497299</v>
      </c>
      <c r="V301" s="2">
        <v>0</v>
      </c>
      <c r="W301" s="2">
        <v>0</v>
      </c>
      <c r="X301" s="2">
        <v>0</v>
      </c>
      <c r="Y301" s="2" t="s">
        <v>148</v>
      </c>
      <c r="Z301" s="12">
        <f>SUMIF(Table1[product],Table1[[#This Row],[product]],Table1[loan_amount])</f>
        <v>403369500</v>
      </c>
      <c r="AA301" s="15">
        <f>SUMIF(Table1[region],Table1[[#This Row],[region]],Table1[current_balance])</f>
        <v>98928695</v>
      </c>
      <c r="AB301" s="2">
        <f>COUNTIF(Table1[loan_status],Table1[[#This Row],[loan_status]])</f>
        <v>301</v>
      </c>
      <c r="AC301" s="2">
        <f>COUNTIF(Table1[default_flag],1)/ROWS(Table1[loan_id])</f>
        <v>2.5999999999999999E-2</v>
      </c>
      <c r="AD301" s="2">
        <f>COUNTIFS(Table1[region],Table1[[#This Row],[region]],Table1[default_flag],1)/COUNTIF(Table1[region],Table1[[#This Row],[region]])</f>
        <v>2.8571428571428571E-2</v>
      </c>
      <c r="AE301" s="2">
        <f>COUNTIFS(Table1[channel],Table1[[#This Row],[channel]],Table1[prepayment_flag],1)/COUNTIF(Table1[channel],Table1[[#This Row],[channel]])</f>
        <v>5.8201058201058198E-2</v>
      </c>
      <c r="AF301" s="2">
        <f>AVERAGEIFS(Table1[interest_rate_pct],Table1[product],Table1[[#This Row],[product]],Table1[risk_band],Table1[[#This Row],[risk_band]])</f>
        <v>7.1876190476190471</v>
      </c>
      <c r="AG301" s="2" t="str" cm="1">
        <f t="array" ref="AG301">_xlfn.IFS(Table1[[#This Row],[dti_ratio]] &lt; 0.2, " less than 0.2", Table1[[#This Row],[dti_ratio]] &lt; 0.3, "0.2 - 0.3", Table1[[#This Row],[dti_ratio]] &lt;= 0.5, "0.35 - 0.5", Table1[[#This Row],[dti_ratio]] &gt; 0.5, "greater than 0.5")</f>
        <v>0.35 - 0.5</v>
      </c>
      <c r="AH301" s="2">
        <f>COUNTIF(Table1[DTI band],Table1[[#This Row],[DTI band]])</f>
        <v>260</v>
      </c>
      <c r="AI301" s="2" t="str" cm="1">
        <f t="array" ref="AI301">_xlfn.IFS(Table1[[#This Row],[ltv_ratio]] &lt; 0.6, "less than 0.6 -less risky", Table1[[#This Row],[ltv_ratio]]  &lt;= 0.8, "0.6 - 0.8 -medium risky",Table1[[#This Row],[ltv_ratio]] &gt; 0.8, "greater than 0.8 -highly risky")</f>
        <v>0.6 - 0.8 -medium risky</v>
      </c>
      <c r="AJ301" s="2">
        <f>COUNTIF(Table1[LTV band],Table1[[#This Row],[LTV band]])</f>
        <v>302</v>
      </c>
      <c r="AK301" s="2">
        <f>COUNTIFS(Table1[count_loan_perband],Table1[[#This Row],[count_loan_perband]],Table1[default_flag],1)/COUNTIF(Table1[count_loan_perband],Table1[[#This Row],[count_loan_perband]])</f>
        <v>3.6423841059602648E-2</v>
      </c>
      <c r="AL301" s="2" t="str" cm="1">
        <f t="array" ref="AL301">_xlfn.IFS(Table1[[#This Row],[loan_amount]] &lt; 900000, "lower size (&lt; 9L)", Table1[[#This Row],[loan_amount]] &lt;=3300000, "medium size (&lt;=33L)", Table1[[#This Row],[loan_amount]] &gt; 3300000, "larger size (&gt; 33L)")</f>
        <v>larger size (&gt; 33L)</v>
      </c>
      <c r="AM301" s="2">
        <f>IF(Table1[[#This Row],[dpd]] &gt;=30,1,0)</f>
        <v>0</v>
      </c>
      <c r="AN301" s="2">
        <f>COUNTIFS(Table1[Loan size],Table1[[#This Row],[Loan size]],Table1[dpd flag],1)/COUNTIF(Table1[Loan size],Table1[[#This Row],[Loan size]])</f>
        <v>0.16250000000000001</v>
      </c>
      <c r="AO301" s="2" t="str">
        <f>IF(OR(Table1[[#This Row],[credit_score]] &lt; 600, Table1[ [#This Row],[dti_ratio] ] &gt; 0.5, Table1[[#This Row],[dpd]] &gt;=30), "high risk", " not riskY")</f>
        <v xml:space="preserve"> not riskY</v>
      </c>
      <c r="AP301" s="26">
        <f>EOMONTH(Table1[[#This Row],[origination_date]],0)</f>
        <v>45169</v>
      </c>
      <c r="AQ301" s="2">
        <f>SUMIFS(Table1[loan_amount],Table1[origination month],Table1[[#This Row],[origination month]])</f>
        <v>38355800</v>
      </c>
      <c r="AR301" s="2">
        <f>AVERAGEIFS(Table1[months_on_book],Table1[product],Table1[[#This Row],[product]])</f>
        <v>20.516129032258064</v>
      </c>
      <c r="AS301" s="2" t="str">
        <f ca="1">IF(EDATE(Table1[[#This Row],[origination_date]],6) &gt;= TODAY(), "New Loan", "Old Loan")</f>
        <v>Old Loan</v>
      </c>
      <c r="AT301" s="2" t="str">
        <f>"Q"&amp;ROUNDUP(MONTH(Table1[[#This Row],[origination_date]])/3,0)&amp;YEAR(Table1[[#This Row],[origination_date]])</f>
        <v>Q32023</v>
      </c>
      <c r="AU301" s="2">
        <f>SUMIFS(Table1[loan_amount],Table1[quarter],Table1[[#This Row],[quarter]])</f>
        <v>77300600</v>
      </c>
      <c r="AV301" s="34" t="str">
        <f>_xlfn.TEXTJOIN("|",TRUE,Table1[[#This Row],[loan_id]:[loan_status]])</f>
        <v>L28246448|C9195744|45145|Home Loan|Branch|Central|Salaried|120|5717200|7|66382|1273092|775|A|0.48|0.68|8411200|28|1593425|4497299|0|0|0|Active</v>
      </c>
      <c r="AW301" s="42">
        <f>YEAR(Loan_Table[ [#This Row],[origination_date] ])</f>
        <v>2023</v>
      </c>
    </row>
    <row r="302" spans="2:49" ht="18" customHeight="1">
      <c r="B302" s="5" t="s">
        <v>724</v>
      </c>
      <c r="C302" s="2" t="s">
        <v>725</v>
      </c>
      <c r="D302" s="3">
        <v>45162</v>
      </c>
      <c r="E302" s="2" t="s">
        <v>131</v>
      </c>
      <c r="F302" s="2" t="s">
        <v>132</v>
      </c>
      <c r="G302" s="2" t="s">
        <v>170</v>
      </c>
      <c r="H302" s="2" t="s">
        <v>134</v>
      </c>
      <c r="I302" s="2">
        <v>36</v>
      </c>
      <c r="J302" s="2">
        <v>290800</v>
      </c>
      <c r="K302" s="2">
        <v>19.809999999999999</v>
      </c>
      <c r="L302" s="2">
        <v>10779</v>
      </c>
      <c r="M302" s="2">
        <v>614122</v>
      </c>
      <c r="N302" s="2">
        <v>643</v>
      </c>
      <c r="O302" s="2" t="s">
        <v>147</v>
      </c>
      <c r="P302" s="2">
        <v>0.47</v>
      </c>
      <c r="Q302" s="2">
        <v>0.71</v>
      </c>
      <c r="R302" s="2">
        <v>0</v>
      </c>
      <c r="S302" s="2">
        <v>28</v>
      </c>
      <c r="T302" s="2">
        <v>284969</v>
      </c>
      <c r="U302" s="2">
        <v>59598</v>
      </c>
      <c r="V302" s="2">
        <v>0</v>
      </c>
      <c r="W302" s="2">
        <v>1</v>
      </c>
      <c r="X302" s="2">
        <v>0</v>
      </c>
      <c r="Y302" s="2" t="s">
        <v>141</v>
      </c>
      <c r="Z302" s="12">
        <f>SUMIF(Table1[product],Table1[[#This Row],[product]],Table1[loan_amount])</f>
        <v>74897600</v>
      </c>
      <c r="AA302" s="15">
        <f>SUMIF(Table1[region],Table1[[#This Row],[region]],Table1[current_balance])</f>
        <v>83297251</v>
      </c>
      <c r="AB302" s="2">
        <f>COUNTIF(Table1[loan_status],Table1[[#This Row],[loan_status]])</f>
        <v>139</v>
      </c>
      <c r="AC302" s="2">
        <f>COUNTIF(Table1[default_flag],1)/ROWS(Table1[loan_id])</f>
        <v>2.5999999999999999E-2</v>
      </c>
      <c r="AD302" s="2">
        <f>COUNTIFS(Table1[region],Table1[[#This Row],[region]],Table1[default_flag],1)/COUNTIF(Table1[region],Table1[[#This Row],[region]])</f>
        <v>3.1914893617021274E-2</v>
      </c>
      <c r="AE302" s="2">
        <f>COUNTIFS(Table1[channel],Table1[[#This Row],[channel]],Table1[prepayment_flag],1)/COUNTIF(Table1[channel],Table1[[#This Row],[channel]])</f>
        <v>7.1090047393364927E-2</v>
      </c>
      <c r="AF302" s="2">
        <f>AVERAGEIFS(Table1[interest_rate_pct],Table1[product],Table1[[#This Row],[product]],Table1[risk_band],Table1[[#This Row],[risk_band]])</f>
        <v>20.962592592592593</v>
      </c>
      <c r="AG302" s="2" t="str" cm="1">
        <f t="array" ref="AG302">_xlfn.IFS(Table1[[#This Row],[dti_ratio]] &lt; 0.2, " less than 0.2", Table1[[#This Row],[dti_ratio]] &lt; 0.3, "0.2 - 0.3", Table1[[#This Row],[dti_ratio]] &lt;= 0.5, "0.35 - 0.5", Table1[[#This Row],[dti_ratio]] &gt; 0.5, "greater than 0.5")</f>
        <v>0.35 - 0.5</v>
      </c>
      <c r="AH302" s="2">
        <f>COUNTIF(Table1[DTI band],Table1[[#This Row],[DTI band]])</f>
        <v>260</v>
      </c>
      <c r="AI302" s="2" t="str" cm="1">
        <f t="array" ref="AI302">_xlfn.IFS(Table1[[#This Row],[ltv_ratio]] &lt; 0.6, "less than 0.6 -less risky", Table1[[#This Row],[ltv_ratio]]  &lt;= 0.8, "0.6 - 0.8 -medium risky",Table1[[#This Row],[ltv_ratio]] &gt; 0.8, "greater than 0.8 -highly risky")</f>
        <v>0.6 - 0.8 -medium risky</v>
      </c>
      <c r="AJ302" s="2">
        <f>COUNTIF(Table1[LTV band],Table1[[#This Row],[LTV band]])</f>
        <v>302</v>
      </c>
      <c r="AK302" s="2">
        <f>COUNTIFS(Table1[count_loan_perband],Table1[[#This Row],[count_loan_perband]],Table1[default_flag],1)/COUNTIF(Table1[count_loan_perband],Table1[[#This Row],[count_loan_perband]])</f>
        <v>3.6423841059602648E-2</v>
      </c>
      <c r="AL302" s="2" t="str" cm="1">
        <f t="array" ref="AL302">_xlfn.IFS(Table1[[#This Row],[loan_amount]] &lt; 900000, "lower size (&lt; 9L)", Table1[[#This Row],[loan_amount]] &lt;=3300000, "medium size (&lt;=33L)", Table1[[#This Row],[loan_amount]] &gt; 3300000, "larger size (&gt; 33L)")</f>
        <v>lower size (&lt; 9L)</v>
      </c>
      <c r="AM302" s="2">
        <f>IF(Table1[[#This Row],[dpd]] &gt;=30,1,0)</f>
        <v>0</v>
      </c>
      <c r="AN302" s="2">
        <f>COUNTIFS(Table1[Loan size],Table1[[#This Row],[Loan size]],Table1[dpd flag],1)/COUNTIF(Table1[Loan size],Table1[[#This Row],[Loan size]])</f>
        <v>0.13934426229508196</v>
      </c>
      <c r="AO302" s="2" t="str">
        <f>IF(OR(Table1[[#This Row],[credit_score]] &lt; 600, Table1[ [#This Row],[dti_ratio] ] &gt; 0.5, Table1[[#This Row],[dpd]] &gt;=30), "high risk", " not riskY")</f>
        <v xml:space="preserve"> not riskY</v>
      </c>
      <c r="AP302" s="26">
        <f>EOMONTH(Table1[[#This Row],[origination_date]],0)</f>
        <v>45169</v>
      </c>
      <c r="AQ302" s="2">
        <f>SUMIFS(Table1[loan_amount],Table1[origination month],Table1[[#This Row],[origination month]])</f>
        <v>38355800</v>
      </c>
      <c r="AR302" s="2">
        <f>AVERAGEIFS(Table1[months_on_book],Table1[product],Table1[[#This Row],[product]])</f>
        <v>21.092024539877301</v>
      </c>
      <c r="AS302" s="2" t="str">
        <f ca="1">IF(EDATE(Table1[[#This Row],[origination_date]],6) &gt;= TODAY(), "New Loan", "Old Loan")</f>
        <v>Old Loan</v>
      </c>
      <c r="AT302" s="2" t="str">
        <f>"Q"&amp;ROUNDUP(MONTH(Table1[[#This Row],[origination_date]])/3,0)&amp;YEAR(Table1[[#This Row],[origination_date]])</f>
        <v>Q32023</v>
      </c>
      <c r="AU302" s="2">
        <f>SUMIFS(Table1[loan_amount],Table1[quarter],Table1[[#This Row],[quarter]])</f>
        <v>77300600</v>
      </c>
      <c r="AV302" s="34" t="str">
        <f>_xlfn.TEXTJOIN("|",TRUE,Table1[[#This Row],[loan_id]:[loan_status]])</f>
        <v>L72668833|C2524559|45162|Personal Loan|Online|East|Salaried|36|290800|19.81|10779|614122|643|D|0.47|0.71|0|28|284969|59598|0|1|0|Closed</v>
      </c>
      <c r="AW302" s="42">
        <f>YEAR(Loan_Table[ [#This Row],[origination_date] ])</f>
        <v>2023</v>
      </c>
    </row>
    <row r="303" spans="2:49" ht="18" customHeight="1">
      <c r="B303" s="5" t="s">
        <v>726</v>
      </c>
      <c r="C303" s="2" t="s">
        <v>727</v>
      </c>
      <c r="D303" s="3">
        <v>45121</v>
      </c>
      <c r="E303" s="2" t="s">
        <v>169</v>
      </c>
      <c r="F303" s="2" t="s">
        <v>132</v>
      </c>
      <c r="G303" s="2" t="s">
        <v>133</v>
      </c>
      <c r="H303" s="2" t="s">
        <v>134</v>
      </c>
      <c r="I303" s="2">
        <v>12</v>
      </c>
      <c r="J303" s="2">
        <v>50000</v>
      </c>
      <c r="K303" s="2">
        <v>12.99</v>
      </c>
      <c r="L303" s="2">
        <v>4466</v>
      </c>
      <c r="M303" s="2">
        <v>897351</v>
      </c>
      <c r="N303" s="2">
        <v>647</v>
      </c>
      <c r="O303" s="2" t="s">
        <v>147</v>
      </c>
      <c r="P303" s="2">
        <v>0.46</v>
      </c>
      <c r="Q303" s="2">
        <v>0.89</v>
      </c>
      <c r="R303" s="2">
        <v>56400</v>
      </c>
      <c r="S303" s="2">
        <v>12</v>
      </c>
      <c r="T303" s="2">
        <v>48780</v>
      </c>
      <c r="U303" s="2">
        <v>3818</v>
      </c>
      <c r="V303" s="2">
        <v>0</v>
      </c>
      <c r="W303" s="2">
        <v>0</v>
      </c>
      <c r="X303" s="2">
        <v>0</v>
      </c>
      <c r="Y303" s="2" t="s">
        <v>141</v>
      </c>
      <c r="Z303" s="12">
        <f>SUMIF(Table1[product],Table1[[#This Row],[product]],Table1[loan_amount])</f>
        <v>403369500</v>
      </c>
      <c r="AA303" s="15">
        <f>SUMIF(Table1[region],Table1[[#This Row],[region]],Table1[current_balance])</f>
        <v>94548000</v>
      </c>
      <c r="AB303" s="2">
        <f>COUNTIF(Table1[loan_status],Table1[[#This Row],[loan_status]])</f>
        <v>139</v>
      </c>
      <c r="AC303" s="2">
        <f>COUNTIF(Table1[default_flag],1)/ROWS(Table1[loan_id])</f>
        <v>2.5999999999999999E-2</v>
      </c>
      <c r="AD303" s="2">
        <f>COUNTIFS(Table1[region],Table1[[#This Row],[region]],Table1[default_flag],1)/COUNTIF(Table1[region],Table1[[#This Row],[region]])</f>
        <v>0</v>
      </c>
      <c r="AE303" s="2">
        <f>COUNTIFS(Table1[channel],Table1[[#This Row],[channel]],Table1[prepayment_flag],1)/COUNTIF(Table1[channel],Table1[[#This Row],[channel]])</f>
        <v>7.1090047393364927E-2</v>
      </c>
      <c r="AF303" s="2">
        <f>AVERAGEIFS(Table1[interest_rate_pct],Table1[product],Table1[[#This Row],[product]],Table1[risk_band],Table1[[#This Row],[risk_band]])</f>
        <v>13.406874999999999</v>
      </c>
      <c r="AG303" s="2" t="str" cm="1">
        <f t="array" ref="AG303">_xlfn.IFS(Table1[[#This Row],[dti_ratio]] &lt; 0.2, " less than 0.2", Table1[[#This Row],[dti_ratio]] &lt; 0.3, "0.2 - 0.3", Table1[[#This Row],[dti_ratio]] &lt;= 0.5, "0.35 - 0.5", Table1[[#This Row],[dti_ratio]] &gt; 0.5, "greater than 0.5")</f>
        <v>0.35 - 0.5</v>
      </c>
      <c r="AH303" s="2">
        <f>COUNTIF(Table1[DTI band],Table1[[#This Row],[DTI band]])</f>
        <v>260</v>
      </c>
      <c r="AI303" s="2" t="str" cm="1">
        <f t="array" ref="AI303">_xlfn.IFS(Table1[[#This Row],[ltv_ratio]] &lt; 0.6, "less than 0.6 -less risky", Table1[[#This Row],[ltv_ratio]]  &lt;= 0.8, "0.6 - 0.8 -medium risky",Table1[[#This Row],[ltv_ratio]] &gt; 0.8, "greater than 0.8 -highly risky")</f>
        <v>greater than 0.8 -highly risky</v>
      </c>
      <c r="AJ303" s="2">
        <f>COUNTIF(Table1[LTV band],Table1[[#This Row],[LTV band]])</f>
        <v>141</v>
      </c>
      <c r="AK303" s="2">
        <f>COUNTIFS(Table1[count_loan_perband],Table1[[#This Row],[count_loan_perband]],Table1[default_flag],1)/COUNTIF(Table1[count_loan_perband],Table1[[#This Row],[count_loan_perband]])</f>
        <v>1.4184397163120567E-2</v>
      </c>
      <c r="AL303" s="2" t="str" cm="1">
        <f t="array" ref="AL303">_xlfn.IFS(Table1[[#This Row],[loan_amount]] &lt; 900000, "lower size (&lt; 9L)", Table1[[#This Row],[loan_amount]] &lt;=3300000, "medium size (&lt;=33L)", Table1[[#This Row],[loan_amount]] &gt; 3300000, "larger size (&gt; 33L)")</f>
        <v>lower size (&lt; 9L)</v>
      </c>
      <c r="AM303" s="2">
        <f>IF(Table1[[#This Row],[dpd]] &gt;=30,1,0)</f>
        <v>0</v>
      </c>
      <c r="AN303" s="2">
        <f>COUNTIFS(Table1[Loan size],Table1[[#This Row],[Loan size]],Table1[dpd flag],1)/COUNTIF(Table1[Loan size],Table1[[#This Row],[Loan size]])</f>
        <v>0.13934426229508196</v>
      </c>
      <c r="AO303" s="2" t="str">
        <f>IF(OR(Table1[[#This Row],[credit_score]] &lt; 600, Table1[ [#This Row],[dti_ratio] ] &gt; 0.5, Table1[[#This Row],[dpd]] &gt;=30), "high risk", " not riskY")</f>
        <v xml:space="preserve"> not riskY</v>
      </c>
      <c r="AP303" s="26">
        <f>EOMONTH(Table1[[#This Row],[origination_date]],0)</f>
        <v>45138</v>
      </c>
      <c r="AQ303" s="2">
        <f>SUMIFS(Table1[loan_amount],Table1[origination month],Table1[[#This Row],[origination month]])</f>
        <v>25129700</v>
      </c>
      <c r="AR303" s="2">
        <f>AVERAGEIFS(Table1[months_on_book],Table1[product],Table1[[#This Row],[product]])</f>
        <v>20.516129032258064</v>
      </c>
      <c r="AS303" s="2" t="str">
        <f ca="1">IF(EDATE(Table1[[#This Row],[origination_date]],6) &gt;= TODAY(), "New Loan", "Old Loan")</f>
        <v>Old Loan</v>
      </c>
      <c r="AT303" s="2" t="str">
        <f>"Q"&amp;ROUNDUP(MONTH(Table1[[#This Row],[origination_date]])/3,0)&amp;YEAR(Table1[[#This Row],[origination_date]])</f>
        <v>Q32023</v>
      </c>
      <c r="AU303" s="2">
        <f>SUMIFS(Table1[loan_amount],Table1[quarter],Table1[[#This Row],[quarter]])</f>
        <v>77300600</v>
      </c>
      <c r="AV303" s="34" t="str">
        <f>_xlfn.TEXTJOIN("|",TRUE,Table1[[#This Row],[loan_id]:[loan_status]])</f>
        <v>L18104307|C6725972|45121|Home Loan|Online|South|Salaried|12|50000|12.99|4466|897351|647|D|0.46|0.89|56400|12|48780|3818|0|0|0|Closed</v>
      </c>
      <c r="AW303" s="42">
        <f>YEAR(Loan_Table[ [#This Row],[origination_date] ])</f>
        <v>2023</v>
      </c>
    </row>
    <row r="304" spans="2:49" ht="18" customHeight="1">
      <c r="B304" s="5" t="s">
        <v>728</v>
      </c>
      <c r="C304" s="2" t="s">
        <v>729</v>
      </c>
      <c r="D304" s="3">
        <v>45186</v>
      </c>
      <c r="E304" s="2" t="s">
        <v>163</v>
      </c>
      <c r="F304" s="2" t="s">
        <v>144</v>
      </c>
      <c r="G304" s="2" t="s">
        <v>145</v>
      </c>
      <c r="H304" s="2" t="s">
        <v>134</v>
      </c>
      <c r="I304" s="2">
        <v>180</v>
      </c>
      <c r="J304" s="2">
        <v>309600</v>
      </c>
      <c r="K304" s="2">
        <v>12.34</v>
      </c>
      <c r="L304" s="2">
        <v>3784</v>
      </c>
      <c r="M304" s="2">
        <v>976104</v>
      </c>
      <c r="N304" s="2">
        <v>677</v>
      </c>
      <c r="O304" s="2" t="s">
        <v>140</v>
      </c>
      <c r="P304" s="2">
        <v>0.44</v>
      </c>
      <c r="Q304" s="2">
        <v>0.69</v>
      </c>
      <c r="R304" s="2">
        <v>446400</v>
      </c>
      <c r="S304" s="2">
        <v>27</v>
      </c>
      <c r="T304" s="2">
        <v>97829</v>
      </c>
      <c r="U304" s="2">
        <v>246155</v>
      </c>
      <c r="V304" s="2">
        <v>0</v>
      </c>
      <c r="W304" s="2">
        <v>0</v>
      </c>
      <c r="X304" s="2">
        <v>0</v>
      </c>
      <c r="Y304" s="2" t="s">
        <v>148</v>
      </c>
      <c r="Z304" s="12">
        <f>SUMIF(Table1[product],Table1[[#This Row],[product]],Table1[loan_amount])</f>
        <v>92273000</v>
      </c>
      <c r="AA304" s="15">
        <f>SUMIF(Table1[region],Table1[[#This Row],[region]],Table1[current_balance])</f>
        <v>98928695</v>
      </c>
      <c r="AB304" s="2">
        <f>COUNTIF(Table1[loan_status],Table1[[#This Row],[loan_status]])</f>
        <v>301</v>
      </c>
      <c r="AC304" s="2">
        <f>COUNTIF(Table1[default_flag],1)/ROWS(Table1[loan_id])</f>
        <v>2.5999999999999999E-2</v>
      </c>
      <c r="AD304" s="2">
        <f>COUNTIFS(Table1[region],Table1[[#This Row],[region]],Table1[default_flag],1)/COUNTIF(Table1[region],Table1[[#This Row],[region]])</f>
        <v>2.8571428571428571E-2</v>
      </c>
      <c r="AE304" s="2">
        <f>COUNTIFS(Table1[channel],Table1[[#This Row],[channel]],Table1[prepayment_flag],1)/COUNTIF(Table1[channel],Table1[[#This Row],[channel]])</f>
        <v>5.8201058201058198E-2</v>
      </c>
      <c r="AF304" s="2">
        <f>AVERAGEIFS(Table1[interest_rate_pct],Table1[product],Table1[[#This Row],[product]],Table1[risk_band],Table1[[#This Row],[risk_band]])</f>
        <v>13.246500000000001</v>
      </c>
      <c r="AG304" s="2" t="str" cm="1">
        <f t="array" ref="AG304">_xlfn.IFS(Table1[[#This Row],[dti_ratio]] &lt; 0.2, " less than 0.2", Table1[[#This Row],[dti_ratio]] &lt; 0.3, "0.2 - 0.3", Table1[[#This Row],[dti_ratio]] &lt;= 0.5, "0.35 - 0.5", Table1[[#This Row],[dti_ratio]] &gt; 0.5, "greater than 0.5")</f>
        <v>0.35 - 0.5</v>
      </c>
      <c r="AH304" s="2">
        <f>COUNTIF(Table1[DTI band],Table1[[#This Row],[DTI band]])</f>
        <v>260</v>
      </c>
      <c r="AI304" s="2" t="str" cm="1">
        <f t="array" ref="AI304">_xlfn.IFS(Table1[[#This Row],[ltv_ratio]] &lt; 0.6, "less than 0.6 -less risky", Table1[[#This Row],[ltv_ratio]]  &lt;= 0.8, "0.6 - 0.8 -medium risky",Table1[[#This Row],[ltv_ratio]] &gt; 0.8, "greater than 0.8 -highly risky")</f>
        <v>0.6 - 0.8 -medium risky</v>
      </c>
      <c r="AJ304" s="2">
        <f>COUNTIF(Table1[LTV band],Table1[[#This Row],[LTV band]])</f>
        <v>302</v>
      </c>
      <c r="AK304" s="2">
        <f>COUNTIFS(Table1[count_loan_perband],Table1[[#This Row],[count_loan_perband]],Table1[default_flag],1)/COUNTIF(Table1[count_loan_perband],Table1[[#This Row],[count_loan_perband]])</f>
        <v>3.6423841059602648E-2</v>
      </c>
      <c r="AL304" s="2" t="str" cm="1">
        <f t="array" ref="AL304">_xlfn.IFS(Table1[[#This Row],[loan_amount]] &lt; 900000, "lower size (&lt; 9L)", Table1[[#This Row],[loan_amount]] &lt;=3300000, "medium size (&lt;=33L)", Table1[[#This Row],[loan_amount]] &gt; 3300000, "larger size (&gt; 33L)")</f>
        <v>lower size (&lt; 9L)</v>
      </c>
      <c r="AM304" s="2">
        <f>IF(Table1[[#This Row],[dpd]] &gt;=30,1,0)</f>
        <v>0</v>
      </c>
      <c r="AN304" s="2">
        <f>COUNTIFS(Table1[Loan size],Table1[[#This Row],[Loan size]],Table1[dpd flag],1)/COUNTIF(Table1[Loan size],Table1[[#This Row],[Loan size]])</f>
        <v>0.13934426229508196</v>
      </c>
      <c r="AO304" s="2" t="str">
        <f>IF(OR(Table1[[#This Row],[credit_score]] &lt; 600, Table1[ [#This Row],[dti_ratio] ] &gt; 0.5, Table1[[#This Row],[dpd]] &gt;=30), "high risk", " not riskY")</f>
        <v xml:space="preserve"> not riskY</v>
      </c>
      <c r="AP304" s="26">
        <f>EOMONTH(Table1[[#This Row],[origination_date]],0)</f>
        <v>45199</v>
      </c>
      <c r="AQ304" s="2">
        <f>SUMIFS(Table1[loan_amount],Table1[origination month],Table1[[#This Row],[origination month]])</f>
        <v>13815100</v>
      </c>
      <c r="AR304" s="2">
        <f>AVERAGEIFS(Table1[months_on_book],Table1[product],Table1[[#This Row],[product]])</f>
        <v>20.262135922330096</v>
      </c>
      <c r="AS304" s="2" t="str">
        <f ca="1">IF(EDATE(Table1[[#This Row],[origination_date]],6) &gt;= TODAY(), "New Loan", "Old Loan")</f>
        <v>Old Loan</v>
      </c>
      <c r="AT304" s="2" t="str">
        <f>"Q"&amp;ROUNDUP(MONTH(Table1[[#This Row],[origination_date]])/3,0)&amp;YEAR(Table1[[#This Row],[origination_date]])</f>
        <v>Q32023</v>
      </c>
      <c r="AU304" s="2">
        <f>SUMIFS(Table1[loan_amount],Table1[quarter],Table1[[#This Row],[quarter]])</f>
        <v>77300600</v>
      </c>
      <c r="AV304" s="34" t="str">
        <f>_xlfn.TEXTJOIN("|",TRUE,Table1[[#This Row],[loan_id]:[loan_status]])</f>
        <v>L89910085|C5862557|45186|Auto Loan|Branch|Central|Salaried|180|309600|12.34|3784|976104|677|C|0.44|0.69|446400|27|97829|246155|0|0|0|Active</v>
      </c>
      <c r="AW304" s="42">
        <f>YEAR(Loan_Table[ [#This Row],[origination_date] ])</f>
        <v>2023</v>
      </c>
    </row>
    <row r="305" spans="2:49" ht="18" customHeight="1">
      <c r="B305" s="5" t="s">
        <v>730</v>
      </c>
      <c r="C305" s="2" t="s">
        <v>731</v>
      </c>
      <c r="D305" s="3">
        <v>45155</v>
      </c>
      <c r="E305" s="2" t="s">
        <v>163</v>
      </c>
      <c r="F305" s="2" t="s">
        <v>132</v>
      </c>
      <c r="G305" s="2" t="s">
        <v>145</v>
      </c>
      <c r="H305" s="2" t="s">
        <v>134</v>
      </c>
      <c r="I305" s="2">
        <v>24</v>
      </c>
      <c r="J305" s="2">
        <v>1051400</v>
      </c>
      <c r="K305" s="2">
        <v>10.52</v>
      </c>
      <c r="L305" s="2">
        <v>48770</v>
      </c>
      <c r="M305" s="2">
        <v>937487</v>
      </c>
      <c r="N305" s="2">
        <v>704</v>
      </c>
      <c r="O305" s="2" t="s">
        <v>135</v>
      </c>
      <c r="P305" s="2">
        <v>0.41</v>
      </c>
      <c r="Q305" s="2">
        <v>0.59</v>
      </c>
      <c r="R305" s="2">
        <v>1770400</v>
      </c>
      <c r="S305" s="2">
        <v>24</v>
      </c>
      <c r="T305" s="2">
        <v>1181025</v>
      </c>
      <c r="U305" s="2">
        <v>0</v>
      </c>
      <c r="V305" s="2">
        <v>0</v>
      </c>
      <c r="W305" s="2">
        <v>1</v>
      </c>
      <c r="X305" s="2">
        <v>0</v>
      </c>
      <c r="Y305" s="2" t="s">
        <v>141</v>
      </c>
      <c r="Z305" s="12">
        <f>SUMIF(Table1[product],Table1[[#This Row],[product]],Table1[loan_amount])</f>
        <v>92273000</v>
      </c>
      <c r="AA305" s="15">
        <f>SUMIF(Table1[region],Table1[[#This Row],[region]],Table1[current_balance])</f>
        <v>98928695</v>
      </c>
      <c r="AB305" s="2">
        <f>COUNTIF(Table1[loan_status],Table1[[#This Row],[loan_status]])</f>
        <v>139</v>
      </c>
      <c r="AC305" s="2">
        <f>COUNTIF(Table1[default_flag],1)/ROWS(Table1[loan_id])</f>
        <v>2.5999999999999999E-2</v>
      </c>
      <c r="AD305" s="2">
        <f>COUNTIFS(Table1[region],Table1[[#This Row],[region]],Table1[default_flag],1)/COUNTIF(Table1[region],Table1[[#This Row],[region]])</f>
        <v>2.8571428571428571E-2</v>
      </c>
      <c r="AE305" s="2">
        <f>COUNTIFS(Table1[channel],Table1[[#This Row],[channel]],Table1[prepayment_flag],1)/COUNTIF(Table1[channel],Table1[[#This Row],[channel]])</f>
        <v>7.1090047393364927E-2</v>
      </c>
      <c r="AF305" s="2">
        <f>AVERAGEIFS(Table1[interest_rate_pct],Table1[product],Table1[[#This Row],[product]],Table1[risk_band],Table1[[#This Row],[risk_band]])</f>
        <v>10.611923076923079</v>
      </c>
      <c r="AG305" s="2" t="str" cm="1">
        <f t="array" ref="AG305">_xlfn.IFS(Table1[[#This Row],[dti_ratio]] &lt; 0.2, " less than 0.2", Table1[[#This Row],[dti_ratio]] &lt; 0.3, "0.2 - 0.3", Table1[[#This Row],[dti_ratio]] &lt;= 0.5, "0.35 - 0.5", Table1[[#This Row],[dti_ratio]] &gt; 0.5, "greater than 0.5")</f>
        <v>0.35 - 0.5</v>
      </c>
      <c r="AH305" s="2">
        <f>COUNTIF(Table1[DTI band],Table1[[#This Row],[DTI band]])</f>
        <v>260</v>
      </c>
      <c r="AI305" s="2" t="str" cm="1">
        <f t="array" ref="AI305">_xlfn.IFS(Table1[[#This Row],[ltv_ratio]] &lt; 0.6, "less than 0.6 -less risky", Table1[[#This Row],[ltv_ratio]]  &lt;= 0.8, "0.6 - 0.8 -medium risky",Table1[[#This Row],[ltv_ratio]] &gt; 0.8, "greater than 0.8 -highly risky")</f>
        <v>less than 0.6 -less risky</v>
      </c>
      <c r="AJ305" s="2">
        <f>COUNTIF(Table1[LTV band],Table1[[#This Row],[LTV band]])</f>
        <v>57</v>
      </c>
      <c r="AK305" s="2">
        <f>COUNTIFS(Table1[count_loan_perband],Table1[[#This Row],[count_loan_perband]],Table1[default_flag],1)/COUNTIF(Table1[count_loan_perband],Table1[[#This Row],[count_loan_perband]])</f>
        <v>0</v>
      </c>
      <c r="AL305" s="2" t="str" cm="1">
        <f t="array" ref="AL305">_xlfn.IFS(Table1[[#This Row],[loan_amount]] &lt; 900000, "lower size (&lt; 9L)", Table1[[#This Row],[loan_amount]] &lt;=3300000, "medium size (&lt;=33L)", Table1[[#This Row],[loan_amount]] &gt; 3300000, "larger size (&gt; 33L)")</f>
        <v>medium size (&lt;=33L)</v>
      </c>
      <c r="AM305" s="2">
        <f>IF(Table1[[#This Row],[dpd]] &gt;=30,1,0)</f>
        <v>0</v>
      </c>
      <c r="AN305" s="2">
        <f>COUNTIFS(Table1[Loan size],Table1[[#This Row],[Loan size]],Table1[dpd flag],1)/COUNTIF(Table1[Loan size],Table1[[#This Row],[Loan size]])</f>
        <v>0.15909090909090909</v>
      </c>
      <c r="AO305" s="2" t="str">
        <f>IF(OR(Table1[[#This Row],[credit_score]] &lt; 600, Table1[ [#This Row],[dti_ratio] ] &gt; 0.5, Table1[[#This Row],[dpd]] &gt;=30), "high risk", " not riskY")</f>
        <v xml:space="preserve"> not riskY</v>
      </c>
      <c r="AP305" s="26">
        <f>EOMONTH(Table1[[#This Row],[origination_date]],0)</f>
        <v>45169</v>
      </c>
      <c r="AQ305" s="2">
        <f>SUMIFS(Table1[loan_amount],Table1[origination month],Table1[[#This Row],[origination month]])</f>
        <v>38355800</v>
      </c>
      <c r="AR305" s="2">
        <f>AVERAGEIFS(Table1[months_on_book],Table1[product],Table1[[#This Row],[product]])</f>
        <v>20.262135922330096</v>
      </c>
      <c r="AS305" s="2" t="str">
        <f ca="1">IF(EDATE(Table1[[#This Row],[origination_date]],6) &gt;= TODAY(), "New Loan", "Old Loan")</f>
        <v>Old Loan</v>
      </c>
      <c r="AT305" s="2" t="str">
        <f>"Q"&amp;ROUNDUP(MONTH(Table1[[#This Row],[origination_date]])/3,0)&amp;YEAR(Table1[[#This Row],[origination_date]])</f>
        <v>Q32023</v>
      </c>
      <c r="AU305" s="2">
        <f>SUMIFS(Table1[loan_amount],Table1[quarter],Table1[[#This Row],[quarter]])</f>
        <v>77300600</v>
      </c>
      <c r="AV305" s="34" t="str">
        <f>_xlfn.TEXTJOIN("|",TRUE,Table1[[#This Row],[loan_id]:[loan_status]])</f>
        <v>L34908372|C2753396|45155|Auto Loan|Online|Central|Salaried|24|1051400|10.52|48770|937487|704|B|0.41|0.59|1770400|24|1181025|0|0|1|0|Closed</v>
      </c>
      <c r="AW305" s="42">
        <f>YEAR(Loan_Table[ [#This Row],[origination_date] ])</f>
        <v>2023</v>
      </c>
    </row>
    <row r="306" spans="2:49" ht="18" customHeight="1">
      <c r="B306" s="5" t="s">
        <v>732</v>
      </c>
      <c r="C306" s="2" t="s">
        <v>733</v>
      </c>
      <c r="D306" s="3">
        <v>45188</v>
      </c>
      <c r="E306" s="2" t="s">
        <v>158</v>
      </c>
      <c r="F306" s="2" t="s">
        <v>144</v>
      </c>
      <c r="G306" s="2" t="s">
        <v>133</v>
      </c>
      <c r="H306" s="2" t="s">
        <v>152</v>
      </c>
      <c r="I306" s="2">
        <v>240</v>
      </c>
      <c r="J306" s="2">
        <v>3548000</v>
      </c>
      <c r="K306" s="2">
        <v>22.07</v>
      </c>
      <c r="L306" s="2">
        <v>66086</v>
      </c>
      <c r="M306" s="2">
        <v>1121504</v>
      </c>
      <c r="N306" s="2">
        <v>543</v>
      </c>
      <c r="O306" s="2" t="s">
        <v>166</v>
      </c>
      <c r="P306" s="2">
        <v>0.41</v>
      </c>
      <c r="Q306" s="2">
        <v>0.78</v>
      </c>
      <c r="R306" s="2">
        <v>4525100</v>
      </c>
      <c r="S306" s="2">
        <v>27</v>
      </c>
      <c r="T306" s="2">
        <v>1813335</v>
      </c>
      <c r="U306" s="2">
        <v>2439404</v>
      </c>
      <c r="V306" s="2">
        <v>0</v>
      </c>
      <c r="W306" s="2">
        <v>0</v>
      </c>
      <c r="X306" s="2">
        <v>0</v>
      </c>
      <c r="Y306" s="2" t="s">
        <v>148</v>
      </c>
      <c r="Z306" s="12">
        <f>SUMIF(Table1[product],Table1[[#This Row],[product]],Table1[loan_amount])</f>
        <v>201475100</v>
      </c>
      <c r="AA306" s="15">
        <f>SUMIF(Table1[region],Table1[[#This Row],[region]],Table1[current_balance])</f>
        <v>94548000</v>
      </c>
      <c r="AB306" s="2">
        <f>COUNTIF(Table1[loan_status],Table1[[#This Row],[loan_status]])</f>
        <v>301</v>
      </c>
      <c r="AC306" s="2">
        <f>COUNTIF(Table1[default_flag],1)/ROWS(Table1[loan_id])</f>
        <v>2.5999999999999999E-2</v>
      </c>
      <c r="AD306" s="2">
        <f>COUNTIFS(Table1[region],Table1[[#This Row],[region]],Table1[default_flag],1)/COUNTIF(Table1[region],Table1[[#This Row],[region]])</f>
        <v>0</v>
      </c>
      <c r="AE306" s="2">
        <f>COUNTIFS(Table1[channel],Table1[[#This Row],[channel]],Table1[prepayment_flag],1)/COUNTIF(Table1[channel],Table1[[#This Row],[channel]])</f>
        <v>5.8201058201058198E-2</v>
      </c>
      <c r="AF306" s="2">
        <f>AVERAGEIFS(Table1[interest_rate_pct],Table1[product],Table1[[#This Row],[product]],Table1[risk_band],Table1[[#This Row],[risk_band]])</f>
        <v>20.521428571428572</v>
      </c>
      <c r="AG306" s="2" t="str" cm="1">
        <f t="array" ref="AG306">_xlfn.IFS(Table1[[#This Row],[dti_ratio]] &lt; 0.2, " less than 0.2", Table1[[#This Row],[dti_ratio]] &lt; 0.3, "0.2 - 0.3", Table1[[#This Row],[dti_ratio]] &lt;= 0.5, "0.35 - 0.5", Table1[[#This Row],[dti_ratio]] &gt; 0.5, "greater than 0.5")</f>
        <v>0.35 - 0.5</v>
      </c>
      <c r="AH306" s="2">
        <f>COUNTIF(Table1[DTI band],Table1[[#This Row],[DTI band]])</f>
        <v>260</v>
      </c>
      <c r="AI306" s="2" t="str" cm="1">
        <f t="array" ref="AI306">_xlfn.IFS(Table1[[#This Row],[ltv_ratio]] &lt; 0.6, "less than 0.6 -less risky", Table1[[#This Row],[ltv_ratio]]  &lt;= 0.8, "0.6 - 0.8 -medium risky",Table1[[#This Row],[ltv_ratio]] &gt; 0.8, "greater than 0.8 -highly risky")</f>
        <v>0.6 - 0.8 -medium risky</v>
      </c>
      <c r="AJ306" s="2">
        <f>COUNTIF(Table1[LTV band],Table1[[#This Row],[LTV band]])</f>
        <v>302</v>
      </c>
      <c r="AK306" s="2">
        <f>COUNTIFS(Table1[count_loan_perband],Table1[[#This Row],[count_loan_perband]],Table1[default_flag],1)/COUNTIF(Table1[count_loan_perband],Table1[[#This Row],[count_loan_perband]])</f>
        <v>3.6423841059602648E-2</v>
      </c>
      <c r="AL306" s="2" t="str" cm="1">
        <f t="array" ref="AL306">_xlfn.IFS(Table1[[#This Row],[loan_amount]] &lt; 900000, "lower size (&lt; 9L)", Table1[[#This Row],[loan_amount]] &lt;=3300000, "medium size (&lt;=33L)", Table1[[#This Row],[loan_amount]] &gt; 3300000, "larger size (&gt; 33L)")</f>
        <v>larger size (&gt; 33L)</v>
      </c>
      <c r="AM306" s="2">
        <f>IF(Table1[[#This Row],[dpd]] &gt;=30,1,0)</f>
        <v>0</v>
      </c>
      <c r="AN306" s="2">
        <f>COUNTIFS(Table1[Loan size],Table1[[#This Row],[Loan size]],Table1[dpd flag],1)/COUNTIF(Table1[Loan size],Table1[[#This Row],[Loan size]])</f>
        <v>0.16250000000000001</v>
      </c>
      <c r="AO306" s="2" t="str">
        <f>IF(OR(Table1[[#This Row],[credit_score]] &lt; 600, Table1[ [#This Row],[dti_ratio] ] &gt; 0.5, Table1[[#This Row],[dpd]] &gt;=30), "high risk", " not riskY")</f>
        <v>high risk</v>
      </c>
      <c r="AP306" s="26">
        <f>EOMONTH(Table1[[#This Row],[origination_date]],0)</f>
        <v>45199</v>
      </c>
      <c r="AQ306" s="2">
        <f>SUMIFS(Table1[loan_amount],Table1[origination month],Table1[[#This Row],[origination month]])</f>
        <v>13815100</v>
      </c>
      <c r="AR306" s="2">
        <f>AVERAGEIFS(Table1[months_on_book],Table1[product],Table1[[#This Row],[product]])</f>
        <v>19.091954022988507</v>
      </c>
      <c r="AS306" s="2" t="str">
        <f ca="1">IF(EDATE(Table1[[#This Row],[origination_date]],6) &gt;= TODAY(), "New Loan", "Old Loan")</f>
        <v>Old Loan</v>
      </c>
      <c r="AT306" s="2" t="str">
        <f>"Q"&amp;ROUNDUP(MONTH(Table1[[#This Row],[origination_date]])/3,0)&amp;YEAR(Table1[[#This Row],[origination_date]])</f>
        <v>Q32023</v>
      </c>
      <c r="AU306" s="2">
        <f>SUMIFS(Table1[loan_amount],Table1[quarter],Table1[[#This Row],[quarter]])</f>
        <v>77300600</v>
      </c>
      <c r="AV306" s="34" t="str">
        <f>_xlfn.TEXTJOIN("|",TRUE,Table1[[#This Row],[loan_id]:[loan_status]])</f>
        <v>L20964925|C8056728|45188|SME Loan|Branch|South|Self-Employed|240|3548000|22.07|66086|1121504|543|E|0.41|0.78|4525100|27|1813335|2439404|0|0|0|Active</v>
      </c>
      <c r="AW306" s="42">
        <f>YEAR(Loan_Table[ [#This Row],[origination_date] ])</f>
        <v>2023</v>
      </c>
    </row>
    <row r="307" spans="2:49" ht="18" customHeight="1">
      <c r="B307" s="5" t="s">
        <v>734</v>
      </c>
      <c r="C307" s="2" t="s">
        <v>735</v>
      </c>
      <c r="D307" s="3">
        <v>45157</v>
      </c>
      <c r="E307" s="2" t="s">
        <v>158</v>
      </c>
      <c r="F307" s="2" t="s">
        <v>144</v>
      </c>
      <c r="G307" s="2" t="s">
        <v>139</v>
      </c>
      <c r="H307" s="2" t="s">
        <v>134</v>
      </c>
      <c r="I307" s="2">
        <v>48</v>
      </c>
      <c r="J307" s="2">
        <v>1008900</v>
      </c>
      <c r="K307" s="2">
        <v>18.34</v>
      </c>
      <c r="L307" s="2">
        <v>29816</v>
      </c>
      <c r="M307" s="2">
        <v>674440</v>
      </c>
      <c r="N307" s="2">
        <v>626</v>
      </c>
      <c r="O307" s="2" t="s">
        <v>147</v>
      </c>
      <c r="P307" s="2">
        <v>0.4</v>
      </c>
      <c r="Q307" s="2">
        <v>0.65</v>
      </c>
      <c r="R307" s="2">
        <v>1553200</v>
      </c>
      <c r="S307" s="2">
        <v>28</v>
      </c>
      <c r="T307" s="2">
        <v>795087</v>
      </c>
      <c r="U307" s="2">
        <v>386510</v>
      </c>
      <c r="V307" s="2">
        <v>0</v>
      </c>
      <c r="W307" s="2">
        <v>0</v>
      </c>
      <c r="X307" s="2">
        <v>0</v>
      </c>
      <c r="Y307" s="2" t="s">
        <v>148</v>
      </c>
      <c r="Z307" s="12">
        <f>SUMIF(Table1[product],Table1[[#This Row],[product]],Table1[loan_amount])</f>
        <v>201475100</v>
      </c>
      <c r="AA307" s="15">
        <f>SUMIF(Table1[region],Table1[[#This Row],[region]],Table1[current_balance])</f>
        <v>83903255</v>
      </c>
      <c r="AB307" s="2">
        <f>COUNTIF(Table1[loan_status],Table1[[#This Row],[loan_status]])</f>
        <v>301</v>
      </c>
      <c r="AC307" s="2">
        <f>COUNTIF(Table1[default_flag],1)/ROWS(Table1[loan_id])</f>
        <v>2.5999999999999999E-2</v>
      </c>
      <c r="AD307" s="2">
        <f>COUNTIFS(Table1[region],Table1[[#This Row],[region]],Table1[default_flag],1)/COUNTIF(Table1[region],Table1[[#This Row],[region]])</f>
        <v>4.2553191489361701E-2</v>
      </c>
      <c r="AE307" s="2">
        <f>COUNTIFS(Table1[channel],Table1[[#This Row],[channel]],Table1[prepayment_flag],1)/COUNTIF(Table1[channel],Table1[[#This Row],[channel]])</f>
        <v>5.8201058201058198E-2</v>
      </c>
      <c r="AF307" s="2">
        <f>AVERAGEIFS(Table1[interest_rate_pct],Table1[product],Table1[[#This Row],[product]],Table1[risk_band],Table1[[#This Row],[risk_band]])</f>
        <v>18.241249999999997</v>
      </c>
      <c r="AG307" s="2" t="str" cm="1">
        <f t="array" ref="AG307">_xlfn.IFS(Table1[[#This Row],[dti_ratio]] &lt; 0.2, " less than 0.2", Table1[[#This Row],[dti_ratio]] &lt; 0.3, "0.2 - 0.3", Table1[[#This Row],[dti_ratio]] &lt;= 0.5, "0.35 - 0.5", Table1[[#This Row],[dti_ratio]] &gt; 0.5, "greater than 0.5")</f>
        <v>0.35 - 0.5</v>
      </c>
      <c r="AH307" s="2">
        <f>COUNTIF(Table1[DTI band],Table1[[#This Row],[DTI band]])</f>
        <v>260</v>
      </c>
      <c r="AI307" s="2" t="str" cm="1">
        <f t="array" ref="AI307">_xlfn.IFS(Table1[[#This Row],[ltv_ratio]] &lt; 0.6, "less than 0.6 -less risky", Table1[[#This Row],[ltv_ratio]]  &lt;= 0.8, "0.6 - 0.8 -medium risky",Table1[[#This Row],[ltv_ratio]] &gt; 0.8, "greater than 0.8 -highly risky")</f>
        <v>0.6 - 0.8 -medium risky</v>
      </c>
      <c r="AJ307" s="2">
        <f>COUNTIF(Table1[LTV band],Table1[[#This Row],[LTV band]])</f>
        <v>302</v>
      </c>
      <c r="AK307" s="2">
        <f>COUNTIFS(Table1[count_loan_perband],Table1[[#This Row],[count_loan_perband]],Table1[default_flag],1)/COUNTIF(Table1[count_loan_perband],Table1[[#This Row],[count_loan_perband]])</f>
        <v>3.6423841059602648E-2</v>
      </c>
      <c r="AL307" s="2" t="str" cm="1">
        <f t="array" ref="AL307">_xlfn.IFS(Table1[[#This Row],[loan_amount]] &lt; 900000, "lower size (&lt; 9L)", Table1[[#This Row],[loan_amount]] &lt;=3300000, "medium size (&lt;=33L)", Table1[[#This Row],[loan_amount]] &gt; 3300000, "larger size (&gt; 33L)")</f>
        <v>medium size (&lt;=33L)</v>
      </c>
      <c r="AM307" s="2">
        <f>IF(Table1[[#This Row],[dpd]] &gt;=30,1,0)</f>
        <v>0</v>
      </c>
      <c r="AN307" s="2">
        <f>COUNTIFS(Table1[Loan size],Table1[[#This Row],[Loan size]],Table1[dpd flag],1)/COUNTIF(Table1[Loan size],Table1[[#This Row],[Loan size]])</f>
        <v>0.15909090909090909</v>
      </c>
      <c r="AO307" s="2" t="str">
        <f>IF(OR(Table1[[#This Row],[credit_score]] &lt; 600, Table1[ [#This Row],[dti_ratio] ] &gt; 0.5, Table1[[#This Row],[dpd]] &gt;=30), "high risk", " not riskY")</f>
        <v xml:space="preserve"> not riskY</v>
      </c>
      <c r="AP307" s="26">
        <f>EOMONTH(Table1[[#This Row],[origination_date]],0)</f>
        <v>45169</v>
      </c>
      <c r="AQ307" s="2">
        <f>SUMIFS(Table1[loan_amount],Table1[origination month],Table1[[#This Row],[origination month]])</f>
        <v>38355800</v>
      </c>
      <c r="AR307" s="2">
        <f>AVERAGEIFS(Table1[months_on_book],Table1[product],Table1[[#This Row],[product]])</f>
        <v>19.091954022988507</v>
      </c>
      <c r="AS307" s="2" t="str">
        <f ca="1">IF(EDATE(Table1[[#This Row],[origination_date]],6) &gt;= TODAY(), "New Loan", "Old Loan")</f>
        <v>Old Loan</v>
      </c>
      <c r="AT307" s="2" t="str">
        <f>"Q"&amp;ROUNDUP(MONTH(Table1[[#This Row],[origination_date]])/3,0)&amp;YEAR(Table1[[#This Row],[origination_date]])</f>
        <v>Q32023</v>
      </c>
      <c r="AU307" s="2">
        <f>SUMIFS(Table1[loan_amount],Table1[quarter],Table1[[#This Row],[quarter]])</f>
        <v>77300600</v>
      </c>
      <c r="AV307" s="34" t="str">
        <f>_xlfn.TEXTJOIN("|",TRUE,Table1[[#This Row],[loan_id]:[loan_status]])</f>
        <v>L19822959|C6091947|45157|SME Loan|Branch|West|Salaried|48|1008900|18.34|29816|674440|626|D|0.4|0.65|1553200|28|795087|386510|0|0|0|Active</v>
      </c>
      <c r="AW307" s="42">
        <f>YEAR(Loan_Table[ [#This Row],[origination_date] ])</f>
        <v>2023</v>
      </c>
    </row>
    <row r="308" spans="2:49" ht="18" customHeight="1">
      <c r="B308" s="5" t="s">
        <v>736</v>
      </c>
      <c r="C308" s="2" t="s">
        <v>737</v>
      </c>
      <c r="D308" s="3">
        <v>45168</v>
      </c>
      <c r="E308" s="2" t="s">
        <v>169</v>
      </c>
      <c r="F308" s="2" t="s">
        <v>144</v>
      </c>
      <c r="G308" s="2" t="s">
        <v>139</v>
      </c>
      <c r="H308" s="2" t="s">
        <v>152</v>
      </c>
      <c r="I308" s="2">
        <v>84</v>
      </c>
      <c r="J308" s="2">
        <v>2409800</v>
      </c>
      <c r="K308" s="2">
        <v>7</v>
      </c>
      <c r="L308" s="2">
        <v>36370</v>
      </c>
      <c r="M308" s="2">
        <v>1253034</v>
      </c>
      <c r="N308" s="2">
        <v>818</v>
      </c>
      <c r="O308" s="2" t="s">
        <v>160</v>
      </c>
      <c r="P308" s="2">
        <v>0.4</v>
      </c>
      <c r="Q308" s="2">
        <v>0.78</v>
      </c>
      <c r="R308" s="2">
        <v>3107300</v>
      </c>
      <c r="S308" s="2">
        <v>28</v>
      </c>
      <c r="T308" s="2">
        <v>930361</v>
      </c>
      <c r="U308" s="2">
        <v>1636879</v>
      </c>
      <c r="V308" s="2">
        <v>0</v>
      </c>
      <c r="W308" s="2">
        <v>0</v>
      </c>
      <c r="X308" s="2">
        <v>0</v>
      </c>
      <c r="Y308" s="2" t="s">
        <v>148</v>
      </c>
      <c r="Z308" s="12">
        <f>SUMIF(Table1[product],Table1[[#This Row],[product]],Table1[loan_amount])</f>
        <v>403369500</v>
      </c>
      <c r="AA308" s="15">
        <f>SUMIF(Table1[region],Table1[[#This Row],[region]],Table1[current_balance])</f>
        <v>83903255</v>
      </c>
      <c r="AB308" s="2">
        <f>COUNTIF(Table1[loan_status],Table1[[#This Row],[loan_status]])</f>
        <v>301</v>
      </c>
      <c r="AC308" s="2">
        <f>COUNTIF(Table1[default_flag],1)/ROWS(Table1[loan_id])</f>
        <v>2.5999999999999999E-2</v>
      </c>
      <c r="AD308" s="2">
        <f>COUNTIFS(Table1[region],Table1[[#This Row],[region]],Table1[default_flag],1)/COUNTIF(Table1[region],Table1[[#This Row],[region]])</f>
        <v>4.2553191489361701E-2</v>
      </c>
      <c r="AE308" s="2">
        <f>COUNTIFS(Table1[channel],Table1[[#This Row],[channel]],Table1[prepayment_flag],1)/COUNTIF(Table1[channel],Table1[[#This Row],[channel]])</f>
        <v>5.8201058201058198E-2</v>
      </c>
      <c r="AF308" s="2">
        <f>AVERAGEIFS(Table1[interest_rate_pct],Table1[product],Table1[[#This Row],[product]],Table1[risk_band],Table1[[#This Row],[risk_band]])</f>
        <v>7.1876190476190471</v>
      </c>
      <c r="AG308" s="2" t="str" cm="1">
        <f t="array" ref="AG308">_xlfn.IFS(Table1[[#This Row],[dti_ratio]] &lt; 0.2, " less than 0.2", Table1[[#This Row],[dti_ratio]] &lt; 0.3, "0.2 - 0.3", Table1[[#This Row],[dti_ratio]] &lt;= 0.5, "0.35 - 0.5", Table1[[#This Row],[dti_ratio]] &gt; 0.5, "greater than 0.5")</f>
        <v>0.35 - 0.5</v>
      </c>
      <c r="AH308" s="2">
        <f>COUNTIF(Table1[DTI band],Table1[[#This Row],[DTI band]])</f>
        <v>260</v>
      </c>
      <c r="AI308" s="2" t="str" cm="1">
        <f t="array" ref="AI308">_xlfn.IFS(Table1[[#This Row],[ltv_ratio]] &lt; 0.6, "less than 0.6 -less risky", Table1[[#This Row],[ltv_ratio]]  &lt;= 0.8, "0.6 - 0.8 -medium risky",Table1[[#This Row],[ltv_ratio]] &gt; 0.8, "greater than 0.8 -highly risky")</f>
        <v>0.6 - 0.8 -medium risky</v>
      </c>
      <c r="AJ308" s="2">
        <f>COUNTIF(Table1[LTV band],Table1[[#This Row],[LTV band]])</f>
        <v>302</v>
      </c>
      <c r="AK308" s="2">
        <f>COUNTIFS(Table1[count_loan_perband],Table1[[#This Row],[count_loan_perband]],Table1[default_flag],1)/COUNTIF(Table1[count_loan_perband],Table1[[#This Row],[count_loan_perband]])</f>
        <v>3.6423841059602648E-2</v>
      </c>
      <c r="AL308" s="2" t="str" cm="1">
        <f t="array" ref="AL308">_xlfn.IFS(Table1[[#This Row],[loan_amount]] &lt; 900000, "lower size (&lt; 9L)", Table1[[#This Row],[loan_amount]] &lt;=3300000, "medium size (&lt;=33L)", Table1[[#This Row],[loan_amount]] &gt; 3300000, "larger size (&gt; 33L)")</f>
        <v>medium size (&lt;=33L)</v>
      </c>
      <c r="AM308" s="2">
        <f>IF(Table1[[#This Row],[dpd]] &gt;=30,1,0)</f>
        <v>0</v>
      </c>
      <c r="AN308" s="2">
        <f>COUNTIFS(Table1[Loan size],Table1[[#This Row],[Loan size]],Table1[dpd flag],1)/COUNTIF(Table1[Loan size],Table1[[#This Row],[Loan size]])</f>
        <v>0.15909090909090909</v>
      </c>
      <c r="AO308" s="2" t="str">
        <f>IF(OR(Table1[[#This Row],[credit_score]] &lt; 600, Table1[ [#This Row],[dti_ratio] ] &gt; 0.5, Table1[[#This Row],[dpd]] &gt;=30), "high risk", " not riskY")</f>
        <v xml:space="preserve"> not riskY</v>
      </c>
      <c r="AP308" s="26">
        <f>EOMONTH(Table1[[#This Row],[origination_date]],0)</f>
        <v>45169</v>
      </c>
      <c r="AQ308" s="2">
        <f>SUMIFS(Table1[loan_amount],Table1[origination month],Table1[[#This Row],[origination month]])</f>
        <v>38355800</v>
      </c>
      <c r="AR308" s="2">
        <f>AVERAGEIFS(Table1[months_on_book],Table1[product],Table1[[#This Row],[product]])</f>
        <v>20.516129032258064</v>
      </c>
      <c r="AS308" s="2" t="str">
        <f ca="1">IF(EDATE(Table1[[#This Row],[origination_date]],6) &gt;= TODAY(), "New Loan", "Old Loan")</f>
        <v>Old Loan</v>
      </c>
      <c r="AT308" s="2" t="str">
        <f>"Q"&amp;ROUNDUP(MONTH(Table1[[#This Row],[origination_date]])/3,0)&amp;YEAR(Table1[[#This Row],[origination_date]])</f>
        <v>Q32023</v>
      </c>
      <c r="AU308" s="2">
        <f>SUMIFS(Table1[loan_amount],Table1[quarter],Table1[[#This Row],[quarter]])</f>
        <v>77300600</v>
      </c>
      <c r="AV308" s="34" t="str">
        <f>_xlfn.TEXTJOIN("|",TRUE,Table1[[#This Row],[loan_id]:[loan_status]])</f>
        <v>L54801238|C8133861|45168|Home Loan|Branch|West|Self-Employed|84|2409800|7|36370|1253034|818|A|0.4|0.78|3107300|28|930361|1636879|0|0|0|Active</v>
      </c>
      <c r="AW308" s="42">
        <f>YEAR(Loan_Table[ [#This Row],[origination_date] ])</f>
        <v>2023</v>
      </c>
    </row>
    <row r="309" spans="2:49" ht="18" customHeight="1">
      <c r="B309" s="5" t="s">
        <v>738</v>
      </c>
      <c r="C309" s="2" t="s">
        <v>739</v>
      </c>
      <c r="D309" s="3">
        <v>45129</v>
      </c>
      <c r="E309" s="2" t="s">
        <v>131</v>
      </c>
      <c r="F309" s="2" t="s">
        <v>213</v>
      </c>
      <c r="G309" s="2" t="s">
        <v>145</v>
      </c>
      <c r="H309" s="2" t="s">
        <v>134</v>
      </c>
      <c r="I309" s="2">
        <v>84</v>
      </c>
      <c r="J309" s="2">
        <v>836700</v>
      </c>
      <c r="K309" s="2">
        <v>12.46</v>
      </c>
      <c r="L309" s="2">
        <v>14977</v>
      </c>
      <c r="M309" s="2">
        <v>1211195</v>
      </c>
      <c r="N309" s="2">
        <v>795</v>
      </c>
      <c r="O309" s="2" t="s">
        <v>160</v>
      </c>
      <c r="P309" s="2">
        <v>0.39</v>
      </c>
      <c r="Q309" s="2">
        <v>0.85</v>
      </c>
      <c r="R309" s="2">
        <v>0</v>
      </c>
      <c r="S309" s="2">
        <v>29</v>
      </c>
      <c r="T309" s="2">
        <v>435955</v>
      </c>
      <c r="U309" s="2">
        <v>501523</v>
      </c>
      <c r="V309" s="2">
        <v>10</v>
      </c>
      <c r="W309" s="2">
        <v>0</v>
      </c>
      <c r="X309" s="2">
        <v>0</v>
      </c>
      <c r="Y309" s="2" t="s">
        <v>148</v>
      </c>
      <c r="Z309" s="12">
        <f>SUMIF(Table1[product],Table1[[#This Row],[product]],Table1[loan_amount])</f>
        <v>74897600</v>
      </c>
      <c r="AA309" s="15">
        <f>SUMIF(Table1[region],Table1[[#This Row],[region]],Table1[current_balance])</f>
        <v>98928695</v>
      </c>
      <c r="AB309" s="2">
        <f>COUNTIF(Table1[loan_status],Table1[[#This Row],[loan_status]])</f>
        <v>301</v>
      </c>
      <c r="AC309" s="2">
        <f>COUNTIF(Table1[default_flag],1)/ROWS(Table1[loan_id])</f>
        <v>2.5999999999999999E-2</v>
      </c>
      <c r="AD309" s="2">
        <f>COUNTIFS(Table1[region],Table1[[#This Row],[region]],Table1[default_flag],1)/COUNTIF(Table1[region],Table1[[#This Row],[region]])</f>
        <v>2.8571428571428571E-2</v>
      </c>
      <c r="AE309" s="2">
        <f>COUNTIFS(Table1[channel],Table1[[#This Row],[channel]],Table1[prepayment_flag],1)/COUNTIF(Table1[channel],Table1[[#This Row],[channel]])</f>
        <v>0.12</v>
      </c>
      <c r="AF309" s="2">
        <f>AVERAGEIFS(Table1[interest_rate_pct],Table1[product],Table1[[#This Row],[product]],Table1[risk_band],Table1[[#This Row],[risk_band]])</f>
        <v>13.328333333333335</v>
      </c>
      <c r="AG309" s="2" t="str" cm="1">
        <f t="array" ref="AG309">_xlfn.IFS(Table1[[#This Row],[dti_ratio]] &lt; 0.2, " less than 0.2", Table1[[#This Row],[dti_ratio]] &lt; 0.3, "0.2 - 0.3", Table1[[#This Row],[dti_ratio]] &lt;= 0.5, "0.35 - 0.5", Table1[[#This Row],[dti_ratio]] &gt; 0.5, "greater than 0.5")</f>
        <v>0.35 - 0.5</v>
      </c>
      <c r="AH309" s="2">
        <f>COUNTIF(Table1[DTI band],Table1[[#This Row],[DTI band]])</f>
        <v>260</v>
      </c>
      <c r="AI309" s="2" t="str" cm="1">
        <f t="array" ref="AI309">_xlfn.IFS(Table1[[#This Row],[ltv_ratio]] &lt; 0.6, "less than 0.6 -less risky", Table1[[#This Row],[ltv_ratio]]  &lt;= 0.8, "0.6 - 0.8 -medium risky",Table1[[#This Row],[ltv_ratio]] &gt; 0.8, "greater than 0.8 -highly risky")</f>
        <v>greater than 0.8 -highly risky</v>
      </c>
      <c r="AJ309" s="2">
        <f>COUNTIF(Table1[LTV band],Table1[[#This Row],[LTV band]])</f>
        <v>141</v>
      </c>
      <c r="AK309" s="2">
        <f>COUNTIFS(Table1[count_loan_perband],Table1[[#This Row],[count_loan_perband]],Table1[default_flag],1)/COUNTIF(Table1[count_loan_perband],Table1[[#This Row],[count_loan_perband]])</f>
        <v>1.4184397163120567E-2</v>
      </c>
      <c r="AL309" s="2" t="str" cm="1">
        <f t="array" ref="AL309">_xlfn.IFS(Table1[[#This Row],[loan_amount]] &lt; 900000, "lower size (&lt; 9L)", Table1[[#This Row],[loan_amount]] &lt;=3300000, "medium size (&lt;=33L)", Table1[[#This Row],[loan_amount]] &gt; 3300000, "larger size (&gt; 33L)")</f>
        <v>lower size (&lt; 9L)</v>
      </c>
      <c r="AM309" s="2">
        <f>IF(Table1[[#This Row],[dpd]] &gt;=30,1,0)</f>
        <v>0</v>
      </c>
      <c r="AN309" s="2">
        <f>COUNTIFS(Table1[Loan size],Table1[[#This Row],[Loan size]],Table1[dpd flag],1)/COUNTIF(Table1[Loan size],Table1[[#This Row],[Loan size]])</f>
        <v>0.13934426229508196</v>
      </c>
      <c r="AO309" s="2" t="str">
        <f>IF(OR(Table1[[#This Row],[credit_score]] &lt; 600, Table1[ [#This Row],[dti_ratio] ] &gt; 0.5, Table1[[#This Row],[dpd]] &gt;=30), "high risk", " not riskY")</f>
        <v xml:space="preserve"> not riskY</v>
      </c>
      <c r="AP309" s="26">
        <f>EOMONTH(Table1[[#This Row],[origination_date]],0)</f>
        <v>45138</v>
      </c>
      <c r="AQ309" s="2">
        <f>SUMIFS(Table1[loan_amount],Table1[origination month],Table1[[#This Row],[origination month]])</f>
        <v>25129700</v>
      </c>
      <c r="AR309" s="2">
        <f>AVERAGEIFS(Table1[months_on_book],Table1[product],Table1[[#This Row],[product]])</f>
        <v>21.092024539877301</v>
      </c>
      <c r="AS309" s="2" t="str">
        <f ca="1">IF(EDATE(Table1[[#This Row],[origination_date]],6) &gt;= TODAY(), "New Loan", "Old Loan")</f>
        <v>Old Loan</v>
      </c>
      <c r="AT309" s="2" t="str">
        <f>"Q"&amp;ROUNDUP(MONTH(Table1[[#This Row],[origination_date]])/3,0)&amp;YEAR(Table1[[#This Row],[origination_date]])</f>
        <v>Q32023</v>
      </c>
      <c r="AU309" s="2">
        <f>SUMIFS(Table1[loan_amount],Table1[quarter],Table1[[#This Row],[quarter]])</f>
        <v>77300600</v>
      </c>
      <c r="AV309" s="34" t="str">
        <f>_xlfn.TEXTJOIN("|",TRUE,Table1[[#This Row],[loan_id]:[loan_status]])</f>
        <v>L94488511|C9991942|45129|Personal Loan|Call Center|Central|Salaried|84|836700|12.46|14977|1211195|795|A|0.39|0.85|0|29|435955|501523|10|0|0|Active</v>
      </c>
      <c r="AW309" s="42">
        <f>YEAR(Loan_Table[ [#This Row],[origination_date] ])</f>
        <v>2023</v>
      </c>
    </row>
    <row r="310" spans="2:49" ht="18" customHeight="1">
      <c r="B310" s="5" t="s">
        <v>740</v>
      </c>
      <c r="C310" s="2" t="s">
        <v>741</v>
      </c>
      <c r="D310" s="3">
        <v>45182</v>
      </c>
      <c r="E310" s="2" t="s">
        <v>163</v>
      </c>
      <c r="F310" s="2" t="s">
        <v>132</v>
      </c>
      <c r="G310" s="2" t="s">
        <v>139</v>
      </c>
      <c r="H310" s="2" t="s">
        <v>134</v>
      </c>
      <c r="I310" s="2">
        <v>84</v>
      </c>
      <c r="J310" s="2">
        <v>293300</v>
      </c>
      <c r="K310" s="2">
        <v>15.01</v>
      </c>
      <c r="L310" s="2">
        <v>5661</v>
      </c>
      <c r="M310" s="2">
        <v>1175619</v>
      </c>
      <c r="N310" s="2">
        <v>658</v>
      </c>
      <c r="O310" s="2" t="s">
        <v>140</v>
      </c>
      <c r="P310" s="2">
        <v>0.37</v>
      </c>
      <c r="Q310" s="2">
        <v>0.55000000000000004</v>
      </c>
      <c r="R310" s="2">
        <v>531000</v>
      </c>
      <c r="S310" s="2">
        <v>27</v>
      </c>
      <c r="T310" s="2">
        <v>133870</v>
      </c>
      <c r="U310" s="2">
        <v>199052</v>
      </c>
      <c r="V310" s="2">
        <v>0</v>
      </c>
      <c r="W310" s="2">
        <v>0</v>
      </c>
      <c r="X310" s="2">
        <v>0</v>
      </c>
      <c r="Y310" s="2" t="s">
        <v>148</v>
      </c>
      <c r="Z310" s="12">
        <f>SUMIF(Table1[product],Table1[[#This Row],[product]],Table1[loan_amount])</f>
        <v>92273000</v>
      </c>
      <c r="AA310" s="15">
        <f>SUMIF(Table1[region],Table1[[#This Row],[region]],Table1[current_balance])</f>
        <v>83903255</v>
      </c>
      <c r="AB310" s="2">
        <f>COUNTIF(Table1[loan_status],Table1[[#This Row],[loan_status]])</f>
        <v>301</v>
      </c>
      <c r="AC310" s="2">
        <f>COUNTIF(Table1[default_flag],1)/ROWS(Table1[loan_id])</f>
        <v>2.5999999999999999E-2</v>
      </c>
      <c r="AD310" s="2">
        <f>COUNTIFS(Table1[region],Table1[[#This Row],[region]],Table1[default_flag],1)/COUNTIF(Table1[region],Table1[[#This Row],[region]])</f>
        <v>4.2553191489361701E-2</v>
      </c>
      <c r="AE310" s="2">
        <f>COUNTIFS(Table1[channel],Table1[[#This Row],[channel]],Table1[prepayment_flag],1)/COUNTIF(Table1[channel],Table1[[#This Row],[channel]])</f>
        <v>7.1090047393364927E-2</v>
      </c>
      <c r="AF310" s="2">
        <f>AVERAGEIFS(Table1[interest_rate_pct],Table1[product],Table1[[#This Row],[product]],Table1[risk_band],Table1[[#This Row],[risk_band]])</f>
        <v>13.246500000000001</v>
      </c>
      <c r="AG310" s="2" t="str" cm="1">
        <f t="array" ref="AG310">_xlfn.IFS(Table1[[#This Row],[dti_ratio]] &lt; 0.2, " less than 0.2", Table1[[#This Row],[dti_ratio]] &lt; 0.3, "0.2 - 0.3", Table1[[#This Row],[dti_ratio]] &lt;= 0.5, "0.35 - 0.5", Table1[[#This Row],[dti_ratio]] &gt; 0.5, "greater than 0.5")</f>
        <v>0.35 - 0.5</v>
      </c>
      <c r="AH310" s="2">
        <f>COUNTIF(Table1[DTI band],Table1[[#This Row],[DTI band]])</f>
        <v>260</v>
      </c>
      <c r="AI310" s="2" t="str" cm="1">
        <f t="array" ref="AI310">_xlfn.IFS(Table1[[#This Row],[ltv_ratio]] &lt; 0.6, "less than 0.6 -less risky", Table1[[#This Row],[ltv_ratio]]  &lt;= 0.8, "0.6 - 0.8 -medium risky",Table1[[#This Row],[ltv_ratio]] &gt; 0.8, "greater than 0.8 -highly risky")</f>
        <v>less than 0.6 -less risky</v>
      </c>
      <c r="AJ310" s="2">
        <f>COUNTIF(Table1[LTV band],Table1[[#This Row],[LTV band]])</f>
        <v>57</v>
      </c>
      <c r="AK310" s="2">
        <f>COUNTIFS(Table1[count_loan_perband],Table1[[#This Row],[count_loan_perband]],Table1[default_flag],1)/COUNTIF(Table1[count_loan_perband],Table1[[#This Row],[count_loan_perband]])</f>
        <v>0</v>
      </c>
      <c r="AL310" s="2" t="str" cm="1">
        <f t="array" ref="AL310">_xlfn.IFS(Table1[[#This Row],[loan_amount]] &lt; 900000, "lower size (&lt; 9L)", Table1[[#This Row],[loan_amount]] &lt;=3300000, "medium size (&lt;=33L)", Table1[[#This Row],[loan_amount]] &gt; 3300000, "larger size (&gt; 33L)")</f>
        <v>lower size (&lt; 9L)</v>
      </c>
      <c r="AM310" s="2">
        <f>IF(Table1[[#This Row],[dpd]] &gt;=30,1,0)</f>
        <v>0</v>
      </c>
      <c r="AN310" s="2">
        <f>COUNTIFS(Table1[Loan size],Table1[[#This Row],[Loan size]],Table1[dpd flag],1)/COUNTIF(Table1[Loan size],Table1[[#This Row],[Loan size]])</f>
        <v>0.13934426229508196</v>
      </c>
      <c r="AO310" s="2" t="str">
        <f>IF(OR(Table1[[#This Row],[credit_score]] &lt; 600, Table1[ [#This Row],[dti_ratio] ] &gt; 0.5, Table1[[#This Row],[dpd]] &gt;=30), "high risk", " not riskY")</f>
        <v xml:space="preserve"> not riskY</v>
      </c>
      <c r="AP310" s="26">
        <f>EOMONTH(Table1[[#This Row],[origination_date]],0)</f>
        <v>45199</v>
      </c>
      <c r="AQ310" s="2">
        <f>SUMIFS(Table1[loan_amount],Table1[origination month],Table1[[#This Row],[origination month]])</f>
        <v>13815100</v>
      </c>
      <c r="AR310" s="2">
        <f>AVERAGEIFS(Table1[months_on_book],Table1[product],Table1[[#This Row],[product]])</f>
        <v>20.262135922330096</v>
      </c>
      <c r="AS310" s="2" t="str">
        <f ca="1">IF(EDATE(Table1[[#This Row],[origination_date]],6) &gt;= TODAY(), "New Loan", "Old Loan")</f>
        <v>Old Loan</v>
      </c>
      <c r="AT310" s="2" t="str">
        <f>"Q"&amp;ROUNDUP(MONTH(Table1[[#This Row],[origination_date]])/3,0)&amp;YEAR(Table1[[#This Row],[origination_date]])</f>
        <v>Q32023</v>
      </c>
      <c r="AU310" s="2">
        <f>SUMIFS(Table1[loan_amount],Table1[quarter],Table1[[#This Row],[quarter]])</f>
        <v>77300600</v>
      </c>
      <c r="AV310" s="34" t="str">
        <f>_xlfn.TEXTJOIN("|",TRUE,Table1[[#This Row],[loan_id]:[loan_status]])</f>
        <v>L67308564|C6782349|45182|Auto Loan|Online|West|Salaried|84|293300|15.01|5661|1175619|658|C|0.37|0.55|531000|27|133870|199052|0|0|0|Active</v>
      </c>
      <c r="AW310" s="42">
        <f>YEAR(Loan_Table[ [#This Row],[origination_date] ])</f>
        <v>2023</v>
      </c>
    </row>
    <row r="311" spans="2:49" ht="18" customHeight="1">
      <c r="B311" s="5" t="s">
        <v>742</v>
      </c>
      <c r="C311" s="2" t="s">
        <v>743</v>
      </c>
      <c r="D311" s="3">
        <v>45191</v>
      </c>
      <c r="E311" s="2" t="s">
        <v>131</v>
      </c>
      <c r="F311" s="2" t="s">
        <v>159</v>
      </c>
      <c r="G311" s="2" t="s">
        <v>151</v>
      </c>
      <c r="H311" s="2" t="s">
        <v>134</v>
      </c>
      <c r="I311" s="2">
        <v>24</v>
      </c>
      <c r="J311" s="2">
        <v>322600</v>
      </c>
      <c r="K311" s="2">
        <v>16.04</v>
      </c>
      <c r="L311" s="2">
        <v>15802</v>
      </c>
      <c r="M311" s="2">
        <v>399915</v>
      </c>
      <c r="N311" s="2">
        <v>734</v>
      </c>
      <c r="O311" s="2" t="s">
        <v>135</v>
      </c>
      <c r="P311" s="2">
        <v>0.36</v>
      </c>
      <c r="Q311" s="2">
        <v>0.56999999999999995</v>
      </c>
      <c r="R311" s="2">
        <v>0</v>
      </c>
      <c r="S311" s="2">
        <v>24</v>
      </c>
      <c r="T311" s="2">
        <v>367697</v>
      </c>
      <c r="U311" s="2">
        <v>0</v>
      </c>
      <c r="V311" s="2">
        <v>0</v>
      </c>
      <c r="W311" s="2">
        <v>1</v>
      </c>
      <c r="X311" s="2">
        <v>0</v>
      </c>
      <c r="Y311" s="2" t="s">
        <v>141</v>
      </c>
      <c r="Z311" s="12">
        <f>SUMIF(Table1[product],Table1[[#This Row],[product]],Table1[loan_amount])</f>
        <v>74897600</v>
      </c>
      <c r="AA311" s="15">
        <f>SUMIF(Table1[region],Table1[[#This Row],[region]],Table1[current_balance])</f>
        <v>105779369</v>
      </c>
      <c r="AB311" s="2">
        <f>COUNTIF(Table1[loan_status],Table1[[#This Row],[loan_status]])</f>
        <v>139</v>
      </c>
      <c r="AC311" s="2">
        <f>COUNTIF(Table1[default_flag],1)/ROWS(Table1[loan_id])</f>
        <v>2.5999999999999999E-2</v>
      </c>
      <c r="AD311" s="2">
        <f>COUNTIFS(Table1[region],Table1[[#This Row],[region]],Table1[default_flag],1)/COUNTIF(Table1[region],Table1[[#This Row],[region]])</f>
        <v>2.6548672566371681E-2</v>
      </c>
      <c r="AE311" s="2">
        <f>COUNTIFS(Table1[channel],Table1[[#This Row],[channel]],Table1[prepayment_flag],1)/COUNTIF(Table1[channel],Table1[[#This Row],[channel]])</f>
        <v>0.1</v>
      </c>
      <c r="AF311" s="2">
        <f>AVERAGEIFS(Table1[interest_rate_pct],Table1[product],Table1[[#This Row],[product]],Table1[risk_band],Table1[[#This Row],[risk_band]])</f>
        <v>16.500166666666669</v>
      </c>
      <c r="AG311" s="2" t="str" cm="1">
        <f t="array" ref="AG311">_xlfn.IFS(Table1[[#This Row],[dti_ratio]] &lt; 0.2, " less than 0.2", Table1[[#This Row],[dti_ratio]] &lt; 0.3, "0.2 - 0.3", Table1[[#This Row],[dti_ratio]] &lt;= 0.5, "0.35 - 0.5", Table1[[#This Row],[dti_ratio]] &gt; 0.5, "greater than 0.5")</f>
        <v>0.35 - 0.5</v>
      </c>
      <c r="AH311" s="2">
        <f>COUNTIF(Table1[DTI band],Table1[[#This Row],[DTI band]])</f>
        <v>260</v>
      </c>
      <c r="AI311" s="2" t="str" cm="1">
        <f t="array" ref="AI311">_xlfn.IFS(Table1[[#This Row],[ltv_ratio]] &lt; 0.6, "less than 0.6 -less risky", Table1[[#This Row],[ltv_ratio]]  &lt;= 0.8, "0.6 - 0.8 -medium risky",Table1[[#This Row],[ltv_ratio]] &gt; 0.8, "greater than 0.8 -highly risky")</f>
        <v>less than 0.6 -less risky</v>
      </c>
      <c r="AJ311" s="2">
        <f>COUNTIF(Table1[LTV band],Table1[[#This Row],[LTV band]])</f>
        <v>57</v>
      </c>
      <c r="AK311" s="2">
        <f>COUNTIFS(Table1[count_loan_perband],Table1[[#This Row],[count_loan_perband]],Table1[default_flag],1)/COUNTIF(Table1[count_loan_perband],Table1[[#This Row],[count_loan_perband]])</f>
        <v>0</v>
      </c>
      <c r="AL311" s="2" t="str" cm="1">
        <f t="array" ref="AL311">_xlfn.IFS(Table1[[#This Row],[loan_amount]] &lt; 900000, "lower size (&lt; 9L)", Table1[[#This Row],[loan_amount]] &lt;=3300000, "medium size (&lt;=33L)", Table1[[#This Row],[loan_amount]] &gt; 3300000, "larger size (&gt; 33L)")</f>
        <v>lower size (&lt; 9L)</v>
      </c>
      <c r="AM311" s="2">
        <f>IF(Table1[[#This Row],[dpd]] &gt;=30,1,0)</f>
        <v>0</v>
      </c>
      <c r="AN311" s="2">
        <f>COUNTIFS(Table1[Loan size],Table1[[#This Row],[Loan size]],Table1[dpd flag],1)/COUNTIF(Table1[Loan size],Table1[[#This Row],[Loan size]])</f>
        <v>0.13934426229508196</v>
      </c>
      <c r="AO311" s="2" t="str">
        <f>IF(OR(Table1[[#This Row],[credit_score]] &lt; 600, Table1[ [#This Row],[dti_ratio] ] &gt; 0.5, Table1[[#This Row],[dpd]] &gt;=30), "high risk", " not riskY")</f>
        <v xml:space="preserve"> not riskY</v>
      </c>
      <c r="AP311" s="26">
        <f>EOMONTH(Table1[[#This Row],[origination_date]],0)</f>
        <v>45199</v>
      </c>
      <c r="AQ311" s="2">
        <f>SUMIFS(Table1[loan_amount],Table1[origination month],Table1[[#This Row],[origination month]])</f>
        <v>13815100</v>
      </c>
      <c r="AR311" s="2">
        <f>AVERAGEIFS(Table1[months_on_book],Table1[product],Table1[[#This Row],[product]])</f>
        <v>21.092024539877301</v>
      </c>
      <c r="AS311" s="2" t="str">
        <f ca="1">IF(EDATE(Table1[[#This Row],[origination_date]],6) &gt;= TODAY(), "New Loan", "Old Loan")</f>
        <v>Old Loan</v>
      </c>
      <c r="AT311" s="2" t="str">
        <f>"Q"&amp;ROUNDUP(MONTH(Table1[[#This Row],[origination_date]])/3,0)&amp;YEAR(Table1[[#This Row],[origination_date]])</f>
        <v>Q32023</v>
      </c>
      <c r="AU311" s="2">
        <f>SUMIFS(Table1[loan_amount],Table1[quarter],Table1[[#This Row],[quarter]])</f>
        <v>77300600</v>
      </c>
      <c r="AV311" s="34" t="str">
        <f>_xlfn.TEXTJOIN("|",TRUE,Table1[[#This Row],[loan_id]:[loan_status]])</f>
        <v>L50232134|C6396340|45191|Personal Loan|Partner|North|Salaried|24|322600|16.04|15802|399915|734|B|0.36|0.57|0|24|367697|0|0|1|0|Closed</v>
      </c>
      <c r="AW311" s="42">
        <f>YEAR(Loan_Table[ [#This Row],[origination_date] ])</f>
        <v>2023</v>
      </c>
    </row>
    <row r="312" spans="2:49" ht="18" customHeight="1">
      <c r="B312" s="5" t="s">
        <v>744</v>
      </c>
      <c r="C312" s="2" t="s">
        <v>745</v>
      </c>
      <c r="D312" s="3">
        <v>45108</v>
      </c>
      <c r="E312" s="2" t="s">
        <v>169</v>
      </c>
      <c r="F312" s="2" t="s">
        <v>144</v>
      </c>
      <c r="G312" s="2" t="s">
        <v>145</v>
      </c>
      <c r="H312" s="2" t="s">
        <v>146</v>
      </c>
      <c r="I312" s="2">
        <v>48</v>
      </c>
      <c r="J312" s="2">
        <v>6142600</v>
      </c>
      <c r="K312" s="2">
        <v>8.0399999999999991</v>
      </c>
      <c r="L312" s="2">
        <v>150074</v>
      </c>
      <c r="M312" s="2">
        <v>1544439</v>
      </c>
      <c r="N312" s="2">
        <v>730</v>
      </c>
      <c r="O312" s="2" t="s">
        <v>135</v>
      </c>
      <c r="P312" s="2">
        <v>0.35</v>
      </c>
      <c r="Q312" s="2">
        <v>0.65</v>
      </c>
      <c r="R312" s="2">
        <v>9405100</v>
      </c>
      <c r="S312" s="2">
        <v>29</v>
      </c>
      <c r="T312" s="2">
        <v>4365558</v>
      </c>
      <c r="U312" s="2">
        <v>2254445</v>
      </c>
      <c r="V312" s="2">
        <v>0</v>
      </c>
      <c r="W312" s="2">
        <v>0</v>
      </c>
      <c r="X312" s="2">
        <v>0</v>
      </c>
      <c r="Y312" s="2" t="s">
        <v>148</v>
      </c>
      <c r="Z312" s="12">
        <f>SUMIF(Table1[product],Table1[[#This Row],[product]],Table1[loan_amount])</f>
        <v>403369500</v>
      </c>
      <c r="AA312" s="15">
        <f>SUMIF(Table1[region],Table1[[#This Row],[region]],Table1[current_balance])</f>
        <v>98928695</v>
      </c>
      <c r="AB312" s="2">
        <f>COUNTIF(Table1[loan_status],Table1[[#This Row],[loan_status]])</f>
        <v>301</v>
      </c>
      <c r="AC312" s="2">
        <f>COUNTIF(Table1[default_flag],1)/ROWS(Table1[loan_id])</f>
        <v>2.5999999999999999E-2</v>
      </c>
      <c r="AD312" s="2">
        <f>COUNTIFS(Table1[region],Table1[[#This Row],[region]],Table1[default_flag],1)/COUNTIF(Table1[region],Table1[[#This Row],[region]])</f>
        <v>2.8571428571428571E-2</v>
      </c>
      <c r="AE312" s="2">
        <f>COUNTIFS(Table1[channel],Table1[[#This Row],[channel]],Table1[prepayment_flag],1)/COUNTIF(Table1[channel],Table1[[#This Row],[channel]])</f>
        <v>5.8201058201058198E-2</v>
      </c>
      <c r="AF312" s="2">
        <f>AVERAGEIFS(Table1[interest_rate_pct],Table1[product],Table1[[#This Row],[product]],Table1[risk_band],Table1[[#This Row],[risk_band]])</f>
        <v>8.8557142857142868</v>
      </c>
      <c r="AG312" s="2" t="str" cm="1">
        <f t="array" ref="AG312">_xlfn.IFS(Table1[[#This Row],[dti_ratio]] &lt; 0.2, " less than 0.2", Table1[[#This Row],[dti_ratio]] &lt; 0.3, "0.2 - 0.3", Table1[[#This Row],[dti_ratio]] &lt;= 0.5, "0.35 - 0.5", Table1[[#This Row],[dti_ratio]] &gt; 0.5, "greater than 0.5")</f>
        <v>0.35 - 0.5</v>
      </c>
      <c r="AH312" s="2">
        <f>COUNTIF(Table1[DTI band],Table1[[#This Row],[DTI band]])</f>
        <v>260</v>
      </c>
      <c r="AI312" s="2" t="str" cm="1">
        <f t="array" ref="AI312">_xlfn.IFS(Table1[[#This Row],[ltv_ratio]] &lt; 0.6, "less than 0.6 -less risky", Table1[[#This Row],[ltv_ratio]]  &lt;= 0.8, "0.6 - 0.8 -medium risky",Table1[[#This Row],[ltv_ratio]] &gt; 0.8, "greater than 0.8 -highly risky")</f>
        <v>0.6 - 0.8 -medium risky</v>
      </c>
      <c r="AJ312" s="2">
        <f>COUNTIF(Table1[LTV band],Table1[[#This Row],[LTV band]])</f>
        <v>302</v>
      </c>
      <c r="AK312" s="2">
        <f>COUNTIFS(Table1[count_loan_perband],Table1[[#This Row],[count_loan_perband]],Table1[default_flag],1)/COUNTIF(Table1[count_loan_perband],Table1[[#This Row],[count_loan_perband]])</f>
        <v>3.6423841059602648E-2</v>
      </c>
      <c r="AL312" s="2" t="str" cm="1">
        <f t="array" ref="AL312">_xlfn.IFS(Table1[[#This Row],[loan_amount]] &lt; 900000, "lower size (&lt; 9L)", Table1[[#This Row],[loan_amount]] &lt;=3300000, "medium size (&lt;=33L)", Table1[[#This Row],[loan_amount]] &gt; 3300000, "larger size (&gt; 33L)")</f>
        <v>larger size (&gt; 33L)</v>
      </c>
      <c r="AM312" s="2">
        <f>IF(Table1[[#This Row],[dpd]] &gt;=30,1,0)</f>
        <v>0</v>
      </c>
      <c r="AN312" s="2">
        <f>COUNTIFS(Table1[Loan size],Table1[[#This Row],[Loan size]],Table1[dpd flag],1)/COUNTIF(Table1[Loan size],Table1[[#This Row],[Loan size]])</f>
        <v>0.16250000000000001</v>
      </c>
      <c r="AO312" s="2" t="str">
        <f>IF(OR(Table1[[#This Row],[credit_score]] &lt; 600, Table1[ [#This Row],[dti_ratio] ] &gt; 0.5, Table1[[#This Row],[dpd]] &gt;=30), "high risk", " not riskY")</f>
        <v xml:space="preserve"> not riskY</v>
      </c>
      <c r="AP312" s="26">
        <f>EOMONTH(Table1[[#This Row],[origination_date]],0)</f>
        <v>45138</v>
      </c>
      <c r="AQ312" s="2">
        <f>SUMIFS(Table1[loan_amount],Table1[origination month],Table1[[#This Row],[origination month]])</f>
        <v>25129700</v>
      </c>
      <c r="AR312" s="2">
        <f>AVERAGEIFS(Table1[months_on_book],Table1[product],Table1[[#This Row],[product]])</f>
        <v>20.516129032258064</v>
      </c>
      <c r="AS312" s="2" t="str">
        <f ca="1">IF(EDATE(Table1[[#This Row],[origination_date]],6) &gt;= TODAY(), "New Loan", "Old Loan")</f>
        <v>Old Loan</v>
      </c>
      <c r="AT312" s="2" t="str">
        <f>"Q"&amp;ROUNDUP(MONTH(Table1[[#This Row],[origination_date]])/3,0)&amp;YEAR(Table1[[#This Row],[origination_date]])</f>
        <v>Q32023</v>
      </c>
      <c r="AU312" s="2">
        <f>SUMIFS(Table1[loan_amount],Table1[quarter],Table1[[#This Row],[quarter]])</f>
        <v>77300600</v>
      </c>
      <c r="AV312" s="34" t="str">
        <f>_xlfn.TEXTJOIN("|",TRUE,Table1[[#This Row],[loan_id]:[loan_status]])</f>
        <v>L54163629|C5303549|45108|Home Loan|Branch|Central|Contract|48|6142600|8.04|150074|1544439|730|B|0.35|0.65|9405100|29|4365558|2254445|0|0|0|Active</v>
      </c>
      <c r="AW312" s="42">
        <f>YEAR(Loan_Table[ [#This Row],[origination_date] ])</f>
        <v>2023</v>
      </c>
    </row>
    <row r="313" spans="2:49" ht="18" customHeight="1">
      <c r="B313" s="5" t="s">
        <v>746</v>
      </c>
      <c r="C313" s="2" t="s">
        <v>747</v>
      </c>
      <c r="D313" s="3">
        <v>45124</v>
      </c>
      <c r="E313" s="2" t="s">
        <v>131</v>
      </c>
      <c r="F313" s="2" t="s">
        <v>144</v>
      </c>
      <c r="G313" s="2" t="s">
        <v>133</v>
      </c>
      <c r="H313" s="2" t="s">
        <v>134</v>
      </c>
      <c r="I313" s="2">
        <v>60</v>
      </c>
      <c r="J313" s="2">
        <v>596500</v>
      </c>
      <c r="K313" s="2">
        <v>20.07</v>
      </c>
      <c r="L313" s="2">
        <v>15827</v>
      </c>
      <c r="M313" s="2">
        <v>583317</v>
      </c>
      <c r="N313" s="2">
        <v>631</v>
      </c>
      <c r="O313" s="2" t="s">
        <v>147</v>
      </c>
      <c r="P313" s="2">
        <v>0.35</v>
      </c>
      <c r="Q313" s="2">
        <v>0.79</v>
      </c>
      <c r="R313" s="2">
        <v>0</v>
      </c>
      <c r="S313" s="2">
        <v>29</v>
      </c>
      <c r="T313" s="2">
        <v>422199</v>
      </c>
      <c r="U313" s="2">
        <v>290028</v>
      </c>
      <c r="V313" s="2">
        <v>0</v>
      </c>
      <c r="W313" s="2">
        <v>0</v>
      </c>
      <c r="X313" s="2">
        <v>0</v>
      </c>
      <c r="Y313" s="2" t="s">
        <v>148</v>
      </c>
      <c r="Z313" s="12">
        <f>SUMIF(Table1[product],Table1[[#This Row],[product]],Table1[loan_amount])</f>
        <v>74897600</v>
      </c>
      <c r="AA313" s="15">
        <f>SUMIF(Table1[region],Table1[[#This Row],[region]],Table1[current_balance])</f>
        <v>94548000</v>
      </c>
      <c r="AB313" s="2">
        <f>COUNTIF(Table1[loan_status],Table1[[#This Row],[loan_status]])</f>
        <v>301</v>
      </c>
      <c r="AC313" s="2">
        <f>COUNTIF(Table1[default_flag],1)/ROWS(Table1[loan_id])</f>
        <v>2.5999999999999999E-2</v>
      </c>
      <c r="AD313" s="2">
        <f>COUNTIFS(Table1[region],Table1[[#This Row],[region]],Table1[default_flag],1)/COUNTIF(Table1[region],Table1[[#This Row],[region]])</f>
        <v>0</v>
      </c>
      <c r="AE313" s="2">
        <f>COUNTIFS(Table1[channel],Table1[[#This Row],[channel]],Table1[prepayment_flag],1)/COUNTIF(Table1[channel],Table1[[#This Row],[channel]])</f>
        <v>5.8201058201058198E-2</v>
      </c>
      <c r="AF313" s="2">
        <f>AVERAGEIFS(Table1[interest_rate_pct],Table1[product],Table1[[#This Row],[product]],Table1[risk_band],Table1[[#This Row],[risk_band]])</f>
        <v>20.962592592592593</v>
      </c>
      <c r="AG313" s="2" t="str" cm="1">
        <f t="array" ref="AG313">_xlfn.IFS(Table1[[#This Row],[dti_ratio]] &lt; 0.2, " less than 0.2", Table1[[#This Row],[dti_ratio]] &lt; 0.3, "0.2 - 0.3", Table1[[#This Row],[dti_ratio]] &lt;= 0.5, "0.35 - 0.5", Table1[[#This Row],[dti_ratio]] &gt; 0.5, "greater than 0.5")</f>
        <v>0.35 - 0.5</v>
      </c>
      <c r="AH313" s="2">
        <f>COUNTIF(Table1[DTI band],Table1[[#This Row],[DTI band]])</f>
        <v>260</v>
      </c>
      <c r="AI313" s="2" t="str" cm="1">
        <f t="array" ref="AI313">_xlfn.IFS(Table1[[#This Row],[ltv_ratio]] &lt; 0.6, "less than 0.6 -less risky", Table1[[#This Row],[ltv_ratio]]  &lt;= 0.8, "0.6 - 0.8 -medium risky",Table1[[#This Row],[ltv_ratio]] &gt; 0.8, "greater than 0.8 -highly risky")</f>
        <v>0.6 - 0.8 -medium risky</v>
      </c>
      <c r="AJ313" s="2">
        <f>COUNTIF(Table1[LTV band],Table1[[#This Row],[LTV band]])</f>
        <v>302</v>
      </c>
      <c r="AK313" s="2">
        <f>COUNTIFS(Table1[count_loan_perband],Table1[[#This Row],[count_loan_perband]],Table1[default_flag],1)/COUNTIF(Table1[count_loan_perband],Table1[[#This Row],[count_loan_perband]])</f>
        <v>3.6423841059602648E-2</v>
      </c>
      <c r="AL313" s="2" t="str" cm="1">
        <f t="array" ref="AL313">_xlfn.IFS(Table1[[#This Row],[loan_amount]] &lt; 900000, "lower size (&lt; 9L)", Table1[[#This Row],[loan_amount]] &lt;=3300000, "medium size (&lt;=33L)", Table1[[#This Row],[loan_amount]] &gt; 3300000, "larger size (&gt; 33L)")</f>
        <v>lower size (&lt; 9L)</v>
      </c>
      <c r="AM313" s="2">
        <f>IF(Table1[[#This Row],[dpd]] &gt;=30,1,0)</f>
        <v>0</v>
      </c>
      <c r="AN313" s="2">
        <f>COUNTIFS(Table1[Loan size],Table1[[#This Row],[Loan size]],Table1[dpd flag],1)/COUNTIF(Table1[Loan size],Table1[[#This Row],[Loan size]])</f>
        <v>0.13934426229508196</v>
      </c>
      <c r="AO313" s="2" t="str">
        <f>IF(OR(Table1[[#This Row],[credit_score]] &lt; 600, Table1[ [#This Row],[dti_ratio] ] &gt; 0.5, Table1[[#This Row],[dpd]] &gt;=30), "high risk", " not riskY")</f>
        <v xml:space="preserve"> not riskY</v>
      </c>
      <c r="AP313" s="26">
        <f>EOMONTH(Table1[[#This Row],[origination_date]],0)</f>
        <v>45138</v>
      </c>
      <c r="AQ313" s="2">
        <f>SUMIFS(Table1[loan_amount],Table1[origination month],Table1[[#This Row],[origination month]])</f>
        <v>25129700</v>
      </c>
      <c r="AR313" s="2">
        <f>AVERAGEIFS(Table1[months_on_book],Table1[product],Table1[[#This Row],[product]])</f>
        <v>21.092024539877301</v>
      </c>
      <c r="AS313" s="2" t="str">
        <f ca="1">IF(EDATE(Table1[[#This Row],[origination_date]],6) &gt;= TODAY(), "New Loan", "Old Loan")</f>
        <v>Old Loan</v>
      </c>
      <c r="AT313" s="2" t="str">
        <f>"Q"&amp;ROUNDUP(MONTH(Table1[[#This Row],[origination_date]])/3,0)&amp;YEAR(Table1[[#This Row],[origination_date]])</f>
        <v>Q32023</v>
      </c>
      <c r="AU313" s="2">
        <f>SUMIFS(Table1[loan_amount],Table1[quarter],Table1[[#This Row],[quarter]])</f>
        <v>77300600</v>
      </c>
      <c r="AV313" s="34" t="str">
        <f>_xlfn.TEXTJOIN("|",TRUE,Table1[[#This Row],[loan_id]:[loan_status]])</f>
        <v>L53799249|C2104664|45124|Personal Loan|Branch|South|Salaried|60|596500|20.07|15827|583317|631|D|0.35|0.79|0|29|422199|290028|0|0|0|Active</v>
      </c>
      <c r="AW313" s="42">
        <f>YEAR(Loan_Table[ [#This Row],[origination_date] ])</f>
        <v>2023</v>
      </c>
    </row>
    <row r="314" spans="2:49" ht="18" customHeight="1">
      <c r="B314" s="5" t="s">
        <v>748</v>
      </c>
      <c r="C314" s="2" t="s">
        <v>749</v>
      </c>
      <c r="D314" s="3">
        <v>45114</v>
      </c>
      <c r="E314" s="2" t="s">
        <v>169</v>
      </c>
      <c r="F314" s="2" t="s">
        <v>213</v>
      </c>
      <c r="G314" s="2" t="s">
        <v>151</v>
      </c>
      <c r="H314" s="2" t="s">
        <v>134</v>
      </c>
      <c r="I314" s="2">
        <v>12</v>
      </c>
      <c r="J314" s="2">
        <v>4729500</v>
      </c>
      <c r="K314" s="2">
        <v>12.17</v>
      </c>
      <c r="L314" s="2">
        <v>420587</v>
      </c>
      <c r="M314" s="2">
        <v>317475</v>
      </c>
      <c r="N314" s="2">
        <v>646</v>
      </c>
      <c r="O314" s="2" t="s">
        <v>147</v>
      </c>
      <c r="P314" s="2">
        <v>0.35</v>
      </c>
      <c r="Q314" s="2">
        <v>0.81</v>
      </c>
      <c r="R314" s="2">
        <v>5811000</v>
      </c>
      <c r="S314" s="2">
        <v>12</v>
      </c>
      <c r="T314" s="2">
        <v>4291925</v>
      </c>
      <c r="U314" s="2">
        <v>667807</v>
      </c>
      <c r="V314" s="2">
        <v>0</v>
      </c>
      <c r="W314" s="2">
        <v>1</v>
      </c>
      <c r="X314" s="2">
        <v>0</v>
      </c>
      <c r="Y314" s="2" t="s">
        <v>141</v>
      </c>
      <c r="Z314" s="12">
        <f>SUMIF(Table1[product],Table1[[#This Row],[product]],Table1[loan_amount])</f>
        <v>403369500</v>
      </c>
      <c r="AA314" s="15">
        <f>SUMIF(Table1[region],Table1[[#This Row],[region]],Table1[current_balance])</f>
        <v>105779369</v>
      </c>
      <c r="AB314" s="2">
        <f>COUNTIF(Table1[loan_status],Table1[[#This Row],[loan_status]])</f>
        <v>139</v>
      </c>
      <c r="AC314" s="2">
        <f>COUNTIF(Table1[default_flag],1)/ROWS(Table1[loan_id])</f>
        <v>2.5999999999999999E-2</v>
      </c>
      <c r="AD314" s="2">
        <f>COUNTIFS(Table1[region],Table1[[#This Row],[region]],Table1[default_flag],1)/COUNTIF(Table1[region],Table1[[#This Row],[region]])</f>
        <v>2.6548672566371681E-2</v>
      </c>
      <c r="AE314" s="2">
        <f>COUNTIFS(Table1[channel],Table1[[#This Row],[channel]],Table1[prepayment_flag],1)/COUNTIF(Table1[channel],Table1[[#This Row],[channel]])</f>
        <v>0.12</v>
      </c>
      <c r="AF314" s="2">
        <f>AVERAGEIFS(Table1[interest_rate_pct],Table1[product],Table1[[#This Row],[product]],Table1[risk_band],Table1[[#This Row],[risk_band]])</f>
        <v>13.406874999999999</v>
      </c>
      <c r="AG314" s="2" t="str" cm="1">
        <f t="array" ref="AG314">_xlfn.IFS(Table1[[#This Row],[dti_ratio]] &lt; 0.2, " less than 0.2", Table1[[#This Row],[dti_ratio]] &lt; 0.3, "0.2 - 0.3", Table1[[#This Row],[dti_ratio]] &lt;= 0.5, "0.35 - 0.5", Table1[[#This Row],[dti_ratio]] &gt; 0.5, "greater than 0.5")</f>
        <v>0.35 - 0.5</v>
      </c>
      <c r="AH314" s="2">
        <f>COUNTIF(Table1[DTI band],Table1[[#This Row],[DTI band]])</f>
        <v>260</v>
      </c>
      <c r="AI314" s="2" t="str" cm="1">
        <f t="array" ref="AI314">_xlfn.IFS(Table1[[#This Row],[ltv_ratio]] &lt; 0.6, "less than 0.6 -less risky", Table1[[#This Row],[ltv_ratio]]  &lt;= 0.8, "0.6 - 0.8 -medium risky",Table1[[#This Row],[ltv_ratio]] &gt; 0.8, "greater than 0.8 -highly risky")</f>
        <v>greater than 0.8 -highly risky</v>
      </c>
      <c r="AJ314" s="2">
        <f>COUNTIF(Table1[LTV band],Table1[[#This Row],[LTV band]])</f>
        <v>141</v>
      </c>
      <c r="AK314" s="2">
        <f>COUNTIFS(Table1[count_loan_perband],Table1[[#This Row],[count_loan_perband]],Table1[default_flag],1)/COUNTIF(Table1[count_loan_perband],Table1[[#This Row],[count_loan_perband]])</f>
        <v>1.4184397163120567E-2</v>
      </c>
      <c r="AL314" s="2" t="str" cm="1">
        <f t="array" ref="AL314">_xlfn.IFS(Table1[[#This Row],[loan_amount]] &lt; 900000, "lower size (&lt; 9L)", Table1[[#This Row],[loan_amount]] &lt;=3300000, "medium size (&lt;=33L)", Table1[[#This Row],[loan_amount]] &gt; 3300000, "larger size (&gt; 33L)")</f>
        <v>larger size (&gt; 33L)</v>
      </c>
      <c r="AM314" s="2">
        <f>IF(Table1[[#This Row],[dpd]] &gt;=30,1,0)</f>
        <v>0</v>
      </c>
      <c r="AN314" s="2">
        <f>COUNTIFS(Table1[Loan size],Table1[[#This Row],[Loan size]],Table1[dpd flag],1)/COUNTIF(Table1[Loan size],Table1[[#This Row],[Loan size]])</f>
        <v>0.16250000000000001</v>
      </c>
      <c r="AO314" s="2" t="str">
        <f>IF(OR(Table1[[#This Row],[credit_score]] &lt; 600, Table1[ [#This Row],[dti_ratio] ] &gt; 0.5, Table1[[#This Row],[dpd]] &gt;=30), "high risk", " not riskY")</f>
        <v xml:space="preserve"> not riskY</v>
      </c>
      <c r="AP314" s="26">
        <f>EOMONTH(Table1[[#This Row],[origination_date]],0)</f>
        <v>45138</v>
      </c>
      <c r="AQ314" s="2">
        <f>SUMIFS(Table1[loan_amount],Table1[origination month],Table1[[#This Row],[origination month]])</f>
        <v>25129700</v>
      </c>
      <c r="AR314" s="2">
        <f>AVERAGEIFS(Table1[months_on_book],Table1[product],Table1[[#This Row],[product]])</f>
        <v>20.516129032258064</v>
      </c>
      <c r="AS314" s="2" t="str">
        <f ca="1">IF(EDATE(Table1[[#This Row],[origination_date]],6) &gt;= TODAY(), "New Loan", "Old Loan")</f>
        <v>Old Loan</v>
      </c>
      <c r="AT314" s="2" t="str">
        <f>"Q"&amp;ROUNDUP(MONTH(Table1[[#This Row],[origination_date]])/3,0)&amp;YEAR(Table1[[#This Row],[origination_date]])</f>
        <v>Q32023</v>
      </c>
      <c r="AU314" s="2">
        <f>SUMIFS(Table1[loan_amount],Table1[quarter],Table1[[#This Row],[quarter]])</f>
        <v>77300600</v>
      </c>
      <c r="AV314" s="34" t="str">
        <f>_xlfn.TEXTJOIN("|",TRUE,Table1[[#This Row],[loan_id]:[loan_status]])</f>
        <v>L12871994|C8319956|45114|Home Loan|Call Center|North|Salaried|12|4729500|12.17|420587|317475|646|D|0.35|0.81|5811000|12|4291925|667807|0|1|0|Closed</v>
      </c>
      <c r="AW314" s="42">
        <f>YEAR(Loan_Table[ [#This Row],[origination_date] ])</f>
        <v>2023</v>
      </c>
    </row>
    <row r="315" spans="2:49" ht="18" customHeight="1">
      <c r="B315" s="5" t="s">
        <v>750</v>
      </c>
      <c r="C315" s="2" t="s">
        <v>751</v>
      </c>
      <c r="D315" s="3">
        <v>45163</v>
      </c>
      <c r="E315" s="2" t="s">
        <v>163</v>
      </c>
      <c r="F315" s="2" t="s">
        <v>144</v>
      </c>
      <c r="G315" s="2" t="s">
        <v>170</v>
      </c>
      <c r="H315" s="2" t="s">
        <v>134</v>
      </c>
      <c r="I315" s="2">
        <v>18</v>
      </c>
      <c r="J315" s="2">
        <v>1498100</v>
      </c>
      <c r="K315" s="2">
        <v>14.08</v>
      </c>
      <c r="L315" s="2">
        <v>92811</v>
      </c>
      <c r="M315" s="2">
        <v>1172954</v>
      </c>
      <c r="N315" s="2">
        <v>646</v>
      </c>
      <c r="O315" s="2" t="s">
        <v>147</v>
      </c>
      <c r="P315" s="2">
        <v>0.34</v>
      </c>
      <c r="Q315" s="2">
        <v>0.67</v>
      </c>
      <c r="R315" s="2">
        <v>2237500</v>
      </c>
      <c r="S315" s="2">
        <v>18</v>
      </c>
      <c r="T315" s="2">
        <v>1427386</v>
      </c>
      <c r="U315" s="2">
        <v>197273</v>
      </c>
      <c r="V315" s="2">
        <v>0</v>
      </c>
      <c r="W315" s="2">
        <v>0</v>
      </c>
      <c r="X315" s="2">
        <v>0</v>
      </c>
      <c r="Y315" s="2" t="s">
        <v>141</v>
      </c>
      <c r="Z315" s="12">
        <f>SUMIF(Table1[product],Table1[[#This Row],[product]],Table1[loan_amount])</f>
        <v>92273000</v>
      </c>
      <c r="AA315" s="15">
        <f>SUMIF(Table1[region],Table1[[#This Row],[region]],Table1[current_balance])</f>
        <v>83297251</v>
      </c>
      <c r="AB315" s="2">
        <f>COUNTIF(Table1[loan_status],Table1[[#This Row],[loan_status]])</f>
        <v>139</v>
      </c>
      <c r="AC315" s="2">
        <f>COUNTIF(Table1[default_flag],1)/ROWS(Table1[loan_id])</f>
        <v>2.5999999999999999E-2</v>
      </c>
      <c r="AD315" s="2">
        <f>COUNTIFS(Table1[region],Table1[[#This Row],[region]],Table1[default_flag],1)/COUNTIF(Table1[region],Table1[[#This Row],[region]])</f>
        <v>3.1914893617021274E-2</v>
      </c>
      <c r="AE315" s="2">
        <f>COUNTIFS(Table1[channel],Table1[[#This Row],[channel]],Table1[prepayment_flag],1)/COUNTIF(Table1[channel],Table1[[#This Row],[channel]])</f>
        <v>5.8201058201058198E-2</v>
      </c>
      <c r="AF315" s="2">
        <f>AVERAGEIFS(Table1[interest_rate_pct],Table1[product],Table1[[#This Row],[product]],Table1[risk_band],Table1[[#This Row],[risk_band]])</f>
        <v>15.092000000000001</v>
      </c>
      <c r="AG315" s="2" t="str" cm="1">
        <f t="array" ref="AG315">_xlfn.IFS(Table1[[#This Row],[dti_ratio]] &lt; 0.2, " less than 0.2", Table1[[#This Row],[dti_ratio]] &lt; 0.3, "0.2 - 0.3", Table1[[#This Row],[dti_ratio]] &lt;= 0.5, "0.35 - 0.5", Table1[[#This Row],[dti_ratio]] &gt; 0.5, "greater than 0.5")</f>
        <v>0.35 - 0.5</v>
      </c>
      <c r="AH315" s="2">
        <f>COUNTIF(Table1[DTI band],Table1[[#This Row],[DTI band]])</f>
        <v>260</v>
      </c>
      <c r="AI315" s="2" t="str" cm="1">
        <f t="array" ref="AI315">_xlfn.IFS(Table1[[#This Row],[ltv_ratio]] &lt; 0.6, "less than 0.6 -less risky", Table1[[#This Row],[ltv_ratio]]  &lt;= 0.8, "0.6 - 0.8 -medium risky",Table1[[#This Row],[ltv_ratio]] &gt; 0.8, "greater than 0.8 -highly risky")</f>
        <v>0.6 - 0.8 -medium risky</v>
      </c>
      <c r="AJ315" s="2">
        <f>COUNTIF(Table1[LTV band],Table1[[#This Row],[LTV band]])</f>
        <v>302</v>
      </c>
      <c r="AK315" s="2">
        <f>COUNTIFS(Table1[count_loan_perband],Table1[[#This Row],[count_loan_perband]],Table1[default_flag],1)/COUNTIF(Table1[count_loan_perband],Table1[[#This Row],[count_loan_perband]])</f>
        <v>3.6423841059602648E-2</v>
      </c>
      <c r="AL315" s="2" t="str" cm="1">
        <f t="array" ref="AL315">_xlfn.IFS(Table1[[#This Row],[loan_amount]] &lt; 900000, "lower size (&lt; 9L)", Table1[[#This Row],[loan_amount]] &lt;=3300000, "medium size (&lt;=33L)", Table1[[#This Row],[loan_amount]] &gt; 3300000, "larger size (&gt; 33L)")</f>
        <v>medium size (&lt;=33L)</v>
      </c>
      <c r="AM315" s="2">
        <f>IF(Table1[[#This Row],[dpd]] &gt;=30,1,0)</f>
        <v>0</v>
      </c>
      <c r="AN315" s="2">
        <f>COUNTIFS(Table1[Loan size],Table1[[#This Row],[Loan size]],Table1[dpd flag],1)/COUNTIF(Table1[Loan size],Table1[[#This Row],[Loan size]])</f>
        <v>0.15909090909090909</v>
      </c>
      <c r="AO315" s="2" t="str">
        <f>IF(OR(Table1[[#This Row],[credit_score]] &lt; 600, Table1[ [#This Row],[dti_ratio] ] &gt; 0.5, Table1[[#This Row],[dpd]] &gt;=30), "high risk", " not riskY")</f>
        <v xml:space="preserve"> not riskY</v>
      </c>
      <c r="AP315" s="26">
        <f>EOMONTH(Table1[[#This Row],[origination_date]],0)</f>
        <v>45169</v>
      </c>
      <c r="AQ315" s="2">
        <f>SUMIFS(Table1[loan_amount],Table1[origination month],Table1[[#This Row],[origination month]])</f>
        <v>38355800</v>
      </c>
      <c r="AR315" s="2">
        <f>AVERAGEIFS(Table1[months_on_book],Table1[product],Table1[[#This Row],[product]])</f>
        <v>20.262135922330096</v>
      </c>
      <c r="AS315" s="2" t="str">
        <f ca="1">IF(EDATE(Table1[[#This Row],[origination_date]],6) &gt;= TODAY(), "New Loan", "Old Loan")</f>
        <v>Old Loan</v>
      </c>
      <c r="AT315" s="2" t="str">
        <f>"Q"&amp;ROUNDUP(MONTH(Table1[[#This Row],[origination_date]])/3,0)&amp;YEAR(Table1[[#This Row],[origination_date]])</f>
        <v>Q32023</v>
      </c>
      <c r="AU315" s="2">
        <f>SUMIFS(Table1[loan_amount],Table1[quarter],Table1[[#This Row],[quarter]])</f>
        <v>77300600</v>
      </c>
      <c r="AV315" s="34" t="str">
        <f>_xlfn.TEXTJOIN("|",TRUE,Table1[[#This Row],[loan_id]:[loan_status]])</f>
        <v>L46919793|C2124313|45163|Auto Loan|Branch|East|Salaried|18|1498100|14.08|92811|1172954|646|D|0.34|0.67|2237500|18|1427386|197273|0|0|0|Closed</v>
      </c>
      <c r="AW315" s="42">
        <f>YEAR(Loan_Table[ [#This Row],[origination_date] ])</f>
        <v>2023</v>
      </c>
    </row>
    <row r="316" spans="2:49" ht="18" customHeight="1">
      <c r="B316" s="5" t="s">
        <v>752</v>
      </c>
      <c r="C316" s="2" t="s">
        <v>753</v>
      </c>
      <c r="D316" s="3">
        <v>45148</v>
      </c>
      <c r="E316" s="2" t="s">
        <v>131</v>
      </c>
      <c r="F316" s="2" t="s">
        <v>132</v>
      </c>
      <c r="G316" s="2" t="s">
        <v>139</v>
      </c>
      <c r="H316" s="2" t="s">
        <v>152</v>
      </c>
      <c r="I316" s="2">
        <v>36</v>
      </c>
      <c r="J316" s="2">
        <v>384100</v>
      </c>
      <c r="K316" s="2">
        <v>18.38</v>
      </c>
      <c r="L316" s="2">
        <v>13959</v>
      </c>
      <c r="M316" s="2">
        <v>759561</v>
      </c>
      <c r="N316" s="2">
        <v>672</v>
      </c>
      <c r="O316" s="2" t="s">
        <v>140</v>
      </c>
      <c r="P316" s="2">
        <v>0.33</v>
      </c>
      <c r="Q316" s="2">
        <v>0.56000000000000005</v>
      </c>
      <c r="R316" s="2">
        <v>0</v>
      </c>
      <c r="S316" s="2">
        <v>28</v>
      </c>
      <c r="T316" s="2">
        <v>394964</v>
      </c>
      <c r="U316" s="2">
        <v>55027</v>
      </c>
      <c r="V316" s="2">
        <v>0</v>
      </c>
      <c r="W316" s="2">
        <v>0</v>
      </c>
      <c r="X316" s="2">
        <v>0</v>
      </c>
      <c r="Y316" s="2" t="s">
        <v>148</v>
      </c>
      <c r="Z316" s="12">
        <f>SUMIF(Table1[product],Table1[[#This Row],[product]],Table1[loan_amount])</f>
        <v>74897600</v>
      </c>
      <c r="AA316" s="15">
        <f>SUMIF(Table1[region],Table1[[#This Row],[region]],Table1[current_balance])</f>
        <v>83903255</v>
      </c>
      <c r="AB316" s="2">
        <f>COUNTIF(Table1[loan_status],Table1[[#This Row],[loan_status]])</f>
        <v>301</v>
      </c>
      <c r="AC316" s="2">
        <f>COUNTIF(Table1[default_flag],1)/ROWS(Table1[loan_id])</f>
        <v>2.5999999999999999E-2</v>
      </c>
      <c r="AD316" s="2">
        <f>COUNTIFS(Table1[region],Table1[[#This Row],[region]],Table1[default_flag],1)/COUNTIF(Table1[region],Table1[[#This Row],[region]])</f>
        <v>4.2553191489361701E-2</v>
      </c>
      <c r="AE316" s="2">
        <f>COUNTIFS(Table1[channel],Table1[[#This Row],[channel]],Table1[prepayment_flag],1)/COUNTIF(Table1[channel],Table1[[#This Row],[channel]])</f>
        <v>7.1090047393364927E-2</v>
      </c>
      <c r="AF316" s="2">
        <f>AVERAGEIFS(Table1[interest_rate_pct],Table1[product],Table1[[#This Row],[product]],Table1[risk_band],Table1[[#This Row],[risk_band]])</f>
        <v>18.603181818181817</v>
      </c>
      <c r="AG316" s="2" t="str" cm="1">
        <f t="array" ref="AG316">_xlfn.IFS(Table1[[#This Row],[dti_ratio]] &lt; 0.2, " less than 0.2", Table1[[#This Row],[dti_ratio]] &lt; 0.3, "0.2 - 0.3", Table1[[#This Row],[dti_ratio]] &lt;= 0.5, "0.35 - 0.5", Table1[[#This Row],[dti_ratio]] &gt; 0.5, "greater than 0.5")</f>
        <v>0.35 - 0.5</v>
      </c>
      <c r="AH316" s="2">
        <f>COUNTIF(Table1[DTI band],Table1[[#This Row],[DTI band]])</f>
        <v>260</v>
      </c>
      <c r="AI316" s="2" t="str" cm="1">
        <f t="array" ref="AI316">_xlfn.IFS(Table1[[#This Row],[ltv_ratio]] &lt; 0.6, "less than 0.6 -less risky", Table1[[#This Row],[ltv_ratio]]  &lt;= 0.8, "0.6 - 0.8 -medium risky",Table1[[#This Row],[ltv_ratio]] &gt; 0.8, "greater than 0.8 -highly risky")</f>
        <v>less than 0.6 -less risky</v>
      </c>
      <c r="AJ316" s="2">
        <f>COUNTIF(Table1[LTV band],Table1[[#This Row],[LTV band]])</f>
        <v>57</v>
      </c>
      <c r="AK316" s="2">
        <f>COUNTIFS(Table1[count_loan_perband],Table1[[#This Row],[count_loan_perband]],Table1[default_flag],1)/COUNTIF(Table1[count_loan_perband],Table1[[#This Row],[count_loan_perband]])</f>
        <v>0</v>
      </c>
      <c r="AL316" s="2" t="str" cm="1">
        <f t="array" ref="AL316">_xlfn.IFS(Table1[[#This Row],[loan_amount]] &lt; 900000, "lower size (&lt; 9L)", Table1[[#This Row],[loan_amount]] &lt;=3300000, "medium size (&lt;=33L)", Table1[[#This Row],[loan_amount]] &gt; 3300000, "larger size (&gt; 33L)")</f>
        <v>lower size (&lt; 9L)</v>
      </c>
      <c r="AM316" s="2">
        <f>IF(Table1[[#This Row],[dpd]] &gt;=30,1,0)</f>
        <v>0</v>
      </c>
      <c r="AN316" s="2">
        <f>COUNTIFS(Table1[Loan size],Table1[[#This Row],[Loan size]],Table1[dpd flag],1)/COUNTIF(Table1[Loan size],Table1[[#This Row],[Loan size]])</f>
        <v>0.13934426229508196</v>
      </c>
      <c r="AO316" s="2" t="str">
        <f>IF(OR(Table1[[#This Row],[credit_score]] &lt; 600, Table1[ [#This Row],[dti_ratio] ] &gt; 0.5, Table1[[#This Row],[dpd]] &gt;=30), "high risk", " not riskY")</f>
        <v xml:space="preserve"> not riskY</v>
      </c>
      <c r="AP316" s="26">
        <f>EOMONTH(Table1[[#This Row],[origination_date]],0)</f>
        <v>45169</v>
      </c>
      <c r="AQ316" s="2">
        <f>SUMIFS(Table1[loan_amount],Table1[origination month],Table1[[#This Row],[origination month]])</f>
        <v>38355800</v>
      </c>
      <c r="AR316" s="2">
        <f>AVERAGEIFS(Table1[months_on_book],Table1[product],Table1[[#This Row],[product]])</f>
        <v>21.092024539877301</v>
      </c>
      <c r="AS316" s="2" t="str">
        <f ca="1">IF(EDATE(Table1[[#This Row],[origination_date]],6) &gt;= TODAY(), "New Loan", "Old Loan")</f>
        <v>Old Loan</v>
      </c>
      <c r="AT316" s="2" t="str">
        <f>"Q"&amp;ROUNDUP(MONTH(Table1[[#This Row],[origination_date]])/3,0)&amp;YEAR(Table1[[#This Row],[origination_date]])</f>
        <v>Q32023</v>
      </c>
      <c r="AU316" s="2">
        <f>SUMIFS(Table1[loan_amount],Table1[quarter],Table1[[#This Row],[quarter]])</f>
        <v>77300600</v>
      </c>
      <c r="AV316" s="34" t="str">
        <f>_xlfn.TEXTJOIN("|",TRUE,Table1[[#This Row],[loan_id]:[loan_status]])</f>
        <v>L36087023|C5766973|45148|Personal Loan|Online|West|Self-Employed|36|384100|18.38|13959|759561|672|C|0.33|0.56|0|28|394964|55027|0|0|0|Active</v>
      </c>
      <c r="AW316" s="42">
        <f>YEAR(Loan_Table[ [#This Row],[origination_date] ])</f>
        <v>2023</v>
      </c>
    </row>
    <row r="317" spans="2:49" ht="18" customHeight="1">
      <c r="B317" s="5" t="s">
        <v>754</v>
      </c>
      <c r="C317" s="2" t="s">
        <v>755</v>
      </c>
      <c r="D317" s="3">
        <v>45111</v>
      </c>
      <c r="E317" s="2" t="s">
        <v>169</v>
      </c>
      <c r="F317" s="2" t="s">
        <v>144</v>
      </c>
      <c r="G317" s="2" t="s">
        <v>133</v>
      </c>
      <c r="H317" s="2" t="s">
        <v>134</v>
      </c>
      <c r="I317" s="2">
        <v>360</v>
      </c>
      <c r="J317" s="2">
        <v>4098600</v>
      </c>
      <c r="K317" s="2">
        <v>13.15</v>
      </c>
      <c r="L317" s="2">
        <v>45820</v>
      </c>
      <c r="M317" s="2">
        <v>459205</v>
      </c>
      <c r="N317" s="2">
        <v>608</v>
      </c>
      <c r="O317" s="2" t="s">
        <v>147</v>
      </c>
      <c r="P317" s="2">
        <v>0.33</v>
      </c>
      <c r="Q317" s="2">
        <v>0.91</v>
      </c>
      <c r="R317" s="2">
        <v>4502800</v>
      </c>
      <c r="S317" s="2">
        <v>29</v>
      </c>
      <c r="T317" s="2">
        <v>1143870</v>
      </c>
      <c r="U317" s="2">
        <v>3475730</v>
      </c>
      <c r="V317" s="2">
        <v>0</v>
      </c>
      <c r="W317" s="2">
        <v>0</v>
      </c>
      <c r="X317" s="2">
        <v>0</v>
      </c>
      <c r="Y317" s="2" t="s">
        <v>148</v>
      </c>
      <c r="Z317" s="12">
        <f>SUMIF(Table1[product],Table1[[#This Row],[product]],Table1[loan_amount])</f>
        <v>403369500</v>
      </c>
      <c r="AA317" s="15">
        <f>SUMIF(Table1[region],Table1[[#This Row],[region]],Table1[current_balance])</f>
        <v>94548000</v>
      </c>
      <c r="AB317" s="2">
        <f>COUNTIF(Table1[loan_status],Table1[[#This Row],[loan_status]])</f>
        <v>301</v>
      </c>
      <c r="AC317" s="2">
        <f>COUNTIF(Table1[default_flag],1)/ROWS(Table1[loan_id])</f>
        <v>2.5999999999999999E-2</v>
      </c>
      <c r="AD317" s="2">
        <f>COUNTIFS(Table1[region],Table1[[#This Row],[region]],Table1[default_flag],1)/COUNTIF(Table1[region],Table1[[#This Row],[region]])</f>
        <v>0</v>
      </c>
      <c r="AE317" s="2">
        <f>COUNTIFS(Table1[channel],Table1[[#This Row],[channel]],Table1[prepayment_flag],1)/COUNTIF(Table1[channel],Table1[[#This Row],[channel]])</f>
        <v>5.8201058201058198E-2</v>
      </c>
      <c r="AF317" s="2">
        <f>AVERAGEIFS(Table1[interest_rate_pct],Table1[product],Table1[[#This Row],[product]],Table1[risk_band],Table1[[#This Row],[risk_band]])</f>
        <v>13.406874999999999</v>
      </c>
      <c r="AG317" s="2" t="str" cm="1">
        <f t="array" ref="AG317">_xlfn.IFS(Table1[[#This Row],[dti_ratio]] &lt; 0.2, " less than 0.2", Table1[[#This Row],[dti_ratio]] &lt; 0.3, "0.2 - 0.3", Table1[[#This Row],[dti_ratio]] &lt;= 0.5, "0.35 - 0.5", Table1[[#This Row],[dti_ratio]] &gt; 0.5, "greater than 0.5")</f>
        <v>0.35 - 0.5</v>
      </c>
      <c r="AH317" s="2">
        <f>COUNTIF(Table1[DTI band],Table1[[#This Row],[DTI band]])</f>
        <v>260</v>
      </c>
      <c r="AI317" s="2" t="str" cm="1">
        <f t="array" ref="AI317">_xlfn.IFS(Table1[[#This Row],[ltv_ratio]] &lt; 0.6, "less than 0.6 -less risky", Table1[[#This Row],[ltv_ratio]]  &lt;= 0.8, "0.6 - 0.8 -medium risky",Table1[[#This Row],[ltv_ratio]] &gt; 0.8, "greater than 0.8 -highly risky")</f>
        <v>greater than 0.8 -highly risky</v>
      </c>
      <c r="AJ317" s="2">
        <f>COUNTIF(Table1[LTV band],Table1[[#This Row],[LTV band]])</f>
        <v>141</v>
      </c>
      <c r="AK317" s="2">
        <f>COUNTIFS(Table1[count_loan_perband],Table1[[#This Row],[count_loan_perband]],Table1[default_flag],1)/COUNTIF(Table1[count_loan_perband],Table1[[#This Row],[count_loan_perband]])</f>
        <v>1.4184397163120567E-2</v>
      </c>
      <c r="AL317" s="2" t="str" cm="1">
        <f t="array" ref="AL317">_xlfn.IFS(Table1[[#This Row],[loan_amount]] &lt; 900000, "lower size (&lt; 9L)", Table1[[#This Row],[loan_amount]] &lt;=3300000, "medium size (&lt;=33L)", Table1[[#This Row],[loan_amount]] &gt; 3300000, "larger size (&gt; 33L)")</f>
        <v>larger size (&gt; 33L)</v>
      </c>
      <c r="AM317" s="2">
        <f>IF(Table1[[#This Row],[dpd]] &gt;=30,1,0)</f>
        <v>0</v>
      </c>
      <c r="AN317" s="2">
        <f>COUNTIFS(Table1[Loan size],Table1[[#This Row],[Loan size]],Table1[dpd flag],1)/COUNTIF(Table1[Loan size],Table1[[#This Row],[Loan size]])</f>
        <v>0.16250000000000001</v>
      </c>
      <c r="AO317" s="2" t="str">
        <f>IF(OR(Table1[[#This Row],[credit_score]] &lt; 600, Table1[ [#This Row],[dti_ratio] ] &gt; 0.5, Table1[[#This Row],[dpd]] &gt;=30), "high risk", " not riskY")</f>
        <v xml:space="preserve"> not riskY</v>
      </c>
      <c r="AP317" s="26">
        <f>EOMONTH(Table1[[#This Row],[origination_date]],0)</f>
        <v>45138</v>
      </c>
      <c r="AQ317" s="2">
        <f>SUMIFS(Table1[loan_amount],Table1[origination month],Table1[[#This Row],[origination month]])</f>
        <v>25129700</v>
      </c>
      <c r="AR317" s="2">
        <f>AVERAGEIFS(Table1[months_on_book],Table1[product],Table1[[#This Row],[product]])</f>
        <v>20.516129032258064</v>
      </c>
      <c r="AS317" s="2" t="str">
        <f ca="1">IF(EDATE(Table1[[#This Row],[origination_date]],6) &gt;= TODAY(), "New Loan", "Old Loan")</f>
        <v>Old Loan</v>
      </c>
      <c r="AT317" s="2" t="str">
        <f>"Q"&amp;ROUNDUP(MONTH(Table1[[#This Row],[origination_date]])/3,0)&amp;YEAR(Table1[[#This Row],[origination_date]])</f>
        <v>Q32023</v>
      </c>
      <c r="AU317" s="2">
        <f>SUMIFS(Table1[loan_amount],Table1[quarter],Table1[[#This Row],[quarter]])</f>
        <v>77300600</v>
      </c>
      <c r="AV317" s="34" t="str">
        <f>_xlfn.TEXTJOIN("|",TRUE,Table1[[#This Row],[loan_id]:[loan_status]])</f>
        <v>L76217713|C8934691|45111|Home Loan|Branch|South|Salaried|360|4098600|13.15|45820|459205|608|D|0.33|0.91|4502800|29|1143870|3475730|0|0|0|Active</v>
      </c>
      <c r="AW317" s="42">
        <f>YEAR(Loan_Table[ [#This Row],[origination_date] ])</f>
        <v>2023</v>
      </c>
    </row>
    <row r="318" spans="2:49" ht="18" customHeight="1">
      <c r="B318" s="5" t="s">
        <v>756</v>
      </c>
      <c r="C318" s="2" t="s">
        <v>757</v>
      </c>
      <c r="D318" s="3">
        <v>45155</v>
      </c>
      <c r="E318" s="2" t="s">
        <v>158</v>
      </c>
      <c r="F318" s="2" t="s">
        <v>213</v>
      </c>
      <c r="G318" s="2" t="s">
        <v>133</v>
      </c>
      <c r="H318" s="2" t="s">
        <v>134</v>
      </c>
      <c r="I318" s="2">
        <v>360</v>
      </c>
      <c r="J318" s="2">
        <v>2264100</v>
      </c>
      <c r="K318" s="2">
        <v>18.87</v>
      </c>
      <c r="L318" s="2">
        <v>35733</v>
      </c>
      <c r="M318" s="2">
        <v>333325</v>
      </c>
      <c r="N318" s="2">
        <v>599</v>
      </c>
      <c r="O318" s="2" t="s">
        <v>166</v>
      </c>
      <c r="P318" s="2">
        <v>0.3</v>
      </c>
      <c r="Q318" s="2">
        <v>0.8</v>
      </c>
      <c r="R318" s="2">
        <v>2820600</v>
      </c>
      <c r="S318" s="2">
        <v>28</v>
      </c>
      <c r="T318" s="2">
        <v>886984</v>
      </c>
      <c r="U318" s="2">
        <v>1775869</v>
      </c>
      <c r="V318" s="2">
        <v>45</v>
      </c>
      <c r="W318" s="2">
        <v>0</v>
      </c>
      <c r="X318" s="2">
        <v>0</v>
      </c>
      <c r="Y318" s="2" t="s">
        <v>136</v>
      </c>
      <c r="Z318" s="12">
        <f>SUMIF(Table1[product],Table1[[#This Row],[product]],Table1[loan_amount])</f>
        <v>201475100</v>
      </c>
      <c r="AA318" s="15">
        <f>SUMIF(Table1[region],Table1[[#This Row],[region]],Table1[current_balance])</f>
        <v>94548000</v>
      </c>
      <c r="AB318" s="2">
        <f>COUNTIF(Table1[loan_status],Table1[[#This Row],[loan_status]])</f>
        <v>47</v>
      </c>
      <c r="AC318" s="2">
        <f>COUNTIF(Table1[default_flag],1)/ROWS(Table1[loan_id])</f>
        <v>2.5999999999999999E-2</v>
      </c>
      <c r="AD318" s="2">
        <f>COUNTIFS(Table1[region],Table1[[#This Row],[region]],Table1[default_flag],1)/COUNTIF(Table1[region],Table1[[#This Row],[region]])</f>
        <v>0</v>
      </c>
      <c r="AE318" s="2">
        <f>COUNTIFS(Table1[channel],Table1[[#This Row],[channel]],Table1[prepayment_flag],1)/COUNTIF(Table1[channel],Table1[[#This Row],[channel]])</f>
        <v>0.12</v>
      </c>
      <c r="AF318" s="2">
        <f>AVERAGEIFS(Table1[interest_rate_pct],Table1[product],Table1[[#This Row],[product]],Table1[risk_band],Table1[[#This Row],[risk_band]])</f>
        <v>20.521428571428572</v>
      </c>
      <c r="AG318" s="2" t="str" cm="1">
        <f t="array" ref="AG318">_xlfn.IFS(Table1[[#This Row],[dti_ratio]] &lt; 0.2, " less than 0.2", Table1[[#This Row],[dti_ratio]] &lt; 0.3, "0.2 - 0.3", Table1[[#This Row],[dti_ratio]] &lt;= 0.5, "0.35 - 0.5", Table1[[#This Row],[dti_ratio]] &gt; 0.5, "greater than 0.5")</f>
        <v>0.35 - 0.5</v>
      </c>
      <c r="AH318" s="2">
        <f>COUNTIF(Table1[DTI band],Table1[[#This Row],[DTI band]])</f>
        <v>260</v>
      </c>
      <c r="AI318" s="2" t="str" cm="1">
        <f t="array" ref="AI318">_xlfn.IFS(Table1[[#This Row],[ltv_ratio]] &lt; 0.6, "less than 0.6 -less risky", Table1[[#This Row],[ltv_ratio]]  &lt;= 0.8, "0.6 - 0.8 -medium risky",Table1[[#This Row],[ltv_ratio]] &gt; 0.8, "greater than 0.8 -highly risky")</f>
        <v>0.6 - 0.8 -medium risky</v>
      </c>
      <c r="AJ318" s="2">
        <f>COUNTIF(Table1[LTV band],Table1[[#This Row],[LTV band]])</f>
        <v>302</v>
      </c>
      <c r="AK318" s="2">
        <f>COUNTIFS(Table1[count_loan_perband],Table1[[#This Row],[count_loan_perband]],Table1[default_flag],1)/COUNTIF(Table1[count_loan_perband],Table1[[#This Row],[count_loan_perband]])</f>
        <v>3.6423841059602648E-2</v>
      </c>
      <c r="AL318" s="2" t="str" cm="1">
        <f t="array" ref="AL318">_xlfn.IFS(Table1[[#This Row],[loan_amount]] &lt; 900000, "lower size (&lt; 9L)", Table1[[#This Row],[loan_amount]] &lt;=3300000, "medium size (&lt;=33L)", Table1[[#This Row],[loan_amount]] &gt; 3300000, "larger size (&gt; 33L)")</f>
        <v>medium size (&lt;=33L)</v>
      </c>
      <c r="AM318" s="2">
        <f>IF(Table1[[#This Row],[dpd]] &gt;=30,1,0)</f>
        <v>1</v>
      </c>
      <c r="AN318" s="2">
        <f>COUNTIFS(Table1[Loan size],Table1[[#This Row],[Loan size]],Table1[dpd flag],1)/COUNTIF(Table1[Loan size],Table1[[#This Row],[Loan size]])</f>
        <v>0.15909090909090909</v>
      </c>
      <c r="AO318" s="2" t="str">
        <f>IF(OR(Table1[[#This Row],[credit_score]] &lt; 600, Table1[ [#This Row],[dti_ratio] ] &gt; 0.5, Table1[[#This Row],[dpd]] &gt;=30), "high risk", " not riskY")</f>
        <v>high risk</v>
      </c>
      <c r="AP318" s="26">
        <f>EOMONTH(Table1[[#This Row],[origination_date]],0)</f>
        <v>45169</v>
      </c>
      <c r="AQ318" s="2">
        <f>SUMIFS(Table1[loan_amount],Table1[origination month],Table1[[#This Row],[origination month]])</f>
        <v>38355800</v>
      </c>
      <c r="AR318" s="2">
        <f>AVERAGEIFS(Table1[months_on_book],Table1[product],Table1[[#This Row],[product]])</f>
        <v>19.091954022988507</v>
      </c>
      <c r="AS318" s="2" t="str">
        <f ca="1">IF(EDATE(Table1[[#This Row],[origination_date]],6) &gt;= TODAY(), "New Loan", "Old Loan")</f>
        <v>Old Loan</v>
      </c>
      <c r="AT318" s="2" t="str">
        <f>"Q"&amp;ROUNDUP(MONTH(Table1[[#This Row],[origination_date]])/3,0)&amp;YEAR(Table1[[#This Row],[origination_date]])</f>
        <v>Q32023</v>
      </c>
      <c r="AU318" s="2">
        <f>SUMIFS(Table1[loan_amount],Table1[quarter],Table1[[#This Row],[quarter]])</f>
        <v>77300600</v>
      </c>
      <c r="AV318" s="34" t="str">
        <f>_xlfn.TEXTJOIN("|",TRUE,Table1[[#This Row],[loan_id]:[loan_status]])</f>
        <v>L59863252|C4518338|45155|SME Loan|Call Center|South|Salaried|360|2264100|18.87|35733|333325|599|E|0.3|0.8|2820600|28|886984|1775869|45|0|0|Delinquent</v>
      </c>
      <c r="AW318" s="42">
        <f>YEAR(Loan_Table[ [#This Row],[origination_date] ])</f>
        <v>2023</v>
      </c>
    </row>
    <row r="319" spans="2:49" ht="18" customHeight="1">
      <c r="B319" s="5" t="s">
        <v>758</v>
      </c>
      <c r="C319" s="2" t="s">
        <v>759</v>
      </c>
      <c r="D319" s="3">
        <v>45123</v>
      </c>
      <c r="E319" s="2" t="s">
        <v>131</v>
      </c>
      <c r="F319" s="2" t="s">
        <v>144</v>
      </c>
      <c r="G319" s="2" t="s">
        <v>139</v>
      </c>
      <c r="H319" s="2" t="s">
        <v>134</v>
      </c>
      <c r="I319" s="2">
        <v>24</v>
      </c>
      <c r="J319" s="2">
        <v>946800</v>
      </c>
      <c r="K319" s="2">
        <v>16.190000000000001</v>
      </c>
      <c r="L319" s="2">
        <v>46444</v>
      </c>
      <c r="M319" s="2">
        <v>1136462</v>
      </c>
      <c r="N319" s="2">
        <v>730</v>
      </c>
      <c r="O319" s="2" t="s">
        <v>135</v>
      </c>
      <c r="P319" s="2">
        <v>0.3</v>
      </c>
      <c r="Q319" s="2">
        <v>0.8</v>
      </c>
      <c r="R319" s="2">
        <v>0</v>
      </c>
      <c r="S319" s="2">
        <v>24</v>
      </c>
      <c r="T319" s="2">
        <v>1117277</v>
      </c>
      <c r="U319" s="2">
        <v>0</v>
      </c>
      <c r="V319" s="2">
        <v>0</v>
      </c>
      <c r="W319" s="2">
        <v>0</v>
      </c>
      <c r="X319" s="2">
        <v>0</v>
      </c>
      <c r="Y319" s="2" t="s">
        <v>141</v>
      </c>
      <c r="Z319" s="12">
        <f>SUMIF(Table1[product],Table1[[#This Row],[product]],Table1[loan_amount])</f>
        <v>74897600</v>
      </c>
      <c r="AA319" s="15">
        <f>SUMIF(Table1[region],Table1[[#This Row],[region]],Table1[current_balance])</f>
        <v>83903255</v>
      </c>
      <c r="AB319" s="2">
        <f>COUNTIF(Table1[loan_status],Table1[[#This Row],[loan_status]])</f>
        <v>139</v>
      </c>
      <c r="AC319" s="2">
        <f>COUNTIF(Table1[default_flag],1)/ROWS(Table1[loan_id])</f>
        <v>2.5999999999999999E-2</v>
      </c>
      <c r="AD319" s="2">
        <f>COUNTIFS(Table1[region],Table1[[#This Row],[region]],Table1[default_flag],1)/COUNTIF(Table1[region],Table1[[#This Row],[region]])</f>
        <v>4.2553191489361701E-2</v>
      </c>
      <c r="AE319" s="2">
        <f>COUNTIFS(Table1[channel],Table1[[#This Row],[channel]],Table1[prepayment_flag],1)/COUNTIF(Table1[channel],Table1[[#This Row],[channel]])</f>
        <v>5.8201058201058198E-2</v>
      </c>
      <c r="AF319" s="2">
        <f>AVERAGEIFS(Table1[interest_rate_pct],Table1[product],Table1[[#This Row],[product]],Table1[risk_band],Table1[[#This Row],[risk_band]])</f>
        <v>16.500166666666669</v>
      </c>
      <c r="AG319" s="2" t="str" cm="1">
        <f t="array" ref="AG319">_xlfn.IFS(Table1[[#This Row],[dti_ratio]] &lt; 0.2, " less than 0.2", Table1[[#This Row],[dti_ratio]] &lt; 0.3, "0.2 - 0.3", Table1[[#This Row],[dti_ratio]] &lt;= 0.5, "0.35 - 0.5", Table1[[#This Row],[dti_ratio]] &gt; 0.5, "greater than 0.5")</f>
        <v>0.35 - 0.5</v>
      </c>
      <c r="AH319" s="2">
        <f>COUNTIF(Table1[DTI band],Table1[[#This Row],[DTI band]])</f>
        <v>260</v>
      </c>
      <c r="AI319" s="2" t="str" cm="1">
        <f t="array" ref="AI319">_xlfn.IFS(Table1[[#This Row],[ltv_ratio]] &lt; 0.6, "less than 0.6 -less risky", Table1[[#This Row],[ltv_ratio]]  &lt;= 0.8, "0.6 - 0.8 -medium risky",Table1[[#This Row],[ltv_ratio]] &gt; 0.8, "greater than 0.8 -highly risky")</f>
        <v>0.6 - 0.8 -medium risky</v>
      </c>
      <c r="AJ319" s="2">
        <f>COUNTIF(Table1[LTV band],Table1[[#This Row],[LTV band]])</f>
        <v>302</v>
      </c>
      <c r="AK319" s="2">
        <f>COUNTIFS(Table1[count_loan_perband],Table1[[#This Row],[count_loan_perband]],Table1[default_flag],1)/COUNTIF(Table1[count_loan_perband],Table1[[#This Row],[count_loan_perband]])</f>
        <v>3.6423841059602648E-2</v>
      </c>
      <c r="AL319" s="2" t="str" cm="1">
        <f t="array" ref="AL319">_xlfn.IFS(Table1[[#This Row],[loan_amount]] &lt; 900000, "lower size (&lt; 9L)", Table1[[#This Row],[loan_amount]] &lt;=3300000, "medium size (&lt;=33L)", Table1[[#This Row],[loan_amount]] &gt; 3300000, "larger size (&gt; 33L)")</f>
        <v>medium size (&lt;=33L)</v>
      </c>
      <c r="AM319" s="2">
        <f>IF(Table1[[#This Row],[dpd]] &gt;=30,1,0)</f>
        <v>0</v>
      </c>
      <c r="AN319" s="2">
        <f>COUNTIFS(Table1[Loan size],Table1[[#This Row],[Loan size]],Table1[dpd flag],1)/COUNTIF(Table1[Loan size],Table1[[#This Row],[Loan size]])</f>
        <v>0.15909090909090909</v>
      </c>
      <c r="AO319" s="2" t="str">
        <f>IF(OR(Table1[[#This Row],[credit_score]] &lt; 600, Table1[ [#This Row],[dti_ratio] ] &gt; 0.5, Table1[[#This Row],[dpd]] &gt;=30), "high risk", " not riskY")</f>
        <v xml:space="preserve"> not riskY</v>
      </c>
      <c r="AP319" s="26">
        <f>EOMONTH(Table1[[#This Row],[origination_date]],0)</f>
        <v>45138</v>
      </c>
      <c r="AQ319" s="2">
        <f>SUMIFS(Table1[loan_amount],Table1[origination month],Table1[[#This Row],[origination month]])</f>
        <v>25129700</v>
      </c>
      <c r="AR319" s="2">
        <f>AVERAGEIFS(Table1[months_on_book],Table1[product],Table1[[#This Row],[product]])</f>
        <v>21.092024539877301</v>
      </c>
      <c r="AS319" s="2" t="str">
        <f ca="1">IF(EDATE(Table1[[#This Row],[origination_date]],6) &gt;= TODAY(), "New Loan", "Old Loan")</f>
        <v>Old Loan</v>
      </c>
      <c r="AT319" s="2" t="str">
        <f>"Q"&amp;ROUNDUP(MONTH(Table1[[#This Row],[origination_date]])/3,0)&amp;YEAR(Table1[[#This Row],[origination_date]])</f>
        <v>Q32023</v>
      </c>
      <c r="AU319" s="2">
        <f>SUMIFS(Table1[loan_amount],Table1[quarter],Table1[[#This Row],[quarter]])</f>
        <v>77300600</v>
      </c>
      <c r="AV319" s="34" t="str">
        <f>_xlfn.TEXTJOIN("|",TRUE,Table1[[#This Row],[loan_id]:[loan_status]])</f>
        <v>L57984114|C8213336|45123|Personal Loan|Branch|West|Salaried|24|946800|16.19|46444|1136462|730|B|0.3|0.8|0|24|1117277|0|0|0|0|Closed</v>
      </c>
      <c r="AW319" s="42">
        <f>YEAR(Loan_Table[ [#This Row],[origination_date] ])</f>
        <v>2023</v>
      </c>
    </row>
    <row r="320" spans="2:49" ht="18" customHeight="1">
      <c r="B320" s="5" t="s">
        <v>760</v>
      </c>
      <c r="C320" s="2" t="s">
        <v>761</v>
      </c>
      <c r="D320" s="3">
        <v>45197</v>
      </c>
      <c r="E320" s="2" t="s">
        <v>131</v>
      </c>
      <c r="F320" s="2" t="s">
        <v>144</v>
      </c>
      <c r="G320" s="2" t="s">
        <v>151</v>
      </c>
      <c r="H320" s="2" t="s">
        <v>134</v>
      </c>
      <c r="I320" s="2">
        <v>72</v>
      </c>
      <c r="J320" s="2">
        <v>359900</v>
      </c>
      <c r="K320" s="2">
        <v>17.350000000000001</v>
      </c>
      <c r="L320" s="2">
        <v>8077</v>
      </c>
      <c r="M320" s="2">
        <v>1040108</v>
      </c>
      <c r="N320" s="2">
        <v>721</v>
      </c>
      <c r="O320" s="2" t="s">
        <v>135</v>
      </c>
      <c r="P320" s="2">
        <v>0.3</v>
      </c>
      <c r="Q320" s="2">
        <v>0.74</v>
      </c>
      <c r="R320" s="2">
        <v>0</v>
      </c>
      <c r="S320" s="2">
        <v>27</v>
      </c>
      <c r="T320" s="2">
        <v>189191</v>
      </c>
      <c r="U320" s="2">
        <v>226907</v>
      </c>
      <c r="V320" s="2">
        <v>0</v>
      </c>
      <c r="W320" s="2">
        <v>0</v>
      </c>
      <c r="X320" s="2">
        <v>0</v>
      </c>
      <c r="Y320" s="2" t="s">
        <v>148</v>
      </c>
      <c r="Z320" s="12">
        <f>SUMIF(Table1[product],Table1[[#This Row],[product]],Table1[loan_amount])</f>
        <v>74897600</v>
      </c>
      <c r="AA320" s="15">
        <f>SUMIF(Table1[region],Table1[[#This Row],[region]],Table1[current_balance])</f>
        <v>105779369</v>
      </c>
      <c r="AB320" s="2">
        <f>COUNTIF(Table1[loan_status],Table1[[#This Row],[loan_status]])</f>
        <v>301</v>
      </c>
      <c r="AC320" s="2">
        <f>COUNTIF(Table1[default_flag],1)/ROWS(Table1[loan_id])</f>
        <v>2.5999999999999999E-2</v>
      </c>
      <c r="AD320" s="2">
        <f>COUNTIFS(Table1[region],Table1[[#This Row],[region]],Table1[default_flag],1)/COUNTIF(Table1[region],Table1[[#This Row],[region]])</f>
        <v>2.6548672566371681E-2</v>
      </c>
      <c r="AE320" s="2">
        <f>COUNTIFS(Table1[channel],Table1[[#This Row],[channel]],Table1[prepayment_flag],1)/COUNTIF(Table1[channel],Table1[[#This Row],[channel]])</f>
        <v>5.8201058201058198E-2</v>
      </c>
      <c r="AF320" s="2">
        <f>AVERAGEIFS(Table1[interest_rate_pct],Table1[product],Table1[[#This Row],[product]],Table1[risk_band],Table1[[#This Row],[risk_band]])</f>
        <v>16.500166666666669</v>
      </c>
      <c r="AG320" s="2" t="str" cm="1">
        <f t="array" ref="AG320">_xlfn.IFS(Table1[[#This Row],[dti_ratio]] &lt; 0.2, " less than 0.2", Table1[[#This Row],[dti_ratio]] &lt; 0.3, "0.2 - 0.3", Table1[[#This Row],[dti_ratio]] &lt;= 0.5, "0.35 - 0.5", Table1[[#This Row],[dti_ratio]] &gt; 0.5, "greater than 0.5")</f>
        <v>0.35 - 0.5</v>
      </c>
      <c r="AH320" s="2">
        <f>COUNTIF(Table1[DTI band],Table1[[#This Row],[DTI band]])</f>
        <v>260</v>
      </c>
      <c r="AI320" s="2" t="str" cm="1">
        <f t="array" ref="AI320">_xlfn.IFS(Table1[[#This Row],[ltv_ratio]] &lt; 0.6, "less than 0.6 -less risky", Table1[[#This Row],[ltv_ratio]]  &lt;= 0.8, "0.6 - 0.8 -medium risky",Table1[[#This Row],[ltv_ratio]] &gt; 0.8, "greater than 0.8 -highly risky")</f>
        <v>0.6 - 0.8 -medium risky</v>
      </c>
      <c r="AJ320" s="2">
        <f>COUNTIF(Table1[LTV band],Table1[[#This Row],[LTV band]])</f>
        <v>302</v>
      </c>
      <c r="AK320" s="2">
        <f>COUNTIFS(Table1[count_loan_perband],Table1[[#This Row],[count_loan_perband]],Table1[default_flag],1)/COUNTIF(Table1[count_loan_perband],Table1[[#This Row],[count_loan_perband]])</f>
        <v>3.6423841059602648E-2</v>
      </c>
      <c r="AL320" s="2" t="str" cm="1">
        <f t="array" ref="AL320">_xlfn.IFS(Table1[[#This Row],[loan_amount]] &lt; 900000, "lower size (&lt; 9L)", Table1[[#This Row],[loan_amount]] &lt;=3300000, "medium size (&lt;=33L)", Table1[[#This Row],[loan_amount]] &gt; 3300000, "larger size (&gt; 33L)")</f>
        <v>lower size (&lt; 9L)</v>
      </c>
      <c r="AM320" s="2">
        <f>IF(Table1[[#This Row],[dpd]] &gt;=30,1,0)</f>
        <v>0</v>
      </c>
      <c r="AN320" s="2">
        <f>COUNTIFS(Table1[Loan size],Table1[[#This Row],[Loan size]],Table1[dpd flag],1)/COUNTIF(Table1[Loan size],Table1[[#This Row],[Loan size]])</f>
        <v>0.13934426229508196</v>
      </c>
      <c r="AO320" s="2" t="str">
        <f>IF(OR(Table1[[#This Row],[credit_score]] &lt; 600, Table1[ [#This Row],[dti_ratio] ] &gt; 0.5, Table1[[#This Row],[dpd]] &gt;=30), "high risk", " not riskY")</f>
        <v xml:space="preserve"> not riskY</v>
      </c>
      <c r="AP320" s="26">
        <f>EOMONTH(Table1[[#This Row],[origination_date]],0)</f>
        <v>45199</v>
      </c>
      <c r="AQ320" s="2">
        <f>SUMIFS(Table1[loan_amount],Table1[origination month],Table1[[#This Row],[origination month]])</f>
        <v>13815100</v>
      </c>
      <c r="AR320" s="2">
        <f>AVERAGEIFS(Table1[months_on_book],Table1[product],Table1[[#This Row],[product]])</f>
        <v>21.092024539877301</v>
      </c>
      <c r="AS320" s="2" t="str">
        <f ca="1">IF(EDATE(Table1[[#This Row],[origination_date]],6) &gt;= TODAY(), "New Loan", "Old Loan")</f>
        <v>Old Loan</v>
      </c>
      <c r="AT320" s="2" t="str">
        <f>"Q"&amp;ROUNDUP(MONTH(Table1[[#This Row],[origination_date]])/3,0)&amp;YEAR(Table1[[#This Row],[origination_date]])</f>
        <v>Q32023</v>
      </c>
      <c r="AU320" s="2">
        <f>SUMIFS(Table1[loan_amount],Table1[quarter],Table1[[#This Row],[quarter]])</f>
        <v>77300600</v>
      </c>
      <c r="AV320" s="34" t="str">
        <f>_xlfn.TEXTJOIN("|",TRUE,Table1[[#This Row],[loan_id]:[loan_status]])</f>
        <v>L25353367|C9541595|45197|Personal Loan|Branch|North|Salaried|72|359900|17.35|8077|1040108|721|B|0.3|0.74|0|27|189191|226907|0|0|0|Active</v>
      </c>
      <c r="AW320" s="42">
        <f>YEAR(Loan_Table[ [#This Row],[origination_date] ])</f>
        <v>2023</v>
      </c>
    </row>
    <row r="321" spans="2:49" ht="18" customHeight="1">
      <c r="B321" s="5" t="s">
        <v>762</v>
      </c>
      <c r="C321" s="2" t="s">
        <v>763</v>
      </c>
      <c r="D321" s="3">
        <v>45156</v>
      </c>
      <c r="E321" s="2" t="s">
        <v>158</v>
      </c>
      <c r="F321" s="2" t="s">
        <v>144</v>
      </c>
      <c r="G321" s="2" t="s">
        <v>151</v>
      </c>
      <c r="H321" s="2" t="s">
        <v>152</v>
      </c>
      <c r="I321" s="2">
        <v>240</v>
      </c>
      <c r="J321" s="2">
        <v>2492700</v>
      </c>
      <c r="K321" s="2">
        <v>16.45</v>
      </c>
      <c r="L321" s="2">
        <v>35524</v>
      </c>
      <c r="M321" s="2">
        <v>1299073</v>
      </c>
      <c r="N321" s="2">
        <v>656</v>
      </c>
      <c r="O321" s="2" t="s">
        <v>140</v>
      </c>
      <c r="P321" s="2">
        <v>0.3</v>
      </c>
      <c r="Q321" s="2">
        <v>0.6</v>
      </c>
      <c r="R321" s="2">
        <v>4132900</v>
      </c>
      <c r="S321" s="2">
        <v>28</v>
      </c>
      <c r="T321" s="2">
        <v>955081</v>
      </c>
      <c r="U321" s="2">
        <v>1920332</v>
      </c>
      <c r="V321" s="2">
        <v>0</v>
      </c>
      <c r="W321" s="2">
        <v>0</v>
      </c>
      <c r="X321" s="2">
        <v>0</v>
      </c>
      <c r="Y321" s="2" t="s">
        <v>148</v>
      </c>
      <c r="Z321" s="12">
        <f>SUMIF(Table1[product],Table1[[#This Row],[product]],Table1[loan_amount])</f>
        <v>201475100</v>
      </c>
      <c r="AA321" s="15">
        <f>SUMIF(Table1[region],Table1[[#This Row],[region]],Table1[current_balance])</f>
        <v>105779369</v>
      </c>
      <c r="AB321" s="2">
        <f>COUNTIF(Table1[loan_status],Table1[[#This Row],[loan_status]])</f>
        <v>301</v>
      </c>
      <c r="AC321" s="2">
        <f>COUNTIF(Table1[default_flag],1)/ROWS(Table1[loan_id])</f>
        <v>2.5999999999999999E-2</v>
      </c>
      <c r="AD321" s="2">
        <f>COUNTIFS(Table1[region],Table1[[#This Row],[region]],Table1[default_flag],1)/COUNTIF(Table1[region],Table1[[#This Row],[region]])</f>
        <v>2.6548672566371681E-2</v>
      </c>
      <c r="AE321" s="2">
        <f>COUNTIFS(Table1[channel],Table1[[#This Row],[channel]],Table1[prepayment_flag],1)/COUNTIF(Table1[channel],Table1[[#This Row],[channel]])</f>
        <v>5.8201058201058198E-2</v>
      </c>
      <c r="AF321" s="2">
        <f>AVERAGEIFS(Table1[interest_rate_pct],Table1[product],Table1[[#This Row],[product]],Table1[risk_band],Table1[[#This Row],[risk_band]])</f>
        <v>15.841379310344831</v>
      </c>
      <c r="AG321" s="2" t="str" cm="1">
        <f t="array" ref="AG321">_xlfn.IFS(Table1[[#This Row],[dti_ratio]] &lt; 0.2, " less than 0.2", Table1[[#This Row],[dti_ratio]] &lt; 0.3, "0.2 - 0.3", Table1[[#This Row],[dti_ratio]] &lt;= 0.5, "0.35 - 0.5", Table1[[#This Row],[dti_ratio]] &gt; 0.5, "greater than 0.5")</f>
        <v>0.35 - 0.5</v>
      </c>
      <c r="AH321" s="2">
        <f>COUNTIF(Table1[DTI band],Table1[[#This Row],[DTI band]])</f>
        <v>260</v>
      </c>
      <c r="AI321" s="2" t="str" cm="1">
        <f t="array" ref="AI321">_xlfn.IFS(Table1[[#This Row],[ltv_ratio]] &lt; 0.6, "less than 0.6 -less risky", Table1[[#This Row],[ltv_ratio]]  &lt;= 0.8, "0.6 - 0.8 -medium risky",Table1[[#This Row],[ltv_ratio]] &gt; 0.8, "greater than 0.8 -highly risky")</f>
        <v>0.6 - 0.8 -medium risky</v>
      </c>
      <c r="AJ321" s="2">
        <f>COUNTIF(Table1[LTV band],Table1[[#This Row],[LTV band]])</f>
        <v>302</v>
      </c>
      <c r="AK321" s="2">
        <f>COUNTIFS(Table1[count_loan_perband],Table1[[#This Row],[count_loan_perband]],Table1[default_flag],1)/COUNTIF(Table1[count_loan_perband],Table1[[#This Row],[count_loan_perband]])</f>
        <v>3.6423841059602648E-2</v>
      </c>
      <c r="AL321" s="2" t="str" cm="1">
        <f t="array" ref="AL321">_xlfn.IFS(Table1[[#This Row],[loan_amount]] &lt; 900000, "lower size (&lt; 9L)", Table1[[#This Row],[loan_amount]] &lt;=3300000, "medium size (&lt;=33L)", Table1[[#This Row],[loan_amount]] &gt; 3300000, "larger size (&gt; 33L)")</f>
        <v>medium size (&lt;=33L)</v>
      </c>
      <c r="AM321" s="2">
        <f>IF(Table1[[#This Row],[dpd]] &gt;=30,1,0)</f>
        <v>0</v>
      </c>
      <c r="AN321" s="2">
        <f>COUNTIFS(Table1[Loan size],Table1[[#This Row],[Loan size]],Table1[dpd flag],1)/COUNTIF(Table1[Loan size],Table1[[#This Row],[Loan size]])</f>
        <v>0.15909090909090909</v>
      </c>
      <c r="AO321" s="2" t="str">
        <f>IF(OR(Table1[[#This Row],[credit_score]] &lt; 600, Table1[ [#This Row],[dti_ratio] ] &gt; 0.5, Table1[[#This Row],[dpd]] &gt;=30), "high risk", " not riskY")</f>
        <v xml:space="preserve"> not riskY</v>
      </c>
      <c r="AP321" s="26">
        <f>EOMONTH(Table1[[#This Row],[origination_date]],0)</f>
        <v>45169</v>
      </c>
      <c r="AQ321" s="2">
        <f>SUMIFS(Table1[loan_amount],Table1[origination month],Table1[[#This Row],[origination month]])</f>
        <v>38355800</v>
      </c>
      <c r="AR321" s="2">
        <f>AVERAGEIFS(Table1[months_on_book],Table1[product],Table1[[#This Row],[product]])</f>
        <v>19.091954022988507</v>
      </c>
      <c r="AS321" s="2" t="str">
        <f ca="1">IF(EDATE(Table1[[#This Row],[origination_date]],6) &gt;= TODAY(), "New Loan", "Old Loan")</f>
        <v>Old Loan</v>
      </c>
      <c r="AT321" s="2" t="str">
        <f>"Q"&amp;ROUNDUP(MONTH(Table1[[#This Row],[origination_date]])/3,0)&amp;YEAR(Table1[[#This Row],[origination_date]])</f>
        <v>Q32023</v>
      </c>
      <c r="AU321" s="2">
        <f>SUMIFS(Table1[loan_amount],Table1[quarter],Table1[[#This Row],[quarter]])</f>
        <v>77300600</v>
      </c>
      <c r="AV321" s="34" t="str">
        <f>_xlfn.TEXTJOIN("|",TRUE,Table1[[#This Row],[loan_id]:[loan_status]])</f>
        <v>L37136088|C9969938|45156|SME Loan|Branch|North|Self-Employed|240|2492700|16.45|35524|1299073|656|C|0.3|0.6|4132900|28|955081|1920332|0|0|0|Active</v>
      </c>
      <c r="AW321" s="42">
        <f>YEAR(Loan_Table[ [#This Row],[origination_date] ])</f>
        <v>2023</v>
      </c>
    </row>
    <row r="322" spans="2:49" ht="18" customHeight="1">
      <c r="B322" s="5" t="s">
        <v>764</v>
      </c>
      <c r="C322" s="2" t="s">
        <v>765</v>
      </c>
      <c r="D322" s="3">
        <v>45159</v>
      </c>
      <c r="E322" s="2" t="s">
        <v>163</v>
      </c>
      <c r="F322" s="2" t="s">
        <v>132</v>
      </c>
      <c r="G322" s="2" t="s">
        <v>133</v>
      </c>
      <c r="H322" s="2" t="s">
        <v>134</v>
      </c>
      <c r="I322" s="2">
        <v>60</v>
      </c>
      <c r="J322" s="2">
        <v>737000</v>
      </c>
      <c r="K322" s="2">
        <v>10.28</v>
      </c>
      <c r="L322" s="2">
        <v>15761</v>
      </c>
      <c r="M322" s="2">
        <v>825171</v>
      </c>
      <c r="N322" s="2">
        <v>716</v>
      </c>
      <c r="O322" s="2" t="s">
        <v>135</v>
      </c>
      <c r="P322" s="2">
        <v>0.28000000000000003</v>
      </c>
      <c r="Q322" s="2">
        <v>0.56000000000000005</v>
      </c>
      <c r="R322" s="2">
        <v>1307600</v>
      </c>
      <c r="S322" s="2">
        <v>28</v>
      </c>
      <c r="T322" s="2">
        <v>403097</v>
      </c>
      <c r="U322" s="2">
        <v>404616</v>
      </c>
      <c r="V322" s="2">
        <v>0</v>
      </c>
      <c r="W322" s="2">
        <v>0</v>
      </c>
      <c r="X322" s="2">
        <v>0</v>
      </c>
      <c r="Y322" s="2" t="s">
        <v>148</v>
      </c>
      <c r="Z322" s="12">
        <f>SUMIF(Table1[product],Table1[[#This Row],[product]],Table1[loan_amount])</f>
        <v>92273000</v>
      </c>
      <c r="AA322" s="15">
        <f>SUMIF(Table1[region],Table1[[#This Row],[region]],Table1[current_balance])</f>
        <v>94548000</v>
      </c>
      <c r="AB322" s="2">
        <f>COUNTIF(Table1[loan_status],Table1[[#This Row],[loan_status]])</f>
        <v>301</v>
      </c>
      <c r="AC322" s="2">
        <f>COUNTIF(Table1[default_flag],1)/ROWS(Table1[loan_id])</f>
        <v>2.5999999999999999E-2</v>
      </c>
      <c r="AD322" s="2">
        <f>COUNTIFS(Table1[region],Table1[[#This Row],[region]],Table1[default_flag],1)/COUNTIF(Table1[region],Table1[[#This Row],[region]])</f>
        <v>0</v>
      </c>
      <c r="AE322" s="2">
        <f>COUNTIFS(Table1[channel],Table1[[#This Row],[channel]],Table1[prepayment_flag],1)/COUNTIF(Table1[channel],Table1[[#This Row],[channel]])</f>
        <v>7.1090047393364927E-2</v>
      </c>
      <c r="AF322" s="2">
        <f>AVERAGEIFS(Table1[interest_rate_pct],Table1[product],Table1[[#This Row],[product]],Table1[risk_band],Table1[[#This Row],[risk_band]])</f>
        <v>10.611923076923079</v>
      </c>
      <c r="AG322" s="2" t="str" cm="1">
        <f t="array" ref="AG322">_xlfn.IFS(Table1[[#This Row],[dti_ratio]] &lt; 0.2, " less than 0.2", Table1[[#This Row],[dti_ratio]] &lt; 0.3, "0.2 - 0.3", Table1[[#This Row],[dti_ratio]] &lt;= 0.5, "0.35 - 0.5", Table1[[#This Row],[dti_ratio]] &gt; 0.5, "greater than 0.5")</f>
        <v>0.2 - 0.3</v>
      </c>
      <c r="AH322" s="2">
        <f>COUNTIF(Table1[DTI band],Table1[[#This Row],[DTI band]])</f>
        <v>122</v>
      </c>
      <c r="AI322" s="2" t="str" cm="1">
        <f t="array" ref="AI322">_xlfn.IFS(Table1[[#This Row],[ltv_ratio]] &lt; 0.6, "less than 0.6 -less risky", Table1[[#This Row],[ltv_ratio]]  &lt;= 0.8, "0.6 - 0.8 -medium risky",Table1[[#This Row],[ltv_ratio]] &gt; 0.8, "greater than 0.8 -highly risky")</f>
        <v>less than 0.6 -less risky</v>
      </c>
      <c r="AJ322" s="2">
        <f>COUNTIF(Table1[LTV band],Table1[[#This Row],[LTV band]])</f>
        <v>57</v>
      </c>
      <c r="AK322" s="2">
        <f>COUNTIFS(Table1[count_loan_perband],Table1[[#This Row],[count_loan_perband]],Table1[default_flag],1)/COUNTIF(Table1[count_loan_perband],Table1[[#This Row],[count_loan_perband]])</f>
        <v>0</v>
      </c>
      <c r="AL322" s="2" t="str" cm="1">
        <f t="array" ref="AL322">_xlfn.IFS(Table1[[#This Row],[loan_amount]] &lt; 900000, "lower size (&lt; 9L)", Table1[[#This Row],[loan_amount]] &lt;=3300000, "medium size (&lt;=33L)", Table1[[#This Row],[loan_amount]] &gt; 3300000, "larger size (&gt; 33L)")</f>
        <v>lower size (&lt; 9L)</v>
      </c>
      <c r="AM322" s="2">
        <f>IF(Table1[[#This Row],[dpd]] &gt;=30,1,0)</f>
        <v>0</v>
      </c>
      <c r="AN322" s="2">
        <f>COUNTIFS(Table1[Loan size],Table1[[#This Row],[Loan size]],Table1[dpd flag],1)/COUNTIF(Table1[Loan size],Table1[[#This Row],[Loan size]])</f>
        <v>0.13934426229508196</v>
      </c>
      <c r="AO322" s="2" t="str">
        <f>IF(OR(Table1[[#This Row],[credit_score]] &lt; 600, Table1[ [#This Row],[dti_ratio] ] &gt; 0.5, Table1[[#This Row],[dpd]] &gt;=30), "high risk", " not riskY")</f>
        <v xml:space="preserve"> not riskY</v>
      </c>
      <c r="AP322" s="26">
        <f>EOMONTH(Table1[[#This Row],[origination_date]],0)</f>
        <v>45169</v>
      </c>
      <c r="AQ322" s="2">
        <f>SUMIFS(Table1[loan_amount],Table1[origination month],Table1[[#This Row],[origination month]])</f>
        <v>38355800</v>
      </c>
      <c r="AR322" s="2">
        <f>AVERAGEIFS(Table1[months_on_book],Table1[product],Table1[[#This Row],[product]])</f>
        <v>20.262135922330096</v>
      </c>
      <c r="AS322" s="2" t="str">
        <f ca="1">IF(EDATE(Table1[[#This Row],[origination_date]],6) &gt;= TODAY(), "New Loan", "Old Loan")</f>
        <v>Old Loan</v>
      </c>
      <c r="AT322" s="2" t="str">
        <f>"Q"&amp;ROUNDUP(MONTH(Table1[[#This Row],[origination_date]])/3,0)&amp;YEAR(Table1[[#This Row],[origination_date]])</f>
        <v>Q32023</v>
      </c>
      <c r="AU322" s="2">
        <f>SUMIFS(Table1[loan_amount],Table1[quarter],Table1[[#This Row],[quarter]])</f>
        <v>77300600</v>
      </c>
      <c r="AV322" s="34" t="str">
        <f>_xlfn.TEXTJOIN("|",TRUE,Table1[[#This Row],[loan_id]:[loan_status]])</f>
        <v>L30421841|C9041928|45159|Auto Loan|Online|South|Salaried|60|737000|10.28|15761|825171|716|B|0.28|0.56|1307600|28|403097|404616|0|0|0|Active</v>
      </c>
      <c r="AW322" s="42">
        <f>YEAR(Loan_Table[ [#This Row],[origination_date] ])</f>
        <v>2023</v>
      </c>
    </row>
    <row r="323" spans="2:49" ht="18" customHeight="1">
      <c r="B323" s="5" t="s">
        <v>766</v>
      </c>
      <c r="C323" s="2" t="s">
        <v>767</v>
      </c>
      <c r="D323" s="3">
        <v>45123</v>
      </c>
      <c r="E323" s="2" t="s">
        <v>177</v>
      </c>
      <c r="F323" s="2" t="s">
        <v>132</v>
      </c>
      <c r="G323" s="2" t="s">
        <v>139</v>
      </c>
      <c r="H323" s="2" t="s">
        <v>152</v>
      </c>
      <c r="I323" s="2">
        <v>120</v>
      </c>
      <c r="J323" s="2">
        <v>1038600</v>
      </c>
      <c r="K323" s="2">
        <v>12.43</v>
      </c>
      <c r="L323" s="2">
        <v>15160</v>
      </c>
      <c r="M323" s="2">
        <v>332326</v>
      </c>
      <c r="N323" s="2">
        <v>684</v>
      </c>
      <c r="O323" s="2" t="s">
        <v>140</v>
      </c>
      <c r="P323" s="2">
        <v>0.28000000000000003</v>
      </c>
      <c r="Q323" s="2">
        <v>0.74</v>
      </c>
      <c r="R323" s="2">
        <v>0</v>
      </c>
      <c r="S323" s="2">
        <v>29</v>
      </c>
      <c r="T323" s="2">
        <v>403531</v>
      </c>
      <c r="U323" s="2">
        <v>759864</v>
      </c>
      <c r="V323" s="2">
        <v>45</v>
      </c>
      <c r="W323" s="2">
        <v>0</v>
      </c>
      <c r="X323" s="2">
        <v>0</v>
      </c>
      <c r="Y323" s="2" t="s">
        <v>136</v>
      </c>
      <c r="Z323" s="12">
        <f>SUMIF(Table1[product],Table1[[#This Row],[product]],Table1[loan_amount])</f>
        <v>62765800</v>
      </c>
      <c r="AA323" s="15">
        <f>SUMIF(Table1[region],Table1[[#This Row],[region]],Table1[current_balance])</f>
        <v>83903255</v>
      </c>
      <c r="AB323" s="2">
        <f>COUNTIF(Table1[loan_status],Table1[[#This Row],[loan_status]])</f>
        <v>47</v>
      </c>
      <c r="AC323" s="2">
        <f>COUNTIF(Table1[default_flag],1)/ROWS(Table1[loan_id])</f>
        <v>2.5999999999999999E-2</v>
      </c>
      <c r="AD323" s="2">
        <f>COUNTIFS(Table1[region],Table1[[#This Row],[region]],Table1[default_flag],1)/COUNTIF(Table1[region],Table1[[#This Row],[region]])</f>
        <v>4.2553191489361701E-2</v>
      </c>
      <c r="AE323" s="2">
        <f>COUNTIFS(Table1[channel],Table1[[#This Row],[channel]],Table1[prepayment_flag],1)/COUNTIF(Table1[channel],Table1[[#This Row],[channel]])</f>
        <v>7.1090047393364927E-2</v>
      </c>
      <c r="AF323" s="2">
        <f>AVERAGEIFS(Table1[interest_rate_pct],Table1[product],Table1[[#This Row],[product]],Table1[risk_band],Table1[[#This Row],[risk_band]])</f>
        <v>13.463888888888889</v>
      </c>
      <c r="AG323" s="2" t="str" cm="1">
        <f t="array" ref="AG323">_xlfn.IFS(Table1[[#This Row],[dti_ratio]] &lt; 0.2, " less than 0.2", Table1[[#This Row],[dti_ratio]] &lt; 0.3, "0.2 - 0.3", Table1[[#This Row],[dti_ratio]] &lt;= 0.5, "0.35 - 0.5", Table1[[#This Row],[dti_ratio]] &gt; 0.5, "greater than 0.5")</f>
        <v>0.2 - 0.3</v>
      </c>
      <c r="AH323" s="2">
        <f>COUNTIF(Table1[DTI band],Table1[[#This Row],[DTI band]])</f>
        <v>122</v>
      </c>
      <c r="AI323" s="2" t="str" cm="1">
        <f t="array" ref="AI323">_xlfn.IFS(Table1[[#This Row],[ltv_ratio]] &lt; 0.6, "less than 0.6 -less risky", Table1[[#This Row],[ltv_ratio]]  &lt;= 0.8, "0.6 - 0.8 -medium risky",Table1[[#This Row],[ltv_ratio]] &gt; 0.8, "greater than 0.8 -highly risky")</f>
        <v>0.6 - 0.8 -medium risky</v>
      </c>
      <c r="AJ323" s="2">
        <f>COUNTIF(Table1[LTV band],Table1[[#This Row],[LTV band]])</f>
        <v>302</v>
      </c>
      <c r="AK323" s="2">
        <f>COUNTIFS(Table1[count_loan_perband],Table1[[#This Row],[count_loan_perband]],Table1[default_flag],1)/COUNTIF(Table1[count_loan_perband],Table1[[#This Row],[count_loan_perband]])</f>
        <v>3.6423841059602648E-2</v>
      </c>
      <c r="AL323" s="2" t="str" cm="1">
        <f t="array" ref="AL323">_xlfn.IFS(Table1[[#This Row],[loan_amount]] &lt; 900000, "lower size (&lt; 9L)", Table1[[#This Row],[loan_amount]] &lt;=3300000, "medium size (&lt;=33L)", Table1[[#This Row],[loan_amount]] &gt; 3300000, "larger size (&gt; 33L)")</f>
        <v>medium size (&lt;=33L)</v>
      </c>
      <c r="AM323" s="2">
        <f>IF(Table1[[#This Row],[dpd]] &gt;=30,1,0)</f>
        <v>1</v>
      </c>
      <c r="AN323" s="2">
        <f>COUNTIFS(Table1[Loan size],Table1[[#This Row],[Loan size]],Table1[dpd flag],1)/COUNTIF(Table1[Loan size],Table1[[#This Row],[Loan size]])</f>
        <v>0.15909090909090909</v>
      </c>
      <c r="AO323" s="2" t="str">
        <f>IF(OR(Table1[[#This Row],[credit_score]] &lt; 600, Table1[ [#This Row],[dti_ratio] ] &gt; 0.5, Table1[[#This Row],[dpd]] &gt;=30), "high risk", " not riskY")</f>
        <v>high risk</v>
      </c>
      <c r="AP323" s="26">
        <f>EOMONTH(Table1[[#This Row],[origination_date]],0)</f>
        <v>45138</v>
      </c>
      <c r="AQ323" s="2">
        <f>SUMIFS(Table1[loan_amount],Table1[origination month],Table1[[#This Row],[origination month]])</f>
        <v>25129700</v>
      </c>
      <c r="AR323" s="2">
        <f>AVERAGEIFS(Table1[months_on_book],Table1[product],Table1[[#This Row],[product]])</f>
        <v>21.962962962962962</v>
      </c>
      <c r="AS323" s="2" t="str">
        <f ca="1">IF(EDATE(Table1[[#This Row],[origination_date]],6) &gt;= TODAY(), "New Loan", "Old Loan")</f>
        <v>Old Loan</v>
      </c>
      <c r="AT323" s="2" t="str">
        <f>"Q"&amp;ROUNDUP(MONTH(Table1[[#This Row],[origination_date]])/3,0)&amp;YEAR(Table1[[#This Row],[origination_date]])</f>
        <v>Q32023</v>
      </c>
      <c r="AU323" s="2">
        <f>SUMIFS(Table1[loan_amount],Table1[quarter],Table1[[#This Row],[quarter]])</f>
        <v>77300600</v>
      </c>
      <c r="AV323" s="34" t="str">
        <f>_xlfn.TEXTJOIN("|",TRUE,Table1[[#This Row],[loan_id]:[loan_status]])</f>
        <v>L85752268|C9816136|45123|Education Loan|Online|West|Self-Employed|120|1038600|12.43|15160|332326|684|C|0.28|0.74|0|29|403531|759864|45|0|0|Delinquent</v>
      </c>
      <c r="AW323" s="42">
        <f>YEAR(Loan_Table[ [#This Row],[origination_date] ])</f>
        <v>2024</v>
      </c>
    </row>
    <row r="324" spans="2:49" ht="18" customHeight="1">
      <c r="B324" s="5" t="s">
        <v>768</v>
      </c>
      <c r="C324" s="2" t="s">
        <v>769</v>
      </c>
      <c r="D324" s="3">
        <v>45135</v>
      </c>
      <c r="E324" s="2" t="s">
        <v>131</v>
      </c>
      <c r="F324" s="2" t="s">
        <v>144</v>
      </c>
      <c r="G324" s="2" t="s">
        <v>170</v>
      </c>
      <c r="H324" s="2" t="s">
        <v>134</v>
      </c>
      <c r="I324" s="2">
        <v>24</v>
      </c>
      <c r="J324" s="2">
        <v>595300</v>
      </c>
      <c r="K324" s="2">
        <v>17.23</v>
      </c>
      <c r="L324" s="2">
        <v>29499</v>
      </c>
      <c r="M324" s="2">
        <v>1306032</v>
      </c>
      <c r="N324" s="2">
        <v>712</v>
      </c>
      <c r="O324" s="2" t="s">
        <v>135</v>
      </c>
      <c r="P324" s="2">
        <v>0.28000000000000003</v>
      </c>
      <c r="Q324" s="2">
        <v>0.74</v>
      </c>
      <c r="R324" s="2">
        <v>0</v>
      </c>
      <c r="S324" s="2">
        <v>24</v>
      </c>
      <c r="T324" s="2">
        <v>668854</v>
      </c>
      <c r="U324" s="2">
        <v>8502</v>
      </c>
      <c r="V324" s="2">
        <v>0</v>
      </c>
      <c r="W324" s="2">
        <v>0</v>
      </c>
      <c r="X324" s="2">
        <v>0</v>
      </c>
      <c r="Y324" s="2" t="s">
        <v>141</v>
      </c>
      <c r="Z324" s="12">
        <f>SUMIF(Table1[product],Table1[[#This Row],[product]],Table1[loan_amount])</f>
        <v>74897600</v>
      </c>
      <c r="AA324" s="15">
        <f>SUMIF(Table1[region],Table1[[#This Row],[region]],Table1[current_balance])</f>
        <v>83297251</v>
      </c>
      <c r="AB324" s="2">
        <f>COUNTIF(Table1[loan_status],Table1[[#This Row],[loan_status]])</f>
        <v>139</v>
      </c>
      <c r="AC324" s="2">
        <f>COUNTIF(Table1[default_flag],1)/ROWS(Table1[loan_id])</f>
        <v>2.5999999999999999E-2</v>
      </c>
      <c r="AD324" s="2">
        <f>COUNTIFS(Table1[region],Table1[[#This Row],[region]],Table1[default_flag],1)/COUNTIF(Table1[region],Table1[[#This Row],[region]])</f>
        <v>3.1914893617021274E-2</v>
      </c>
      <c r="AE324" s="2">
        <f>COUNTIFS(Table1[channel],Table1[[#This Row],[channel]],Table1[prepayment_flag],1)/COUNTIF(Table1[channel],Table1[[#This Row],[channel]])</f>
        <v>5.8201058201058198E-2</v>
      </c>
      <c r="AF324" s="2">
        <f>AVERAGEIFS(Table1[interest_rate_pct],Table1[product],Table1[[#This Row],[product]],Table1[risk_band],Table1[[#This Row],[risk_band]])</f>
        <v>16.500166666666669</v>
      </c>
      <c r="AG324" s="2" t="str" cm="1">
        <f t="array" ref="AG324">_xlfn.IFS(Table1[[#This Row],[dti_ratio]] &lt; 0.2, " less than 0.2", Table1[[#This Row],[dti_ratio]] &lt; 0.3, "0.2 - 0.3", Table1[[#This Row],[dti_ratio]] &lt;= 0.5, "0.35 - 0.5", Table1[[#This Row],[dti_ratio]] &gt; 0.5, "greater than 0.5")</f>
        <v>0.2 - 0.3</v>
      </c>
      <c r="AH324" s="2">
        <f>COUNTIF(Table1[DTI band],Table1[[#This Row],[DTI band]])</f>
        <v>122</v>
      </c>
      <c r="AI324" s="2" t="str" cm="1">
        <f t="array" ref="AI324">_xlfn.IFS(Table1[[#This Row],[ltv_ratio]] &lt; 0.6, "less than 0.6 -less risky", Table1[[#This Row],[ltv_ratio]]  &lt;= 0.8, "0.6 - 0.8 -medium risky",Table1[[#This Row],[ltv_ratio]] &gt; 0.8, "greater than 0.8 -highly risky")</f>
        <v>0.6 - 0.8 -medium risky</v>
      </c>
      <c r="AJ324" s="2">
        <f>COUNTIF(Table1[LTV band],Table1[[#This Row],[LTV band]])</f>
        <v>302</v>
      </c>
      <c r="AK324" s="2">
        <f>COUNTIFS(Table1[count_loan_perband],Table1[[#This Row],[count_loan_perband]],Table1[default_flag],1)/COUNTIF(Table1[count_loan_perband],Table1[[#This Row],[count_loan_perband]])</f>
        <v>3.6423841059602648E-2</v>
      </c>
      <c r="AL324" s="2" t="str" cm="1">
        <f t="array" ref="AL324">_xlfn.IFS(Table1[[#This Row],[loan_amount]] &lt; 900000, "lower size (&lt; 9L)", Table1[[#This Row],[loan_amount]] &lt;=3300000, "medium size (&lt;=33L)", Table1[[#This Row],[loan_amount]] &gt; 3300000, "larger size (&gt; 33L)")</f>
        <v>lower size (&lt; 9L)</v>
      </c>
      <c r="AM324" s="2">
        <f>IF(Table1[[#This Row],[dpd]] &gt;=30,1,0)</f>
        <v>0</v>
      </c>
      <c r="AN324" s="2">
        <f>COUNTIFS(Table1[Loan size],Table1[[#This Row],[Loan size]],Table1[dpd flag],1)/COUNTIF(Table1[Loan size],Table1[[#This Row],[Loan size]])</f>
        <v>0.13934426229508196</v>
      </c>
      <c r="AO324" s="2" t="str">
        <f>IF(OR(Table1[[#This Row],[credit_score]] &lt; 600, Table1[ [#This Row],[dti_ratio] ] &gt; 0.5, Table1[[#This Row],[dpd]] &gt;=30), "high risk", " not riskY")</f>
        <v xml:space="preserve"> not riskY</v>
      </c>
      <c r="AP324" s="26">
        <f>EOMONTH(Table1[[#This Row],[origination_date]],0)</f>
        <v>45138</v>
      </c>
      <c r="AQ324" s="2">
        <f>SUMIFS(Table1[loan_amount],Table1[origination month],Table1[[#This Row],[origination month]])</f>
        <v>25129700</v>
      </c>
      <c r="AR324" s="2">
        <f>AVERAGEIFS(Table1[months_on_book],Table1[product],Table1[[#This Row],[product]])</f>
        <v>21.092024539877301</v>
      </c>
      <c r="AS324" s="2" t="str">
        <f ca="1">IF(EDATE(Table1[[#This Row],[origination_date]],6) &gt;= TODAY(), "New Loan", "Old Loan")</f>
        <v>Old Loan</v>
      </c>
      <c r="AT324" s="2" t="str">
        <f>"Q"&amp;ROUNDUP(MONTH(Table1[[#This Row],[origination_date]])/3,0)&amp;YEAR(Table1[[#This Row],[origination_date]])</f>
        <v>Q32023</v>
      </c>
      <c r="AU324" s="2">
        <f>SUMIFS(Table1[loan_amount],Table1[quarter],Table1[[#This Row],[quarter]])</f>
        <v>77300600</v>
      </c>
      <c r="AV324" s="34" t="str">
        <f>_xlfn.TEXTJOIN("|",TRUE,Table1[[#This Row],[loan_id]:[loan_status]])</f>
        <v>L42731042|C3717346|45135|Personal Loan|Branch|East|Salaried|24|595300|17.23|29499|1306032|712|B|0.28|0.74|0|24|668854|8502|0|0|0|Closed</v>
      </c>
      <c r="AW324" s="42">
        <f>YEAR(Loan_Table[ [#This Row],[origination_date] ])</f>
        <v>2024</v>
      </c>
    </row>
    <row r="325" spans="2:49" ht="18" customHeight="1">
      <c r="B325" s="5" t="s">
        <v>770</v>
      </c>
      <c r="C325" s="2" t="s">
        <v>771</v>
      </c>
      <c r="D325" s="3">
        <v>45125</v>
      </c>
      <c r="E325" s="2" t="s">
        <v>131</v>
      </c>
      <c r="F325" s="2" t="s">
        <v>144</v>
      </c>
      <c r="G325" s="2" t="s">
        <v>151</v>
      </c>
      <c r="H325" s="2" t="s">
        <v>134</v>
      </c>
      <c r="I325" s="2">
        <v>240</v>
      </c>
      <c r="J325" s="2">
        <v>141100</v>
      </c>
      <c r="K325" s="2">
        <v>18.25</v>
      </c>
      <c r="L325" s="2">
        <v>2205</v>
      </c>
      <c r="M325" s="2">
        <v>978501</v>
      </c>
      <c r="N325" s="2">
        <v>683</v>
      </c>
      <c r="O325" s="2" t="s">
        <v>140</v>
      </c>
      <c r="P325" s="2">
        <v>0.28000000000000003</v>
      </c>
      <c r="Q325" s="2">
        <v>0.84</v>
      </c>
      <c r="R325" s="2">
        <v>0</v>
      </c>
      <c r="S325" s="2">
        <v>29</v>
      </c>
      <c r="T325" s="2">
        <v>63483</v>
      </c>
      <c r="U325" s="2">
        <v>102509</v>
      </c>
      <c r="V325" s="2">
        <v>5</v>
      </c>
      <c r="W325" s="2">
        <v>0</v>
      </c>
      <c r="X325" s="2">
        <v>0</v>
      </c>
      <c r="Y325" s="2" t="s">
        <v>148</v>
      </c>
      <c r="Z325" s="12">
        <f>SUMIF(Table1[product],Table1[[#This Row],[product]],Table1[loan_amount])</f>
        <v>74897600</v>
      </c>
      <c r="AA325" s="15">
        <f>SUMIF(Table1[region],Table1[[#This Row],[region]],Table1[current_balance])</f>
        <v>105779369</v>
      </c>
      <c r="AB325" s="2">
        <f>COUNTIF(Table1[loan_status],Table1[[#This Row],[loan_status]])</f>
        <v>301</v>
      </c>
      <c r="AC325" s="2">
        <f>COUNTIF(Table1[default_flag],1)/ROWS(Table1[loan_id])</f>
        <v>2.5999999999999999E-2</v>
      </c>
      <c r="AD325" s="2">
        <f>COUNTIFS(Table1[region],Table1[[#This Row],[region]],Table1[default_flag],1)/COUNTIF(Table1[region],Table1[[#This Row],[region]])</f>
        <v>2.6548672566371681E-2</v>
      </c>
      <c r="AE325" s="2">
        <f>COUNTIFS(Table1[channel],Table1[[#This Row],[channel]],Table1[prepayment_flag],1)/COUNTIF(Table1[channel],Table1[[#This Row],[channel]])</f>
        <v>5.8201058201058198E-2</v>
      </c>
      <c r="AF325" s="2">
        <f>AVERAGEIFS(Table1[interest_rate_pct],Table1[product],Table1[[#This Row],[product]],Table1[risk_band],Table1[[#This Row],[risk_band]])</f>
        <v>18.603181818181817</v>
      </c>
      <c r="AG325" s="2" t="str" cm="1">
        <f t="array" ref="AG325">_xlfn.IFS(Table1[[#This Row],[dti_ratio]] &lt; 0.2, " less than 0.2", Table1[[#This Row],[dti_ratio]] &lt; 0.3, "0.2 - 0.3", Table1[[#This Row],[dti_ratio]] &lt;= 0.5, "0.35 - 0.5", Table1[[#This Row],[dti_ratio]] &gt; 0.5, "greater than 0.5")</f>
        <v>0.2 - 0.3</v>
      </c>
      <c r="AH325" s="2">
        <f>COUNTIF(Table1[DTI band],Table1[[#This Row],[DTI band]])</f>
        <v>122</v>
      </c>
      <c r="AI325" s="2" t="str" cm="1">
        <f t="array" ref="AI325">_xlfn.IFS(Table1[[#This Row],[ltv_ratio]] &lt; 0.6, "less than 0.6 -less risky", Table1[[#This Row],[ltv_ratio]]  &lt;= 0.8, "0.6 - 0.8 -medium risky",Table1[[#This Row],[ltv_ratio]] &gt; 0.8, "greater than 0.8 -highly risky")</f>
        <v>greater than 0.8 -highly risky</v>
      </c>
      <c r="AJ325" s="2">
        <f>COUNTIF(Table1[LTV band],Table1[[#This Row],[LTV band]])</f>
        <v>141</v>
      </c>
      <c r="AK325" s="2">
        <f>COUNTIFS(Table1[count_loan_perband],Table1[[#This Row],[count_loan_perband]],Table1[default_flag],1)/COUNTIF(Table1[count_loan_perband],Table1[[#This Row],[count_loan_perband]])</f>
        <v>1.4184397163120567E-2</v>
      </c>
      <c r="AL325" s="2" t="str" cm="1">
        <f t="array" ref="AL325">_xlfn.IFS(Table1[[#This Row],[loan_amount]] &lt; 900000, "lower size (&lt; 9L)", Table1[[#This Row],[loan_amount]] &lt;=3300000, "medium size (&lt;=33L)", Table1[[#This Row],[loan_amount]] &gt; 3300000, "larger size (&gt; 33L)")</f>
        <v>lower size (&lt; 9L)</v>
      </c>
      <c r="AM325" s="2">
        <f>IF(Table1[[#This Row],[dpd]] &gt;=30,1,0)</f>
        <v>0</v>
      </c>
      <c r="AN325" s="2">
        <f>COUNTIFS(Table1[Loan size],Table1[[#This Row],[Loan size]],Table1[dpd flag],1)/COUNTIF(Table1[Loan size],Table1[[#This Row],[Loan size]])</f>
        <v>0.13934426229508196</v>
      </c>
      <c r="AO325" s="2" t="str">
        <f>IF(OR(Table1[[#This Row],[credit_score]] &lt; 600, Table1[ [#This Row],[dti_ratio] ] &gt; 0.5, Table1[[#This Row],[dpd]] &gt;=30), "high risk", " not riskY")</f>
        <v xml:space="preserve"> not riskY</v>
      </c>
      <c r="AP325" s="26">
        <f>EOMONTH(Table1[[#This Row],[origination_date]],0)</f>
        <v>45138</v>
      </c>
      <c r="AQ325" s="2">
        <f>SUMIFS(Table1[loan_amount],Table1[origination month],Table1[[#This Row],[origination month]])</f>
        <v>25129700</v>
      </c>
      <c r="AR325" s="2">
        <f>AVERAGEIFS(Table1[months_on_book],Table1[product],Table1[[#This Row],[product]])</f>
        <v>21.092024539877301</v>
      </c>
      <c r="AS325" s="2" t="str">
        <f ca="1">IF(EDATE(Table1[[#This Row],[origination_date]],6) &gt;= TODAY(), "New Loan", "Old Loan")</f>
        <v>Old Loan</v>
      </c>
      <c r="AT325" s="2" t="str">
        <f>"Q"&amp;ROUNDUP(MONTH(Table1[[#This Row],[origination_date]])/3,0)&amp;YEAR(Table1[[#This Row],[origination_date]])</f>
        <v>Q32023</v>
      </c>
      <c r="AU325" s="2">
        <f>SUMIFS(Table1[loan_amount],Table1[quarter],Table1[[#This Row],[quarter]])</f>
        <v>77300600</v>
      </c>
      <c r="AV325" s="34" t="str">
        <f>_xlfn.TEXTJOIN("|",TRUE,Table1[[#This Row],[loan_id]:[loan_status]])</f>
        <v>L11605310|C6152121|45125|Personal Loan|Branch|North|Salaried|240|141100|18.25|2205|978501|683|C|0.28|0.84|0|29|63483|102509|5|0|0|Active</v>
      </c>
      <c r="AW325" s="42">
        <f>YEAR(Loan_Table[ [#This Row],[origination_date] ])</f>
        <v>2024</v>
      </c>
    </row>
    <row r="326" spans="2:49" ht="18" customHeight="1">
      <c r="B326" s="5" t="s">
        <v>772</v>
      </c>
      <c r="C326" s="2" t="s">
        <v>773</v>
      </c>
      <c r="D326" s="3">
        <v>45178</v>
      </c>
      <c r="E326" s="2" t="s">
        <v>163</v>
      </c>
      <c r="F326" s="2" t="s">
        <v>132</v>
      </c>
      <c r="G326" s="2" t="s">
        <v>133</v>
      </c>
      <c r="H326" s="2" t="s">
        <v>134</v>
      </c>
      <c r="I326" s="2">
        <v>48</v>
      </c>
      <c r="J326" s="2">
        <v>1464700</v>
      </c>
      <c r="K326" s="2">
        <v>7</v>
      </c>
      <c r="L326" s="2">
        <v>35074</v>
      </c>
      <c r="M326" s="2">
        <v>1333259</v>
      </c>
      <c r="N326" s="2">
        <v>776</v>
      </c>
      <c r="O326" s="2" t="s">
        <v>160</v>
      </c>
      <c r="P326" s="2">
        <v>0.27</v>
      </c>
      <c r="Q326" s="2">
        <v>0.81</v>
      </c>
      <c r="R326" s="2">
        <v>1804800</v>
      </c>
      <c r="S326" s="2">
        <v>27</v>
      </c>
      <c r="T326" s="2">
        <v>886234</v>
      </c>
      <c r="U326" s="2">
        <v>670742</v>
      </c>
      <c r="V326" s="2">
        <v>0</v>
      </c>
      <c r="W326" s="2">
        <v>1</v>
      </c>
      <c r="X326" s="2">
        <v>0</v>
      </c>
      <c r="Y326" s="2" t="s">
        <v>141</v>
      </c>
      <c r="Z326" s="12">
        <f>SUMIF(Table1[product],Table1[[#This Row],[product]],Table1[loan_amount])</f>
        <v>92273000</v>
      </c>
      <c r="AA326" s="15">
        <f>SUMIF(Table1[region],Table1[[#This Row],[region]],Table1[current_balance])</f>
        <v>94548000</v>
      </c>
      <c r="AB326" s="2">
        <f>COUNTIF(Table1[loan_status],Table1[[#This Row],[loan_status]])</f>
        <v>139</v>
      </c>
      <c r="AC326" s="2">
        <f>COUNTIF(Table1[default_flag],1)/ROWS(Table1[loan_id])</f>
        <v>2.5999999999999999E-2</v>
      </c>
      <c r="AD326" s="2">
        <f>COUNTIFS(Table1[region],Table1[[#This Row],[region]],Table1[default_flag],1)/COUNTIF(Table1[region],Table1[[#This Row],[region]])</f>
        <v>0</v>
      </c>
      <c r="AE326" s="2">
        <f>COUNTIFS(Table1[channel],Table1[[#This Row],[channel]],Table1[prepayment_flag],1)/COUNTIF(Table1[channel],Table1[[#This Row],[channel]])</f>
        <v>7.1090047393364927E-2</v>
      </c>
      <c r="AF326" s="2">
        <f>AVERAGEIFS(Table1[interest_rate_pct],Table1[product],Table1[[#This Row],[product]],Table1[risk_band],Table1[[#This Row],[risk_band]])</f>
        <v>7.9444999999999997</v>
      </c>
      <c r="AG326" s="2" t="str" cm="1">
        <f t="array" ref="AG326">_xlfn.IFS(Table1[[#This Row],[dti_ratio]] &lt; 0.2, " less than 0.2", Table1[[#This Row],[dti_ratio]] &lt; 0.3, "0.2 - 0.3", Table1[[#This Row],[dti_ratio]] &lt;= 0.5, "0.35 - 0.5", Table1[[#This Row],[dti_ratio]] &gt; 0.5, "greater than 0.5")</f>
        <v>0.2 - 0.3</v>
      </c>
      <c r="AH326" s="2">
        <f>COUNTIF(Table1[DTI band],Table1[[#This Row],[DTI band]])</f>
        <v>122</v>
      </c>
      <c r="AI326" s="2" t="str" cm="1">
        <f t="array" ref="AI326">_xlfn.IFS(Table1[[#This Row],[ltv_ratio]] &lt; 0.6, "less than 0.6 -less risky", Table1[[#This Row],[ltv_ratio]]  &lt;= 0.8, "0.6 - 0.8 -medium risky",Table1[[#This Row],[ltv_ratio]] &gt; 0.8, "greater than 0.8 -highly risky")</f>
        <v>greater than 0.8 -highly risky</v>
      </c>
      <c r="AJ326" s="2">
        <f>COUNTIF(Table1[LTV band],Table1[[#This Row],[LTV band]])</f>
        <v>141</v>
      </c>
      <c r="AK326" s="2">
        <f>COUNTIFS(Table1[count_loan_perband],Table1[[#This Row],[count_loan_perband]],Table1[default_flag],1)/COUNTIF(Table1[count_loan_perband],Table1[[#This Row],[count_loan_perband]])</f>
        <v>1.4184397163120567E-2</v>
      </c>
      <c r="AL326" s="2" t="str" cm="1">
        <f t="array" ref="AL326">_xlfn.IFS(Table1[[#This Row],[loan_amount]] &lt; 900000, "lower size (&lt; 9L)", Table1[[#This Row],[loan_amount]] &lt;=3300000, "medium size (&lt;=33L)", Table1[[#This Row],[loan_amount]] &gt; 3300000, "larger size (&gt; 33L)")</f>
        <v>medium size (&lt;=33L)</v>
      </c>
      <c r="AM326" s="2">
        <f>IF(Table1[[#This Row],[dpd]] &gt;=30,1,0)</f>
        <v>0</v>
      </c>
      <c r="AN326" s="2">
        <f>COUNTIFS(Table1[Loan size],Table1[[#This Row],[Loan size]],Table1[dpd flag],1)/COUNTIF(Table1[Loan size],Table1[[#This Row],[Loan size]])</f>
        <v>0.15909090909090909</v>
      </c>
      <c r="AO326" s="2" t="str">
        <f>IF(OR(Table1[[#This Row],[credit_score]] &lt; 600, Table1[ [#This Row],[dti_ratio] ] &gt; 0.5, Table1[[#This Row],[dpd]] &gt;=30), "high risk", " not riskY")</f>
        <v xml:space="preserve"> not riskY</v>
      </c>
      <c r="AP326" s="26">
        <f>EOMONTH(Table1[[#This Row],[origination_date]],0)</f>
        <v>45199</v>
      </c>
      <c r="AQ326" s="2">
        <f>SUMIFS(Table1[loan_amount],Table1[origination month],Table1[[#This Row],[origination month]])</f>
        <v>13815100</v>
      </c>
      <c r="AR326" s="2">
        <f>AVERAGEIFS(Table1[months_on_book],Table1[product],Table1[[#This Row],[product]])</f>
        <v>20.262135922330096</v>
      </c>
      <c r="AS326" s="2" t="str">
        <f ca="1">IF(EDATE(Table1[[#This Row],[origination_date]],6) &gt;= TODAY(), "New Loan", "Old Loan")</f>
        <v>Old Loan</v>
      </c>
      <c r="AT326" s="2" t="str">
        <f>"Q"&amp;ROUNDUP(MONTH(Table1[[#This Row],[origination_date]])/3,0)&amp;YEAR(Table1[[#This Row],[origination_date]])</f>
        <v>Q32023</v>
      </c>
      <c r="AU326" s="2">
        <f>SUMIFS(Table1[loan_amount],Table1[quarter],Table1[[#This Row],[quarter]])</f>
        <v>77300600</v>
      </c>
      <c r="AV326" s="34" t="str">
        <f>_xlfn.TEXTJOIN("|",TRUE,Table1[[#This Row],[loan_id]:[loan_status]])</f>
        <v>L35324550|C2821208|45178|Auto Loan|Online|South|Salaried|48|1464700|7|35074|1333259|776|A|0.27|0.81|1804800|27|886234|670742|0|1|0|Closed</v>
      </c>
      <c r="AW326" s="42">
        <f>YEAR(Loan_Table[ [#This Row],[origination_date] ])</f>
        <v>2024</v>
      </c>
    </row>
    <row r="327" spans="2:49" ht="18" customHeight="1">
      <c r="B327" s="5" t="s">
        <v>774</v>
      </c>
      <c r="C327" s="2" t="s">
        <v>775</v>
      </c>
      <c r="D327" s="3">
        <v>45181</v>
      </c>
      <c r="E327" s="2" t="s">
        <v>158</v>
      </c>
      <c r="F327" s="2" t="s">
        <v>132</v>
      </c>
      <c r="G327" s="2" t="s">
        <v>145</v>
      </c>
      <c r="H327" s="2" t="s">
        <v>152</v>
      </c>
      <c r="I327" s="2">
        <v>36</v>
      </c>
      <c r="J327" s="2">
        <v>4052800</v>
      </c>
      <c r="K327" s="2">
        <v>16.79</v>
      </c>
      <c r="L327" s="2">
        <v>144070</v>
      </c>
      <c r="M327" s="2">
        <v>949580</v>
      </c>
      <c r="N327" s="2">
        <v>657</v>
      </c>
      <c r="O327" s="2" t="s">
        <v>140</v>
      </c>
      <c r="P327" s="2">
        <v>0.27</v>
      </c>
      <c r="Q327" s="2">
        <v>0.82</v>
      </c>
      <c r="R327" s="2">
        <v>4945900</v>
      </c>
      <c r="S327" s="2">
        <v>27</v>
      </c>
      <c r="T327" s="2">
        <v>3603405</v>
      </c>
      <c r="U327" s="2">
        <v>1061814</v>
      </c>
      <c r="V327" s="2">
        <v>0</v>
      </c>
      <c r="W327" s="2">
        <v>0</v>
      </c>
      <c r="X327" s="2">
        <v>0</v>
      </c>
      <c r="Y327" s="2" t="s">
        <v>148</v>
      </c>
      <c r="Z327" s="12">
        <f>SUMIF(Table1[product],Table1[[#This Row],[product]],Table1[loan_amount])</f>
        <v>201475100</v>
      </c>
      <c r="AA327" s="15">
        <f>SUMIF(Table1[region],Table1[[#This Row],[region]],Table1[current_balance])</f>
        <v>98928695</v>
      </c>
      <c r="AB327" s="2">
        <f>COUNTIF(Table1[loan_status],Table1[[#This Row],[loan_status]])</f>
        <v>301</v>
      </c>
      <c r="AC327" s="2">
        <f>COUNTIF(Table1[default_flag],1)/ROWS(Table1[loan_id])</f>
        <v>2.5999999999999999E-2</v>
      </c>
      <c r="AD327" s="2">
        <f>COUNTIFS(Table1[region],Table1[[#This Row],[region]],Table1[default_flag],1)/COUNTIF(Table1[region],Table1[[#This Row],[region]])</f>
        <v>2.8571428571428571E-2</v>
      </c>
      <c r="AE327" s="2">
        <f>COUNTIFS(Table1[channel],Table1[[#This Row],[channel]],Table1[prepayment_flag],1)/COUNTIF(Table1[channel],Table1[[#This Row],[channel]])</f>
        <v>7.1090047393364927E-2</v>
      </c>
      <c r="AF327" s="2">
        <f>AVERAGEIFS(Table1[interest_rate_pct],Table1[product],Table1[[#This Row],[product]],Table1[risk_band],Table1[[#This Row],[risk_band]])</f>
        <v>15.841379310344831</v>
      </c>
      <c r="AG327" s="2" t="str" cm="1">
        <f t="array" ref="AG327">_xlfn.IFS(Table1[[#This Row],[dti_ratio]] &lt; 0.2, " less than 0.2", Table1[[#This Row],[dti_ratio]] &lt; 0.3, "0.2 - 0.3", Table1[[#This Row],[dti_ratio]] &lt;= 0.5, "0.35 - 0.5", Table1[[#This Row],[dti_ratio]] &gt; 0.5, "greater than 0.5")</f>
        <v>0.2 - 0.3</v>
      </c>
      <c r="AH327" s="2">
        <f>COUNTIF(Table1[DTI band],Table1[[#This Row],[DTI band]])</f>
        <v>122</v>
      </c>
      <c r="AI327" s="2" t="str" cm="1">
        <f t="array" ref="AI327">_xlfn.IFS(Table1[[#This Row],[ltv_ratio]] &lt; 0.6, "less than 0.6 -less risky", Table1[[#This Row],[ltv_ratio]]  &lt;= 0.8, "0.6 - 0.8 -medium risky",Table1[[#This Row],[ltv_ratio]] &gt; 0.8, "greater than 0.8 -highly risky")</f>
        <v>greater than 0.8 -highly risky</v>
      </c>
      <c r="AJ327" s="2">
        <f>COUNTIF(Table1[LTV band],Table1[[#This Row],[LTV band]])</f>
        <v>141</v>
      </c>
      <c r="AK327" s="2">
        <f>COUNTIFS(Table1[count_loan_perband],Table1[[#This Row],[count_loan_perband]],Table1[default_flag],1)/COUNTIF(Table1[count_loan_perband],Table1[[#This Row],[count_loan_perband]])</f>
        <v>1.4184397163120567E-2</v>
      </c>
      <c r="AL327" s="2" t="str" cm="1">
        <f t="array" ref="AL327">_xlfn.IFS(Table1[[#This Row],[loan_amount]] &lt; 900000, "lower size (&lt; 9L)", Table1[[#This Row],[loan_amount]] &lt;=3300000, "medium size (&lt;=33L)", Table1[[#This Row],[loan_amount]] &gt; 3300000, "larger size (&gt; 33L)")</f>
        <v>larger size (&gt; 33L)</v>
      </c>
      <c r="AM327" s="2">
        <f>IF(Table1[[#This Row],[dpd]] &gt;=30,1,0)</f>
        <v>0</v>
      </c>
      <c r="AN327" s="2">
        <f>COUNTIFS(Table1[Loan size],Table1[[#This Row],[Loan size]],Table1[dpd flag],1)/COUNTIF(Table1[Loan size],Table1[[#This Row],[Loan size]])</f>
        <v>0.16250000000000001</v>
      </c>
      <c r="AO327" s="2" t="str">
        <f>IF(OR(Table1[[#This Row],[credit_score]] &lt; 600, Table1[ [#This Row],[dti_ratio] ] &gt; 0.5, Table1[[#This Row],[dpd]] &gt;=30), "high risk", " not riskY")</f>
        <v xml:space="preserve"> not riskY</v>
      </c>
      <c r="AP327" s="26">
        <f>EOMONTH(Table1[[#This Row],[origination_date]],0)</f>
        <v>45199</v>
      </c>
      <c r="AQ327" s="2">
        <f>SUMIFS(Table1[loan_amount],Table1[origination month],Table1[[#This Row],[origination month]])</f>
        <v>13815100</v>
      </c>
      <c r="AR327" s="2">
        <f>AVERAGEIFS(Table1[months_on_book],Table1[product],Table1[[#This Row],[product]])</f>
        <v>19.091954022988507</v>
      </c>
      <c r="AS327" s="2" t="str">
        <f ca="1">IF(EDATE(Table1[[#This Row],[origination_date]],6) &gt;= TODAY(), "New Loan", "Old Loan")</f>
        <v>Old Loan</v>
      </c>
      <c r="AT327" s="2" t="str">
        <f>"Q"&amp;ROUNDUP(MONTH(Table1[[#This Row],[origination_date]])/3,0)&amp;YEAR(Table1[[#This Row],[origination_date]])</f>
        <v>Q32023</v>
      </c>
      <c r="AU327" s="2">
        <f>SUMIFS(Table1[loan_amount],Table1[quarter],Table1[[#This Row],[quarter]])</f>
        <v>77300600</v>
      </c>
      <c r="AV327" s="34" t="str">
        <f>_xlfn.TEXTJOIN("|",TRUE,Table1[[#This Row],[loan_id]:[loan_status]])</f>
        <v>L53972564|C5267518|45181|SME Loan|Online|Central|Self-Employed|36|4052800|16.79|144070|949580|657|C|0.27|0.82|4945900|27|3603405|1061814|0|0|0|Active</v>
      </c>
      <c r="AW327" s="42">
        <f>YEAR(Loan_Table[ [#This Row],[origination_date] ])</f>
        <v>2024</v>
      </c>
    </row>
    <row r="328" spans="2:49" ht="18" customHeight="1">
      <c r="B328" s="5" t="s">
        <v>776</v>
      </c>
      <c r="C328" s="2" t="s">
        <v>777</v>
      </c>
      <c r="D328" s="3">
        <v>45172</v>
      </c>
      <c r="E328" s="2" t="s">
        <v>131</v>
      </c>
      <c r="F328" s="2" t="s">
        <v>132</v>
      </c>
      <c r="G328" s="2" t="s">
        <v>145</v>
      </c>
      <c r="H328" s="2" t="s">
        <v>134</v>
      </c>
      <c r="I328" s="2">
        <v>24</v>
      </c>
      <c r="J328" s="2">
        <v>77700</v>
      </c>
      <c r="K328" s="2">
        <v>17.2</v>
      </c>
      <c r="L328" s="2">
        <v>3849</v>
      </c>
      <c r="M328" s="2">
        <v>1006953</v>
      </c>
      <c r="N328" s="2">
        <v>705</v>
      </c>
      <c r="O328" s="2" t="s">
        <v>135</v>
      </c>
      <c r="P328" s="2">
        <v>0.26</v>
      </c>
      <c r="Q328" s="2">
        <v>0.99</v>
      </c>
      <c r="R328" s="2">
        <v>0</v>
      </c>
      <c r="S328" s="2">
        <v>24</v>
      </c>
      <c r="T328" s="2">
        <v>80522</v>
      </c>
      <c r="U328" s="2">
        <v>7870</v>
      </c>
      <c r="V328" s="2">
        <v>30</v>
      </c>
      <c r="W328" s="2">
        <v>0</v>
      </c>
      <c r="X328" s="2">
        <v>0</v>
      </c>
      <c r="Y328" s="2" t="s">
        <v>141</v>
      </c>
      <c r="Z328" s="12">
        <f>SUMIF(Table1[product],Table1[[#This Row],[product]],Table1[loan_amount])</f>
        <v>74897600</v>
      </c>
      <c r="AA328" s="15">
        <f>SUMIF(Table1[region],Table1[[#This Row],[region]],Table1[current_balance])</f>
        <v>98928695</v>
      </c>
      <c r="AB328" s="2">
        <f>COUNTIF(Table1[loan_status],Table1[[#This Row],[loan_status]])</f>
        <v>139</v>
      </c>
      <c r="AC328" s="2">
        <f>COUNTIF(Table1[default_flag],1)/ROWS(Table1[loan_id])</f>
        <v>2.5999999999999999E-2</v>
      </c>
      <c r="AD328" s="2">
        <f>COUNTIFS(Table1[region],Table1[[#This Row],[region]],Table1[default_flag],1)/COUNTIF(Table1[region],Table1[[#This Row],[region]])</f>
        <v>2.8571428571428571E-2</v>
      </c>
      <c r="AE328" s="2">
        <f>COUNTIFS(Table1[channel],Table1[[#This Row],[channel]],Table1[prepayment_flag],1)/COUNTIF(Table1[channel],Table1[[#This Row],[channel]])</f>
        <v>7.1090047393364927E-2</v>
      </c>
      <c r="AF328" s="2">
        <f>AVERAGEIFS(Table1[interest_rate_pct],Table1[product],Table1[[#This Row],[product]],Table1[risk_band],Table1[[#This Row],[risk_band]])</f>
        <v>16.500166666666669</v>
      </c>
      <c r="AG328" s="2" t="str" cm="1">
        <f t="array" ref="AG328">_xlfn.IFS(Table1[[#This Row],[dti_ratio]] &lt; 0.2, " less than 0.2", Table1[[#This Row],[dti_ratio]] &lt; 0.3, "0.2 - 0.3", Table1[[#This Row],[dti_ratio]] &lt;= 0.5, "0.35 - 0.5", Table1[[#This Row],[dti_ratio]] &gt; 0.5, "greater than 0.5")</f>
        <v>0.2 - 0.3</v>
      </c>
      <c r="AH328" s="2">
        <f>COUNTIF(Table1[DTI band],Table1[[#This Row],[DTI band]])</f>
        <v>122</v>
      </c>
      <c r="AI328" s="2" t="str" cm="1">
        <f t="array" ref="AI328">_xlfn.IFS(Table1[[#This Row],[ltv_ratio]] &lt; 0.6, "less than 0.6 -less risky", Table1[[#This Row],[ltv_ratio]]  &lt;= 0.8, "0.6 - 0.8 -medium risky",Table1[[#This Row],[ltv_ratio]] &gt; 0.8, "greater than 0.8 -highly risky")</f>
        <v>greater than 0.8 -highly risky</v>
      </c>
      <c r="AJ328" s="2">
        <f>COUNTIF(Table1[LTV band],Table1[[#This Row],[LTV band]])</f>
        <v>141</v>
      </c>
      <c r="AK328" s="2">
        <f>COUNTIFS(Table1[count_loan_perband],Table1[[#This Row],[count_loan_perband]],Table1[default_flag],1)/COUNTIF(Table1[count_loan_perband],Table1[[#This Row],[count_loan_perband]])</f>
        <v>1.4184397163120567E-2</v>
      </c>
      <c r="AL328" s="2" t="str" cm="1">
        <f t="array" ref="AL328">_xlfn.IFS(Table1[[#This Row],[loan_amount]] &lt; 900000, "lower size (&lt; 9L)", Table1[[#This Row],[loan_amount]] &lt;=3300000, "medium size (&lt;=33L)", Table1[[#This Row],[loan_amount]] &gt; 3300000, "larger size (&gt; 33L)")</f>
        <v>lower size (&lt; 9L)</v>
      </c>
      <c r="AM328" s="2">
        <f>IF(Table1[[#This Row],[dpd]] &gt;=30,1,0)</f>
        <v>1</v>
      </c>
      <c r="AN328" s="2">
        <f>COUNTIFS(Table1[Loan size],Table1[[#This Row],[Loan size]],Table1[dpd flag],1)/COUNTIF(Table1[Loan size],Table1[[#This Row],[Loan size]])</f>
        <v>0.13934426229508196</v>
      </c>
      <c r="AO328" s="2" t="str">
        <f>IF(OR(Table1[[#This Row],[credit_score]] &lt; 600, Table1[ [#This Row],[dti_ratio] ] &gt; 0.5, Table1[[#This Row],[dpd]] &gt;=30), "high risk", " not riskY")</f>
        <v>high risk</v>
      </c>
      <c r="AP328" s="26">
        <f>EOMONTH(Table1[[#This Row],[origination_date]],0)</f>
        <v>45199</v>
      </c>
      <c r="AQ328" s="2">
        <f>SUMIFS(Table1[loan_amount],Table1[origination month],Table1[[#This Row],[origination month]])</f>
        <v>13815100</v>
      </c>
      <c r="AR328" s="2">
        <f>AVERAGEIFS(Table1[months_on_book],Table1[product],Table1[[#This Row],[product]])</f>
        <v>21.092024539877301</v>
      </c>
      <c r="AS328" s="2" t="str">
        <f ca="1">IF(EDATE(Table1[[#This Row],[origination_date]],6) &gt;= TODAY(), "New Loan", "Old Loan")</f>
        <v>Old Loan</v>
      </c>
      <c r="AT328" s="2" t="str">
        <f>"Q"&amp;ROUNDUP(MONTH(Table1[[#This Row],[origination_date]])/3,0)&amp;YEAR(Table1[[#This Row],[origination_date]])</f>
        <v>Q32023</v>
      </c>
      <c r="AU328" s="2">
        <f>SUMIFS(Table1[loan_amount],Table1[quarter],Table1[[#This Row],[quarter]])</f>
        <v>77300600</v>
      </c>
      <c r="AV328" s="34" t="str">
        <f>_xlfn.TEXTJOIN("|",TRUE,Table1[[#This Row],[loan_id]:[loan_status]])</f>
        <v>L61055399|C2421305|45172|Personal Loan|Online|Central|Salaried|24|77700|17.2|3849|1006953|705|B|0.26|0.99|0|24|80522|7870|30|0|0|Closed</v>
      </c>
      <c r="AW328" s="42">
        <f>YEAR(Loan_Table[ [#This Row],[origination_date] ])</f>
        <v>2024</v>
      </c>
    </row>
    <row r="329" spans="2:49" ht="18" customHeight="1">
      <c r="B329" s="5" t="s">
        <v>778</v>
      </c>
      <c r="C329" s="2" t="s">
        <v>779</v>
      </c>
      <c r="D329" s="3">
        <v>45196</v>
      </c>
      <c r="E329" s="2" t="s">
        <v>177</v>
      </c>
      <c r="F329" s="2" t="s">
        <v>144</v>
      </c>
      <c r="G329" s="2" t="s">
        <v>145</v>
      </c>
      <c r="H329" s="2" t="s">
        <v>134</v>
      </c>
      <c r="I329" s="2">
        <v>12</v>
      </c>
      <c r="J329" s="2">
        <v>949500</v>
      </c>
      <c r="K329" s="2">
        <v>10.32</v>
      </c>
      <c r="L329" s="2">
        <v>83618</v>
      </c>
      <c r="M329" s="2">
        <v>569452</v>
      </c>
      <c r="N329" s="2">
        <v>761</v>
      </c>
      <c r="O329" s="2" t="s">
        <v>160</v>
      </c>
      <c r="P329" s="2">
        <v>0.26</v>
      </c>
      <c r="Q329" s="2">
        <v>0.77</v>
      </c>
      <c r="R329" s="2">
        <v>0</v>
      </c>
      <c r="S329" s="2">
        <v>12</v>
      </c>
      <c r="T329" s="2">
        <v>991700</v>
      </c>
      <c r="U329" s="2">
        <v>0</v>
      </c>
      <c r="V329" s="2">
        <v>0</v>
      </c>
      <c r="W329" s="2">
        <v>0</v>
      </c>
      <c r="X329" s="2">
        <v>0</v>
      </c>
      <c r="Y329" s="2" t="s">
        <v>141</v>
      </c>
      <c r="Z329" s="12">
        <f>SUMIF(Table1[product],Table1[[#This Row],[product]],Table1[loan_amount])</f>
        <v>62765800</v>
      </c>
      <c r="AA329" s="15">
        <f>SUMIF(Table1[region],Table1[[#This Row],[region]],Table1[current_balance])</f>
        <v>98928695</v>
      </c>
      <c r="AB329" s="2">
        <f>COUNTIF(Table1[loan_status],Table1[[#This Row],[loan_status]])</f>
        <v>139</v>
      </c>
      <c r="AC329" s="2">
        <f>COUNTIF(Table1[default_flag],1)/ROWS(Table1[loan_id])</f>
        <v>2.5999999999999999E-2</v>
      </c>
      <c r="AD329" s="2">
        <f>COUNTIFS(Table1[region],Table1[[#This Row],[region]],Table1[default_flag],1)/COUNTIF(Table1[region],Table1[[#This Row],[region]])</f>
        <v>2.8571428571428571E-2</v>
      </c>
      <c r="AE329" s="2">
        <f>COUNTIFS(Table1[channel],Table1[[#This Row],[channel]],Table1[prepayment_flag],1)/COUNTIF(Table1[channel],Table1[[#This Row],[channel]])</f>
        <v>5.8201058201058198E-2</v>
      </c>
      <c r="AF329" s="2">
        <f>AVERAGEIFS(Table1[interest_rate_pct],Table1[product],Table1[[#This Row],[product]],Table1[risk_band],Table1[[#This Row],[risk_band]])</f>
        <v>8.5057142857142871</v>
      </c>
      <c r="AG329" s="2" t="str" cm="1">
        <f t="array" ref="AG329">_xlfn.IFS(Table1[[#This Row],[dti_ratio]] &lt; 0.2, " less than 0.2", Table1[[#This Row],[dti_ratio]] &lt; 0.3, "0.2 - 0.3", Table1[[#This Row],[dti_ratio]] &lt;= 0.5, "0.35 - 0.5", Table1[[#This Row],[dti_ratio]] &gt; 0.5, "greater than 0.5")</f>
        <v>0.2 - 0.3</v>
      </c>
      <c r="AH329" s="2">
        <f>COUNTIF(Table1[DTI band],Table1[[#This Row],[DTI band]])</f>
        <v>122</v>
      </c>
      <c r="AI329" s="2" t="str" cm="1">
        <f t="array" ref="AI329">_xlfn.IFS(Table1[[#This Row],[ltv_ratio]] &lt; 0.6, "less than 0.6 -less risky", Table1[[#This Row],[ltv_ratio]]  &lt;= 0.8, "0.6 - 0.8 -medium risky",Table1[[#This Row],[ltv_ratio]] &gt; 0.8, "greater than 0.8 -highly risky")</f>
        <v>0.6 - 0.8 -medium risky</v>
      </c>
      <c r="AJ329" s="2">
        <f>COUNTIF(Table1[LTV band],Table1[[#This Row],[LTV band]])</f>
        <v>302</v>
      </c>
      <c r="AK329" s="2">
        <f>COUNTIFS(Table1[count_loan_perband],Table1[[#This Row],[count_loan_perband]],Table1[default_flag],1)/COUNTIF(Table1[count_loan_perband],Table1[[#This Row],[count_loan_perband]])</f>
        <v>3.6423841059602648E-2</v>
      </c>
      <c r="AL329" s="2" t="str" cm="1">
        <f t="array" ref="AL329">_xlfn.IFS(Table1[[#This Row],[loan_amount]] &lt; 900000, "lower size (&lt; 9L)", Table1[[#This Row],[loan_amount]] &lt;=3300000, "medium size (&lt;=33L)", Table1[[#This Row],[loan_amount]] &gt; 3300000, "larger size (&gt; 33L)")</f>
        <v>medium size (&lt;=33L)</v>
      </c>
      <c r="AM329" s="2">
        <f>IF(Table1[[#This Row],[dpd]] &gt;=30,1,0)</f>
        <v>0</v>
      </c>
      <c r="AN329" s="2">
        <f>COUNTIFS(Table1[Loan size],Table1[[#This Row],[Loan size]],Table1[dpd flag],1)/COUNTIF(Table1[Loan size],Table1[[#This Row],[Loan size]])</f>
        <v>0.15909090909090909</v>
      </c>
      <c r="AO329" s="2" t="str">
        <f>IF(OR(Table1[[#This Row],[credit_score]] &lt; 600, Table1[ [#This Row],[dti_ratio] ] &gt; 0.5, Table1[[#This Row],[dpd]] &gt;=30), "high risk", " not riskY")</f>
        <v xml:space="preserve"> not riskY</v>
      </c>
      <c r="AP329" s="26">
        <f>EOMONTH(Table1[[#This Row],[origination_date]],0)</f>
        <v>45199</v>
      </c>
      <c r="AQ329" s="2">
        <f>SUMIFS(Table1[loan_amount],Table1[origination month],Table1[[#This Row],[origination month]])</f>
        <v>13815100</v>
      </c>
      <c r="AR329" s="2">
        <f>AVERAGEIFS(Table1[months_on_book],Table1[product],Table1[[#This Row],[product]])</f>
        <v>21.962962962962962</v>
      </c>
      <c r="AS329" s="2" t="str">
        <f ca="1">IF(EDATE(Table1[[#This Row],[origination_date]],6) &gt;= TODAY(), "New Loan", "Old Loan")</f>
        <v>Old Loan</v>
      </c>
      <c r="AT329" s="2" t="str">
        <f>"Q"&amp;ROUNDUP(MONTH(Table1[[#This Row],[origination_date]])/3,0)&amp;YEAR(Table1[[#This Row],[origination_date]])</f>
        <v>Q32023</v>
      </c>
      <c r="AU329" s="2">
        <f>SUMIFS(Table1[loan_amount],Table1[quarter],Table1[[#This Row],[quarter]])</f>
        <v>77300600</v>
      </c>
      <c r="AV329" s="34" t="str">
        <f>_xlfn.TEXTJOIN("|",TRUE,Table1[[#This Row],[loan_id]:[loan_status]])</f>
        <v>L34027809|C7503268|45196|Education Loan|Branch|Central|Salaried|12|949500|10.32|83618|569452|761|A|0.26|0.77|0|12|991700|0|0|0|0|Closed</v>
      </c>
      <c r="AW329" s="42">
        <f>YEAR(Loan_Table[ [#This Row],[origination_date] ])</f>
        <v>2024</v>
      </c>
    </row>
    <row r="330" spans="2:49" ht="18" customHeight="1">
      <c r="B330" s="5" t="s">
        <v>780</v>
      </c>
      <c r="C330" s="2" t="s">
        <v>781</v>
      </c>
      <c r="D330" s="3">
        <v>45143</v>
      </c>
      <c r="E330" s="2" t="s">
        <v>169</v>
      </c>
      <c r="F330" s="2" t="s">
        <v>132</v>
      </c>
      <c r="G330" s="2" t="s">
        <v>151</v>
      </c>
      <c r="H330" s="2" t="s">
        <v>192</v>
      </c>
      <c r="I330" s="2">
        <v>60</v>
      </c>
      <c r="J330" s="2">
        <v>6315900</v>
      </c>
      <c r="K330" s="2">
        <v>7.43</v>
      </c>
      <c r="L330" s="2">
        <v>126348</v>
      </c>
      <c r="M330" s="2">
        <v>874374</v>
      </c>
      <c r="N330" s="2">
        <v>772</v>
      </c>
      <c r="O330" s="2" t="s">
        <v>160</v>
      </c>
      <c r="P330" s="2">
        <v>0.25</v>
      </c>
      <c r="Q330" s="2">
        <v>0.57999999999999996</v>
      </c>
      <c r="R330" s="2">
        <v>10853100</v>
      </c>
      <c r="S330" s="2">
        <v>28</v>
      </c>
      <c r="T330" s="2">
        <v>3218446</v>
      </c>
      <c r="U330" s="2">
        <v>3535441</v>
      </c>
      <c r="V330" s="2">
        <v>0</v>
      </c>
      <c r="W330" s="2">
        <v>0</v>
      </c>
      <c r="X330" s="2">
        <v>0</v>
      </c>
      <c r="Y330" s="2" t="s">
        <v>148</v>
      </c>
      <c r="Z330" s="12">
        <f>SUMIF(Table1[product],Table1[[#This Row],[product]],Table1[loan_amount])</f>
        <v>403369500</v>
      </c>
      <c r="AA330" s="15">
        <f>SUMIF(Table1[region],Table1[[#This Row],[region]],Table1[current_balance])</f>
        <v>105779369</v>
      </c>
      <c r="AB330" s="2">
        <f>COUNTIF(Table1[loan_status],Table1[[#This Row],[loan_status]])</f>
        <v>301</v>
      </c>
      <c r="AC330" s="2">
        <f>COUNTIF(Table1[default_flag],1)/ROWS(Table1[loan_id])</f>
        <v>2.5999999999999999E-2</v>
      </c>
      <c r="AD330" s="2">
        <f>COUNTIFS(Table1[region],Table1[[#This Row],[region]],Table1[default_flag],1)/COUNTIF(Table1[region],Table1[[#This Row],[region]])</f>
        <v>2.6548672566371681E-2</v>
      </c>
      <c r="AE330" s="2">
        <f>COUNTIFS(Table1[channel],Table1[[#This Row],[channel]],Table1[prepayment_flag],1)/COUNTIF(Table1[channel],Table1[[#This Row],[channel]])</f>
        <v>7.1090047393364927E-2</v>
      </c>
      <c r="AF330" s="2">
        <f>AVERAGEIFS(Table1[interest_rate_pct],Table1[product],Table1[[#This Row],[product]],Table1[risk_band],Table1[[#This Row],[risk_band]])</f>
        <v>7.1876190476190471</v>
      </c>
      <c r="AG330" s="2" t="str" cm="1">
        <f t="array" ref="AG330">_xlfn.IFS(Table1[[#This Row],[dti_ratio]] &lt; 0.2, " less than 0.2", Table1[[#This Row],[dti_ratio]] &lt; 0.3, "0.2 - 0.3", Table1[[#This Row],[dti_ratio]] &lt;= 0.5, "0.35 - 0.5", Table1[[#This Row],[dti_ratio]] &gt; 0.5, "greater than 0.5")</f>
        <v>0.2 - 0.3</v>
      </c>
      <c r="AH330" s="2">
        <f>COUNTIF(Table1[DTI band],Table1[[#This Row],[DTI band]])</f>
        <v>122</v>
      </c>
      <c r="AI330" s="2" t="str" cm="1">
        <f t="array" ref="AI330">_xlfn.IFS(Table1[[#This Row],[ltv_ratio]] &lt; 0.6, "less than 0.6 -less risky", Table1[[#This Row],[ltv_ratio]]  &lt;= 0.8, "0.6 - 0.8 -medium risky",Table1[[#This Row],[ltv_ratio]] &gt; 0.8, "greater than 0.8 -highly risky")</f>
        <v>less than 0.6 -less risky</v>
      </c>
      <c r="AJ330" s="2">
        <f>COUNTIF(Table1[LTV band],Table1[[#This Row],[LTV band]])</f>
        <v>57</v>
      </c>
      <c r="AK330" s="2">
        <f>COUNTIFS(Table1[count_loan_perband],Table1[[#This Row],[count_loan_perband]],Table1[default_flag],1)/COUNTIF(Table1[count_loan_perband],Table1[[#This Row],[count_loan_perband]])</f>
        <v>0</v>
      </c>
      <c r="AL330" s="2" t="str" cm="1">
        <f t="array" ref="AL330">_xlfn.IFS(Table1[[#This Row],[loan_amount]] &lt; 900000, "lower size (&lt; 9L)", Table1[[#This Row],[loan_amount]] &lt;=3300000, "medium size (&lt;=33L)", Table1[[#This Row],[loan_amount]] &gt; 3300000, "larger size (&gt; 33L)")</f>
        <v>larger size (&gt; 33L)</v>
      </c>
      <c r="AM330" s="2">
        <f>IF(Table1[[#This Row],[dpd]] &gt;=30,1,0)</f>
        <v>0</v>
      </c>
      <c r="AN330" s="2">
        <f>COUNTIFS(Table1[Loan size],Table1[[#This Row],[Loan size]],Table1[dpd flag],1)/COUNTIF(Table1[Loan size],Table1[[#This Row],[Loan size]])</f>
        <v>0.16250000000000001</v>
      </c>
      <c r="AO330" s="2" t="str">
        <f>IF(OR(Table1[[#This Row],[credit_score]] &lt; 600, Table1[ [#This Row],[dti_ratio] ] &gt; 0.5, Table1[[#This Row],[dpd]] &gt;=30), "high risk", " not riskY")</f>
        <v xml:space="preserve"> not riskY</v>
      </c>
      <c r="AP330" s="26">
        <f>EOMONTH(Table1[[#This Row],[origination_date]],0)</f>
        <v>45169</v>
      </c>
      <c r="AQ330" s="2">
        <f>SUMIFS(Table1[loan_amount],Table1[origination month],Table1[[#This Row],[origination month]])</f>
        <v>38355800</v>
      </c>
      <c r="AR330" s="2">
        <f>AVERAGEIFS(Table1[months_on_book],Table1[product],Table1[[#This Row],[product]])</f>
        <v>20.516129032258064</v>
      </c>
      <c r="AS330" s="2" t="str">
        <f ca="1">IF(EDATE(Table1[[#This Row],[origination_date]],6) &gt;= TODAY(), "New Loan", "Old Loan")</f>
        <v>Old Loan</v>
      </c>
      <c r="AT330" s="2" t="str">
        <f>"Q"&amp;ROUNDUP(MONTH(Table1[[#This Row],[origination_date]])/3,0)&amp;YEAR(Table1[[#This Row],[origination_date]])</f>
        <v>Q32023</v>
      </c>
      <c r="AU330" s="2">
        <f>SUMIFS(Table1[loan_amount],Table1[quarter],Table1[[#This Row],[quarter]])</f>
        <v>77300600</v>
      </c>
      <c r="AV330" s="34" t="str">
        <f>_xlfn.TEXTJOIN("|",TRUE,Table1[[#This Row],[loan_id]:[loan_status]])</f>
        <v>L67124648|C7632501|45143|Home Loan|Online|North|Unemployed|60|6315900|7.43|126348|874374|772|A|0.25|0.58|10853100|28|3218446|3535441|0|0|0|Active</v>
      </c>
      <c r="AW330" s="42">
        <f>YEAR(Loan_Table[ [#This Row],[origination_date] ])</f>
        <v>2024</v>
      </c>
    </row>
    <row r="331" spans="2:49" ht="18" customHeight="1">
      <c r="B331" s="5" t="s">
        <v>782</v>
      </c>
      <c r="C331" s="2" t="s">
        <v>783</v>
      </c>
      <c r="D331" s="3">
        <v>45150</v>
      </c>
      <c r="E331" s="2" t="s">
        <v>169</v>
      </c>
      <c r="F331" s="2" t="s">
        <v>132</v>
      </c>
      <c r="G331" s="2" t="s">
        <v>151</v>
      </c>
      <c r="H331" s="2" t="s">
        <v>134</v>
      </c>
      <c r="I331" s="2">
        <v>36</v>
      </c>
      <c r="J331" s="2">
        <v>5751300</v>
      </c>
      <c r="K331" s="2">
        <v>8.1300000000000008</v>
      </c>
      <c r="L331" s="2">
        <v>180570</v>
      </c>
      <c r="M331" s="2">
        <v>1234022</v>
      </c>
      <c r="N331" s="2">
        <v>759</v>
      </c>
      <c r="O331" s="2" t="s">
        <v>160</v>
      </c>
      <c r="P331" s="2">
        <v>0.23</v>
      </c>
      <c r="Q331" s="2">
        <v>0.63</v>
      </c>
      <c r="R331" s="2">
        <v>9123400</v>
      </c>
      <c r="S331" s="2">
        <v>28</v>
      </c>
      <c r="T331" s="2">
        <v>4322844</v>
      </c>
      <c r="U331" s="2">
        <v>1864865</v>
      </c>
      <c r="V331" s="2">
        <v>0</v>
      </c>
      <c r="W331" s="2">
        <v>1</v>
      </c>
      <c r="X331" s="2">
        <v>0</v>
      </c>
      <c r="Y331" s="2" t="s">
        <v>141</v>
      </c>
      <c r="Z331" s="12">
        <f>SUMIF(Table1[product],Table1[[#This Row],[product]],Table1[loan_amount])</f>
        <v>403369500</v>
      </c>
      <c r="AA331" s="15">
        <f>SUMIF(Table1[region],Table1[[#This Row],[region]],Table1[current_balance])</f>
        <v>105779369</v>
      </c>
      <c r="AB331" s="2">
        <f>COUNTIF(Table1[loan_status],Table1[[#This Row],[loan_status]])</f>
        <v>139</v>
      </c>
      <c r="AC331" s="2">
        <f>COUNTIF(Table1[default_flag],1)/ROWS(Table1[loan_id])</f>
        <v>2.5999999999999999E-2</v>
      </c>
      <c r="AD331" s="2">
        <f>COUNTIFS(Table1[region],Table1[[#This Row],[region]],Table1[default_flag],1)/COUNTIF(Table1[region],Table1[[#This Row],[region]])</f>
        <v>2.6548672566371681E-2</v>
      </c>
      <c r="AE331" s="2">
        <f>COUNTIFS(Table1[channel],Table1[[#This Row],[channel]],Table1[prepayment_flag],1)/COUNTIF(Table1[channel],Table1[[#This Row],[channel]])</f>
        <v>7.1090047393364927E-2</v>
      </c>
      <c r="AF331" s="2">
        <f>AVERAGEIFS(Table1[interest_rate_pct],Table1[product],Table1[[#This Row],[product]],Table1[risk_band],Table1[[#This Row],[risk_band]])</f>
        <v>7.1876190476190471</v>
      </c>
      <c r="AG331" s="2" t="str" cm="1">
        <f t="array" ref="AG331">_xlfn.IFS(Table1[[#This Row],[dti_ratio]] &lt; 0.2, " less than 0.2", Table1[[#This Row],[dti_ratio]] &lt; 0.3, "0.2 - 0.3", Table1[[#This Row],[dti_ratio]] &lt;= 0.5, "0.35 - 0.5", Table1[[#This Row],[dti_ratio]] &gt; 0.5, "greater than 0.5")</f>
        <v>0.2 - 0.3</v>
      </c>
      <c r="AH331" s="2">
        <f>COUNTIF(Table1[DTI band],Table1[[#This Row],[DTI band]])</f>
        <v>122</v>
      </c>
      <c r="AI331" s="2" t="str" cm="1">
        <f t="array" ref="AI331">_xlfn.IFS(Table1[[#This Row],[ltv_ratio]] &lt; 0.6, "less than 0.6 -less risky", Table1[[#This Row],[ltv_ratio]]  &lt;= 0.8, "0.6 - 0.8 -medium risky",Table1[[#This Row],[ltv_ratio]] &gt; 0.8, "greater than 0.8 -highly risky")</f>
        <v>0.6 - 0.8 -medium risky</v>
      </c>
      <c r="AJ331" s="2">
        <f>COUNTIF(Table1[LTV band],Table1[[#This Row],[LTV band]])</f>
        <v>302</v>
      </c>
      <c r="AK331" s="2">
        <f>COUNTIFS(Table1[count_loan_perband],Table1[[#This Row],[count_loan_perband]],Table1[default_flag],1)/COUNTIF(Table1[count_loan_perband],Table1[[#This Row],[count_loan_perband]])</f>
        <v>3.6423841059602648E-2</v>
      </c>
      <c r="AL331" s="2" t="str" cm="1">
        <f t="array" ref="AL331">_xlfn.IFS(Table1[[#This Row],[loan_amount]] &lt; 900000, "lower size (&lt; 9L)", Table1[[#This Row],[loan_amount]] &lt;=3300000, "medium size (&lt;=33L)", Table1[[#This Row],[loan_amount]] &gt; 3300000, "larger size (&gt; 33L)")</f>
        <v>larger size (&gt; 33L)</v>
      </c>
      <c r="AM331" s="2">
        <f>IF(Table1[[#This Row],[dpd]] &gt;=30,1,0)</f>
        <v>0</v>
      </c>
      <c r="AN331" s="2">
        <f>COUNTIFS(Table1[Loan size],Table1[[#This Row],[Loan size]],Table1[dpd flag],1)/COUNTIF(Table1[Loan size],Table1[[#This Row],[Loan size]])</f>
        <v>0.16250000000000001</v>
      </c>
      <c r="AO331" s="2" t="str">
        <f>IF(OR(Table1[[#This Row],[credit_score]] &lt; 600, Table1[ [#This Row],[dti_ratio] ] &gt; 0.5, Table1[[#This Row],[dpd]] &gt;=30), "high risk", " not riskY")</f>
        <v xml:space="preserve"> not riskY</v>
      </c>
      <c r="AP331" s="26">
        <f>EOMONTH(Table1[[#This Row],[origination_date]],0)</f>
        <v>45169</v>
      </c>
      <c r="AQ331" s="2">
        <f>SUMIFS(Table1[loan_amount],Table1[origination month],Table1[[#This Row],[origination month]])</f>
        <v>38355800</v>
      </c>
      <c r="AR331" s="2">
        <f>AVERAGEIFS(Table1[months_on_book],Table1[product],Table1[[#This Row],[product]])</f>
        <v>20.516129032258064</v>
      </c>
      <c r="AS331" s="2" t="str">
        <f ca="1">IF(EDATE(Table1[[#This Row],[origination_date]],6) &gt;= TODAY(), "New Loan", "Old Loan")</f>
        <v>Old Loan</v>
      </c>
      <c r="AT331" s="2" t="str">
        <f>"Q"&amp;ROUNDUP(MONTH(Table1[[#This Row],[origination_date]])/3,0)&amp;YEAR(Table1[[#This Row],[origination_date]])</f>
        <v>Q32023</v>
      </c>
      <c r="AU331" s="2">
        <f>SUMIFS(Table1[loan_amount],Table1[quarter],Table1[[#This Row],[quarter]])</f>
        <v>77300600</v>
      </c>
      <c r="AV331" s="34" t="str">
        <f>_xlfn.TEXTJOIN("|",TRUE,Table1[[#This Row],[loan_id]:[loan_status]])</f>
        <v>L26151084|C2330050|45150|Home Loan|Online|North|Salaried|36|5751300|8.13|180570|1234022|759|A|0.23|0.63|9123400|28|4322844|1864865|0|1|0|Closed</v>
      </c>
      <c r="AW331" s="42">
        <f>YEAR(Loan_Table[ [#This Row],[origination_date] ])</f>
        <v>2024</v>
      </c>
    </row>
    <row r="332" spans="2:49" ht="18" customHeight="1">
      <c r="B332" s="5" t="s">
        <v>784</v>
      </c>
      <c r="C332" s="2" t="s">
        <v>785</v>
      </c>
      <c r="D332" s="3">
        <v>45131</v>
      </c>
      <c r="E332" s="2" t="s">
        <v>177</v>
      </c>
      <c r="F332" s="2" t="s">
        <v>144</v>
      </c>
      <c r="G332" s="2" t="s">
        <v>151</v>
      </c>
      <c r="H332" s="2" t="s">
        <v>146</v>
      </c>
      <c r="I332" s="2">
        <v>360</v>
      </c>
      <c r="J332" s="2">
        <v>1204500</v>
      </c>
      <c r="K332" s="2">
        <v>9.44</v>
      </c>
      <c r="L332" s="2">
        <v>10075</v>
      </c>
      <c r="M332" s="2">
        <v>1188302</v>
      </c>
      <c r="N332" s="2">
        <v>769</v>
      </c>
      <c r="O332" s="2" t="s">
        <v>160</v>
      </c>
      <c r="P332" s="2">
        <v>0.23</v>
      </c>
      <c r="Q332" s="2">
        <v>0.81</v>
      </c>
      <c r="R332" s="2">
        <v>0</v>
      </c>
      <c r="S332" s="2">
        <v>29</v>
      </c>
      <c r="T332" s="2">
        <v>291859</v>
      </c>
      <c r="U332" s="2">
        <v>1022556</v>
      </c>
      <c r="V332" s="2">
        <v>0</v>
      </c>
      <c r="W332" s="2">
        <v>0</v>
      </c>
      <c r="X332" s="2">
        <v>0</v>
      </c>
      <c r="Y332" s="2" t="s">
        <v>148</v>
      </c>
      <c r="Z332" s="12">
        <f>SUMIF(Table1[product],Table1[[#This Row],[product]],Table1[loan_amount])</f>
        <v>62765800</v>
      </c>
      <c r="AA332" s="15">
        <f>SUMIF(Table1[region],Table1[[#This Row],[region]],Table1[current_balance])</f>
        <v>105779369</v>
      </c>
      <c r="AB332" s="2">
        <f>COUNTIF(Table1[loan_status],Table1[[#This Row],[loan_status]])</f>
        <v>301</v>
      </c>
      <c r="AC332" s="2">
        <f>COUNTIF(Table1[default_flag],1)/ROWS(Table1[loan_id])</f>
        <v>2.5999999999999999E-2</v>
      </c>
      <c r="AD332" s="2">
        <f>COUNTIFS(Table1[region],Table1[[#This Row],[region]],Table1[default_flag],1)/COUNTIF(Table1[region],Table1[[#This Row],[region]])</f>
        <v>2.6548672566371681E-2</v>
      </c>
      <c r="AE332" s="2">
        <f>COUNTIFS(Table1[channel],Table1[[#This Row],[channel]],Table1[prepayment_flag],1)/COUNTIF(Table1[channel],Table1[[#This Row],[channel]])</f>
        <v>5.8201058201058198E-2</v>
      </c>
      <c r="AF332" s="2">
        <f>AVERAGEIFS(Table1[interest_rate_pct],Table1[product],Table1[[#This Row],[product]],Table1[risk_band],Table1[[#This Row],[risk_band]])</f>
        <v>8.5057142857142871</v>
      </c>
      <c r="AG332" s="2" t="str" cm="1">
        <f t="array" ref="AG332">_xlfn.IFS(Table1[[#This Row],[dti_ratio]] &lt; 0.2, " less than 0.2", Table1[[#This Row],[dti_ratio]] &lt; 0.3, "0.2 - 0.3", Table1[[#This Row],[dti_ratio]] &lt;= 0.5, "0.35 - 0.5", Table1[[#This Row],[dti_ratio]] &gt; 0.5, "greater than 0.5")</f>
        <v>0.2 - 0.3</v>
      </c>
      <c r="AH332" s="2">
        <f>COUNTIF(Table1[DTI band],Table1[[#This Row],[DTI band]])</f>
        <v>122</v>
      </c>
      <c r="AI332" s="2" t="str" cm="1">
        <f t="array" ref="AI332">_xlfn.IFS(Table1[[#This Row],[ltv_ratio]] &lt; 0.6, "less than 0.6 -less risky", Table1[[#This Row],[ltv_ratio]]  &lt;= 0.8, "0.6 - 0.8 -medium risky",Table1[[#This Row],[ltv_ratio]] &gt; 0.8, "greater than 0.8 -highly risky")</f>
        <v>greater than 0.8 -highly risky</v>
      </c>
      <c r="AJ332" s="2">
        <f>COUNTIF(Table1[LTV band],Table1[[#This Row],[LTV band]])</f>
        <v>141</v>
      </c>
      <c r="AK332" s="2">
        <f>COUNTIFS(Table1[count_loan_perband],Table1[[#This Row],[count_loan_perband]],Table1[default_flag],1)/COUNTIF(Table1[count_loan_perband],Table1[[#This Row],[count_loan_perband]])</f>
        <v>1.4184397163120567E-2</v>
      </c>
      <c r="AL332" s="2" t="str" cm="1">
        <f t="array" ref="AL332">_xlfn.IFS(Table1[[#This Row],[loan_amount]] &lt; 900000, "lower size (&lt; 9L)", Table1[[#This Row],[loan_amount]] &lt;=3300000, "medium size (&lt;=33L)", Table1[[#This Row],[loan_amount]] &gt; 3300000, "larger size (&gt; 33L)")</f>
        <v>medium size (&lt;=33L)</v>
      </c>
      <c r="AM332" s="2">
        <f>IF(Table1[[#This Row],[dpd]] &gt;=30,1,0)</f>
        <v>0</v>
      </c>
      <c r="AN332" s="2">
        <f>COUNTIFS(Table1[Loan size],Table1[[#This Row],[Loan size]],Table1[dpd flag],1)/COUNTIF(Table1[Loan size],Table1[[#This Row],[Loan size]])</f>
        <v>0.15909090909090909</v>
      </c>
      <c r="AO332" s="2" t="str">
        <f>IF(OR(Table1[[#This Row],[credit_score]] &lt; 600, Table1[ [#This Row],[dti_ratio] ] &gt; 0.5, Table1[[#This Row],[dpd]] &gt;=30), "high risk", " not riskY")</f>
        <v xml:space="preserve"> not riskY</v>
      </c>
      <c r="AP332" s="26">
        <f>EOMONTH(Table1[[#This Row],[origination_date]],0)</f>
        <v>45138</v>
      </c>
      <c r="AQ332" s="2">
        <f>SUMIFS(Table1[loan_amount],Table1[origination month],Table1[[#This Row],[origination month]])</f>
        <v>25129700</v>
      </c>
      <c r="AR332" s="2">
        <f>AVERAGEIFS(Table1[months_on_book],Table1[product],Table1[[#This Row],[product]])</f>
        <v>21.962962962962962</v>
      </c>
      <c r="AS332" s="2" t="str">
        <f ca="1">IF(EDATE(Table1[[#This Row],[origination_date]],6) &gt;= TODAY(), "New Loan", "Old Loan")</f>
        <v>Old Loan</v>
      </c>
      <c r="AT332" s="2" t="str">
        <f>"Q"&amp;ROUNDUP(MONTH(Table1[[#This Row],[origination_date]])/3,0)&amp;YEAR(Table1[[#This Row],[origination_date]])</f>
        <v>Q32023</v>
      </c>
      <c r="AU332" s="2">
        <f>SUMIFS(Table1[loan_amount],Table1[quarter],Table1[[#This Row],[quarter]])</f>
        <v>77300600</v>
      </c>
      <c r="AV332" s="34" t="str">
        <f>_xlfn.TEXTJOIN("|",TRUE,Table1[[#This Row],[loan_id]:[loan_status]])</f>
        <v>L38909415|C8746471|45131|Education Loan|Branch|North|Contract|360|1204500|9.44|10075|1188302|769|A|0.23|0.81|0|29|291859|1022556|0|0|0|Active</v>
      </c>
      <c r="AW332" s="42">
        <f>YEAR(Loan_Table[ [#This Row],[origination_date] ])</f>
        <v>2024</v>
      </c>
    </row>
    <row r="333" spans="2:49" ht="18" customHeight="1">
      <c r="B333" s="5" t="s">
        <v>786</v>
      </c>
      <c r="C333" s="2" t="s">
        <v>787</v>
      </c>
      <c r="D333" s="3">
        <v>45169</v>
      </c>
      <c r="E333" s="2" t="s">
        <v>158</v>
      </c>
      <c r="F333" s="2" t="s">
        <v>132</v>
      </c>
      <c r="G333" s="2" t="s">
        <v>133</v>
      </c>
      <c r="H333" s="2" t="s">
        <v>134</v>
      </c>
      <c r="I333" s="2">
        <v>24</v>
      </c>
      <c r="J333" s="2">
        <v>2468500</v>
      </c>
      <c r="K333" s="2">
        <v>13.41</v>
      </c>
      <c r="L333" s="2">
        <v>117833</v>
      </c>
      <c r="M333" s="2">
        <v>1094569</v>
      </c>
      <c r="N333" s="2">
        <v>752</v>
      </c>
      <c r="O333" s="2" t="s">
        <v>160</v>
      </c>
      <c r="P333" s="2">
        <v>0.21</v>
      </c>
      <c r="Q333" s="2">
        <v>0.84</v>
      </c>
      <c r="R333" s="2">
        <v>2940100</v>
      </c>
      <c r="S333" s="2">
        <v>24</v>
      </c>
      <c r="T333" s="2">
        <v>2736049</v>
      </c>
      <c r="U333" s="2">
        <v>0</v>
      </c>
      <c r="V333" s="2">
        <v>0</v>
      </c>
      <c r="W333" s="2">
        <v>0</v>
      </c>
      <c r="X333" s="2">
        <v>0</v>
      </c>
      <c r="Y333" s="2" t="s">
        <v>141</v>
      </c>
      <c r="Z333" s="12">
        <f>SUMIF(Table1[product],Table1[[#This Row],[product]],Table1[loan_amount])</f>
        <v>201475100</v>
      </c>
      <c r="AA333" s="15">
        <f>SUMIF(Table1[region],Table1[[#This Row],[region]],Table1[current_balance])</f>
        <v>94548000</v>
      </c>
      <c r="AB333" s="2">
        <f>COUNTIF(Table1[loan_status],Table1[[#This Row],[loan_status]])</f>
        <v>139</v>
      </c>
      <c r="AC333" s="2">
        <f>COUNTIF(Table1[default_flag],1)/ROWS(Table1[loan_id])</f>
        <v>2.5999999999999999E-2</v>
      </c>
      <c r="AD333" s="2">
        <f>COUNTIFS(Table1[region],Table1[[#This Row],[region]],Table1[default_flag],1)/COUNTIF(Table1[region],Table1[[#This Row],[region]])</f>
        <v>0</v>
      </c>
      <c r="AE333" s="2">
        <f>COUNTIFS(Table1[channel],Table1[[#This Row],[channel]],Table1[prepayment_flag],1)/COUNTIF(Table1[channel],Table1[[#This Row],[channel]])</f>
        <v>7.1090047393364927E-2</v>
      </c>
      <c r="AF333" s="2">
        <f>AVERAGEIFS(Table1[interest_rate_pct],Table1[product],Table1[[#This Row],[product]],Table1[risk_band],Table1[[#This Row],[risk_band]])</f>
        <v>10.537499999999998</v>
      </c>
      <c r="AG333" s="2" t="str" cm="1">
        <f t="array" ref="AG333">_xlfn.IFS(Table1[[#This Row],[dti_ratio]] &lt; 0.2, " less than 0.2", Table1[[#This Row],[dti_ratio]] &lt; 0.3, "0.2 - 0.3", Table1[[#This Row],[dti_ratio]] &lt;= 0.5, "0.35 - 0.5", Table1[[#This Row],[dti_ratio]] &gt; 0.5, "greater than 0.5")</f>
        <v>0.2 - 0.3</v>
      </c>
      <c r="AH333" s="2">
        <f>COUNTIF(Table1[DTI band],Table1[[#This Row],[DTI band]])</f>
        <v>122</v>
      </c>
      <c r="AI333" s="2" t="str" cm="1">
        <f t="array" ref="AI333">_xlfn.IFS(Table1[[#This Row],[ltv_ratio]] &lt; 0.6, "less than 0.6 -less risky", Table1[[#This Row],[ltv_ratio]]  &lt;= 0.8, "0.6 - 0.8 -medium risky",Table1[[#This Row],[ltv_ratio]] &gt; 0.8, "greater than 0.8 -highly risky")</f>
        <v>greater than 0.8 -highly risky</v>
      </c>
      <c r="AJ333" s="2">
        <f>COUNTIF(Table1[LTV band],Table1[[#This Row],[LTV band]])</f>
        <v>141</v>
      </c>
      <c r="AK333" s="2">
        <f>COUNTIFS(Table1[count_loan_perband],Table1[[#This Row],[count_loan_perband]],Table1[default_flag],1)/COUNTIF(Table1[count_loan_perband],Table1[[#This Row],[count_loan_perband]])</f>
        <v>1.4184397163120567E-2</v>
      </c>
      <c r="AL333" s="2" t="str" cm="1">
        <f t="array" ref="AL333">_xlfn.IFS(Table1[[#This Row],[loan_amount]] &lt; 900000, "lower size (&lt; 9L)", Table1[[#This Row],[loan_amount]] &lt;=3300000, "medium size (&lt;=33L)", Table1[[#This Row],[loan_amount]] &gt; 3300000, "larger size (&gt; 33L)")</f>
        <v>medium size (&lt;=33L)</v>
      </c>
      <c r="AM333" s="2">
        <f>IF(Table1[[#This Row],[dpd]] &gt;=30,1,0)</f>
        <v>0</v>
      </c>
      <c r="AN333" s="2">
        <f>COUNTIFS(Table1[Loan size],Table1[[#This Row],[Loan size]],Table1[dpd flag],1)/COUNTIF(Table1[Loan size],Table1[[#This Row],[Loan size]])</f>
        <v>0.15909090909090909</v>
      </c>
      <c r="AO333" s="2" t="str">
        <f>IF(OR(Table1[[#This Row],[credit_score]] &lt; 600, Table1[ [#This Row],[dti_ratio] ] &gt; 0.5, Table1[[#This Row],[dpd]] &gt;=30), "high risk", " not riskY")</f>
        <v xml:space="preserve"> not riskY</v>
      </c>
      <c r="AP333" s="26">
        <f>EOMONTH(Table1[[#This Row],[origination_date]],0)</f>
        <v>45169</v>
      </c>
      <c r="AQ333" s="2">
        <f>SUMIFS(Table1[loan_amount],Table1[origination month],Table1[[#This Row],[origination month]])</f>
        <v>38355800</v>
      </c>
      <c r="AR333" s="2">
        <f>AVERAGEIFS(Table1[months_on_book],Table1[product],Table1[[#This Row],[product]])</f>
        <v>19.091954022988507</v>
      </c>
      <c r="AS333" s="2" t="str">
        <f ca="1">IF(EDATE(Table1[[#This Row],[origination_date]],6) &gt;= TODAY(), "New Loan", "Old Loan")</f>
        <v>Old Loan</v>
      </c>
      <c r="AT333" s="2" t="str">
        <f>"Q"&amp;ROUNDUP(MONTH(Table1[[#This Row],[origination_date]])/3,0)&amp;YEAR(Table1[[#This Row],[origination_date]])</f>
        <v>Q32023</v>
      </c>
      <c r="AU333" s="2">
        <f>SUMIFS(Table1[loan_amount],Table1[quarter],Table1[[#This Row],[quarter]])</f>
        <v>77300600</v>
      </c>
      <c r="AV333" s="34" t="str">
        <f>_xlfn.TEXTJOIN("|",TRUE,Table1[[#This Row],[loan_id]:[loan_status]])</f>
        <v>L43383005|C5079630|45169|SME Loan|Online|South|Salaried|24|2468500|13.41|117833|1094569|752|A|0.21|0.84|2940100|24|2736049|0|0|0|0|Closed</v>
      </c>
      <c r="AW333" s="42">
        <f>YEAR(Loan_Table[ [#This Row],[origination_date] ])</f>
        <v>2024</v>
      </c>
    </row>
    <row r="334" spans="2:49" ht="18" customHeight="1">
      <c r="B334" s="5" t="s">
        <v>788</v>
      </c>
      <c r="C334" s="2" t="s">
        <v>789</v>
      </c>
      <c r="D334" s="3">
        <v>45116</v>
      </c>
      <c r="E334" s="2" t="s">
        <v>131</v>
      </c>
      <c r="F334" s="2" t="s">
        <v>144</v>
      </c>
      <c r="G334" s="2" t="s">
        <v>133</v>
      </c>
      <c r="H334" s="2" t="s">
        <v>134</v>
      </c>
      <c r="I334" s="2">
        <v>60</v>
      </c>
      <c r="J334" s="2">
        <v>514200</v>
      </c>
      <c r="K334" s="2">
        <v>15.48</v>
      </c>
      <c r="L334" s="2">
        <v>12363</v>
      </c>
      <c r="M334" s="2">
        <v>792506</v>
      </c>
      <c r="N334" s="2">
        <v>738</v>
      </c>
      <c r="O334" s="2" t="s">
        <v>135</v>
      </c>
      <c r="P334" s="2">
        <v>0.2</v>
      </c>
      <c r="Q334" s="2">
        <v>0.89</v>
      </c>
      <c r="R334" s="2">
        <v>0</v>
      </c>
      <c r="S334" s="2">
        <v>29</v>
      </c>
      <c r="T334" s="2">
        <v>340351</v>
      </c>
      <c r="U334" s="2">
        <v>250794</v>
      </c>
      <c r="V334" s="2">
        <v>0</v>
      </c>
      <c r="W334" s="2">
        <v>0</v>
      </c>
      <c r="X334" s="2">
        <v>0</v>
      </c>
      <c r="Y334" s="2" t="s">
        <v>148</v>
      </c>
      <c r="Z334" s="12">
        <f>SUMIF(Table1[product],Table1[[#This Row],[product]],Table1[loan_amount])</f>
        <v>74897600</v>
      </c>
      <c r="AA334" s="15">
        <f>SUMIF(Table1[region],Table1[[#This Row],[region]],Table1[current_balance])</f>
        <v>94548000</v>
      </c>
      <c r="AB334" s="2">
        <f>COUNTIF(Table1[loan_status],Table1[[#This Row],[loan_status]])</f>
        <v>301</v>
      </c>
      <c r="AC334" s="2">
        <f>COUNTIF(Table1[default_flag],1)/ROWS(Table1[loan_id])</f>
        <v>2.5999999999999999E-2</v>
      </c>
      <c r="AD334" s="2">
        <f>COUNTIFS(Table1[region],Table1[[#This Row],[region]],Table1[default_flag],1)/COUNTIF(Table1[region],Table1[[#This Row],[region]])</f>
        <v>0</v>
      </c>
      <c r="AE334" s="2">
        <f>COUNTIFS(Table1[channel],Table1[[#This Row],[channel]],Table1[prepayment_flag],1)/COUNTIF(Table1[channel],Table1[[#This Row],[channel]])</f>
        <v>5.8201058201058198E-2</v>
      </c>
      <c r="AF334" s="2">
        <f>AVERAGEIFS(Table1[interest_rate_pct],Table1[product],Table1[[#This Row],[product]],Table1[risk_band],Table1[[#This Row],[risk_band]])</f>
        <v>16.500166666666669</v>
      </c>
      <c r="AG334" s="2" t="str" cm="1">
        <f t="array" ref="AG334">_xlfn.IFS(Table1[[#This Row],[dti_ratio]] &lt; 0.2, " less than 0.2", Table1[[#This Row],[dti_ratio]] &lt; 0.3, "0.2 - 0.3", Table1[[#This Row],[dti_ratio]] &lt;= 0.5, "0.35 - 0.5", Table1[[#This Row],[dti_ratio]] &gt; 0.5, "greater than 0.5")</f>
        <v>0.2 - 0.3</v>
      </c>
      <c r="AH334" s="2">
        <f>COUNTIF(Table1[DTI band],Table1[[#This Row],[DTI band]])</f>
        <v>122</v>
      </c>
      <c r="AI334" s="2" t="str" cm="1">
        <f t="array" ref="AI334">_xlfn.IFS(Table1[[#This Row],[ltv_ratio]] &lt; 0.6, "less than 0.6 -less risky", Table1[[#This Row],[ltv_ratio]]  &lt;= 0.8, "0.6 - 0.8 -medium risky",Table1[[#This Row],[ltv_ratio]] &gt; 0.8, "greater than 0.8 -highly risky")</f>
        <v>greater than 0.8 -highly risky</v>
      </c>
      <c r="AJ334" s="2">
        <f>COUNTIF(Table1[LTV band],Table1[[#This Row],[LTV band]])</f>
        <v>141</v>
      </c>
      <c r="AK334" s="2">
        <f>COUNTIFS(Table1[count_loan_perband],Table1[[#This Row],[count_loan_perband]],Table1[default_flag],1)/COUNTIF(Table1[count_loan_perband],Table1[[#This Row],[count_loan_perband]])</f>
        <v>1.4184397163120567E-2</v>
      </c>
      <c r="AL334" s="2" t="str" cm="1">
        <f t="array" ref="AL334">_xlfn.IFS(Table1[[#This Row],[loan_amount]] &lt; 900000, "lower size (&lt; 9L)", Table1[[#This Row],[loan_amount]] &lt;=3300000, "medium size (&lt;=33L)", Table1[[#This Row],[loan_amount]] &gt; 3300000, "larger size (&gt; 33L)")</f>
        <v>lower size (&lt; 9L)</v>
      </c>
      <c r="AM334" s="2">
        <f>IF(Table1[[#This Row],[dpd]] &gt;=30,1,0)</f>
        <v>0</v>
      </c>
      <c r="AN334" s="2">
        <f>COUNTIFS(Table1[Loan size],Table1[[#This Row],[Loan size]],Table1[dpd flag],1)/COUNTIF(Table1[Loan size],Table1[[#This Row],[Loan size]])</f>
        <v>0.13934426229508196</v>
      </c>
      <c r="AO334" s="2" t="str">
        <f>IF(OR(Table1[[#This Row],[credit_score]] &lt; 600, Table1[ [#This Row],[dti_ratio] ] &gt; 0.5, Table1[[#This Row],[dpd]] &gt;=30), "high risk", " not riskY")</f>
        <v xml:space="preserve"> not riskY</v>
      </c>
      <c r="AP334" s="26">
        <f>EOMONTH(Table1[[#This Row],[origination_date]],0)</f>
        <v>45138</v>
      </c>
      <c r="AQ334" s="2">
        <f>SUMIFS(Table1[loan_amount],Table1[origination month],Table1[[#This Row],[origination month]])</f>
        <v>25129700</v>
      </c>
      <c r="AR334" s="2">
        <f>AVERAGEIFS(Table1[months_on_book],Table1[product],Table1[[#This Row],[product]])</f>
        <v>21.092024539877301</v>
      </c>
      <c r="AS334" s="2" t="str">
        <f ca="1">IF(EDATE(Table1[[#This Row],[origination_date]],6) &gt;= TODAY(), "New Loan", "Old Loan")</f>
        <v>Old Loan</v>
      </c>
      <c r="AT334" s="2" t="str">
        <f>"Q"&amp;ROUNDUP(MONTH(Table1[[#This Row],[origination_date]])/3,0)&amp;YEAR(Table1[[#This Row],[origination_date]])</f>
        <v>Q32023</v>
      </c>
      <c r="AU334" s="2">
        <f>SUMIFS(Table1[loan_amount],Table1[quarter],Table1[[#This Row],[quarter]])</f>
        <v>77300600</v>
      </c>
      <c r="AV334" s="34" t="str">
        <f>_xlfn.TEXTJOIN("|",TRUE,Table1[[#This Row],[loan_id]:[loan_status]])</f>
        <v>L42997839|C3130703|45116|Personal Loan|Branch|South|Salaried|60|514200|15.48|12363|792506|738|B|0.2|0.89|0|29|340351|250794|0|0|0|Active</v>
      </c>
      <c r="AW334" s="42">
        <f>YEAR(Loan_Table[ [#This Row],[origination_date] ])</f>
        <v>2024</v>
      </c>
    </row>
    <row r="335" spans="2:49" ht="18" customHeight="1">
      <c r="B335" s="5" t="s">
        <v>790</v>
      </c>
      <c r="C335" s="2" t="s">
        <v>791</v>
      </c>
      <c r="D335" s="3">
        <v>45111</v>
      </c>
      <c r="E335" s="2" t="s">
        <v>158</v>
      </c>
      <c r="F335" s="2" t="s">
        <v>132</v>
      </c>
      <c r="G335" s="2" t="s">
        <v>170</v>
      </c>
      <c r="H335" s="2" t="s">
        <v>134</v>
      </c>
      <c r="I335" s="2">
        <v>48</v>
      </c>
      <c r="J335" s="2">
        <v>2736100</v>
      </c>
      <c r="K335" s="2">
        <v>12.85</v>
      </c>
      <c r="L335" s="2">
        <v>73199</v>
      </c>
      <c r="M335" s="2">
        <v>869258</v>
      </c>
      <c r="N335" s="2">
        <v>741</v>
      </c>
      <c r="O335" s="2" t="s">
        <v>135</v>
      </c>
      <c r="P335" s="2">
        <v>0.15</v>
      </c>
      <c r="Q335" s="2">
        <v>0.64</v>
      </c>
      <c r="R335" s="2">
        <v>4282900</v>
      </c>
      <c r="S335" s="2">
        <v>29</v>
      </c>
      <c r="T335" s="2">
        <v>1999442</v>
      </c>
      <c r="U335" s="2">
        <v>1076527</v>
      </c>
      <c r="V335" s="2">
        <v>0</v>
      </c>
      <c r="W335" s="2">
        <v>0</v>
      </c>
      <c r="X335" s="2">
        <v>0</v>
      </c>
      <c r="Y335" s="2" t="s">
        <v>148</v>
      </c>
      <c r="Z335" s="12">
        <f>SUMIF(Table1[product],Table1[[#This Row],[product]],Table1[loan_amount])</f>
        <v>201475100</v>
      </c>
      <c r="AA335" s="15">
        <f>SUMIF(Table1[region],Table1[[#This Row],[region]],Table1[current_balance])</f>
        <v>83297251</v>
      </c>
      <c r="AB335" s="2">
        <f>COUNTIF(Table1[loan_status],Table1[[#This Row],[loan_status]])</f>
        <v>301</v>
      </c>
      <c r="AC335" s="2">
        <f>COUNTIF(Table1[default_flag],1)/ROWS(Table1[loan_id])</f>
        <v>2.5999999999999999E-2</v>
      </c>
      <c r="AD335" s="2">
        <f>COUNTIFS(Table1[region],Table1[[#This Row],[region]],Table1[default_flag],1)/COUNTIF(Table1[region],Table1[[#This Row],[region]])</f>
        <v>3.1914893617021274E-2</v>
      </c>
      <c r="AE335" s="2">
        <f>COUNTIFS(Table1[channel],Table1[[#This Row],[channel]],Table1[prepayment_flag],1)/COUNTIF(Table1[channel],Table1[[#This Row],[channel]])</f>
        <v>7.1090047393364927E-2</v>
      </c>
      <c r="AF335" s="2">
        <f>AVERAGEIFS(Table1[interest_rate_pct],Table1[product],Table1[[#This Row],[product]],Table1[risk_band],Table1[[#This Row],[risk_band]])</f>
        <v>13.042631578947367</v>
      </c>
      <c r="AG335" s="2" t="str" cm="1">
        <f t="array" ref="AG335">_xlfn.IFS(Table1[[#This Row],[dti_ratio]] &lt; 0.2, " less than 0.2", Table1[[#This Row],[dti_ratio]] &lt; 0.3, "0.2 - 0.3", Table1[[#This Row],[dti_ratio]] &lt;= 0.5, "0.35 - 0.5", Table1[[#This Row],[dti_ratio]] &gt; 0.5, "greater than 0.5")</f>
        <v xml:space="preserve"> less than 0.2</v>
      </c>
      <c r="AH335" s="2">
        <f>COUNTIF(Table1[DTI band],Table1[[#This Row],[DTI band]])</f>
        <v>86</v>
      </c>
      <c r="AI335" s="2" t="str" cm="1">
        <f t="array" ref="AI335">_xlfn.IFS(Table1[[#This Row],[ltv_ratio]] &lt; 0.6, "less than 0.6 -less risky", Table1[[#This Row],[ltv_ratio]]  &lt;= 0.8, "0.6 - 0.8 -medium risky",Table1[[#This Row],[ltv_ratio]] &gt; 0.8, "greater than 0.8 -highly risky")</f>
        <v>0.6 - 0.8 -medium risky</v>
      </c>
      <c r="AJ335" s="2">
        <f>COUNTIF(Table1[LTV band],Table1[[#This Row],[LTV band]])</f>
        <v>302</v>
      </c>
      <c r="AK335" s="2">
        <f>COUNTIFS(Table1[count_loan_perband],Table1[[#This Row],[count_loan_perband]],Table1[default_flag],1)/COUNTIF(Table1[count_loan_perband],Table1[[#This Row],[count_loan_perband]])</f>
        <v>3.6423841059602648E-2</v>
      </c>
      <c r="AL335" s="2" t="str" cm="1">
        <f t="array" ref="AL335">_xlfn.IFS(Table1[[#This Row],[loan_amount]] &lt; 900000, "lower size (&lt; 9L)", Table1[[#This Row],[loan_amount]] &lt;=3300000, "medium size (&lt;=33L)", Table1[[#This Row],[loan_amount]] &gt; 3300000, "larger size (&gt; 33L)")</f>
        <v>medium size (&lt;=33L)</v>
      </c>
      <c r="AM335" s="2">
        <f>IF(Table1[[#This Row],[dpd]] &gt;=30,1,0)</f>
        <v>0</v>
      </c>
      <c r="AN335" s="2">
        <f>COUNTIFS(Table1[Loan size],Table1[[#This Row],[Loan size]],Table1[dpd flag],1)/COUNTIF(Table1[Loan size],Table1[[#This Row],[Loan size]])</f>
        <v>0.15909090909090909</v>
      </c>
      <c r="AO335" s="2" t="str">
        <f>IF(OR(Table1[[#This Row],[credit_score]] &lt; 600, Table1[ [#This Row],[dti_ratio] ] &gt; 0.5, Table1[[#This Row],[dpd]] &gt;=30), "high risk", " not riskY")</f>
        <v xml:space="preserve"> not riskY</v>
      </c>
      <c r="AP335" s="26">
        <f>EOMONTH(Table1[[#This Row],[origination_date]],0)</f>
        <v>45138</v>
      </c>
      <c r="AQ335" s="2">
        <f>SUMIFS(Table1[loan_amount],Table1[origination month],Table1[[#This Row],[origination month]])</f>
        <v>25129700</v>
      </c>
      <c r="AR335" s="2">
        <f>AVERAGEIFS(Table1[months_on_book],Table1[product],Table1[[#This Row],[product]])</f>
        <v>19.091954022988507</v>
      </c>
      <c r="AS335" s="2" t="str">
        <f ca="1">IF(EDATE(Table1[[#This Row],[origination_date]],6) &gt;= TODAY(), "New Loan", "Old Loan")</f>
        <v>Old Loan</v>
      </c>
      <c r="AT335" s="2" t="str">
        <f>"Q"&amp;ROUNDUP(MONTH(Table1[[#This Row],[origination_date]])/3,0)&amp;YEAR(Table1[[#This Row],[origination_date]])</f>
        <v>Q32023</v>
      </c>
      <c r="AU335" s="2">
        <f>SUMIFS(Table1[loan_amount],Table1[quarter],Table1[[#This Row],[quarter]])</f>
        <v>77300600</v>
      </c>
      <c r="AV335" s="34" t="str">
        <f>_xlfn.TEXTJOIN("|",TRUE,Table1[[#This Row],[loan_id]:[loan_status]])</f>
        <v>L60132893|C1652203|45111|SME Loan|Online|East|Salaried|48|2736100|12.85|73199|869258|741|B|0.15|0.64|4282900|29|1999442|1076527|0|0|0|Active</v>
      </c>
      <c r="AW335" s="42">
        <f>YEAR(Loan_Table[ [#This Row],[origination_date] ])</f>
        <v>2024</v>
      </c>
    </row>
    <row r="336" spans="2:49" ht="18" customHeight="1">
      <c r="B336" s="5" t="s">
        <v>792</v>
      </c>
      <c r="C336" s="2" t="s">
        <v>793</v>
      </c>
      <c r="D336" s="3">
        <v>45155</v>
      </c>
      <c r="E336" s="2" t="s">
        <v>169</v>
      </c>
      <c r="F336" s="2" t="s">
        <v>144</v>
      </c>
      <c r="G336" s="2" t="s">
        <v>151</v>
      </c>
      <c r="H336" s="2" t="s">
        <v>134</v>
      </c>
      <c r="I336" s="2">
        <v>24</v>
      </c>
      <c r="J336" s="2">
        <v>5541900</v>
      </c>
      <c r="K336" s="2">
        <v>7</v>
      </c>
      <c r="L336" s="2">
        <v>248125</v>
      </c>
      <c r="M336" s="2">
        <v>427353</v>
      </c>
      <c r="N336" s="2">
        <v>812</v>
      </c>
      <c r="O336" s="2" t="s">
        <v>160</v>
      </c>
      <c r="P336" s="2">
        <v>0.15</v>
      </c>
      <c r="Q336" s="2">
        <v>0.72</v>
      </c>
      <c r="R336" s="2">
        <v>7745900</v>
      </c>
      <c r="S336" s="2">
        <v>24</v>
      </c>
      <c r="T336" s="2">
        <v>5190183</v>
      </c>
      <c r="U336" s="2">
        <v>662063</v>
      </c>
      <c r="V336" s="2">
        <v>0</v>
      </c>
      <c r="W336" s="2">
        <v>0</v>
      </c>
      <c r="X336" s="2">
        <v>0</v>
      </c>
      <c r="Y336" s="2" t="s">
        <v>141</v>
      </c>
      <c r="Z336" s="12">
        <f>SUMIF(Table1[product],Table1[[#This Row],[product]],Table1[loan_amount])</f>
        <v>403369500</v>
      </c>
      <c r="AA336" s="15">
        <f>SUMIF(Table1[region],Table1[[#This Row],[region]],Table1[current_balance])</f>
        <v>105779369</v>
      </c>
      <c r="AB336" s="2">
        <f>COUNTIF(Table1[loan_status],Table1[[#This Row],[loan_status]])</f>
        <v>139</v>
      </c>
      <c r="AC336" s="2">
        <f>COUNTIF(Table1[default_flag],1)/ROWS(Table1[loan_id])</f>
        <v>2.5999999999999999E-2</v>
      </c>
      <c r="AD336" s="2">
        <f>COUNTIFS(Table1[region],Table1[[#This Row],[region]],Table1[default_flag],1)/COUNTIF(Table1[region],Table1[[#This Row],[region]])</f>
        <v>2.6548672566371681E-2</v>
      </c>
      <c r="AE336" s="2">
        <f>COUNTIFS(Table1[channel],Table1[[#This Row],[channel]],Table1[prepayment_flag],1)/COUNTIF(Table1[channel],Table1[[#This Row],[channel]])</f>
        <v>5.8201058201058198E-2</v>
      </c>
      <c r="AF336" s="2">
        <f>AVERAGEIFS(Table1[interest_rate_pct],Table1[product],Table1[[#This Row],[product]],Table1[risk_band],Table1[[#This Row],[risk_band]])</f>
        <v>7.1876190476190471</v>
      </c>
      <c r="AG336" s="2" t="str" cm="1">
        <f t="array" ref="AG336">_xlfn.IFS(Table1[[#This Row],[dti_ratio]] &lt; 0.2, " less than 0.2", Table1[[#This Row],[dti_ratio]] &lt; 0.3, "0.2 - 0.3", Table1[[#This Row],[dti_ratio]] &lt;= 0.5, "0.35 - 0.5", Table1[[#This Row],[dti_ratio]] &gt; 0.5, "greater than 0.5")</f>
        <v xml:space="preserve"> less than 0.2</v>
      </c>
      <c r="AH336" s="2">
        <f>COUNTIF(Table1[DTI band],Table1[[#This Row],[DTI band]])</f>
        <v>86</v>
      </c>
      <c r="AI336" s="2" t="str" cm="1">
        <f t="array" ref="AI336">_xlfn.IFS(Table1[[#This Row],[ltv_ratio]] &lt; 0.6, "less than 0.6 -less risky", Table1[[#This Row],[ltv_ratio]]  &lt;= 0.8, "0.6 - 0.8 -medium risky",Table1[[#This Row],[ltv_ratio]] &gt; 0.8, "greater than 0.8 -highly risky")</f>
        <v>0.6 - 0.8 -medium risky</v>
      </c>
      <c r="AJ336" s="2">
        <f>COUNTIF(Table1[LTV band],Table1[[#This Row],[LTV band]])</f>
        <v>302</v>
      </c>
      <c r="AK336" s="2">
        <f>COUNTIFS(Table1[count_loan_perband],Table1[[#This Row],[count_loan_perband]],Table1[default_flag],1)/COUNTIF(Table1[count_loan_perband],Table1[[#This Row],[count_loan_perband]])</f>
        <v>3.6423841059602648E-2</v>
      </c>
      <c r="AL336" s="2" t="str" cm="1">
        <f t="array" ref="AL336">_xlfn.IFS(Table1[[#This Row],[loan_amount]] &lt; 900000, "lower size (&lt; 9L)", Table1[[#This Row],[loan_amount]] &lt;=3300000, "medium size (&lt;=33L)", Table1[[#This Row],[loan_amount]] &gt; 3300000, "larger size (&gt; 33L)")</f>
        <v>larger size (&gt; 33L)</v>
      </c>
      <c r="AM336" s="2">
        <f>IF(Table1[[#This Row],[dpd]] &gt;=30,1,0)</f>
        <v>0</v>
      </c>
      <c r="AN336" s="2">
        <f>COUNTIFS(Table1[Loan size],Table1[[#This Row],[Loan size]],Table1[dpd flag],1)/COUNTIF(Table1[Loan size],Table1[[#This Row],[Loan size]])</f>
        <v>0.16250000000000001</v>
      </c>
      <c r="AO336" s="2" t="str">
        <f>IF(OR(Table1[[#This Row],[credit_score]] &lt; 600, Table1[ [#This Row],[dti_ratio] ] &gt; 0.5, Table1[[#This Row],[dpd]] &gt;=30), "high risk", " not riskY")</f>
        <v xml:space="preserve"> not riskY</v>
      </c>
      <c r="AP336" s="26">
        <f>EOMONTH(Table1[[#This Row],[origination_date]],0)</f>
        <v>45169</v>
      </c>
      <c r="AQ336" s="2">
        <f>SUMIFS(Table1[loan_amount],Table1[origination month],Table1[[#This Row],[origination month]])</f>
        <v>38355800</v>
      </c>
      <c r="AR336" s="2">
        <f>AVERAGEIFS(Table1[months_on_book],Table1[product],Table1[[#This Row],[product]])</f>
        <v>20.516129032258064</v>
      </c>
      <c r="AS336" s="2" t="str">
        <f ca="1">IF(EDATE(Table1[[#This Row],[origination_date]],6) &gt;= TODAY(), "New Loan", "Old Loan")</f>
        <v>Old Loan</v>
      </c>
      <c r="AT336" s="2" t="str">
        <f>"Q"&amp;ROUNDUP(MONTH(Table1[[#This Row],[origination_date]])/3,0)&amp;YEAR(Table1[[#This Row],[origination_date]])</f>
        <v>Q32023</v>
      </c>
      <c r="AU336" s="2">
        <f>SUMIFS(Table1[loan_amount],Table1[quarter],Table1[[#This Row],[quarter]])</f>
        <v>77300600</v>
      </c>
      <c r="AV336" s="34" t="str">
        <f>_xlfn.TEXTJOIN("|",TRUE,Table1[[#This Row],[loan_id]:[loan_status]])</f>
        <v>L51670702|C6284350|45155|Home Loan|Branch|North|Salaried|24|5541900|7|248125|427353|812|A|0.15|0.72|7745900|24|5190183|662063|0|0|0|Closed</v>
      </c>
      <c r="AW336" s="42">
        <f>YEAR(Loan_Table[ [#This Row],[origination_date] ])</f>
        <v>2024</v>
      </c>
    </row>
    <row r="337" spans="2:49" ht="18" customHeight="1">
      <c r="B337" s="5" t="s">
        <v>794</v>
      </c>
      <c r="C337" s="2" t="s">
        <v>795</v>
      </c>
      <c r="D337" s="3">
        <v>45158</v>
      </c>
      <c r="E337" s="2" t="s">
        <v>131</v>
      </c>
      <c r="F337" s="2" t="s">
        <v>132</v>
      </c>
      <c r="G337" s="2" t="s">
        <v>133</v>
      </c>
      <c r="H337" s="2" t="s">
        <v>152</v>
      </c>
      <c r="I337" s="2">
        <v>18</v>
      </c>
      <c r="J337" s="2">
        <v>424100</v>
      </c>
      <c r="K337" s="2">
        <v>20.04</v>
      </c>
      <c r="L337" s="2">
        <v>27474</v>
      </c>
      <c r="M337" s="2">
        <v>893034</v>
      </c>
      <c r="N337" s="2">
        <v>630</v>
      </c>
      <c r="O337" s="2" t="s">
        <v>147</v>
      </c>
      <c r="P337" s="2">
        <v>0.11</v>
      </c>
      <c r="Q337" s="2">
        <v>0.73</v>
      </c>
      <c r="R337" s="2">
        <v>0</v>
      </c>
      <c r="S337" s="2">
        <v>18</v>
      </c>
      <c r="T337" s="2">
        <v>442316</v>
      </c>
      <c r="U337" s="2">
        <v>32778</v>
      </c>
      <c r="V337" s="2">
        <v>0</v>
      </c>
      <c r="W337" s="2">
        <v>0</v>
      </c>
      <c r="X337" s="2">
        <v>0</v>
      </c>
      <c r="Y337" s="2" t="s">
        <v>141</v>
      </c>
      <c r="Z337" s="12">
        <f>SUMIF(Table1[product],Table1[[#This Row],[product]],Table1[loan_amount])</f>
        <v>74897600</v>
      </c>
      <c r="AA337" s="15">
        <f>SUMIF(Table1[region],Table1[[#This Row],[region]],Table1[current_balance])</f>
        <v>94548000</v>
      </c>
      <c r="AB337" s="2">
        <f>COUNTIF(Table1[loan_status],Table1[[#This Row],[loan_status]])</f>
        <v>139</v>
      </c>
      <c r="AC337" s="2">
        <f>COUNTIF(Table1[default_flag],1)/ROWS(Table1[loan_id])</f>
        <v>2.5999999999999999E-2</v>
      </c>
      <c r="AD337" s="2">
        <f>COUNTIFS(Table1[region],Table1[[#This Row],[region]],Table1[default_flag],1)/COUNTIF(Table1[region],Table1[[#This Row],[region]])</f>
        <v>0</v>
      </c>
      <c r="AE337" s="2">
        <f>COUNTIFS(Table1[channel],Table1[[#This Row],[channel]],Table1[prepayment_flag],1)/COUNTIF(Table1[channel],Table1[[#This Row],[channel]])</f>
        <v>7.1090047393364927E-2</v>
      </c>
      <c r="AF337" s="2">
        <f>AVERAGEIFS(Table1[interest_rate_pct],Table1[product],Table1[[#This Row],[product]],Table1[risk_band],Table1[[#This Row],[risk_band]])</f>
        <v>20.962592592592593</v>
      </c>
      <c r="AG337" s="2" t="str" cm="1">
        <f t="array" ref="AG337">_xlfn.IFS(Table1[[#This Row],[dti_ratio]] &lt; 0.2, " less than 0.2", Table1[[#This Row],[dti_ratio]] &lt; 0.3, "0.2 - 0.3", Table1[[#This Row],[dti_ratio]] &lt;= 0.5, "0.35 - 0.5", Table1[[#This Row],[dti_ratio]] &gt; 0.5, "greater than 0.5")</f>
        <v xml:space="preserve"> less than 0.2</v>
      </c>
      <c r="AH337" s="2">
        <f>COUNTIF(Table1[DTI band],Table1[[#This Row],[DTI band]])</f>
        <v>86</v>
      </c>
      <c r="AI337" s="2" t="str" cm="1">
        <f t="array" ref="AI337">_xlfn.IFS(Table1[[#This Row],[ltv_ratio]] &lt; 0.6, "less than 0.6 -less risky", Table1[[#This Row],[ltv_ratio]]  &lt;= 0.8, "0.6 - 0.8 -medium risky",Table1[[#This Row],[ltv_ratio]] &gt; 0.8, "greater than 0.8 -highly risky")</f>
        <v>0.6 - 0.8 -medium risky</v>
      </c>
      <c r="AJ337" s="2">
        <f>COUNTIF(Table1[LTV band],Table1[[#This Row],[LTV band]])</f>
        <v>302</v>
      </c>
      <c r="AK337" s="2">
        <f>COUNTIFS(Table1[count_loan_perband],Table1[[#This Row],[count_loan_perband]],Table1[default_flag],1)/COUNTIF(Table1[count_loan_perband],Table1[[#This Row],[count_loan_perband]])</f>
        <v>3.6423841059602648E-2</v>
      </c>
      <c r="AL337" s="2" t="str" cm="1">
        <f t="array" ref="AL337">_xlfn.IFS(Table1[[#This Row],[loan_amount]] &lt; 900000, "lower size (&lt; 9L)", Table1[[#This Row],[loan_amount]] &lt;=3300000, "medium size (&lt;=33L)", Table1[[#This Row],[loan_amount]] &gt; 3300000, "larger size (&gt; 33L)")</f>
        <v>lower size (&lt; 9L)</v>
      </c>
      <c r="AM337" s="2">
        <f>IF(Table1[[#This Row],[dpd]] &gt;=30,1,0)</f>
        <v>0</v>
      </c>
      <c r="AN337" s="2">
        <f>COUNTIFS(Table1[Loan size],Table1[[#This Row],[Loan size]],Table1[dpd flag],1)/COUNTIF(Table1[Loan size],Table1[[#This Row],[Loan size]])</f>
        <v>0.13934426229508196</v>
      </c>
      <c r="AO337" s="2" t="str">
        <f>IF(OR(Table1[[#This Row],[credit_score]] &lt; 600, Table1[ [#This Row],[dti_ratio] ] &gt; 0.5, Table1[[#This Row],[dpd]] &gt;=30), "high risk", " not riskY")</f>
        <v xml:space="preserve"> not riskY</v>
      </c>
      <c r="AP337" s="26">
        <f>EOMONTH(Table1[[#This Row],[origination_date]],0)</f>
        <v>45169</v>
      </c>
      <c r="AQ337" s="2">
        <f>SUMIFS(Table1[loan_amount],Table1[origination month],Table1[[#This Row],[origination month]])</f>
        <v>38355800</v>
      </c>
      <c r="AR337" s="2">
        <f>AVERAGEIFS(Table1[months_on_book],Table1[product],Table1[[#This Row],[product]])</f>
        <v>21.092024539877301</v>
      </c>
      <c r="AS337" s="2" t="str">
        <f ca="1">IF(EDATE(Table1[[#This Row],[origination_date]],6) &gt;= TODAY(), "New Loan", "Old Loan")</f>
        <v>Old Loan</v>
      </c>
      <c r="AT337" s="2" t="str">
        <f>"Q"&amp;ROUNDUP(MONTH(Table1[[#This Row],[origination_date]])/3,0)&amp;YEAR(Table1[[#This Row],[origination_date]])</f>
        <v>Q32023</v>
      </c>
      <c r="AU337" s="2">
        <f>SUMIFS(Table1[loan_amount],Table1[quarter],Table1[[#This Row],[quarter]])</f>
        <v>77300600</v>
      </c>
      <c r="AV337" s="34" t="str">
        <f>_xlfn.TEXTJOIN("|",TRUE,Table1[[#This Row],[loan_id]:[loan_status]])</f>
        <v>L28212702|C8073602|45158|Personal Loan|Online|South|Self-Employed|18|424100|20.04|27474|893034|630|D|0.11|0.73|0|18|442316|32778|0|0|0|Closed</v>
      </c>
      <c r="AW337" s="42">
        <f>YEAR(Loan_Table[ [#This Row],[origination_date] ])</f>
        <v>2024</v>
      </c>
    </row>
    <row r="338" spans="2:49" ht="18" customHeight="1">
      <c r="B338" s="5" t="s">
        <v>796</v>
      </c>
      <c r="C338" s="2" t="s">
        <v>797</v>
      </c>
      <c r="D338" s="3">
        <v>45547</v>
      </c>
      <c r="E338" s="2" t="s">
        <v>169</v>
      </c>
      <c r="F338" s="2" t="s">
        <v>132</v>
      </c>
      <c r="G338" s="2" t="s">
        <v>133</v>
      </c>
      <c r="H338" s="2" t="s">
        <v>134</v>
      </c>
      <c r="I338" s="2">
        <v>36</v>
      </c>
      <c r="J338" s="2">
        <v>5230500</v>
      </c>
      <c r="K338" s="2">
        <v>8.23</v>
      </c>
      <c r="L338" s="2">
        <v>164460</v>
      </c>
      <c r="M338" s="2">
        <v>1064439</v>
      </c>
      <c r="N338" s="2">
        <v>751</v>
      </c>
      <c r="O338" s="2" t="s">
        <v>160</v>
      </c>
      <c r="P338" s="2">
        <v>0.54</v>
      </c>
      <c r="Q338" s="2">
        <v>0.64</v>
      </c>
      <c r="R338" s="2">
        <v>8166200</v>
      </c>
      <c r="S338" s="2">
        <v>15</v>
      </c>
      <c r="T338" s="2">
        <v>2181392</v>
      </c>
      <c r="U338" s="2">
        <v>3264343</v>
      </c>
      <c r="V338" s="2">
        <v>45</v>
      </c>
      <c r="W338" s="2">
        <v>0</v>
      </c>
      <c r="X338" s="2">
        <v>0</v>
      </c>
      <c r="Y338" s="2" t="s">
        <v>136</v>
      </c>
      <c r="Z338" s="12">
        <f>SUMIF(Table1[product],Table1[[#This Row],[product]],Table1[loan_amount])</f>
        <v>403369500</v>
      </c>
      <c r="AA338" s="15">
        <f>SUMIF(Table1[region],Table1[[#This Row],[region]],Table1[current_balance])</f>
        <v>94548000</v>
      </c>
      <c r="AB338" s="2">
        <f>COUNTIF(Table1[loan_status],Table1[[#This Row],[loan_status]])</f>
        <v>47</v>
      </c>
      <c r="AC338" s="2">
        <f>COUNTIF(Table1[default_flag],1)/ROWS(Table1[loan_id])</f>
        <v>2.5999999999999999E-2</v>
      </c>
      <c r="AD338" s="2">
        <f>COUNTIFS(Table1[region],Table1[[#This Row],[region]],Table1[default_flag],1)/COUNTIF(Table1[region],Table1[[#This Row],[region]])</f>
        <v>0</v>
      </c>
      <c r="AE338" s="2">
        <f>COUNTIFS(Table1[channel],Table1[[#This Row],[channel]],Table1[prepayment_flag],1)/COUNTIF(Table1[channel],Table1[[#This Row],[channel]])</f>
        <v>7.1090047393364927E-2</v>
      </c>
      <c r="AF338" s="2">
        <f>AVERAGEIFS(Table1[interest_rate_pct],Table1[product],Table1[[#This Row],[product]],Table1[risk_band],Table1[[#This Row],[risk_band]])</f>
        <v>7.1876190476190471</v>
      </c>
      <c r="AG338" s="2" t="str" cm="1">
        <f t="array" ref="AG338">_xlfn.IFS(Table1[[#This Row],[dti_ratio]] &lt; 0.2, " less than 0.2", Table1[[#This Row],[dti_ratio]] &lt; 0.3, "0.2 - 0.3", Table1[[#This Row],[dti_ratio]] &lt;= 0.5, "0.35 - 0.5", Table1[[#This Row],[dti_ratio]] &gt; 0.5, "greater than 0.5")</f>
        <v>greater than 0.5</v>
      </c>
      <c r="AH338" s="2">
        <f>COUNTIF(Table1[DTI band],Table1[[#This Row],[DTI band]])</f>
        <v>32</v>
      </c>
      <c r="AI338" s="2" t="str" cm="1">
        <f t="array" ref="AI338">_xlfn.IFS(Table1[[#This Row],[ltv_ratio]] &lt; 0.6, "less than 0.6 -less risky", Table1[[#This Row],[ltv_ratio]]  &lt;= 0.8, "0.6 - 0.8 -medium risky",Table1[[#This Row],[ltv_ratio]] &gt; 0.8, "greater than 0.8 -highly risky")</f>
        <v>0.6 - 0.8 -medium risky</v>
      </c>
      <c r="AJ338" s="2">
        <f>COUNTIF(Table1[LTV band],Table1[[#This Row],[LTV band]])</f>
        <v>302</v>
      </c>
      <c r="AK338" s="2">
        <f>COUNTIFS(Table1[count_loan_perband],Table1[[#This Row],[count_loan_perband]],Table1[default_flag],1)/COUNTIF(Table1[count_loan_perband],Table1[[#This Row],[count_loan_perband]])</f>
        <v>3.6423841059602648E-2</v>
      </c>
      <c r="AL338" s="2" t="str" cm="1">
        <f t="array" ref="AL338">_xlfn.IFS(Table1[[#This Row],[loan_amount]] &lt; 900000, "lower size (&lt; 9L)", Table1[[#This Row],[loan_amount]] &lt;=3300000, "medium size (&lt;=33L)", Table1[[#This Row],[loan_amount]] &gt; 3300000, "larger size (&gt; 33L)")</f>
        <v>larger size (&gt; 33L)</v>
      </c>
      <c r="AM338" s="2">
        <f>IF(Table1[[#This Row],[dpd]] &gt;=30,1,0)</f>
        <v>1</v>
      </c>
      <c r="AN338" s="2">
        <f>COUNTIFS(Table1[Loan size],Table1[[#This Row],[Loan size]],Table1[dpd flag],1)/COUNTIF(Table1[Loan size],Table1[[#This Row],[Loan size]])</f>
        <v>0.16250000000000001</v>
      </c>
      <c r="AO338" s="2" t="str">
        <f>IF(OR(Table1[[#This Row],[credit_score]] &lt; 600, Table1[ [#This Row],[dti_ratio] ] &gt; 0.5, Table1[[#This Row],[dpd]] &gt;=30), "high risk", " not riskY")</f>
        <v>high risk</v>
      </c>
      <c r="AP338" s="26">
        <f>EOMONTH(Table1[[#This Row],[origination_date]],0)</f>
        <v>45565</v>
      </c>
      <c r="AQ338" s="2">
        <f>SUMIFS(Table1[loan_amount],Table1[origination month],Table1[[#This Row],[origination month]])</f>
        <v>11027600</v>
      </c>
      <c r="AR338" s="2">
        <f>AVERAGEIFS(Table1[months_on_book],Table1[product],Table1[[#This Row],[product]])</f>
        <v>20.516129032258064</v>
      </c>
      <c r="AS338" s="2" t="str">
        <f ca="1">IF(EDATE(Table1[[#This Row],[origination_date]],6) &gt;= TODAY(), "New Loan", "Old Loan")</f>
        <v>Old Loan</v>
      </c>
      <c r="AT338" s="2" t="str">
        <f>"Q"&amp;ROUNDUP(MONTH(Table1[[#This Row],[origination_date]])/3,0)&amp;YEAR(Table1[[#This Row],[origination_date]])</f>
        <v>Q32024</v>
      </c>
      <c r="AU338" s="2">
        <f>SUMIFS(Table1[loan_amount],Table1[quarter],Table1[[#This Row],[quarter]])</f>
        <v>52597700</v>
      </c>
      <c r="AV338" s="34" t="str">
        <f>_xlfn.TEXTJOIN("|",TRUE,Table1[[#This Row],[loan_id]:[loan_status]])</f>
        <v>L31054553|C9644437|45547|Home Loan|Online|South|Salaried|36|5230500|8.23|164460|1064439|751|A|0.54|0.64|8166200|15|2181392|3264343|45|0|0|Delinquent</v>
      </c>
      <c r="AW338" s="42">
        <f>YEAR(Loan_Table[ [#This Row],[origination_date] ])</f>
        <v>2024</v>
      </c>
    </row>
    <row r="339" spans="2:49" ht="18" customHeight="1">
      <c r="B339" s="5" t="s">
        <v>798</v>
      </c>
      <c r="C339" s="2" t="s">
        <v>799</v>
      </c>
      <c r="D339" s="3">
        <v>45545</v>
      </c>
      <c r="E339" s="2" t="s">
        <v>158</v>
      </c>
      <c r="F339" s="2" t="s">
        <v>144</v>
      </c>
      <c r="G339" s="2" t="s">
        <v>170</v>
      </c>
      <c r="H339" s="2" t="s">
        <v>134</v>
      </c>
      <c r="I339" s="2">
        <v>360</v>
      </c>
      <c r="J339" s="2">
        <v>1501500</v>
      </c>
      <c r="K339" s="2">
        <v>16.989999999999998</v>
      </c>
      <c r="L339" s="2">
        <v>21394</v>
      </c>
      <c r="M339" s="2">
        <v>1221798</v>
      </c>
      <c r="N339" s="2">
        <v>660</v>
      </c>
      <c r="O339" s="2" t="s">
        <v>140</v>
      </c>
      <c r="P339" s="2">
        <v>0.52</v>
      </c>
      <c r="Q339" s="2">
        <v>0.7</v>
      </c>
      <c r="R339" s="2">
        <v>2144900</v>
      </c>
      <c r="S339" s="2">
        <v>15</v>
      </c>
      <c r="T339" s="2">
        <v>295893</v>
      </c>
      <c r="U339" s="2">
        <v>1333159</v>
      </c>
      <c r="V339" s="2">
        <v>15</v>
      </c>
      <c r="W339" s="2">
        <v>0</v>
      </c>
      <c r="X339" s="2">
        <v>0</v>
      </c>
      <c r="Y339" s="2" t="s">
        <v>148</v>
      </c>
      <c r="Z339" s="12">
        <f>SUMIF(Table1[product],Table1[[#This Row],[product]],Table1[loan_amount])</f>
        <v>201475100</v>
      </c>
      <c r="AA339" s="15">
        <f>SUMIF(Table1[region],Table1[[#This Row],[region]],Table1[current_balance])</f>
        <v>83297251</v>
      </c>
      <c r="AB339" s="2">
        <f>COUNTIF(Table1[loan_status],Table1[[#This Row],[loan_status]])</f>
        <v>301</v>
      </c>
      <c r="AC339" s="2">
        <f>COUNTIF(Table1[default_flag],1)/ROWS(Table1[loan_id])</f>
        <v>2.5999999999999999E-2</v>
      </c>
      <c r="AD339" s="2">
        <f>COUNTIFS(Table1[region],Table1[[#This Row],[region]],Table1[default_flag],1)/COUNTIF(Table1[region],Table1[[#This Row],[region]])</f>
        <v>3.1914893617021274E-2</v>
      </c>
      <c r="AE339" s="2">
        <f>COUNTIFS(Table1[channel],Table1[[#This Row],[channel]],Table1[prepayment_flag],1)/COUNTIF(Table1[channel],Table1[[#This Row],[channel]])</f>
        <v>5.8201058201058198E-2</v>
      </c>
      <c r="AF339" s="2">
        <f>AVERAGEIFS(Table1[interest_rate_pct],Table1[product],Table1[[#This Row],[product]],Table1[risk_band],Table1[[#This Row],[risk_band]])</f>
        <v>15.841379310344831</v>
      </c>
      <c r="AG339" s="2" t="str" cm="1">
        <f t="array" ref="AG339">_xlfn.IFS(Table1[[#This Row],[dti_ratio]] &lt; 0.2, " less than 0.2", Table1[[#This Row],[dti_ratio]] &lt; 0.3, "0.2 - 0.3", Table1[[#This Row],[dti_ratio]] &lt;= 0.5, "0.35 - 0.5", Table1[[#This Row],[dti_ratio]] &gt; 0.5, "greater than 0.5")</f>
        <v>greater than 0.5</v>
      </c>
      <c r="AH339" s="2">
        <f>COUNTIF(Table1[DTI band],Table1[[#This Row],[DTI band]])</f>
        <v>32</v>
      </c>
      <c r="AI339" s="2" t="str" cm="1">
        <f t="array" ref="AI339">_xlfn.IFS(Table1[[#This Row],[ltv_ratio]] &lt; 0.6, "less than 0.6 -less risky", Table1[[#This Row],[ltv_ratio]]  &lt;= 0.8, "0.6 - 0.8 -medium risky",Table1[[#This Row],[ltv_ratio]] &gt; 0.8, "greater than 0.8 -highly risky")</f>
        <v>0.6 - 0.8 -medium risky</v>
      </c>
      <c r="AJ339" s="2">
        <f>COUNTIF(Table1[LTV band],Table1[[#This Row],[LTV band]])</f>
        <v>302</v>
      </c>
      <c r="AK339" s="2">
        <f>COUNTIFS(Table1[count_loan_perband],Table1[[#This Row],[count_loan_perband]],Table1[default_flag],1)/COUNTIF(Table1[count_loan_perband],Table1[[#This Row],[count_loan_perband]])</f>
        <v>3.6423841059602648E-2</v>
      </c>
      <c r="AL339" s="2" t="str" cm="1">
        <f t="array" ref="AL339">_xlfn.IFS(Table1[[#This Row],[loan_amount]] &lt; 900000, "lower size (&lt; 9L)", Table1[[#This Row],[loan_amount]] &lt;=3300000, "medium size (&lt;=33L)", Table1[[#This Row],[loan_amount]] &gt; 3300000, "larger size (&gt; 33L)")</f>
        <v>medium size (&lt;=33L)</v>
      </c>
      <c r="AM339" s="2">
        <f>IF(Table1[[#This Row],[dpd]] &gt;=30,1,0)</f>
        <v>0</v>
      </c>
      <c r="AN339" s="2">
        <f>COUNTIFS(Table1[Loan size],Table1[[#This Row],[Loan size]],Table1[dpd flag],1)/COUNTIF(Table1[Loan size],Table1[[#This Row],[Loan size]])</f>
        <v>0.15909090909090909</v>
      </c>
      <c r="AO339" s="2" t="str">
        <f>IF(OR(Table1[[#This Row],[credit_score]] &lt; 600, Table1[ [#This Row],[dti_ratio] ] &gt; 0.5, Table1[[#This Row],[dpd]] &gt;=30), "high risk", " not riskY")</f>
        <v>high risk</v>
      </c>
      <c r="AP339" s="26">
        <f>EOMONTH(Table1[[#This Row],[origination_date]],0)</f>
        <v>45565</v>
      </c>
      <c r="AQ339" s="2">
        <f>SUMIFS(Table1[loan_amount],Table1[origination month],Table1[[#This Row],[origination month]])</f>
        <v>11027600</v>
      </c>
      <c r="AR339" s="2">
        <f>AVERAGEIFS(Table1[months_on_book],Table1[product],Table1[[#This Row],[product]])</f>
        <v>19.091954022988507</v>
      </c>
      <c r="AS339" s="2" t="str">
        <f ca="1">IF(EDATE(Table1[[#This Row],[origination_date]],6) &gt;= TODAY(), "New Loan", "Old Loan")</f>
        <v>Old Loan</v>
      </c>
      <c r="AT339" s="2" t="str">
        <f>"Q"&amp;ROUNDUP(MONTH(Table1[[#This Row],[origination_date]])/3,0)&amp;YEAR(Table1[[#This Row],[origination_date]])</f>
        <v>Q32024</v>
      </c>
      <c r="AU339" s="2">
        <f>SUMIFS(Table1[loan_amount],Table1[quarter],Table1[[#This Row],[quarter]])</f>
        <v>52597700</v>
      </c>
      <c r="AV339" s="34" t="str">
        <f>_xlfn.TEXTJOIN("|",TRUE,Table1[[#This Row],[loan_id]:[loan_status]])</f>
        <v>L23886054|C1391275|45545|SME Loan|Branch|East|Salaried|360|1501500|16.99|21394|1221798|660|C|0.52|0.7|2144900|15|295893|1333159|15|0|0|Active</v>
      </c>
      <c r="AW339" s="42">
        <f>YEAR(Loan_Table[ [#This Row],[origination_date] ])</f>
        <v>2024</v>
      </c>
    </row>
    <row r="340" spans="2:49" ht="18" customHeight="1">
      <c r="B340" s="5" t="s">
        <v>800</v>
      </c>
      <c r="C340" s="2" t="s">
        <v>801</v>
      </c>
      <c r="D340" s="3">
        <v>45526</v>
      </c>
      <c r="E340" s="2" t="s">
        <v>169</v>
      </c>
      <c r="F340" s="2" t="s">
        <v>144</v>
      </c>
      <c r="G340" s="2" t="s">
        <v>139</v>
      </c>
      <c r="H340" s="2" t="s">
        <v>134</v>
      </c>
      <c r="I340" s="2">
        <v>120</v>
      </c>
      <c r="J340" s="2">
        <v>4593600</v>
      </c>
      <c r="K340" s="2">
        <v>11.92</v>
      </c>
      <c r="L340" s="2">
        <v>65693</v>
      </c>
      <c r="M340" s="2">
        <v>1435260</v>
      </c>
      <c r="N340" s="2">
        <v>672</v>
      </c>
      <c r="O340" s="2" t="s">
        <v>140</v>
      </c>
      <c r="P340" s="2">
        <v>0.52</v>
      </c>
      <c r="Q340" s="2">
        <v>0.72</v>
      </c>
      <c r="R340" s="2">
        <v>6409300</v>
      </c>
      <c r="S340" s="2">
        <v>16</v>
      </c>
      <c r="T340" s="2">
        <v>1019050</v>
      </c>
      <c r="U340" s="2">
        <v>3866580</v>
      </c>
      <c r="V340" s="2">
        <v>0</v>
      </c>
      <c r="W340" s="2">
        <v>0</v>
      </c>
      <c r="X340" s="2">
        <v>0</v>
      </c>
      <c r="Y340" s="2" t="s">
        <v>148</v>
      </c>
      <c r="Z340" s="12">
        <f>SUMIF(Table1[product],Table1[[#This Row],[product]],Table1[loan_amount])</f>
        <v>403369500</v>
      </c>
      <c r="AA340" s="15">
        <f>SUMIF(Table1[region],Table1[[#This Row],[region]],Table1[current_balance])</f>
        <v>83903255</v>
      </c>
      <c r="AB340" s="2">
        <f>COUNTIF(Table1[loan_status],Table1[[#This Row],[loan_status]])</f>
        <v>301</v>
      </c>
      <c r="AC340" s="2">
        <f>COUNTIF(Table1[default_flag],1)/ROWS(Table1[loan_id])</f>
        <v>2.5999999999999999E-2</v>
      </c>
      <c r="AD340" s="2">
        <f>COUNTIFS(Table1[region],Table1[[#This Row],[region]],Table1[default_flag],1)/COUNTIF(Table1[region],Table1[[#This Row],[region]])</f>
        <v>4.2553191489361701E-2</v>
      </c>
      <c r="AE340" s="2">
        <f>COUNTIFS(Table1[channel],Table1[[#This Row],[channel]],Table1[prepayment_flag],1)/COUNTIF(Table1[channel],Table1[[#This Row],[channel]])</f>
        <v>5.8201058201058198E-2</v>
      </c>
      <c r="AF340" s="2">
        <f>AVERAGEIFS(Table1[interest_rate_pct],Table1[product],Table1[[#This Row],[product]],Table1[risk_band],Table1[[#This Row],[risk_band]])</f>
        <v>11.719736842105268</v>
      </c>
      <c r="AG340" s="2" t="str" cm="1">
        <f t="array" ref="AG340">_xlfn.IFS(Table1[[#This Row],[dti_ratio]] &lt; 0.2, " less than 0.2", Table1[[#This Row],[dti_ratio]] &lt; 0.3, "0.2 - 0.3", Table1[[#This Row],[dti_ratio]] &lt;= 0.5, "0.35 - 0.5", Table1[[#This Row],[dti_ratio]] &gt; 0.5, "greater than 0.5")</f>
        <v>greater than 0.5</v>
      </c>
      <c r="AH340" s="2">
        <f>COUNTIF(Table1[DTI band],Table1[[#This Row],[DTI band]])</f>
        <v>32</v>
      </c>
      <c r="AI340" s="2" t="str" cm="1">
        <f t="array" ref="AI340">_xlfn.IFS(Table1[[#This Row],[ltv_ratio]] &lt; 0.6, "less than 0.6 -less risky", Table1[[#This Row],[ltv_ratio]]  &lt;= 0.8, "0.6 - 0.8 -medium risky",Table1[[#This Row],[ltv_ratio]] &gt; 0.8, "greater than 0.8 -highly risky")</f>
        <v>0.6 - 0.8 -medium risky</v>
      </c>
      <c r="AJ340" s="2">
        <f>COUNTIF(Table1[LTV band],Table1[[#This Row],[LTV band]])</f>
        <v>302</v>
      </c>
      <c r="AK340" s="2">
        <f>COUNTIFS(Table1[count_loan_perband],Table1[[#This Row],[count_loan_perband]],Table1[default_flag],1)/COUNTIF(Table1[count_loan_perband],Table1[[#This Row],[count_loan_perband]])</f>
        <v>3.6423841059602648E-2</v>
      </c>
      <c r="AL340" s="2" t="str" cm="1">
        <f t="array" ref="AL340">_xlfn.IFS(Table1[[#This Row],[loan_amount]] &lt; 900000, "lower size (&lt; 9L)", Table1[[#This Row],[loan_amount]] &lt;=3300000, "medium size (&lt;=33L)", Table1[[#This Row],[loan_amount]] &gt; 3300000, "larger size (&gt; 33L)")</f>
        <v>larger size (&gt; 33L)</v>
      </c>
      <c r="AM340" s="2">
        <f>IF(Table1[[#This Row],[dpd]] &gt;=30,1,0)</f>
        <v>0</v>
      </c>
      <c r="AN340" s="2">
        <f>COUNTIFS(Table1[Loan size],Table1[[#This Row],[Loan size]],Table1[dpd flag],1)/COUNTIF(Table1[Loan size],Table1[[#This Row],[Loan size]])</f>
        <v>0.16250000000000001</v>
      </c>
      <c r="AO340" s="2" t="str">
        <f>IF(OR(Table1[[#This Row],[credit_score]] &lt; 600, Table1[ [#This Row],[dti_ratio] ] &gt; 0.5, Table1[[#This Row],[dpd]] &gt;=30), "high risk", " not riskY")</f>
        <v>high risk</v>
      </c>
      <c r="AP340" s="26">
        <f>EOMONTH(Table1[[#This Row],[origination_date]],0)</f>
        <v>45535</v>
      </c>
      <c r="AQ340" s="2">
        <f>SUMIFS(Table1[loan_amount],Table1[origination month],Table1[[#This Row],[origination month]])</f>
        <v>16249800</v>
      </c>
      <c r="AR340" s="2">
        <f>AVERAGEIFS(Table1[months_on_book],Table1[product],Table1[[#This Row],[product]])</f>
        <v>20.516129032258064</v>
      </c>
      <c r="AS340" s="2" t="str">
        <f ca="1">IF(EDATE(Table1[[#This Row],[origination_date]],6) &gt;= TODAY(), "New Loan", "Old Loan")</f>
        <v>Old Loan</v>
      </c>
      <c r="AT340" s="2" t="str">
        <f>"Q"&amp;ROUNDUP(MONTH(Table1[[#This Row],[origination_date]])/3,0)&amp;YEAR(Table1[[#This Row],[origination_date]])</f>
        <v>Q32024</v>
      </c>
      <c r="AU340" s="2">
        <f>SUMIFS(Table1[loan_amount],Table1[quarter],Table1[[#This Row],[quarter]])</f>
        <v>52597700</v>
      </c>
      <c r="AV340" s="34" t="str">
        <f>_xlfn.TEXTJOIN("|",TRUE,Table1[[#This Row],[loan_id]:[loan_status]])</f>
        <v>L62300494|C2306172|45526|Home Loan|Branch|West|Salaried|120|4593600|11.92|65693|1435260|672|C|0.52|0.72|6409300|16|1019050|3866580|0|0|0|Active</v>
      </c>
      <c r="AW340" s="42">
        <f>YEAR(Loan_Table[ [#This Row],[origination_date] ])</f>
        <v>2024</v>
      </c>
    </row>
    <row r="341" spans="2:49" ht="18" customHeight="1">
      <c r="B341" s="5" t="s">
        <v>802</v>
      </c>
      <c r="C341" s="2" t="s">
        <v>803</v>
      </c>
      <c r="D341" s="3">
        <v>45564</v>
      </c>
      <c r="E341" s="2" t="s">
        <v>169</v>
      </c>
      <c r="F341" s="2" t="s">
        <v>144</v>
      </c>
      <c r="G341" s="2" t="s">
        <v>151</v>
      </c>
      <c r="H341" s="2" t="s">
        <v>152</v>
      </c>
      <c r="I341" s="2">
        <v>36</v>
      </c>
      <c r="J341" s="2">
        <v>50000</v>
      </c>
      <c r="K341" s="2">
        <v>9.1999999999999993</v>
      </c>
      <c r="L341" s="2">
        <v>1595</v>
      </c>
      <c r="M341" s="2">
        <v>862012</v>
      </c>
      <c r="N341" s="2">
        <v>708</v>
      </c>
      <c r="O341" s="2" t="s">
        <v>135</v>
      </c>
      <c r="P341" s="2">
        <v>0.51</v>
      </c>
      <c r="Q341" s="2">
        <v>0.54</v>
      </c>
      <c r="R341" s="2">
        <v>93400</v>
      </c>
      <c r="S341" s="2">
        <v>15</v>
      </c>
      <c r="T341" s="2">
        <v>24234</v>
      </c>
      <c r="U341" s="2">
        <v>28066</v>
      </c>
      <c r="V341" s="2">
        <v>0</v>
      </c>
      <c r="W341" s="2">
        <v>0</v>
      </c>
      <c r="X341" s="2">
        <v>0</v>
      </c>
      <c r="Y341" s="2" t="s">
        <v>148</v>
      </c>
      <c r="Z341" s="12">
        <f>SUMIF(Table1[product],Table1[[#This Row],[product]],Table1[loan_amount])</f>
        <v>403369500</v>
      </c>
      <c r="AA341" s="15">
        <f>SUMIF(Table1[region],Table1[[#This Row],[region]],Table1[current_balance])</f>
        <v>105779369</v>
      </c>
      <c r="AB341" s="2">
        <f>COUNTIF(Table1[loan_status],Table1[[#This Row],[loan_status]])</f>
        <v>301</v>
      </c>
      <c r="AC341" s="2">
        <f>COUNTIF(Table1[default_flag],1)/ROWS(Table1[loan_id])</f>
        <v>2.5999999999999999E-2</v>
      </c>
      <c r="AD341" s="2">
        <f>COUNTIFS(Table1[region],Table1[[#This Row],[region]],Table1[default_flag],1)/COUNTIF(Table1[region],Table1[[#This Row],[region]])</f>
        <v>2.6548672566371681E-2</v>
      </c>
      <c r="AE341" s="2">
        <f>COUNTIFS(Table1[channel],Table1[[#This Row],[channel]],Table1[prepayment_flag],1)/COUNTIF(Table1[channel],Table1[[#This Row],[channel]])</f>
        <v>5.8201058201058198E-2</v>
      </c>
      <c r="AF341" s="2">
        <f>AVERAGEIFS(Table1[interest_rate_pct],Table1[product],Table1[[#This Row],[product]],Table1[risk_band],Table1[[#This Row],[risk_band]])</f>
        <v>8.8557142857142868</v>
      </c>
      <c r="AG341" s="2" t="str" cm="1">
        <f t="array" ref="AG341">_xlfn.IFS(Table1[[#This Row],[dti_ratio]] &lt; 0.2, " less than 0.2", Table1[[#This Row],[dti_ratio]] &lt; 0.3, "0.2 - 0.3", Table1[[#This Row],[dti_ratio]] &lt;= 0.5, "0.35 - 0.5", Table1[[#This Row],[dti_ratio]] &gt; 0.5, "greater than 0.5")</f>
        <v>greater than 0.5</v>
      </c>
      <c r="AH341" s="2">
        <f>COUNTIF(Table1[DTI band],Table1[[#This Row],[DTI band]])</f>
        <v>32</v>
      </c>
      <c r="AI341" s="2" t="str" cm="1">
        <f t="array" ref="AI341">_xlfn.IFS(Table1[[#This Row],[ltv_ratio]] &lt; 0.6, "less than 0.6 -less risky", Table1[[#This Row],[ltv_ratio]]  &lt;= 0.8, "0.6 - 0.8 -medium risky",Table1[[#This Row],[ltv_ratio]] &gt; 0.8, "greater than 0.8 -highly risky")</f>
        <v>less than 0.6 -less risky</v>
      </c>
      <c r="AJ341" s="2">
        <f>COUNTIF(Table1[LTV band],Table1[[#This Row],[LTV band]])</f>
        <v>57</v>
      </c>
      <c r="AK341" s="2">
        <f>COUNTIFS(Table1[count_loan_perband],Table1[[#This Row],[count_loan_perband]],Table1[default_flag],1)/COUNTIF(Table1[count_loan_perband],Table1[[#This Row],[count_loan_perband]])</f>
        <v>0</v>
      </c>
      <c r="AL341" s="2" t="str" cm="1">
        <f t="array" ref="AL341">_xlfn.IFS(Table1[[#This Row],[loan_amount]] &lt; 900000, "lower size (&lt; 9L)", Table1[[#This Row],[loan_amount]] &lt;=3300000, "medium size (&lt;=33L)", Table1[[#This Row],[loan_amount]] &gt; 3300000, "larger size (&gt; 33L)")</f>
        <v>lower size (&lt; 9L)</v>
      </c>
      <c r="AM341" s="2">
        <f>IF(Table1[[#This Row],[dpd]] &gt;=30,1,0)</f>
        <v>0</v>
      </c>
      <c r="AN341" s="2">
        <f>COUNTIFS(Table1[Loan size],Table1[[#This Row],[Loan size]],Table1[dpd flag],1)/COUNTIF(Table1[Loan size],Table1[[#This Row],[Loan size]])</f>
        <v>0.13934426229508196</v>
      </c>
      <c r="AO341" s="2" t="str">
        <f>IF(OR(Table1[[#This Row],[credit_score]] &lt; 600, Table1[ [#This Row],[dti_ratio] ] &gt; 0.5, Table1[[#This Row],[dpd]] &gt;=30), "high risk", " not riskY")</f>
        <v>high risk</v>
      </c>
      <c r="AP341" s="26">
        <f>EOMONTH(Table1[[#This Row],[origination_date]],0)</f>
        <v>45565</v>
      </c>
      <c r="AQ341" s="2">
        <f>SUMIFS(Table1[loan_amount],Table1[origination month],Table1[[#This Row],[origination month]])</f>
        <v>11027600</v>
      </c>
      <c r="AR341" s="2">
        <f>AVERAGEIFS(Table1[months_on_book],Table1[product],Table1[[#This Row],[product]])</f>
        <v>20.516129032258064</v>
      </c>
      <c r="AS341" s="2" t="str">
        <f ca="1">IF(EDATE(Table1[[#This Row],[origination_date]],6) &gt;= TODAY(), "New Loan", "Old Loan")</f>
        <v>Old Loan</v>
      </c>
      <c r="AT341" s="2" t="str">
        <f>"Q"&amp;ROUNDUP(MONTH(Table1[[#This Row],[origination_date]])/3,0)&amp;YEAR(Table1[[#This Row],[origination_date]])</f>
        <v>Q32024</v>
      </c>
      <c r="AU341" s="2">
        <f>SUMIFS(Table1[loan_amount],Table1[quarter],Table1[[#This Row],[quarter]])</f>
        <v>52597700</v>
      </c>
      <c r="AV341" s="34" t="str">
        <f>_xlfn.TEXTJOIN("|",TRUE,Table1[[#This Row],[loan_id]:[loan_status]])</f>
        <v>L99224452|C1464921|45564|Home Loan|Branch|North|Self-Employed|36|50000|9.2|1595|862012|708|B|0.51|0.54|93400|15|24234|28066|0|0|0|Active</v>
      </c>
      <c r="AW341" s="42">
        <f>YEAR(Loan_Table[ [#This Row],[origination_date] ])</f>
        <v>2024</v>
      </c>
    </row>
    <row r="342" spans="2:49" ht="18" customHeight="1">
      <c r="B342" s="5" t="s">
        <v>804</v>
      </c>
      <c r="C342" s="2" t="s">
        <v>805</v>
      </c>
      <c r="D342" s="3">
        <v>45495</v>
      </c>
      <c r="E342" s="2" t="s">
        <v>131</v>
      </c>
      <c r="F342" s="2" t="s">
        <v>144</v>
      </c>
      <c r="G342" s="2" t="s">
        <v>170</v>
      </c>
      <c r="H342" s="2" t="s">
        <v>152</v>
      </c>
      <c r="I342" s="2">
        <v>180</v>
      </c>
      <c r="J342" s="2">
        <v>443200</v>
      </c>
      <c r="K342" s="2">
        <v>16.39</v>
      </c>
      <c r="L342" s="2">
        <v>6630</v>
      </c>
      <c r="M342" s="2">
        <v>1212830</v>
      </c>
      <c r="N342" s="2">
        <v>711</v>
      </c>
      <c r="O342" s="2" t="s">
        <v>135</v>
      </c>
      <c r="P342" s="2">
        <v>0.49</v>
      </c>
      <c r="Q342" s="2">
        <v>0.78</v>
      </c>
      <c r="R342" s="2">
        <v>0</v>
      </c>
      <c r="S342" s="2">
        <v>17</v>
      </c>
      <c r="T342" s="2">
        <v>103716</v>
      </c>
      <c r="U342" s="2">
        <v>380647</v>
      </c>
      <c r="V342" s="2">
        <v>0</v>
      </c>
      <c r="W342" s="2">
        <v>0</v>
      </c>
      <c r="X342" s="2">
        <v>0</v>
      </c>
      <c r="Y342" s="2" t="s">
        <v>148</v>
      </c>
      <c r="Z342" s="12">
        <f>SUMIF(Table1[product],Table1[[#This Row],[product]],Table1[loan_amount])</f>
        <v>74897600</v>
      </c>
      <c r="AA342" s="15">
        <f>SUMIF(Table1[region],Table1[[#This Row],[region]],Table1[current_balance])</f>
        <v>83297251</v>
      </c>
      <c r="AB342" s="2">
        <f>COUNTIF(Table1[loan_status],Table1[[#This Row],[loan_status]])</f>
        <v>301</v>
      </c>
      <c r="AC342" s="2">
        <f>COUNTIF(Table1[default_flag],1)/ROWS(Table1[loan_id])</f>
        <v>2.5999999999999999E-2</v>
      </c>
      <c r="AD342" s="2">
        <f>COUNTIFS(Table1[region],Table1[[#This Row],[region]],Table1[default_flag],1)/COUNTIF(Table1[region],Table1[[#This Row],[region]])</f>
        <v>3.1914893617021274E-2</v>
      </c>
      <c r="AE342" s="2">
        <f>COUNTIFS(Table1[channel],Table1[[#This Row],[channel]],Table1[prepayment_flag],1)/COUNTIF(Table1[channel],Table1[[#This Row],[channel]])</f>
        <v>5.8201058201058198E-2</v>
      </c>
      <c r="AF342" s="2">
        <f>AVERAGEIFS(Table1[interest_rate_pct],Table1[product],Table1[[#This Row],[product]],Table1[risk_band],Table1[[#This Row],[risk_band]])</f>
        <v>16.500166666666669</v>
      </c>
      <c r="AG342" s="2" t="str" cm="1">
        <f t="array" ref="AG342">_xlfn.IFS(Table1[[#This Row],[dti_ratio]] &lt; 0.2, " less than 0.2", Table1[[#This Row],[dti_ratio]] &lt; 0.3, "0.2 - 0.3", Table1[[#This Row],[dti_ratio]] &lt;= 0.5, "0.35 - 0.5", Table1[[#This Row],[dti_ratio]] &gt; 0.5, "greater than 0.5")</f>
        <v>0.35 - 0.5</v>
      </c>
      <c r="AH342" s="2">
        <f>COUNTIF(Table1[DTI band],Table1[[#This Row],[DTI band]])</f>
        <v>260</v>
      </c>
      <c r="AI342" s="2" t="str" cm="1">
        <f t="array" ref="AI342">_xlfn.IFS(Table1[[#This Row],[ltv_ratio]] &lt; 0.6, "less than 0.6 -less risky", Table1[[#This Row],[ltv_ratio]]  &lt;= 0.8, "0.6 - 0.8 -medium risky",Table1[[#This Row],[ltv_ratio]] &gt; 0.8, "greater than 0.8 -highly risky")</f>
        <v>0.6 - 0.8 -medium risky</v>
      </c>
      <c r="AJ342" s="2">
        <f>COUNTIF(Table1[LTV band],Table1[[#This Row],[LTV band]])</f>
        <v>302</v>
      </c>
      <c r="AK342" s="2">
        <f>COUNTIFS(Table1[count_loan_perband],Table1[[#This Row],[count_loan_perband]],Table1[default_flag],1)/COUNTIF(Table1[count_loan_perband],Table1[[#This Row],[count_loan_perband]])</f>
        <v>3.6423841059602648E-2</v>
      </c>
      <c r="AL342" s="2" t="str" cm="1">
        <f t="array" ref="AL342">_xlfn.IFS(Table1[[#This Row],[loan_amount]] &lt; 900000, "lower size (&lt; 9L)", Table1[[#This Row],[loan_amount]] &lt;=3300000, "medium size (&lt;=33L)", Table1[[#This Row],[loan_amount]] &gt; 3300000, "larger size (&gt; 33L)")</f>
        <v>lower size (&lt; 9L)</v>
      </c>
      <c r="AM342" s="2">
        <f>IF(Table1[[#This Row],[dpd]] &gt;=30,1,0)</f>
        <v>0</v>
      </c>
      <c r="AN342" s="2">
        <f>COUNTIFS(Table1[Loan size],Table1[[#This Row],[Loan size]],Table1[dpd flag],1)/COUNTIF(Table1[Loan size],Table1[[#This Row],[Loan size]])</f>
        <v>0.13934426229508196</v>
      </c>
      <c r="AO342" s="2" t="str">
        <f>IF(OR(Table1[[#This Row],[credit_score]] &lt; 600, Table1[ [#This Row],[dti_ratio] ] &gt; 0.5, Table1[[#This Row],[dpd]] &gt;=30), "high risk", " not riskY")</f>
        <v xml:space="preserve"> not riskY</v>
      </c>
      <c r="AP342" s="26">
        <f>EOMONTH(Table1[[#This Row],[origination_date]],0)</f>
        <v>45504</v>
      </c>
      <c r="AQ342" s="2">
        <f>SUMIFS(Table1[loan_amount],Table1[origination month],Table1[[#This Row],[origination month]])</f>
        <v>25320300</v>
      </c>
      <c r="AR342" s="2">
        <f>AVERAGEIFS(Table1[months_on_book],Table1[product],Table1[[#This Row],[product]])</f>
        <v>21.092024539877301</v>
      </c>
      <c r="AS342" s="2" t="str">
        <f ca="1">IF(EDATE(Table1[[#This Row],[origination_date]],6) &gt;= TODAY(), "New Loan", "Old Loan")</f>
        <v>Old Loan</v>
      </c>
      <c r="AT342" s="2" t="str">
        <f>"Q"&amp;ROUNDUP(MONTH(Table1[[#This Row],[origination_date]])/3,0)&amp;YEAR(Table1[[#This Row],[origination_date]])</f>
        <v>Q32024</v>
      </c>
      <c r="AU342" s="2">
        <f>SUMIFS(Table1[loan_amount],Table1[quarter],Table1[[#This Row],[quarter]])</f>
        <v>52597700</v>
      </c>
      <c r="AV342" s="34" t="str">
        <f>_xlfn.TEXTJOIN("|",TRUE,Table1[[#This Row],[loan_id]:[loan_status]])</f>
        <v>L93480629|C2335950|45495|Personal Loan|Branch|East|Self-Employed|180|443200|16.39|6630|1212830|711|B|0.49|0.78|0|17|103716|380647|0|0|0|Active</v>
      </c>
      <c r="AW342" s="42">
        <f>YEAR(Loan_Table[ [#This Row],[origination_date] ])</f>
        <v>2024</v>
      </c>
    </row>
    <row r="343" spans="2:49" ht="18" customHeight="1">
      <c r="B343" s="5" t="s">
        <v>806</v>
      </c>
      <c r="C343" s="2" t="s">
        <v>807</v>
      </c>
      <c r="D343" s="3">
        <v>45492</v>
      </c>
      <c r="E343" s="2" t="s">
        <v>131</v>
      </c>
      <c r="F343" s="2" t="s">
        <v>144</v>
      </c>
      <c r="G343" s="2" t="s">
        <v>139</v>
      </c>
      <c r="H343" s="2" t="s">
        <v>152</v>
      </c>
      <c r="I343" s="2">
        <v>120</v>
      </c>
      <c r="J343" s="2">
        <v>726300</v>
      </c>
      <c r="K343" s="2">
        <v>22.05</v>
      </c>
      <c r="L343" s="2">
        <v>15037</v>
      </c>
      <c r="M343" s="2">
        <v>985639</v>
      </c>
      <c r="N343" s="2">
        <v>610</v>
      </c>
      <c r="O343" s="2" t="s">
        <v>147</v>
      </c>
      <c r="P343" s="2">
        <v>0.48</v>
      </c>
      <c r="Q343" s="2">
        <v>0.82</v>
      </c>
      <c r="R343" s="2">
        <v>0</v>
      </c>
      <c r="S343" s="2">
        <v>17</v>
      </c>
      <c r="T343" s="2">
        <v>250708</v>
      </c>
      <c r="U343" s="2">
        <v>566343</v>
      </c>
      <c r="V343" s="2">
        <v>0</v>
      </c>
      <c r="W343" s="2">
        <v>0</v>
      </c>
      <c r="X343" s="2">
        <v>0</v>
      </c>
      <c r="Y343" s="2" t="s">
        <v>148</v>
      </c>
      <c r="Z343" s="12">
        <f>SUMIF(Table1[product],Table1[[#This Row],[product]],Table1[loan_amount])</f>
        <v>74897600</v>
      </c>
      <c r="AA343" s="15">
        <f>SUMIF(Table1[region],Table1[[#This Row],[region]],Table1[current_balance])</f>
        <v>83903255</v>
      </c>
      <c r="AB343" s="2">
        <f>COUNTIF(Table1[loan_status],Table1[[#This Row],[loan_status]])</f>
        <v>301</v>
      </c>
      <c r="AC343" s="2">
        <f>COUNTIF(Table1[default_flag],1)/ROWS(Table1[loan_id])</f>
        <v>2.5999999999999999E-2</v>
      </c>
      <c r="AD343" s="2">
        <f>COUNTIFS(Table1[region],Table1[[#This Row],[region]],Table1[default_flag],1)/COUNTIF(Table1[region],Table1[[#This Row],[region]])</f>
        <v>4.2553191489361701E-2</v>
      </c>
      <c r="AE343" s="2">
        <f>COUNTIFS(Table1[channel],Table1[[#This Row],[channel]],Table1[prepayment_flag],1)/COUNTIF(Table1[channel],Table1[[#This Row],[channel]])</f>
        <v>5.8201058201058198E-2</v>
      </c>
      <c r="AF343" s="2">
        <f>AVERAGEIFS(Table1[interest_rate_pct],Table1[product],Table1[[#This Row],[product]],Table1[risk_band],Table1[[#This Row],[risk_band]])</f>
        <v>20.962592592592593</v>
      </c>
      <c r="AG343" s="2" t="str" cm="1">
        <f t="array" ref="AG343">_xlfn.IFS(Table1[[#This Row],[dti_ratio]] &lt; 0.2, " less than 0.2", Table1[[#This Row],[dti_ratio]] &lt; 0.3, "0.2 - 0.3", Table1[[#This Row],[dti_ratio]] &lt;= 0.5, "0.35 - 0.5", Table1[[#This Row],[dti_ratio]] &gt; 0.5, "greater than 0.5")</f>
        <v>0.35 - 0.5</v>
      </c>
      <c r="AH343" s="2">
        <f>COUNTIF(Table1[DTI band],Table1[[#This Row],[DTI band]])</f>
        <v>260</v>
      </c>
      <c r="AI343" s="2" t="str" cm="1">
        <f t="array" ref="AI343">_xlfn.IFS(Table1[[#This Row],[ltv_ratio]] &lt; 0.6, "less than 0.6 -less risky", Table1[[#This Row],[ltv_ratio]]  &lt;= 0.8, "0.6 - 0.8 -medium risky",Table1[[#This Row],[ltv_ratio]] &gt; 0.8, "greater than 0.8 -highly risky")</f>
        <v>greater than 0.8 -highly risky</v>
      </c>
      <c r="AJ343" s="2">
        <f>COUNTIF(Table1[LTV band],Table1[[#This Row],[LTV band]])</f>
        <v>141</v>
      </c>
      <c r="AK343" s="2">
        <f>COUNTIFS(Table1[count_loan_perband],Table1[[#This Row],[count_loan_perband]],Table1[default_flag],1)/COUNTIF(Table1[count_loan_perband],Table1[[#This Row],[count_loan_perband]])</f>
        <v>1.4184397163120567E-2</v>
      </c>
      <c r="AL343" s="2" t="str" cm="1">
        <f t="array" ref="AL343">_xlfn.IFS(Table1[[#This Row],[loan_amount]] &lt; 900000, "lower size (&lt; 9L)", Table1[[#This Row],[loan_amount]] &lt;=3300000, "medium size (&lt;=33L)", Table1[[#This Row],[loan_amount]] &gt; 3300000, "larger size (&gt; 33L)")</f>
        <v>lower size (&lt; 9L)</v>
      </c>
      <c r="AM343" s="2">
        <f>IF(Table1[[#This Row],[dpd]] &gt;=30,1,0)</f>
        <v>0</v>
      </c>
      <c r="AN343" s="2">
        <f>COUNTIFS(Table1[Loan size],Table1[[#This Row],[Loan size]],Table1[dpd flag],1)/COUNTIF(Table1[Loan size],Table1[[#This Row],[Loan size]])</f>
        <v>0.13934426229508196</v>
      </c>
      <c r="AO343" s="2" t="str">
        <f>IF(OR(Table1[[#This Row],[credit_score]] &lt; 600, Table1[ [#This Row],[dti_ratio] ] &gt; 0.5, Table1[[#This Row],[dpd]] &gt;=30), "high risk", " not riskY")</f>
        <v xml:space="preserve"> not riskY</v>
      </c>
      <c r="AP343" s="26">
        <f>EOMONTH(Table1[[#This Row],[origination_date]],0)</f>
        <v>45504</v>
      </c>
      <c r="AQ343" s="2">
        <f>SUMIFS(Table1[loan_amount],Table1[origination month],Table1[[#This Row],[origination month]])</f>
        <v>25320300</v>
      </c>
      <c r="AR343" s="2">
        <f>AVERAGEIFS(Table1[months_on_book],Table1[product],Table1[[#This Row],[product]])</f>
        <v>21.092024539877301</v>
      </c>
      <c r="AS343" s="2" t="str">
        <f ca="1">IF(EDATE(Table1[[#This Row],[origination_date]],6) &gt;= TODAY(), "New Loan", "Old Loan")</f>
        <v>Old Loan</v>
      </c>
      <c r="AT343" s="2" t="str">
        <f>"Q"&amp;ROUNDUP(MONTH(Table1[[#This Row],[origination_date]])/3,0)&amp;YEAR(Table1[[#This Row],[origination_date]])</f>
        <v>Q32024</v>
      </c>
      <c r="AU343" s="2">
        <f>SUMIFS(Table1[loan_amount],Table1[quarter],Table1[[#This Row],[quarter]])</f>
        <v>52597700</v>
      </c>
      <c r="AV343" s="34" t="str">
        <f>_xlfn.TEXTJOIN("|",TRUE,Table1[[#This Row],[loan_id]:[loan_status]])</f>
        <v>L38112997|C8534179|45492|Personal Loan|Branch|West|Self-Employed|120|726300|22.05|15037|985639|610|D|0.48|0.82|0|17|250708|566343|0|0|0|Active</v>
      </c>
      <c r="AW343" s="42">
        <f>YEAR(Loan_Table[ [#This Row],[origination_date] ])</f>
        <v>2024</v>
      </c>
    </row>
    <row r="344" spans="2:49" ht="18" customHeight="1">
      <c r="B344" s="5" t="s">
        <v>808</v>
      </c>
      <c r="C344" s="2" t="s">
        <v>809</v>
      </c>
      <c r="D344" s="3">
        <v>45522</v>
      </c>
      <c r="E344" s="2" t="s">
        <v>163</v>
      </c>
      <c r="F344" s="2" t="s">
        <v>159</v>
      </c>
      <c r="G344" s="2" t="s">
        <v>139</v>
      </c>
      <c r="H344" s="2" t="s">
        <v>134</v>
      </c>
      <c r="I344" s="2">
        <v>18</v>
      </c>
      <c r="J344" s="2">
        <v>649000</v>
      </c>
      <c r="K344" s="2">
        <v>11.05</v>
      </c>
      <c r="L344" s="2">
        <v>39292</v>
      </c>
      <c r="M344" s="2">
        <v>1162418</v>
      </c>
      <c r="N344" s="2">
        <v>702</v>
      </c>
      <c r="O344" s="2" t="s">
        <v>135</v>
      </c>
      <c r="P344" s="2">
        <v>0.48</v>
      </c>
      <c r="Q344" s="2">
        <v>0.93</v>
      </c>
      <c r="R344" s="2">
        <v>697400</v>
      </c>
      <c r="S344" s="2">
        <v>16</v>
      </c>
      <c r="T344" s="2">
        <v>567039</v>
      </c>
      <c r="U344" s="2">
        <v>120209</v>
      </c>
      <c r="V344" s="2">
        <v>5</v>
      </c>
      <c r="W344" s="2">
        <v>1</v>
      </c>
      <c r="X344" s="2">
        <v>0</v>
      </c>
      <c r="Y344" s="2" t="s">
        <v>141</v>
      </c>
      <c r="Z344" s="12">
        <f>SUMIF(Table1[product],Table1[[#This Row],[product]],Table1[loan_amount])</f>
        <v>92273000</v>
      </c>
      <c r="AA344" s="15">
        <f>SUMIF(Table1[region],Table1[[#This Row],[region]],Table1[current_balance])</f>
        <v>83903255</v>
      </c>
      <c r="AB344" s="2">
        <f>COUNTIF(Table1[loan_status],Table1[[#This Row],[loan_status]])</f>
        <v>139</v>
      </c>
      <c r="AC344" s="2">
        <f>COUNTIF(Table1[default_flag],1)/ROWS(Table1[loan_id])</f>
        <v>2.5999999999999999E-2</v>
      </c>
      <c r="AD344" s="2">
        <f>COUNTIFS(Table1[region],Table1[[#This Row],[region]],Table1[default_flag],1)/COUNTIF(Table1[region],Table1[[#This Row],[region]])</f>
        <v>4.2553191489361701E-2</v>
      </c>
      <c r="AE344" s="2">
        <f>COUNTIFS(Table1[channel],Table1[[#This Row],[channel]],Table1[prepayment_flag],1)/COUNTIF(Table1[channel],Table1[[#This Row],[channel]])</f>
        <v>0.1</v>
      </c>
      <c r="AF344" s="2">
        <f>AVERAGEIFS(Table1[interest_rate_pct],Table1[product],Table1[[#This Row],[product]],Table1[risk_band],Table1[[#This Row],[risk_band]])</f>
        <v>10.611923076923079</v>
      </c>
      <c r="AG344" s="2" t="str" cm="1">
        <f t="array" ref="AG344">_xlfn.IFS(Table1[[#This Row],[dti_ratio]] &lt; 0.2, " less than 0.2", Table1[[#This Row],[dti_ratio]] &lt; 0.3, "0.2 - 0.3", Table1[[#This Row],[dti_ratio]] &lt;= 0.5, "0.35 - 0.5", Table1[[#This Row],[dti_ratio]] &gt; 0.5, "greater than 0.5")</f>
        <v>0.35 - 0.5</v>
      </c>
      <c r="AH344" s="2">
        <f>COUNTIF(Table1[DTI band],Table1[[#This Row],[DTI band]])</f>
        <v>260</v>
      </c>
      <c r="AI344" s="2" t="str" cm="1">
        <f t="array" ref="AI344">_xlfn.IFS(Table1[[#This Row],[ltv_ratio]] &lt; 0.6, "less than 0.6 -less risky", Table1[[#This Row],[ltv_ratio]]  &lt;= 0.8, "0.6 - 0.8 -medium risky",Table1[[#This Row],[ltv_ratio]] &gt; 0.8, "greater than 0.8 -highly risky")</f>
        <v>greater than 0.8 -highly risky</v>
      </c>
      <c r="AJ344" s="2">
        <f>COUNTIF(Table1[LTV band],Table1[[#This Row],[LTV band]])</f>
        <v>141</v>
      </c>
      <c r="AK344" s="2">
        <f>COUNTIFS(Table1[count_loan_perband],Table1[[#This Row],[count_loan_perband]],Table1[default_flag],1)/COUNTIF(Table1[count_loan_perband],Table1[[#This Row],[count_loan_perband]])</f>
        <v>1.4184397163120567E-2</v>
      </c>
      <c r="AL344" s="2" t="str" cm="1">
        <f t="array" ref="AL344">_xlfn.IFS(Table1[[#This Row],[loan_amount]] &lt; 900000, "lower size (&lt; 9L)", Table1[[#This Row],[loan_amount]] &lt;=3300000, "medium size (&lt;=33L)", Table1[[#This Row],[loan_amount]] &gt; 3300000, "larger size (&gt; 33L)")</f>
        <v>lower size (&lt; 9L)</v>
      </c>
      <c r="AM344" s="2">
        <f>IF(Table1[[#This Row],[dpd]] &gt;=30,1,0)</f>
        <v>0</v>
      </c>
      <c r="AN344" s="2">
        <f>COUNTIFS(Table1[Loan size],Table1[[#This Row],[Loan size]],Table1[dpd flag],1)/COUNTIF(Table1[Loan size],Table1[[#This Row],[Loan size]])</f>
        <v>0.13934426229508196</v>
      </c>
      <c r="AO344" s="2" t="str">
        <f>IF(OR(Table1[[#This Row],[credit_score]] &lt; 600, Table1[ [#This Row],[dti_ratio] ] &gt; 0.5, Table1[[#This Row],[dpd]] &gt;=30), "high risk", " not riskY")</f>
        <v xml:space="preserve"> not riskY</v>
      </c>
      <c r="AP344" s="26">
        <f>EOMONTH(Table1[[#This Row],[origination_date]],0)</f>
        <v>45535</v>
      </c>
      <c r="AQ344" s="2">
        <f>SUMIFS(Table1[loan_amount],Table1[origination month],Table1[[#This Row],[origination month]])</f>
        <v>16249800</v>
      </c>
      <c r="AR344" s="2">
        <f>AVERAGEIFS(Table1[months_on_book],Table1[product],Table1[[#This Row],[product]])</f>
        <v>20.262135922330096</v>
      </c>
      <c r="AS344" s="2" t="str">
        <f ca="1">IF(EDATE(Table1[[#This Row],[origination_date]],6) &gt;= TODAY(), "New Loan", "Old Loan")</f>
        <v>Old Loan</v>
      </c>
      <c r="AT344" s="2" t="str">
        <f>"Q"&amp;ROUNDUP(MONTH(Table1[[#This Row],[origination_date]])/3,0)&amp;YEAR(Table1[[#This Row],[origination_date]])</f>
        <v>Q32024</v>
      </c>
      <c r="AU344" s="2">
        <f>SUMIFS(Table1[loan_amount],Table1[quarter],Table1[[#This Row],[quarter]])</f>
        <v>52597700</v>
      </c>
      <c r="AV344" s="34" t="str">
        <f>_xlfn.TEXTJOIN("|",TRUE,Table1[[#This Row],[loan_id]:[loan_status]])</f>
        <v>L58854438|C8031646|45522|Auto Loan|Partner|West|Salaried|18|649000|11.05|39292|1162418|702|B|0.48|0.93|697400|16|567039|120209|5|1|0|Closed</v>
      </c>
      <c r="AW344" s="42">
        <f>YEAR(Loan_Table[ [#This Row],[origination_date] ])</f>
        <v>2024</v>
      </c>
    </row>
    <row r="345" spans="2:49" ht="18" customHeight="1">
      <c r="B345" s="5" t="s">
        <v>810</v>
      </c>
      <c r="C345" s="2" t="s">
        <v>811</v>
      </c>
      <c r="D345" s="3">
        <v>45492</v>
      </c>
      <c r="E345" s="2" t="s">
        <v>158</v>
      </c>
      <c r="F345" s="2" t="s">
        <v>132</v>
      </c>
      <c r="G345" s="2" t="s">
        <v>139</v>
      </c>
      <c r="H345" s="2" t="s">
        <v>152</v>
      </c>
      <c r="I345" s="2">
        <v>24</v>
      </c>
      <c r="J345" s="2">
        <v>795600</v>
      </c>
      <c r="K345" s="2">
        <v>9.93</v>
      </c>
      <c r="L345" s="2">
        <v>36687</v>
      </c>
      <c r="M345" s="2">
        <v>1001922</v>
      </c>
      <c r="N345" s="2">
        <v>805</v>
      </c>
      <c r="O345" s="2" t="s">
        <v>160</v>
      </c>
      <c r="P345" s="2">
        <v>0.48</v>
      </c>
      <c r="Q345" s="2">
        <v>0.72</v>
      </c>
      <c r="R345" s="2">
        <v>1097500</v>
      </c>
      <c r="S345" s="2">
        <v>17</v>
      </c>
      <c r="T345" s="2">
        <v>594126</v>
      </c>
      <c r="U345" s="2">
        <v>246242</v>
      </c>
      <c r="V345" s="2">
        <v>0</v>
      </c>
      <c r="W345" s="2">
        <v>0</v>
      </c>
      <c r="X345" s="2">
        <v>0</v>
      </c>
      <c r="Y345" s="2" t="s">
        <v>148</v>
      </c>
      <c r="Z345" s="12">
        <f>SUMIF(Table1[product],Table1[[#This Row],[product]],Table1[loan_amount])</f>
        <v>201475100</v>
      </c>
      <c r="AA345" s="15">
        <f>SUMIF(Table1[region],Table1[[#This Row],[region]],Table1[current_balance])</f>
        <v>83903255</v>
      </c>
      <c r="AB345" s="2">
        <f>COUNTIF(Table1[loan_status],Table1[[#This Row],[loan_status]])</f>
        <v>301</v>
      </c>
      <c r="AC345" s="2">
        <f>COUNTIF(Table1[default_flag],1)/ROWS(Table1[loan_id])</f>
        <v>2.5999999999999999E-2</v>
      </c>
      <c r="AD345" s="2">
        <f>COUNTIFS(Table1[region],Table1[[#This Row],[region]],Table1[default_flag],1)/COUNTIF(Table1[region],Table1[[#This Row],[region]])</f>
        <v>4.2553191489361701E-2</v>
      </c>
      <c r="AE345" s="2">
        <f>COUNTIFS(Table1[channel],Table1[[#This Row],[channel]],Table1[prepayment_flag],1)/COUNTIF(Table1[channel],Table1[[#This Row],[channel]])</f>
        <v>7.1090047393364927E-2</v>
      </c>
      <c r="AF345" s="2">
        <f>AVERAGEIFS(Table1[interest_rate_pct],Table1[product],Table1[[#This Row],[product]],Table1[risk_band],Table1[[#This Row],[risk_band]])</f>
        <v>10.537499999999998</v>
      </c>
      <c r="AG345" s="2" t="str" cm="1">
        <f t="array" ref="AG345">_xlfn.IFS(Table1[[#This Row],[dti_ratio]] &lt; 0.2, " less than 0.2", Table1[[#This Row],[dti_ratio]] &lt; 0.3, "0.2 - 0.3", Table1[[#This Row],[dti_ratio]] &lt;= 0.5, "0.35 - 0.5", Table1[[#This Row],[dti_ratio]] &gt; 0.5, "greater than 0.5")</f>
        <v>0.35 - 0.5</v>
      </c>
      <c r="AH345" s="2">
        <f>COUNTIF(Table1[DTI band],Table1[[#This Row],[DTI band]])</f>
        <v>260</v>
      </c>
      <c r="AI345" s="2" t="str" cm="1">
        <f t="array" ref="AI345">_xlfn.IFS(Table1[[#This Row],[ltv_ratio]] &lt; 0.6, "less than 0.6 -less risky", Table1[[#This Row],[ltv_ratio]]  &lt;= 0.8, "0.6 - 0.8 -medium risky",Table1[[#This Row],[ltv_ratio]] &gt; 0.8, "greater than 0.8 -highly risky")</f>
        <v>0.6 - 0.8 -medium risky</v>
      </c>
      <c r="AJ345" s="2">
        <f>COUNTIF(Table1[LTV band],Table1[[#This Row],[LTV band]])</f>
        <v>302</v>
      </c>
      <c r="AK345" s="2">
        <f>COUNTIFS(Table1[count_loan_perband],Table1[[#This Row],[count_loan_perband]],Table1[default_flag],1)/COUNTIF(Table1[count_loan_perband],Table1[[#This Row],[count_loan_perband]])</f>
        <v>3.6423841059602648E-2</v>
      </c>
      <c r="AL345" s="2" t="str" cm="1">
        <f t="array" ref="AL345">_xlfn.IFS(Table1[[#This Row],[loan_amount]] &lt; 900000, "lower size (&lt; 9L)", Table1[[#This Row],[loan_amount]] &lt;=3300000, "medium size (&lt;=33L)", Table1[[#This Row],[loan_amount]] &gt; 3300000, "larger size (&gt; 33L)")</f>
        <v>lower size (&lt; 9L)</v>
      </c>
      <c r="AM345" s="2">
        <f>IF(Table1[[#This Row],[dpd]] &gt;=30,1,0)</f>
        <v>0</v>
      </c>
      <c r="AN345" s="2">
        <f>COUNTIFS(Table1[Loan size],Table1[[#This Row],[Loan size]],Table1[dpd flag],1)/COUNTIF(Table1[Loan size],Table1[[#This Row],[Loan size]])</f>
        <v>0.13934426229508196</v>
      </c>
      <c r="AO345" s="2" t="str">
        <f>IF(OR(Table1[[#This Row],[credit_score]] &lt; 600, Table1[ [#This Row],[dti_ratio] ] &gt; 0.5, Table1[[#This Row],[dpd]] &gt;=30), "high risk", " not riskY")</f>
        <v xml:space="preserve"> not riskY</v>
      </c>
      <c r="AP345" s="26">
        <f>EOMONTH(Table1[[#This Row],[origination_date]],0)</f>
        <v>45504</v>
      </c>
      <c r="AQ345" s="2">
        <f>SUMIFS(Table1[loan_amount],Table1[origination month],Table1[[#This Row],[origination month]])</f>
        <v>25320300</v>
      </c>
      <c r="AR345" s="2">
        <f>AVERAGEIFS(Table1[months_on_book],Table1[product],Table1[[#This Row],[product]])</f>
        <v>19.091954022988507</v>
      </c>
      <c r="AS345" s="2" t="str">
        <f ca="1">IF(EDATE(Table1[[#This Row],[origination_date]],6) &gt;= TODAY(), "New Loan", "Old Loan")</f>
        <v>Old Loan</v>
      </c>
      <c r="AT345" s="2" t="str">
        <f>"Q"&amp;ROUNDUP(MONTH(Table1[[#This Row],[origination_date]])/3,0)&amp;YEAR(Table1[[#This Row],[origination_date]])</f>
        <v>Q32024</v>
      </c>
      <c r="AU345" s="2">
        <f>SUMIFS(Table1[loan_amount],Table1[quarter],Table1[[#This Row],[quarter]])</f>
        <v>52597700</v>
      </c>
      <c r="AV345" s="34" t="str">
        <f>_xlfn.TEXTJOIN("|",TRUE,Table1[[#This Row],[loan_id]:[loan_status]])</f>
        <v>L72973642|C2164061|45492|SME Loan|Online|West|Self-Employed|24|795600|9.93|36687|1001922|805|A|0.48|0.72|1097500|17|594126|246242|0|0|0|Active</v>
      </c>
      <c r="AW345" s="42">
        <f>YEAR(Loan_Table[ [#This Row],[origination_date] ])</f>
        <v>2024</v>
      </c>
    </row>
    <row r="346" spans="2:49" ht="18" customHeight="1">
      <c r="B346" s="5" t="s">
        <v>812</v>
      </c>
      <c r="C346" s="2" t="s">
        <v>813</v>
      </c>
      <c r="D346" s="3">
        <v>45527</v>
      </c>
      <c r="E346" s="2" t="s">
        <v>177</v>
      </c>
      <c r="F346" s="2" t="s">
        <v>213</v>
      </c>
      <c r="G346" s="2" t="s">
        <v>145</v>
      </c>
      <c r="H346" s="2" t="s">
        <v>134</v>
      </c>
      <c r="I346" s="2">
        <v>60</v>
      </c>
      <c r="J346" s="2">
        <v>1418000</v>
      </c>
      <c r="K346" s="2">
        <v>12.28</v>
      </c>
      <c r="L346" s="2">
        <v>31744</v>
      </c>
      <c r="M346" s="2">
        <v>814485</v>
      </c>
      <c r="N346" s="2">
        <v>678</v>
      </c>
      <c r="O346" s="2" t="s">
        <v>140</v>
      </c>
      <c r="P346" s="2">
        <v>0.37</v>
      </c>
      <c r="Q346" s="2">
        <v>0.79</v>
      </c>
      <c r="R346" s="2">
        <v>0</v>
      </c>
      <c r="S346" s="2">
        <v>16</v>
      </c>
      <c r="T346" s="2">
        <v>440768</v>
      </c>
      <c r="U346" s="2">
        <v>1070102</v>
      </c>
      <c r="V346" s="2">
        <v>0</v>
      </c>
      <c r="W346" s="2">
        <v>0</v>
      </c>
      <c r="X346" s="2">
        <v>0</v>
      </c>
      <c r="Y346" s="2" t="s">
        <v>148</v>
      </c>
      <c r="Z346" s="12">
        <f>SUMIF(Table1[product],Table1[[#This Row],[product]],Table1[loan_amount])</f>
        <v>62765800</v>
      </c>
      <c r="AA346" s="15">
        <f>SUMIF(Table1[region],Table1[[#This Row],[region]],Table1[current_balance])</f>
        <v>98928695</v>
      </c>
      <c r="AB346" s="2">
        <f>COUNTIF(Table1[loan_status],Table1[[#This Row],[loan_status]])</f>
        <v>301</v>
      </c>
      <c r="AC346" s="2">
        <f>COUNTIF(Table1[default_flag],1)/ROWS(Table1[loan_id])</f>
        <v>2.5999999999999999E-2</v>
      </c>
      <c r="AD346" s="2">
        <f>COUNTIFS(Table1[region],Table1[[#This Row],[region]],Table1[default_flag],1)/COUNTIF(Table1[region],Table1[[#This Row],[region]])</f>
        <v>2.8571428571428571E-2</v>
      </c>
      <c r="AE346" s="2">
        <f>COUNTIFS(Table1[channel],Table1[[#This Row],[channel]],Table1[prepayment_flag],1)/COUNTIF(Table1[channel],Table1[[#This Row],[channel]])</f>
        <v>0.12</v>
      </c>
      <c r="AF346" s="2">
        <f>AVERAGEIFS(Table1[interest_rate_pct],Table1[product],Table1[[#This Row],[product]],Table1[risk_band],Table1[[#This Row],[risk_band]])</f>
        <v>13.463888888888889</v>
      </c>
      <c r="AG346" s="2" t="str" cm="1">
        <f t="array" ref="AG346">_xlfn.IFS(Table1[[#This Row],[dti_ratio]] &lt; 0.2, " less than 0.2", Table1[[#This Row],[dti_ratio]] &lt; 0.3, "0.2 - 0.3", Table1[[#This Row],[dti_ratio]] &lt;= 0.5, "0.35 - 0.5", Table1[[#This Row],[dti_ratio]] &gt; 0.5, "greater than 0.5")</f>
        <v>0.35 - 0.5</v>
      </c>
      <c r="AH346" s="2">
        <f>COUNTIF(Table1[DTI band],Table1[[#This Row],[DTI band]])</f>
        <v>260</v>
      </c>
      <c r="AI346" s="2" t="str" cm="1">
        <f t="array" ref="AI346">_xlfn.IFS(Table1[[#This Row],[ltv_ratio]] &lt; 0.6, "less than 0.6 -less risky", Table1[[#This Row],[ltv_ratio]]  &lt;= 0.8, "0.6 - 0.8 -medium risky",Table1[[#This Row],[ltv_ratio]] &gt; 0.8, "greater than 0.8 -highly risky")</f>
        <v>0.6 - 0.8 -medium risky</v>
      </c>
      <c r="AJ346" s="2">
        <f>COUNTIF(Table1[LTV band],Table1[[#This Row],[LTV band]])</f>
        <v>302</v>
      </c>
      <c r="AK346" s="2">
        <f>COUNTIFS(Table1[count_loan_perband],Table1[[#This Row],[count_loan_perband]],Table1[default_flag],1)/COUNTIF(Table1[count_loan_perband],Table1[[#This Row],[count_loan_perband]])</f>
        <v>3.6423841059602648E-2</v>
      </c>
      <c r="AL346" s="2" t="str" cm="1">
        <f t="array" ref="AL346">_xlfn.IFS(Table1[[#This Row],[loan_amount]] &lt; 900000, "lower size (&lt; 9L)", Table1[[#This Row],[loan_amount]] &lt;=3300000, "medium size (&lt;=33L)", Table1[[#This Row],[loan_amount]] &gt; 3300000, "larger size (&gt; 33L)")</f>
        <v>medium size (&lt;=33L)</v>
      </c>
      <c r="AM346" s="2">
        <f>IF(Table1[[#This Row],[dpd]] &gt;=30,1,0)</f>
        <v>0</v>
      </c>
      <c r="AN346" s="2">
        <f>COUNTIFS(Table1[Loan size],Table1[[#This Row],[Loan size]],Table1[dpd flag],1)/COUNTIF(Table1[Loan size],Table1[[#This Row],[Loan size]])</f>
        <v>0.15909090909090909</v>
      </c>
      <c r="AO346" s="2" t="str">
        <f>IF(OR(Table1[[#This Row],[credit_score]] &lt; 600, Table1[ [#This Row],[dti_ratio] ] &gt; 0.5, Table1[[#This Row],[dpd]] &gt;=30), "high risk", " not riskY")</f>
        <v xml:space="preserve"> not riskY</v>
      </c>
      <c r="AP346" s="26">
        <f>EOMONTH(Table1[[#This Row],[origination_date]],0)</f>
        <v>45535</v>
      </c>
      <c r="AQ346" s="2">
        <f>SUMIFS(Table1[loan_amount],Table1[origination month],Table1[[#This Row],[origination month]])</f>
        <v>16249800</v>
      </c>
      <c r="AR346" s="2">
        <f>AVERAGEIFS(Table1[months_on_book],Table1[product],Table1[[#This Row],[product]])</f>
        <v>21.962962962962962</v>
      </c>
      <c r="AS346" s="2" t="str">
        <f ca="1">IF(EDATE(Table1[[#This Row],[origination_date]],6) &gt;= TODAY(), "New Loan", "Old Loan")</f>
        <v>Old Loan</v>
      </c>
      <c r="AT346" s="2" t="str">
        <f>"Q"&amp;ROUNDUP(MONTH(Table1[[#This Row],[origination_date]])/3,0)&amp;YEAR(Table1[[#This Row],[origination_date]])</f>
        <v>Q32024</v>
      </c>
      <c r="AU346" s="2">
        <f>SUMIFS(Table1[loan_amount],Table1[quarter],Table1[[#This Row],[quarter]])</f>
        <v>52597700</v>
      </c>
      <c r="AV346" s="34" t="str">
        <f>_xlfn.TEXTJOIN("|",TRUE,Table1[[#This Row],[loan_id]:[loan_status]])</f>
        <v>L13367130|C8770992|45527|Education Loan|Call Center|Central|Salaried|60|1418000|12.28|31744|814485|678|C|0.37|0.79|0|16|440768|1070102|0|0|0|Active</v>
      </c>
      <c r="AW346" s="42">
        <f>YEAR(Loan_Table[ [#This Row],[origination_date] ])</f>
        <v>2024</v>
      </c>
    </row>
    <row r="347" spans="2:49" ht="18" customHeight="1">
      <c r="B347" s="5" t="s">
        <v>814</v>
      </c>
      <c r="C347" s="2" t="s">
        <v>815</v>
      </c>
      <c r="D347" s="3">
        <v>45474</v>
      </c>
      <c r="E347" s="2" t="s">
        <v>169</v>
      </c>
      <c r="F347" s="2" t="s">
        <v>132</v>
      </c>
      <c r="G347" s="2" t="s">
        <v>151</v>
      </c>
      <c r="H347" s="2" t="s">
        <v>134</v>
      </c>
      <c r="I347" s="2">
        <v>360</v>
      </c>
      <c r="J347" s="2">
        <v>4550500</v>
      </c>
      <c r="K347" s="2">
        <v>7</v>
      </c>
      <c r="L347" s="2">
        <v>30275</v>
      </c>
      <c r="M347" s="2">
        <v>1426577</v>
      </c>
      <c r="N347" s="2">
        <v>803</v>
      </c>
      <c r="O347" s="2" t="s">
        <v>160</v>
      </c>
      <c r="P347" s="2">
        <v>0.37</v>
      </c>
      <c r="Q347" s="2">
        <v>0.92</v>
      </c>
      <c r="R347" s="2">
        <v>4929600</v>
      </c>
      <c r="S347" s="2">
        <v>17</v>
      </c>
      <c r="T347" s="2">
        <v>482121</v>
      </c>
      <c r="U347" s="2">
        <v>4248882</v>
      </c>
      <c r="V347" s="2">
        <v>0</v>
      </c>
      <c r="W347" s="2">
        <v>0</v>
      </c>
      <c r="X347" s="2">
        <v>0</v>
      </c>
      <c r="Y347" s="2" t="s">
        <v>148</v>
      </c>
      <c r="Z347" s="12">
        <f>SUMIF(Table1[product],Table1[[#This Row],[product]],Table1[loan_amount])</f>
        <v>403369500</v>
      </c>
      <c r="AA347" s="15">
        <f>SUMIF(Table1[region],Table1[[#This Row],[region]],Table1[current_balance])</f>
        <v>105779369</v>
      </c>
      <c r="AB347" s="2">
        <f>COUNTIF(Table1[loan_status],Table1[[#This Row],[loan_status]])</f>
        <v>301</v>
      </c>
      <c r="AC347" s="2">
        <f>COUNTIF(Table1[default_flag],1)/ROWS(Table1[loan_id])</f>
        <v>2.5999999999999999E-2</v>
      </c>
      <c r="AD347" s="2">
        <f>COUNTIFS(Table1[region],Table1[[#This Row],[region]],Table1[default_flag],1)/COUNTIF(Table1[region],Table1[[#This Row],[region]])</f>
        <v>2.6548672566371681E-2</v>
      </c>
      <c r="AE347" s="2">
        <f>COUNTIFS(Table1[channel],Table1[[#This Row],[channel]],Table1[prepayment_flag],1)/COUNTIF(Table1[channel],Table1[[#This Row],[channel]])</f>
        <v>7.1090047393364927E-2</v>
      </c>
      <c r="AF347" s="2">
        <f>AVERAGEIFS(Table1[interest_rate_pct],Table1[product],Table1[[#This Row],[product]],Table1[risk_band],Table1[[#This Row],[risk_band]])</f>
        <v>7.1876190476190471</v>
      </c>
      <c r="AG347" s="2" t="str" cm="1">
        <f t="array" ref="AG347">_xlfn.IFS(Table1[[#This Row],[dti_ratio]] &lt; 0.2, " less than 0.2", Table1[[#This Row],[dti_ratio]] &lt; 0.3, "0.2 - 0.3", Table1[[#This Row],[dti_ratio]] &lt;= 0.5, "0.35 - 0.5", Table1[[#This Row],[dti_ratio]] &gt; 0.5, "greater than 0.5")</f>
        <v>0.35 - 0.5</v>
      </c>
      <c r="AH347" s="2">
        <f>COUNTIF(Table1[DTI band],Table1[[#This Row],[DTI band]])</f>
        <v>260</v>
      </c>
      <c r="AI347" s="2" t="str" cm="1">
        <f t="array" ref="AI347">_xlfn.IFS(Table1[[#This Row],[ltv_ratio]] &lt; 0.6, "less than 0.6 -less risky", Table1[[#This Row],[ltv_ratio]]  &lt;= 0.8, "0.6 - 0.8 -medium risky",Table1[[#This Row],[ltv_ratio]] &gt; 0.8, "greater than 0.8 -highly risky")</f>
        <v>greater than 0.8 -highly risky</v>
      </c>
      <c r="AJ347" s="2">
        <f>COUNTIF(Table1[LTV band],Table1[[#This Row],[LTV band]])</f>
        <v>141</v>
      </c>
      <c r="AK347" s="2">
        <f>COUNTIFS(Table1[count_loan_perband],Table1[[#This Row],[count_loan_perband]],Table1[default_flag],1)/COUNTIF(Table1[count_loan_perband],Table1[[#This Row],[count_loan_perband]])</f>
        <v>1.4184397163120567E-2</v>
      </c>
      <c r="AL347" s="2" t="str" cm="1">
        <f t="array" ref="AL347">_xlfn.IFS(Table1[[#This Row],[loan_amount]] &lt; 900000, "lower size (&lt; 9L)", Table1[[#This Row],[loan_amount]] &lt;=3300000, "medium size (&lt;=33L)", Table1[[#This Row],[loan_amount]] &gt; 3300000, "larger size (&gt; 33L)")</f>
        <v>larger size (&gt; 33L)</v>
      </c>
      <c r="AM347" s="2">
        <f>IF(Table1[[#This Row],[dpd]] &gt;=30,1,0)</f>
        <v>0</v>
      </c>
      <c r="AN347" s="2">
        <f>COUNTIFS(Table1[Loan size],Table1[[#This Row],[Loan size]],Table1[dpd flag],1)/COUNTIF(Table1[Loan size],Table1[[#This Row],[Loan size]])</f>
        <v>0.16250000000000001</v>
      </c>
      <c r="AO347" s="2" t="str">
        <f>IF(OR(Table1[[#This Row],[credit_score]] &lt; 600, Table1[ [#This Row],[dti_ratio] ] &gt; 0.5, Table1[[#This Row],[dpd]] &gt;=30), "high risk", " not riskY")</f>
        <v xml:space="preserve"> not riskY</v>
      </c>
      <c r="AP347" s="26">
        <f>EOMONTH(Table1[[#This Row],[origination_date]],0)</f>
        <v>45504</v>
      </c>
      <c r="AQ347" s="2">
        <f>SUMIFS(Table1[loan_amount],Table1[origination month],Table1[[#This Row],[origination month]])</f>
        <v>25320300</v>
      </c>
      <c r="AR347" s="2">
        <f>AVERAGEIFS(Table1[months_on_book],Table1[product],Table1[[#This Row],[product]])</f>
        <v>20.516129032258064</v>
      </c>
      <c r="AS347" s="2" t="str">
        <f ca="1">IF(EDATE(Table1[[#This Row],[origination_date]],6) &gt;= TODAY(), "New Loan", "Old Loan")</f>
        <v>Old Loan</v>
      </c>
      <c r="AT347" s="2" t="str">
        <f>"Q"&amp;ROUNDUP(MONTH(Table1[[#This Row],[origination_date]])/3,0)&amp;YEAR(Table1[[#This Row],[origination_date]])</f>
        <v>Q32024</v>
      </c>
      <c r="AU347" s="2">
        <f>SUMIFS(Table1[loan_amount],Table1[quarter],Table1[[#This Row],[quarter]])</f>
        <v>52597700</v>
      </c>
      <c r="AV347" s="34" t="str">
        <f>_xlfn.TEXTJOIN("|",TRUE,Table1[[#This Row],[loan_id]:[loan_status]])</f>
        <v>L82742632|C8275147|45474|Home Loan|Online|North|Salaried|360|4550500|7|30275|1426577|803|A|0.37|0.92|4929600|17|482121|4248882|0|0|0|Active</v>
      </c>
      <c r="AW347" s="42">
        <f>YEAR(Loan_Table[ [#This Row],[origination_date] ])</f>
        <v>2024</v>
      </c>
    </row>
    <row r="348" spans="2:49" ht="18" customHeight="1">
      <c r="B348" s="5" t="s">
        <v>816</v>
      </c>
      <c r="C348" s="2" t="s">
        <v>817</v>
      </c>
      <c r="D348" s="3">
        <v>45527</v>
      </c>
      <c r="E348" s="2" t="s">
        <v>163</v>
      </c>
      <c r="F348" s="2" t="s">
        <v>144</v>
      </c>
      <c r="G348" s="2" t="s">
        <v>145</v>
      </c>
      <c r="H348" s="2" t="s">
        <v>134</v>
      </c>
      <c r="I348" s="2">
        <v>120</v>
      </c>
      <c r="J348" s="2">
        <v>1347300</v>
      </c>
      <c r="K348" s="2">
        <v>7.79</v>
      </c>
      <c r="L348" s="2">
        <v>16197</v>
      </c>
      <c r="M348" s="2">
        <v>956672</v>
      </c>
      <c r="N348" s="2">
        <v>769</v>
      </c>
      <c r="O348" s="2" t="s">
        <v>160</v>
      </c>
      <c r="P348" s="2">
        <v>0.37</v>
      </c>
      <c r="Q348" s="2">
        <v>0.8</v>
      </c>
      <c r="R348" s="2">
        <v>1679800</v>
      </c>
      <c r="S348" s="2">
        <v>16</v>
      </c>
      <c r="T348" s="2">
        <v>249474</v>
      </c>
      <c r="U348" s="2">
        <v>1153802</v>
      </c>
      <c r="V348" s="2">
        <v>15</v>
      </c>
      <c r="W348" s="2">
        <v>0</v>
      </c>
      <c r="X348" s="2">
        <v>0</v>
      </c>
      <c r="Y348" s="2" t="s">
        <v>148</v>
      </c>
      <c r="Z348" s="12">
        <f>SUMIF(Table1[product],Table1[[#This Row],[product]],Table1[loan_amount])</f>
        <v>92273000</v>
      </c>
      <c r="AA348" s="15">
        <f>SUMIF(Table1[region],Table1[[#This Row],[region]],Table1[current_balance])</f>
        <v>98928695</v>
      </c>
      <c r="AB348" s="2">
        <f>COUNTIF(Table1[loan_status],Table1[[#This Row],[loan_status]])</f>
        <v>301</v>
      </c>
      <c r="AC348" s="2">
        <f>COUNTIF(Table1[default_flag],1)/ROWS(Table1[loan_id])</f>
        <v>2.5999999999999999E-2</v>
      </c>
      <c r="AD348" s="2">
        <f>COUNTIFS(Table1[region],Table1[[#This Row],[region]],Table1[default_flag],1)/COUNTIF(Table1[region],Table1[[#This Row],[region]])</f>
        <v>2.8571428571428571E-2</v>
      </c>
      <c r="AE348" s="2">
        <f>COUNTIFS(Table1[channel],Table1[[#This Row],[channel]],Table1[prepayment_flag],1)/COUNTIF(Table1[channel],Table1[[#This Row],[channel]])</f>
        <v>5.8201058201058198E-2</v>
      </c>
      <c r="AF348" s="2">
        <f>AVERAGEIFS(Table1[interest_rate_pct],Table1[product],Table1[[#This Row],[product]],Table1[risk_band],Table1[[#This Row],[risk_band]])</f>
        <v>7.9444999999999997</v>
      </c>
      <c r="AG348" s="2" t="str" cm="1">
        <f t="array" ref="AG348">_xlfn.IFS(Table1[[#This Row],[dti_ratio]] &lt; 0.2, " less than 0.2", Table1[[#This Row],[dti_ratio]] &lt; 0.3, "0.2 - 0.3", Table1[[#This Row],[dti_ratio]] &lt;= 0.5, "0.35 - 0.5", Table1[[#This Row],[dti_ratio]] &gt; 0.5, "greater than 0.5")</f>
        <v>0.35 - 0.5</v>
      </c>
      <c r="AH348" s="2">
        <f>COUNTIF(Table1[DTI band],Table1[[#This Row],[DTI band]])</f>
        <v>260</v>
      </c>
      <c r="AI348" s="2" t="str" cm="1">
        <f t="array" ref="AI348">_xlfn.IFS(Table1[[#This Row],[ltv_ratio]] &lt; 0.6, "less than 0.6 -less risky", Table1[[#This Row],[ltv_ratio]]  &lt;= 0.8, "0.6 - 0.8 -medium risky",Table1[[#This Row],[ltv_ratio]] &gt; 0.8, "greater than 0.8 -highly risky")</f>
        <v>0.6 - 0.8 -medium risky</v>
      </c>
      <c r="AJ348" s="2">
        <f>COUNTIF(Table1[LTV band],Table1[[#This Row],[LTV band]])</f>
        <v>302</v>
      </c>
      <c r="AK348" s="2">
        <f>COUNTIFS(Table1[count_loan_perband],Table1[[#This Row],[count_loan_perband]],Table1[default_flag],1)/COUNTIF(Table1[count_loan_perband],Table1[[#This Row],[count_loan_perband]])</f>
        <v>3.6423841059602648E-2</v>
      </c>
      <c r="AL348" s="2" t="str" cm="1">
        <f t="array" ref="AL348">_xlfn.IFS(Table1[[#This Row],[loan_amount]] &lt; 900000, "lower size (&lt; 9L)", Table1[[#This Row],[loan_amount]] &lt;=3300000, "medium size (&lt;=33L)", Table1[[#This Row],[loan_amount]] &gt; 3300000, "larger size (&gt; 33L)")</f>
        <v>medium size (&lt;=33L)</v>
      </c>
      <c r="AM348" s="2">
        <f>IF(Table1[[#This Row],[dpd]] &gt;=30,1,0)</f>
        <v>0</v>
      </c>
      <c r="AN348" s="2">
        <f>COUNTIFS(Table1[Loan size],Table1[[#This Row],[Loan size]],Table1[dpd flag],1)/COUNTIF(Table1[Loan size],Table1[[#This Row],[Loan size]])</f>
        <v>0.15909090909090909</v>
      </c>
      <c r="AO348" s="2" t="str">
        <f>IF(OR(Table1[[#This Row],[credit_score]] &lt; 600, Table1[ [#This Row],[dti_ratio] ] &gt; 0.5, Table1[[#This Row],[dpd]] &gt;=30), "high risk", " not riskY")</f>
        <v xml:space="preserve"> not riskY</v>
      </c>
      <c r="AP348" s="26">
        <f>EOMONTH(Table1[[#This Row],[origination_date]],0)</f>
        <v>45535</v>
      </c>
      <c r="AQ348" s="2">
        <f>SUMIFS(Table1[loan_amount],Table1[origination month],Table1[[#This Row],[origination month]])</f>
        <v>16249800</v>
      </c>
      <c r="AR348" s="2">
        <f>AVERAGEIFS(Table1[months_on_book],Table1[product],Table1[[#This Row],[product]])</f>
        <v>20.262135922330096</v>
      </c>
      <c r="AS348" s="2" t="str">
        <f ca="1">IF(EDATE(Table1[[#This Row],[origination_date]],6) &gt;= TODAY(), "New Loan", "Old Loan")</f>
        <v>Old Loan</v>
      </c>
      <c r="AT348" s="2" t="str">
        <f>"Q"&amp;ROUNDUP(MONTH(Table1[[#This Row],[origination_date]])/3,0)&amp;YEAR(Table1[[#This Row],[origination_date]])</f>
        <v>Q32024</v>
      </c>
      <c r="AU348" s="2">
        <f>SUMIFS(Table1[loan_amount],Table1[quarter],Table1[[#This Row],[quarter]])</f>
        <v>52597700</v>
      </c>
      <c r="AV348" s="34" t="str">
        <f>_xlfn.TEXTJOIN("|",TRUE,Table1[[#This Row],[loan_id]:[loan_status]])</f>
        <v>L23634847|C7459842|45527|Auto Loan|Branch|Central|Salaried|120|1347300|7.79|16197|956672|769|A|0.37|0.8|1679800|16|249474|1153802|15|0|0|Active</v>
      </c>
      <c r="AW348" s="42">
        <f>YEAR(Loan_Table[ [#This Row],[origination_date] ])</f>
        <v>2024</v>
      </c>
    </row>
    <row r="349" spans="2:49" ht="18" customHeight="1">
      <c r="B349" s="5" t="s">
        <v>818</v>
      </c>
      <c r="C349" s="2" t="s">
        <v>819</v>
      </c>
      <c r="D349" s="3">
        <v>45527</v>
      </c>
      <c r="E349" s="2" t="s">
        <v>169</v>
      </c>
      <c r="F349" s="2" t="s">
        <v>132</v>
      </c>
      <c r="G349" s="2" t="s">
        <v>139</v>
      </c>
      <c r="H349" s="2" t="s">
        <v>134</v>
      </c>
      <c r="I349" s="2">
        <v>60</v>
      </c>
      <c r="J349" s="2">
        <v>4741700</v>
      </c>
      <c r="K349" s="2">
        <v>7.61</v>
      </c>
      <c r="L349" s="2">
        <v>95262</v>
      </c>
      <c r="M349" s="2">
        <v>943309</v>
      </c>
      <c r="N349" s="2">
        <v>754</v>
      </c>
      <c r="O349" s="2" t="s">
        <v>160</v>
      </c>
      <c r="P349" s="2">
        <v>0.36</v>
      </c>
      <c r="Q349" s="2">
        <v>0.76</v>
      </c>
      <c r="R349" s="2">
        <v>6220900</v>
      </c>
      <c r="S349" s="2">
        <v>16</v>
      </c>
      <c r="T349" s="2">
        <v>1337033</v>
      </c>
      <c r="U349" s="2">
        <v>3597117</v>
      </c>
      <c r="V349" s="2">
        <v>0</v>
      </c>
      <c r="W349" s="2">
        <v>0</v>
      </c>
      <c r="X349" s="2">
        <v>0</v>
      </c>
      <c r="Y349" s="2" t="s">
        <v>148</v>
      </c>
      <c r="Z349" s="12">
        <f>SUMIF(Table1[product],Table1[[#This Row],[product]],Table1[loan_amount])</f>
        <v>403369500</v>
      </c>
      <c r="AA349" s="15">
        <f>SUMIF(Table1[region],Table1[[#This Row],[region]],Table1[current_balance])</f>
        <v>83903255</v>
      </c>
      <c r="AB349" s="2">
        <f>COUNTIF(Table1[loan_status],Table1[[#This Row],[loan_status]])</f>
        <v>301</v>
      </c>
      <c r="AC349" s="2">
        <f>COUNTIF(Table1[default_flag],1)/ROWS(Table1[loan_id])</f>
        <v>2.5999999999999999E-2</v>
      </c>
      <c r="AD349" s="2">
        <f>COUNTIFS(Table1[region],Table1[[#This Row],[region]],Table1[default_flag],1)/COUNTIF(Table1[region],Table1[[#This Row],[region]])</f>
        <v>4.2553191489361701E-2</v>
      </c>
      <c r="AE349" s="2">
        <f>COUNTIFS(Table1[channel],Table1[[#This Row],[channel]],Table1[prepayment_flag],1)/COUNTIF(Table1[channel],Table1[[#This Row],[channel]])</f>
        <v>7.1090047393364927E-2</v>
      </c>
      <c r="AF349" s="2">
        <f>AVERAGEIFS(Table1[interest_rate_pct],Table1[product],Table1[[#This Row],[product]],Table1[risk_band],Table1[[#This Row],[risk_band]])</f>
        <v>7.1876190476190471</v>
      </c>
      <c r="AG349" s="2" t="str" cm="1">
        <f t="array" ref="AG349">_xlfn.IFS(Table1[[#This Row],[dti_ratio]] &lt; 0.2, " less than 0.2", Table1[[#This Row],[dti_ratio]] &lt; 0.3, "0.2 - 0.3", Table1[[#This Row],[dti_ratio]] &lt;= 0.5, "0.35 - 0.5", Table1[[#This Row],[dti_ratio]] &gt; 0.5, "greater than 0.5")</f>
        <v>0.35 - 0.5</v>
      </c>
      <c r="AH349" s="2">
        <f>COUNTIF(Table1[DTI band],Table1[[#This Row],[DTI band]])</f>
        <v>260</v>
      </c>
      <c r="AI349" s="2" t="str" cm="1">
        <f t="array" ref="AI349">_xlfn.IFS(Table1[[#This Row],[ltv_ratio]] &lt; 0.6, "less than 0.6 -less risky", Table1[[#This Row],[ltv_ratio]]  &lt;= 0.8, "0.6 - 0.8 -medium risky",Table1[[#This Row],[ltv_ratio]] &gt; 0.8, "greater than 0.8 -highly risky")</f>
        <v>0.6 - 0.8 -medium risky</v>
      </c>
      <c r="AJ349" s="2">
        <f>COUNTIF(Table1[LTV band],Table1[[#This Row],[LTV band]])</f>
        <v>302</v>
      </c>
      <c r="AK349" s="2">
        <f>COUNTIFS(Table1[count_loan_perband],Table1[[#This Row],[count_loan_perband]],Table1[default_flag],1)/COUNTIF(Table1[count_loan_perband],Table1[[#This Row],[count_loan_perband]])</f>
        <v>3.6423841059602648E-2</v>
      </c>
      <c r="AL349" s="2" t="str" cm="1">
        <f t="array" ref="AL349">_xlfn.IFS(Table1[[#This Row],[loan_amount]] &lt; 900000, "lower size (&lt; 9L)", Table1[[#This Row],[loan_amount]] &lt;=3300000, "medium size (&lt;=33L)", Table1[[#This Row],[loan_amount]] &gt; 3300000, "larger size (&gt; 33L)")</f>
        <v>larger size (&gt; 33L)</v>
      </c>
      <c r="AM349" s="2">
        <f>IF(Table1[[#This Row],[dpd]] &gt;=30,1,0)</f>
        <v>0</v>
      </c>
      <c r="AN349" s="2">
        <f>COUNTIFS(Table1[Loan size],Table1[[#This Row],[Loan size]],Table1[dpd flag],1)/COUNTIF(Table1[Loan size],Table1[[#This Row],[Loan size]])</f>
        <v>0.16250000000000001</v>
      </c>
      <c r="AO349" s="2" t="str">
        <f>IF(OR(Table1[[#This Row],[credit_score]] &lt; 600, Table1[ [#This Row],[dti_ratio] ] &gt; 0.5, Table1[[#This Row],[dpd]] &gt;=30), "high risk", " not riskY")</f>
        <v xml:space="preserve"> not riskY</v>
      </c>
      <c r="AP349" s="26">
        <f>EOMONTH(Table1[[#This Row],[origination_date]],0)</f>
        <v>45535</v>
      </c>
      <c r="AQ349" s="2">
        <f>SUMIFS(Table1[loan_amount],Table1[origination month],Table1[[#This Row],[origination month]])</f>
        <v>16249800</v>
      </c>
      <c r="AR349" s="2">
        <f>AVERAGEIFS(Table1[months_on_book],Table1[product],Table1[[#This Row],[product]])</f>
        <v>20.516129032258064</v>
      </c>
      <c r="AS349" s="2" t="str">
        <f ca="1">IF(EDATE(Table1[[#This Row],[origination_date]],6) &gt;= TODAY(), "New Loan", "Old Loan")</f>
        <v>Old Loan</v>
      </c>
      <c r="AT349" s="2" t="str">
        <f>"Q"&amp;ROUNDUP(MONTH(Table1[[#This Row],[origination_date]])/3,0)&amp;YEAR(Table1[[#This Row],[origination_date]])</f>
        <v>Q32024</v>
      </c>
      <c r="AU349" s="2">
        <f>SUMIFS(Table1[loan_amount],Table1[quarter],Table1[[#This Row],[quarter]])</f>
        <v>52597700</v>
      </c>
      <c r="AV349" s="34" t="str">
        <f>_xlfn.TEXTJOIN("|",TRUE,Table1[[#This Row],[loan_id]:[loan_status]])</f>
        <v>L43341373|C9539567|45527|Home Loan|Online|West|Salaried|60|4741700|7.61|95262|943309|754|A|0.36|0.76|6220900|16|1337033|3597117|0|0|0|Active</v>
      </c>
      <c r="AW349" s="42">
        <f>YEAR(Loan_Table[ [#This Row],[origination_date] ])</f>
        <v>2024</v>
      </c>
    </row>
    <row r="350" spans="2:49" ht="18" customHeight="1">
      <c r="B350" s="5" t="s">
        <v>820</v>
      </c>
      <c r="C350" s="2" t="s">
        <v>821</v>
      </c>
      <c r="D350" s="3">
        <v>45501</v>
      </c>
      <c r="E350" s="2" t="s">
        <v>169</v>
      </c>
      <c r="F350" s="2" t="s">
        <v>132</v>
      </c>
      <c r="G350" s="2" t="s">
        <v>133</v>
      </c>
      <c r="H350" s="2" t="s">
        <v>134</v>
      </c>
      <c r="I350" s="2">
        <v>72</v>
      </c>
      <c r="J350" s="2">
        <v>50000</v>
      </c>
      <c r="K350" s="2">
        <v>7</v>
      </c>
      <c r="L350" s="2">
        <v>852</v>
      </c>
      <c r="M350" s="2">
        <v>961495</v>
      </c>
      <c r="N350" s="2">
        <v>783</v>
      </c>
      <c r="O350" s="2" t="s">
        <v>160</v>
      </c>
      <c r="P350" s="2">
        <v>0.33</v>
      </c>
      <c r="Q350" s="2">
        <v>0.95</v>
      </c>
      <c r="R350" s="2">
        <v>52600</v>
      </c>
      <c r="S350" s="2">
        <v>17</v>
      </c>
      <c r="T350" s="2">
        <v>13835</v>
      </c>
      <c r="U350" s="2">
        <v>38148</v>
      </c>
      <c r="V350" s="2">
        <v>0</v>
      </c>
      <c r="W350" s="2">
        <v>0</v>
      </c>
      <c r="X350" s="2">
        <v>0</v>
      </c>
      <c r="Y350" s="2" t="s">
        <v>148</v>
      </c>
      <c r="Z350" s="12">
        <f>SUMIF(Table1[product],Table1[[#This Row],[product]],Table1[loan_amount])</f>
        <v>403369500</v>
      </c>
      <c r="AA350" s="15">
        <f>SUMIF(Table1[region],Table1[[#This Row],[region]],Table1[current_balance])</f>
        <v>94548000</v>
      </c>
      <c r="AB350" s="2">
        <f>COUNTIF(Table1[loan_status],Table1[[#This Row],[loan_status]])</f>
        <v>301</v>
      </c>
      <c r="AC350" s="2">
        <f>COUNTIF(Table1[default_flag],1)/ROWS(Table1[loan_id])</f>
        <v>2.5999999999999999E-2</v>
      </c>
      <c r="AD350" s="2">
        <f>COUNTIFS(Table1[region],Table1[[#This Row],[region]],Table1[default_flag],1)/COUNTIF(Table1[region],Table1[[#This Row],[region]])</f>
        <v>0</v>
      </c>
      <c r="AE350" s="2">
        <f>COUNTIFS(Table1[channel],Table1[[#This Row],[channel]],Table1[prepayment_flag],1)/COUNTIF(Table1[channel],Table1[[#This Row],[channel]])</f>
        <v>7.1090047393364927E-2</v>
      </c>
      <c r="AF350" s="2">
        <f>AVERAGEIFS(Table1[interest_rate_pct],Table1[product],Table1[[#This Row],[product]],Table1[risk_band],Table1[[#This Row],[risk_band]])</f>
        <v>7.1876190476190471</v>
      </c>
      <c r="AG350" s="2" t="str" cm="1">
        <f t="array" ref="AG350">_xlfn.IFS(Table1[[#This Row],[dti_ratio]] &lt; 0.2, " less than 0.2", Table1[[#This Row],[dti_ratio]] &lt; 0.3, "0.2 - 0.3", Table1[[#This Row],[dti_ratio]] &lt;= 0.5, "0.35 - 0.5", Table1[[#This Row],[dti_ratio]] &gt; 0.5, "greater than 0.5")</f>
        <v>0.35 - 0.5</v>
      </c>
      <c r="AH350" s="2">
        <f>COUNTIF(Table1[DTI band],Table1[[#This Row],[DTI band]])</f>
        <v>260</v>
      </c>
      <c r="AI350" s="2" t="str" cm="1">
        <f t="array" ref="AI350">_xlfn.IFS(Table1[[#This Row],[ltv_ratio]] &lt; 0.6, "less than 0.6 -less risky", Table1[[#This Row],[ltv_ratio]]  &lt;= 0.8, "0.6 - 0.8 -medium risky",Table1[[#This Row],[ltv_ratio]] &gt; 0.8, "greater than 0.8 -highly risky")</f>
        <v>greater than 0.8 -highly risky</v>
      </c>
      <c r="AJ350" s="2">
        <f>COUNTIF(Table1[LTV band],Table1[[#This Row],[LTV band]])</f>
        <v>141</v>
      </c>
      <c r="AK350" s="2">
        <f>COUNTIFS(Table1[count_loan_perband],Table1[[#This Row],[count_loan_perband]],Table1[default_flag],1)/COUNTIF(Table1[count_loan_perband],Table1[[#This Row],[count_loan_perband]])</f>
        <v>1.4184397163120567E-2</v>
      </c>
      <c r="AL350" s="2" t="str" cm="1">
        <f t="array" ref="AL350">_xlfn.IFS(Table1[[#This Row],[loan_amount]] &lt; 900000, "lower size (&lt; 9L)", Table1[[#This Row],[loan_amount]] &lt;=3300000, "medium size (&lt;=33L)", Table1[[#This Row],[loan_amount]] &gt; 3300000, "larger size (&gt; 33L)")</f>
        <v>lower size (&lt; 9L)</v>
      </c>
      <c r="AM350" s="2">
        <f>IF(Table1[[#This Row],[dpd]] &gt;=30,1,0)</f>
        <v>0</v>
      </c>
      <c r="AN350" s="2">
        <f>COUNTIFS(Table1[Loan size],Table1[[#This Row],[Loan size]],Table1[dpd flag],1)/COUNTIF(Table1[Loan size],Table1[[#This Row],[Loan size]])</f>
        <v>0.13934426229508196</v>
      </c>
      <c r="AO350" s="2" t="str">
        <f>IF(OR(Table1[[#This Row],[credit_score]] &lt; 600, Table1[ [#This Row],[dti_ratio] ] &gt; 0.5, Table1[[#This Row],[dpd]] &gt;=30), "high risk", " not riskY")</f>
        <v xml:space="preserve"> not riskY</v>
      </c>
      <c r="AP350" s="26">
        <f>EOMONTH(Table1[[#This Row],[origination_date]],0)</f>
        <v>45504</v>
      </c>
      <c r="AQ350" s="2">
        <f>SUMIFS(Table1[loan_amount],Table1[origination month],Table1[[#This Row],[origination month]])</f>
        <v>25320300</v>
      </c>
      <c r="AR350" s="2">
        <f>AVERAGEIFS(Table1[months_on_book],Table1[product],Table1[[#This Row],[product]])</f>
        <v>20.516129032258064</v>
      </c>
      <c r="AS350" s="2" t="str">
        <f ca="1">IF(EDATE(Table1[[#This Row],[origination_date]],6) &gt;= TODAY(), "New Loan", "Old Loan")</f>
        <v>Old Loan</v>
      </c>
      <c r="AT350" s="2" t="str">
        <f>"Q"&amp;ROUNDUP(MONTH(Table1[[#This Row],[origination_date]])/3,0)&amp;YEAR(Table1[[#This Row],[origination_date]])</f>
        <v>Q32024</v>
      </c>
      <c r="AU350" s="2">
        <f>SUMIFS(Table1[loan_amount],Table1[quarter],Table1[[#This Row],[quarter]])</f>
        <v>52597700</v>
      </c>
      <c r="AV350" s="34" t="str">
        <f>_xlfn.TEXTJOIN("|",TRUE,Table1[[#This Row],[loan_id]:[loan_status]])</f>
        <v>L53407309|C4814233|45501|Home Loan|Online|South|Salaried|72|50000|7|852|961495|783|A|0.33|0.95|52600|17|13835|38148|0|0|0|Active</v>
      </c>
      <c r="AW350" s="42">
        <f>YEAR(Loan_Table[ [#This Row],[origination_date] ])</f>
        <v>2025</v>
      </c>
    </row>
    <row r="351" spans="2:49" ht="18" customHeight="1">
      <c r="B351" s="5" t="s">
        <v>822</v>
      </c>
      <c r="C351" s="2" t="s">
        <v>823</v>
      </c>
      <c r="D351" s="3">
        <v>45549</v>
      </c>
      <c r="E351" s="2" t="s">
        <v>158</v>
      </c>
      <c r="F351" s="2" t="s">
        <v>132</v>
      </c>
      <c r="G351" s="2" t="s">
        <v>139</v>
      </c>
      <c r="H351" s="2" t="s">
        <v>134</v>
      </c>
      <c r="I351" s="2">
        <v>36</v>
      </c>
      <c r="J351" s="2">
        <v>2970700</v>
      </c>
      <c r="K351" s="2">
        <v>14.88</v>
      </c>
      <c r="L351" s="2">
        <v>102806</v>
      </c>
      <c r="M351" s="2">
        <v>1373576</v>
      </c>
      <c r="N351" s="2">
        <v>687</v>
      </c>
      <c r="O351" s="2" t="s">
        <v>140</v>
      </c>
      <c r="P351" s="2">
        <v>0.33</v>
      </c>
      <c r="Q351" s="2">
        <v>0.87</v>
      </c>
      <c r="R351" s="2">
        <v>3409500</v>
      </c>
      <c r="S351" s="2">
        <v>15</v>
      </c>
      <c r="T351" s="2">
        <v>1494654</v>
      </c>
      <c r="U351" s="2">
        <v>1697066</v>
      </c>
      <c r="V351" s="2">
        <v>0</v>
      </c>
      <c r="W351" s="2">
        <v>0</v>
      </c>
      <c r="X351" s="2">
        <v>0</v>
      </c>
      <c r="Y351" s="2" t="s">
        <v>148</v>
      </c>
      <c r="Z351" s="12">
        <f>SUMIF(Table1[product],Table1[[#This Row],[product]],Table1[loan_amount])</f>
        <v>201475100</v>
      </c>
      <c r="AA351" s="15">
        <f>SUMIF(Table1[region],Table1[[#This Row],[region]],Table1[current_balance])</f>
        <v>83903255</v>
      </c>
      <c r="AB351" s="2">
        <f>COUNTIF(Table1[loan_status],Table1[[#This Row],[loan_status]])</f>
        <v>301</v>
      </c>
      <c r="AC351" s="2">
        <f>COUNTIF(Table1[default_flag],1)/ROWS(Table1[loan_id])</f>
        <v>2.5999999999999999E-2</v>
      </c>
      <c r="AD351" s="2">
        <f>COUNTIFS(Table1[region],Table1[[#This Row],[region]],Table1[default_flag],1)/COUNTIF(Table1[region],Table1[[#This Row],[region]])</f>
        <v>4.2553191489361701E-2</v>
      </c>
      <c r="AE351" s="2">
        <f>COUNTIFS(Table1[channel],Table1[[#This Row],[channel]],Table1[prepayment_flag],1)/COUNTIF(Table1[channel],Table1[[#This Row],[channel]])</f>
        <v>7.1090047393364927E-2</v>
      </c>
      <c r="AF351" s="2">
        <f>AVERAGEIFS(Table1[interest_rate_pct],Table1[product],Table1[[#This Row],[product]],Table1[risk_band],Table1[[#This Row],[risk_band]])</f>
        <v>15.841379310344831</v>
      </c>
      <c r="AG351" s="2" t="str" cm="1">
        <f t="array" ref="AG351">_xlfn.IFS(Table1[[#This Row],[dti_ratio]] &lt; 0.2, " less than 0.2", Table1[[#This Row],[dti_ratio]] &lt; 0.3, "0.2 - 0.3", Table1[[#This Row],[dti_ratio]] &lt;= 0.5, "0.35 - 0.5", Table1[[#This Row],[dti_ratio]] &gt; 0.5, "greater than 0.5")</f>
        <v>0.35 - 0.5</v>
      </c>
      <c r="AH351" s="2">
        <f>COUNTIF(Table1[DTI band],Table1[[#This Row],[DTI band]])</f>
        <v>260</v>
      </c>
      <c r="AI351" s="2" t="str" cm="1">
        <f t="array" ref="AI351">_xlfn.IFS(Table1[[#This Row],[ltv_ratio]] &lt; 0.6, "less than 0.6 -less risky", Table1[[#This Row],[ltv_ratio]]  &lt;= 0.8, "0.6 - 0.8 -medium risky",Table1[[#This Row],[ltv_ratio]] &gt; 0.8, "greater than 0.8 -highly risky")</f>
        <v>greater than 0.8 -highly risky</v>
      </c>
      <c r="AJ351" s="2">
        <f>COUNTIF(Table1[LTV band],Table1[[#This Row],[LTV band]])</f>
        <v>141</v>
      </c>
      <c r="AK351" s="2">
        <f>COUNTIFS(Table1[count_loan_perband],Table1[[#This Row],[count_loan_perband]],Table1[default_flag],1)/COUNTIF(Table1[count_loan_perband],Table1[[#This Row],[count_loan_perband]])</f>
        <v>1.4184397163120567E-2</v>
      </c>
      <c r="AL351" s="2" t="str" cm="1">
        <f t="array" ref="AL351">_xlfn.IFS(Table1[[#This Row],[loan_amount]] &lt; 900000, "lower size (&lt; 9L)", Table1[[#This Row],[loan_amount]] &lt;=3300000, "medium size (&lt;=33L)", Table1[[#This Row],[loan_amount]] &gt; 3300000, "larger size (&gt; 33L)")</f>
        <v>medium size (&lt;=33L)</v>
      </c>
      <c r="AM351" s="2">
        <f>IF(Table1[[#This Row],[dpd]] &gt;=30,1,0)</f>
        <v>0</v>
      </c>
      <c r="AN351" s="2">
        <f>COUNTIFS(Table1[Loan size],Table1[[#This Row],[Loan size]],Table1[dpd flag],1)/COUNTIF(Table1[Loan size],Table1[[#This Row],[Loan size]])</f>
        <v>0.15909090909090909</v>
      </c>
      <c r="AO351" s="2" t="str">
        <f>IF(OR(Table1[[#This Row],[credit_score]] &lt; 600, Table1[ [#This Row],[dti_ratio] ] &gt; 0.5, Table1[[#This Row],[dpd]] &gt;=30), "high risk", " not riskY")</f>
        <v xml:space="preserve"> not riskY</v>
      </c>
      <c r="AP351" s="26">
        <f>EOMONTH(Table1[[#This Row],[origination_date]],0)</f>
        <v>45565</v>
      </c>
      <c r="AQ351" s="2">
        <f>SUMIFS(Table1[loan_amount],Table1[origination month],Table1[[#This Row],[origination month]])</f>
        <v>11027600</v>
      </c>
      <c r="AR351" s="2">
        <f>AVERAGEIFS(Table1[months_on_book],Table1[product],Table1[[#This Row],[product]])</f>
        <v>19.091954022988507</v>
      </c>
      <c r="AS351" s="2" t="str">
        <f ca="1">IF(EDATE(Table1[[#This Row],[origination_date]],6) &gt;= TODAY(), "New Loan", "Old Loan")</f>
        <v>Old Loan</v>
      </c>
      <c r="AT351" s="2" t="str">
        <f>"Q"&amp;ROUNDUP(MONTH(Table1[[#This Row],[origination_date]])/3,0)&amp;YEAR(Table1[[#This Row],[origination_date]])</f>
        <v>Q32024</v>
      </c>
      <c r="AU351" s="2">
        <f>SUMIFS(Table1[loan_amount],Table1[quarter],Table1[[#This Row],[quarter]])</f>
        <v>52597700</v>
      </c>
      <c r="AV351" s="34" t="str">
        <f>_xlfn.TEXTJOIN("|",TRUE,Table1[[#This Row],[loan_id]:[loan_status]])</f>
        <v>L23708089|C9639446|45549|SME Loan|Online|West|Salaried|36|2970700|14.88|102806|1373576|687|C|0.33|0.87|3409500|15|1494654|1697066|0|0|0|Active</v>
      </c>
      <c r="AW351" s="42">
        <f>YEAR(Loan_Table[ [#This Row],[origination_date] ])</f>
        <v>2025</v>
      </c>
    </row>
    <row r="352" spans="2:49" ht="18" customHeight="1">
      <c r="B352" s="5" t="s">
        <v>824</v>
      </c>
      <c r="C352" s="2" t="s">
        <v>825</v>
      </c>
      <c r="D352" s="3">
        <v>45522</v>
      </c>
      <c r="E352" s="2" t="s">
        <v>177</v>
      </c>
      <c r="F352" s="2" t="s">
        <v>132</v>
      </c>
      <c r="G352" s="2" t="s">
        <v>133</v>
      </c>
      <c r="H352" s="2" t="s">
        <v>134</v>
      </c>
      <c r="I352" s="2">
        <v>48</v>
      </c>
      <c r="J352" s="2">
        <v>972300</v>
      </c>
      <c r="K352" s="2">
        <v>14.03</v>
      </c>
      <c r="L352" s="2">
        <v>26584</v>
      </c>
      <c r="M352" s="2">
        <v>254758</v>
      </c>
      <c r="N352" s="2">
        <v>673</v>
      </c>
      <c r="O352" s="2" t="s">
        <v>140</v>
      </c>
      <c r="P352" s="2">
        <v>0.32</v>
      </c>
      <c r="Q352" s="2">
        <v>0.54</v>
      </c>
      <c r="R352" s="2">
        <v>0</v>
      </c>
      <c r="S352" s="2">
        <v>16</v>
      </c>
      <c r="T352" s="2">
        <v>403274</v>
      </c>
      <c r="U352" s="2">
        <v>641780</v>
      </c>
      <c r="V352" s="2">
        <v>0</v>
      </c>
      <c r="W352" s="2">
        <v>0</v>
      </c>
      <c r="X352" s="2">
        <v>0</v>
      </c>
      <c r="Y352" s="2" t="s">
        <v>148</v>
      </c>
      <c r="Z352" s="12">
        <f>SUMIF(Table1[product],Table1[[#This Row],[product]],Table1[loan_amount])</f>
        <v>62765800</v>
      </c>
      <c r="AA352" s="15">
        <f>SUMIF(Table1[region],Table1[[#This Row],[region]],Table1[current_balance])</f>
        <v>94548000</v>
      </c>
      <c r="AB352" s="2">
        <f>COUNTIF(Table1[loan_status],Table1[[#This Row],[loan_status]])</f>
        <v>301</v>
      </c>
      <c r="AC352" s="2">
        <f>COUNTIF(Table1[default_flag],1)/ROWS(Table1[loan_id])</f>
        <v>2.5999999999999999E-2</v>
      </c>
      <c r="AD352" s="2">
        <f>COUNTIFS(Table1[region],Table1[[#This Row],[region]],Table1[default_flag],1)/COUNTIF(Table1[region],Table1[[#This Row],[region]])</f>
        <v>0</v>
      </c>
      <c r="AE352" s="2">
        <f>COUNTIFS(Table1[channel],Table1[[#This Row],[channel]],Table1[prepayment_flag],1)/COUNTIF(Table1[channel],Table1[[#This Row],[channel]])</f>
        <v>7.1090047393364927E-2</v>
      </c>
      <c r="AF352" s="2">
        <f>AVERAGEIFS(Table1[interest_rate_pct],Table1[product],Table1[[#This Row],[product]],Table1[risk_band],Table1[[#This Row],[risk_band]])</f>
        <v>13.463888888888889</v>
      </c>
      <c r="AG352" s="2" t="str" cm="1">
        <f t="array" ref="AG352">_xlfn.IFS(Table1[[#This Row],[dti_ratio]] &lt; 0.2, " less than 0.2", Table1[[#This Row],[dti_ratio]] &lt; 0.3, "0.2 - 0.3", Table1[[#This Row],[dti_ratio]] &lt;= 0.5, "0.35 - 0.5", Table1[[#This Row],[dti_ratio]] &gt; 0.5, "greater than 0.5")</f>
        <v>0.35 - 0.5</v>
      </c>
      <c r="AH352" s="2">
        <f>COUNTIF(Table1[DTI band],Table1[[#This Row],[DTI band]])</f>
        <v>260</v>
      </c>
      <c r="AI352" s="2" t="str" cm="1">
        <f t="array" ref="AI352">_xlfn.IFS(Table1[[#This Row],[ltv_ratio]] &lt; 0.6, "less than 0.6 -less risky", Table1[[#This Row],[ltv_ratio]]  &lt;= 0.8, "0.6 - 0.8 -medium risky",Table1[[#This Row],[ltv_ratio]] &gt; 0.8, "greater than 0.8 -highly risky")</f>
        <v>less than 0.6 -less risky</v>
      </c>
      <c r="AJ352" s="2">
        <f>COUNTIF(Table1[LTV band],Table1[[#This Row],[LTV band]])</f>
        <v>57</v>
      </c>
      <c r="AK352" s="2">
        <f>COUNTIFS(Table1[count_loan_perband],Table1[[#This Row],[count_loan_perband]],Table1[default_flag],1)/COUNTIF(Table1[count_loan_perband],Table1[[#This Row],[count_loan_perband]])</f>
        <v>0</v>
      </c>
      <c r="AL352" s="2" t="str" cm="1">
        <f t="array" ref="AL352">_xlfn.IFS(Table1[[#This Row],[loan_amount]] &lt; 900000, "lower size (&lt; 9L)", Table1[[#This Row],[loan_amount]] &lt;=3300000, "medium size (&lt;=33L)", Table1[[#This Row],[loan_amount]] &gt; 3300000, "larger size (&gt; 33L)")</f>
        <v>medium size (&lt;=33L)</v>
      </c>
      <c r="AM352" s="2">
        <f>IF(Table1[[#This Row],[dpd]] &gt;=30,1,0)</f>
        <v>0</v>
      </c>
      <c r="AN352" s="2">
        <f>COUNTIFS(Table1[Loan size],Table1[[#This Row],[Loan size]],Table1[dpd flag],1)/COUNTIF(Table1[Loan size],Table1[[#This Row],[Loan size]])</f>
        <v>0.15909090909090909</v>
      </c>
      <c r="AO352" s="2" t="str">
        <f>IF(OR(Table1[[#This Row],[credit_score]] &lt; 600, Table1[ [#This Row],[dti_ratio] ] &gt; 0.5, Table1[[#This Row],[dpd]] &gt;=30), "high risk", " not riskY")</f>
        <v xml:space="preserve"> not riskY</v>
      </c>
      <c r="AP352" s="26">
        <f>EOMONTH(Table1[[#This Row],[origination_date]],0)</f>
        <v>45535</v>
      </c>
      <c r="AQ352" s="2">
        <f>SUMIFS(Table1[loan_amount],Table1[origination month],Table1[[#This Row],[origination month]])</f>
        <v>16249800</v>
      </c>
      <c r="AR352" s="2">
        <f>AVERAGEIFS(Table1[months_on_book],Table1[product],Table1[[#This Row],[product]])</f>
        <v>21.962962962962962</v>
      </c>
      <c r="AS352" s="2" t="str">
        <f ca="1">IF(EDATE(Table1[[#This Row],[origination_date]],6) &gt;= TODAY(), "New Loan", "Old Loan")</f>
        <v>Old Loan</v>
      </c>
      <c r="AT352" s="2" t="str">
        <f>"Q"&amp;ROUNDUP(MONTH(Table1[[#This Row],[origination_date]])/3,0)&amp;YEAR(Table1[[#This Row],[origination_date]])</f>
        <v>Q32024</v>
      </c>
      <c r="AU352" s="2">
        <f>SUMIFS(Table1[loan_amount],Table1[quarter],Table1[[#This Row],[quarter]])</f>
        <v>52597700</v>
      </c>
      <c r="AV352" s="34" t="str">
        <f>_xlfn.TEXTJOIN("|",TRUE,Table1[[#This Row],[loan_id]:[loan_status]])</f>
        <v>L87788294|C5871339|45522|Education Loan|Online|South|Salaried|48|972300|14.03|26584|254758|673|C|0.32|0.54|0|16|403274|641780|0|0|0|Active</v>
      </c>
      <c r="AW352" s="42">
        <f>YEAR(Loan_Table[ [#This Row],[origination_date] ])</f>
        <v>2025</v>
      </c>
    </row>
    <row r="353" spans="2:49" ht="18" customHeight="1">
      <c r="B353" s="5" t="s">
        <v>826</v>
      </c>
      <c r="C353" s="2" t="s">
        <v>827</v>
      </c>
      <c r="D353" s="3">
        <v>45496</v>
      </c>
      <c r="E353" s="2" t="s">
        <v>163</v>
      </c>
      <c r="F353" s="2" t="s">
        <v>213</v>
      </c>
      <c r="G353" s="2" t="s">
        <v>170</v>
      </c>
      <c r="H353" s="2" t="s">
        <v>134</v>
      </c>
      <c r="I353" s="2">
        <v>36</v>
      </c>
      <c r="J353" s="2">
        <v>1098500</v>
      </c>
      <c r="K353" s="2">
        <v>9.9700000000000006</v>
      </c>
      <c r="L353" s="2">
        <v>35430</v>
      </c>
      <c r="M353" s="2">
        <v>1283622</v>
      </c>
      <c r="N353" s="2">
        <v>740</v>
      </c>
      <c r="O353" s="2" t="s">
        <v>135</v>
      </c>
      <c r="P353" s="2">
        <v>0.31</v>
      </c>
      <c r="Q353" s="2">
        <v>0.89</v>
      </c>
      <c r="R353" s="2">
        <v>1240100</v>
      </c>
      <c r="S353" s="2">
        <v>17</v>
      </c>
      <c r="T353" s="2">
        <v>586662</v>
      </c>
      <c r="U353" s="2">
        <v>573900</v>
      </c>
      <c r="V353" s="2">
        <v>0</v>
      </c>
      <c r="W353" s="2">
        <v>0</v>
      </c>
      <c r="X353" s="2">
        <v>0</v>
      </c>
      <c r="Y353" s="2" t="s">
        <v>148</v>
      </c>
      <c r="Z353" s="12">
        <f>SUMIF(Table1[product],Table1[[#This Row],[product]],Table1[loan_amount])</f>
        <v>92273000</v>
      </c>
      <c r="AA353" s="15">
        <f>SUMIF(Table1[region],Table1[[#This Row],[region]],Table1[current_balance])</f>
        <v>83297251</v>
      </c>
      <c r="AB353" s="2">
        <f>COUNTIF(Table1[loan_status],Table1[[#This Row],[loan_status]])</f>
        <v>301</v>
      </c>
      <c r="AC353" s="2">
        <f>COUNTIF(Table1[default_flag],1)/ROWS(Table1[loan_id])</f>
        <v>2.5999999999999999E-2</v>
      </c>
      <c r="AD353" s="2">
        <f>COUNTIFS(Table1[region],Table1[[#This Row],[region]],Table1[default_flag],1)/COUNTIF(Table1[region],Table1[[#This Row],[region]])</f>
        <v>3.1914893617021274E-2</v>
      </c>
      <c r="AE353" s="2">
        <f>COUNTIFS(Table1[channel],Table1[[#This Row],[channel]],Table1[prepayment_flag],1)/COUNTIF(Table1[channel],Table1[[#This Row],[channel]])</f>
        <v>0.12</v>
      </c>
      <c r="AF353" s="2">
        <f>AVERAGEIFS(Table1[interest_rate_pct],Table1[product],Table1[[#This Row],[product]],Table1[risk_band],Table1[[#This Row],[risk_band]])</f>
        <v>10.611923076923079</v>
      </c>
      <c r="AG353" s="2" t="str" cm="1">
        <f t="array" ref="AG353">_xlfn.IFS(Table1[[#This Row],[dti_ratio]] &lt; 0.2, " less than 0.2", Table1[[#This Row],[dti_ratio]] &lt; 0.3, "0.2 - 0.3", Table1[[#This Row],[dti_ratio]] &lt;= 0.5, "0.35 - 0.5", Table1[[#This Row],[dti_ratio]] &gt; 0.5, "greater than 0.5")</f>
        <v>0.35 - 0.5</v>
      </c>
      <c r="AH353" s="2">
        <f>COUNTIF(Table1[DTI band],Table1[[#This Row],[DTI band]])</f>
        <v>260</v>
      </c>
      <c r="AI353" s="2" t="str" cm="1">
        <f t="array" ref="AI353">_xlfn.IFS(Table1[[#This Row],[ltv_ratio]] &lt; 0.6, "less than 0.6 -less risky", Table1[[#This Row],[ltv_ratio]]  &lt;= 0.8, "0.6 - 0.8 -medium risky",Table1[[#This Row],[ltv_ratio]] &gt; 0.8, "greater than 0.8 -highly risky")</f>
        <v>greater than 0.8 -highly risky</v>
      </c>
      <c r="AJ353" s="2">
        <f>COUNTIF(Table1[LTV band],Table1[[#This Row],[LTV band]])</f>
        <v>141</v>
      </c>
      <c r="AK353" s="2">
        <f>COUNTIFS(Table1[count_loan_perband],Table1[[#This Row],[count_loan_perband]],Table1[default_flag],1)/COUNTIF(Table1[count_loan_perband],Table1[[#This Row],[count_loan_perband]])</f>
        <v>1.4184397163120567E-2</v>
      </c>
      <c r="AL353" s="2" t="str" cm="1">
        <f t="array" ref="AL353">_xlfn.IFS(Table1[[#This Row],[loan_amount]] &lt; 900000, "lower size (&lt; 9L)", Table1[[#This Row],[loan_amount]] &lt;=3300000, "medium size (&lt;=33L)", Table1[[#This Row],[loan_amount]] &gt; 3300000, "larger size (&gt; 33L)")</f>
        <v>medium size (&lt;=33L)</v>
      </c>
      <c r="AM353" s="2">
        <f>IF(Table1[[#This Row],[dpd]] &gt;=30,1,0)</f>
        <v>0</v>
      </c>
      <c r="AN353" s="2">
        <f>COUNTIFS(Table1[Loan size],Table1[[#This Row],[Loan size]],Table1[dpd flag],1)/COUNTIF(Table1[Loan size],Table1[[#This Row],[Loan size]])</f>
        <v>0.15909090909090909</v>
      </c>
      <c r="AO353" s="2" t="str">
        <f>IF(OR(Table1[[#This Row],[credit_score]] &lt; 600, Table1[ [#This Row],[dti_ratio] ] &gt; 0.5, Table1[[#This Row],[dpd]] &gt;=30), "high risk", " not riskY")</f>
        <v xml:space="preserve"> not riskY</v>
      </c>
      <c r="AP353" s="26">
        <f>EOMONTH(Table1[[#This Row],[origination_date]],0)</f>
        <v>45504</v>
      </c>
      <c r="AQ353" s="2">
        <f>SUMIFS(Table1[loan_amount],Table1[origination month],Table1[[#This Row],[origination month]])</f>
        <v>25320300</v>
      </c>
      <c r="AR353" s="2">
        <f>AVERAGEIFS(Table1[months_on_book],Table1[product],Table1[[#This Row],[product]])</f>
        <v>20.262135922330096</v>
      </c>
      <c r="AS353" s="2" t="str">
        <f ca="1">IF(EDATE(Table1[[#This Row],[origination_date]],6) &gt;= TODAY(), "New Loan", "Old Loan")</f>
        <v>Old Loan</v>
      </c>
      <c r="AT353" s="2" t="str">
        <f>"Q"&amp;ROUNDUP(MONTH(Table1[[#This Row],[origination_date]])/3,0)&amp;YEAR(Table1[[#This Row],[origination_date]])</f>
        <v>Q32024</v>
      </c>
      <c r="AU353" s="2">
        <f>SUMIFS(Table1[loan_amount],Table1[quarter],Table1[[#This Row],[quarter]])</f>
        <v>52597700</v>
      </c>
      <c r="AV353" s="34" t="str">
        <f>_xlfn.TEXTJOIN("|",TRUE,Table1[[#This Row],[loan_id]:[loan_status]])</f>
        <v>L27679119|C1490502|45496|Auto Loan|Call Center|East|Salaried|36|1098500|9.97|35430|1283622|740|B|0.31|0.89|1240100|17|586662|573900|0|0|0|Active</v>
      </c>
      <c r="AW353" s="42">
        <f>YEAR(Loan_Table[ [#This Row],[origination_date] ])</f>
        <v>2025</v>
      </c>
    </row>
    <row r="354" spans="2:49" ht="18" customHeight="1">
      <c r="B354" s="5" t="s">
        <v>828</v>
      </c>
      <c r="C354" s="2" t="s">
        <v>829</v>
      </c>
      <c r="D354" s="3">
        <v>45490</v>
      </c>
      <c r="E354" s="2" t="s">
        <v>158</v>
      </c>
      <c r="F354" s="2" t="s">
        <v>144</v>
      </c>
      <c r="G354" s="2" t="s">
        <v>133</v>
      </c>
      <c r="H354" s="2" t="s">
        <v>134</v>
      </c>
      <c r="I354" s="2">
        <v>36</v>
      </c>
      <c r="J354" s="2">
        <v>2826200</v>
      </c>
      <c r="K354" s="2">
        <v>12.53</v>
      </c>
      <c r="L354" s="2">
        <v>94587</v>
      </c>
      <c r="M354" s="2">
        <v>964020</v>
      </c>
      <c r="N354" s="2">
        <v>740</v>
      </c>
      <c r="O354" s="2" t="s">
        <v>135</v>
      </c>
      <c r="P354" s="2">
        <v>0.31</v>
      </c>
      <c r="Q354" s="2">
        <v>0.92</v>
      </c>
      <c r="R354" s="2">
        <v>3058400</v>
      </c>
      <c r="S354" s="2">
        <v>17</v>
      </c>
      <c r="T354" s="2">
        <v>1521348</v>
      </c>
      <c r="U354" s="2">
        <v>1505522</v>
      </c>
      <c r="V354" s="2">
        <v>0</v>
      </c>
      <c r="W354" s="2">
        <v>0</v>
      </c>
      <c r="X354" s="2">
        <v>0</v>
      </c>
      <c r="Y354" s="2" t="s">
        <v>148</v>
      </c>
      <c r="Z354" s="12">
        <f>SUMIF(Table1[product],Table1[[#This Row],[product]],Table1[loan_amount])</f>
        <v>201475100</v>
      </c>
      <c r="AA354" s="15">
        <f>SUMIF(Table1[region],Table1[[#This Row],[region]],Table1[current_balance])</f>
        <v>94548000</v>
      </c>
      <c r="AB354" s="2">
        <f>COUNTIF(Table1[loan_status],Table1[[#This Row],[loan_status]])</f>
        <v>301</v>
      </c>
      <c r="AC354" s="2">
        <f>COUNTIF(Table1[default_flag],1)/ROWS(Table1[loan_id])</f>
        <v>2.5999999999999999E-2</v>
      </c>
      <c r="AD354" s="2">
        <f>COUNTIFS(Table1[region],Table1[[#This Row],[region]],Table1[default_flag],1)/COUNTIF(Table1[region],Table1[[#This Row],[region]])</f>
        <v>0</v>
      </c>
      <c r="AE354" s="2">
        <f>COUNTIFS(Table1[channel],Table1[[#This Row],[channel]],Table1[prepayment_flag],1)/COUNTIF(Table1[channel],Table1[[#This Row],[channel]])</f>
        <v>5.8201058201058198E-2</v>
      </c>
      <c r="AF354" s="2">
        <f>AVERAGEIFS(Table1[interest_rate_pct],Table1[product],Table1[[#This Row],[product]],Table1[risk_band],Table1[[#This Row],[risk_band]])</f>
        <v>13.042631578947367</v>
      </c>
      <c r="AG354" s="2" t="str" cm="1">
        <f t="array" ref="AG354">_xlfn.IFS(Table1[[#This Row],[dti_ratio]] &lt; 0.2, " less than 0.2", Table1[[#This Row],[dti_ratio]] &lt; 0.3, "0.2 - 0.3", Table1[[#This Row],[dti_ratio]] &lt;= 0.5, "0.35 - 0.5", Table1[[#This Row],[dti_ratio]] &gt; 0.5, "greater than 0.5")</f>
        <v>0.35 - 0.5</v>
      </c>
      <c r="AH354" s="2">
        <f>COUNTIF(Table1[DTI band],Table1[[#This Row],[DTI band]])</f>
        <v>260</v>
      </c>
      <c r="AI354" s="2" t="str" cm="1">
        <f t="array" ref="AI354">_xlfn.IFS(Table1[[#This Row],[ltv_ratio]] &lt; 0.6, "less than 0.6 -less risky", Table1[[#This Row],[ltv_ratio]]  &lt;= 0.8, "0.6 - 0.8 -medium risky",Table1[[#This Row],[ltv_ratio]] &gt; 0.8, "greater than 0.8 -highly risky")</f>
        <v>greater than 0.8 -highly risky</v>
      </c>
      <c r="AJ354" s="2">
        <f>COUNTIF(Table1[LTV band],Table1[[#This Row],[LTV band]])</f>
        <v>141</v>
      </c>
      <c r="AK354" s="2">
        <f>COUNTIFS(Table1[count_loan_perband],Table1[[#This Row],[count_loan_perband]],Table1[default_flag],1)/COUNTIF(Table1[count_loan_perband],Table1[[#This Row],[count_loan_perband]])</f>
        <v>1.4184397163120567E-2</v>
      </c>
      <c r="AL354" s="2" t="str" cm="1">
        <f t="array" ref="AL354">_xlfn.IFS(Table1[[#This Row],[loan_amount]] &lt; 900000, "lower size (&lt; 9L)", Table1[[#This Row],[loan_amount]] &lt;=3300000, "medium size (&lt;=33L)", Table1[[#This Row],[loan_amount]] &gt; 3300000, "larger size (&gt; 33L)")</f>
        <v>medium size (&lt;=33L)</v>
      </c>
      <c r="AM354" s="2">
        <f>IF(Table1[[#This Row],[dpd]] &gt;=30,1,0)</f>
        <v>0</v>
      </c>
      <c r="AN354" s="2">
        <f>COUNTIFS(Table1[Loan size],Table1[[#This Row],[Loan size]],Table1[dpd flag],1)/COUNTIF(Table1[Loan size],Table1[[#This Row],[Loan size]])</f>
        <v>0.15909090909090909</v>
      </c>
      <c r="AO354" s="2" t="str">
        <f>IF(OR(Table1[[#This Row],[credit_score]] &lt; 600, Table1[ [#This Row],[dti_ratio] ] &gt; 0.5, Table1[[#This Row],[dpd]] &gt;=30), "high risk", " not riskY")</f>
        <v xml:space="preserve"> not riskY</v>
      </c>
      <c r="AP354" s="26">
        <f>EOMONTH(Table1[[#This Row],[origination_date]],0)</f>
        <v>45504</v>
      </c>
      <c r="AQ354" s="2">
        <f>SUMIFS(Table1[loan_amount],Table1[origination month],Table1[[#This Row],[origination month]])</f>
        <v>25320300</v>
      </c>
      <c r="AR354" s="2">
        <f>AVERAGEIFS(Table1[months_on_book],Table1[product],Table1[[#This Row],[product]])</f>
        <v>19.091954022988507</v>
      </c>
      <c r="AS354" s="2" t="str">
        <f ca="1">IF(EDATE(Table1[[#This Row],[origination_date]],6) &gt;= TODAY(), "New Loan", "Old Loan")</f>
        <v>Old Loan</v>
      </c>
      <c r="AT354" s="2" t="str">
        <f>"Q"&amp;ROUNDUP(MONTH(Table1[[#This Row],[origination_date]])/3,0)&amp;YEAR(Table1[[#This Row],[origination_date]])</f>
        <v>Q32024</v>
      </c>
      <c r="AU354" s="2">
        <f>SUMIFS(Table1[loan_amount],Table1[quarter],Table1[[#This Row],[quarter]])</f>
        <v>52597700</v>
      </c>
      <c r="AV354" s="34" t="str">
        <f>_xlfn.TEXTJOIN("|",TRUE,Table1[[#This Row],[loan_id]:[loan_status]])</f>
        <v>L61714056|C4297532|45490|SME Loan|Branch|South|Salaried|36|2826200|12.53|94587|964020|740|B|0.31|0.92|3058400|17|1521348|1505522|0|0|0|Active</v>
      </c>
      <c r="AW354" s="42">
        <f>YEAR(Loan_Table[ [#This Row],[origination_date] ])</f>
        <v>2025</v>
      </c>
    </row>
    <row r="355" spans="2:49" ht="18" customHeight="1">
      <c r="B355" s="5" t="s">
        <v>830</v>
      </c>
      <c r="C355" s="2" t="s">
        <v>831</v>
      </c>
      <c r="D355" s="3">
        <v>45491</v>
      </c>
      <c r="E355" s="2" t="s">
        <v>169</v>
      </c>
      <c r="F355" s="2" t="s">
        <v>132</v>
      </c>
      <c r="G355" s="2" t="s">
        <v>170</v>
      </c>
      <c r="H355" s="2" t="s">
        <v>152</v>
      </c>
      <c r="I355" s="2">
        <v>60</v>
      </c>
      <c r="J355" s="2">
        <v>8486900</v>
      </c>
      <c r="K355" s="2">
        <v>12.81</v>
      </c>
      <c r="L355" s="2">
        <v>192279</v>
      </c>
      <c r="M355" s="2">
        <v>752104</v>
      </c>
      <c r="N355" s="2">
        <v>648</v>
      </c>
      <c r="O355" s="2" t="s">
        <v>147</v>
      </c>
      <c r="P355" s="2">
        <v>0.3</v>
      </c>
      <c r="Q355" s="2">
        <v>0.71</v>
      </c>
      <c r="R355" s="2">
        <v>11942000</v>
      </c>
      <c r="S355" s="2">
        <v>17</v>
      </c>
      <c r="T355" s="2">
        <v>3082392</v>
      </c>
      <c r="U355" s="2">
        <v>6020572</v>
      </c>
      <c r="V355" s="2">
        <v>30</v>
      </c>
      <c r="W355" s="2">
        <v>0</v>
      </c>
      <c r="X355" s="2">
        <v>0</v>
      </c>
      <c r="Y355" s="2" t="s">
        <v>136</v>
      </c>
      <c r="Z355" s="12">
        <f>SUMIF(Table1[product],Table1[[#This Row],[product]],Table1[loan_amount])</f>
        <v>403369500</v>
      </c>
      <c r="AA355" s="15">
        <f>SUMIF(Table1[region],Table1[[#This Row],[region]],Table1[current_balance])</f>
        <v>83297251</v>
      </c>
      <c r="AB355" s="2">
        <f>COUNTIF(Table1[loan_status],Table1[[#This Row],[loan_status]])</f>
        <v>47</v>
      </c>
      <c r="AC355" s="2">
        <f>COUNTIF(Table1[default_flag],1)/ROWS(Table1[loan_id])</f>
        <v>2.5999999999999999E-2</v>
      </c>
      <c r="AD355" s="2">
        <f>COUNTIFS(Table1[region],Table1[[#This Row],[region]],Table1[default_flag],1)/COUNTIF(Table1[region],Table1[[#This Row],[region]])</f>
        <v>3.1914893617021274E-2</v>
      </c>
      <c r="AE355" s="2">
        <f>COUNTIFS(Table1[channel],Table1[[#This Row],[channel]],Table1[prepayment_flag],1)/COUNTIF(Table1[channel],Table1[[#This Row],[channel]])</f>
        <v>7.1090047393364927E-2</v>
      </c>
      <c r="AF355" s="2">
        <f>AVERAGEIFS(Table1[interest_rate_pct],Table1[product],Table1[[#This Row],[product]],Table1[risk_band],Table1[[#This Row],[risk_band]])</f>
        <v>13.406874999999999</v>
      </c>
      <c r="AG355" s="2" t="str" cm="1">
        <f t="array" ref="AG355">_xlfn.IFS(Table1[[#This Row],[dti_ratio]] &lt; 0.2, " less than 0.2", Table1[[#This Row],[dti_ratio]] &lt; 0.3, "0.2 - 0.3", Table1[[#This Row],[dti_ratio]] &lt;= 0.5, "0.35 - 0.5", Table1[[#This Row],[dti_ratio]] &gt; 0.5, "greater than 0.5")</f>
        <v>0.35 - 0.5</v>
      </c>
      <c r="AH355" s="2">
        <f>COUNTIF(Table1[DTI band],Table1[[#This Row],[DTI band]])</f>
        <v>260</v>
      </c>
      <c r="AI355" s="2" t="str" cm="1">
        <f t="array" ref="AI355">_xlfn.IFS(Table1[[#This Row],[ltv_ratio]] &lt; 0.6, "less than 0.6 -less risky", Table1[[#This Row],[ltv_ratio]]  &lt;= 0.8, "0.6 - 0.8 -medium risky",Table1[[#This Row],[ltv_ratio]] &gt; 0.8, "greater than 0.8 -highly risky")</f>
        <v>0.6 - 0.8 -medium risky</v>
      </c>
      <c r="AJ355" s="2">
        <f>COUNTIF(Table1[LTV band],Table1[[#This Row],[LTV band]])</f>
        <v>302</v>
      </c>
      <c r="AK355" s="2">
        <f>COUNTIFS(Table1[count_loan_perband],Table1[[#This Row],[count_loan_perband]],Table1[default_flag],1)/COUNTIF(Table1[count_loan_perband],Table1[[#This Row],[count_loan_perband]])</f>
        <v>3.6423841059602648E-2</v>
      </c>
      <c r="AL355" s="2" t="str" cm="1">
        <f t="array" ref="AL355">_xlfn.IFS(Table1[[#This Row],[loan_amount]] &lt; 900000, "lower size (&lt; 9L)", Table1[[#This Row],[loan_amount]] &lt;=3300000, "medium size (&lt;=33L)", Table1[[#This Row],[loan_amount]] &gt; 3300000, "larger size (&gt; 33L)")</f>
        <v>larger size (&gt; 33L)</v>
      </c>
      <c r="AM355" s="2">
        <f>IF(Table1[[#This Row],[dpd]] &gt;=30,1,0)</f>
        <v>1</v>
      </c>
      <c r="AN355" s="2">
        <f>COUNTIFS(Table1[Loan size],Table1[[#This Row],[Loan size]],Table1[dpd flag],1)/COUNTIF(Table1[Loan size],Table1[[#This Row],[Loan size]])</f>
        <v>0.16250000000000001</v>
      </c>
      <c r="AO355" s="2" t="str">
        <f>IF(OR(Table1[[#This Row],[credit_score]] &lt; 600, Table1[ [#This Row],[dti_ratio] ] &gt; 0.5, Table1[[#This Row],[dpd]] &gt;=30), "high risk", " not riskY")</f>
        <v>high risk</v>
      </c>
      <c r="AP355" s="26">
        <f>EOMONTH(Table1[[#This Row],[origination_date]],0)</f>
        <v>45504</v>
      </c>
      <c r="AQ355" s="2">
        <f>SUMIFS(Table1[loan_amount],Table1[origination month],Table1[[#This Row],[origination month]])</f>
        <v>25320300</v>
      </c>
      <c r="AR355" s="2">
        <f>AVERAGEIFS(Table1[months_on_book],Table1[product],Table1[[#This Row],[product]])</f>
        <v>20.516129032258064</v>
      </c>
      <c r="AS355" s="2" t="str">
        <f ca="1">IF(EDATE(Table1[[#This Row],[origination_date]],6) &gt;= TODAY(), "New Loan", "Old Loan")</f>
        <v>Old Loan</v>
      </c>
      <c r="AT355" s="2" t="str">
        <f>"Q"&amp;ROUNDUP(MONTH(Table1[[#This Row],[origination_date]])/3,0)&amp;YEAR(Table1[[#This Row],[origination_date]])</f>
        <v>Q32024</v>
      </c>
      <c r="AU355" s="2">
        <f>SUMIFS(Table1[loan_amount],Table1[quarter],Table1[[#This Row],[quarter]])</f>
        <v>52597700</v>
      </c>
      <c r="AV355" s="34" t="str">
        <f>_xlfn.TEXTJOIN("|",TRUE,Table1[[#This Row],[loan_id]:[loan_status]])</f>
        <v>L91234215|C2252218|45491|Home Loan|Online|East|Self-Employed|60|8486900|12.81|192279|752104|648|D|0.3|0.71|11942000|17|3082392|6020572|30|0|0|Delinquent</v>
      </c>
      <c r="AW355" s="42">
        <f>YEAR(Loan_Table[ [#This Row],[origination_date] ])</f>
        <v>2025</v>
      </c>
    </row>
    <row r="356" spans="2:49" ht="18" customHeight="1">
      <c r="B356" s="5" t="s">
        <v>832</v>
      </c>
      <c r="C356" s="2" t="s">
        <v>833</v>
      </c>
      <c r="D356" s="3">
        <v>45560</v>
      </c>
      <c r="E356" s="2" t="s">
        <v>177</v>
      </c>
      <c r="F356" s="2" t="s">
        <v>144</v>
      </c>
      <c r="G356" s="2" t="s">
        <v>133</v>
      </c>
      <c r="H356" s="2" t="s">
        <v>134</v>
      </c>
      <c r="I356" s="2">
        <v>12</v>
      </c>
      <c r="J356" s="2">
        <v>843900</v>
      </c>
      <c r="K356" s="2">
        <v>11.57</v>
      </c>
      <c r="L356" s="2">
        <v>74810</v>
      </c>
      <c r="M356" s="2">
        <v>1580609</v>
      </c>
      <c r="N356" s="2">
        <v>694</v>
      </c>
      <c r="O356" s="2" t="s">
        <v>140</v>
      </c>
      <c r="P356" s="2">
        <v>0.28999999999999998</v>
      </c>
      <c r="Q356" s="2">
        <v>0.63</v>
      </c>
      <c r="R356" s="2">
        <v>0</v>
      </c>
      <c r="S356" s="2">
        <v>12</v>
      </c>
      <c r="T356" s="2">
        <v>790484</v>
      </c>
      <c r="U356" s="2">
        <v>92472</v>
      </c>
      <c r="V356" s="2">
        <v>0</v>
      </c>
      <c r="W356" s="2">
        <v>0</v>
      </c>
      <c r="X356" s="2">
        <v>0</v>
      </c>
      <c r="Y356" s="2" t="s">
        <v>141</v>
      </c>
      <c r="Z356" s="12">
        <f>SUMIF(Table1[product],Table1[[#This Row],[product]],Table1[loan_amount])</f>
        <v>62765800</v>
      </c>
      <c r="AA356" s="15">
        <f>SUMIF(Table1[region],Table1[[#This Row],[region]],Table1[current_balance])</f>
        <v>94548000</v>
      </c>
      <c r="AB356" s="2">
        <f>COUNTIF(Table1[loan_status],Table1[[#This Row],[loan_status]])</f>
        <v>139</v>
      </c>
      <c r="AC356" s="2">
        <f>COUNTIF(Table1[default_flag],1)/ROWS(Table1[loan_id])</f>
        <v>2.5999999999999999E-2</v>
      </c>
      <c r="AD356" s="2">
        <f>COUNTIFS(Table1[region],Table1[[#This Row],[region]],Table1[default_flag],1)/COUNTIF(Table1[region],Table1[[#This Row],[region]])</f>
        <v>0</v>
      </c>
      <c r="AE356" s="2">
        <f>COUNTIFS(Table1[channel],Table1[[#This Row],[channel]],Table1[prepayment_flag],1)/COUNTIF(Table1[channel],Table1[[#This Row],[channel]])</f>
        <v>5.8201058201058198E-2</v>
      </c>
      <c r="AF356" s="2">
        <f>AVERAGEIFS(Table1[interest_rate_pct],Table1[product],Table1[[#This Row],[product]],Table1[risk_band],Table1[[#This Row],[risk_band]])</f>
        <v>13.463888888888889</v>
      </c>
      <c r="AG356" s="2" t="str" cm="1">
        <f t="array" ref="AG356">_xlfn.IFS(Table1[[#This Row],[dti_ratio]] &lt; 0.2, " less than 0.2", Table1[[#This Row],[dti_ratio]] &lt; 0.3, "0.2 - 0.3", Table1[[#This Row],[dti_ratio]] &lt;= 0.5, "0.35 - 0.5", Table1[[#This Row],[dti_ratio]] &gt; 0.5, "greater than 0.5")</f>
        <v>0.2 - 0.3</v>
      </c>
      <c r="AH356" s="2">
        <f>COUNTIF(Table1[DTI band],Table1[[#This Row],[DTI band]])</f>
        <v>122</v>
      </c>
      <c r="AI356" s="2" t="str" cm="1">
        <f t="array" ref="AI356">_xlfn.IFS(Table1[[#This Row],[ltv_ratio]] &lt; 0.6, "less than 0.6 -less risky", Table1[[#This Row],[ltv_ratio]]  &lt;= 0.8, "0.6 - 0.8 -medium risky",Table1[[#This Row],[ltv_ratio]] &gt; 0.8, "greater than 0.8 -highly risky")</f>
        <v>0.6 - 0.8 -medium risky</v>
      </c>
      <c r="AJ356" s="2">
        <f>COUNTIF(Table1[LTV band],Table1[[#This Row],[LTV band]])</f>
        <v>302</v>
      </c>
      <c r="AK356" s="2">
        <f>COUNTIFS(Table1[count_loan_perband],Table1[[#This Row],[count_loan_perband]],Table1[default_flag],1)/COUNTIF(Table1[count_loan_perband],Table1[[#This Row],[count_loan_perband]])</f>
        <v>3.6423841059602648E-2</v>
      </c>
      <c r="AL356" s="2" t="str" cm="1">
        <f t="array" ref="AL356">_xlfn.IFS(Table1[[#This Row],[loan_amount]] &lt; 900000, "lower size (&lt; 9L)", Table1[[#This Row],[loan_amount]] &lt;=3300000, "medium size (&lt;=33L)", Table1[[#This Row],[loan_amount]] &gt; 3300000, "larger size (&gt; 33L)")</f>
        <v>lower size (&lt; 9L)</v>
      </c>
      <c r="AM356" s="2">
        <f>IF(Table1[[#This Row],[dpd]] &gt;=30,1,0)</f>
        <v>0</v>
      </c>
      <c r="AN356" s="2">
        <f>COUNTIFS(Table1[Loan size],Table1[[#This Row],[Loan size]],Table1[dpd flag],1)/COUNTIF(Table1[Loan size],Table1[[#This Row],[Loan size]])</f>
        <v>0.13934426229508196</v>
      </c>
      <c r="AO356" s="2" t="str">
        <f>IF(OR(Table1[[#This Row],[credit_score]] &lt; 600, Table1[ [#This Row],[dti_ratio] ] &gt; 0.5, Table1[[#This Row],[dpd]] &gt;=30), "high risk", " not riskY")</f>
        <v xml:space="preserve"> not riskY</v>
      </c>
      <c r="AP356" s="26">
        <f>EOMONTH(Table1[[#This Row],[origination_date]],0)</f>
        <v>45565</v>
      </c>
      <c r="AQ356" s="2">
        <f>SUMIFS(Table1[loan_amount],Table1[origination month],Table1[[#This Row],[origination month]])</f>
        <v>11027600</v>
      </c>
      <c r="AR356" s="2">
        <f>AVERAGEIFS(Table1[months_on_book],Table1[product],Table1[[#This Row],[product]])</f>
        <v>21.962962962962962</v>
      </c>
      <c r="AS356" s="2" t="str">
        <f ca="1">IF(EDATE(Table1[[#This Row],[origination_date]],6) &gt;= TODAY(), "New Loan", "Old Loan")</f>
        <v>Old Loan</v>
      </c>
      <c r="AT356" s="2" t="str">
        <f>"Q"&amp;ROUNDUP(MONTH(Table1[[#This Row],[origination_date]])/3,0)&amp;YEAR(Table1[[#This Row],[origination_date]])</f>
        <v>Q32024</v>
      </c>
      <c r="AU356" s="2">
        <f>SUMIFS(Table1[loan_amount],Table1[quarter],Table1[[#This Row],[quarter]])</f>
        <v>52597700</v>
      </c>
      <c r="AV356" s="34" t="str">
        <f>_xlfn.TEXTJOIN("|",TRUE,Table1[[#This Row],[loan_id]:[loan_status]])</f>
        <v>L82392482|C4765600|45560|Education Loan|Branch|South|Salaried|12|843900|11.57|74810|1580609|694|C|0.29|0.63|0|12|790484|92472|0|0|0|Closed</v>
      </c>
      <c r="AW356" s="42">
        <f>YEAR(Loan_Table[ [#This Row],[origination_date] ])</f>
        <v>2025</v>
      </c>
    </row>
    <row r="357" spans="2:49" ht="18" customHeight="1">
      <c r="B357" s="5" t="s">
        <v>834</v>
      </c>
      <c r="C357" s="2" t="s">
        <v>835</v>
      </c>
      <c r="D357" s="3">
        <v>45517</v>
      </c>
      <c r="E357" s="2" t="s">
        <v>131</v>
      </c>
      <c r="F357" s="2" t="s">
        <v>132</v>
      </c>
      <c r="G357" s="2" t="s">
        <v>170</v>
      </c>
      <c r="H357" s="2" t="s">
        <v>152</v>
      </c>
      <c r="I357" s="2">
        <v>12</v>
      </c>
      <c r="J357" s="2">
        <v>229200</v>
      </c>
      <c r="K357" s="2">
        <v>18.010000000000002</v>
      </c>
      <c r="L357" s="2">
        <v>21014</v>
      </c>
      <c r="M357" s="2">
        <v>1168084</v>
      </c>
      <c r="N357" s="2">
        <v>686</v>
      </c>
      <c r="O357" s="2" t="s">
        <v>140</v>
      </c>
      <c r="P357" s="2">
        <v>0.28999999999999998</v>
      </c>
      <c r="Q357" s="2">
        <v>0.7</v>
      </c>
      <c r="R357" s="2">
        <v>0</v>
      </c>
      <c r="S357" s="2">
        <v>12</v>
      </c>
      <c r="T357" s="2">
        <v>253417</v>
      </c>
      <c r="U357" s="2">
        <v>0</v>
      </c>
      <c r="V357" s="2">
        <v>0</v>
      </c>
      <c r="W357" s="2">
        <v>0</v>
      </c>
      <c r="X357" s="2">
        <v>0</v>
      </c>
      <c r="Y357" s="2" t="s">
        <v>141</v>
      </c>
      <c r="Z357" s="12">
        <f>SUMIF(Table1[product],Table1[[#This Row],[product]],Table1[loan_amount])</f>
        <v>74897600</v>
      </c>
      <c r="AA357" s="15">
        <f>SUMIF(Table1[region],Table1[[#This Row],[region]],Table1[current_balance])</f>
        <v>83297251</v>
      </c>
      <c r="AB357" s="2">
        <f>COUNTIF(Table1[loan_status],Table1[[#This Row],[loan_status]])</f>
        <v>139</v>
      </c>
      <c r="AC357" s="2">
        <f>COUNTIF(Table1[default_flag],1)/ROWS(Table1[loan_id])</f>
        <v>2.5999999999999999E-2</v>
      </c>
      <c r="AD357" s="2">
        <f>COUNTIFS(Table1[region],Table1[[#This Row],[region]],Table1[default_flag],1)/COUNTIF(Table1[region],Table1[[#This Row],[region]])</f>
        <v>3.1914893617021274E-2</v>
      </c>
      <c r="AE357" s="2">
        <f>COUNTIFS(Table1[channel],Table1[[#This Row],[channel]],Table1[prepayment_flag],1)/COUNTIF(Table1[channel],Table1[[#This Row],[channel]])</f>
        <v>7.1090047393364927E-2</v>
      </c>
      <c r="AF357" s="2">
        <f>AVERAGEIFS(Table1[interest_rate_pct],Table1[product],Table1[[#This Row],[product]],Table1[risk_band],Table1[[#This Row],[risk_band]])</f>
        <v>18.603181818181817</v>
      </c>
      <c r="AG357" s="2" t="str" cm="1">
        <f t="array" ref="AG357">_xlfn.IFS(Table1[[#This Row],[dti_ratio]] &lt; 0.2, " less than 0.2", Table1[[#This Row],[dti_ratio]] &lt; 0.3, "0.2 - 0.3", Table1[[#This Row],[dti_ratio]] &lt;= 0.5, "0.35 - 0.5", Table1[[#This Row],[dti_ratio]] &gt; 0.5, "greater than 0.5")</f>
        <v>0.2 - 0.3</v>
      </c>
      <c r="AH357" s="2">
        <f>COUNTIF(Table1[DTI band],Table1[[#This Row],[DTI band]])</f>
        <v>122</v>
      </c>
      <c r="AI357" s="2" t="str" cm="1">
        <f t="array" ref="AI357">_xlfn.IFS(Table1[[#This Row],[ltv_ratio]] &lt; 0.6, "less than 0.6 -less risky", Table1[[#This Row],[ltv_ratio]]  &lt;= 0.8, "0.6 - 0.8 -medium risky",Table1[[#This Row],[ltv_ratio]] &gt; 0.8, "greater than 0.8 -highly risky")</f>
        <v>0.6 - 0.8 -medium risky</v>
      </c>
      <c r="AJ357" s="2">
        <f>COUNTIF(Table1[LTV band],Table1[[#This Row],[LTV band]])</f>
        <v>302</v>
      </c>
      <c r="AK357" s="2">
        <f>COUNTIFS(Table1[count_loan_perband],Table1[[#This Row],[count_loan_perband]],Table1[default_flag],1)/COUNTIF(Table1[count_loan_perband],Table1[[#This Row],[count_loan_perband]])</f>
        <v>3.6423841059602648E-2</v>
      </c>
      <c r="AL357" s="2" t="str" cm="1">
        <f t="array" ref="AL357">_xlfn.IFS(Table1[[#This Row],[loan_amount]] &lt; 900000, "lower size (&lt; 9L)", Table1[[#This Row],[loan_amount]] &lt;=3300000, "medium size (&lt;=33L)", Table1[[#This Row],[loan_amount]] &gt; 3300000, "larger size (&gt; 33L)")</f>
        <v>lower size (&lt; 9L)</v>
      </c>
      <c r="AM357" s="2">
        <f>IF(Table1[[#This Row],[dpd]] &gt;=30,1,0)</f>
        <v>0</v>
      </c>
      <c r="AN357" s="2">
        <f>COUNTIFS(Table1[Loan size],Table1[[#This Row],[Loan size]],Table1[dpd flag],1)/COUNTIF(Table1[Loan size],Table1[[#This Row],[Loan size]])</f>
        <v>0.13934426229508196</v>
      </c>
      <c r="AO357" s="2" t="str">
        <f>IF(OR(Table1[[#This Row],[credit_score]] &lt; 600, Table1[ [#This Row],[dti_ratio] ] &gt; 0.5, Table1[[#This Row],[dpd]] &gt;=30), "high risk", " not riskY")</f>
        <v xml:space="preserve"> not riskY</v>
      </c>
      <c r="AP357" s="26">
        <f>EOMONTH(Table1[[#This Row],[origination_date]],0)</f>
        <v>45535</v>
      </c>
      <c r="AQ357" s="2">
        <f>SUMIFS(Table1[loan_amount],Table1[origination month],Table1[[#This Row],[origination month]])</f>
        <v>16249800</v>
      </c>
      <c r="AR357" s="2">
        <f>AVERAGEIFS(Table1[months_on_book],Table1[product],Table1[[#This Row],[product]])</f>
        <v>21.092024539877301</v>
      </c>
      <c r="AS357" s="2" t="str">
        <f ca="1">IF(EDATE(Table1[[#This Row],[origination_date]],6) &gt;= TODAY(), "New Loan", "Old Loan")</f>
        <v>Old Loan</v>
      </c>
      <c r="AT357" s="2" t="str">
        <f>"Q"&amp;ROUNDUP(MONTH(Table1[[#This Row],[origination_date]])/3,0)&amp;YEAR(Table1[[#This Row],[origination_date]])</f>
        <v>Q32024</v>
      </c>
      <c r="AU357" s="2">
        <f>SUMIFS(Table1[loan_amount],Table1[quarter],Table1[[#This Row],[quarter]])</f>
        <v>52597700</v>
      </c>
      <c r="AV357" s="34" t="str">
        <f>_xlfn.TEXTJOIN("|",TRUE,Table1[[#This Row],[loan_id]:[loan_status]])</f>
        <v>L16112800|C5643959|45517|Personal Loan|Online|East|Self-Employed|12|229200|18.01|21014|1168084|686|C|0.29|0.7|0|12|253417|0|0|0|0|Closed</v>
      </c>
      <c r="AW357" s="42">
        <f>YEAR(Loan_Table[ [#This Row],[origination_date] ])</f>
        <v>2025</v>
      </c>
    </row>
    <row r="358" spans="2:49" ht="18" customHeight="1">
      <c r="B358" s="5" t="s">
        <v>836</v>
      </c>
      <c r="C358" s="2" t="s">
        <v>837</v>
      </c>
      <c r="D358" s="3">
        <v>45533</v>
      </c>
      <c r="E358" s="2" t="s">
        <v>131</v>
      </c>
      <c r="F358" s="2" t="s">
        <v>132</v>
      </c>
      <c r="G358" s="2" t="s">
        <v>151</v>
      </c>
      <c r="H358" s="2" t="s">
        <v>134</v>
      </c>
      <c r="I358" s="2">
        <v>180</v>
      </c>
      <c r="J358" s="2">
        <v>630700</v>
      </c>
      <c r="K358" s="2">
        <v>14.9</v>
      </c>
      <c r="L358" s="2">
        <v>8784</v>
      </c>
      <c r="M358" s="2">
        <v>1238704</v>
      </c>
      <c r="N358" s="2">
        <v>760</v>
      </c>
      <c r="O358" s="2" t="s">
        <v>160</v>
      </c>
      <c r="P358" s="2">
        <v>0.27</v>
      </c>
      <c r="Q358" s="2">
        <v>0.56999999999999995</v>
      </c>
      <c r="R358" s="2">
        <v>0</v>
      </c>
      <c r="S358" s="2">
        <v>16</v>
      </c>
      <c r="T358" s="2">
        <v>128064</v>
      </c>
      <c r="U358" s="2">
        <v>552756</v>
      </c>
      <c r="V358" s="2">
        <v>60</v>
      </c>
      <c r="W358" s="2">
        <v>0</v>
      </c>
      <c r="X358" s="2">
        <v>0</v>
      </c>
      <c r="Y358" s="2" t="s">
        <v>136</v>
      </c>
      <c r="Z358" s="12">
        <f>SUMIF(Table1[product],Table1[[#This Row],[product]],Table1[loan_amount])</f>
        <v>74897600</v>
      </c>
      <c r="AA358" s="15">
        <f>SUMIF(Table1[region],Table1[[#This Row],[region]],Table1[current_balance])</f>
        <v>105779369</v>
      </c>
      <c r="AB358" s="2">
        <f>COUNTIF(Table1[loan_status],Table1[[#This Row],[loan_status]])</f>
        <v>47</v>
      </c>
      <c r="AC358" s="2">
        <f>COUNTIF(Table1[default_flag],1)/ROWS(Table1[loan_id])</f>
        <v>2.5999999999999999E-2</v>
      </c>
      <c r="AD358" s="2">
        <f>COUNTIFS(Table1[region],Table1[[#This Row],[region]],Table1[default_flag],1)/COUNTIF(Table1[region],Table1[[#This Row],[region]])</f>
        <v>2.6548672566371681E-2</v>
      </c>
      <c r="AE358" s="2">
        <f>COUNTIFS(Table1[channel],Table1[[#This Row],[channel]],Table1[prepayment_flag],1)/COUNTIF(Table1[channel],Table1[[#This Row],[channel]])</f>
        <v>7.1090047393364927E-2</v>
      </c>
      <c r="AF358" s="2">
        <f>AVERAGEIFS(Table1[interest_rate_pct],Table1[product],Table1[[#This Row],[product]],Table1[risk_band],Table1[[#This Row],[risk_band]])</f>
        <v>13.328333333333335</v>
      </c>
      <c r="AG358" s="2" t="str" cm="1">
        <f t="array" ref="AG358">_xlfn.IFS(Table1[[#This Row],[dti_ratio]] &lt; 0.2, " less than 0.2", Table1[[#This Row],[dti_ratio]] &lt; 0.3, "0.2 - 0.3", Table1[[#This Row],[dti_ratio]] &lt;= 0.5, "0.35 - 0.5", Table1[[#This Row],[dti_ratio]] &gt; 0.5, "greater than 0.5")</f>
        <v>0.2 - 0.3</v>
      </c>
      <c r="AH358" s="2">
        <f>COUNTIF(Table1[DTI band],Table1[[#This Row],[DTI band]])</f>
        <v>122</v>
      </c>
      <c r="AI358" s="2" t="str" cm="1">
        <f t="array" ref="AI358">_xlfn.IFS(Table1[[#This Row],[ltv_ratio]] &lt; 0.6, "less than 0.6 -less risky", Table1[[#This Row],[ltv_ratio]]  &lt;= 0.8, "0.6 - 0.8 -medium risky",Table1[[#This Row],[ltv_ratio]] &gt; 0.8, "greater than 0.8 -highly risky")</f>
        <v>less than 0.6 -less risky</v>
      </c>
      <c r="AJ358" s="2">
        <f>COUNTIF(Table1[LTV band],Table1[[#This Row],[LTV band]])</f>
        <v>57</v>
      </c>
      <c r="AK358" s="2">
        <f>COUNTIFS(Table1[count_loan_perband],Table1[[#This Row],[count_loan_perband]],Table1[default_flag],1)/COUNTIF(Table1[count_loan_perband],Table1[[#This Row],[count_loan_perband]])</f>
        <v>0</v>
      </c>
      <c r="AL358" s="2" t="str" cm="1">
        <f t="array" ref="AL358">_xlfn.IFS(Table1[[#This Row],[loan_amount]] &lt; 900000, "lower size (&lt; 9L)", Table1[[#This Row],[loan_amount]] &lt;=3300000, "medium size (&lt;=33L)", Table1[[#This Row],[loan_amount]] &gt; 3300000, "larger size (&gt; 33L)")</f>
        <v>lower size (&lt; 9L)</v>
      </c>
      <c r="AM358" s="2">
        <f>IF(Table1[[#This Row],[dpd]] &gt;=30,1,0)</f>
        <v>1</v>
      </c>
      <c r="AN358" s="2">
        <f>COUNTIFS(Table1[Loan size],Table1[[#This Row],[Loan size]],Table1[dpd flag],1)/COUNTIF(Table1[Loan size],Table1[[#This Row],[Loan size]])</f>
        <v>0.13934426229508196</v>
      </c>
      <c r="AO358" s="2" t="str">
        <f>IF(OR(Table1[[#This Row],[credit_score]] &lt; 600, Table1[ [#This Row],[dti_ratio] ] &gt; 0.5, Table1[[#This Row],[dpd]] &gt;=30), "high risk", " not riskY")</f>
        <v>high risk</v>
      </c>
      <c r="AP358" s="26">
        <f>EOMONTH(Table1[[#This Row],[origination_date]],0)</f>
        <v>45535</v>
      </c>
      <c r="AQ358" s="2">
        <f>SUMIFS(Table1[loan_amount],Table1[origination month],Table1[[#This Row],[origination month]])</f>
        <v>16249800</v>
      </c>
      <c r="AR358" s="2">
        <f>AVERAGEIFS(Table1[months_on_book],Table1[product],Table1[[#This Row],[product]])</f>
        <v>21.092024539877301</v>
      </c>
      <c r="AS358" s="2" t="str">
        <f ca="1">IF(EDATE(Table1[[#This Row],[origination_date]],6) &gt;= TODAY(), "New Loan", "Old Loan")</f>
        <v>Old Loan</v>
      </c>
      <c r="AT358" s="2" t="str">
        <f>"Q"&amp;ROUNDUP(MONTH(Table1[[#This Row],[origination_date]])/3,0)&amp;YEAR(Table1[[#This Row],[origination_date]])</f>
        <v>Q32024</v>
      </c>
      <c r="AU358" s="2">
        <f>SUMIFS(Table1[loan_amount],Table1[quarter],Table1[[#This Row],[quarter]])</f>
        <v>52597700</v>
      </c>
      <c r="AV358" s="34" t="str">
        <f>_xlfn.TEXTJOIN("|",TRUE,Table1[[#This Row],[loan_id]:[loan_status]])</f>
        <v>L30719259|C7126552|45533|Personal Loan|Online|North|Salaried|180|630700|14.9|8784|1238704|760|A|0.27|0.57|0|16|128064|552756|60|0|0|Delinquent</v>
      </c>
      <c r="AW358" s="42">
        <f>YEAR(Loan_Table[ [#This Row],[origination_date] ])</f>
        <v>2025</v>
      </c>
    </row>
    <row r="359" spans="2:49" ht="18" customHeight="1">
      <c r="B359" s="5" t="s">
        <v>838</v>
      </c>
      <c r="C359" s="2" t="s">
        <v>839</v>
      </c>
      <c r="D359" s="3">
        <v>45530</v>
      </c>
      <c r="E359" s="2" t="s">
        <v>163</v>
      </c>
      <c r="F359" s="2" t="s">
        <v>144</v>
      </c>
      <c r="G359" s="2" t="s">
        <v>151</v>
      </c>
      <c r="H359" s="2" t="s">
        <v>134</v>
      </c>
      <c r="I359" s="2">
        <v>36</v>
      </c>
      <c r="J359" s="2">
        <v>709000</v>
      </c>
      <c r="K359" s="2">
        <v>14.09</v>
      </c>
      <c r="L359" s="2">
        <v>24263</v>
      </c>
      <c r="M359" s="2">
        <v>1126651</v>
      </c>
      <c r="N359" s="2">
        <v>635</v>
      </c>
      <c r="O359" s="2" t="s">
        <v>147</v>
      </c>
      <c r="P359" s="2">
        <v>0.23</v>
      </c>
      <c r="Q359" s="2">
        <v>0.63</v>
      </c>
      <c r="R359" s="2">
        <v>1125900</v>
      </c>
      <c r="S359" s="2">
        <v>16</v>
      </c>
      <c r="T359" s="2">
        <v>359040</v>
      </c>
      <c r="U359" s="2">
        <v>403239</v>
      </c>
      <c r="V359" s="2">
        <v>0</v>
      </c>
      <c r="W359" s="2">
        <v>1</v>
      </c>
      <c r="X359" s="2">
        <v>0</v>
      </c>
      <c r="Y359" s="2" t="s">
        <v>141</v>
      </c>
      <c r="Z359" s="12">
        <f>SUMIF(Table1[product],Table1[[#This Row],[product]],Table1[loan_amount])</f>
        <v>92273000</v>
      </c>
      <c r="AA359" s="15">
        <f>SUMIF(Table1[region],Table1[[#This Row],[region]],Table1[current_balance])</f>
        <v>105779369</v>
      </c>
      <c r="AB359" s="2">
        <f>COUNTIF(Table1[loan_status],Table1[[#This Row],[loan_status]])</f>
        <v>139</v>
      </c>
      <c r="AC359" s="2">
        <f>COUNTIF(Table1[default_flag],1)/ROWS(Table1[loan_id])</f>
        <v>2.5999999999999999E-2</v>
      </c>
      <c r="AD359" s="2">
        <f>COUNTIFS(Table1[region],Table1[[#This Row],[region]],Table1[default_flag],1)/COUNTIF(Table1[region],Table1[[#This Row],[region]])</f>
        <v>2.6548672566371681E-2</v>
      </c>
      <c r="AE359" s="2">
        <f>COUNTIFS(Table1[channel],Table1[[#This Row],[channel]],Table1[prepayment_flag],1)/COUNTIF(Table1[channel],Table1[[#This Row],[channel]])</f>
        <v>5.8201058201058198E-2</v>
      </c>
      <c r="AF359" s="2">
        <f>AVERAGEIFS(Table1[interest_rate_pct],Table1[product],Table1[[#This Row],[product]],Table1[risk_band],Table1[[#This Row],[risk_band]])</f>
        <v>15.092000000000001</v>
      </c>
      <c r="AG359" s="2" t="str" cm="1">
        <f t="array" ref="AG359">_xlfn.IFS(Table1[[#This Row],[dti_ratio]] &lt; 0.2, " less than 0.2", Table1[[#This Row],[dti_ratio]] &lt; 0.3, "0.2 - 0.3", Table1[[#This Row],[dti_ratio]] &lt;= 0.5, "0.35 - 0.5", Table1[[#This Row],[dti_ratio]] &gt; 0.5, "greater than 0.5")</f>
        <v>0.2 - 0.3</v>
      </c>
      <c r="AH359" s="2">
        <f>COUNTIF(Table1[DTI band],Table1[[#This Row],[DTI band]])</f>
        <v>122</v>
      </c>
      <c r="AI359" s="2" t="str" cm="1">
        <f t="array" ref="AI359">_xlfn.IFS(Table1[[#This Row],[ltv_ratio]] &lt; 0.6, "less than 0.6 -less risky", Table1[[#This Row],[ltv_ratio]]  &lt;= 0.8, "0.6 - 0.8 -medium risky",Table1[[#This Row],[ltv_ratio]] &gt; 0.8, "greater than 0.8 -highly risky")</f>
        <v>0.6 - 0.8 -medium risky</v>
      </c>
      <c r="AJ359" s="2">
        <f>COUNTIF(Table1[LTV band],Table1[[#This Row],[LTV band]])</f>
        <v>302</v>
      </c>
      <c r="AK359" s="2">
        <f>COUNTIFS(Table1[count_loan_perband],Table1[[#This Row],[count_loan_perband]],Table1[default_flag],1)/COUNTIF(Table1[count_loan_perband],Table1[[#This Row],[count_loan_perband]])</f>
        <v>3.6423841059602648E-2</v>
      </c>
      <c r="AL359" s="2" t="str" cm="1">
        <f t="array" ref="AL359">_xlfn.IFS(Table1[[#This Row],[loan_amount]] &lt; 900000, "lower size (&lt; 9L)", Table1[[#This Row],[loan_amount]] &lt;=3300000, "medium size (&lt;=33L)", Table1[[#This Row],[loan_amount]] &gt; 3300000, "larger size (&gt; 33L)")</f>
        <v>lower size (&lt; 9L)</v>
      </c>
      <c r="AM359" s="2">
        <f>IF(Table1[[#This Row],[dpd]] &gt;=30,1,0)</f>
        <v>0</v>
      </c>
      <c r="AN359" s="2">
        <f>COUNTIFS(Table1[Loan size],Table1[[#This Row],[Loan size]],Table1[dpd flag],1)/COUNTIF(Table1[Loan size],Table1[[#This Row],[Loan size]])</f>
        <v>0.13934426229508196</v>
      </c>
      <c r="AO359" s="2" t="str">
        <f>IF(OR(Table1[[#This Row],[credit_score]] &lt; 600, Table1[ [#This Row],[dti_ratio] ] &gt; 0.5, Table1[[#This Row],[dpd]] &gt;=30), "high risk", " not riskY")</f>
        <v xml:space="preserve"> not riskY</v>
      </c>
      <c r="AP359" s="26">
        <f>EOMONTH(Table1[[#This Row],[origination_date]],0)</f>
        <v>45535</v>
      </c>
      <c r="AQ359" s="2">
        <f>SUMIFS(Table1[loan_amount],Table1[origination month],Table1[[#This Row],[origination month]])</f>
        <v>16249800</v>
      </c>
      <c r="AR359" s="2">
        <f>AVERAGEIFS(Table1[months_on_book],Table1[product],Table1[[#This Row],[product]])</f>
        <v>20.262135922330096</v>
      </c>
      <c r="AS359" s="2" t="str">
        <f ca="1">IF(EDATE(Table1[[#This Row],[origination_date]],6) &gt;= TODAY(), "New Loan", "Old Loan")</f>
        <v>Old Loan</v>
      </c>
      <c r="AT359" s="2" t="str">
        <f>"Q"&amp;ROUNDUP(MONTH(Table1[[#This Row],[origination_date]])/3,0)&amp;YEAR(Table1[[#This Row],[origination_date]])</f>
        <v>Q32024</v>
      </c>
      <c r="AU359" s="2">
        <f>SUMIFS(Table1[loan_amount],Table1[quarter],Table1[[#This Row],[quarter]])</f>
        <v>52597700</v>
      </c>
      <c r="AV359" s="34" t="str">
        <f>_xlfn.TEXTJOIN("|",TRUE,Table1[[#This Row],[loan_id]:[loan_status]])</f>
        <v>L86480010|C5126932|45530|Auto Loan|Branch|North|Salaried|36|709000|14.09|24263|1126651|635|D|0.23|0.63|1125900|16|359040|403239|0|1|0|Closed</v>
      </c>
      <c r="AW359" s="42">
        <f>YEAR(Loan_Table[ [#This Row],[origination_date] ])</f>
        <v>2025</v>
      </c>
    </row>
    <row r="360" spans="2:49" ht="18" customHeight="1">
      <c r="B360" s="5" t="s">
        <v>840</v>
      </c>
      <c r="C360" s="2" t="s">
        <v>841</v>
      </c>
      <c r="D360" s="3">
        <v>45491</v>
      </c>
      <c r="E360" s="2" t="s">
        <v>163</v>
      </c>
      <c r="F360" s="2" t="s">
        <v>213</v>
      </c>
      <c r="G360" s="2" t="s">
        <v>133</v>
      </c>
      <c r="H360" s="2" t="s">
        <v>134</v>
      </c>
      <c r="I360" s="2">
        <v>18</v>
      </c>
      <c r="J360" s="2">
        <v>725200</v>
      </c>
      <c r="K360" s="2">
        <v>7.94</v>
      </c>
      <c r="L360" s="2">
        <v>42869</v>
      </c>
      <c r="M360" s="2">
        <v>1037630</v>
      </c>
      <c r="N360" s="2">
        <v>757</v>
      </c>
      <c r="O360" s="2" t="s">
        <v>160</v>
      </c>
      <c r="P360" s="2">
        <v>0.19</v>
      </c>
      <c r="Q360" s="2">
        <v>0.47</v>
      </c>
      <c r="R360" s="2">
        <v>1527700</v>
      </c>
      <c r="S360" s="2">
        <v>17</v>
      </c>
      <c r="T360" s="2">
        <v>626866</v>
      </c>
      <c r="U360" s="2">
        <v>130963</v>
      </c>
      <c r="V360" s="2">
        <v>0</v>
      </c>
      <c r="W360" s="2">
        <v>0</v>
      </c>
      <c r="X360" s="2">
        <v>0</v>
      </c>
      <c r="Y360" s="2" t="s">
        <v>148</v>
      </c>
      <c r="Z360" s="12">
        <f>SUMIF(Table1[product],Table1[[#This Row],[product]],Table1[loan_amount])</f>
        <v>92273000</v>
      </c>
      <c r="AA360" s="15">
        <f>SUMIF(Table1[region],Table1[[#This Row],[region]],Table1[current_balance])</f>
        <v>94548000</v>
      </c>
      <c r="AB360" s="2">
        <f>COUNTIF(Table1[loan_status],Table1[[#This Row],[loan_status]])</f>
        <v>301</v>
      </c>
      <c r="AC360" s="2">
        <f>COUNTIF(Table1[default_flag],1)/ROWS(Table1[loan_id])</f>
        <v>2.5999999999999999E-2</v>
      </c>
      <c r="AD360" s="2">
        <f>COUNTIFS(Table1[region],Table1[[#This Row],[region]],Table1[default_flag],1)/COUNTIF(Table1[region],Table1[[#This Row],[region]])</f>
        <v>0</v>
      </c>
      <c r="AE360" s="2">
        <f>COUNTIFS(Table1[channel],Table1[[#This Row],[channel]],Table1[prepayment_flag],1)/COUNTIF(Table1[channel],Table1[[#This Row],[channel]])</f>
        <v>0.12</v>
      </c>
      <c r="AF360" s="2">
        <f>AVERAGEIFS(Table1[interest_rate_pct],Table1[product],Table1[[#This Row],[product]],Table1[risk_band],Table1[[#This Row],[risk_band]])</f>
        <v>7.9444999999999997</v>
      </c>
      <c r="AG360" s="2" t="str" cm="1">
        <f t="array" ref="AG360">_xlfn.IFS(Table1[[#This Row],[dti_ratio]] &lt; 0.2, " less than 0.2", Table1[[#This Row],[dti_ratio]] &lt; 0.3, "0.2 - 0.3", Table1[[#This Row],[dti_ratio]] &lt;= 0.5, "0.35 - 0.5", Table1[[#This Row],[dti_ratio]] &gt; 0.5, "greater than 0.5")</f>
        <v xml:space="preserve"> less than 0.2</v>
      </c>
      <c r="AH360" s="2">
        <f>COUNTIF(Table1[DTI band],Table1[[#This Row],[DTI band]])</f>
        <v>86</v>
      </c>
      <c r="AI360" s="2" t="str" cm="1">
        <f t="array" ref="AI360">_xlfn.IFS(Table1[[#This Row],[ltv_ratio]] &lt; 0.6, "less than 0.6 -less risky", Table1[[#This Row],[ltv_ratio]]  &lt;= 0.8, "0.6 - 0.8 -medium risky",Table1[[#This Row],[ltv_ratio]] &gt; 0.8, "greater than 0.8 -highly risky")</f>
        <v>less than 0.6 -less risky</v>
      </c>
      <c r="AJ360" s="2">
        <f>COUNTIF(Table1[LTV band],Table1[[#This Row],[LTV band]])</f>
        <v>57</v>
      </c>
      <c r="AK360" s="2">
        <f>COUNTIFS(Table1[count_loan_perband],Table1[[#This Row],[count_loan_perband]],Table1[default_flag],1)/COUNTIF(Table1[count_loan_perband],Table1[[#This Row],[count_loan_perband]])</f>
        <v>0</v>
      </c>
      <c r="AL360" s="2" t="str" cm="1">
        <f t="array" ref="AL360">_xlfn.IFS(Table1[[#This Row],[loan_amount]] &lt; 900000, "lower size (&lt; 9L)", Table1[[#This Row],[loan_amount]] &lt;=3300000, "medium size (&lt;=33L)", Table1[[#This Row],[loan_amount]] &gt; 3300000, "larger size (&gt; 33L)")</f>
        <v>lower size (&lt; 9L)</v>
      </c>
      <c r="AM360" s="2">
        <f>IF(Table1[[#This Row],[dpd]] &gt;=30,1,0)</f>
        <v>0</v>
      </c>
      <c r="AN360" s="2">
        <f>COUNTIFS(Table1[Loan size],Table1[[#This Row],[Loan size]],Table1[dpd flag],1)/COUNTIF(Table1[Loan size],Table1[[#This Row],[Loan size]])</f>
        <v>0.13934426229508196</v>
      </c>
      <c r="AO360" s="2" t="str">
        <f>IF(OR(Table1[[#This Row],[credit_score]] &lt; 600, Table1[ [#This Row],[dti_ratio] ] &gt; 0.5, Table1[[#This Row],[dpd]] &gt;=30), "high risk", " not riskY")</f>
        <v xml:space="preserve"> not riskY</v>
      </c>
      <c r="AP360" s="26">
        <f>EOMONTH(Table1[[#This Row],[origination_date]],0)</f>
        <v>45504</v>
      </c>
      <c r="AQ360" s="2">
        <f>SUMIFS(Table1[loan_amount],Table1[origination month],Table1[[#This Row],[origination month]])</f>
        <v>25320300</v>
      </c>
      <c r="AR360" s="2">
        <f>AVERAGEIFS(Table1[months_on_book],Table1[product],Table1[[#This Row],[product]])</f>
        <v>20.262135922330096</v>
      </c>
      <c r="AS360" s="2" t="str">
        <f ca="1">IF(EDATE(Table1[[#This Row],[origination_date]],6) &gt;= TODAY(), "New Loan", "Old Loan")</f>
        <v>Old Loan</v>
      </c>
      <c r="AT360" s="2" t="str">
        <f>"Q"&amp;ROUNDUP(MONTH(Table1[[#This Row],[origination_date]])/3,0)&amp;YEAR(Table1[[#This Row],[origination_date]])</f>
        <v>Q32024</v>
      </c>
      <c r="AU360" s="2">
        <f>SUMIFS(Table1[loan_amount],Table1[quarter],Table1[[#This Row],[quarter]])</f>
        <v>52597700</v>
      </c>
      <c r="AV360" s="34" t="str">
        <f>_xlfn.TEXTJOIN("|",TRUE,Table1[[#This Row],[loan_id]:[loan_status]])</f>
        <v>L39687509|C5995118|45491|Auto Loan|Call Center|South|Salaried|18|725200|7.94|42869|1037630|757|A|0.19|0.47|1527700|17|626866|130963|0|0|0|Active</v>
      </c>
      <c r="AW360" s="42">
        <f>YEAR(Loan_Table[ [#This Row],[origination_date] ])</f>
        <v>2025</v>
      </c>
    </row>
    <row r="361" spans="2:49" ht="18" customHeight="1">
      <c r="B361" s="5" t="s">
        <v>842</v>
      </c>
      <c r="C361" s="2" t="s">
        <v>843</v>
      </c>
      <c r="D361" s="3">
        <v>45497</v>
      </c>
      <c r="E361" s="2" t="s">
        <v>131</v>
      </c>
      <c r="F361" s="2" t="s">
        <v>213</v>
      </c>
      <c r="G361" s="2" t="s">
        <v>151</v>
      </c>
      <c r="H361" s="2" t="s">
        <v>152</v>
      </c>
      <c r="I361" s="2">
        <v>12</v>
      </c>
      <c r="J361" s="2">
        <v>604500</v>
      </c>
      <c r="K361" s="2">
        <v>20.12</v>
      </c>
      <c r="L361" s="2">
        <v>56032</v>
      </c>
      <c r="M361" s="2">
        <v>805018</v>
      </c>
      <c r="N361" s="2">
        <v>650</v>
      </c>
      <c r="O361" s="2" t="s">
        <v>140</v>
      </c>
      <c r="P361" s="2">
        <v>0.19</v>
      </c>
      <c r="Q361" s="2">
        <v>0.61</v>
      </c>
      <c r="R361" s="2">
        <v>0</v>
      </c>
      <c r="S361" s="2">
        <v>12</v>
      </c>
      <c r="T361" s="2">
        <v>626787</v>
      </c>
      <c r="U361" s="2">
        <v>26363</v>
      </c>
      <c r="V361" s="2">
        <v>0</v>
      </c>
      <c r="W361" s="2">
        <v>0</v>
      </c>
      <c r="X361" s="2">
        <v>0</v>
      </c>
      <c r="Y361" s="2" t="s">
        <v>141</v>
      </c>
      <c r="Z361" s="12">
        <f>SUMIF(Table1[product],Table1[[#This Row],[product]],Table1[loan_amount])</f>
        <v>74897600</v>
      </c>
      <c r="AA361" s="15">
        <f>SUMIF(Table1[region],Table1[[#This Row],[region]],Table1[current_balance])</f>
        <v>105779369</v>
      </c>
      <c r="AB361" s="2">
        <f>COUNTIF(Table1[loan_status],Table1[[#This Row],[loan_status]])</f>
        <v>139</v>
      </c>
      <c r="AC361" s="2">
        <f>COUNTIF(Table1[default_flag],1)/ROWS(Table1[loan_id])</f>
        <v>2.5999999999999999E-2</v>
      </c>
      <c r="AD361" s="2">
        <f>COUNTIFS(Table1[region],Table1[[#This Row],[region]],Table1[default_flag],1)/COUNTIF(Table1[region],Table1[[#This Row],[region]])</f>
        <v>2.6548672566371681E-2</v>
      </c>
      <c r="AE361" s="2">
        <f>COUNTIFS(Table1[channel],Table1[[#This Row],[channel]],Table1[prepayment_flag],1)/COUNTIF(Table1[channel],Table1[[#This Row],[channel]])</f>
        <v>0.12</v>
      </c>
      <c r="AF361" s="2">
        <f>AVERAGEIFS(Table1[interest_rate_pct],Table1[product],Table1[[#This Row],[product]],Table1[risk_band],Table1[[#This Row],[risk_band]])</f>
        <v>18.603181818181817</v>
      </c>
      <c r="AG361" s="2" t="str" cm="1">
        <f t="array" ref="AG361">_xlfn.IFS(Table1[[#This Row],[dti_ratio]] &lt; 0.2, " less than 0.2", Table1[[#This Row],[dti_ratio]] &lt; 0.3, "0.2 - 0.3", Table1[[#This Row],[dti_ratio]] &lt;= 0.5, "0.35 - 0.5", Table1[[#This Row],[dti_ratio]] &gt; 0.5, "greater than 0.5")</f>
        <v xml:space="preserve"> less than 0.2</v>
      </c>
      <c r="AH361" s="2">
        <f>COUNTIF(Table1[DTI band],Table1[[#This Row],[DTI band]])</f>
        <v>86</v>
      </c>
      <c r="AI361" s="2" t="str" cm="1">
        <f t="array" ref="AI361">_xlfn.IFS(Table1[[#This Row],[ltv_ratio]] &lt; 0.6, "less than 0.6 -less risky", Table1[[#This Row],[ltv_ratio]]  &lt;= 0.8, "0.6 - 0.8 -medium risky",Table1[[#This Row],[ltv_ratio]] &gt; 0.8, "greater than 0.8 -highly risky")</f>
        <v>0.6 - 0.8 -medium risky</v>
      </c>
      <c r="AJ361" s="2">
        <f>COUNTIF(Table1[LTV band],Table1[[#This Row],[LTV band]])</f>
        <v>302</v>
      </c>
      <c r="AK361" s="2">
        <f>COUNTIFS(Table1[count_loan_perband],Table1[[#This Row],[count_loan_perband]],Table1[default_flag],1)/COUNTIF(Table1[count_loan_perband],Table1[[#This Row],[count_loan_perband]])</f>
        <v>3.6423841059602648E-2</v>
      </c>
      <c r="AL361" s="2" t="str" cm="1">
        <f t="array" ref="AL361">_xlfn.IFS(Table1[[#This Row],[loan_amount]] &lt; 900000, "lower size (&lt; 9L)", Table1[[#This Row],[loan_amount]] &lt;=3300000, "medium size (&lt;=33L)", Table1[[#This Row],[loan_amount]] &gt; 3300000, "larger size (&gt; 33L)")</f>
        <v>lower size (&lt; 9L)</v>
      </c>
      <c r="AM361" s="2">
        <f>IF(Table1[[#This Row],[dpd]] &gt;=30,1,0)</f>
        <v>0</v>
      </c>
      <c r="AN361" s="2">
        <f>COUNTIFS(Table1[Loan size],Table1[[#This Row],[Loan size]],Table1[dpd flag],1)/COUNTIF(Table1[Loan size],Table1[[#This Row],[Loan size]])</f>
        <v>0.13934426229508196</v>
      </c>
      <c r="AO361" s="2" t="str">
        <f>IF(OR(Table1[[#This Row],[credit_score]] &lt; 600, Table1[ [#This Row],[dti_ratio] ] &gt; 0.5, Table1[[#This Row],[dpd]] &gt;=30), "high risk", " not riskY")</f>
        <v xml:space="preserve"> not riskY</v>
      </c>
      <c r="AP361" s="26">
        <f>EOMONTH(Table1[[#This Row],[origination_date]],0)</f>
        <v>45504</v>
      </c>
      <c r="AQ361" s="2">
        <f>SUMIFS(Table1[loan_amount],Table1[origination month],Table1[[#This Row],[origination month]])</f>
        <v>25320300</v>
      </c>
      <c r="AR361" s="2">
        <f>AVERAGEIFS(Table1[months_on_book],Table1[product],Table1[[#This Row],[product]])</f>
        <v>21.092024539877301</v>
      </c>
      <c r="AS361" s="2" t="str">
        <f ca="1">IF(EDATE(Table1[[#This Row],[origination_date]],6) &gt;= TODAY(), "New Loan", "Old Loan")</f>
        <v>Old Loan</v>
      </c>
      <c r="AT361" s="2" t="str">
        <f>"Q"&amp;ROUNDUP(MONTH(Table1[[#This Row],[origination_date]])/3,0)&amp;YEAR(Table1[[#This Row],[origination_date]])</f>
        <v>Q32024</v>
      </c>
      <c r="AU361" s="2">
        <f>SUMIFS(Table1[loan_amount],Table1[quarter],Table1[[#This Row],[quarter]])</f>
        <v>52597700</v>
      </c>
      <c r="AV361" s="34" t="str">
        <f>_xlfn.TEXTJOIN("|",TRUE,Table1[[#This Row],[loan_id]:[loan_status]])</f>
        <v>L73362885|C2077602|45497|Personal Loan|Call Center|North|Self-Employed|12|604500|20.12|56032|805018|650|C|0.19|0.61|0|12|626787|26363|0|0|0|Closed</v>
      </c>
      <c r="AW361" s="42">
        <f>YEAR(Loan_Table[ [#This Row],[origination_date] ])</f>
        <v>2025</v>
      </c>
    </row>
    <row r="362" spans="2:49" ht="18" customHeight="1">
      <c r="B362" s="5" t="s">
        <v>844</v>
      </c>
      <c r="C362" s="2" t="s">
        <v>845</v>
      </c>
      <c r="D362" s="3">
        <v>45478</v>
      </c>
      <c r="E362" s="2" t="s">
        <v>169</v>
      </c>
      <c r="F362" s="2" t="s">
        <v>132</v>
      </c>
      <c r="G362" s="2" t="s">
        <v>139</v>
      </c>
      <c r="H362" s="2" t="s">
        <v>134</v>
      </c>
      <c r="I362" s="2">
        <v>240</v>
      </c>
      <c r="J362" s="2">
        <v>5013400</v>
      </c>
      <c r="K362" s="2">
        <v>11.43</v>
      </c>
      <c r="L362" s="2">
        <v>53223</v>
      </c>
      <c r="M362" s="2">
        <v>1497369</v>
      </c>
      <c r="N362" s="2">
        <v>667</v>
      </c>
      <c r="O362" s="2" t="s">
        <v>140</v>
      </c>
      <c r="P362" s="2">
        <v>0.15</v>
      </c>
      <c r="Q362" s="2">
        <v>0.77</v>
      </c>
      <c r="R362" s="2">
        <v>6482800</v>
      </c>
      <c r="S362" s="2">
        <v>17</v>
      </c>
      <c r="T362" s="2">
        <v>896777</v>
      </c>
      <c r="U362" s="2">
        <v>4441341</v>
      </c>
      <c r="V362" s="2">
        <v>0</v>
      </c>
      <c r="W362" s="2">
        <v>0</v>
      </c>
      <c r="X362" s="2">
        <v>0</v>
      </c>
      <c r="Y362" s="2" t="s">
        <v>148</v>
      </c>
      <c r="Z362" s="12">
        <f>SUMIF(Table1[product],Table1[[#This Row],[product]],Table1[loan_amount])</f>
        <v>403369500</v>
      </c>
      <c r="AA362" s="15">
        <f>SUMIF(Table1[region],Table1[[#This Row],[region]],Table1[current_balance])</f>
        <v>83903255</v>
      </c>
      <c r="AB362" s="2">
        <f>COUNTIF(Table1[loan_status],Table1[[#This Row],[loan_status]])</f>
        <v>301</v>
      </c>
      <c r="AC362" s="2">
        <f>COUNTIF(Table1[default_flag],1)/ROWS(Table1[loan_id])</f>
        <v>2.5999999999999999E-2</v>
      </c>
      <c r="AD362" s="2">
        <f>COUNTIFS(Table1[region],Table1[[#This Row],[region]],Table1[default_flag],1)/COUNTIF(Table1[region],Table1[[#This Row],[region]])</f>
        <v>4.2553191489361701E-2</v>
      </c>
      <c r="AE362" s="2">
        <f>COUNTIFS(Table1[channel],Table1[[#This Row],[channel]],Table1[prepayment_flag],1)/COUNTIF(Table1[channel],Table1[[#This Row],[channel]])</f>
        <v>7.1090047393364927E-2</v>
      </c>
      <c r="AF362" s="2">
        <f>AVERAGEIFS(Table1[interest_rate_pct],Table1[product],Table1[[#This Row],[product]],Table1[risk_band],Table1[[#This Row],[risk_band]])</f>
        <v>11.719736842105268</v>
      </c>
      <c r="AG362" s="2" t="str" cm="1">
        <f t="array" ref="AG362">_xlfn.IFS(Table1[[#This Row],[dti_ratio]] &lt; 0.2, " less than 0.2", Table1[[#This Row],[dti_ratio]] &lt; 0.3, "0.2 - 0.3", Table1[[#This Row],[dti_ratio]] &lt;= 0.5, "0.35 - 0.5", Table1[[#This Row],[dti_ratio]] &gt; 0.5, "greater than 0.5")</f>
        <v xml:space="preserve"> less than 0.2</v>
      </c>
      <c r="AH362" s="2">
        <f>COUNTIF(Table1[DTI band],Table1[[#This Row],[DTI band]])</f>
        <v>86</v>
      </c>
      <c r="AI362" s="2" t="str" cm="1">
        <f t="array" ref="AI362">_xlfn.IFS(Table1[[#This Row],[ltv_ratio]] &lt; 0.6, "less than 0.6 -less risky", Table1[[#This Row],[ltv_ratio]]  &lt;= 0.8, "0.6 - 0.8 -medium risky",Table1[[#This Row],[ltv_ratio]] &gt; 0.8, "greater than 0.8 -highly risky")</f>
        <v>0.6 - 0.8 -medium risky</v>
      </c>
      <c r="AJ362" s="2">
        <f>COUNTIF(Table1[LTV band],Table1[[#This Row],[LTV band]])</f>
        <v>302</v>
      </c>
      <c r="AK362" s="2">
        <f>COUNTIFS(Table1[count_loan_perband],Table1[[#This Row],[count_loan_perband]],Table1[default_flag],1)/COUNTIF(Table1[count_loan_perband],Table1[[#This Row],[count_loan_perband]])</f>
        <v>3.6423841059602648E-2</v>
      </c>
      <c r="AL362" s="2" t="str" cm="1">
        <f t="array" ref="AL362">_xlfn.IFS(Table1[[#This Row],[loan_amount]] &lt; 900000, "lower size (&lt; 9L)", Table1[[#This Row],[loan_amount]] &lt;=3300000, "medium size (&lt;=33L)", Table1[[#This Row],[loan_amount]] &gt; 3300000, "larger size (&gt; 33L)")</f>
        <v>larger size (&gt; 33L)</v>
      </c>
      <c r="AM362" s="2">
        <f>IF(Table1[[#This Row],[dpd]] &gt;=30,1,0)</f>
        <v>0</v>
      </c>
      <c r="AN362" s="2">
        <f>COUNTIFS(Table1[Loan size],Table1[[#This Row],[Loan size]],Table1[dpd flag],1)/COUNTIF(Table1[Loan size],Table1[[#This Row],[Loan size]])</f>
        <v>0.16250000000000001</v>
      </c>
      <c r="AO362" s="2" t="str">
        <f>IF(OR(Table1[[#This Row],[credit_score]] &lt; 600, Table1[ [#This Row],[dti_ratio] ] &gt; 0.5, Table1[[#This Row],[dpd]] &gt;=30), "high risk", " not riskY")</f>
        <v xml:space="preserve"> not riskY</v>
      </c>
      <c r="AP362" s="26">
        <f>EOMONTH(Table1[[#This Row],[origination_date]],0)</f>
        <v>45504</v>
      </c>
      <c r="AQ362" s="2">
        <f>SUMIFS(Table1[loan_amount],Table1[origination month],Table1[[#This Row],[origination month]])</f>
        <v>25320300</v>
      </c>
      <c r="AR362" s="2">
        <f>AVERAGEIFS(Table1[months_on_book],Table1[product],Table1[[#This Row],[product]])</f>
        <v>20.516129032258064</v>
      </c>
      <c r="AS362" s="2" t="str">
        <f ca="1">IF(EDATE(Table1[[#This Row],[origination_date]],6) &gt;= TODAY(), "New Loan", "Old Loan")</f>
        <v>Old Loan</v>
      </c>
      <c r="AT362" s="2" t="str">
        <f>"Q"&amp;ROUNDUP(MONTH(Table1[[#This Row],[origination_date]])/3,0)&amp;YEAR(Table1[[#This Row],[origination_date]])</f>
        <v>Q32024</v>
      </c>
      <c r="AU362" s="2">
        <f>SUMIFS(Table1[loan_amount],Table1[quarter],Table1[[#This Row],[quarter]])</f>
        <v>52597700</v>
      </c>
      <c r="AV362" s="34" t="str">
        <f>_xlfn.TEXTJOIN("|",TRUE,Table1[[#This Row],[loan_id]:[loan_status]])</f>
        <v>L46976531|C3244488|45478|Home Loan|Online|West|Salaried|240|5013400|11.43|53223|1497369|667|C|0.15|0.77|6482800|17|896777|4441341|0|0|0|Active</v>
      </c>
      <c r="AW362" s="42">
        <f>YEAR(Loan_Table[ [#This Row],[origination_date] ])</f>
        <v>2025</v>
      </c>
    </row>
    <row r="363" spans="2:49" ht="18" customHeight="1">
      <c r="B363" s="5" t="s">
        <v>846</v>
      </c>
      <c r="C363" s="2" t="s">
        <v>847</v>
      </c>
      <c r="D363" s="3">
        <v>45562</v>
      </c>
      <c r="E363" s="2" t="s">
        <v>131</v>
      </c>
      <c r="F363" s="2" t="s">
        <v>213</v>
      </c>
      <c r="G363" s="2" t="s">
        <v>133</v>
      </c>
      <c r="H363" s="2" t="s">
        <v>134</v>
      </c>
      <c r="I363" s="2">
        <v>72</v>
      </c>
      <c r="J363" s="2">
        <v>431000</v>
      </c>
      <c r="K363" s="2">
        <v>19.829999999999998</v>
      </c>
      <c r="L363" s="2">
        <v>10281</v>
      </c>
      <c r="M363" s="2">
        <v>1266118</v>
      </c>
      <c r="N363" s="2">
        <v>635</v>
      </c>
      <c r="O363" s="2" t="s">
        <v>147</v>
      </c>
      <c r="P363" s="2">
        <v>0.12</v>
      </c>
      <c r="Q363" s="2">
        <v>0.77</v>
      </c>
      <c r="R363" s="2">
        <v>0</v>
      </c>
      <c r="S363" s="2">
        <v>15</v>
      </c>
      <c r="T363" s="2">
        <v>132918</v>
      </c>
      <c r="U363" s="2">
        <v>340816</v>
      </c>
      <c r="V363" s="2">
        <v>30</v>
      </c>
      <c r="W363" s="2">
        <v>0</v>
      </c>
      <c r="X363" s="2">
        <v>0</v>
      </c>
      <c r="Y363" s="2" t="s">
        <v>136</v>
      </c>
      <c r="Z363" s="12">
        <f>SUMIF(Table1[product],Table1[[#This Row],[product]],Table1[loan_amount])</f>
        <v>74897600</v>
      </c>
      <c r="AA363" s="15">
        <f>SUMIF(Table1[region],Table1[[#This Row],[region]],Table1[current_balance])</f>
        <v>94548000</v>
      </c>
      <c r="AB363" s="2">
        <f>COUNTIF(Table1[loan_status],Table1[[#This Row],[loan_status]])</f>
        <v>47</v>
      </c>
      <c r="AC363" s="2">
        <f>COUNTIF(Table1[default_flag],1)/ROWS(Table1[loan_id])</f>
        <v>2.5999999999999999E-2</v>
      </c>
      <c r="AD363" s="2">
        <f>COUNTIFS(Table1[region],Table1[[#This Row],[region]],Table1[default_flag],1)/COUNTIF(Table1[region],Table1[[#This Row],[region]])</f>
        <v>0</v>
      </c>
      <c r="AE363" s="2">
        <f>COUNTIFS(Table1[channel],Table1[[#This Row],[channel]],Table1[prepayment_flag],1)/COUNTIF(Table1[channel],Table1[[#This Row],[channel]])</f>
        <v>0.12</v>
      </c>
      <c r="AF363" s="2">
        <f>AVERAGEIFS(Table1[interest_rate_pct],Table1[product],Table1[[#This Row],[product]],Table1[risk_band],Table1[[#This Row],[risk_band]])</f>
        <v>20.962592592592593</v>
      </c>
      <c r="AG363" s="2" t="str" cm="1">
        <f t="array" ref="AG363">_xlfn.IFS(Table1[[#This Row],[dti_ratio]] &lt; 0.2, " less than 0.2", Table1[[#This Row],[dti_ratio]] &lt; 0.3, "0.2 - 0.3", Table1[[#This Row],[dti_ratio]] &lt;= 0.5, "0.35 - 0.5", Table1[[#This Row],[dti_ratio]] &gt; 0.5, "greater than 0.5")</f>
        <v xml:space="preserve"> less than 0.2</v>
      </c>
      <c r="AH363" s="2">
        <f>COUNTIF(Table1[DTI band],Table1[[#This Row],[DTI band]])</f>
        <v>86</v>
      </c>
      <c r="AI363" s="2" t="str" cm="1">
        <f t="array" ref="AI363">_xlfn.IFS(Table1[[#This Row],[ltv_ratio]] &lt; 0.6, "less than 0.6 -less risky", Table1[[#This Row],[ltv_ratio]]  &lt;= 0.8, "0.6 - 0.8 -medium risky",Table1[[#This Row],[ltv_ratio]] &gt; 0.8, "greater than 0.8 -highly risky")</f>
        <v>0.6 - 0.8 -medium risky</v>
      </c>
      <c r="AJ363" s="2">
        <f>COUNTIF(Table1[LTV band],Table1[[#This Row],[LTV band]])</f>
        <v>302</v>
      </c>
      <c r="AK363" s="2">
        <f>COUNTIFS(Table1[count_loan_perband],Table1[[#This Row],[count_loan_perband]],Table1[default_flag],1)/COUNTIF(Table1[count_loan_perband],Table1[[#This Row],[count_loan_perband]])</f>
        <v>3.6423841059602648E-2</v>
      </c>
      <c r="AL363" s="2" t="str" cm="1">
        <f t="array" ref="AL363">_xlfn.IFS(Table1[[#This Row],[loan_amount]] &lt; 900000, "lower size (&lt; 9L)", Table1[[#This Row],[loan_amount]] &lt;=3300000, "medium size (&lt;=33L)", Table1[[#This Row],[loan_amount]] &gt; 3300000, "larger size (&gt; 33L)")</f>
        <v>lower size (&lt; 9L)</v>
      </c>
      <c r="AM363" s="2">
        <f>IF(Table1[[#This Row],[dpd]] &gt;=30,1,0)</f>
        <v>1</v>
      </c>
      <c r="AN363" s="2">
        <f>COUNTIFS(Table1[Loan size],Table1[[#This Row],[Loan size]],Table1[dpd flag],1)/COUNTIF(Table1[Loan size],Table1[[#This Row],[Loan size]])</f>
        <v>0.13934426229508196</v>
      </c>
      <c r="AO363" s="2" t="str">
        <f>IF(OR(Table1[[#This Row],[credit_score]] &lt; 600, Table1[ [#This Row],[dti_ratio] ] &gt; 0.5, Table1[[#This Row],[dpd]] &gt;=30), "high risk", " not riskY")</f>
        <v>high risk</v>
      </c>
      <c r="AP363" s="26">
        <f>EOMONTH(Table1[[#This Row],[origination_date]],0)</f>
        <v>45565</v>
      </c>
      <c r="AQ363" s="2">
        <f>SUMIFS(Table1[loan_amount],Table1[origination month],Table1[[#This Row],[origination month]])</f>
        <v>11027600</v>
      </c>
      <c r="AR363" s="2">
        <f>AVERAGEIFS(Table1[months_on_book],Table1[product],Table1[[#This Row],[product]])</f>
        <v>21.092024539877301</v>
      </c>
      <c r="AS363" s="2" t="str">
        <f ca="1">IF(EDATE(Table1[[#This Row],[origination_date]],6) &gt;= TODAY(), "New Loan", "Old Loan")</f>
        <v>Old Loan</v>
      </c>
      <c r="AT363" s="2" t="str">
        <f>"Q"&amp;ROUNDUP(MONTH(Table1[[#This Row],[origination_date]])/3,0)&amp;YEAR(Table1[[#This Row],[origination_date]])</f>
        <v>Q32024</v>
      </c>
      <c r="AU363" s="2">
        <f>SUMIFS(Table1[loan_amount],Table1[quarter],Table1[[#This Row],[quarter]])</f>
        <v>52597700</v>
      </c>
      <c r="AV363" s="34" t="str">
        <f>_xlfn.TEXTJOIN("|",TRUE,Table1[[#This Row],[loan_id]:[loan_status]])</f>
        <v>L84366273|C5639990|45562|Personal Loan|Call Center|South|Salaried|72|431000|19.83|10281|1266118|635|D|0.12|0.77|0|15|132918|340816|30|0|0|Delinquent</v>
      </c>
      <c r="AW363" s="42">
        <f>YEAR(Loan_Table[ [#This Row],[origination_date] ])</f>
        <v>2025</v>
      </c>
    </row>
    <row r="364" spans="2:49" ht="18" customHeight="1">
      <c r="B364" s="5" t="s">
        <v>848</v>
      </c>
      <c r="C364" s="2" t="s">
        <v>849</v>
      </c>
      <c r="D364" s="3">
        <v>45520</v>
      </c>
      <c r="E364" s="2" t="s">
        <v>163</v>
      </c>
      <c r="F364" s="2" t="s">
        <v>132</v>
      </c>
      <c r="G364" s="2" t="s">
        <v>133</v>
      </c>
      <c r="H364" s="2" t="s">
        <v>134</v>
      </c>
      <c r="I364" s="2">
        <v>60</v>
      </c>
      <c r="J364" s="2">
        <v>959000</v>
      </c>
      <c r="K364" s="2">
        <v>13.2</v>
      </c>
      <c r="L364" s="2">
        <v>21919</v>
      </c>
      <c r="M364" s="2">
        <v>1033445</v>
      </c>
      <c r="N364" s="2">
        <v>634</v>
      </c>
      <c r="O364" s="2" t="s">
        <v>147</v>
      </c>
      <c r="P364" s="2">
        <v>0.09</v>
      </c>
      <c r="Q364" s="2">
        <v>0.63</v>
      </c>
      <c r="R364" s="2">
        <v>1515500</v>
      </c>
      <c r="S364" s="2">
        <v>16</v>
      </c>
      <c r="T364" s="2">
        <v>354264</v>
      </c>
      <c r="U364" s="2">
        <v>672250</v>
      </c>
      <c r="V364" s="2">
        <v>0</v>
      </c>
      <c r="W364" s="2">
        <v>0</v>
      </c>
      <c r="X364" s="2">
        <v>0</v>
      </c>
      <c r="Y364" s="2" t="s">
        <v>148</v>
      </c>
      <c r="Z364" s="12">
        <f>SUMIF(Table1[product],Table1[[#This Row],[product]],Table1[loan_amount])</f>
        <v>92273000</v>
      </c>
      <c r="AA364" s="15">
        <f>SUMIF(Table1[region],Table1[[#This Row],[region]],Table1[current_balance])</f>
        <v>94548000</v>
      </c>
      <c r="AB364" s="2">
        <f>COUNTIF(Table1[loan_status],Table1[[#This Row],[loan_status]])</f>
        <v>301</v>
      </c>
      <c r="AC364" s="2">
        <f>COUNTIF(Table1[default_flag],1)/ROWS(Table1[loan_id])</f>
        <v>2.5999999999999999E-2</v>
      </c>
      <c r="AD364" s="2">
        <f>COUNTIFS(Table1[region],Table1[[#This Row],[region]],Table1[default_flag],1)/COUNTIF(Table1[region],Table1[[#This Row],[region]])</f>
        <v>0</v>
      </c>
      <c r="AE364" s="2">
        <f>COUNTIFS(Table1[channel],Table1[[#This Row],[channel]],Table1[prepayment_flag],1)/COUNTIF(Table1[channel],Table1[[#This Row],[channel]])</f>
        <v>7.1090047393364927E-2</v>
      </c>
      <c r="AF364" s="2">
        <f>AVERAGEIFS(Table1[interest_rate_pct],Table1[product],Table1[[#This Row],[product]],Table1[risk_band],Table1[[#This Row],[risk_band]])</f>
        <v>15.092000000000001</v>
      </c>
      <c r="AG364" s="2" t="str" cm="1">
        <f t="array" ref="AG364">_xlfn.IFS(Table1[[#This Row],[dti_ratio]] &lt; 0.2, " less than 0.2", Table1[[#This Row],[dti_ratio]] &lt; 0.3, "0.2 - 0.3", Table1[[#This Row],[dti_ratio]] &lt;= 0.5, "0.35 - 0.5", Table1[[#This Row],[dti_ratio]] &gt; 0.5, "greater than 0.5")</f>
        <v xml:space="preserve"> less than 0.2</v>
      </c>
      <c r="AH364" s="2">
        <f>COUNTIF(Table1[DTI band],Table1[[#This Row],[DTI band]])</f>
        <v>86</v>
      </c>
      <c r="AI364" s="2" t="str" cm="1">
        <f t="array" ref="AI364">_xlfn.IFS(Table1[[#This Row],[ltv_ratio]] &lt; 0.6, "less than 0.6 -less risky", Table1[[#This Row],[ltv_ratio]]  &lt;= 0.8, "0.6 - 0.8 -medium risky",Table1[[#This Row],[ltv_ratio]] &gt; 0.8, "greater than 0.8 -highly risky")</f>
        <v>0.6 - 0.8 -medium risky</v>
      </c>
      <c r="AJ364" s="2">
        <f>COUNTIF(Table1[LTV band],Table1[[#This Row],[LTV band]])</f>
        <v>302</v>
      </c>
      <c r="AK364" s="2">
        <f>COUNTIFS(Table1[count_loan_perband],Table1[[#This Row],[count_loan_perband]],Table1[default_flag],1)/COUNTIF(Table1[count_loan_perband],Table1[[#This Row],[count_loan_perband]])</f>
        <v>3.6423841059602648E-2</v>
      </c>
      <c r="AL364" s="2" t="str" cm="1">
        <f t="array" ref="AL364">_xlfn.IFS(Table1[[#This Row],[loan_amount]] &lt; 900000, "lower size (&lt; 9L)", Table1[[#This Row],[loan_amount]] &lt;=3300000, "medium size (&lt;=33L)", Table1[[#This Row],[loan_amount]] &gt; 3300000, "larger size (&gt; 33L)")</f>
        <v>medium size (&lt;=33L)</v>
      </c>
      <c r="AM364" s="2">
        <f>IF(Table1[[#This Row],[dpd]] &gt;=30,1,0)</f>
        <v>0</v>
      </c>
      <c r="AN364" s="2">
        <f>COUNTIFS(Table1[Loan size],Table1[[#This Row],[Loan size]],Table1[dpd flag],1)/COUNTIF(Table1[Loan size],Table1[[#This Row],[Loan size]])</f>
        <v>0.15909090909090909</v>
      </c>
      <c r="AO364" s="2" t="str">
        <f>IF(OR(Table1[[#This Row],[credit_score]] &lt; 600, Table1[ [#This Row],[dti_ratio] ] &gt; 0.5, Table1[[#This Row],[dpd]] &gt;=30), "high risk", " not riskY")</f>
        <v xml:space="preserve"> not riskY</v>
      </c>
      <c r="AP364" s="26">
        <f>EOMONTH(Table1[[#This Row],[origination_date]],0)</f>
        <v>45535</v>
      </c>
      <c r="AQ364" s="2">
        <f>SUMIFS(Table1[loan_amount],Table1[origination month],Table1[[#This Row],[origination month]])</f>
        <v>16249800</v>
      </c>
      <c r="AR364" s="2">
        <f>AVERAGEIFS(Table1[months_on_book],Table1[product],Table1[[#This Row],[product]])</f>
        <v>20.262135922330096</v>
      </c>
      <c r="AS364" s="2" t="str">
        <f ca="1">IF(EDATE(Table1[[#This Row],[origination_date]],6) &gt;= TODAY(), "New Loan", "Old Loan")</f>
        <v>Old Loan</v>
      </c>
      <c r="AT364" s="2" t="str">
        <f>"Q"&amp;ROUNDUP(MONTH(Table1[[#This Row],[origination_date]])/3,0)&amp;YEAR(Table1[[#This Row],[origination_date]])</f>
        <v>Q32024</v>
      </c>
      <c r="AU364" s="2">
        <f>SUMIFS(Table1[loan_amount],Table1[quarter],Table1[[#This Row],[quarter]])</f>
        <v>52597700</v>
      </c>
      <c r="AV364" s="34" t="str">
        <f>_xlfn.TEXTJOIN("|",TRUE,Table1[[#This Row],[loan_id]:[loan_status]])</f>
        <v>L60883599|C3947460|45520|Auto Loan|Online|South|Salaried|60|959000|13.2|21919|1033445|634|D|0.09|0.63|1515500|16|354264|672250|0|0|0|Active</v>
      </c>
      <c r="AW364" s="42">
        <f>YEAR(Loan_Table[ [#This Row],[origination_date] ])</f>
        <v>2025</v>
      </c>
    </row>
    <row r="365" spans="2:49" ht="18" customHeight="1">
      <c r="B365" s="5" t="s">
        <v>850</v>
      </c>
      <c r="C365" s="2" t="s">
        <v>851</v>
      </c>
      <c r="D365" s="3">
        <v>45888</v>
      </c>
      <c r="E365" s="2" t="s">
        <v>163</v>
      </c>
      <c r="F365" s="2" t="s">
        <v>132</v>
      </c>
      <c r="G365" s="2" t="s">
        <v>151</v>
      </c>
      <c r="H365" s="2" t="s">
        <v>134</v>
      </c>
      <c r="I365" s="2">
        <v>120</v>
      </c>
      <c r="J365" s="2">
        <v>1388000</v>
      </c>
      <c r="K365" s="2">
        <v>10.56</v>
      </c>
      <c r="L365" s="2">
        <v>18776</v>
      </c>
      <c r="M365" s="2">
        <v>845703</v>
      </c>
      <c r="N365" s="2">
        <v>726</v>
      </c>
      <c r="O365" s="2" t="s">
        <v>135</v>
      </c>
      <c r="P365" s="2">
        <v>0.56000000000000005</v>
      </c>
      <c r="Q365" s="2">
        <v>0.73</v>
      </c>
      <c r="R365" s="2">
        <v>1905200</v>
      </c>
      <c r="S365" s="2">
        <v>4</v>
      </c>
      <c r="T365" s="2">
        <v>71356</v>
      </c>
      <c r="U365" s="2">
        <v>1336187</v>
      </c>
      <c r="V365" s="2">
        <v>0</v>
      </c>
      <c r="W365" s="2">
        <v>1</v>
      </c>
      <c r="X365" s="2">
        <v>0</v>
      </c>
      <c r="Y365" s="2" t="s">
        <v>141</v>
      </c>
      <c r="Z365" s="12">
        <f>SUMIF(Table1[product],Table1[[#This Row],[product]],Table1[loan_amount])</f>
        <v>92273000</v>
      </c>
      <c r="AA365" s="15">
        <f>SUMIF(Table1[region],Table1[[#This Row],[region]],Table1[current_balance])</f>
        <v>105779369</v>
      </c>
      <c r="AB365" s="2">
        <f>COUNTIF(Table1[loan_status],Table1[[#This Row],[loan_status]])</f>
        <v>139</v>
      </c>
      <c r="AC365" s="2">
        <f>COUNTIF(Table1[default_flag],1)/ROWS(Table1[loan_id])</f>
        <v>2.5999999999999999E-2</v>
      </c>
      <c r="AD365" s="2">
        <f>COUNTIFS(Table1[region],Table1[[#This Row],[region]],Table1[default_flag],1)/COUNTIF(Table1[region],Table1[[#This Row],[region]])</f>
        <v>2.6548672566371681E-2</v>
      </c>
      <c r="AE365" s="2">
        <f>COUNTIFS(Table1[channel],Table1[[#This Row],[channel]],Table1[prepayment_flag],1)/COUNTIF(Table1[channel],Table1[[#This Row],[channel]])</f>
        <v>7.1090047393364927E-2</v>
      </c>
      <c r="AF365" s="2">
        <f>AVERAGEIFS(Table1[interest_rate_pct],Table1[product],Table1[[#This Row],[product]],Table1[risk_band],Table1[[#This Row],[risk_band]])</f>
        <v>10.611923076923079</v>
      </c>
      <c r="AG365" s="2" t="str" cm="1">
        <f t="array" ref="AG365">_xlfn.IFS(Table1[[#This Row],[dti_ratio]] &lt; 0.2, " less than 0.2", Table1[[#This Row],[dti_ratio]] &lt; 0.3, "0.2 - 0.3", Table1[[#This Row],[dti_ratio]] &lt;= 0.5, "0.35 - 0.5", Table1[[#This Row],[dti_ratio]] &gt; 0.5, "greater than 0.5")</f>
        <v>greater than 0.5</v>
      </c>
      <c r="AH365" s="2">
        <f>COUNTIF(Table1[DTI band],Table1[[#This Row],[DTI band]])</f>
        <v>32</v>
      </c>
      <c r="AI365" s="2" t="str" cm="1">
        <f t="array" ref="AI365">_xlfn.IFS(Table1[[#This Row],[ltv_ratio]] &lt; 0.6, "less than 0.6 -less risky", Table1[[#This Row],[ltv_ratio]]  &lt;= 0.8, "0.6 - 0.8 -medium risky",Table1[[#This Row],[ltv_ratio]] &gt; 0.8, "greater than 0.8 -highly risky")</f>
        <v>0.6 - 0.8 -medium risky</v>
      </c>
      <c r="AJ365" s="2">
        <f>COUNTIF(Table1[LTV band],Table1[[#This Row],[LTV band]])</f>
        <v>302</v>
      </c>
      <c r="AK365" s="2">
        <f>COUNTIFS(Table1[count_loan_perband],Table1[[#This Row],[count_loan_perband]],Table1[default_flag],1)/COUNTIF(Table1[count_loan_perband],Table1[[#This Row],[count_loan_perband]])</f>
        <v>3.6423841059602648E-2</v>
      </c>
      <c r="AL365" s="2" t="str" cm="1">
        <f t="array" ref="AL365">_xlfn.IFS(Table1[[#This Row],[loan_amount]] &lt; 900000, "lower size (&lt; 9L)", Table1[[#This Row],[loan_amount]] &lt;=3300000, "medium size (&lt;=33L)", Table1[[#This Row],[loan_amount]] &gt; 3300000, "larger size (&gt; 33L)")</f>
        <v>medium size (&lt;=33L)</v>
      </c>
      <c r="AM365" s="2">
        <f>IF(Table1[[#This Row],[dpd]] &gt;=30,1,0)</f>
        <v>0</v>
      </c>
      <c r="AN365" s="2">
        <f>COUNTIFS(Table1[Loan size],Table1[[#This Row],[Loan size]],Table1[dpd flag],1)/COUNTIF(Table1[Loan size],Table1[[#This Row],[Loan size]])</f>
        <v>0.15909090909090909</v>
      </c>
      <c r="AO365" s="2" t="str">
        <f>IF(OR(Table1[[#This Row],[credit_score]] &lt; 600, Table1[ [#This Row],[dti_ratio] ] &gt; 0.5, Table1[[#This Row],[dpd]] &gt;=30), "high risk", " not riskY")</f>
        <v>high risk</v>
      </c>
      <c r="AP365" s="26">
        <f>EOMONTH(Table1[[#This Row],[origination_date]],0)</f>
        <v>45900</v>
      </c>
      <c r="AQ365" s="2">
        <f>SUMIFS(Table1[loan_amount],Table1[origination month],Table1[[#This Row],[origination month]])</f>
        <v>21976400</v>
      </c>
      <c r="AR365" s="2">
        <f>AVERAGEIFS(Table1[months_on_book],Table1[product],Table1[[#This Row],[product]])</f>
        <v>20.262135922330096</v>
      </c>
      <c r="AS365" s="2" t="str">
        <f ca="1">IF(EDATE(Table1[[#This Row],[origination_date]],6) &gt;= TODAY(), "New Loan", "Old Loan")</f>
        <v>Old Loan</v>
      </c>
      <c r="AT365" s="2" t="str">
        <f>"Q"&amp;ROUNDUP(MONTH(Table1[[#This Row],[origination_date]])/3,0)&amp;YEAR(Table1[[#This Row],[origination_date]])</f>
        <v>Q32025</v>
      </c>
      <c r="AU365" s="2">
        <f>SUMIFS(Table1[loan_amount],Table1[quarter],Table1[[#This Row],[quarter]])</f>
        <v>59662800</v>
      </c>
      <c r="AV365" s="34" t="str">
        <f>_xlfn.TEXTJOIN("|",TRUE,Table1[[#This Row],[loan_id]:[loan_status]])</f>
        <v>L94424625|C2236671|45888|Auto Loan|Online|North|Salaried|120|1388000|10.56|18776|845703|726|B|0.56|0.73|1905200|4|71356|1336187|0|1|0|Closed</v>
      </c>
      <c r="AW365" s="42">
        <f>YEAR(Loan_Table[ [#This Row],[origination_date] ])</f>
        <v>2025</v>
      </c>
    </row>
    <row r="366" spans="2:49" ht="18" customHeight="1">
      <c r="B366" s="5" t="s">
        <v>852</v>
      </c>
      <c r="C366" s="2" t="s">
        <v>853</v>
      </c>
      <c r="D366" s="3">
        <v>45876</v>
      </c>
      <c r="E366" s="2" t="s">
        <v>177</v>
      </c>
      <c r="F366" s="2" t="s">
        <v>144</v>
      </c>
      <c r="G366" s="2" t="s">
        <v>133</v>
      </c>
      <c r="H366" s="2" t="s">
        <v>134</v>
      </c>
      <c r="I366" s="2">
        <v>24</v>
      </c>
      <c r="J366" s="2">
        <v>1565900</v>
      </c>
      <c r="K366" s="2">
        <v>11.5</v>
      </c>
      <c r="L366" s="2">
        <v>73347</v>
      </c>
      <c r="M366" s="2">
        <v>790838</v>
      </c>
      <c r="N366" s="2">
        <v>722</v>
      </c>
      <c r="O366" s="2" t="s">
        <v>135</v>
      </c>
      <c r="P366" s="2">
        <v>0.51</v>
      </c>
      <c r="Q366" s="2">
        <v>0.72</v>
      </c>
      <c r="R366" s="2">
        <v>0</v>
      </c>
      <c r="S366" s="2">
        <v>4</v>
      </c>
      <c r="T366" s="2">
        <v>266058</v>
      </c>
      <c r="U366" s="2">
        <v>1323852</v>
      </c>
      <c r="V366" s="2">
        <v>45</v>
      </c>
      <c r="W366" s="2">
        <v>0</v>
      </c>
      <c r="X366" s="2">
        <v>0</v>
      </c>
      <c r="Y366" s="2" t="s">
        <v>136</v>
      </c>
      <c r="Z366" s="12">
        <f>SUMIF(Table1[product],Table1[[#This Row],[product]],Table1[loan_amount])</f>
        <v>62765800</v>
      </c>
      <c r="AA366" s="15">
        <f>SUMIF(Table1[region],Table1[[#This Row],[region]],Table1[current_balance])</f>
        <v>94548000</v>
      </c>
      <c r="AB366" s="2">
        <f>COUNTIF(Table1[loan_status],Table1[[#This Row],[loan_status]])</f>
        <v>47</v>
      </c>
      <c r="AC366" s="2">
        <f>COUNTIF(Table1[default_flag],1)/ROWS(Table1[loan_id])</f>
        <v>2.5999999999999999E-2</v>
      </c>
      <c r="AD366" s="2">
        <f>COUNTIFS(Table1[region],Table1[[#This Row],[region]],Table1[default_flag],1)/COUNTIF(Table1[region],Table1[[#This Row],[region]])</f>
        <v>0</v>
      </c>
      <c r="AE366" s="2">
        <f>COUNTIFS(Table1[channel],Table1[[#This Row],[channel]],Table1[prepayment_flag],1)/COUNTIF(Table1[channel],Table1[[#This Row],[channel]])</f>
        <v>5.8201058201058198E-2</v>
      </c>
      <c r="AF366" s="2">
        <f>AVERAGEIFS(Table1[interest_rate_pct],Table1[product],Table1[[#This Row],[product]],Table1[risk_band],Table1[[#This Row],[risk_band]])</f>
        <v>10.832666666666663</v>
      </c>
      <c r="AG366" s="2" t="str" cm="1">
        <f t="array" ref="AG366">_xlfn.IFS(Table1[[#This Row],[dti_ratio]] &lt; 0.2, " less than 0.2", Table1[[#This Row],[dti_ratio]] &lt; 0.3, "0.2 - 0.3", Table1[[#This Row],[dti_ratio]] &lt;= 0.5, "0.35 - 0.5", Table1[[#This Row],[dti_ratio]] &gt; 0.5, "greater than 0.5")</f>
        <v>greater than 0.5</v>
      </c>
      <c r="AH366" s="2">
        <f>COUNTIF(Table1[DTI band],Table1[[#This Row],[DTI band]])</f>
        <v>32</v>
      </c>
      <c r="AI366" s="2" t="str" cm="1">
        <f t="array" ref="AI366">_xlfn.IFS(Table1[[#This Row],[ltv_ratio]] &lt; 0.6, "less than 0.6 -less risky", Table1[[#This Row],[ltv_ratio]]  &lt;= 0.8, "0.6 - 0.8 -medium risky",Table1[[#This Row],[ltv_ratio]] &gt; 0.8, "greater than 0.8 -highly risky")</f>
        <v>0.6 - 0.8 -medium risky</v>
      </c>
      <c r="AJ366" s="2">
        <f>COUNTIF(Table1[LTV band],Table1[[#This Row],[LTV band]])</f>
        <v>302</v>
      </c>
      <c r="AK366" s="2">
        <f>COUNTIFS(Table1[count_loan_perband],Table1[[#This Row],[count_loan_perband]],Table1[default_flag],1)/COUNTIF(Table1[count_loan_perband],Table1[[#This Row],[count_loan_perband]])</f>
        <v>3.6423841059602648E-2</v>
      </c>
      <c r="AL366" s="2" t="str" cm="1">
        <f t="array" ref="AL366">_xlfn.IFS(Table1[[#This Row],[loan_amount]] &lt; 900000, "lower size (&lt; 9L)", Table1[[#This Row],[loan_amount]] &lt;=3300000, "medium size (&lt;=33L)", Table1[[#This Row],[loan_amount]] &gt; 3300000, "larger size (&gt; 33L)")</f>
        <v>medium size (&lt;=33L)</v>
      </c>
      <c r="AM366" s="2">
        <f>IF(Table1[[#This Row],[dpd]] &gt;=30,1,0)</f>
        <v>1</v>
      </c>
      <c r="AN366" s="2">
        <f>COUNTIFS(Table1[Loan size],Table1[[#This Row],[Loan size]],Table1[dpd flag],1)/COUNTIF(Table1[Loan size],Table1[[#This Row],[Loan size]])</f>
        <v>0.15909090909090909</v>
      </c>
      <c r="AO366" s="2" t="str">
        <f>IF(OR(Table1[[#This Row],[credit_score]] &lt; 600, Table1[ [#This Row],[dti_ratio] ] &gt; 0.5, Table1[[#This Row],[dpd]] &gt;=30), "high risk", " not riskY")</f>
        <v>high risk</v>
      </c>
      <c r="AP366" s="26">
        <f>EOMONTH(Table1[[#This Row],[origination_date]],0)</f>
        <v>45900</v>
      </c>
      <c r="AQ366" s="2">
        <f>SUMIFS(Table1[loan_amount],Table1[origination month],Table1[[#This Row],[origination month]])</f>
        <v>21976400</v>
      </c>
      <c r="AR366" s="2">
        <f>AVERAGEIFS(Table1[months_on_book],Table1[product],Table1[[#This Row],[product]])</f>
        <v>21.962962962962962</v>
      </c>
      <c r="AS366" s="2" t="str">
        <f ca="1">IF(EDATE(Table1[[#This Row],[origination_date]],6) &gt;= TODAY(), "New Loan", "Old Loan")</f>
        <v>Old Loan</v>
      </c>
      <c r="AT366" s="2" t="str">
        <f>"Q"&amp;ROUNDUP(MONTH(Table1[[#This Row],[origination_date]])/3,0)&amp;YEAR(Table1[[#This Row],[origination_date]])</f>
        <v>Q32025</v>
      </c>
      <c r="AU366" s="2">
        <f>SUMIFS(Table1[loan_amount],Table1[quarter],Table1[[#This Row],[quarter]])</f>
        <v>59662800</v>
      </c>
      <c r="AV366" s="34" t="str">
        <f>_xlfn.TEXTJOIN("|",TRUE,Table1[[#This Row],[loan_id]:[loan_status]])</f>
        <v>L27991738|C7651386|45876|Education Loan|Branch|South|Salaried|24|1565900|11.5|73347|790838|722|B|0.51|0.72|0|4|266058|1323852|45|0|0|Delinquent</v>
      </c>
      <c r="AW366" s="42">
        <f>YEAR(Loan_Table[ [#This Row],[origination_date] ])</f>
        <v>2025</v>
      </c>
    </row>
    <row r="367" spans="2:49" ht="18" customHeight="1">
      <c r="B367" s="5" t="s">
        <v>854</v>
      </c>
      <c r="C367" s="2" t="s">
        <v>855</v>
      </c>
      <c r="D367" s="3">
        <v>45928</v>
      </c>
      <c r="E367" s="2" t="s">
        <v>163</v>
      </c>
      <c r="F367" s="2" t="s">
        <v>132</v>
      </c>
      <c r="G367" s="2" t="s">
        <v>133</v>
      </c>
      <c r="H367" s="2" t="s">
        <v>152</v>
      </c>
      <c r="I367" s="2">
        <v>360</v>
      </c>
      <c r="J367" s="2">
        <v>1174400</v>
      </c>
      <c r="K367" s="2">
        <v>13.85</v>
      </c>
      <c r="L367" s="2">
        <v>13776</v>
      </c>
      <c r="M367" s="2">
        <v>1299284</v>
      </c>
      <c r="N367" s="2">
        <v>647</v>
      </c>
      <c r="O367" s="2" t="s">
        <v>147</v>
      </c>
      <c r="P367" s="2">
        <v>0.47</v>
      </c>
      <c r="Q367" s="2">
        <v>0.65</v>
      </c>
      <c r="R367" s="2">
        <v>1806700</v>
      </c>
      <c r="S367" s="2">
        <v>3</v>
      </c>
      <c r="T367" s="2">
        <v>42017</v>
      </c>
      <c r="U367" s="2">
        <v>1148648</v>
      </c>
      <c r="V367" s="2">
        <v>10</v>
      </c>
      <c r="W367" s="2">
        <v>0</v>
      </c>
      <c r="X367" s="2">
        <v>0</v>
      </c>
      <c r="Y367" s="2" t="s">
        <v>148</v>
      </c>
      <c r="Z367" s="12">
        <f>SUMIF(Table1[product],Table1[[#This Row],[product]],Table1[loan_amount])</f>
        <v>92273000</v>
      </c>
      <c r="AA367" s="15">
        <f>SUMIF(Table1[region],Table1[[#This Row],[region]],Table1[current_balance])</f>
        <v>94548000</v>
      </c>
      <c r="AB367" s="2">
        <f>COUNTIF(Table1[loan_status],Table1[[#This Row],[loan_status]])</f>
        <v>301</v>
      </c>
      <c r="AC367" s="2">
        <f>COUNTIF(Table1[default_flag],1)/ROWS(Table1[loan_id])</f>
        <v>2.5999999999999999E-2</v>
      </c>
      <c r="AD367" s="2">
        <f>COUNTIFS(Table1[region],Table1[[#This Row],[region]],Table1[default_flag],1)/COUNTIF(Table1[region],Table1[[#This Row],[region]])</f>
        <v>0</v>
      </c>
      <c r="AE367" s="2">
        <f>COUNTIFS(Table1[channel],Table1[[#This Row],[channel]],Table1[prepayment_flag],1)/COUNTIF(Table1[channel],Table1[[#This Row],[channel]])</f>
        <v>7.1090047393364927E-2</v>
      </c>
      <c r="AF367" s="2">
        <f>AVERAGEIFS(Table1[interest_rate_pct],Table1[product],Table1[[#This Row],[product]],Table1[risk_band],Table1[[#This Row],[risk_band]])</f>
        <v>15.092000000000001</v>
      </c>
      <c r="AG367" s="2" t="str" cm="1">
        <f t="array" ref="AG367">_xlfn.IFS(Table1[[#This Row],[dti_ratio]] &lt; 0.2, " less than 0.2", Table1[[#This Row],[dti_ratio]] &lt; 0.3, "0.2 - 0.3", Table1[[#This Row],[dti_ratio]] &lt;= 0.5, "0.35 - 0.5", Table1[[#This Row],[dti_ratio]] &gt; 0.5, "greater than 0.5")</f>
        <v>0.35 - 0.5</v>
      </c>
      <c r="AH367" s="2">
        <f>COUNTIF(Table1[DTI band],Table1[[#This Row],[DTI band]])</f>
        <v>260</v>
      </c>
      <c r="AI367" s="2" t="str" cm="1">
        <f t="array" ref="AI367">_xlfn.IFS(Table1[[#This Row],[ltv_ratio]] &lt; 0.6, "less than 0.6 -less risky", Table1[[#This Row],[ltv_ratio]]  &lt;= 0.8, "0.6 - 0.8 -medium risky",Table1[[#This Row],[ltv_ratio]] &gt; 0.8, "greater than 0.8 -highly risky")</f>
        <v>0.6 - 0.8 -medium risky</v>
      </c>
      <c r="AJ367" s="2">
        <f>COUNTIF(Table1[LTV band],Table1[[#This Row],[LTV band]])</f>
        <v>302</v>
      </c>
      <c r="AK367" s="2">
        <f>COUNTIFS(Table1[count_loan_perband],Table1[[#This Row],[count_loan_perband]],Table1[default_flag],1)/COUNTIF(Table1[count_loan_perband],Table1[[#This Row],[count_loan_perband]])</f>
        <v>3.6423841059602648E-2</v>
      </c>
      <c r="AL367" s="2" t="str" cm="1">
        <f t="array" ref="AL367">_xlfn.IFS(Table1[[#This Row],[loan_amount]] &lt; 900000, "lower size (&lt; 9L)", Table1[[#This Row],[loan_amount]] &lt;=3300000, "medium size (&lt;=33L)", Table1[[#This Row],[loan_amount]] &gt; 3300000, "larger size (&gt; 33L)")</f>
        <v>medium size (&lt;=33L)</v>
      </c>
      <c r="AM367" s="2">
        <f>IF(Table1[[#This Row],[dpd]] &gt;=30,1,0)</f>
        <v>0</v>
      </c>
      <c r="AN367" s="2">
        <f>COUNTIFS(Table1[Loan size],Table1[[#This Row],[Loan size]],Table1[dpd flag],1)/COUNTIF(Table1[Loan size],Table1[[#This Row],[Loan size]])</f>
        <v>0.15909090909090909</v>
      </c>
      <c r="AO367" s="2" t="str">
        <f>IF(OR(Table1[[#This Row],[credit_score]] &lt; 600, Table1[ [#This Row],[dti_ratio] ] &gt; 0.5, Table1[[#This Row],[dpd]] &gt;=30), "high risk", " not riskY")</f>
        <v xml:space="preserve"> not riskY</v>
      </c>
      <c r="AP367" s="26">
        <f>EOMONTH(Table1[[#This Row],[origination_date]],0)</f>
        <v>45930</v>
      </c>
      <c r="AQ367" s="2">
        <f>SUMIFS(Table1[loan_amount],Table1[origination month],Table1[[#This Row],[origination month]])</f>
        <v>8810700</v>
      </c>
      <c r="AR367" s="2">
        <f>AVERAGEIFS(Table1[months_on_book],Table1[product],Table1[[#This Row],[product]])</f>
        <v>20.262135922330096</v>
      </c>
      <c r="AS367" s="2" t="str">
        <f ca="1">IF(EDATE(Table1[[#This Row],[origination_date]],6) &gt;= TODAY(), "New Loan", "Old Loan")</f>
        <v>New Loan</v>
      </c>
      <c r="AT367" s="2" t="str">
        <f>"Q"&amp;ROUNDUP(MONTH(Table1[[#This Row],[origination_date]])/3,0)&amp;YEAR(Table1[[#This Row],[origination_date]])</f>
        <v>Q32025</v>
      </c>
      <c r="AU367" s="2">
        <f>SUMIFS(Table1[loan_amount],Table1[quarter],Table1[[#This Row],[quarter]])</f>
        <v>59662800</v>
      </c>
      <c r="AV367" s="34" t="str">
        <f>_xlfn.TEXTJOIN("|",TRUE,Table1[[#This Row],[loan_id]:[loan_status]])</f>
        <v>L45782037|C5575174|45928|Auto Loan|Online|South|Self-Employed|360|1174400|13.85|13776|1299284|647|D|0.47|0.65|1806700|3|42017|1148648|10|0|0|Active</v>
      </c>
      <c r="AW367" s="42">
        <f>YEAR(Loan_Table[ [#This Row],[origination_date] ])</f>
        <v>2025</v>
      </c>
    </row>
    <row r="368" spans="2:49" ht="18" customHeight="1">
      <c r="B368" s="5" t="s">
        <v>856</v>
      </c>
      <c r="C368" s="2" t="s">
        <v>857</v>
      </c>
      <c r="D368" s="3">
        <v>45907</v>
      </c>
      <c r="E368" s="2" t="s">
        <v>163</v>
      </c>
      <c r="F368" s="2" t="s">
        <v>144</v>
      </c>
      <c r="G368" s="2" t="s">
        <v>145</v>
      </c>
      <c r="H368" s="2" t="s">
        <v>152</v>
      </c>
      <c r="I368" s="2">
        <v>120</v>
      </c>
      <c r="J368" s="2">
        <v>1203000</v>
      </c>
      <c r="K368" s="2">
        <v>15.32</v>
      </c>
      <c r="L368" s="2">
        <v>19645</v>
      </c>
      <c r="M368" s="2">
        <v>748230</v>
      </c>
      <c r="N368" s="2">
        <v>631</v>
      </c>
      <c r="O368" s="2" t="s">
        <v>147</v>
      </c>
      <c r="P368" s="2">
        <v>0.44</v>
      </c>
      <c r="Q368" s="2">
        <v>0.79</v>
      </c>
      <c r="R368" s="2">
        <v>1519200</v>
      </c>
      <c r="S368" s="2">
        <v>3</v>
      </c>
      <c r="T368" s="2">
        <v>51015</v>
      </c>
      <c r="U368" s="2">
        <v>1170415</v>
      </c>
      <c r="V368" s="2">
        <v>0</v>
      </c>
      <c r="W368" s="2">
        <v>0</v>
      </c>
      <c r="X368" s="2">
        <v>0</v>
      </c>
      <c r="Y368" s="2" t="s">
        <v>148</v>
      </c>
      <c r="Z368" s="12">
        <f>SUMIF(Table1[product],Table1[[#This Row],[product]],Table1[loan_amount])</f>
        <v>92273000</v>
      </c>
      <c r="AA368" s="15">
        <f>SUMIF(Table1[region],Table1[[#This Row],[region]],Table1[current_balance])</f>
        <v>98928695</v>
      </c>
      <c r="AB368" s="2">
        <f>COUNTIF(Table1[loan_status],Table1[[#This Row],[loan_status]])</f>
        <v>301</v>
      </c>
      <c r="AC368" s="2">
        <f>COUNTIF(Table1[default_flag],1)/ROWS(Table1[loan_id])</f>
        <v>2.5999999999999999E-2</v>
      </c>
      <c r="AD368" s="2">
        <f>COUNTIFS(Table1[region],Table1[[#This Row],[region]],Table1[default_flag],1)/COUNTIF(Table1[region],Table1[[#This Row],[region]])</f>
        <v>2.8571428571428571E-2</v>
      </c>
      <c r="AE368" s="2">
        <f>COUNTIFS(Table1[channel],Table1[[#This Row],[channel]],Table1[prepayment_flag],1)/COUNTIF(Table1[channel],Table1[[#This Row],[channel]])</f>
        <v>5.8201058201058198E-2</v>
      </c>
      <c r="AF368" s="2">
        <f>AVERAGEIFS(Table1[interest_rate_pct],Table1[product],Table1[[#This Row],[product]],Table1[risk_band],Table1[[#This Row],[risk_band]])</f>
        <v>15.092000000000001</v>
      </c>
      <c r="AG368" s="2" t="str" cm="1">
        <f t="array" ref="AG368">_xlfn.IFS(Table1[[#This Row],[dti_ratio]] &lt; 0.2, " less than 0.2", Table1[[#This Row],[dti_ratio]] &lt; 0.3, "0.2 - 0.3", Table1[[#This Row],[dti_ratio]] &lt;= 0.5, "0.35 - 0.5", Table1[[#This Row],[dti_ratio]] &gt; 0.5, "greater than 0.5")</f>
        <v>0.35 - 0.5</v>
      </c>
      <c r="AH368" s="2">
        <f>COUNTIF(Table1[DTI band],Table1[[#This Row],[DTI band]])</f>
        <v>260</v>
      </c>
      <c r="AI368" s="2" t="str" cm="1">
        <f t="array" ref="AI368">_xlfn.IFS(Table1[[#This Row],[ltv_ratio]] &lt; 0.6, "less than 0.6 -less risky", Table1[[#This Row],[ltv_ratio]]  &lt;= 0.8, "0.6 - 0.8 -medium risky",Table1[[#This Row],[ltv_ratio]] &gt; 0.8, "greater than 0.8 -highly risky")</f>
        <v>0.6 - 0.8 -medium risky</v>
      </c>
      <c r="AJ368" s="2">
        <f>COUNTIF(Table1[LTV band],Table1[[#This Row],[LTV band]])</f>
        <v>302</v>
      </c>
      <c r="AK368" s="2">
        <f>COUNTIFS(Table1[count_loan_perband],Table1[[#This Row],[count_loan_perband]],Table1[default_flag],1)/COUNTIF(Table1[count_loan_perband],Table1[[#This Row],[count_loan_perband]])</f>
        <v>3.6423841059602648E-2</v>
      </c>
      <c r="AL368" s="2" t="str" cm="1">
        <f t="array" ref="AL368">_xlfn.IFS(Table1[[#This Row],[loan_amount]] &lt; 900000, "lower size (&lt; 9L)", Table1[[#This Row],[loan_amount]] &lt;=3300000, "medium size (&lt;=33L)", Table1[[#This Row],[loan_amount]] &gt; 3300000, "larger size (&gt; 33L)")</f>
        <v>medium size (&lt;=33L)</v>
      </c>
      <c r="AM368" s="2">
        <f>IF(Table1[[#This Row],[dpd]] &gt;=30,1,0)</f>
        <v>0</v>
      </c>
      <c r="AN368" s="2">
        <f>COUNTIFS(Table1[Loan size],Table1[[#This Row],[Loan size]],Table1[dpd flag],1)/COUNTIF(Table1[Loan size],Table1[[#This Row],[Loan size]])</f>
        <v>0.15909090909090909</v>
      </c>
      <c r="AO368" s="2" t="str">
        <f>IF(OR(Table1[[#This Row],[credit_score]] &lt; 600, Table1[ [#This Row],[dti_ratio] ] &gt; 0.5, Table1[[#This Row],[dpd]] &gt;=30), "high risk", " not riskY")</f>
        <v xml:space="preserve"> not riskY</v>
      </c>
      <c r="AP368" s="26">
        <f>EOMONTH(Table1[[#This Row],[origination_date]],0)</f>
        <v>45930</v>
      </c>
      <c r="AQ368" s="2">
        <f>SUMIFS(Table1[loan_amount],Table1[origination month],Table1[[#This Row],[origination month]])</f>
        <v>8810700</v>
      </c>
      <c r="AR368" s="2">
        <f>AVERAGEIFS(Table1[months_on_book],Table1[product],Table1[[#This Row],[product]])</f>
        <v>20.262135922330096</v>
      </c>
      <c r="AS368" s="2" t="str">
        <f ca="1">IF(EDATE(Table1[[#This Row],[origination_date]],6) &gt;= TODAY(), "New Loan", "Old Loan")</f>
        <v>New Loan</v>
      </c>
      <c r="AT368" s="2" t="str">
        <f>"Q"&amp;ROUNDUP(MONTH(Table1[[#This Row],[origination_date]])/3,0)&amp;YEAR(Table1[[#This Row],[origination_date]])</f>
        <v>Q32025</v>
      </c>
      <c r="AU368" s="2">
        <f>SUMIFS(Table1[loan_amount],Table1[quarter],Table1[[#This Row],[quarter]])</f>
        <v>59662800</v>
      </c>
      <c r="AV368" s="34" t="str">
        <f>_xlfn.TEXTJOIN("|",TRUE,Table1[[#This Row],[loan_id]:[loan_status]])</f>
        <v>L69836577|C9702851|45907|Auto Loan|Branch|Central|Self-Employed|120|1203000|15.32|19645|748230|631|D|0.44|0.79|1519200|3|51015|1170415|0|0|0|Active</v>
      </c>
      <c r="AW368" s="42">
        <f>YEAR(Loan_Table[ [#This Row],[origination_date] ])</f>
        <v>2025</v>
      </c>
    </row>
    <row r="369" spans="2:49" ht="18" customHeight="1">
      <c r="B369" s="5" t="s">
        <v>858</v>
      </c>
      <c r="C369" s="2" t="s">
        <v>859</v>
      </c>
      <c r="D369" s="3">
        <v>45842</v>
      </c>
      <c r="E369" s="2" t="s">
        <v>163</v>
      </c>
      <c r="F369" s="2" t="s">
        <v>144</v>
      </c>
      <c r="G369" s="2" t="s">
        <v>139</v>
      </c>
      <c r="H369" s="2" t="s">
        <v>134</v>
      </c>
      <c r="I369" s="2">
        <v>18</v>
      </c>
      <c r="J369" s="2">
        <v>1182600</v>
      </c>
      <c r="K369" s="2">
        <v>16.7</v>
      </c>
      <c r="L369" s="2">
        <v>74726</v>
      </c>
      <c r="M369" s="2">
        <v>735547</v>
      </c>
      <c r="N369" s="2">
        <v>602</v>
      </c>
      <c r="O369" s="2" t="s">
        <v>147</v>
      </c>
      <c r="P369" s="2">
        <v>0.43</v>
      </c>
      <c r="Q369" s="2">
        <v>0.81</v>
      </c>
      <c r="R369" s="2">
        <v>1468900</v>
      </c>
      <c r="S369" s="2">
        <v>5</v>
      </c>
      <c r="T369" s="2">
        <v>328424</v>
      </c>
      <c r="U369" s="2">
        <v>887092</v>
      </c>
      <c r="V369" s="2">
        <v>0</v>
      </c>
      <c r="W369" s="2">
        <v>1</v>
      </c>
      <c r="X369" s="2">
        <v>0</v>
      </c>
      <c r="Y369" s="2" t="s">
        <v>141</v>
      </c>
      <c r="Z369" s="12">
        <f>SUMIF(Table1[product],Table1[[#This Row],[product]],Table1[loan_amount])</f>
        <v>92273000</v>
      </c>
      <c r="AA369" s="15">
        <f>SUMIF(Table1[region],Table1[[#This Row],[region]],Table1[current_balance])</f>
        <v>83903255</v>
      </c>
      <c r="AB369" s="2">
        <f>COUNTIF(Table1[loan_status],Table1[[#This Row],[loan_status]])</f>
        <v>139</v>
      </c>
      <c r="AC369" s="2">
        <f>COUNTIF(Table1[default_flag],1)/ROWS(Table1[loan_id])</f>
        <v>2.5999999999999999E-2</v>
      </c>
      <c r="AD369" s="2">
        <f>COUNTIFS(Table1[region],Table1[[#This Row],[region]],Table1[default_flag],1)/COUNTIF(Table1[region],Table1[[#This Row],[region]])</f>
        <v>4.2553191489361701E-2</v>
      </c>
      <c r="AE369" s="2">
        <f>COUNTIFS(Table1[channel],Table1[[#This Row],[channel]],Table1[prepayment_flag],1)/COUNTIF(Table1[channel],Table1[[#This Row],[channel]])</f>
        <v>5.8201058201058198E-2</v>
      </c>
      <c r="AF369" s="2">
        <f>AVERAGEIFS(Table1[interest_rate_pct],Table1[product],Table1[[#This Row],[product]],Table1[risk_band],Table1[[#This Row],[risk_band]])</f>
        <v>15.092000000000001</v>
      </c>
      <c r="AG369" s="2" t="str" cm="1">
        <f t="array" ref="AG369">_xlfn.IFS(Table1[[#This Row],[dti_ratio]] &lt; 0.2, " less than 0.2", Table1[[#This Row],[dti_ratio]] &lt; 0.3, "0.2 - 0.3", Table1[[#This Row],[dti_ratio]] &lt;= 0.5, "0.35 - 0.5", Table1[[#This Row],[dti_ratio]] &gt; 0.5, "greater than 0.5")</f>
        <v>0.35 - 0.5</v>
      </c>
      <c r="AH369" s="2">
        <f>COUNTIF(Table1[DTI band],Table1[[#This Row],[DTI band]])</f>
        <v>260</v>
      </c>
      <c r="AI369" s="2" t="str" cm="1">
        <f t="array" ref="AI369">_xlfn.IFS(Table1[[#This Row],[ltv_ratio]] &lt; 0.6, "less than 0.6 -less risky", Table1[[#This Row],[ltv_ratio]]  &lt;= 0.8, "0.6 - 0.8 -medium risky",Table1[[#This Row],[ltv_ratio]] &gt; 0.8, "greater than 0.8 -highly risky")</f>
        <v>greater than 0.8 -highly risky</v>
      </c>
      <c r="AJ369" s="2">
        <f>COUNTIF(Table1[LTV band],Table1[[#This Row],[LTV band]])</f>
        <v>141</v>
      </c>
      <c r="AK369" s="2">
        <f>COUNTIFS(Table1[count_loan_perband],Table1[[#This Row],[count_loan_perband]],Table1[default_flag],1)/COUNTIF(Table1[count_loan_perband],Table1[[#This Row],[count_loan_perband]])</f>
        <v>1.4184397163120567E-2</v>
      </c>
      <c r="AL369" s="2" t="str" cm="1">
        <f t="array" ref="AL369">_xlfn.IFS(Table1[[#This Row],[loan_amount]] &lt; 900000, "lower size (&lt; 9L)", Table1[[#This Row],[loan_amount]] &lt;=3300000, "medium size (&lt;=33L)", Table1[[#This Row],[loan_amount]] &gt; 3300000, "larger size (&gt; 33L)")</f>
        <v>medium size (&lt;=33L)</v>
      </c>
      <c r="AM369" s="2">
        <f>IF(Table1[[#This Row],[dpd]] &gt;=30,1,0)</f>
        <v>0</v>
      </c>
      <c r="AN369" s="2">
        <f>COUNTIFS(Table1[Loan size],Table1[[#This Row],[Loan size]],Table1[dpd flag],1)/COUNTIF(Table1[Loan size],Table1[[#This Row],[Loan size]])</f>
        <v>0.15909090909090909</v>
      </c>
      <c r="AO369" s="2" t="str">
        <f>IF(OR(Table1[[#This Row],[credit_score]] &lt; 600, Table1[ [#This Row],[dti_ratio] ] &gt; 0.5, Table1[[#This Row],[dpd]] &gt;=30), "high risk", " not riskY")</f>
        <v xml:space="preserve"> not riskY</v>
      </c>
      <c r="AP369" s="26">
        <f>EOMONTH(Table1[[#This Row],[origination_date]],0)</f>
        <v>45869</v>
      </c>
      <c r="AQ369" s="2">
        <f>SUMIFS(Table1[loan_amount],Table1[origination month],Table1[[#This Row],[origination month]])</f>
        <v>28875700</v>
      </c>
      <c r="AR369" s="2">
        <f>AVERAGEIFS(Table1[months_on_book],Table1[product],Table1[[#This Row],[product]])</f>
        <v>20.262135922330096</v>
      </c>
      <c r="AS369" s="2" t="str">
        <f ca="1">IF(EDATE(Table1[[#This Row],[origination_date]],6) &gt;= TODAY(), "New Loan", "Old Loan")</f>
        <v>Old Loan</v>
      </c>
      <c r="AT369" s="2" t="str">
        <f>"Q"&amp;ROUNDUP(MONTH(Table1[[#This Row],[origination_date]])/3,0)&amp;YEAR(Table1[[#This Row],[origination_date]])</f>
        <v>Q32025</v>
      </c>
      <c r="AU369" s="2">
        <f>SUMIFS(Table1[loan_amount],Table1[quarter],Table1[[#This Row],[quarter]])</f>
        <v>59662800</v>
      </c>
      <c r="AV369" s="34" t="str">
        <f>_xlfn.TEXTJOIN("|",TRUE,Table1[[#This Row],[loan_id]:[loan_status]])</f>
        <v>L10892457|C9265977|45842|Auto Loan|Branch|West|Salaried|18|1182600|16.7|74726|735547|602|D|0.43|0.81|1468900|5|328424|887092|0|1|0|Closed</v>
      </c>
      <c r="AW369" s="42">
        <f>YEAR(Loan_Table[ [#This Row],[origination_date] ])</f>
        <v>2025</v>
      </c>
    </row>
    <row r="370" spans="2:49" ht="18" customHeight="1">
      <c r="B370" s="5" t="s">
        <v>860</v>
      </c>
      <c r="C370" s="2" t="s">
        <v>861</v>
      </c>
      <c r="D370" s="3">
        <v>45894</v>
      </c>
      <c r="E370" s="2" t="s">
        <v>131</v>
      </c>
      <c r="F370" s="2" t="s">
        <v>132</v>
      </c>
      <c r="G370" s="2" t="s">
        <v>151</v>
      </c>
      <c r="H370" s="2" t="s">
        <v>134</v>
      </c>
      <c r="I370" s="2">
        <v>240</v>
      </c>
      <c r="J370" s="2">
        <v>359200</v>
      </c>
      <c r="K370" s="2">
        <v>21.21</v>
      </c>
      <c r="L370" s="2">
        <v>6445</v>
      </c>
      <c r="M370" s="2">
        <v>940227</v>
      </c>
      <c r="N370" s="2">
        <v>604</v>
      </c>
      <c r="O370" s="2" t="s">
        <v>147</v>
      </c>
      <c r="P370" s="2">
        <v>0.41</v>
      </c>
      <c r="Q370" s="2">
        <v>0.9</v>
      </c>
      <c r="R370" s="2">
        <v>0</v>
      </c>
      <c r="S370" s="2">
        <v>4</v>
      </c>
      <c r="T370" s="2">
        <v>26055</v>
      </c>
      <c r="U370" s="2">
        <v>343303</v>
      </c>
      <c r="V370" s="2">
        <v>0</v>
      </c>
      <c r="W370" s="2">
        <v>0</v>
      </c>
      <c r="X370" s="2">
        <v>0</v>
      </c>
      <c r="Y370" s="2" t="s">
        <v>148</v>
      </c>
      <c r="Z370" s="12">
        <f>SUMIF(Table1[product],Table1[[#This Row],[product]],Table1[loan_amount])</f>
        <v>74897600</v>
      </c>
      <c r="AA370" s="15">
        <f>SUMIF(Table1[region],Table1[[#This Row],[region]],Table1[current_balance])</f>
        <v>105779369</v>
      </c>
      <c r="AB370" s="2">
        <f>COUNTIF(Table1[loan_status],Table1[[#This Row],[loan_status]])</f>
        <v>301</v>
      </c>
      <c r="AC370" s="2">
        <f>COUNTIF(Table1[default_flag],1)/ROWS(Table1[loan_id])</f>
        <v>2.5999999999999999E-2</v>
      </c>
      <c r="AD370" s="2">
        <f>COUNTIFS(Table1[region],Table1[[#This Row],[region]],Table1[default_flag],1)/COUNTIF(Table1[region],Table1[[#This Row],[region]])</f>
        <v>2.6548672566371681E-2</v>
      </c>
      <c r="AE370" s="2">
        <f>COUNTIFS(Table1[channel],Table1[[#This Row],[channel]],Table1[prepayment_flag],1)/COUNTIF(Table1[channel],Table1[[#This Row],[channel]])</f>
        <v>7.1090047393364927E-2</v>
      </c>
      <c r="AF370" s="2">
        <f>AVERAGEIFS(Table1[interest_rate_pct],Table1[product],Table1[[#This Row],[product]],Table1[risk_band],Table1[[#This Row],[risk_band]])</f>
        <v>20.962592592592593</v>
      </c>
      <c r="AG370" s="2" t="str" cm="1">
        <f t="array" ref="AG370">_xlfn.IFS(Table1[[#This Row],[dti_ratio]] &lt; 0.2, " less than 0.2", Table1[[#This Row],[dti_ratio]] &lt; 0.3, "0.2 - 0.3", Table1[[#This Row],[dti_ratio]] &lt;= 0.5, "0.35 - 0.5", Table1[[#This Row],[dti_ratio]] &gt; 0.5, "greater than 0.5")</f>
        <v>0.35 - 0.5</v>
      </c>
      <c r="AH370" s="2">
        <f>COUNTIF(Table1[DTI band],Table1[[#This Row],[DTI band]])</f>
        <v>260</v>
      </c>
      <c r="AI370" s="2" t="str" cm="1">
        <f t="array" ref="AI370">_xlfn.IFS(Table1[[#This Row],[ltv_ratio]] &lt; 0.6, "less than 0.6 -less risky", Table1[[#This Row],[ltv_ratio]]  &lt;= 0.8, "0.6 - 0.8 -medium risky",Table1[[#This Row],[ltv_ratio]] &gt; 0.8, "greater than 0.8 -highly risky")</f>
        <v>greater than 0.8 -highly risky</v>
      </c>
      <c r="AJ370" s="2">
        <f>COUNTIF(Table1[LTV band],Table1[[#This Row],[LTV band]])</f>
        <v>141</v>
      </c>
      <c r="AK370" s="2">
        <f>COUNTIFS(Table1[count_loan_perband],Table1[[#This Row],[count_loan_perband]],Table1[default_flag],1)/COUNTIF(Table1[count_loan_perband],Table1[[#This Row],[count_loan_perband]])</f>
        <v>1.4184397163120567E-2</v>
      </c>
      <c r="AL370" s="2" t="str" cm="1">
        <f t="array" ref="AL370">_xlfn.IFS(Table1[[#This Row],[loan_amount]] &lt; 900000, "lower size (&lt; 9L)", Table1[[#This Row],[loan_amount]] &lt;=3300000, "medium size (&lt;=33L)", Table1[[#This Row],[loan_amount]] &gt; 3300000, "larger size (&gt; 33L)")</f>
        <v>lower size (&lt; 9L)</v>
      </c>
      <c r="AM370" s="2">
        <f>IF(Table1[[#This Row],[dpd]] &gt;=30,1,0)</f>
        <v>0</v>
      </c>
      <c r="AN370" s="2">
        <f>COUNTIFS(Table1[Loan size],Table1[[#This Row],[Loan size]],Table1[dpd flag],1)/COUNTIF(Table1[Loan size],Table1[[#This Row],[Loan size]])</f>
        <v>0.13934426229508196</v>
      </c>
      <c r="AO370" s="2" t="str">
        <f>IF(OR(Table1[[#This Row],[credit_score]] &lt; 600, Table1[ [#This Row],[dti_ratio] ] &gt; 0.5, Table1[[#This Row],[dpd]] &gt;=30), "high risk", " not riskY")</f>
        <v xml:space="preserve"> not riskY</v>
      </c>
      <c r="AP370" s="26">
        <f>EOMONTH(Table1[[#This Row],[origination_date]],0)</f>
        <v>45900</v>
      </c>
      <c r="AQ370" s="2">
        <f>SUMIFS(Table1[loan_amount],Table1[origination month],Table1[[#This Row],[origination month]])</f>
        <v>21976400</v>
      </c>
      <c r="AR370" s="2">
        <f>AVERAGEIFS(Table1[months_on_book],Table1[product],Table1[[#This Row],[product]])</f>
        <v>21.092024539877301</v>
      </c>
      <c r="AS370" s="2" t="str">
        <f ca="1">IF(EDATE(Table1[[#This Row],[origination_date]],6) &gt;= TODAY(), "New Loan", "Old Loan")</f>
        <v>Old Loan</v>
      </c>
      <c r="AT370" s="2" t="str">
        <f>"Q"&amp;ROUNDUP(MONTH(Table1[[#This Row],[origination_date]])/3,0)&amp;YEAR(Table1[[#This Row],[origination_date]])</f>
        <v>Q32025</v>
      </c>
      <c r="AU370" s="2">
        <f>SUMIFS(Table1[loan_amount],Table1[quarter],Table1[[#This Row],[quarter]])</f>
        <v>59662800</v>
      </c>
      <c r="AV370" s="34" t="str">
        <f>_xlfn.TEXTJOIN("|",TRUE,Table1[[#This Row],[loan_id]:[loan_status]])</f>
        <v>L12052348|C1044015|45894|Personal Loan|Online|North|Salaried|240|359200|21.21|6445|940227|604|D|0.41|0.9|0|4|26055|343303|0|0|0|Active</v>
      </c>
      <c r="AW370" s="42">
        <f>YEAR(Loan_Table[ [#This Row],[origination_date] ])</f>
        <v>2025</v>
      </c>
    </row>
    <row r="371" spans="2:49" ht="18" customHeight="1">
      <c r="B371" s="5" t="s">
        <v>862</v>
      </c>
      <c r="C371" s="2" t="s">
        <v>863</v>
      </c>
      <c r="D371" s="3">
        <v>45885</v>
      </c>
      <c r="E371" s="2" t="s">
        <v>131</v>
      </c>
      <c r="F371" s="2" t="s">
        <v>159</v>
      </c>
      <c r="G371" s="2" t="s">
        <v>139</v>
      </c>
      <c r="H371" s="2" t="s">
        <v>134</v>
      </c>
      <c r="I371" s="2">
        <v>18</v>
      </c>
      <c r="J371" s="2">
        <v>279300</v>
      </c>
      <c r="K371" s="2">
        <v>9.33</v>
      </c>
      <c r="L371" s="2">
        <v>16688</v>
      </c>
      <c r="M371" s="2">
        <v>689489</v>
      </c>
      <c r="N371" s="2">
        <v>843</v>
      </c>
      <c r="O371" s="2" t="s">
        <v>160</v>
      </c>
      <c r="P371" s="2">
        <v>0.38</v>
      </c>
      <c r="Q371" s="2">
        <v>0.79</v>
      </c>
      <c r="R371" s="2">
        <v>0</v>
      </c>
      <c r="S371" s="2">
        <v>4</v>
      </c>
      <c r="T371" s="2">
        <v>60345</v>
      </c>
      <c r="U371" s="2">
        <v>222429</v>
      </c>
      <c r="V371" s="2">
        <v>0</v>
      </c>
      <c r="W371" s="2">
        <v>0</v>
      </c>
      <c r="X371" s="2">
        <v>0</v>
      </c>
      <c r="Y371" s="2" t="s">
        <v>148</v>
      </c>
      <c r="Z371" s="12">
        <f>SUMIF(Table1[product],Table1[[#This Row],[product]],Table1[loan_amount])</f>
        <v>74897600</v>
      </c>
      <c r="AA371" s="15">
        <f>SUMIF(Table1[region],Table1[[#This Row],[region]],Table1[current_balance])</f>
        <v>83903255</v>
      </c>
      <c r="AB371" s="2">
        <f>COUNTIF(Table1[loan_status],Table1[[#This Row],[loan_status]])</f>
        <v>301</v>
      </c>
      <c r="AC371" s="2">
        <f>COUNTIF(Table1[default_flag],1)/ROWS(Table1[loan_id])</f>
        <v>2.5999999999999999E-2</v>
      </c>
      <c r="AD371" s="2">
        <f>COUNTIFS(Table1[region],Table1[[#This Row],[region]],Table1[default_flag],1)/COUNTIF(Table1[region],Table1[[#This Row],[region]])</f>
        <v>4.2553191489361701E-2</v>
      </c>
      <c r="AE371" s="2">
        <f>COUNTIFS(Table1[channel],Table1[[#This Row],[channel]],Table1[prepayment_flag],1)/COUNTIF(Table1[channel],Table1[[#This Row],[channel]])</f>
        <v>0.1</v>
      </c>
      <c r="AF371" s="2">
        <f>AVERAGEIFS(Table1[interest_rate_pct],Table1[product],Table1[[#This Row],[product]],Table1[risk_band],Table1[[#This Row],[risk_band]])</f>
        <v>13.328333333333335</v>
      </c>
      <c r="AG371" s="2" t="str" cm="1">
        <f t="array" ref="AG371">_xlfn.IFS(Table1[[#This Row],[dti_ratio]] &lt; 0.2, " less than 0.2", Table1[[#This Row],[dti_ratio]] &lt; 0.3, "0.2 - 0.3", Table1[[#This Row],[dti_ratio]] &lt;= 0.5, "0.35 - 0.5", Table1[[#This Row],[dti_ratio]] &gt; 0.5, "greater than 0.5")</f>
        <v>0.35 - 0.5</v>
      </c>
      <c r="AH371" s="2">
        <f>COUNTIF(Table1[DTI band],Table1[[#This Row],[DTI band]])</f>
        <v>260</v>
      </c>
      <c r="AI371" s="2" t="str" cm="1">
        <f t="array" ref="AI371">_xlfn.IFS(Table1[[#This Row],[ltv_ratio]] &lt; 0.6, "less than 0.6 -less risky", Table1[[#This Row],[ltv_ratio]]  &lt;= 0.8, "0.6 - 0.8 -medium risky",Table1[[#This Row],[ltv_ratio]] &gt; 0.8, "greater than 0.8 -highly risky")</f>
        <v>0.6 - 0.8 -medium risky</v>
      </c>
      <c r="AJ371" s="2">
        <f>COUNTIF(Table1[LTV band],Table1[[#This Row],[LTV band]])</f>
        <v>302</v>
      </c>
      <c r="AK371" s="2">
        <f>COUNTIFS(Table1[count_loan_perband],Table1[[#This Row],[count_loan_perband]],Table1[default_flag],1)/COUNTIF(Table1[count_loan_perband],Table1[[#This Row],[count_loan_perband]])</f>
        <v>3.6423841059602648E-2</v>
      </c>
      <c r="AL371" s="2" t="str" cm="1">
        <f t="array" ref="AL371">_xlfn.IFS(Table1[[#This Row],[loan_amount]] &lt; 900000, "lower size (&lt; 9L)", Table1[[#This Row],[loan_amount]] &lt;=3300000, "medium size (&lt;=33L)", Table1[[#This Row],[loan_amount]] &gt; 3300000, "larger size (&gt; 33L)")</f>
        <v>lower size (&lt; 9L)</v>
      </c>
      <c r="AM371" s="2">
        <f>IF(Table1[[#This Row],[dpd]] &gt;=30,1,0)</f>
        <v>0</v>
      </c>
      <c r="AN371" s="2">
        <f>COUNTIFS(Table1[Loan size],Table1[[#This Row],[Loan size]],Table1[dpd flag],1)/COUNTIF(Table1[Loan size],Table1[[#This Row],[Loan size]])</f>
        <v>0.13934426229508196</v>
      </c>
      <c r="AO371" s="2" t="str">
        <f>IF(OR(Table1[[#This Row],[credit_score]] &lt; 600, Table1[ [#This Row],[dti_ratio] ] &gt; 0.5, Table1[[#This Row],[dpd]] &gt;=30), "high risk", " not riskY")</f>
        <v xml:space="preserve"> not riskY</v>
      </c>
      <c r="AP371" s="26">
        <f>EOMONTH(Table1[[#This Row],[origination_date]],0)</f>
        <v>45900</v>
      </c>
      <c r="AQ371" s="2">
        <f>SUMIFS(Table1[loan_amount],Table1[origination month],Table1[[#This Row],[origination month]])</f>
        <v>21976400</v>
      </c>
      <c r="AR371" s="2">
        <f>AVERAGEIFS(Table1[months_on_book],Table1[product],Table1[[#This Row],[product]])</f>
        <v>21.092024539877301</v>
      </c>
      <c r="AS371" s="2" t="str">
        <f ca="1">IF(EDATE(Table1[[#This Row],[origination_date]],6) &gt;= TODAY(), "New Loan", "Old Loan")</f>
        <v>Old Loan</v>
      </c>
      <c r="AT371" s="2" t="str">
        <f>"Q"&amp;ROUNDUP(MONTH(Table1[[#This Row],[origination_date]])/3,0)&amp;YEAR(Table1[[#This Row],[origination_date]])</f>
        <v>Q32025</v>
      </c>
      <c r="AU371" s="2">
        <f>SUMIFS(Table1[loan_amount],Table1[quarter],Table1[[#This Row],[quarter]])</f>
        <v>59662800</v>
      </c>
      <c r="AV371" s="34" t="str">
        <f>_xlfn.TEXTJOIN("|",TRUE,Table1[[#This Row],[loan_id]:[loan_status]])</f>
        <v>L97075875|C3052628|45885|Personal Loan|Partner|West|Salaried|18|279300|9.33|16688|689489|843|A|0.38|0.79|0|4|60345|222429|0|0|0|Active</v>
      </c>
      <c r="AW371" s="42">
        <f>YEAR(Loan_Table[ [#This Row],[origination_date] ])</f>
        <v>2025</v>
      </c>
    </row>
    <row r="372" spans="2:49" ht="18" customHeight="1">
      <c r="B372" s="5" t="s">
        <v>864</v>
      </c>
      <c r="C372" s="2" t="s">
        <v>865</v>
      </c>
      <c r="D372" s="3">
        <v>45852</v>
      </c>
      <c r="E372" s="2" t="s">
        <v>158</v>
      </c>
      <c r="F372" s="2" t="s">
        <v>132</v>
      </c>
      <c r="G372" s="2" t="s">
        <v>139</v>
      </c>
      <c r="H372" s="2" t="s">
        <v>152</v>
      </c>
      <c r="I372" s="2">
        <v>24</v>
      </c>
      <c r="J372" s="2">
        <v>2723000</v>
      </c>
      <c r="K372" s="2">
        <v>18.82</v>
      </c>
      <c r="L372" s="2">
        <v>137025</v>
      </c>
      <c r="M372" s="2">
        <v>1162552</v>
      </c>
      <c r="N372" s="2">
        <v>633</v>
      </c>
      <c r="O372" s="2" t="s">
        <v>147</v>
      </c>
      <c r="P372" s="2">
        <v>0.37</v>
      </c>
      <c r="Q372" s="2">
        <v>0.94</v>
      </c>
      <c r="R372" s="2">
        <v>2907800</v>
      </c>
      <c r="S372" s="2">
        <v>5</v>
      </c>
      <c r="T372" s="2">
        <v>651922</v>
      </c>
      <c r="U372" s="2">
        <v>2156489</v>
      </c>
      <c r="V372" s="2">
        <v>30</v>
      </c>
      <c r="W372" s="2">
        <v>0</v>
      </c>
      <c r="X372" s="2">
        <v>0</v>
      </c>
      <c r="Y372" s="2" t="s">
        <v>136</v>
      </c>
      <c r="Z372" s="12">
        <f>SUMIF(Table1[product],Table1[[#This Row],[product]],Table1[loan_amount])</f>
        <v>201475100</v>
      </c>
      <c r="AA372" s="15">
        <f>SUMIF(Table1[region],Table1[[#This Row],[region]],Table1[current_balance])</f>
        <v>83903255</v>
      </c>
      <c r="AB372" s="2">
        <f>COUNTIF(Table1[loan_status],Table1[[#This Row],[loan_status]])</f>
        <v>47</v>
      </c>
      <c r="AC372" s="2">
        <f>COUNTIF(Table1[default_flag],1)/ROWS(Table1[loan_id])</f>
        <v>2.5999999999999999E-2</v>
      </c>
      <c r="AD372" s="2">
        <f>COUNTIFS(Table1[region],Table1[[#This Row],[region]],Table1[default_flag],1)/COUNTIF(Table1[region],Table1[[#This Row],[region]])</f>
        <v>4.2553191489361701E-2</v>
      </c>
      <c r="AE372" s="2">
        <f>COUNTIFS(Table1[channel],Table1[[#This Row],[channel]],Table1[prepayment_flag],1)/COUNTIF(Table1[channel],Table1[[#This Row],[channel]])</f>
        <v>7.1090047393364927E-2</v>
      </c>
      <c r="AF372" s="2">
        <f>AVERAGEIFS(Table1[interest_rate_pct],Table1[product],Table1[[#This Row],[product]],Table1[risk_band],Table1[[#This Row],[risk_band]])</f>
        <v>18.241249999999997</v>
      </c>
      <c r="AG372" s="2" t="str" cm="1">
        <f t="array" ref="AG372">_xlfn.IFS(Table1[[#This Row],[dti_ratio]] &lt; 0.2, " less than 0.2", Table1[[#This Row],[dti_ratio]] &lt; 0.3, "0.2 - 0.3", Table1[[#This Row],[dti_ratio]] &lt;= 0.5, "0.35 - 0.5", Table1[[#This Row],[dti_ratio]] &gt; 0.5, "greater than 0.5")</f>
        <v>0.35 - 0.5</v>
      </c>
      <c r="AH372" s="2">
        <f>COUNTIF(Table1[DTI band],Table1[[#This Row],[DTI band]])</f>
        <v>260</v>
      </c>
      <c r="AI372" s="2" t="str" cm="1">
        <f t="array" ref="AI372">_xlfn.IFS(Table1[[#This Row],[ltv_ratio]] &lt; 0.6, "less than 0.6 -less risky", Table1[[#This Row],[ltv_ratio]]  &lt;= 0.8, "0.6 - 0.8 -medium risky",Table1[[#This Row],[ltv_ratio]] &gt; 0.8, "greater than 0.8 -highly risky")</f>
        <v>greater than 0.8 -highly risky</v>
      </c>
      <c r="AJ372" s="2">
        <f>COUNTIF(Table1[LTV band],Table1[[#This Row],[LTV band]])</f>
        <v>141</v>
      </c>
      <c r="AK372" s="2">
        <f>COUNTIFS(Table1[count_loan_perband],Table1[[#This Row],[count_loan_perband]],Table1[default_flag],1)/COUNTIF(Table1[count_loan_perband],Table1[[#This Row],[count_loan_perband]])</f>
        <v>1.4184397163120567E-2</v>
      </c>
      <c r="AL372" s="2" t="str" cm="1">
        <f t="array" ref="AL372">_xlfn.IFS(Table1[[#This Row],[loan_amount]] &lt; 900000, "lower size (&lt; 9L)", Table1[[#This Row],[loan_amount]] &lt;=3300000, "medium size (&lt;=33L)", Table1[[#This Row],[loan_amount]] &gt; 3300000, "larger size (&gt; 33L)")</f>
        <v>medium size (&lt;=33L)</v>
      </c>
      <c r="AM372" s="2">
        <f>IF(Table1[[#This Row],[dpd]] &gt;=30,1,0)</f>
        <v>1</v>
      </c>
      <c r="AN372" s="2">
        <f>COUNTIFS(Table1[Loan size],Table1[[#This Row],[Loan size]],Table1[dpd flag],1)/COUNTIF(Table1[Loan size],Table1[[#This Row],[Loan size]])</f>
        <v>0.15909090909090909</v>
      </c>
      <c r="AO372" s="2" t="str">
        <f>IF(OR(Table1[[#This Row],[credit_score]] &lt; 600, Table1[ [#This Row],[dti_ratio] ] &gt; 0.5, Table1[[#This Row],[dpd]] &gt;=30), "high risk", " not riskY")</f>
        <v>high risk</v>
      </c>
      <c r="AP372" s="26">
        <f>EOMONTH(Table1[[#This Row],[origination_date]],0)</f>
        <v>45869</v>
      </c>
      <c r="AQ372" s="2">
        <f>SUMIFS(Table1[loan_amount],Table1[origination month],Table1[[#This Row],[origination month]])</f>
        <v>28875700</v>
      </c>
      <c r="AR372" s="2">
        <f>AVERAGEIFS(Table1[months_on_book],Table1[product],Table1[[#This Row],[product]])</f>
        <v>19.091954022988507</v>
      </c>
      <c r="AS372" s="2" t="str">
        <f ca="1">IF(EDATE(Table1[[#This Row],[origination_date]],6) &gt;= TODAY(), "New Loan", "Old Loan")</f>
        <v>Old Loan</v>
      </c>
      <c r="AT372" s="2" t="str">
        <f>"Q"&amp;ROUNDUP(MONTH(Table1[[#This Row],[origination_date]])/3,0)&amp;YEAR(Table1[[#This Row],[origination_date]])</f>
        <v>Q32025</v>
      </c>
      <c r="AU372" s="2">
        <f>SUMIFS(Table1[loan_amount],Table1[quarter],Table1[[#This Row],[quarter]])</f>
        <v>59662800</v>
      </c>
      <c r="AV372" s="34" t="str">
        <f>_xlfn.TEXTJOIN("|",TRUE,Table1[[#This Row],[loan_id]:[loan_status]])</f>
        <v>L35311040|C8001898|45852|SME Loan|Online|West|Self-Employed|24|2723000|18.82|137025|1162552|633|D|0.37|0.94|2907800|5|651922|2156489|30|0|0|Delinquent</v>
      </c>
      <c r="AW372" s="42">
        <f>YEAR(Loan_Table[ [#This Row],[origination_date] ])</f>
        <v>2025</v>
      </c>
    </row>
    <row r="373" spans="2:49" ht="18" customHeight="1">
      <c r="B373" s="5" t="s">
        <v>866</v>
      </c>
      <c r="C373" s="2" t="s">
        <v>867</v>
      </c>
      <c r="D373" s="3">
        <v>45844</v>
      </c>
      <c r="E373" s="2" t="s">
        <v>158</v>
      </c>
      <c r="F373" s="2" t="s">
        <v>132</v>
      </c>
      <c r="G373" s="2" t="s">
        <v>151</v>
      </c>
      <c r="H373" s="2" t="s">
        <v>152</v>
      </c>
      <c r="I373" s="2">
        <v>48</v>
      </c>
      <c r="J373" s="2">
        <v>5442100</v>
      </c>
      <c r="K373" s="2">
        <v>14.48</v>
      </c>
      <c r="L373" s="2">
        <v>150027</v>
      </c>
      <c r="M373" s="2">
        <v>1573574</v>
      </c>
      <c r="N373" s="2">
        <v>694</v>
      </c>
      <c r="O373" s="2" t="s">
        <v>140</v>
      </c>
      <c r="P373" s="2">
        <v>0.35</v>
      </c>
      <c r="Q373" s="2">
        <v>0.8</v>
      </c>
      <c r="R373" s="2">
        <v>6791100</v>
      </c>
      <c r="S373" s="2">
        <v>5</v>
      </c>
      <c r="T373" s="2">
        <v>683704</v>
      </c>
      <c r="U373" s="2">
        <v>4889732</v>
      </c>
      <c r="V373" s="2">
        <v>60</v>
      </c>
      <c r="W373" s="2">
        <v>0</v>
      </c>
      <c r="X373" s="2">
        <v>0</v>
      </c>
      <c r="Y373" s="2" t="s">
        <v>136</v>
      </c>
      <c r="Z373" s="12">
        <f>SUMIF(Table1[product],Table1[[#This Row],[product]],Table1[loan_amount])</f>
        <v>201475100</v>
      </c>
      <c r="AA373" s="15">
        <f>SUMIF(Table1[region],Table1[[#This Row],[region]],Table1[current_balance])</f>
        <v>105779369</v>
      </c>
      <c r="AB373" s="2">
        <f>COUNTIF(Table1[loan_status],Table1[[#This Row],[loan_status]])</f>
        <v>47</v>
      </c>
      <c r="AC373" s="2">
        <f>COUNTIF(Table1[default_flag],1)/ROWS(Table1[loan_id])</f>
        <v>2.5999999999999999E-2</v>
      </c>
      <c r="AD373" s="2">
        <f>COUNTIFS(Table1[region],Table1[[#This Row],[region]],Table1[default_flag],1)/COUNTIF(Table1[region],Table1[[#This Row],[region]])</f>
        <v>2.6548672566371681E-2</v>
      </c>
      <c r="AE373" s="2">
        <f>COUNTIFS(Table1[channel],Table1[[#This Row],[channel]],Table1[prepayment_flag],1)/COUNTIF(Table1[channel],Table1[[#This Row],[channel]])</f>
        <v>7.1090047393364927E-2</v>
      </c>
      <c r="AF373" s="2">
        <f>AVERAGEIFS(Table1[interest_rate_pct],Table1[product],Table1[[#This Row],[product]],Table1[risk_band],Table1[[#This Row],[risk_band]])</f>
        <v>15.841379310344831</v>
      </c>
      <c r="AG373" s="2" t="str" cm="1">
        <f t="array" ref="AG373">_xlfn.IFS(Table1[[#This Row],[dti_ratio]] &lt; 0.2, " less than 0.2", Table1[[#This Row],[dti_ratio]] &lt; 0.3, "0.2 - 0.3", Table1[[#This Row],[dti_ratio]] &lt;= 0.5, "0.35 - 0.5", Table1[[#This Row],[dti_ratio]] &gt; 0.5, "greater than 0.5")</f>
        <v>0.35 - 0.5</v>
      </c>
      <c r="AH373" s="2">
        <f>COUNTIF(Table1[DTI band],Table1[[#This Row],[DTI band]])</f>
        <v>260</v>
      </c>
      <c r="AI373" s="2" t="str" cm="1">
        <f t="array" ref="AI373">_xlfn.IFS(Table1[[#This Row],[ltv_ratio]] &lt; 0.6, "less than 0.6 -less risky", Table1[[#This Row],[ltv_ratio]]  &lt;= 0.8, "0.6 - 0.8 -medium risky",Table1[[#This Row],[ltv_ratio]] &gt; 0.8, "greater than 0.8 -highly risky")</f>
        <v>0.6 - 0.8 -medium risky</v>
      </c>
      <c r="AJ373" s="2">
        <f>COUNTIF(Table1[LTV band],Table1[[#This Row],[LTV band]])</f>
        <v>302</v>
      </c>
      <c r="AK373" s="2">
        <f>COUNTIFS(Table1[count_loan_perband],Table1[[#This Row],[count_loan_perband]],Table1[default_flag],1)/COUNTIF(Table1[count_loan_perband],Table1[[#This Row],[count_loan_perband]])</f>
        <v>3.6423841059602648E-2</v>
      </c>
      <c r="AL373" s="2" t="str" cm="1">
        <f t="array" ref="AL373">_xlfn.IFS(Table1[[#This Row],[loan_amount]] &lt; 900000, "lower size (&lt; 9L)", Table1[[#This Row],[loan_amount]] &lt;=3300000, "medium size (&lt;=33L)", Table1[[#This Row],[loan_amount]] &gt; 3300000, "larger size (&gt; 33L)")</f>
        <v>larger size (&gt; 33L)</v>
      </c>
      <c r="AM373" s="2">
        <f>IF(Table1[[#This Row],[dpd]] &gt;=30,1,0)</f>
        <v>1</v>
      </c>
      <c r="AN373" s="2">
        <f>COUNTIFS(Table1[Loan size],Table1[[#This Row],[Loan size]],Table1[dpd flag],1)/COUNTIF(Table1[Loan size],Table1[[#This Row],[Loan size]])</f>
        <v>0.16250000000000001</v>
      </c>
      <c r="AO373" s="2" t="str">
        <f>IF(OR(Table1[[#This Row],[credit_score]] &lt; 600, Table1[ [#This Row],[dti_ratio] ] &gt; 0.5, Table1[[#This Row],[dpd]] &gt;=30), "high risk", " not riskY")</f>
        <v>high risk</v>
      </c>
      <c r="AP373" s="26">
        <f>EOMONTH(Table1[[#This Row],[origination_date]],0)</f>
        <v>45869</v>
      </c>
      <c r="AQ373" s="2">
        <f>SUMIFS(Table1[loan_amount],Table1[origination month],Table1[[#This Row],[origination month]])</f>
        <v>28875700</v>
      </c>
      <c r="AR373" s="2">
        <f>AVERAGEIFS(Table1[months_on_book],Table1[product],Table1[[#This Row],[product]])</f>
        <v>19.091954022988507</v>
      </c>
      <c r="AS373" s="2" t="str">
        <f ca="1">IF(EDATE(Table1[[#This Row],[origination_date]],6) &gt;= TODAY(), "New Loan", "Old Loan")</f>
        <v>Old Loan</v>
      </c>
      <c r="AT373" s="2" t="str">
        <f>"Q"&amp;ROUNDUP(MONTH(Table1[[#This Row],[origination_date]])/3,0)&amp;YEAR(Table1[[#This Row],[origination_date]])</f>
        <v>Q32025</v>
      </c>
      <c r="AU373" s="2">
        <f>SUMIFS(Table1[loan_amount],Table1[quarter],Table1[[#This Row],[quarter]])</f>
        <v>59662800</v>
      </c>
      <c r="AV373" s="34" t="str">
        <f>_xlfn.TEXTJOIN("|",TRUE,Table1[[#This Row],[loan_id]:[loan_status]])</f>
        <v>L31687351|C2396916|45844|SME Loan|Online|North|Self-Employed|48|5442100|14.48|150027|1573574|694|C|0.35|0.8|6791100|5|683704|4889732|60|0|0|Delinquent</v>
      </c>
      <c r="AW373" s="42">
        <f>YEAR(Loan_Table[ [#This Row],[origination_date] ])</f>
        <v>2025</v>
      </c>
    </row>
    <row r="374" spans="2:49" ht="18" customHeight="1">
      <c r="B374" s="5" t="s">
        <v>868</v>
      </c>
      <c r="C374" s="2" t="s">
        <v>869</v>
      </c>
      <c r="D374" s="3">
        <v>45853</v>
      </c>
      <c r="E374" s="2" t="s">
        <v>158</v>
      </c>
      <c r="F374" s="2" t="s">
        <v>213</v>
      </c>
      <c r="G374" s="2" t="s">
        <v>133</v>
      </c>
      <c r="H374" s="2" t="s">
        <v>146</v>
      </c>
      <c r="I374" s="2">
        <v>24</v>
      </c>
      <c r="J374" s="2">
        <v>2819600</v>
      </c>
      <c r="K374" s="2">
        <v>14.5</v>
      </c>
      <c r="L374" s="2">
        <v>136044</v>
      </c>
      <c r="M374" s="2">
        <v>1737437</v>
      </c>
      <c r="N374" s="2">
        <v>706</v>
      </c>
      <c r="O374" s="2" t="s">
        <v>135</v>
      </c>
      <c r="P374" s="2">
        <v>0.33</v>
      </c>
      <c r="Q374" s="2">
        <v>0.51</v>
      </c>
      <c r="R374" s="2">
        <v>5478500</v>
      </c>
      <c r="S374" s="2">
        <v>5</v>
      </c>
      <c r="T374" s="2">
        <v>617220</v>
      </c>
      <c r="U374" s="2">
        <v>2270520</v>
      </c>
      <c r="V374" s="2">
        <v>0</v>
      </c>
      <c r="W374" s="2">
        <v>0</v>
      </c>
      <c r="X374" s="2">
        <v>0</v>
      </c>
      <c r="Y374" s="2" t="s">
        <v>148</v>
      </c>
      <c r="Z374" s="12">
        <f>SUMIF(Table1[product],Table1[[#This Row],[product]],Table1[loan_amount])</f>
        <v>201475100</v>
      </c>
      <c r="AA374" s="15">
        <f>SUMIF(Table1[region],Table1[[#This Row],[region]],Table1[current_balance])</f>
        <v>94548000</v>
      </c>
      <c r="AB374" s="2">
        <f>COUNTIF(Table1[loan_status],Table1[[#This Row],[loan_status]])</f>
        <v>301</v>
      </c>
      <c r="AC374" s="2">
        <f>COUNTIF(Table1[default_flag],1)/ROWS(Table1[loan_id])</f>
        <v>2.5999999999999999E-2</v>
      </c>
      <c r="AD374" s="2">
        <f>COUNTIFS(Table1[region],Table1[[#This Row],[region]],Table1[default_flag],1)/COUNTIF(Table1[region],Table1[[#This Row],[region]])</f>
        <v>0</v>
      </c>
      <c r="AE374" s="2">
        <f>COUNTIFS(Table1[channel],Table1[[#This Row],[channel]],Table1[prepayment_flag],1)/COUNTIF(Table1[channel],Table1[[#This Row],[channel]])</f>
        <v>0.12</v>
      </c>
      <c r="AF374" s="2">
        <f>AVERAGEIFS(Table1[interest_rate_pct],Table1[product],Table1[[#This Row],[product]],Table1[risk_band],Table1[[#This Row],[risk_band]])</f>
        <v>13.042631578947367</v>
      </c>
      <c r="AG374" s="2" t="str" cm="1">
        <f t="array" ref="AG374">_xlfn.IFS(Table1[[#This Row],[dti_ratio]] &lt; 0.2, " less than 0.2", Table1[[#This Row],[dti_ratio]] &lt; 0.3, "0.2 - 0.3", Table1[[#This Row],[dti_ratio]] &lt;= 0.5, "0.35 - 0.5", Table1[[#This Row],[dti_ratio]] &gt; 0.5, "greater than 0.5")</f>
        <v>0.35 - 0.5</v>
      </c>
      <c r="AH374" s="2">
        <f>COUNTIF(Table1[DTI band],Table1[[#This Row],[DTI band]])</f>
        <v>260</v>
      </c>
      <c r="AI374" s="2" t="str" cm="1">
        <f t="array" ref="AI374">_xlfn.IFS(Table1[[#This Row],[ltv_ratio]] &lt; 0.6, "less than 0.6 -less risky", Table1[[#This Row],[ltv_ratio]]  &lt;= 0.8, "0.6 - 0.8 -medium risky",Table1[[#This Row],[ltv_ratio]] &gt; 0.8, "greater than 0.8 -highly risky")</f>
        <v>less than 0.6 -less risky</v>
      </c>
      <c r="AJ374" s="2">
        <f>COUNTIF(Table1[LTV band],Table1[[#This Row],[LTV band]])</f>
        <v>57</v>
      </c>
      <c r="AK374" s="2">
        <f>COUNTIFS(Table1[count_loan_perband],Table1[[#This Row],[count_loan_perband]],Table1[default_flag],1)/COUNTIF(Table1[count_loan_perband],Table1[[#This Row],[count_loan_perband]])</f>
        <v>0</v>
      </c>
      <c r="AL374" s="2" t="str" cm="1">
        <f t="array" ref="AL374">_xlfn.IFS(Table1[[#This Row],[loan_amount]] &lt; 900000, "lower size (&lt; 9L)", Table1[[#This Row],[loan_amount]] &lt;=3300000, "medium size (&lt;=33L)", Table1[[#This Row],[loan_amount]] &gt; 3300000, "larger size (&gt; 33L)")</f>
        <v>medium size (&lt;=33L)</v>
      </c>
      <c r="AM374" s="2">
        <f>IF(Table1[[#This Row],[dpd]] &gt;=30,1,0)</f>
        <v>0</v>
      </c>
      <c r="AN374" s="2">
        <f>COUNTIFS(Table1[Loan size],Table1[[#This Row],[Loan size]],Table1[dpd flag],1)/COUNTIF(Table1[Loan size],Table1[[#This Row],[Loan size]])</f>
        <v>0.15909090909090909</v>
      </c>
      <c r="AO374" s="2" t="str">
        <f>IF(OR(Table1[[#This Row],[credit_score]] &lt; 600, Table1[ [#This Row],[dti_ratio] ] &gt; 0.5, Table1[[#This Row],[dpd]] &gt;=30), "high risk", " not riskY")</f>
        <v xml:space="preserve"> not riskY</v>
      </c>
      <c r="AP374" s="26">
        <f>EOMONTH(Table1[[#This Row],[origination_date]],0)</f>
        <v>45869</v>
      </c>
      <c r="AQ374" s="2">
        <f>SUMIFS(Table1[loan_amount],Table1[origination month],Table1[[#This Row],[origination month]])</f>
        <v>28875700</v>
      </c>
      <c r="AR374" s="2">
        <f>AVERAGEIFS(Table1[months_on_book],Table1[product],Table1[[#This Row],[product]])</f>
        <v>19.091954022988507</v>
      </c>
      <c r="AS374" s="2" t="str">
        <f ca="1">IF(EDATE(Table1[[#This Row],[origination_date]],6) &gt;= TODAY(), "New Loan", "Old Loan")</f>
        <v>Old Loan</v>
      </c>
      <c r="AT374" s="2" t="str">
        <f>"Q"&amp;ROUNDUP(MONTH(Table1[[#This Row],[origination_date]])/3,0)&amp;YEAR(Table1[[#This Row],[origination_date]])</f>
        <v>Q32025</v>
      </c>
      <c r="AU374" s="2">
        <f>SUMIFS(Table1[loan_amount],Table1[quarter],Table1[[#This Row],[quarter]])</f>
        <v>59662800</v>
      </c>
      <c r="AV374" s="34" t="str">
        <f>_xlfn.TEXTJOIN("|",TRUE,Table1[[#This Row],[loan_id]:[loan_status]])</f>
        <v>L51167573|C6084555|45853|SME Loan|Call Center|South|Contract|24|2819600|14.5|136044|1737437|706|B|0.33|0.51|5478500|5|617220|2270520|0|0|0|Active</v>
      </c>
      <c r="AW374" s="42">
        <f>YEAR(Loan_Table[ [#This Row],[origination_date] ])</f>
        <v>2025</v>
      </c>
    </row>
    <row r="375" spans="2:49" ht="18" customHeight="1">
      <c r="B375" s="5" t="s">
        <v>870</v>
      </c>
      <c r="C375" s="2" t="s">
        <v>871</v>
      </c>
      <c r="D375" s="3">
        <v>45879</v>
      </c>
      <c r="E375" s="2" t="s">
        <v>169</v>
      </c>
      <c r="F375" s="2" t="s">
        <v>159</v>
      </c>
      <c r="G375" s="2" t="s">
        <v>133</v>
      </c>
      <c r="H375" s="2" t="s">
        <v>152</v>
      </c>
      <c r="I375" s="2">
        <v>48</v>
      </c>
      <c r="J375" s="2">
        <v>4970700</v>
      </c>
      <c r="K375" s="2">
        <v>7.44</v>
      </c>
      <c r="L375" s="2">
        <v>120047</v>
      </c>
      <c r="M375" s="2">
        <v>1186686</v>
      </c>
      <c r="N375" s="2">
        <v>766</v>
      </c>
      <c r="O375" s="2" t="s">
        <v>160</v>
      </c>
      <c r="P375" s="2">
        <v>0.32</v>
      </c>
      <c r="Q375" s="2">
        <v>0.73</v>
      </c>
      <c r="R375" s="2">
        <v>6764800</v>
      </c>
      <c r="S375" s="2">
        <v>4</v>
      </c>
      <c r="T375" s="2">
        <v>408370</v>
      </c>
      <c r="U375" s="2">
        <v>4611639</v>
      </c>
      <c r="V375" s="2">
        <v>0</v>
      </c>
      <c r="W375" s="2">
        <v>0</v>
      </c>
      <c r="X375" s="2">
        <v>0</v>
      </c>
      <c r="Y375" s="2" t="s">
        <v>148</v>
      </c>
      <c r="Z375" s="12">
        <f>SUMIF(Table1[product],Table1[[#This Row],[product]],Table1[loan_amount])</f>
        <v>403369500</v>
      </c>
      <c r="AA375" s="15">
        <f>SUMIF(Table1[region],Table1[[#This Row],[region]],Table1[current_balance])</f>
        <v>94548000</v>
      </c>
      <c r="AB375" s="2">
        <f>COUNTIF(Table1[loan_status],Table1[[#This Row],[loan_status]])</f>
        <v>301</v>
      </c>
      <c r="AC375" s="2">
        <f>COUNTIF(Table1[default_flag],1)/ROWS(Table1[loan_id])</f>
        <v>2.5999999999999999E-2</v>
      </c>
      <c r="AD375" s="2">
        <f>COUNTIFS(Table1[region],Table1[[#This Row],[region]],Table1[default_flag],1)/COUNTIF(Table1[region],Table1[[#This Row],[region]])</f>
        <v>0</v>
      </c>
      <c r="AE375" s="2">
        <f>COUNTIFS(Table1[channel],Table1[[#This Row],[channel]],Table1[prepayment_flag],1)/COUNTIF(Table1[channel],Table1[[#This Row],[channel]])</f>
        <v>0.1</v>
      </c>
      <c r="AF375" s="2">
        <f>AVERAGEIFS(Table1[interest_rate_pct],Table1[product],Table1[[#This Row],[product]],Table1[risk_band],Table1[[#This Row],[risk_band]])</f>
        <v>7.1876190476190471</v>
      </c>
      <c r="AG375" s="2" t="str" cm="1">
        <f t="array" ref="AG375">_xlfn.IFS(Table1[[#This Row],[dti_ratio]] &lt; 0.2, " less than 0.2", Table1[[#This Row],[dti_ratio]] &lt; 0.3, "0.2 - 0.3", Table1[[#This Row],[dti_ratio]] &lt;= 0.5, "0.35 - 0.5", Table1[[#This Row],[dti_ratio]] &gt; 0.5, "greater than 0.5")</f>
        <v>0.35 - 0.5</v>
      </c>
      <c r="AH375" s="2">
        <f>COUNTIF(Table1[DTI band],Table1[[#This Row],[DTI band]])</f>
        <v>260</v>
      </c>
      <c r="AI375" s="2" t="str" cm="1">
        <f t="array" ref="AI375">_xlfn.IFS(Table1[[#This Row],[ltv_ratio]] &lt; 0.6, "less than 0.6 -less risky", Table1[[#This Row],[ltv_ratio]]  &lt;= 0.8, "0.6 - 0.8 -medium risky",Table1[[#This Row],[ltv_ratio]] &gt; 0.8, "greater than 0.8 -highly risky")</f>
        <v>0.6 - 0.8 -medium risky</v>
      </c>
      <c r="AJ375" s="2">
        <f>COUNTIF(Table1[LTV band],Table1[[#This Row],[LTV band]])</f>
        <v>302</v>
      </c>
      <c r="AK375" s="2">
        <f>COUNTIFS(Table1[count_loan_perband],Table1[[#This Row],[count_loan_perband]],Table1[default_flag],1)/COUNTIF(Table1[count_loan_perband],Table1[[#This Row],[count_loan_perband]])</f>
        <v>3.6423841059602648E-2</v>
      </c>
      <c r="AL375" s="2" t="str" cm="1">
        <f t="array" ref="AL375">_xlfn.IFS(Table1[[#This Row],[loan_amount]] &lt; 900000, "lower size (&lt; 9L)", Table1[[#This Row],[loan_amount]] &lt;=3300000, "medium size (&lt;=33L)", Table1[[#This Row],[loan_amount]] &gt; 3300000, "larger size (&gt; 33L)")</f>
        <v>larger size (&gt; 33L)</v>
      </c>
      <c r="AM375" s="2">
        <f>IF(Table1[[#This Row],[dpd]] &gt;=30,1,0)</f>
        <v>0</v>
      </c>
      <c r="AN375" s="2">
        <f>COUNTIFS(Table1[Loan size],Table1[[#This Row],[Loan size]],Table1[dpd flag],1)/COUNTIF(Table1[Loan size],Table1[[#This Row],[Loan size]])</f>
        <v>0.16250000000000001</v>
      </c>
      <c r="AO375" s="2" t="str">
        <f>IF(OR(Table1[[#This Row],[credit_score]] &lt; 600, Table1[ [#This Row],[dti_ratio] ] &gt; 0.5, Table1[[#This Row],[dpd]] &gt;=30), "high risk", " not riskY")</f>
        <v xml:space="preserve"> not riskY</v>
      </c>
      <c r="AP375" s="26">
        <f>EOMONTH(Table1[[#This Row],[origination_date]],0)</f>
        <v>45900</v>
      </c>
      <c r="AQ375" s="2">
        <f>SUMIFS(Table1[loan_amount],Table1[origination month],Table1[[#This Row],[origination month]])</f>
        <v>21976400</v>
      </c>
      <c r="AR375" s="2">
        <f>AVERAGEIFS(Table1[months_on_book],Table1[product],Table1[[#This Row],[product]])</f>
        <v>20.516129032258064</v>
      </c>
      <c r="AS375" s="2" t="str">
        <f ca="1">IF(EDATE(Table1[[#This Row],[origination_date]],6) &gt;= TODAY(), "New Loan", "Old Loan")</f>
        <v>Old Loan</v>
      </c>
      <c r="AT375" s="2" t="str">
        <f>"Q"&amp;ROUNDUP(MONTH(Table1[[#This Row],[origination_date]])/3,0)&amp;YEAR(Table1[[#This Row],[origination_date]])</f>
        <v>Q32025</v>
      </c>
      <c r="AU375" s="2">
        <f>SUMIFS(Table1[loan_amount],Table1[quarter],Table1[[#This Row],[quarter]])</f>
        <v>59662800</v>
      </c>
      <c r="AV375" s="34" t="str">
        <f>_xlfn.TEXTJOIN("|",TRUE,Table1[[#This Row],[loan_id]:[loan_status]])</f>
        <v>L79656044|C5085071|45879|Home Loan|Partner|South|Self-Employed|48|4970700|7.44|120047|1186686|766|A|0.32|0.73|6764800|4|408370|4611639|0|0|0|Active</v>
      </c>
      <c r="AW375" s="42">
        <f>YEAR(Loan_Table[ [#This Row],[origination_date] ])</f>
        <v>2025</v>
      </c>
    </row>
    <row r="376" spans="2:49" ht="18" customHeight="1">
      <c r="B376" s="5" t="s">
        <v>872</v>
      </c>
      <c r="C376" s="2" t="s">
        <v>873</v>
      </c>
      <c r="D376" s="3">
        <v>45925</v>
      </c>
      <c r="E376" s="2" t="s">
        <v>131</v>
      </c>
      <c r="F376" s="2" t="s">
        <v>144</v>
      </c>
      <c r="G376" s="2" t="s">
        <v>151</v>
      </c>
      <c r="H376" s="2" t="s">
        <v>152</v>
      </c>
      <c r="I376" s="2">
        <v>72</v>
      </c>
      <c r="J376" s="2">
        <v>485500</v>
      </c>
      <c r="K376" s="2">
        <v>15.82</v>
      </c>
      <c r="L376" s="2">
        <v>10483</v>
      </c>
      <c r="M376" s="2">
        <v>873831</v>
      </c>
      <c r="N376" s="2">
        <v>736</v>
      </c>
      <c r="O376" s="2" t="s">
        <v>135</v>
      </c>
      <c r="P376" s="2">
        <v>0.3</v>
      </c>
      <c r="Q376" s="2">
        <v>0.81</v>
      </c>
      <c r="R376" s="2">
        <v>0</v>
      </c>
      <c r="S376" s="2">
        <v>3</v>
      </c>
      <c r="T376" s="2">
        <v>31856</v>
      </c>
      <c r="U376" s="2">
        <v>461325</v>
      </c>
      <c r="V376" s="2">
        <v>90</v>
      </c>
      <c r="W376" s="2">
        <v>0</v>
      </c>
      <c r="X376" s="2">
        <v>1</v>
      </c>
      <c r="Y376" s="2" t="s">
        <v>153</v>
      </c>
      <c r="Z376" s="12">
        <f>SUMIF(Table1[product],Table1[[#This Row],[product]],Table1[loan_amount])</f>
        <v>74897600</v>
      </c>
      <c r="AA376" s="15">
        <f>SUMIF(Table1[region],Table1[[#This Row],[region]],Table1[current_balance])</f>
        <v>105779369</v>
      </c>
      <c r="AB376" s="2">
        <f>COUNTIF(Table1[loan_status],Table1[[#This Row],[loan_status]])</f>
        <v>13</v>
      </c>
      <c r="AC376" s="2">
        <f>COUNTIF(Table1[default_flag],1)/ROWS(Table1[loan_id])</f>
        <v>2.5999999999999999E-2</v>
      </c>
      <c r="AD376" s="2">
        <f>COUNTIFS(Table1[region],Table1[[#This Row],[region]],Table1[default_flag],1)/COUNTIF(Table1[region],Table1[[#This Row],[region]])</f>
        <v>2.6548672566371681E-2</v>
      </c>
      <c r="AE376" s="2">
        <f>COUNTIFS(Table1[channel],Table1[[#This Row],[channel]],Table1[prepayment_flag],1)/COUNTIF(Table1[channel],Table1[[#This Row],[channel]])</f>
        <v>5.8201058201058198E-2</v>
      </c>
      <c r="AF376" s="2">
        <f>AVERAGEIFS(Table1[interest_rate_pct],Table1[product],Table1[[#This Row],[product]],Table1[risk_band],Table1[[#This Row],[risk_band]])</f>
        <v>16.500166666666669</v>
      </c>
      <c r="AG376" s="2" t="str" cm="1">
        <f t="array" ref="AG376">_xlfn.IFS(Table1[[#This Row],[dti_ratio]] &lt; 0.2, " less than 0.2", Table1[[#This Row],[dti_ratio]] &lt; 0.3, "0.2 - 0.3", Table1[[#This Row],[dti_ratio]] &lt;= 0.5, "0.35 - 0.5", Table1[[#This Row],[dti_ratio]] &gt; 0.5, "greater than 0.5")</f>
        <v>0.35 - 0.5</v>
      </c>
      <c r="AH376" s="2">
        <f>COUNTIF(Table1[DTI band],Table1[[#This Row],[DTI band]])</f>
        <v>260</v>
      </c>
      <c r="AI376" s="2" t="str" cm="1">
        <f t="array" ref="AI376">_xlfn.IFS(Table1[[#This Row],[ltv_ratio]] &lt; 0.6, "less than 0.6 -less risky", Table1[[#This Row],[ltv_ratio]]  &lt;= 0.8, "0.6 - 0.8 -medium risky",Table1[[#This Row],[ltv_ratio]] &gt; 0.8, "greater than 0.8 -highly risky")</f>
        <v>greater than 0.8 -highly risky</v>
      </c>
      <c r="AJ376" s="2">
        <f>COUNTIF(Table1[LTV band],Table1[[#This Row],[LTV band]])</f>
        <v>141</v>
      </c>
      <c r="AK376" s="2">
        <f>COUNTIFS(Table1[count_loan_perband],Table1[[#This Row],[count_loan_perband]],Table1[default_flag],1)/COUNTIF(Table1[count_loan_perband],Table1[[#This Row],[count_loan_perband]])</f>
        <v>1.4184397163120567E-2</v>
      </c>
      <c r="AL376" s="2" t="str" cm="1">
        <f t="array" ref="AL376">_xlfn.IFS(Table1[[#This Row],[loan_amount]] &lt; 900000, "lower size (&lt; 9L)", Table1[[#This Row],[loan_amount]] &lt;=3300000, "medium size (&lt;=33L)", Table1[[#This Row],[loan_amount]] &gt; 3300000, "larger size (&gt; 33L)")</f>
        <v>lower size (&lt; 9L)</v>
      </c>
      <c r="AM376" s="2">
        <f>IF(Table1[[#This Row],[dpd]] &gt;=30,1,0)</f>
        <v>1</v>
      </c>
      <c r="AN376" s="2">
        <f>COUNTIFS(Table1[Loan size],Table1[[#This Row],[Loan size]],Table1[dpd flag],1)/COUNTIF(Table1[Loan size],Table1[[#This Row],[Loan size]])</f>
        <v>0.13934426229508196</v>
      </c>
      <c r="AO376" s="2" t="str">
        <f>IF(OR(Table1[[#This Row],[credit_score]] &lt; 600, Table1[ [#This Row],[dti_ratio] ] &gt; 0.5, Table1[[#This Row],[dpd]] &gt;=30), "high risk", " not riskY")</f>
        <v>high risk</v>
      </c>
      <c r="AP376" s="26">
        <f>EOMONTH(Table1[[#This Row],[origination_date]],0)</f>
        <v>45930</v>
      </c>
      <c r="AQ376" s="2">
        <f>SUMIFS(Table1[loan_amount],Table1[origination month],Table1[[#This Row],[origination month]])</f>
        <v>8810700</v>
      </c>
      <c r="AR376" s="2">
        <f>AVERAGEIFS(Table1[months_on_book],Table1[product],Table1[[#This Row],[product]])</f>
        <v>21.092024539877301</v>
      </c>
      <c r="AS376" s="2" t="str">
        <f ca="1">IF(EDATE(Table1[[#This Row],[origination_date]],6) &gt;= TODAY(), "New Loan", "Old Loan")</f>
        <v>New Loan</v>
      </c>
      <c r="AT376" s="2" t="str">
        <f>"Q"&amp;ROUNDUP(MONTH(Table1[[#This Row],[origination_date]])/3,0)&amp;YEAR(Table1[[#This Row],[origination_date]])</f>
        <v>Q32025</v>
      </c>
      <c r="AU376" s="2">
        <f>SUMIFS(Table1[loan_amount],Table1[quarter],Table1[[#This Row],[quarter]])</f>
        <v>59662800</v>
      </c>
      <c r="AV376" s="34" t="str">
        <f>_xlfn.TEXTJOIN("|",TRUE,Table1[[#This Row],[loan_id]:[loan_status]])</f>
        <v>L41218282|C2259353|45925|Personal Loan|Branch|North|Self-Employed|72|485500|15.82|10483|873831|736|B|0.3|0.81|0|3|31856|461325|90|0|1|Default</v>
      </c>
      <c r="AW376" s="42">
        <f>YEAR(Loan_Table[ [#This Row],[origination_date] ])</f>
        <v>2025</v>
      </c>
    </row>
    <row r="377" spans="2:49" ht="18" customHeight="1">
      <c r="B377" s="5" t="s">
        <v>874</v>
      </c>
      <c r="C377" s="2" t="s">
        <v>875</v>
      </c>
      <c r="D377" s="3">
        <v>45884</v>
      </c>
      <c r="E377" s="2" t="s">
        <v>169</v>
      </c>
      <c r="F377" s="2" t="s">
        <v>132</v>
      </c>
      <c r="G377" s="2" t="s">
        <v>145</v>
      </c>
      <c r="H377" s="2" t="s">
        <v>146</v>
      </c>
      <c r="I377" s="2">
        <v>48</v>
      </c>
      <c r="J377" s="2">
        <v>5399800</v>
      </c>
      <c r="K377" s="2">
        <v>11.23</v>
      </c>
      <c r="L377" s="2">
        <v>140165</v>
      </c>
      <c r="M377" s="2">
        <v>838325</v>
      </c>
      <c r="N377" s="2">
        <v>668</v>
      </c>
      <c r="O377" s="2" t="s">
        <v>140</v>
      </c>
      <c r="P377" s="2">
        <v>0.28999999999999998</v>
      </c>
      <c r="Q377" s="2">
        <v>0.71</v>
      </c>
      <c r="R377" s="2">
        <v>7642500</v>
      </c>
      <c r="S377" s="2">
        <v>4</v>
      </c>
      <c r="T377" s="2">
        <v>563369</v>
      </c>
      <c r="U377" s="2">
        <v>4917284</v>
      </c>
      <c r="V377" s="2">
        <v>0</v>
      </c>
      <c r="W377" s="2">
        <v>0</v>
      </c>
      <c r="X377" s="2">
        <v>0</v>
      </c>
      <c r="Y377" s="2" t="s">
        <v>148</v>
      </c>
      <c r="Z377" s="12">
        <f>SUMIF(Table1[product],Table1[[#This Row],[product]],Table1[loan_amount])</f>
        <v>403369500</v>
      </c>
      <c r="AA377" s="15">
        <f>SUMIF(Table1[region],Table1[[#This Row],[region]],Table1[current_balance])</f>
        <v>98928695</v>
      </c>
      <c r="AB377" s="2">
        <f>COUNTIF(Table1[loan_status],Table1[[#This Row],[loan_status]])</f>
        <v>301</v>
      </c>
      <c r="AC377" s="2">
        <f>COUNTIF(Table1[default_flag],1)/ROWS(Table1[loan_id])</f>
        <v>2.5999999999999999E-2</v>
      </c>
      <c r="AD377" s="2">
        <f>COUNTIFS(Table1[region],Table1[[#This Row],[region]],Table1[default_flag],1)/COUNTIF(Table1[region],Table1[[#This Row],[region]])</f>
        <v>2.8571428571428571E-2</v>
      </c>
      <c r="AE377" s="2">
        <f>COUNTIFS(Table1[channel],Table1[[#This Row],[channel]],Table1[prepayment_flag],1)/COUNTIF(Table1[channel],Table1[[#This Row],[channel]])</f>
        <v>7.1090047393364927E-2</v>
      </c>
      <c r="AF377" s="2">
        <f>AVERAGEIFS(Table1[interest_rate_pct],Table1[product],Table1[[#This Row],[product]],Table1[risk_band],Table1[[#This Row],[risk_band]])</f>
        <v>11.719736842105268</v>
      </c>
      <c r="AG377" s="2" t="str" cm="1">
        <f t="array" ref="AG377">_xlfn.IFS(Table1[[#This Row],[dti_ratio]] &lt; 0.2, " less than 0.2", Table1[[#This Row],[dti_ratio]] &lt; 0.3, "0.2 - 0.3", Table1[[#This Row],[dti_ratio]] &lt;= 0.5, "0.35 - 0.5", Table1[[#This Row],[dti_ratio]] &gt; 0.5, "greater than 0.5")</f>
        <v>0.2 - 0.3</v>
      </c>
      <c r="AH377" s="2">
        <f>COUNTIF(Table1[DTI band],Table1[[#This Row],[DTI band]])</f>
        <v>122</v>
      </c>
      <c r="AI377" s="2" t="str" cm="1">
        <f t="array" ref="AI377">_xlfn.IFS(Table1[[#This Row],[ltv_ratio]] &lt; 0.6, "less than 0.6 -less risky", Table1[[#This Row],[ltv_ratio]]  &lt;= 0.8, "0.6 - 0.8 -medium risky",Table1[[#This Row],[ltv_ratio]] &gt; 0.8, "greater than 0.8 -highly risky")</f>
        <v>0.6 - 0.8 -medium risky</v>
      </c>
      <c r="AJ377" s="2">
        <f>COUNTIF(Table1[LTV band],Table1[[#This Row],[LTV band]])</f>
        <v>302</v>
      </c>
      <c r="AK377" s="2">
        <f>COUNTIFS(Table1[count_loan_perband],Table1[[#This Row],[count_loan_perband]],Table1[default_flag],1)/COUNTIF(Table1[count_loan_perband],Table1[[#This Row],[count_loan_perband]])</f>
        <v>3.6423841059602648E-2</v>
      </c>
      <c r="AL377" s="2" t="str" cm="1">
        <f t="array" ref="AL377">_xlfn.IFS(Table1[[#This Row],[loan_amount]] &lt; 900000, "lower size (&lt; 9L)", Table1[[#This Row],[loan_amount]] &lt;=3300000, "medium size (&lt;=33L)", Table1[[#This Row],[loan_amount]] &gt; 3300000, "larger size (&gt; 33L)")</f>
        <v>larger size (&gt; 33L)</v>
      </c>
      <c r="AM377" s="2">
        <f>IF(Table1[[#This Row],[dpd]] &gt;=30,1,0)</f>
        <v>0</v>
      </c>
      <c r="AN377" s="2">
        <f>COUNTIFS(Table1[Loan size],Table1[[#This Row],[Loan size]],Table1[dpd flag],1)/COUNTIF(Table1[Loan size],Table1[[#This Row],[Loan size]])</f>
        <v>0.16250000000000001</v>
      </c>
      <c r="AO377" s="2" t="str">
        <f>IF(OR(Table1[[#This Row],[credit_score]] &lt; 600, Table1[ [#This Row],[dti_ratio] ] &gt; 0.5, Table1[[#This Row],[dpd]] &gt;=30), "high risk", " not riskY")</f>
        <v xml:space="preserve"> not riskY</v>
      </c>
      <c r="AP377" s="26">
        <f>EOMONTH(Table1[[#This Row],[origination_date]],0)</f>
        <v>45900</v>
      </c>
      <c r="AQ377" s="2">
        <f>SUMIFS(Table1[loan_amount],Table1[origination month],Table1[[#This Row],[origination month]])</f>
        <v>21976400</v>
      </c>
      <c r="AR377" s="2">
        <f>AVERAGEIFS(Table1[months_on_book],Table1[product],Table1[[#This Row],[product]])</f>
        <v>20.516129032258064</v>
      </c>
      <c r="AS377" s="2" t="str">
        <f ca="1">IF(EDATE(Table1[[#This Row],[origination_date]],6) &gt;= TODAY(), "New Loan", "Old Loan")</f>
        <v>Old Loan</v>
      </c>
      <c r="AT377" s="2" t="str">
        <f>"Q"&amp;ROUNDUP(MONTH(Table1[[#This Row],[origination_date]])/3,0)&amp;YEAR(Table1[[#This Row],[origination_date]])</f>
        <v>Q32025</v>
      </c>
      <c r="AU377" s="2">
        <f>SUMIFS(Table1[loan_amount],Table1[quarter],Table1[[#This Row],[quarter]])</f>
        <v>59662800</v>
      </c>
      <c r="AV377" s="34" t="str">
        <f>_xlfn.TEXTJOIN("|",TRUE,Table1[[#This Row],[loan_id]:[loan_status]])</f>
        <v>L81413491|C5976937|45884|Home Loan|Online|Central|Contract|48|5399800|11.23|140165|838325|668|C|0.29|0.71|7642500|4|563369|4917284|0|0|0|Active</v>
      </c>
      <c r="AW377" s="42">
        <f>YEAR(Loan_Table[ [#This Row],[origination_date] ])</f>
        <v>2025</v>
      </c>
    </row>
    <row r="378" spans="2:49" ht="18" customHeight="1">
      <c r="B378" s="5" t="s">
        <v>876</v>
      </c>
      <c r="C378" s="2" t="s">
        <v>877</v>
      </c>
      <c r="D378" s="3">
        <v>45873</v>
      </c>
      <c r="E378" s="2" t="s">
        <v>169</v>
      </c>
      <c r="F378" s="2" t="s">
        <v>132</v>
      </c>
      <c r="G378" s="2" t="s">
        <v>170</v>
      </c>
      <c r="H378" s="2" t="s">
        <v>134</v>
      </c>
      <c r="I378" s="2">
        <v>18</v>
      </c>
      <c r="J378" s="2">
        <v>3115400</v>
      </c>
      <c r="K378" s="2">
        <v>8.2799999999999994</v>
      </c>
      <c r="L378" s="2">
        <v>184644</v>
      </c>
      <c r="M378" s="2">
        <v>762721</v>
      </c>
      <c r="N378" s="2">
        <v>741</v>
      </c>
      <c r="O378" s="2" t="s">
        <v>135</v>
      </c>
      <c r="P378" s="2">
        <v>0.26</v>
      </c>
      <c r="Q378" s="2">
        <v>0.81</v>
      </c>
      <c r="R378" s="2">
        <v>3840800</v>
      </c>
      <c r="S378" s="2">
        <v>4</v>
      </c>
      <c r="T378" s="2">
        <v>661833</v>
      </c>
      <c r="U378" s="2">
        <v>2487961</v>
      </c>
      <c r="V378" s="2">
        <v>0</v>
      </c>
      <c r="W378" s="2">
        <v>0</v>
      </c>
      <c r="X378" s="2">
        <v>0</v>
      </c>
      <c r="Y378" s="2" t="s">
        <v>148</v>
      </c>
      <c r="Z378" s="12">
        <f>SUMIF(Table1[product],Table1[[#This Row],[product]],Table1[loan_amount])</f>
        <v>403369500</v>
      </c>
      <c r="AA378" s="15">
        <f>SUMIF(Table1[region],Table1[[#This Row],[region]],Table1[current_balance])</f>
        <v>83297251</v>
      </c>
      <c r="AB378" s="2">
        <f>COUNTIF(Table1[loan_status],Table1[[#This Row],[loan_status]])</f>
        <v>301</v>
      </c>
      <c r="AC378" s="2">
        <f>COUNTIF(Table1[default_flag],1)/ROWS(Table1[loan_id])</f>
        <v>2.5999999999999999E-2</v>
      </c>
      <c r="AD378" s="2">
        <f>COUNTIFS(Table1[region],Table1[[#This Row],[region]],Table1[default_flag],1)/COUNTIF(Table1[region],Table1[[#This Row],[region]])</f>
        <v>3.1914893617021274E-2</v>
      </c>
      <c r="AE378" s="2">
        <f>COUNTIFS(Table1[channel],Table1[[#This Row],[channel]],Table1[prepayment_flag],1)/COUNTIF(Table1[channel],Table1[[#This Row],[channel]])</f>
        <v>7.1090047393364927E-2</v>
      </c>
      <c r="AF378" s="2">
        <f>AVERAGEIFS(Table1[interest_rate_pct],Table1[product],Table1[[#This Row],[product]],Table1[risk_band],Table1[[#This Row],[risk_band]])</f>
        <v>8.8557142857142868</v>
      </c>
      <c r="AG378" s="2" t="str" cm="1">
        <f t="array" ref="AG378">_xlfn.IFS(Table1[[#This Row],[dti_ratio]] &lt; 0.2, " less than 0.2", Table1[[#This Row],[dti_ratio]] &lt; 0.3, "0.2 - 0.3", Table1[[#This Row],[dti_ratio]] &lt;= 0.5, "0.35 - 0.5", Table1[[#This Row],[dti_ratio]] &gt; 0.5, "greater than 0.5")</f>
        <v>0.2 - 0.3</v>
      </c>
      <c r="AH378" s="2">
        <f>COUNTIF(Table1[DTI band],Table1[[#This Row],[DTI band]])</f>
        <v>122</v>
      </c>
      <c r="AI378" s="2" t="str" cm="1">
        <f t="array" ref="AI378">_xlfn.IFS(Table1[[#This Row],[ltv_ratio]] &lt; 0.6, "less than 0.6 -less risky", Table1[[#This Row],[ltv_ratio]]  &lt;= 0.8, "0.6 - 0.8 -medium risky",Table1[[#This Row],[ltv_ratio]] &gt; 0.8, "greater than 0.8 -highly risky")</f>
        <v>greater than 0.8 -highly risky</v>
      </c>
      <c r="AJ378" s="2">
        <f>COUNTIF(Table1[LTV band],Table1[[#This Row],[LTV band]])</f>
        <v>141</v>
      </c>
      <c r="AK378" s="2">
        <f>COUNTIFS(Table1[count_loan_perband],Table1[[#This Row],[count_loan_perband]],Table1[default_flag],1)/COUNTIF(Table1[count_loan_perband],Table1[[#This Row],[count_loan_perband]])</f>
        <v>1.4184397163120567E-2</v>
      </c>
      <c r="AL378" s="2" t="str" cm="1">
        <f t="array" ref="AL378">_xlfn.IFS(Table1[[#This Row],[loan_amount]] &lt; 900000, "lower size (&lt; 9L)", Table1[[#This Row],[loan_amount]] &lt;=3300000, "medium size (&lt;=33L)", Table1[[#This Row],[loan_amount]] &gt; 3300000, "larger size (&gt; 33L)")</f>
        <v>medium size (&lt;=33L)</v>
      </c>
      <c r="AM378" s="2">
        <f>IF(Table1[[#This Row],[dpd]] &gt;=30,1,0)</f>
        <v>0</v>
      </c>
      <c r="AN378" s="2">
        <f>COUNTIFS(Table1[Loan size],Table1[[#This Row],[Loan size]],Table1[dpd flag],1)/COUNTIF(Table1[Loan size],Table1[[#This Row],[Loan size]])</f>
        <v>0.15909090909090909</v>
      </c>
      <c r="AO378" s="2" t="str">
        <f>IF(OR(Table1[[#This Row],[credit_score]] &lt; 600, Table1[ [#This Row],[dti_ratio] ] &gt; 0.5, Table1[[#This Row],[dpd]] &gt;=30), "high risk", " not riskY")</f>
        <v xml:space="preserve"> not riskY</v>
      </c>
      <c r="AP378" s="26">
        <f>EOMONTH(Table1[[#This Row],[origination_date]],0)</f>
        <v>45900</v>
      </c>
      <c r="AQ378" s="2">
        <f>SUMIFS(Table1[loan_amount],Table1[origination month],Table1[[#This Row],[origination month]])</f>
        <v>21976400</v>
      </c>
      <c r="AR378" s="2">
        <f>AVERAGEIFS(Table1[months_on_book],Table1[product],Table1[[#This Row],[product]])</f>
        <v>20.516129032258064</v>
      </c>
      <c r="AS378" s="2" t="str">
        <f ca="1">IF(EDATE(Table1[[#This Row],[origination_date]],6) &gt;= TODAY(), "New Loan", "Old Loan")</f>
        <v>Old Loan</v>
      </c>
      <c r="AT378" s="2" t="str">
        <f>"Q"&amp;ROUNDUP(MONTH(Table1[[#This Row],[origination_date]])/3,0)&amp;YEAR(Table1[[#This Row],[origination_date]])</f>
        <v>Q32025</v>
      </c>
      <c r="AU378" s="2">
        <f>SUMIFS(Table1[loan_amount],Table1[quarter],Table1[[#This Row],[quarter]])</f>
        <v>59662800</v>
      </c>
      <c r="AV378" s="34" t="str">
        <f>_xlfn.TEXTJOIN("|",TRUE,Table1[[#This Row],[loan_id]:[loan_status]])</f>
        <v>L40086229|C2188925|45873|Home Loan|Online|East|Salaried|18|3115400|8.28|184644|762721|741|B|0.26|0.81|3840800|4|661833|2487961|0|0|0|Active</v>
      </c>
      <c r="AW378" s="42">
        <f>YEAR(Loan_Table[ [#This Row],[origination_date] ])</f>
        <v>2022</v>
      </c>
    </row>
    <row r="379" spans="2:49" ht="18" customHeight="1">
      <c r="B379" s="5" t="s">
        <v>878</v>
      </c>
      <c r="C379" s="2" t="s">
        <v>879</v>
      </c>
      <c r="D379" s="3">
        <v>45852</v>
      </c>
      <c r="E379" s="2" t="s">
        <v>158</v>
      </c>
      <c r="F379" s="2" t="s">
        <v>144</v>
      </c>
      <c r="G379" s="2" t="s">
        <v>151</v>
      </c>
      <c r="H379" s="2" t="s">
        <v>134</v>
      </c>
      <c r="I379" s="2">
        <v>360</v>
      </c>
      <c r="J379" s="2">
        <v>3380200</v>
      </c>
      <c r="K379" s="2">
        <v>16.43</v>
      </c>
      <c r="L379" s="2">
        <v>46629</v>
      </c>
      <c r="M379" s="2">
        <v>1535784</v>
      </c>
      <c r="N379" s="2">
        <v>684</v>
      </c>
      <c r="O379" s="2" t="s">
        <v>140</v>
      </c>
      <c r="P379" s="2">
        <v>0.26</v>
      </c>
      <c r="Q379" s="2">
        <v>0.78</v>
      </c>
      <c r="R379" s="2">
        <v>4319400</v>
      </c>
      <c r="S379" s="2">
        <v>5</v>
      </c>
      <c r="T379" s="2">
        <v>228756</v>
      </c>
      <c r="U379" s="2">
        <v>3244005</v>
      </c>
      <c r="V379" s="2">
        <v>0</v>
      </c>
      <c r="W379" s="2">
        <v>0</v>
      </c>
      <c r="X379" s="2">
        <v>0</v>
      </c>
      <c r="Y379" s="2" t="s">
        <v>148</v>
      </c>
      <c r="Z379" s="12">
        <f>SUMIF(Table1[product],Table1[[#This Row],[product]],Table1[loan_amount])</f>
        <v>201475100</v>
      </c>
      <c r="AA379" s="15">
        <f>SUMIF(Table1[region],Table1[[#This Row],[region]],Table1[current_balance])</f>
        <v>105779369</v>
      </c>
      <c r="AB379" s="2">
        <f>COUNTIF(Table1[loan_status],Table1[[#This Row],[loan_status]])</f>
        <v>301</v>
      </c>
      <c r="AC379" s="2">
        <f>COUNTIF(Table1[default_flag],1)/ROWS(Table1[loan_id])</f>
        <v>2.5999999999999999E-2</v>
      </c>
      <c r="AD379" s="2">
        <f>COUNTIFS(Table1[region],Table1[[#This Row],[region]],Table1[default_flag],1)/COUNTIF(Table1[region],Table1[[#This Row],[region]])</f>
        <v>2.6548672566371681E-2</v>
      </c>
      <c r="AE379" s="2">
        <f>COUNTIFS(Table1[channel],Table1[[#This Row],[channel]],Table1[prepayment_flag],1)/COUNTIF(Table1[channel],Table1[[#This Row],[channel]])</f>
        <v>5.8201058201058198E-2</v>
      </c>
      <c r="AF379" s="2">
        <f>AVERAGEIFS(Table1[interest_rate_pct],Table1[product],Table1[[#This Row],[product]],Table1[risk_band],Table1[[#This Row],[risk_band]])</f>
        <v>15.841379310344831</v>
      </c>
      <c r="AG379" s="2" t="str" cm="1">
        <f t="array" ref="AG379">_xlfn.IFS(Table1[[#This Row],[dti_ratio]] &lt; 0.2, " less than 0.2", Table1[[#This Row],[dti_ratio]] &lt; 0.3, "0.2 - 0.3", Table1[[#This Row],[dti_ratio]] &lt;= 0.5, "0.35 - 0.5", Table1[[#This Row],[dti_ratio]] &gt; 0.5, "greater than 0.5")</f>
        <v>0.2 - 0.3</v>
      </c>
      <c r="AH379" s="2">
        <f>COUNTIF(Table1[DTI band],Table1[[#This Row],[DTI band]])</f>
        <v>122</v>
      </c>
      <c r="AI379" s="2" t="str" cm="1">
        <f t="array" ref="AI379">_xlfn.IFS(Table1[[#This Row],[ltv_ratio]] &lt; 0.6, "less than 0.6 -less risky", Table1[[#This Row],[ltv_ratio]]  &lt;= 0.8, "0.6 - 0.8 -medium risky",Table1[[#This Row],[ltv_ratio]] &gt; 0.8, "greater than 0.8 -highly risky")</f>
        <v>0.6 - 0.8 -medium risky</v>
      </c>
      <c r="AJ379" s="2">
        <f>COUNTIF(Table1[LTV band],Table1[[#This Row],[LTV band]])</f>
        <v>302</v>
      </c>
      <c r="AK379" s="2">
        <f>COUNTIFS(Table1[count_loan_perband],Table1[[#This Row],[count_loan_perband]],Table1[default_flag],1)/COUNTIF(Table1[count_loan_perband],Table1[[#This Row],[count_loan_perband]])</f>
        <v>3.6423841059602648E-2</v>
      </c>
      <c r="AL379" s="2" t="str" cm="1">
        <f t="array" ref="AL379">_xlfn.IFS(Table1[[#This Row],[loan_amount]] &lt; 900000, "lower size (&lt; 9L)", Table1[[#This Row],[loan_amount]] &lt;=3300000, "medium size (&lt;=33L)", Table1[[#This Row],[loan_amount]] &gt; 3300000, "larger size (&gt; 33L)")</f>
        <v>larger size (&gt; 33L)</v>
      </c>
      <c r="AM379" s="2">
        <f>IF(Table1[[#This Row],[dpd]] &gt;=30,1,0)</f>
        <v>0</v>
      </c>
      <c r="AN379" s="2">
        <f>COUNTIFS(Table1[Loan size],Table1[[#This Row],[Loan size]],Table1[dpd flag],1)/COUNTIF(Table1[Loan size],Table1[[#This Row],[Loan size]])</f>
        <v>0.16250000000000001</v>
      </c>
      <c r="AO379" s="2" t="str">
        <f>IF(OR(Table1[[#This Row],[credit_score]] &lt; 600, Table1[ [#This Row],[dti_ratio] ] &gt; 0.5, Table1[[#This Row],[dpd]] &gt;=30), "high risk", " not riskY")</f>
        <v xml:space="preserve"> not riskY</v>
      </c>
      <c r="AP379" s="26">
        <f>EOMONTH(Table1[[#This Row],[origination_date]],0)</f>
        <v>45869</v>
      </c>
      <c r="AQ379" s="2">
        <f>SUMIFS(Table1[loan_amount],Table1[origination month],Table1[[#This Row],[origination month]])</f>
        <v>28875700</v>
      </c>
      <c r="AR379" s="2">
        <f>AVERAGEIFS(Table1[months_on_book],Table1[product],Table1[[#This Row],[product]])</f>
        <v>19.091954022988507</v>
      </c>
      <c r="AS379" s="2" t="str">
        <f ca="1">IF(EDATE(Table1[[#This Row],[origination_date]],6) &gt;= TODAY(), "New Loan", "Old Loan")</f>
        <v>Old Loan</v>
      </c>
      <c r="AT379" s="2" t="str">
        <f>"Q"&amp;ROUNDUP(MONTH(Table1[[#This Row],[origination_date]])/3,0)&amp;YEAR(Table1[[#This Row],[origination_date]])</f>
        <v>Q32025</v>
      </c>
      <c r="AU379" s="2">
        <f>SUMIFS(Table1[loan_amount],Table1[quarter],Table1[[#This Row],[quarter]])</f>
        <v>59662800</v>
      </c>
      <c r="AV379" s="34" t="str">
        <f>_xlfn.TEXTJOIN("|",TRUE,Table1[[#This Row],[loan_id]:[loan_status]])</f>
        <v>L18292232|C5100921|45852|SME Loan|Branch|North|Salaried|360|3380200|16.43|46629|1535784|684|C|0.26|0.78|4319400|5|228756|3244005|0|0|0|Active</v>
      </c>
      <c r="AW379" s="42">
        <f>YEAR(Loan_Table[ [#This Row],[origination_date] ])</f>
        <v>2022</v>
      </c>
    </row>
    <row r="380" spans="2:49" ht="18" customHeight="1">
      <c r="B380" s="5" t="s">
        <v>880</v>
      </c>
      <c r="C380" s="2" t="s">
        <v>881</v>
      </c>
      <c r="D380" s="3">
        <v>45862</v>
      </c>
      <c r="E380" s="2" t="s">
        <v>131</v>
      </c>
      <c r="F380" s="2" t="s">
        <v>144</v>
      </c>
      <c r="G380" s="2" t="s">
        <v>133</v>
      </c>
      <c r="H380" s="2" t="s">
        <v>134</v>
      </c>
      <c r="I380" s="2">
        <v>24</v>
      </c>
      <c r="J380" s="2">
        <v>434200</v>
      </c>
      <c r="K380" s="2">
        <v>20.12</v>
      </c>
      <c r="L380" s="2">
        <v>22124</v>
      </c>
      <c r="M380" s="2">
        <v>1000412</v>
      </c>
      <c r="N380" s="2">
        <v>647</v>
      </c>
      <c r="O380" s="2" t="s">
        <v>147</v>
      </c>
      <c r="P380" s="2">
        <v>0.25</v>
      </c>
      <c r="Q380" s="2">
        <v>0.85</v>
      </c>
      <c r="R380" s="2">
        <v>0</v>
      </c>
      <c r="S380" s="2">
        <v>5</v>
      </c>
      <c r="T380" s="2">
        <v>98220</v>
      </c>
      <c r="U380" s="2">
        <v>350540</v>
      </c>
      <c r="V380" s="2">
        <v>0</v>
      </c>
      <c r="W380" s="2">
        <v>0</v>
      </c>
      <c r="X380" s="2">
        <v>0</v>
      </c>
      <c r="Y380" s="2" t="s">
        <v>148</v>
      </c>
      <c r="Z380" s="12">
        <f>SUMIF(Table1[product],Table1[[#This Row],[product]],Table1[loan_amount])</f>
        <v>74897600</v>
      </c>
      <c r="AA380" s="15">
        <f>SUMIF(Table1[region],Table1[[#This Row],[region]],Table1[current_balance])</f>
        <v>94548000</v>
      </c>
      <c r="AB380" s="2">
        <f>COUNTIF(Table1[loan_status],Table1[[#This Row],[loan_status]])</f>
        <v>301</v>
      </c>
      <c r="AC380" s="2">
        <f>COUNTIF(Table1[default_flag],1)/ROWS(Table1[loan_id])</f>
        <v>2.5999999999999999E-2</v>
      </c>
      <c r="AD380" s="2">
        <f>COUNTIFS(Table1[region],Table1[[#This Row],[region]],Table1[default_flag],1)/COUNTIF(Table1[region],Table1[[#This Row],[region]])</f>
        <v>0</v>
      </c>
      <c r="AE380" s="2">
        <f>COUNTIFS(Table1[channel],Table1[[#This Row],[channel]],Table1[prepayment_flag],1)/COUNTIF(Table1[channel],Table1[[#This Row],[channel]])</f>
        <v>5.8201058201058198E-2</v>
      </c>
      <c r="AF380" s="2">
        <f>AVERAGEIFS(Table1[interest_rate_pct],Table1[product],Table1[[#This Row],[product]],Table1[risk_band],Table1[[#This Row],[risk_band]])</f>
        <v>20.962592592592593</v>
      </c>
      <c r="AG380" s="2" t="str" cm="1">
        <f t="array" ref="AG380">_xlfn.IFS(Table1[[#This Row],[dti_ratio]] &lt; 0.2, " less than 0.2", Table1[[#This Row],[dti_ratio]] &lt; 0.3, "0.2 - 0.3", Table1[[#This Row],[dti_ratio]] &lt;= 0.5, "0.35 - 0.5", Table1[[#This Row],[dti_ratio]] &gt; 0.5, "greater than 0.5")</f>
        <v>0.2 - 0.3</v>
      </c>
      <c r="AH380" s="2">
        <f>COUNTIF(Table1[DTI band],Table1[[#This Row],[DTI band]])</f>
        <v>122</v>
      </c>
      <c r="AI380" s="2" t="str" cm="1">
        <f t="array" ref="AI380">_xlfn.IFS(Table1[[#This Row],[ltv_ratio]] &lt; 0.6, "less than 0.6 -less risky", Table1[[#This Row],[ltv_ratio]]  &lt;= 0.8, "0.6 - 0.8 -medium risky",Table1[[#This Row],[ltv_ratio]] &gt; 0.8, "greater than 0.8 -highly risky")</f>
        <v>greater than 0.8 -highly risky</v>
      </c>
      <c r="AJ380" s="2">
        <f>COUNTIF(Table1[LTV band],Table1[[#This Row],[LTV band]])</f>
        <v>141</v>
      </c>
      <c r="AK380" s="2">
        <f>COUNTIFS(Table1[count_loan_perband],Table1[[#This Row],[count_loan_perband]],Table1[default_flag],1)/COUNTIF(Table1[count_loan_perband],Table1[[#This Row],[count_loan_perband]])</f>
        <v>1.4184397163120567E-2</v>
      </c>
      <c r="AL380" s="2" t="str" cm="1">
        <f t="array" ref="AL380">_xlfn.IFS(Table1[[#This Row],[loan_amount]] &lt; 900000, "lower size (&lt; 9L)", Table1[[#This Row],[loan_amount]] &lt;=3300000, "medium size (&lt;=33L)", Table1[[#This Row],[loan_amount]] &gt; 3300000, "larger size (&gt; 33L)")</f>
        <v>lower size (&lt; 9L)</v>
      </c>
      <c r="AM380" s="2">
        <f>IF(Table1[[#This Row],[dpd]] &gt;=30,1,0)</f>
        <v>0</v>
      </c>
      <c r="AN380" s="2">
        <f>COUNTIFS(Table1[Loan size],Table1[[#This Row],[Loan size]],Table1[dpd flag],1)/COUNTIF(Table1[Loan size],Table1[[#This Row],[Loan size]])</f>
        <v>0.13934426229508196</v>
      </c>
      <c r="AO380" s="2" t="str">
        <f>IF(OR(Table1[[#This Row],[credit_score]] &lt; 600, Table1[ [#This Row],[dti_ratio] ] &gt; 0.5, Table1[[#This Row],[dpd]] &gt;=30), "high risk", " not riskY")</f>
        <v xml:space="preserve"> not riskY</v>
      </c>
      <c r="AP380" s="26">
        <f>EOMONTH(Table1[[#This Row],[origination_date]],0)</f>
        <v>45869</v>
      </c>
      <c r="AQ380" s="2">
        <f>SUMIFS(Table1[loan_amount],Table1[origination month],Table1[[#This Row],[origination month]])</f>
        <v>28875700</v>
      </c>
      <c r="AR380" s="2">
        <f>AVERAGEIFS(Table1[months_on_book],Table1[product],Table1[[#This Row],[product]])</f>
        <v>21.092024539877301</v>
      </c>
      <c r="AS380" s="2" t="str">
        <f ca="1">IF(EDATE(Table1[[#This Row],[origination_date]],6) &gt;= TODAY(), "New Loan", "Old Loan")</f>
        <v>Old Loan</v>
      </c>
      <c r="AT380" s="2" t="str">
        <f>"Q"&amp;ROUNDUP(MONTH(Table1[[#This Row],[origination_date]])/3,0)&amp;YEAR(Table1[[#This Row],[origination_date]])</f>
        <v>Q32025</v>
      </c>
      <c r="AU380" s="2">
        <f>SUMIFS(Table1[loan_amount],Table1[quarter],Table1[[#This Row],[quarter]])</f>
        <v>59662800</v>
      </c>
      <c r="AV380" s="34" t="str">
        <f>_xlfn.TEXTJOIN("|",TRUE,Table1[[#This Row],[loan_id]:[loan_status]])</f>
        <v>L92588691|C8239526|45862|Personal Loan|Branch|South|Salaried|24|434200|20.12|22124|1000412|647|D|0.25|0.85|0|5|98220|350540|0|0|0|Active</v>
      </c>
      <c r="AW380" s="42">
        <f>YEAR(Loan_Table[ [#This Row],[origination_date] ])</f>
        <v>2022</v>
      </c>
    </row>
    <row r="381" spans="2:49" ht="18" customHeight="1">
      <c r="B381" s="5" t="s">
        <v>882</v>
      </c>
      <c r="C381" s="2" t="s">
        <v>883</v>
      </c>
      <c r="D381" s="3">
        <v>45922</v>
      </c>
      <c r="E381" s="2" t="s">
        <v>163</v>
      </c>
      <c r="F381" s="2" t="s">
        <v>132</v>
      </c>
      <c r="G381" s="2" t="s">
        <v>133</v>
      </c>
      <c r="H381" s="2" t="s">
        <v>134</v>
      </c>
      <c r="I381" s="2">
        <v>72</v>
      </c>
      <c r="J381" s="2">
        <v>812300</v>
      </c>
      <c r="K381" s="2">
        <v>10.34</v>
      </c>
      <c r="L381" s="2">
        <v>15188</v>
      </c>
      <c r="M381" s="2">
        <v>1760385</v>
      </c>
      <c r="N381" s="2">
        <v>749</v>
      </c>
      <c r="O381" s="2" t="s">
        <v>135</v>
      </c>
      <c r="P381" s="2">
        <v>0.24</v>
      </c>
      <c r="Q381" s="2">
        <v>0.73</v>
      </c>
      <c r="R381" s="2">
        <v>1113100</v>
      </c>
      <c r="S381" s="2">
        <v>3</v>
      </c>
      <c r="T381" s="2">
        <v>45279</v>
      </c>
      <c r="U381" s="2">
        <v>775420</v>
      </c>
      <c r="V381" s="2">
        <v>0</v>
      </c>
      <c r="W381" s="2">
        <v>0</v>
      </c>
      <c r="X381" s="2">
        <v>0</v>
      </c>
      <c r="Y381" s="2" t="s">
        <v>148</v>
      </c>
      <c r="Z381" s="12">
        <f>SUMIF(Table1[product],Table1[[#This Row],[product]],Table1[loan_amount])</f>
        <v>92273000</v>
      </c>
      <c r="AA381" s="15">
        <f>SUMIF(Table1[region],Table1[[#This Row],[region]],Table1[current_balance])</f>
        <v>94548000</v>
      </c>
      <c r="AB381" s="2">
        <f>COUNTIF(Table1[loan_status],Table1[[#This Row],[loan_status]])</f>
        <v>301</v>
      </c>
      <c r="AC381" s="2">
        <f>COUNTIF(Table1[default_flag],1)/ROWS(Table1[loan_id])</f>
        <v>2.5999999999999999E-2</v>
      </c>
      <c r="AD381" s="2">
        <f>COUNTIFS(Table1[region],Table1[[#This Row],[region]],Table1[default_flag],1)/COUNTIF(Table1[region],Table1[[#This Row],[region]])</f>
        <v>0</v>
      </c>
      <c r="AE381" s="2">
        <f>COUNTIFS(Table1[channel],Table1[[#This Row],[channel]],Table1[prepayment_flag],1)/COUNTIF(Table1[channel],Table1[[#This Row],[channel]])</f>
        <v>7.1090047393364927E-2</v>
      </c>
      <c r="AF381" s="2">
        <f>AVERAGEIFS(Table1[interest_rate_pct],Table1[product],Table1[[#This Row],[product]],Table1[risk_band],Table1[[#This Row],[risk_band]])</f>
        <v>10.611923076923079</v>
      </c>
      <c r="AG381" s="2" t="str" cm="1">
        <f t="array" ref="AG381">_xlfn.IFS(Table1[[#This Row],[dti_ratio]] &lt; 0.2, " less than 0.2", Table1[[#This Row],[dti_ratio]] &lt; 0.3, "0.2 - 0.3", Table1[[#This Row],[dti_ratio]] &lt;= 0.5, "0.35 - 0.5", Table1[[#This Row],[dti_ratio]] &gt; 0.5, "greater than 0.5")</f>
        <v>0.2 - 0.3</v>
      </c>
      <c r="AH381" s="2">
        <f>COUNTIF(Table1[DTI band],Table1[[#This Row],[DTI band]])</f>
        <v>122</v>
      </c>
      <c r="AI381" s="2" t="str" cm="1">
        <f t="array" ref="AI381">_xlfn.IFS(Table1[[#This Row],[ltv_ratio]] &lt; 0.6, "less than 0.6 -less risky", Table1[[#This Row],[ltv_ratio]]  &lt;= 0.8, "0.6 - 0.8 -medium risky",Table1[[#This Row],[ltv_ratio]] &gt; 0.8, "greater than 0.8 -highly risky")</f>
        <v>0.6 - 0.8 -medium risky</v>
      </c>
      <c r="AJ381" s="2">
        <f>COUNTIF(Table1[LTV band],Table1[[#This Row],[LTV band]])</f>
        <v>302</v>
      </c>
      <c r="AK381" s="2">
        <f>COUNTIFS(Table1[count_loan_perband],Table1[[#This Row],[count_loan_perband]],Table1[default_flag],1)/COUNTIF(Table1[count_loan_perband],Table1[[#This Row],[count_loan_perband]])</f>
        <v>3.6423841059602648E-2</v>
      </c>
      <c r="AL381" s="2" t="str" cm="1">
        <f t="array" ref="AL381">_xlfn.IFS(Table1[[#This Row],[loan_amount]] &lt; 900000, "lower size (&lt; 9L)", Table1[[#This Row],[loan_amount]] &lt;=3300000, "medium size (&lt;=33L)", Table1[[#This Row],[loan_amount]] &gt; 3300000, "larger size (&gt; 33L)")</f>
        <v>lower size (&lt; 9L)</v>
      </c>
      <c r="AM381" s="2">
        <f>IF(Table1[[#This Row],[dpd]] &gt;=30,1,0)</f>
        <v>0</v>
      </c>
      <c r="AN381" s="2">
        <f>COUNTIFS(Table1[Loan size],Table1[[#This Row],[Loan size]],Table1[dpd flag],1)/COUNTIF(Table1[Loan size],Table1[[#This Row],[Loan size]])</f>
        <v>0.13934426229508196</v>
      </c>
      <c r="AO381" s="2" t="str">
        <f>IF(OR(Table1[[#This Row],[credit_score]] &lt; 600, Table1[ [#This Row],[dti_ratio] ] &gt; 0.5, Table1[[#This Row],[dpd]] &gt;=30), "high risk", " not riskY")</f>
        <v xml:space="preserve"> not riskY</v>
      </c>
      <c r="AP381" s="26">
        <f>EOMONTH(Table1[[#This Row],[origination_date]],0)</f>
        <v>45930</v>
      </c>
      <c r="AQ381" s="2">
        <f>SUMIFS(Table1[loan_amount],Table1[origination month],Table1[[#This Row],[origination month]])</f>
        <v>8810700</v>
      </c>
      <c r="AR381" s="2">
        <f>AVERAGEIFS(Table1[months_on_book],Table1[product],Table1[[#This Row],[product]])</f>
        <v>20.262135922330096</v>
      </c>
      <c r="AS381" s="2" t="str">
        <f ca="1">IF(EDATE(Table1[[#This Row],[origination_date]],6) &gt;= TODAY(), "New Loan", "Old Loan")</f>
        <v>New Loan</v>
      </c>
      <c r="AT381" s="2" t="str">
        <f>"Q"&amp;ROUNDUP(MONTH(Table1[[#This Row],[origination_date]])/3,0)&amp;YEAR(Table1[[#This Row],[origination_date]])</f>
        <v>Q32025</v>
      </c>
      <c r="AU381" s="2">
        <f>SUMIFS(Table1[loan_amount],Table1[quarter],Table1[[#This Row],[quarter]])</f>
        <v>59662800</v>
      </c>
      <c r="AV381" s="34" t="str">
        <f>_xlfn.TEXTJOIN("|",TRUE,Table1[[#This Row],[loan_id]:[loan_status]])</f>
        <v>L39841209|C4881714|45922|Auto Loan|Online|South|Salaried|72|812300|10.34|15188|1760385|749|B|0.24|0.73|1113100|3|45279|775420|0|0|0|Active</v>
      </c>
      <c r="AW381" s="42">
        <f>YEAR(Loan_Table[ [#This Row],[origination_date] ])</f>
        <v>2022</v>
      </c>
    </row>
    <row r="382" spans="2:49" ht="18" customHeight="1">
      <c r="B382" s="5" t="s">
        <v>884</v>
      </c>
      <c r="C382" s="2" t="s">
        <v>885</v>
      </c>
      <c r="D382" s="3">
        <v>45860</v>
      </c>
      <c r="E382" s="2" t="s">
        <v>131</v>
      </c>
      <c r="F382" s="2" t="s">
        <v>144</v>
      </c>
      <c r="G382" s="2" t="s">
        <v>170</v>
      </c>
      <c r="H382" s="2" t="s">
        <v>134</v>
      </c>
      <c r="I382" s="2">
        <v>36</v>
      </c>
      <c r="J382" s="2">
        <v>527300</v>
      </c>
      <c r="K382" s="2">
        <v>19.21</v>
      </c>
      <c r="L382" s="2">
        <v>19385</v>
      </c>
      <c r="M382" s="2">
        <v>490636</v>
      </c>
      <c r="N382" s="2">
        <v>661</v>
      </c>
      <c r="O382" s="2" t="s">
        <v>140</v>
      </c>
      <c r="P382" s="2">
        <v>0.23</v>
      </c>
      <c r="Q382" s="2">
        <v>0.89</v>
      </c>
      <c r="R382" s="2">
        <v>0</v>
      </c>
      <c r="S382" s="2">
        <v>5</v>
      </c>
      <c r="T382" s="2">
        <v>96966</v>
      </c>
      <c r="U382" s="2">
        <v>447216</v>
      </c>
      <c r="V382" s="2">
        <v>45</v>
      </c>
      <c r="W382" s="2">
        <v>0</v>
      </c>
      <c r="X382" s="2">
        <v>0</v>
      </c>
      <c r="Y382" s="2" t="s">
        <v>136</v>
      </c>
      <c r="Z382" s="12">
        <f>SUMIF(Table1[product],Table1[[#This Row],[product]],Table1[loan_amount])</f>
        <v>74897600</v>
      </c>
      <c r="AA382" s="15">
        <f>SUMIF(Table1[region],Table1[[#This Row],[region]],Table1[current_balance])</f>
        <v>83297251</v>
      </c>
      <c r="AB382" s="2">
        <f>COUNTIF(Table1[loan_status],Table1[[#This Row],[loan_status]])</f>
        <v>47</v>
      </c>
      <c r="AC382" s="2">
        <f>COUNTIF(Table1[default_flag],1)/ROWS(Table1[loan_id])</f>
        <v>2.5999999999999999E-2</v>
      </c>
      <c r="AD382" s="2">
        <f>COUNTIFS(Table1[region],Table1[[#This Row],[region]],Table1[default_flag],1)/COUNTIF(Table1[region],Table1[[#This Row],[region]])</f>
        <v>3.1914893617021274E-2</v>
      </c>
      <c r="AE382" s="2">
        <f>COUNTIFS(Table1[channel],Table1[[#This Row],[channel]],Table1[prepayment_flag],1)/COUNTIF(Table1[channel],Table1[[#This Row],[channel]])</f>
        <v>5.8201058201058198E-2</v>
      </c>
      <c r="AF382" s="2">
        <f>AVERAGEIFS(Table1[interest_rate_pct],Table1[product],Table1[[#This Row],[product]],Table1[risk_band],Table1[[#This Row],[risk_band]])</f>
        <v>18.603181818181817</v>
      </c>
      <c r="AG382" s="2" t="str" cm="1">
        <f t="array" ref="AG382">_xlfn.IFS(Table1[[#This Row],[dti_ratio]] &lt; 0.2, " less than 0.2", Table1[[#This Row],[dti_ratio]] &lt; 0.3, "0.2 - 0.3", Table1[[#This Row],[dti_ratio]] &lt;= 0.5, "0.35 - 0.5", Table1[[#This Row],[dti_ratio]] &gt; 0.5, "greater than 0.5")</f>
        <v>0.2 - 0.3</v>
      </c>
      <c r="AH382" s="2">
        <f>COUNTIF(Table1[DTI band],Table1[[#This Row],[DTI band]])</f>
        <v>122</v>
      </c>
      <c r="AI382" s="2" t="str" cm="1">
        <f t="array" ref="AI382">_xlfn.IFS(Table1[[#This Row],[ltv_ratio]] &lt; 0.6, "less than 0.6 -less risky", Table1[[#This Row],[ltv_ratio]]  &lt;= 0.8, "0.6 - 0.8 -medium risky",Table1[[#This Row],[ltv_ratio]] &gt; 0.8, "greater than 0.8 -highly risky")</f>
        <v>greater than 0.8 -highly risky</v>
      </c>
      <c r="AJ382" s="2">
        <f>COUNTIF(Table1[LTV band],Table1[[#This Row],[LTV band]])</f>
        <v>141</v>
      </c>
      <c r="AK382" s="2">
        <f>COUNTIFS(Table1[count_loan_perband],Table1[[#This Row],[count_loan_perband]],Table1[default_flag],1)/COUNTIF(Table1[count_loan_perband],Table1[[#This Row],[count_loan_perband]])</f>
        <v>1.4184397163120567E-2</v>
      </c>
      <c r="AL382" s="2" t="str" cm="1">
        <f t="array" ref="AL382">_xlfn.IFS(Table1[[#This Row],[loan_amount]] &lt; 900000, "lower size (&lt; 9L)", Table1[[#This Row],[loan_amount]] &lt;=3300000, "medium size (&lt;=33L)", Table1[[#This Row],[loan_amount]] &gt; 3300000, "larger size (&gt; 33L)")</f>
        <v>lower size (&lt; 9L)</v>
      </c>
      <c r="AM382" s="2">
        <f>IF(Table1[[#This Row],[dpd]] &gt;=30,1,0)</f>
        <v>1</v>
      </c>
      <c r="AN382" s="2">
        <f>COUNTIFS(Table1[Loan size],Table1[[#This Row],[Loan size]],Table1[dpd flag],1)/COUNTIF(Table1[Loan size],Table1[[#This Row],[Loan size]])</f>
        <v>0.13934426229508196</v>
      </c>
      <c r="AO382" s="2" t="str">
        <f>IF(OR(Table1[[#This Row],[credit_score]] &lt; 600, Table1[ [#This Row],[dti_ratio] ] &gt; 0.5, Table1[[#This Row],[dpd]] &gt;=30), "high risk", " not riskY")</f>
        <v>high risk</v>
      </c>
      <c r="AP382" s="26">
        <f>EOMONTH(Table1[[#This Row],[origination_date]],0)</f>
        <v>45869</v>
      </c>
      <c r="AQ382" s="2">
        <f>SUMIFS(Table1[loan_amount],Table1[origination month],Table1[[#This Row],[origination month]])</f>
        <v>28875700</v>
      </c>
      <c r="AR382" s="2">
        <f>AVERAGEIFS(Table1[months_on_book],Table1[product],Table1[[#This Row],[product]])</f>
        <v>21.092024539877301</v>
      </c>
      <c r="AS382" s="2" t="str">
        <f ca="1">IF(EDATE(Table1[[#This Row],[origination_date]],6) &gt;= TODAY(), "New Loan", "Old Loan")</f>
        <v>Old Loan</v>
      </c>
      <c r="AT382" s="2" t="str">
        <f>"Q"&amp;ROUNDUP(MONTH(Table1[[#This Row],[origination_date]])/3,0)&amp;YEAR(Table1[[#This Row],[origination_date]])</f>
        <v>Q32025</v>
      </c>
      <c r="AU382" s="2">
        <f>SUMIFS(Table1[loan_amount],Table1[quarter],Table1[[#This Row],[quarter]])</f>
        <v>59662800</v>
      </c>
      <c r="AV382" s="34" t="str">
        <f>_xlfn.TEXTJOIN("|",TRUE,Table1[[#This Row],[loan_id]:[loan_status]])</f>
        <v>L94404380|C1291407|45860|Personal Loan|Branch|East|Salaried|36|527300|19.21|19385|490636|661|C|0.23|0.89|0|5|96966|447216|45|0|0|Delinquent</v>
      </c>
      <c r="AW382" s="42">
        <f>YEAR(Loan_Table[ [#This Row],[origination_date] ])</f>
        <v>2022</v>
      </c>
    </row>
    <row r="383" spans="2:49" ht="18" customHeight="1">
      <c r="B383" s="5" t="s">
        <v>886</v>
      </c>
      <c r="C383" s="2" t="s">
        <v>887</v>
      </c>
      <c r="D383" s="3">
        <v>45861</v>
      </c>
      <c r="E383" s="2" t="s">
        <v>158</v>
      </c>
      <c r="F383" s="2" t="s">
        <v>132</v>
      </c>
      <c r="G383" s="2" t="s">
        <v>170</v>
      </c>
      <c r="H383" s="2" t="s">
        <v>134</v>
      </c>
      <c r="I383" s="2">
        <v>36</v>
      </c>
      <c r="J383" s="2">
        <v>1238300</v>
      </c>
      <c r="K383" s="2">
        <v>17.68</v>
      </c>
      <c r="L383" s="2">
        <v>44569</v>
      </c>
      <c r="M383" s="2">
        <v>551508</v>
      </c>
      <c r="N383" s="2">
        <v>664</v>
      </c>
      <c r="O383" s="2" t="s">
        <v>140</v>
      </c>
      <c r="P383" s="2">
        <v>0.23</v>
      </c>
      <c r="Q383" s="2">
        <v>0.87</v>
      </c>
      <c r="R383" s="2">
        <v>1418800</v>
      </c>
      <c r="S383" s="2">
        <v>5</v>
      </c>
      <c r="T383" s="2">
        <v>213118</v>
      </c>
      <c r="U383" s="2">
        <v>1061671</v>
      </c>
      <c r="V383" s="2">
        <v>0</v>
      </c>
      <c r="W383" s="2">
        <v>0</v>
      </c>
      <c r="X383" s="2">
        <v>0</v>
      </c>
      <c r="Y383" s="2" t="s">
        <v>148</v>
      </c>
      <c r="Z383" s="12">
        <f>SUMIF(Table1[product],Table1[[#This Row],[product]],Table1[loan_amount])</f>
        <v>201475100</v>
      </c>
      <c r="AA383" s="15">
        <f>SUMIF(Table1[region],Table1[[#This Row],[region]],Table1[current_balance])</f>
        <v>83297251</v>
      </c>
      <c r="AB383" s="2">
        <f>COUNTIF(Table1[loan_status],Table1[[#This Row],[loan_status]])</f>
        <v>301</v>
      </c>
      <c r="AC383" s="2">
        <f>COUNTIF(Table1[default_flag],1)/ROWS(Table1[loan_id])</f>
        <v>2.5999999999999999E-2</v>
      </c>
      <c r="AD383" s="2">
        <f>COUNTIFS(Table1[region],Table1[[#This Row],[region]],Table1[default_flag],1)/COUNTIF(Table1[region],Table1[[#This Row],[region]])</f>
        <v>3.1914893617021274E-2</v>
      </c>
      <c r="AE383" s="2">
        <f>COUNTIFS(Table1[channel],Table1[[#This Row],[channel]],Table1[prepayment_flag],1)/COUNTIF(Table1[channel],Table1[[#This Row],[channel]])</f>
        <v>7.1090047393364927E-2</v>
      </c>
      <c r="AF383" s="2">
        <f>AVERAGEIFS(Table1[interest_rate_pct],Table1[product],Table1[[#This Row],[product]],Table1[risk_band],Table1[[#This Row],[risk_band]])</f>
        <v>15.841379310344831</v>
      </c>
      <c r="AG383" s="2" t="str" cm="1">
        <f t="array" ref="AG383">_xlfn.IFS(Table1[[#This Row],[dti_ratio]] &lt; 0.2, " less than 0.2", Table1[[#This Row],[dti_ratio]] &lt; 0.3, "0.2 - 0.3", Table1[[#This Row],[dti_ratio]] &lt;= 0.5, "0.35 - 0.5", Table1[[#This Row],[dti_ratio]] &gt; 0.5, "greater than 0.5")</f>
        <v>0.2 - 0.3</v>
      </c>
      <c r="AH383" s="2">
        <f>COUNTIF(Table1[DTI band],Table1[[#This Row],[DTI band]])</f>
        <v>122</v>
      </c>
      <c r="AI383" s="2" t="str" cm="1">
        <f t="array" ref="AI383">_xlfn.IFS(Table1[[#This Row],[ltv_ratio]] &lt; 0.6, "less than 0.6 -less risky", Table1[[#This Row],[ltv_ratio]]  &lt;= 0.8, "0.6 - 0.8 -medium risky",Table1[[#This Row],[ltv_ratio]] &gt; 0.8, "greater than 0.8 -highly risky")</f>
        <v>greater than 0.8 -highly risky</v>
      </c>
      <c r="AJ383" s="2">
        <f>COUNTIF(Table1[LTV band],Table1[[#This Row],[LTV band]])</f>
        <v>141</v>
      </c>
      <c r="AK383" s="2">
        <f>COUNTIFS(Table1[count_loan_perband],Table1[[#This Row],[count_loan_perband]],Table1[default_flag],1)/COUNTIF(Table1[count_loan_perband],Table1[[#This Row],[count_loan_perband]])</f>
        <v>1.4184397163120567E-2</v>
      </c>
      <c r="AL383" s="2" t="str" cm="1">
        <f t="array" ref="AL383">_xlfn.IFS(Table1[[#This Row],[loan_amount]] &lt; 900000, "lower size (&lt; 9L)", Table1[[#This Row],[loan_amount]] &lt;=3300000, "medium size (&lt;=33L)", Table1[[#This Row],[loan_amount]] &gt; 3300000, "larger size (&gt; 33L)")</f>
        <v>medium size (&lt;=33L)</v>
      </c>
      <c r="AM383" s="2">
        <f>IF(Table1[[#This Row],[dpd]] &gt;=30,1,0)</f>
        <v>0</v>
      </c>
      <c r="AN383" s="2">
        <f>COUNTIFS(Table1[Loan size],Table1[[#This Row],[Loan size]],Table1[dpd flag],1)/COUNTIF(Table1[Loan size],Table1[[#This Row],[Loan size]])</f>
        <v>0.15909090909090909</v>
      </c>
      <c r="AO383" s="2" t="str">
        <f>IF(OR(Table1[[#This Row],[credit_score]] &lt; 600, Table1[ [#This Row],[dti_ratio] ] &gt; 0.5, Table1[[#This Row],[dpd]] &gt;=30), "high risk", " not riskY")</f>
        <v xml:space="preserve"> not riskY</v>
      </c>
      <c r="AP383" s="26">
        <f>EOMONTH(Table1[[#This Row],[origination_date]],0)</f>
        <v>45869</v>
      </c>
      <c r="AQ383" s="2">
        <f>SUMIFS(Table1[loan_amount],Table1[origination month],Table1[[#This Row],[origination month]])</f>
        <v>28875700</v>
      </c>
      <c r="AR383" s="2">
        <f>AVERAGEIFS(Table1[months_on_book],Table1[product],Table1[[#This Row],[product]])</f>
        <v>19.091954022988507</v>
      </c>
      <c r="AS383" s="2" t="str">
        <f ca="1">IF(EDATE(Table1[[#This Row],[origination_date]],6) &gt;= TODAY(), "New Loan", "Old Loan")</f>
        <v>Old Loan</v>
      </c>
      <c r="AT383" s="2" t="str">
        <f>"Q"&amp;ROUNDUP(MONTH(Table1[[#This Row],[origination_date]])/3,0)&amp;YEAR(Table1[[#This Row],[origination_date]])</f>
        <v>Q32025</v>
      </c>
      <c r="AU383" s="2">
        <f>SUMIFS(Table1[loan_amount],Table1[quarter],Table1[[#This Row],[quarter]])</f>
        <v>59662800</v>
      </c>
      <c r="AV383" s="34" t="str">
        <f>_xlfn.TEXTJOIN("|",TRUE,Table1[[#This Row],[loan_id]:[loan_status]])</f>
        <v>L23795588|C3436828|45861|SME Loan|Online|East|Salaried|36|1238300|17.68|44569|551508|664|C|0.23|0.87|1418800|5|213118|1061671|0|0|0|Active</v>
      </c>
      <c r="AW383" s="42">
        <f>YEAR(Loan_Table[ [#This Row],[origination_date] ])</f>
        <v>2022</v>
      </c>
    </row>
    <row r="384" spans="2:49" ht="18" customHeight="1">
      <c r="B384" s="5" t="s">
        <v>888</v>
      </c>
      <c r="C384" s="2" t="s">
        <v>889</v>
      </c>
      <c r="D384" s="3">
        <v>45878</v>
      </c>
      <c r="E384" s="2" t="s">
        <v>131</v>
      </c>
      <c r="F384" s="2" t="s">
        <v>213</v>
      </c>
      <c r="G384" s="2" t="s">
        <v>151</v>
      </c>
      <c r="H384" s="2" t="s">
        <v>146</v>
      </c>
      <c r="I384" s="2">
        <v>240</v>
      </c>
      <c r="J384" s="2">
        <v>601800</v>
      </c>
      <c r="K384" s="2">
        <v>18.579999999999998</v>
      </c>
      <c r="L384" s="2">
        <v>9557</v>
      </c>
      <c r="M384" s="2">
        <v>1562567</v>
      </c>
      <c r="N384" s="2">
        <v>679</v>
      </c>
      <c r="O384" s="2" t="s">
        <v>140</v>
      </c>
      <c r="P384" s="2">
        <v>0.21</v>
      </c>
      <c r="Q384" s="2">
        <v>0.62</v>
      </c>
      <c r="R384" s="2">
        <v>0</v>
      </c>
      <c r="S384" s="2">
        <v>4</v>
      </c>
      <c r="T384" s="2">
        <v>35320</v>
      </c>
      <c r="U384" s="2">
        <v>581389</v>
      </c>
      <c r="V384" s="2">
        <v>0</v>
      </c>
      <c r="W384" s="2">
        <v>0</v>
      </c>
      <c r="X384" s="2">
        <v>0</v>
      </c>
      <c r="Y384" s="2" t="s">
        <v>148</v>
      </c>
      <c r="Z384" s="12">
        <f>SUMIF(Table1[product],Table1[[#This Row],[product]],Table1[loan_amount])</f>
        <v>74897600</v>
      </c>
      <c r="AA384" s="15">
        <f>SUMIF(Table1[region],Table1[[#This Row],[region]],Table1[current_balance])</f>
        <v>105779369</v>
      </c>
      <c r="AB384" s="2">
        <f>COUNTIF(Table1[loan_status],Table1[[#This Row],[loan_status]])</f>
        <v>301</v>
      </c>
      <c r="AC384" s="2">
        <f>COUNTIF(Table1[default_flag],1)/ROWS(Table1[loan_id])</f>
        <v>2.5999999999999999E-2</v>
      </c>
      <c r="AD384" s="2">
        <f>COUNTIFS(Table1[region],Table1[[#This Row],[region]],Table1[default_flag],1)/COUNTIF(Table1[region],Table1[[#This Row],[region]])</f>
        <v>2.6548672566371681E-2</v>
      </c>
      <c r="AE384" s="2">
        <f>COUNTIFS(Table1[channel],Table1[[#This Row],[channel]],Table1[prepayment_flag],1)/COUNTIF(Table1[channel],Table1[[#This Row],[channel]])</f>
        <v>0.12</v>
      </c>
      <c r="AF384" s="2">
        <f>AVERAGEIFS(Table1[interest_rate_pct],Table1[product],Table1[[#This Row],[product]],Table1[risk_band],Table1[[#This Row],[risk_band]])</f>
        <v>18.603181818181817</v>
      </c>
      <c r="AG384" s="2" t="str" cm="1">
        <f t="array" ref="AG384">_xlfn.IFS(Table1[[#This Row],[dti_ratio]] &lt; 0.2, " less than 0.2", Table1[[#This Row],[dti_ratio]] &lt; 0.3, "0.2 - 0.3", Table1[[#This Row],[dti_ratio]] &lt;= 0.5, "0.35 - 0.5", Table1[[#This Row],[dti_ratio]] &gt; 0.5, "greater than 0.5")</f>
        <v>0.2 - 0.3</v>
      </c>
      <c r="AH384" s="2">
        <f>COUNTIF(Table1[DTI band],Table1[[#This Row],[DTI band]])</f>
        <v>122</v>
      </c>
      <c r="AI384" s="2" t="str" cm="1">
        <f t="array" ref="AI384">_xlfn.IFS(Table1[[#This Row],[ltv_ratio]] &lt; 0.6, "less than 0.6 -less risky", Table1[[#This Row],[ltv_ratio]]  &lt;= 0.8, "0.6 - 0.8 -medium risky",Table1[[#This Row],[ltv_ratio]] &gt; 0.8, "greater than 0.8 -highly risky")</f>
        <v>0.6 - 0.8 -medium risky</v>
      </c>
      <c r="AJ384" s="2">
        <f>COUNTIF(Table1[LTV band],Table1[[#This Row],[LTV band]])</f>
        <v>302</v>
      </c>
      <c r="AK384" s="2">
        <f>COUNTIFS(Table1[count_loan_perband],Table1[[#This Row],[count_loan_perband]],Table1[default_flag],1)/COUNTIF(Table1[count_loan_perband],Table1[[#This Row],[count_loan_perband]])</f>
        <v>3.6423841059602648E-2</v>
      </c>
      <c r="AL384" s="2" t="str" cm="1">
        <f t="array" ref="AL384">_xlfn.IFS(Table1[[#This Row],[loan_amount]] &lt; 900000, "lower size (&lt; 9L)", Table1[[#This Row],[loan_amount]] &lt;=3300000, "medium size (&lt;=33L)", Table1[[#This Row],[loan_amount]] &gt; 3300000, "larger size (&gt; 33L)")</f>
        <v>lower size (&lt; 9L)</v>
      </c>
      <c r="AM384" s="2">
        <f>IF(Table1[[#This Row],[dpd]] &gt;=30,1,0)</f>
        <v>0</v>
      </c>
      <c r="AN384" s="2">
        <f>COUNTIFS(Table1[Loan size],Table1[[#This Row],[Loan size]],Table1[dpd flag],1)/COUNTIF(Table1[Loan size],Table1[[#This Row],[Loan size]])</f>
        <v>0.13934426229508196</v>
      </c>
      <c r="AO384" s="2" t="str">
        <f>IF(OR(Table1[[#This Row],[credit_score]] &lt; 600, Table1[ [#This Row],[dti_ratio] ] &gt; 0.5, Table1[[#This Row],[dpd]] &gt;=30), "high risk", " not riskY")</f>
        <v xml:space="preserve"> not riskY</v>
      </c>
      <c r="AP384" s="26">
        <f>EOMONTH(Table1[[#This Row],[origination_date]],0)</f>
        <v>45900</v>
      </c>
      <c r="AQ384" s="2">
        <f>SUMIFS(Table1[loan_amount],Table1[origination month],Table1[[#This Row],[origination month]])</f>
        <v>21976400</v>
      </c>
      <c r="AR384" s="2">
        <f>AVERAGEIFS(Table1[months_on_book],Table1[product],Table1[[#This Row],[product]])</f>
        <v>21.092024539877301</v>
      </c>
      <c r="AS384" s="2" t="str">
        <f ca="1">IF(EDATE(Table1[[#This Row],[origination_date]],6) &gt;= TODAY(), "New Loan", "Old Loan")</f>
        <v>Old Loan</v>
      </c>
      <c r="AT384" s="2" t="str">
        <f>"Q"&amp;ROUNDUP(MONTH(Table1[[#This Row],[origination_date]])/3,0)&amp;YEAR(Table1[[#This Row],[origination_date]])</f>
        <v>Q32025</v>
      </c>
      <c r="AU384" s="2">
        <f>SUMIFS(Table1[loan_amount],Table1[quarter],Table1[[#This Row],[quarter]])</f>
        <v>59662800</v>
      </c>
      <c r="AV384" s="34" t="str">
        <f>_xlfn.TEXTJOIN("|",TRUE,Table1[[#This Row],[loan_id]:[loan_status]])</f>
        <v>L70283259|C1839889|45878|Personal Loan|Call Center|North|Contract|240|601800|18.58|9557|1562567|679|C|0.21|0.62|0|4|35320|581389|0|0|0|Active</v>
      </c>
      <c r="AW384" s="42">
        <f>YEAR(Loan_Table[ [#This Row],[origination_date] ])</f>
        <v>2022</v>
      </c>
    </row>
    <row r="385" spans="2:49" ht="18" customHeight="1">
      <c r="B385" s="5" t="s">
        <v>890</v>
      </c>
      <c r="C385" s="2" t="s">
        <v>891</v>
      </c>
      <c r="D385" s="3">
        <v>45898</v>
      </c>
      <c r="E385" s="2" t="s">
        <v>177</v>
      </c>
      <c r="F385" s="2" t="s">
        <v>144</v>
      </c>
      <c r="G385" s="2" t="s">
        <v>145</v>
      </c>
      <c r="H385" s="2" t="s">
        <v>134</v>
      </c>
      <c r="I385" s="2">
        <v>48</v>
      </c>
      <c r="J385" s="2">
        <v>2070100</v>
      </c>
      <c r="K385" s="2">
        <v>13.29</v>
      </c>
      <c r="L385" s="2">
        <v>55834</v>
      </c>
      <c r="M385" s="2">
        <v>1079030</v>
      </c>
      <c r="N385" s="2">
        <v>688</v>
      </c>
      <c r="O385" s="2" t="s">
        <v>140</v>
      </c>
      <c r="P385" s="2">
        <v>0.2</v>
      </c>
      <c r="Q385" s="2">
        <v>0.7</v>
      </c>
      <c r="R385" s="2">
        <v>0</v>
      </c>
      <c r="S385" s="2">
        <v>4</v>
      </c>
      <c r="T385" s="2">
        <v>198457</v>
      </c>
      <c r="U385" s="2">
        <v>1908325</v>
      </c>
      <c r="V385" s="2">
        <v>10</v>
      </c>
      <c r="W385" s="2">
        <v>0</v>
      </c>
      <c r="X385" s="2">
        <v>0</v>
      </c>
      <c r="Y385" s="2" t="s">
        <v>148</v>
      </c>
      <c r="Z385" s="12">
        <f>SUMIF(Table1[product],Table1[[#This Row],[product]],Table1[loan_amount])</f>
        <v>62765800</v>
      </c>
      <c r="AA385" s="15">
        <f>SUMIF(Table1[region],Table1[[#This Row],[region]],Table1[current_balance])</f>
        <v>98928695</v>
      </c>
      <c r="AB385" s="2">
        <f>COUNTIF(Table1[loan_status],Table1[[#This Row],[loan_status]])</f>
        <v>301</v>
      </c>
      <c r="AC385" s="2">
        <f>COUNTIF(Table1[default_flag],1)/ROWS(Table1[loan_id])</f>
        <v>2.5999999999999999E-2</v>
      </c>
      <c r="AD385" s="2">
        <f>COUNTIFS(Table1[region],Table1[[#This Row],[region]],Table1[default_flag],1)/COUNTIF(Table1[region],Table1[[#This Row],[region]])</f>
        <v>2.8571428571428571E-2</v>
      </c>
      <c r="AE385" s="2">
        <f>COUNTIFS(Table1[channel],Table1[[#This Row],[channel]],Table1[prepayment_flag],1)/COUNTIF(Table1[channel],Table1[[#This Row],[channel]])</f>
        <v>5.8201058201058198E-2</v>
      </c>
      <c r="AF385" s="2">
        <f>AVERAGEIFS(Table1[interest_rate_pct],Table1[product],Table1[[#This Row],[product]],Table1[risk_band],Table1[[#This Row],[risk_band]])</f>
        <v>13.463888888888889</v>
      </c>
      <c r="AG385" s="2" t="str" cm="1">
        <f t="array" ref="AG385">_xlfn.IFS(Table1[[#This Row],[dti_ratio]] &lt; 0.2, " less than 0.2", Table1[[#This Row],[dti_ratio]] &lt; 0.3, "0.2 - 0.3", Table1[[#This Row],[dti_ratio]] &lt;= 0.5, "0.35 - 0.5", Table1[[#This Row],[dti_ratio]] &gt; 0.5, "greater than 0.5")</f>
        <v>0.2 - 0.3</v>
      </c>
      <c r="AH385" s="2">
        <f>COUNTIF(Table1[DTI band],Table1[[#This Row],[DTI band]])</f>
        <v>122</v>
      </c>
      <c r="AI385" s="2" t="str" cm="1">
        <f t="array" ref="AI385">_xlfn.IFS(Table1[[#This Row],[ltv_ratio]] &lt; 0.6, "less than 0.6 -less risky", Table1[[#This Row],[ltv_ratio]]  &lt;= 0.8, "0.6 - 0.8 -medium risky",Table1[[#This Row],[ltv_ratio]] &gt; 0.8, "greater than 0.8 -highly risky")</f>
        <v>0.6 - 0.8 -medium risky</v>
      </c>
      <c r="AJ385" s="2">
        <f>COUNTIF(Table1[LTV band],Table1[[#This Row],[LTV band]])</f>
        <v>302</v>
      </c>
      <c r="AK385" s="2">
        <f>COUNTIFS(Table1[count_loan_perband],Table1[[#This Row],[count_loan_perband]],Table1[default_flag],1)/COUNTIF(Table1[count_loan_perband],Table1[[#This Row],[count_loan_perband]])</f>
        <v>3.6423841059602648E-2</v>
      </c>
      <c r="AL385" s="2" t="str" cm="1">
        <f t="array" ref="AL385">_xlfn.IFS(Table1[[#This Row],[loan_amount]] &lt; 900000, "lower size (&lt; 9L)", Table1[[#This Row],[loan_amount]] &lt;=3300000, "medium size (&lt;=33L)", Table1[[#This Row],[loan_amount]] &gt; 3300000, "larger size (&gt; 33L)")</f>
        <v>medium size (&lt;=33L)</v>
      </c>
      <c r="AM385" s="2">
        <f>IF(Table1[[#This Row],[dpd]] &gt;=30,1,0)</f>
        <v>0</v>
      </c>
      <c r="AN385" s="2">
        <f>COUNTIFS(Table1[Loan size],Table1[[#This Row],[Loan size]],Table1[dpd flag],1)/COUNTIF(Table1[Loan size],Table1[[#This Row],[Loan size]])</f>
        <v>0.15909090909090909</v>
      </c>
      <c r="AO385" s="2" t="str">
        <f>IF(OR(Table1[[#This Row],[credit_score]] &lt; 600, Table1[ [#This Row],[dti_ratio] ] &gt; 0.5, Table1[[#This Row],[dpd]] &gt;=30), "high risk", " not riskY")</f>
        <v xml:space="preserve"> not riskY</v>
      </c>
      <c r="AP385" s="26">
        <f>EOMONTH(Table1[[#This Row],[origination_date]],0)</f>
        <v>45900</v>
      </c>
      <c r="AQ385" s="2">
        <f>SUMIFS(Table1[loan_amount],Table1[origination month],Table1[[#This Row],[origination month]])</f>
        <v>21976400</v>
      </c>
      <c r="AR385" s="2">
        <f>AVERAGEIFS(Table1[months_on_book],Table1[product],Table1[[#This Row],[product]])</f>
        <v>21.962962962962962</v>
      </c>
      <c r="AS385" s="2" t="str">
        <f ca="1">IF(EDATE(Table1[[#This Row],[origination_date]],6) &gt;= TODAY(), "New Loan", "Old Loan")</f>
        <v>New Loan</v>
      </c>
      <c r="AT385" s="2" t="str">
        <f>"Q"&amp;ROUNDUP(MONTH(Table1[[#This Row],[origination_date]])/3,0)&amp;YEAR(Table1[[#This Row],[origination_date]])</f>
        <v>Q32025</v>
      </c>
      <c r="AU385" s="2">
        <f>SUMIFS(Table1[loan_amount],Table1[quarter],Table1[[#This Row],[quarter]])</f>
        <v>59662800</v>
      </c>
      <c r="AV385" s="34" t="str">
        <f>_xlfn.TEXTJOIN("|",TRUE,Table1[[#This Row],[loan_id]:[loan_status]])</f>
        <v>L21899503|C9223443|45898|Education Loan|Branch|Central|Salaried|48|2070100|13.29|55834|1079030|688|C|0.2|0.7|0|4|198457|1908325|10|0|0|Active</v>
      </c>
      <c r="AW385" s="42">
        <f>YEAR(Loan_Table[ [#This Row],[origination_date] ])</f>
        <v>2022</v>
      </c>
    </row>
    <row r="386" spans="2:49" ht="18" customHeight="1">
      <c r="B386" s="5" t="s">
        <v>892</v>
      </c>
      <c r="C386" s="2" t="s">
        <v>893</v>
      </c>
      <c r="D386" s="3">
        <v>45852</v>
      </c>
      <c r="E386" s="2" t="s">
        <v>158</v>
      </c>
      <c r="F386" s="2" t="s">
        <v>132</v>
      </c>
      <c r="G386" s="2" t="s">
        <v>170</v>
      </c>
      <c r="H386" s="2" t="s">
        <v>152</v>
      </c>
      <c r="I386" s="2">
        <v>120</v>
      </c>
      <c r="J386" s="2">
        <v>3956100</v>
      </c>
      <c r="K386" s="2">
        <v>20.420000000000002</v>
      </c>
      <c r="L386" s="2">
        <v>77559</v>
      </c>
      <c r="M386" s="2">
        <v>662871</v>
      </c>
      <c r="N386" s="2">
        <v>590</v>
      </c>
      <c r="O386" s="2" t="s">
        <v>166</v>
      </c>
      <c r="P386" s="2">
        <v>0.2</v>
      </c>
      <c r="Q386" s="2">
        <v>0.66</v>
      </c>
      <c r="R386" s="2">
        <v>5964100</v>
      </c>
      <c r="S386" s="2">
        <v>5</v>
      </c>
      <c r="T386" s="2">
        <v>349708</v>
      </c>
      <c r="U386" s="2">
        <v>3741031</v>
      </c>
      <c r="V386" s="2">
        <v>0</v>
      </c>
      <c r="W386" s="2">
        <v>1</v>
      </c>
      <c r="X386" s="2">
        <v>0</v>
      </c>
      <c r="Y386" s="2" t="s">
        <v>141</v>
      </c>
      <c r="Z386" s="12">
        <f>SUMIF(Table1[product],Table1[[#This Row],[product]],Table1[loan_amount])</f>
        <v>201475100</v>
      </c>
      <c r="AA386" s="15">
        <f>SUMIF(Table1[region],Table1[[#This Row],[region]],Table1[current_balance])</f>
        <v>83297251</v>
      </c>
      <c r="AB386" s="2">
        <f>COUNTIF(Table1[loan_status],Table1[[#This Row],[loan_status]])</f>
        <v>139</v>
      </c>
      <c r="AC386" s="2">
        <f>COUNTIF(Table1[default_flag],1)/ROWS(Table1[loan_id])</f>
        <v>2.5999999999999999E-2</v>
      </c>
      <c r="AD386" s="2">
        <f>COUNTIFS(Table1[region],Table1[[#This Row],[region]],Table1[default_flag],1)/COUNTIF(Table1[region],Table1[[#This Row],[region]])</f>
        <v>3.1914893617021274E-2</v>
      </c>
      <c r="AE386" s="2">
        <f>COUNTIFS(Table1[channel],Table1[[#This Row],[channel]],Table1[prepayment_flag],1)/COUNTIF(Table1[channel],Table1[[#This Row],[channel]])</f>
        <v>7.1090047393364927E-2</v>
      </c>
      <c r="AF386" s="2">
        <f>AVERAGEIFS(Table1[interest_rate_pct],Table1[product],Table1[[#This Row],[product]],Table1[risk_band],Table1[[#This Row],[risk_band]])</f>
        <v>20.521428571428572</v>
      </c>
      <c r="AG386" s="2" t="str" cm="1">
        <f t="array" ref="AG386">_xlfn.IFS(Table1[[#This Row],[dti_ratio]] &lt; 0.2, " less than 0.2", Table1[[#This Row],[dti_ratio]] &lt; 0.3, "0.2 - 0.3", Table1[[#This Row],[dti_ratio]] &lt;= 0.5, "0.35 - 0.5", Table1[[#This Row],[dti_ratio]] &gt; 0.5, "greater than 0.5")</f>
        <v>0.2 - 0.3</v>
      </c>
      <c r="AH386" s="2">
        <f>COUNTIF(Table1[DTI band],Table1[[#This Row],[DTI band]])</f>
        <v>122</v>
      </c>
      <c r="AI386" s="2" t="str" cm="1">
        <f t="array" ref="AI386">_xlfn.IFS(Table1[[#This Row],[ltv_ratio]] &lt; 0.6, "less than 0.6 -less risky", Table1[[#This Row],[ltv_ratio]]  &lt;= 0.8, "0.6 - 0.8 -medium risky",Table1[[#This Row],[ltv_ratio]] &gt; 0.8, "greater than 0.8 -highly risky")</f>
        <v>0.6 - 0.8 -medium risky</v>
      </c>
      <c r="AJ386" s="2">
        <f>COUNTIF(Table1[LTV band],Table1[[#This Row],[LTV band]])</f>
        <v>302</v>
      </c>
      <c r="AK386" s="2">
        <f>COUNTIFS(Table1[count_loan_perband],Table1[[#This Row],[count_loan_perband]],Table1[default_flag],1)/COUNTIF(Table1[count_loan_perband],Table1[[#This Row],[count_loan_perband]])</f>
        <v>3.6423841059602648E-2</v>
      </c>
      <c r="AL386" s="2" t="str" cm="1">
        <f t="array" ref="AL386">_xlfn.IFS(Table1[[#This Row],[loan_amount]] &lt; 900000, "lower size (&lt; 9L)", Table1[[#This Row],[loan_amount]] &lt;=3300000, "medium size (&lt;=33L)", Table1[[#This Row],[loan_amount]] &gt; 3300000, "larger size (&gt; 33L)")</f>
        <v>larger size (&gt; 33L)</v>
      </c>
      <c r="AM386" s="2">
        <f>IF(Table1[[#This Row],[dpd]] &gt;=30,1,0)</f>
        <v>0</v>
      </c>
      <c r="AN386" s="2">
        <f>COUNTIFS(Table1[Loan size],Table1[[#This Row],[Loan size]],Table1[dpd flag],1)/COUNTIF(Table1[Loan size],Table1[[#This Row],[Loan size]])</f>
        <v>0.16250000000000001</v>
      </c>
      <c r="AO386" s="2" t="str">
        <f>IF(OR(Table1[[#This Row],[credit_score]] &lt; 600, Table1[ [#This Row],[dti_ratio] ] &gt; 0.5, Table1[[#This Row],[dpd]] &gt;=30), "high risk", " not riskY")</f>
        <v>high risk</v>
      </c>
      <c r="AP386" s="26">
        <f>EOMONTH(Table1[[#This Row],[origination_date]],0)</f>
        <v>45869</v>
      </c>
      <c r="AQ386" s="2">
        <f>SUMIFS(Table1[loan_amount],Table1[origination month],Table1[[#This Row],[origination month]])</f>
        <v>28875700</v>
      </c>
      <c r="AR386" s="2">
        <f>AVERAGEIFS(Table1[months_on_book],Table1[product],Table1[[#This Row],[product]])</f>
        <v>19.091954022988507</v>
      </c>
      <c r="AS386" s="2" t="str">
        <f ca="1">IF(EDATE(Table1[[#This Row],[origination_date]],6) &gt;= TODAY(), "New Loan", "Old Loan")</f>
        <v>Old Loan</v>
      </c>
      <c r="AT386" s="2" t="str">
        <f>"Q"&amp;ROUNDUP(MONTH(Table1[[#This Row],[origination_date]])/3,0)&amp;YEAR(Table1[[#This Row],[origination_date]])</f>
        <v>Q32025</v>
      </c>
      <c r="AU386" s="2">
        <f>SUMIFS(Table1[loan_amount],Table1[quarter],Table1[[#This Row],[quarter]])</f>
        <v>59662800</v>
      </c>
      <c r="AV386" s="34" t="str">
        <f>_xlfn.TEXTJOIN("|",TRUE,Table1[[#This Row],[loan_id]:[loan_status]])</f>
        <v>L82371207|C3712083|45852|SME Loan|Online|East|Self-Employed|120|3956100|20.42|77559|662871|590|E|0.2|0.66|5964100|5|349708|3741031|0|1|0|Closed</v>
      </c>
      <c r="AW386" s="42">
        <f>YEAR(Loan_Table[ [#This Row],[origination_date] ])</f>
        <v>2022</v>
      </c>
    </row>
    <row r="387" spans="2:49" ht="18" customHeight="1">
      <c r="B387" s="5" t="s">
        <v>894</v>
      </c>
      <c r="C387" s="2" t="s">
        <v>895</v>
      </c>
      <c r="D387" s="3">
        <v>45893</v>
      </c>
      <c r="E387" s="2" t="s">
        <v>158</v>
      </c>
      <c r="F387" s="2" t="s">
        <v>144</v>
      </c>
      <c r="G387" s="2" t="s">
        <v>145</v>
      </c>
      <c r="H387" s="2" t="s">
        <v>146</v>
      </c>
      <c r="I387" s="2">
        <v>36</v>
      </c>
      <c r="J387" s="2">
        <v>1711000</v>
      </c>
      <c r="K387" s="2">
        <v>18.309999999999999</v>
      </c>
      <c r="L387" s="2">
        <v>62123</v>
      </c>
      <c r="M387" s="2">
        <v>928951</v>
      </c>
      <c r="N387" s="2">
        <v>614</v>
      </c>
      <c r="O387" s="2" t="s">
        <v>147</v>
      </c>
      <c r="P387" s="2">
        <v>0.2</v>
      </c>
      <c r="Q387" s="2">
        <v>0.63</v>
      </c>
      <c r="R387" s="2">
        <v>2700300</v>
      </c>
      <c r="S387" s="2">
        <v>4</v>
      </c>
      <c r="T387" s="2">
        <v>214943</v>
      </c>
      <c r="U387" s="2">
        <v>1537828</v>
      </c>
      <c r="V387" s="2">
        <v>90</v>
      </c>
      <c r="W387" s="2">
        <v>0</v>
      </c>
      <c r="X387" s="2">
        <v>1</v>
      </c>
      <c r="Y387" s="2" t="s">
        <v>153</v>
      </c>
      <c r="Z387" s="12">
        <f>SUMIF(Table1[product],Table1[[#This Row],[product]],Table1[loan_amount])</f>
        <v>201475100</v>
      </c>
      <c r="AA387" s="15">
        <f>SUMIF(Table1[region],Table1[[#This Row],[region]],Table1[current_balance])</f>
        <v>98928695</v>
      </c>
      <c r="AB387" s="2">
        <f>COUNTIF(Table1[loan_status],Table1[[#This Row],[loan_status]])</f>
        <v>13</v>
      </c>
      <c r="AC387" s="2">
        <f>COUNTIF(Table1[default_flag],1)/ROWS(Table1[loan_id])</f>
        <v>2.5999999999999999E-2</v>
      </c>
      <c r="AD387" s="2">
        <f>COUNTIFS(Table1[region],Table1[[#This Row],[region]],Table1[default_flag],1)/COUNTIF(Table1[region],Table1[[#This Row],[region]])</f>
        <v>2.8571428571428571E-2</v>
      </c>
      <c r="AE387" s="2">
        <f>COUNTIFS(Table1[channel],Table1[[#This Row],[channel]],Table1[prepayment_flag],1)/COUNTIF(Table1[channel],Table1[[#This Row],[channel]])</f>
        <v>5.8201058201058198E-2</v>
      </c>
      <c r="AF387" s="2">
        <f>AVERAGEIFS(Table1[interest_rate_pct],Table1[product],Table1[[#This Row],[product]],Table1[risk_band],Table1[[#This Row],[risk_band]])</f>
        <v>18.241249999999997</v>
      </c>
      <c r="AG387" s="2" t="str" cm="1">
        <f t="array" ref="AG387">_xlfn.IFS(Table1[[#This Row],[dti_ratio]] &lt; 0.2, " less than 0.2", Table1[[#This Row],[dti_ratio]] &lt; 0.3, "0.2 - 0.3", Table1[[#This Row],[dti_ratio]] &lt;= 0.5, "0.35 - 0.5", Table1[[#This Row],[dti_ratio]] &gt; 0.5, "greater than 0.5")</f>
        <v>0.2 - 0.3</v>
      </c>
      <c r="AH387" s="2">
        <f>COUNTIF(Table1[DTI band],Table1[[#This Row],[DTI band]])</f>
        <v>122</v>
      </c>
      <c r="AI387" s="2" t="str" cm="1">
        <f t="array" ref="AI387">_xlfn.IFS(Table1[[#This Row],[ltv_ratio]] &lt; 0.6, "less than 0.6 -less risky", Table1[[#This Row],[ltv_ratio]]  &lt;= 0.8, "0.6 - 0.8 -medium risky",Table1[[#This Row],[ltv_ratio]] &gt; 0.8, "greater than 0.8 -highly risky")</f>
        <v>0.6 - 0.8 -medium risky</v>
      </c>
      <c r="AJ387" s="2">
        <f>COUNTIF(Table1[LTV band],Table1[[#This Row],[LTV band]])</f>
        <v>302</v>
      </c>
      <c r="AK387" s="2">
        <f>COUNTIFS(Table1[count_loan_perband],Table1[[#This Row],[count_loan_perband]],Table1[default_flag],1)/COUNTIF(Table1[count_loan_perband],Table1[[#This Row],[count_loan_perband]])</f>
        <v>3.6423841059602648E-2</v>
      </c>
      <c r="AL387" s="2" t="str" cm="1">
        <f t="array" ref="AL387">_xlfn.IFS(Table1[[#This Row],[loan_amount]] &lt; 900000, "lower size (&lt; 9L)", Table1[[#This Row],[loan_amount]] &lt;=3300000, "medium size (&lt;=33L)", Table1[[#This Row],[loan_amount]] &gt; 3300000, "larger size (&gt; 33L)")</f>
        <v>medium size (&lt;=33L)</v>
      </c>
      <c r="AM387" s="2">
        <f>IF(Table1[[#This Row],[dpd]] &gt;=30,1,0)</f>
        <v>1</v>
      </c>
      <c r="AN387" s="2">
        <f>COUNTIFS(Table1[Loan size],Table1[[#This Row],[Loan size]],Table1[dpd flag],1)/COUNTIF(Table1[Loan size],Table1[[#This Row],[Loan size]])</f>
        <v>0.15909090909090909</v>
      </c>
      <c r="AO387" s="2" t="str">
        <f>IF(OR(Table1[[#This Row],[credit_score]] &lt; 600, Table1[ [#This Row],[dti_ratio] ] &gt; 0.5, Table1[[#This Row],[dpd]] &gt;=30), "high risk", " not riskY")</f>
        <v>high risk</v>
      </c>
      <c r="AP387" s="26">
        <f>EOMONTH(Table1[[#This Row],[origination_date]],0)</f>
        <v>45900</v>
      </c>
      <c r="AQ387" s="2">
        <f>SUMIFS(Table1[loan_amount],Table1[origination month],Table1[[#This Row],[origination month]])</f>
        <v>21976400</v>
      </c>
      <c r="AR387" s="2">
        <f>AVERAGEIFS(Table1[months_on_book],Table1[product],Table1[[#This Row],[product]])</f>
        <v>19.091954022988507</v>
      </c>
      <c r="AS387" s="2" t="str">
        <f ca="1">IF(EDATE(Table1[[#This Row],[origination_date]],6) &gt;= TODAY(), "New Loan", "Old Loan")</f>
        <v>Old Loan</v>
      </c>
      <c r="AT387" s="2" t="str">
        <f>"Q"&amp;ROUNDUP(MONTH(Table1[[#This Row],[origination_date]])/3,0)&amp;YEAR(Table1[[#This Row],[origination_date]])</f>
        <v>Q32025</v>
      </c>
      <c r="AU387" s="2">
        <f>SUMIFS(Table1[loan_amount],Table1[quarter],Table1[[#This Row],[quarter]])</f>
        <v>59662800</v>
      </c>
      <c r="AV387" s="34" t="str">
        <f>_xlfn.TEXTJOIN("|",TRUE,Table1[[#This Row],[loan_id]:[loan_status]])</f>
        <v>L29312620|C8687715|45893|SME Loan|Branch|Central|Contract|36|1711000|18.31|62123|928951|614|D|0.2|0.63|2700300|4|214943|1537828|90|0|1|Default</v>
      </c>
      <c r="AW387" s="42">
        <f>YEAR(Loan_Table[ [#This Row],[origination_date] ])</f>
        <v>2022</v>
      </c>
    </row>
    <row r="388" spans="2:49" ht="18" customHeight="1">
      <c r="B388" s="5" t="s">
        <v>896</v>
      </c>
      <c r="C388" s="2" t="s">
        <v>897</v>
      </c>
      <c r="D388" s="3">
        <v>45870</v>
      </c>
      <c r="E388" s="2" t="s">
        <v>131</v>
      </c>
      <c r="F388" s="2" t="s">
        <v>144</v>
      </c>
      <c r="G388" s="2" t="s">
        <v>151</v>
      </c>
      <c r="H388" s="2" t="s">
        <v>152</v>
      </c>
      <c r="I388" s="2">
        <v>36</v>
      </c>
      <c r="J388" s="2">
        <v>515200</v>
      </c>
      <c r="K388" s="2">
        <v>18.03</v>
      </c>
      <c r="L388" s="2">
        <v>18633</v>
      </c>
      <c r="M388" s="2">
        <v>809868</v>
      </c>
      <c r="N388" s="2">
        <v>686</v>
      </c>
      <c r="O388" s="2" t="s">
        <v>140</v>
      </c>
      <c r="P388" s="2">
        <v>0.19</v>
      </c>
      <c r="Q388" s="2">
        <v>0.65</v>
      </c>
      <c r="R388" s="2">
        <v>0</v>
      </c>
      <c r="S388" s="2">
        <v>4</v>
      </c>
      <c r="T388" s="2">
        <v>75678</v>
      </c>
      <c r="U388" s="2">
        <v>451907</v>
      </c>
      <c r="V388" s="2">
        <v>0</v>
      </c>
      <c r="W388" s="2">
        <v>0</v>
      </c>
      <c r="X388" s="2">
        <v>0</v>
      </c>
      <c r="Y388" s="2" t="s">
        <v>148</v>
      </c>
      <c r="Z388" s="12">
        <f>SUMIF(Table1[product],Table1[[#This Row],[product]],Table1[loan_amount])</f>
        <v>74897600</v>
      </c>
      <c r="AA388" s="15">
        <f>SUMIF(Table1[region],Table1[[#This Row],[region]],Table1[current_balance])</f>
        <v>105779369</v>
      </c>
      <c r="AB388" s="2">
        <f>COUNTIF(Table1[loan_status],Table1[[#This Row],[loan_status]])</f>
        <v>301</v>
      </c>
      <c r="AC388" s="2">
        <f>COUNTIF(Table1[default_flag],1)/ROWS(Table1[loan_id])</f>
        <v>2.5999999999999999E-2</v>
      </c>
      <c r="AD388" s="2">
        <f>COUNTIFS(Table1[region],Table1[[#This Row],[region]],Table1[default_flag],1)/COUNTIF(Table1[region],Table1[[#This Row],[region]])</f>
        <v>2.6548672566371681E-2</v>
      </c>
      <c r="AE388" s="2">
        <f>COUNTIFS(Table1[channel],Table1[[#This Row],[channel]],Table1[prepayment_flag],1)/COUNTIF(Table1[channel],Table1[[#This Row],[channel]])</f>
        <v>5.8201058201058198E-2</v>
      </c>
      <c r="AF388" s="2">
        <f>AVERAGEIFS(Table1[interest_rate_pct],Table1[product],Table1[[#This Row],[product]],Table1[risk_band],Table1[[#This Row],[risk_band]])</f>
        <v>18.603181818181817</v>
      </c>
      <c r="AG388" s="2" t="str" cm="1">
        <f t="array" ref="AG388">_xlfn.IFS(Table1[[#This Row],[dti_ratio]] &lt; 0.2, " less than 0.2", Table1[[#This Row],[dti_ratio]] &lt; 0.3, "0.2 - 0.3", Table1[[#This Row],[dti_ratio]] &lt;= 0.5, "0.35 - 0.5", Table1[[#This Row],[dti_ratio]] &gt; 0.5, "greater than 0.5")</f>
        <v xml:space="preserve"> less than 0.2</v>
      </c>
      <c r="AH388" s="2">
        <f>COUNTIF(Table1[DTI band],Table1[[#This Row],[DTI band]])</f>
        <v>86</v>
      </c>
      <c r="AI388" s="2" t="str" cm="1">
        <f t="array" ref="AI388">_xlfn.IFS(Table1[[#This Row],[ltv_ratio]] &lt; 0.6, "less than 0.6 -less risky", Table1[[#This Row],[ltv_ratio]]  &lt;= 0.8, "0.6 - 0.8 -medium risky",Table1[[#This Row],[ltv_ratio]] &gt; 0.8, "greater than 0.8 -highly risky")</f>
        <v>0.6 - 0.8 -medium risky</v>
      </c>
      <c r="AJ388" s="2">
        <f>COUNTIF(Table1[LTV band],Table1[[#This Row],[LTV band]])</f>
        <v>302</v>
      </c>
      <c r="AK388" s="2">
        <f>COUNTIFS(Table1[count_loan_perband],Table1[[#This Row],[count_loan_perband]],Table1[default_flag],1)/COUNTIF(Table1[count_loan_perband],Table1[[#This Row],[count_loan_perband]])</f>
        <v>3.6423841059602648E-2</v>
      </c>
      <c r="AL388" s="2" t="str" cm="1">
        <f t="array" ref="AL388">_xlfn.IFS(Table1[[#This Row],[loan_amount]] &lt; 900000, "lower size (&lt; 9L)", Table1[[#This Row],[loan_amount]] &lt;=3300000, "medium size (&lt;=33L)", Table1[[#This Row],[loan_amount]] &gt; 3300000, "larger size (&gt; 33L)")</f>
        <v>lower size (&lt; 9L)</v>
      </c>
      <c r="AM388" s="2">
        <f>IF(Table1[[#This Row],[dpd]] &gt;=30,1,0)</f>
        <v>0</v>
      </c>
      <c r="AN388" s="2">
        <f>COUNTIFS(Table1[Loan size],Table1[[#This Row],[Loan size]],Table1[dpd flag],1)/COUNTIF(Table1[Loan size],Table1[[#This Row],[Loan size]])</f>
        <v>0.13934426229508196</v>
      </c>
      <c r="AO388" s="2" t="str">
        <f>IF(OR(Table1[[#This Row],[credit_score]] &lt; 600, Table1[ [#This Row],[dti_ratio] ] &gt; 0.5, Table1[[#This Row],[dpd]] &gt;=30), "high risk", " not riskY")</f>
        <v xml:space="preserve"> not riskY</v>
      </c>
      <c r="AP388" s="26">
        <f>EOMONTH(Table1[[#This Row],[origination_date]],0)</f>
        <v>45900</v>
      </c>
      <c r="AQ388" s="2">
        <f>SUMIFS(Table1[loan_amount],Table1[origination month],Table1[[#This Row],[origination month]])</f>
        <v>21976400</v>
      </c>
      <c r="AR388" s="2">
        <f>AVERAGEIFS(Table1[months_on_book],Table1[product],Table1[[#This Row],[product]])</f>
        <v>21.092024539877301</v>
      </c>
      <c r="AS388" s="2" t="str">
        <f ca="1">IF(EDATE(Table1[[#This Row],[origination_date]],6) &gt;= TODAY(), "New Loan", "Old Loan")</f>
        <v>Old Loan</v>
      </c>
      <c r="AT388" s="2" t="str">
        <f>"Q"&amp;ROUNDUP(MONTH(Table1[[#This Row],[origination_date]])/3,0)&amp;YEAR(Table1[[#This Row],[origination_date]])</f>
        <v>Q32025</v>
      </c>
      <c r="AU388" s="2">
        <f>SUMIFS(Table1[loan_amount],Table1[quarter],Table1[[#This Row],[quarter]])</f>
        <v>59662800</v>
      </c>
      <c r="AV388" s="34" t="str">
        <f>_xlfn.TEXTJOIN("|",TRUE,Table1[[#This Row],[loan_id]:[loan_status]])</f>
        <v>L36891816|C3146975|45870|Personal Loan|Branch|North|Self-Employed|36|515200|18.03|18633|809868|686|C|0.19|0.65|0|4|75678|451907|0|0|0|Active</v>
      </c>
      <c r="AW388" s="42">
        <f>YEAR(Loan_Table[ [#This Row],[origination_date] ])</f>
        <v>2022</v>
      </c>
    </row>
    <row r="389" spans="2:49" ht="18" customHeight="1">
      <c r="B389" s="5" t="s">
        <v>898</v>
      </c>
      <c r="C389" s="2" t="s">
        <v>899</v>
      </c>
      <c r="D389" s="3">
        <v>45859</v>
      </c>
      <c r="E389" s="2" t="s">
        <v>131</v>
      </c>
      <c r="F389" s="2" t="s">
        <v>213</v>
      </c>
      <c r="G389" s="2" t="s">
        <v>170</v>
      </c>
      <c r="H389" s="2" t="s">
        <v>152</v>
      </c>
      <c r="I389" s="2">
        <v>48</v>
      </c>
      <c r="J389" s="2">
        <v>208000</v>
      </c>
      <c r="K389" s="2">
        <v>22.28</v>
      </c>
      <c r="L389" s="2">
        <v>6585</v>
      </c>
      <c r="M389" s="2">
        <v>862118</v>
      </c>
      <c r="N389" s="2">
        <v>629</v>
      </c>
      <c r="O389" s="2" t="s">
        <v>147</v>
      </c>
      <c r="P389" s="2">
        <v>0.18</v>
      </c>
      <c r="Q389" s="2">
        <v>0.73</v>
      </c>
      <c r="R389" s="2">
        <v>0</v>
      </c>
      <c r="S389" s="2">
        <v>5</v>
      </c>
      <c r="T389" s="2">
        <v>30451</v>
      </c>
      <c r="U389" s="2">
        <v>185273</v>
      </c>
      <c r="V389" s="2">
        <v>0</v>
      </c>
      <c r="W389" s="2">
        <v>0</v>
      </c>
      <c r="X389" s="2">
        <v>0</v>
      </c>
      <c r="Y389" s="2" t="s">
        <v>148</v>
      </c>
      <c r="Z389" s="12">
        <f>SUMIF(Table1[product],Table1[[#This Row],[product]],Table1[loan_amount])</f>
        <v>74897600</v>
      </c>
      <c r="AA389" s="15">
        <f>SUMIF(Table1[region],Table1[[#This Row],[region]],Table1[current_balance])</f>
        <v>83297251</v>
      </c>
      <c r="AB389" s="2">
        <f>COUNTIF(Table1[loan_status],Table1[[#This Row],[loan_status]])</f>
        <v>301</v>
      </c>
      <c r="AC389" s="2">
        <f>COUNTIF(Table1[default_flag],1)/ROWS(Table1[loan_id])</f>
        <v>2.5999999999999999E-2</v>
      </c>
      <c r="AD389" s="2">
        <f>COUNTIFS(Table1[region],Table1[[#This Row],[region]],Table1[default_flag],1)/COUNTIF(Table1[region],Table1[[#This Row],[region]])</f>
        <v>3.1914893617021274E-2</v>
      </c>
      <c r="AE389" s="2">
        <f>COUNTIFS(Table1[channel],Table1[[#This Row],[channel]],Table1[prepayment_flag],1)/COUNTIF(Table1[channel],Table1[[#This Row],[channel]])</f>
        <v>0.12</v>
      </c>
      <c r="AF389" s="2">
        <f>AVERAGEIFS(Table1[interest_rate_pct],Table1[product],Table1[[#This Row],[product]],Table1[risk_band],Table1[[#This Row],[risk_band]])</f>
        <v>20.962592592592593</v>
      </c>
      <c r="AG389" s="2" t="str" cm="1">
        <f t="array" ref="AG389">_xlfn.IFS(Table1[[#This Row],[dti_ratio]] &lt; 0.2, " less than 0.2", Table1[[#This Row],[dti_ratio]] &lt; 0.3, "0.2 - 0.3", Table1[[#This Row],[dti_ratio]] &lt;= 0.5, "0.35 - 0.5", Table1[[#This Row],[dti_ratio]] &gt; 0.5, "greater than 0.5")</f>
        <v xml:space="preserve"> less than 0.2</v>
      </c>
      <c r="AH389" s="2">
        <f>COUNTIF(Table1[DTI band],Table1[[#This Row],[DTI band]])</f>
        <v>86</v>
      </c>
      <c r="AI389" s="2" t="str" cm="1">
        <f t="array" ref="AI389">_xlfn.IFS(Table1[[#This Row],[ltv_ratio]] &lt; 0.6, "less than 0.6 -less risky", Table1[[#This Row],[ltv_ratio]]  &lt;= 0.8, "0.6 - 0.8 -medium risky",Table1[[#This Row],[ltv_ratio]] &gt; 0.8, "greater than 0.8 -highly risky")</f>
        <v>0.6 - 0.8 -medium risky</v>
      </c>
      <c r="AJ389" s="2">
        <f>COUNTIF(Table1[LTV band],Table1[[#This Row],[LTV band]])</f>
        <v>302</v>
      </c>
      <c r="AK389" s="2">
        <f>COUNTIFS(Table1[count_loan_perband],Table1[[#This Row],[count_loan_perband]],Table1[default_flag],1)/COUNTIF(Table1[count_loan_perband],Table1[[#This Row],[count_loan_perband]])</f>
        <v>3.6423841059602648E-2</v>
      </c>
      <c r="AL389" s="2" t="str" cm="1">
        <f t="array" ref="AL389">_xlfn.IFS(Table1[[#This Row],[loan_amount]] &lt; 900000, "lower size (&lt; 9L)", Table1[[#This Row],[loan_amount]] &lt;=3300000, "medium size (&lt;=33L)", Table1[[#This Row],[loan_amount]] &gt; 3300000, "larger size (&gt; 33L)")</f>
        <v>lower size (&lt; 9L)</v>
      </c>
      <c r="AM389" s="2">
        <f>IF(Table1[[#This Row],[dpd]] &gt;=30,1,0)</f>
        <v>0</v>
      </c>
      <c r="AN389" s="2">
        <f>COUNTIFS(Table1[Loan size],Table1[[#This Row],[Loan size]],Table1[dpd flag],1)/COUNTIF(Table1[Loan size],Table1[[#This Row],[Loan size]])</f>
        <v>0.13934426229508196</v>
      </c>
      <c r="AO389" s="2" t="str">
        <f>IF(OR(Table1[[#This Row],[credit_score]] &lt; 600, Table1[ [#This Row],[dti_ratio] ] &gt; 0.5, Table1[[#This Row],[dpd]] &gt;=30), "high risk", " not riskY")</f>
        <v xml:space="preserve"> not riskY</v>
      </c>
      <c r="AP389" s="26">
        <f>EOMONTH(Table1[[#This Row],[origination_date]],0)</f>
        <v>45869</v>
      </c>
      <c r="AQ389" s="2">
        <f>SUMIFS(Table1[loan_amount],Table1[origination month],Table1[[#This Row],[origination month]])</f>
        <v>28875700</v>
      </c>
      <c r="AR389" s="2">
        <f>AVERAGEIFS(Table1[months_on_book],Table1[product],Table1[[#This Row],[product]])</f>
        <v>21.092024539877301</v>
      </c>
      <c r="AS389" s="2" t="str">
        <f ca="1">IF(EDATE(Table1[[#This Row],[origination_date]],6) &gt;= TODAY(), "New Loan", "Old Loan")</f>
        <v>Old Loan</v>
      </c>
      <c r="AT389" s="2" t="str">
        <f>"Q"&amp;ROUNDUP(MONTH(Table1[[#This Row],[origination_date]])/3,0)&amp;YEAR(Table1[[#This Row],[origination_date]])</f>
        <v>Q32025</v>
      </c>
      <c r="AU389" s="2">
        <f>SUMIFS(Table1[loan_amount],Table1[quarter],Table1[[#This Row],[quarter]])</f>
        <v>59662800</v>
      </c>
      <c r="AV389" s="34" t="str">
        <f>_xlfn.TEXTJOIN("|",TRUE,Table1[[#This Row],[loan_id]:[loan_status]])</f>
        <v>L80232788|C5628005|45859|Personal Loan|Call Center|East|Self-Employed|48|208000|22.28|6585|862118|629|D|0.18|0.73|0|5|30451|185273|0|0|0|Active</v>
      </c>
      <c r="AW389" s="42">
        <f>YEAR(Loan_Table[ [#This Row],[origination_date] ])</f>
        <v>2022</v>
      </c>
    </row>
    <row r="390" spans="2:49" ht="18" customHeight="1">
      <c r="B390" s="5" t="s">
        <v>900</v>
      </c>
      <c r="C390" s="2" t="s">
        <v>901</v>
      </c>
      <c r="D390" s="3">
        <v>45903</v>
      </c>
      <c r="E390" s="2" t="s">
        <v>169</v>
      </c>
      <c r="F390" s="2" t="s">
        <v>132</v>
      </c>
      <c r="G390" s="2" t="s">
        <v>133</v>
      </c>
      <c r="H390" s="2" t="s">
        <v>134</v>
      </c>
      <c r="I390" s="2">
        <v>240</v>
      </c>
      <c r="J390" s="2">
        <v>4816600</v>
      </c>
      <c r="K390" s="2">
        <v>13.34</v>
      </c>
      <c r="L390" s="2">
        <v>57601</v>
      </c>
      <c r="M390" s="2">
        <v>613855</v>
      </c>
      <c r="N390" s="2">
        <v>620</v>
      </c>
      <c r="O390" s="2" t="s">
        <v>147</v>
      </c>
      <c r="P390" s="2">
        <v>0.17</v>
      </c>
      <c r="Q390" s="2">
        <v>0.76</v>
      </c>
      <c r="R390" s="2">
        <v>6306800</v>
      </c>
      <c r="S390" s="2">
        <v>3</v>
      </c>
      <c r="T390" s="2">
        <v>147142</v>
      </c>
      <c r="U390" s="2">
        <v>4733711</v>
      </c>
      <c r="V390" s="2">
        <v>0</v>
      </c>
      <c r="W390" s="2">
        <v>0</v>
      </c>
      <c r="X390" s="2">
        <v>0</v>
      </c>
      <c r="Y390" s="2" t="s">
        <v>148</v>
      </c>
      <c r="Z390" s="12">
        <f>SUMIF(Table1[product],Table1[[#This Row],[product]],Table1[loan_amount])</f>
        <v>403369500</v>
      </c>
      <c r="AA390" s="15">
        <f>SUMIF(Table1[region],Table1[[#This Row],[region]],Table1[current_balance])</f>
        <v>94548000</v>
      </c>
      <c r="AB390" s="2">
        <f>COUNTIF(Table1[loan_status],Table1[[#This Row],[loan_status]])</f>
        <v>301</v>
      </c>
      <c r="AC390" s="2">
        <f>COUNTIF(Table1[default_flag],1)/ROWS(Table1[loan_id])</f>
        <v>2.5999999999999999E-2</v>
      </c>
      <c r="AD390" s="2">
        <f>COUNTIFS(Table1[region],Table1[[#This Row],[region]],Table1[default_flag],1)/COUNTIF(Table1[region],Table1[[#This Row],[region]])</f>
        <v>0</v>
      </c>
      <c r="AE390" s="2">
        <f>COUNTIFS(Table1[channel],Table1[[#This Row],[channel]],Table1[prepayment_flag],1)/COUNTIF(Table1[channel],Table1[[#This Row],[channel]])</f>
        <v>7.1090047393364927E-2</v>
      </c>
      <c r="AF390" s="2">
        <f>AVERAGEIFS(Table1[interest_rate_pct],Table1[product],Table1[[#This Row],[product]],Table1[risk_band],Table1[[#This Row],[risk_band]])</f>
        <v>13.406874999999999</v>
      </c>
      <c r="AG390" s="2" t="str" cm="1">
        <f t="array" ref="AG390">_xlfn.IFS(Table1[[#This Row],[dti_ratio]] &lt; 0.2, " less than 0.2", Table1[[#This Row],[dti_ratio]] &lt; 0.3, "0.2 - 0.3", Table1[[#This Row],[dti_ratio]] &lt;= 0.5, "0.35 - 0.5", Table1[[#This Row],[dti_ratio]] &gt; 0.5, "greater than 0.5")</f>
        <v xml:space="preserve"> less than 0.2</v>
      </c>
      <c r="AH390" s="2">
        <f>COUNTIF(Table1[DTI band],Table1[[#This Row],[DTI band]])</f>
        <v>86</v>
      </c>
      <c r="AI390" s="2" t="str" cm="1">
        <f t="array" ref="AI390">_xlfn.IFS(Table1[[#This Row],[ltv_ratio]] &lt; 0.6, "less than 0.6 -less risky", Table1[[#This Row],[ltv_ratio]]  &lt;= 0.8, "0.6 - 0.8 -medium risky",Table1[[#This Row],[ltv_ratio]] &gt; 0.8, "greater than 0.8 -highly risky")</f>
        <v>0.6 - 0.8 -medium risky</v>
      </c>
      <c r="AJ390" s="2">
        <f>COUNTIF(Table1[LTV band],Table1[[#This Row],[LTV band]])</f>
        <v>302</v>
      </c>
      <c r="AK390" s="2">
        <f>COUNTIFS(Table1[count_loan_perband],Table1[[#This Row],[count_loan_perband]],Table1[default_flag],1)/COUNTIF(Table1[count_loan_perband],Table1[[#This Row],[count_loan_perband]])</f>
        <v>3.6423841059602648E-2</v>
      </c>
      <c r="AL390" s="2" t="str" cm="1">
        <f t="array" ref="AL390">_xlfn.IFS(Table1[[#This Row],[loan_amount]] &lt; 900000, "lower size (&lt; 9L)", Table1[[#This Row],[loan_amount]] &lt;=3300000, "medium size (&lt;=33L)", Table1[[#This Row],[loan_amount]] &gt; 3300000, "larger size (&gt; 33L)")</f>
        <v>larger size (&gt; 33L)</v>
      </c>
      <c r="AM390" s="2">
        <f>IF(Table1[[#This Row],[dpd]] &gt;=30,1,0)</f>
        <v>0</v>
      </c>
      <c r="AN390" s="2">
        <f>COUNTIFS(Table1[Loan size],Table1[[#This Row],[Loan size]],Table1[dpd flag],1)/COUNTIF(Table1[Loan size],Table1[[#This Row],[Loan size]])</f>
        <v>0.16250000000000001</v>
      </c>
      <c r="AO390" s="2" t="str">
        <f>IF(OR(Table1[[#This Row],[credit_score]] &lt; 600, Table1[ [#This Row],[dti_ratio] ] &gt; 0.5, Table1[[#This Row],[dpd]] &gt;=30), "high risk", " not riskY")</f>
        <v xml:space="preserve"> not riskY</v>
      </c>
      <c r="AP390" s="26">
        <f>EOMONTH(Table1[[#This Row],[origination_date]],0)</f>
        <v>45930</v>
      </c>
      <c r="AQ390" s="2">
        <f>SUMIFS(Table1[loan_amount],Table1[origination month],Table1[[#This Row],[origination month]])</f>
        <v>8810700</v>
      </c>
      <c r="AR390" s="2">
        <f>AVERAGEIFS(Table1[months_on_book],Table1[product],Table1[[#This Row],[product]])</f>
        <v>20.516129032258064</v>
      </c>
      <c r="AS390" s="2" t="str">
        <f ca="1">IF(EDATE(Table1[[#This Row],[origination_date]],6) &gt;= TODAY(), "New Loan", "Old Loan")</f>
        <v>New Loan</v>
      </c>
      <c r="AT390" s="2" t="str">
        <f>"Q"&amp;ROUNDUP(MONTH(Table1[[#This Row],[origination_date]])/3,0)&amp;YEAR(Table1[[#This Row],[origination_date]])</f>
        <v>Q32025</v>
      </c>
      <c r="AU390" s="2">
        <f>SUMIFS(Table1[loan_amount],Table1[quarter],Table1[[#This Row],[quarter]])</f>
        <v>59662800</v>
      </c>
      <c r="AV390" s="34" t="str">
        <f>_xlfn.TEXTJOIN("|",TRUE,Table1[[#This Row],[loan_id]:[loan_status]])</f>
        <v>L38236380|C9760652|45903|Home Loan|Online|South|Salaried|240|4816600|13.34|57601|613855|620|D|0.17|0.76|6306800|3|147142|4733711|0|0|0|Active</v>
      </c>
      <c r="AW390" s="42">
        <f>YEAR(Loan_Table[ [#This Row],[origination_date] ])</f>
        <v>2022</v>
      </c>
    </row>
    <row r="391" spans="2:49" ht="18" customHeight="1">
      <c r="B391" s="5" t="s">
        <v>902</v>
      </c>
      <c r="C391" s="2" t="s">
        <v>903</v>
      </c>
      <c r="D391" s="3">
        <v>45920</v>
      </c>
      <c r="E391" s="2" t="s">
        <v>131</v>
      </c>
      <c r="F391" s="2" t="s">
        <v>144</v>
      </c>
      <c r="G391" s="2" t="s">
        <v>145</v>
      </c>
      <c r="H391" s="2" t="s">
        <v>146</v>
      </c>
      <c r="I391" s="2">
        <v>180</v>
      </c>
      <c r="J391" s="2">
        <v>318900</v>
      </c>
      <c r="K391" s="2">
        <v>16.37</v>
      </c>
      <c r="L391" s="2">
        <v>4766</v>
      </c>
      <c r="M391" s="2">
        <v>519874</v>
      </c>
      <c r="N391" s="2">
        <v>722</v>
      </c>
      <c r="O391" s="2" t="s">
        <v>135</v>
      </c>
      <c r="P391" s="2">
        <v>0.11</v>
      </c>
      <c r="Q391" s="2">
        <v>0.46</v>
      </c>
      <c r="R391" s="2">
        <v>0</v>
      </c>
      <c r="S391" s="2">
        <v>3</v>
      </c>
      <c r="T391" s="2">
        <v>13109</v>
      </c>
      <c r="U391" s="2">
        <v>311011</v>
      </c>
      <c r="V391" s="2">
        <v>0</v>
      </c>
      <c r="W391" s="2">
        <v>0</v>
      </c>
      <c r="X391" s="2">
        <v>0</v>
      </c>
      <c r="Y391" s="2" t="s">
        <v>148</v>
      </c>
      <c r="Z391" s="12">
        <f>SUMIF(Table1[product],Table1[[#This Row],[product]],Table1[loan_amount])</f>
        <v>74897600</v>
      </c>
      <c r="AA391" s="15">
        <f>SUMIF(Table1[region],Table1[[#This Row],[region]],Table1[current_balance])</f>
        <v>98928695</v>
      </c>
      <c r="AB391" s="2">
        <f>COUNTIF(Table1[loan_status],Table1[[#This Row],[loan_status]])</f>
        <v>301</v>
      </c>
      <c r="AC391" s="2">
        <f>COUNTIF(Table1[default_flag],1)/ROWS(Table1[loan_id])</f>
        <v>2.5999999999999999E-2</v>
      </c>
      <c r="AD391" s="2">
        <f>COUNTIFS(Table1[region],Table1[[#This Row],[region]],Table1[default_flag],1)/COUNTIF(Table1[region],Table1[[#This Row],[region]])</f>
        <v>2.8571428571428571E-2</v>
      </c>
      <c r="AE391" s="2">
        <f>COUNTIFS(Table1[channel],Table1[[#This Row],[channel]],Table1[prepayment_flag],1)/COUNTIF(Table1[channel],Table1[[#This Row],[channel]])</f>
        <v>5.8201058201058198E-2</v>
      </c>
      <c r="AF391" s="2">
        <f>AVERAGEIFS(Table1[interest_rate_pct],Table1[product],Table1[[#This Row],[product]],Table1[risk_band],Table1[[#This Row],[risk_band]])</f>
        <v>16.500166666666669</v>
      </c>
      <c r="AG391" s="2" t="str" cm="1">
        <f t="array" ref="AG391">_xlfn.IFS(Table1[[#This Row],[dti_ratio]] &lt; 0.2, " less than 0.2", Table1[[#This Row],[dti_ratio]] &lt; 0.3, "0.2 - 0.3", Table1[[#This Row],[dti_ratio]] &lt;= 0.5, "0.35 - 0.5", Table1[[#This Row],[dti_ratio]] &gt; 0.5, "greater than 0.5")</f>
        <v xml:space="preserve"> less than 0.2</v>
      </c>
      <c r="AH391" s="2">
        <f>COUNTIF(Table1[DTI band],Table1[[#This Row],[DTI band]])</f>
        <v>86</v>
      </c>
      <c r="AI391" s="2" t="str" cm="1">
        <f t="array" ref="AI391">_xlfn.IFS(Table1[[#This Row],[ltv_ratio]] &lt; 0.6, "less than 0.6 -less risky", Table1[[#This Row],[ltv_ratio]]  &lt;= 0.8, "0.6 - 0.8 -medium risky",Table1[[#This Row],[ltv_ratio]] &gt; 0.8, "greater than 0.8 -highly risky")</f>
        <v>less than 0.6 -less risky</v>
      </c>
      <c r="AJ391" s="2">
        <f>COUNTIF(Table1[LTV band],Table1[[#This Row],[LTV band]])</f>
        <v>57</v>
      </c>
      <c r="AK391" s="2">
        <f>COUNTIFS(Table1[count_loan_perband],Table1[[#This Row],[count_loan_perband]],Table1[default_flag],1)/COUNTIF(Table1[count_loan_perband],Table1[[#This Row],[count_loan_perband]])</f>
        <v>0</v>
      </c>
      <c r="AL391" s="2" t="str" cm="1">
        <f t="array" ref="AL391">_xlfn.IFS(Table1[[#This Row],[loan_amount]] &lt; 900000, "lower size (&lt; 9L)", Table1[[#This Row],[loan_amount]] &lt;=3300000, "medium size (&lt;=33L)", Table1[[#This Row],[loan_amount]] &gt; 3300000, "larger size (&gt; 33L)")</f>
        <v>lower size (&lt; 9L)</v>
      </c>
      <c r="AM391" s="2">
        <f>IF(Table1[[#This Row],[dpd]] &gt;=30,1,0)</f>
        <v>0</v>
      </c>
      <c r="AN391" s="2">
        <f>COUNTIFS(Table1[Loan size],Table1[[#This Row],[Loan size]],Table1[dpd flag],1)/COUNTIF(Table1[Loan size],Table1[[#This Row],[Loan size]])</f>
        <v>0.13934426229508196</v>
      </c>
      <c r="AO391" s="2" t="str">
        <f>IF(OR(Table1[[#This Row],[credit_score]] &lt; 600, Table1[ [#This Row],[dti_ratio] ] &gt; 0.5, Table1[[#This Row],[dpd]] &gt;=30), "high risk", " not riskY")</f>
        <v xml:space="preserve"> not riskY</v>
      </c>
      <c r="AP391" s="26">
        <f>EOMONTH(Table1[[#This Row],[origination_date]],0)</f>
        <v>45930</v>
      </c>
      <c r="AQ391" s="2">
        <f>SUMIFS(Table1[loan_amount],Table1[origination month],Table1[[#This Row],[origination month]])</f>
        <v>8810700</v>
      </c>
      <c r="AR391" s="2">
        <f>AVERAGEIFS(Table1[months_on_book],Table1[product],Table1[[#This Row],[product]])</f>
        <v>21.092024539877301</v>
      </c>
      <c r="AS391" s="2" t="str">
        <f ca="1">IF(EDATE(Table1[[#This Row],[origination_date]],6) &gt;= TODAY(), "New Loan", "Old Loan")</f>
        <v>New Loan</v>
      </c>
      <c r="AT391" s="2" t="str">
        <f>"Q"&amp;ROUNDUP(MONTH(Table1[[#This Row],[origination_date]])/3,0)&amp;YEAR(Table1[[#This Row],[origination_date]])</f>
        <v>Q32025</v>
      </c>
      <c r="AU391" s="2">
        <f>SUMIFS(Table1[loan_amount],Table1[quarter],Table1[[#This Row],[quarter]])</f>
        <v>59662800</v>
      </c>
      <c r="AV391" s="34" t="str">
        <f>_xlfn.TEXTJOIN("|",TRUE,Table1[[#This Row],[loan_id]:[loan_status]])</f>
        <v>L93475212|C8854223|45920|Personal Loan|Branch|Central|Contract|180|318900|16.37|4766|519874|722|B|0.11|0.46|0|3|13109|311011|0|0|0|Active</v>
      </c>
      <c r="AW391" s="42">
        <f>YEAR(Loan_Table[ [#This Row],[origination_date] ])</f>
        <v>2022</v>
      </c>
    </row>
    <row r="392" spans="2:49" ht="18" customHeight="1">
      <c r="B392" s="5" t="s">
        <v>904</v>
      </c>
      <c r="C392" s="2" t="s">
        <v>905</v>
      </c>
      <c r="D392" s="3">
        <v>45845</v>
      </c>
      <c r="E392" s="2" t="s">
        <v>169</v>
      </c>
      <c r="F392" s="2" t="s">
        <v>213</v>
      </c>
      <c r="G392" s="2" t="s">
        <v>145</v>
      </c>
      <c r="H392" s="2" t="s">
        <v>134</v>
      </c>
      <c r="I392" s="2">
        <v>72</v>
      </c>
      <c r="J392" s="2">
        <v>6964300</v>
      </c>
      <c r="K392" s="2">
        <v>13.07</v>
      </c>
      <c r="L392" s="2">
        <v>140060</v>
      </c>
      <c r="M392" s="2">
        <v>1025078</v>
      </c>
      <c r="N392" s="2">
        <v>618</v>
      </c>
      <c r="O392" s="2" t="s">
        <v>147</v>
      </c>
      <c r="P392" s="2">
        <v>0.05</v>
      </c>
      <c r="Q392" s="2">
        <v>0.72</v>
      </c>
      <c r="R392" s="2">
        <v>9691900</v>
      </c>
      <c r="S392" s="2">
        <v>5</v>
      </c>
      <c r="T392" s="2">
        <v>618952</v>
      </c>
      <c r="U392" s="2">
        <v>6497054</v>
      </c>
      <c r="V392" s="2">
        <v>0</v>
      </c>
      <c r="W392" s="2">
        <v>0</v>
      </c>
      <c r="X392" s="2">
        <v>0</v>
      </c>
      <c r="Y392" s="2" t="s">
        <v>148</v>
      </c>
      <c r="Z392" s="12">
        <f>SUMIF(Table1[product],Table1[[#This Row],[product]],Table1[loan_amount])</f>
        <v>403369500</v>
      </c>
      <c r="AA392" s="15">
        <f>SUMIF(Table1[region],Table1[[#This Row],[region]],Table1[current_balance])</f>
        <v>98928695</v>
      </c>
      <c r="AB392" s="2">
        <f>COUNTIF(Table1[loan_status],Table1[[#This Row],[loan_status]])</f>
        <v>301</v>
      </c>
      <c r="AC392" s="2">
        <f>COUNTIF(Table1[default_flag],1)/ROWS(Table1[loan_id])</f>
        <v>2.5999999999999999E-2</v>
      </c>
      <c r="AD392" s="2">
        <f>COUNTIFS(Table1[region],Table1[[#This Row],[region]],Table1[default_flag],1)/COUNTIF(Table1[region],Table1[[#This Row],[region]])</f>
        <v>2.8571428571428571E-2</v>
      </c>
      <c r="AE392" s="2">
        <f>COUNTIFS(Table1[channel],Table1[[#This Row],[channel]],Table1[prepayment_flag],1)/COUNTIF(Table1[channel],Table1[[#This Row],[channel]])</f>
        <v>0.12</v>
      </c>
      <c r="AF392" s="2">
        <f>AVERAGEIFS(Table1[interest_rate_pct],Table1[product],Table1[[#This Row],[product]],Table1[risk_band],Table1[[#This Row],[risk_band]])</f>
        <v>13.406874999999999</v>
      </c>
      <c r="AG392" s="2" t="str" cm="1">
        <f t="array" ref="AG392">_xlfn.IFS(Table1[[#This Row],[dti_ratio]] &lt; 0.2, " less than 0.2", Table1[[#This Row],[dti_ratio]] &lt; 0.3, "0.2 - 0.3", Table1[[#This Row],[dti_ratio]] &lt;= 0.5, "0.35 - 0.5", Table1[[#This Row],[dti_ratio]] &gt; 0.5, "greater than 0.5")</f>
        <v xml:space="preserve"> less than 0.2</v>
      </c>
      <c r="AH392" s="2">
        <f>COUNTIF(Table1[DTI band],Table1[[#This Row],[DTI band]])</f>
        <v>86</v>
      </c>
      <c r="AI392" s="2" t="str" cm="1">
        <f t="array" ref="AI392">_xlfn.IFS(Table1[[#This Row],[ltv_ratio]] &lt; 0.6, "less than 0.6 -less risky", Table1[[#This Row],[ltv_ratio]]  &lt;= 0.8, "0.6 - 0.8 -medium risky",Table1[[#This Row],[ltv_ratio]] &gt; 0.8, "greater than 0.8 -highly risky")</f>
        <v>0.6 - 0.8 -medium risky</v>
      </c>
      <c r="AJ392" s="2">
        <f>COUNTIF(Table1[LTV band],Table1[[#This Row],[LTV band]])</f>
        <v>302</v>
      </c>
      <c r="AK392" s="2">
        <f>COUNTIFS(Table1[count_loan_perband],Table1[[#This Row],[count_loan_perband]],Table1[default_flag],1)/COUNTIF(Table1[count_loan_perband],Table1[[#This Row],[count_loan_perband]])</f>
        <v>3.6423841059602648E-2</v>
      </c>
      <c r="AL392" s="2" t="str" cm="1">
        <f t="array" ref="AL392">_xlfn.IFS(Table1[[#This Row],[loan_amount]] &lt; 900000, "lower size (&lt; 9L)", Table1[[#This Row],[loan_amount]] &lt;=3300000, "medium size (&lt;=33L)", Table1[[#This Row],[loan_amount]] &gt; 3300000, "larger size (&gt; 33L)")</f>
        <v>larger size (&gt; 33L)</v>
      </c>
      <c r="AM392" s="2">
        <f>IF(Table1[[#This Row],[dpd]] &gt;=30,1,0)</f>
        <v>0</v>
      </c>
      <c r="AN392" s="2">
        <f>COUNTIFS(Table1[Loan size],Table1[[#This Row],[Loan size]],Table1[dpd flag],1)/COUNTIF(Table1[Loan size],Table1[[#This Row],[Loan size]])</f>
        <v>0.16250000000000001</v>
      </c>
      <c r="AO392" s="2" t="str">
        <f>IF(OR(Table1[[#This Row],[credit_score]] &lt; 600, Table1[ [#This Row],[dti_ratio] ] &gt; 0.5, Table1[[#This Row],[dpd]] &gt;=30), "high risk", " not riskY")</f>
        <v xml:space="preserve"> not riskY</v>
      </c>
      <c r="AP392" s="26">
        <f>EOMONTH(Table1[[#This Row],[origination_date]],0)</f>
        <v>45869</v>
      </c>
      <c r="AQ392" s="2">
        <f>SUMIFS(Table1[loan_amount],Table1[origination month],Table1[[#This Row],[origination month]])</f>
        <v>28875700</v>
      </c>
      <c r="AR392" s="2">
        <f>AVERAGEIFS(Table1[months_on_book],Table1[product],Table1[[#This Row],[product]])</f>
        <v>20.516129032258064</v>
      </c>
      <c r="AS392" s="2" t="str">
        <f ca="1">IF(EDATE(Table1[[#This Row],[origination_date]],6) &gt;= TODAY(), "New Loan", "Old Loan")</f>
        <v>Old Loan</v>
      </c>
      <c r="AT392" s="2" t="str">
        <f>"Q"&amp;ROUNDUP(MONTH(Table1[[#This Row],[origination_date]])/3,0)&amp;YEAR(Table1[[#This Row],[origination_date]])</f>
        <v>Q32025</v>
      </c>
      <c r="AU392" s="2">
        <f>SUMIFS(Table1[loan_amount],Table1[quarter],Table1[[#This Row],[quarter]])</f>
        <v>59662800</v>
      </c>
      <c r="AV392" s="34" t="str">
        <f>_xlfn.TEXTJOIN("|",TRUE,Table1[[#This Row],[loan_id]:[loan_status]])</f>
        <v>L76449298|C3688041|45845|Home Loan|Call Center|Central|Salaried|72|6964300|13.07|140060|1025078|618|D|0.05|0.72|9691900|5|618952|6497054|0|0|0|Active</v>
      </c>
      <c r="AW392" s="42">
        <f>YEAR(Loan_Table[ [#This Row],[origination_date] ])</f>
        <v>2022</v>
      </c>
    </row>
    <row r="393" spans="2:49" ht="18" customHeight="1">
      <c r="B393" s="5" t="s">
        <v>906</v>
      </c>
      <c r="C393" s="2" t="s">
        <v>907</v>
      </c>
      <c r="D393" s="3">
        <v>44913</v>
      </c>
      <c r="E393" s="2" t="s">
        <v>158</v>
      </c>
      <c r="F393" s="2" t="s">
        <v>213</v>
      </c>
      <c r="G393" s="2" t="s">
        <v>151</v>
      </c>
      <c r="H393" s="2" t="s">
        <v>146</v>
      </c>
      <c r="I393" s="2">
        <v>60</v>
      </c>
      <c r="J393" s="2">
        <v>3745900</v>
      </c>
      <c r="K393" s="2">
        <v>16.489999999999998</v>
      </c>
      <c r="L393" s="2">
        <v>92071</v>
      </c>
      <c r="M393" s="2">
        <v>927516</v>
      </c>
      <c r="N393" s="2">
        <v>673</v>
      </c>
      <c r="O393" s="2" t="s">
        <v>140</v>
      </c>
      <c r="P393" s="2">
        <v>0.53</v>
      </c>
      <c r="Q393" s="2">
        <v>0.68</v>
      </c>
      <c r="R393" s="2">
        <v>5511700</v>
      </c>
      <c r="S393" s="2">
        <v>36</v>
      </c>
      <c r="T393" s="2">
        <v>3142746</v>
      </c>
      <c r="U393" s="2">
        <v>1344393</v>
      </c>
      <c r="V393" s="2">
        <v>0</v>
      </c>
      <c r="W393" s="2">
        <v>0</v>
      </c>
      <c r="X393" s="2">
        <v>0</v>
      </c>
      <c r="Y393" s="2" t="s">
        <v>148</v>
      </c>
      <c r="Z393" s="12">
        <f>SUMIF(Table1[product],Table1[[#This Row],[product]],Table1[loan_amount])</f>
        <v>201475100</v>
      </c>
      <c r="AA393" s="15">
        <f>SUMIF(Table1[region],Table1[[#This Row],[region]],Table1[current_balance])</f>
        <v>105779369</v>
      </c>
      <c r="AB393" s="2">
        <f>COUNTIF(Table1[loan_status],Table1[[#This Row],[loan_status]])</f>
        <v>301</v>
      </c>
      <c r="AC393" s="2">
        <f>COUNTIF(Table1[default_flag],1)/ROWS(Table1[loan_id])</f>
        <v>2.5999999999999999E-2</v>
      </c>
      <c r="AD393" s="2">
        <f>COUNTIFS(Table1[region],Table1[[#This Row],[region]],Table1[default_flag],1)/COUNTIF(Table1[region],Table1[[#This Row],[region]])</f>
        <v>2.6548672566371681E-2</v>
      </c>
      <c r="AE393" s="2">
        <f>COUNTIFS(Table1[channel],Table1[[#This Row],[channel]],Table1[prepayment_flag],1)/COUNTIF(Table1[channel],Table1[[#This Row],[channel]])</f>
        <v>0.12</v>
      </c>
      <c r="AF393" s="2">
        <f>AVERAGEIFS(Table1[interest_rate_pct],Table1[product],Table1[[#This Row],[product]],Table1[risk_band],Table1[[#This Row],[risk_band]])</f>
        <v>15.841379310344831</v>
      </c>
      <c r="AG393" s="2" t="str" cm="1">
        <f t="array" ref="AG393">_xlfn.IFS(Table1[[#This Row],[dti_ratio]] &lt; 0.2, " less than 0.2", Table1[[#This Row],[dti_ratio]] &lt; 0.3, "0.2 - 0.3", Table1[[#This Row],[dti_ratio]] &lt;= 0.5, "0.35 - 0.5", Table1[[#This Row],[dti_ratio]] &gt; 0.5, "greater than 0.5")</f>
        <v>greater than 0.5</v>
      </c>
      <c r="AH393" s="2">
        <f>COUNTIF(Table1[DTI band],Table1[[#This Row],[DTI band]])</f>
        <v>32</v>
      </c>
      <c r="AI393" s="2" t="str" cm="1">
        <f t="array" ref="AI393">_xlfn.IFS(Table1[[#This Row],[ltv_ratio]] &lt; 0.6, "less than 0.6 -less risky", Table1[[#This Row],[ltv_ratio]]  &lt;= 0.8, "0.6 - 0.8 -medium risky",Table1[[#This Row],[ltv_ratio]] &gt; 0.8, "greater than 0.8 -highly risky")</f>
        <v>0.6 - 0.8 -medium risky</v>
      </c>
      <c r="AJ393" s="2">
        <f>COUNTIF(Table1[LTV band],Table1[[#This Row],[LTV band]])</f>
        <v>302</v>
      </c>
      <c r="AK393" s="2">
        <f>COUNTIFS(Table1[count_loan_perband],Table1[[#This Row],[count_loan_perband]],Table1[default_flag],1)/COUNTIF(Table1[count_loan_perband],Table1[[#This Row],[count_loan_perband]])</f>
        <v>3.6423841059602648E-2</v>
      </c>
      <c r="AL393" s="2" t="str" cm="1">
        <f t="array" ref="AL393">_xlfn.IFS(Table1[[#This Row],[loan_amount]] &lt; 900000, "lower size (&lt; 9L)", Table1[[#This Row],[loan_amount]] &lt;=3300000, "medium size (&lt;=33L)", Table1[[#This Row],[loan_amount]] &gt; 3300000, "larger size (&gt; 33L)")</f>
        <v>larger size (&gt; 33L)</v>
      </c>
      <c r="AM393" s="2">
        <f>IF(Table1[[#This Row],[dpd]] &gt;=30,1,0)</f>
        <v>0</v>
      </c>
      <c r="AN393" s="2">
        <f>COUNTIFS(Table1[Loan size],Table1[[#This Row],[Loan size]],Table1[dpd flag],1)/COUNTIF(Table1[Loan size],Table1[[#This Row],[Loan size]])</f>
        <v>0.16250000000000001</v>
      </c>
      <c r="AO393" s="2" t="str">
        <f>IF(OR(Table1[[#This Row],[credit_score]] &lt; 600, Table1[ [#This Row],[dti_ratio] ] &gt; 0.5, Table1[[#This Row],[dpd]] &gt;=30), "high risk", " not riskY")</f>
        <v>high risk</v>
      </c>
      <c r="AP393" s="26">
        <f>EOMONTH(Table1[[#This Row],[origination_date]],0)</f>
        <v>44926</v>
      </c>
      <c r="AQ393" s="2">
        <f>SUMIFS(Table1[loan_amount],Table1[origination month],Table1[[#This Row],[origination month]])</f>
        <v>18330100</v>
      </c>
      <c r="AR393" s="2">
        <f>AVERAGEIFS(Table1[months_on_book],Table1[product],Table1[[#This Row],[product]])</f>
        <v>19.091954022988507</v>
      </c>
      <c r="AS393" s="2" t="str">
        <f ca="1">IF(EDATE(Table1[[#This Row],[origination_date]],6) &gt;= TODAY(), "New Loan", "Old Loan")</f>
        <v>Old Loan</v>
      </c>
      <c r="AT393" s="2" t="str">
        <f>"Q"&amp;ROUNDUP(MONTH(Table1[[#This Row],[origination_date]])/3,0)&amp;YEAR(Table1[[#This Row],[origination_date]])</f>
        <v>Q42022</v>
      </c>
      <c r="AU393" s="2">
        <f>SUMIFS(Table1[loan_amount],Table1[quarter],Table1[[#This Row],[quarter]])</f>
        <v>51169300</v>
      </c>
      <c r="AV393" s="34" t="str">
        <f>_xlfn.TEXTJOIN("|",TRUE,Table1[[#This Row],[loan_id]:[loan_status]])</f>
        <v>L12237354|C4851128|44913|SME Loan|Call Center|North|Contract|60|3745900|16.49|92071|927516|673|C|0.53|0.68|5511700|36|3142746|1344393|0|0|0|Active</v>
      </c>
      <c r="AW393" s="42">
        <f>YEAR(Loan_Table[ [#This Row],[origination_date] ])</f>
        <v>2022</v>
      </c>
    </row>
    <row r="394" spans="2:49" ht="18" customHeight="1">
      <c r="B394" s="5" t="s">
        <v>908</v>
      </c>
      <c r="C394" s="2" t="s">
        <v>909</v>
      </c>
      <c r="D394" s="3">
        <v>44889</v>
      </c>
      <c r="E394" s="2" t="s">
        <v>169</v>
      </c>
      <c r="F394" s="2" t="s">
        <v>132</v>
      </c>
      <c r="G394" s="2" t="s">
        <v>139</v>
      </c>
      <c r="H394" s="2" t="s">
        <v>134</v>
      </c>
      <c r="I394" s="2">
        <v>12</v>
      </c>
      <c r="J394" s="2">
        <v>8283400</v>
      </c>
      <c r="K394" s="2">
        <v>12.2</v>
      </c>
      <c r="L394" s="2">
        <v>736745</v>
      </c>
      <c r="M394" s="2">
        <v>1460017</v>
      </c>
      <c r="N394" s="2">
        <v>663</v>
      </c>
      <c r="O394" s="2" t="s">
        <v>140</v>
      </c>
      <c r="P394" s="2">
        <v>0.48</v>
      </c>
      <c r="Q394" s="2">
        <v>0.8</v>
      </c>
      <c r="R394" s="2">
        <v>10417400</v>
      </c>
      <c r="S394" s="2">
        <v>12</v>
      </c>
      <c r="T394" s="2">
        <v>8717593</v>
      </c>
      <c r="U394" s="2">
        <v>0</v>
      </c>
      <c r="V394" s="2">
        <v>0</v>
      </c>
      <c r="W394" s="2">
        <v>0</v>
      </c>
      <c r="X394" s="2">
        <v>0</v>
      </c>
      <c r="Y394" s="2" t="s">
        <v>141</v>
      </c>
      <c r="Z394" s="12">
        <f>SUMIF(Table1[product],Table1[[#This Row],[product]],Table1[loan_amount])</f>
        <v>403369500</v>
      </c>
      <c r="AA394" s="15">
        <f>SUMIF(Table1[region],Table1[[#This Row],[region]],Table1[current_balance])</f>
        <v>83903255</v>
      </c>
      <c r="AB394" s="2">
        <f>COUNTIF(Table1[loan_status],Table1[[#This Row],[loan_status]])</f>
        <v>139</v>
      </c>
      <c r="AC394" s="2">
        <f>COUNTIF(Table1[default_flag],1)/ROWS(Table1[loan_id])</f>
        <v>2.5999999999999999E-2</v>
      </c>
      <c r="AD394" s="2">
        <f>COUNTIFS(Table1[region],Table1[[#This Row],[region]],Table1[default_flag],1)/COUNTIF(Table1[region],Table1[[#This Row],[region]])</f>
        <v>4.2553191489361701E-2</v>
      </c>
      <c r="AE394" s="2">
        <f>COUNTIFS(Table1[channel],Table1[[#This Row],[channel]],Table1[prepayment_flag],1)/COUNTIF(Table1[channel],Table1[[#This Row],[channel]])</f>
        <v>7.1090047393364927E-2</v>
      </c>
      <c r="AF394" s="2">
        <f>AVERAGEIFS(Table1[interest_rate_pct],Table1[product],Table1[[#This Row],[product]],Table1[risk_band],Table1[[#This Row],[risk_band]])</f>
        <v>11.719736842105268</v>
      </c>
      <c r="AG394" s="2" t="str" cm="1">
        <f t="array" ref="AG394">_xlfn.IFS(Table1[[#This Row],[dti_ratio]] &lt; 0.2, " less than 0.2", Table1[[#This Row],[dti_ratio]] &lt; 0.3, "0.2 - 0.3", Table1[[#This Row],[dti_ratio]] &lt;= 0.5, "0.35 - 0.5", Table1[[#This Row],[dti_ratio]] &gt; 0.5, "greater than 0.5")</f>
        <v>0.35 - 0.5</v>
      </c>
      <c r="AH394" s="2">
        <f>COUNTIF(Table1[DTI band],Table1[[#This Row],[DTI band]])</f>
        <v>260</v>
      </c>
      <c r="AI394" s="2" t="str" cm="1">
        <f t="array" ref="AI394">_xlfn.IFS(Table1[[#This Row],[ltv_ratio]] &lt; 0.6, "less than 0.6 -less risky", Table1[[#This Row],[ltv_ratio]]  &lt;= 0.8, "0.6 - 0.8 -medium risky",Table1[[#This Row],[ltv_ratio]] &gt; 0.8, "greater than 0.8 -highly risky")</f>
        <v>0.6 - 0.8 -medium risky</v>
      </c>
      <c r="AJ394" s="2">
        <f>COUNTIF(Table1[LTV band],Table1[[#This Row],[LTV band]])</f>
        <v>302</v>
      </c>
      <c r="AK394" s="2">
        <f>COUNTIFS(Table1[count_loan_perband],Table1[[#This Row],[count_loan_perband]],Table1[default_flag],1)/COUNTIF(Table1[count_loan_perband],Table1[[#This Row],[count_loan_perband]])</f>
        <v>3.6423841059602648E-2</v>
      </c>
      <c r="AL394" s="2" t="str" cm="1">
        <f t="array" ref="AL394">_xlfn.IFS(Table1[[#This Row],[loan_amount]] &lt; 900000, "lower size (&lt; 9L)", Table1[[#This Row],[loan_amount]] &lt;=3300000, "medium size (&lt;=33L)", Table1[[#This Row],[loan_amount]] &gt; 3300000, "larger size (&gt; 33L)")</f>
        <v>larger size (&gt; 33L)</v>
      </c>
      <c r="AM394" s="2">
        <f>IF(Table1[[#This Row],[dpd]] &gt;=30,1,0)</f>
        <v>0</v>
      </c>
      <c r="AN394" s="2">
        <f>COUNTIFS(Table1[Loan size],Table1[[#This Row],[Loan size]],Table1[dpd flag],1)/COUNTIF(Table1[Loan size],Table1[[#This Row],[Loan size]])</f>
        <v>0.16250000000000001</v>
      </c>
      <c r="AO394" s="2" t="str">
        <f>IF(OR(Table1[[#This Row],[credit_score]] &lt; 600, Table1[ [#This Row],[dti_ratio] ] &gt; 0.5, Table1[[#This Row],[dpd]] &gt;=30), "high risk", " not riskY")</f>
        <v xml:space="preserve"> not riskY</v>
      </c>
      <c r="AP394" s="26">
        <f>EOMONTH(Table1[[#This Row],[origination_date]],0)</f>
        <v>44895</v>
      </c>
      <c r="AQ394" s="2">
        <f>SUMIFS(Table1[loan_amount],Table1[origination month],Table1[[#This Row],[origination month]])</f>
        <v>16312200</v>
      </c>
      <c r="AR394" s="2">
        <f>AVERAGEIFS(Table1[months_on_book],Table1[product],Table1[[#This Row],[product]])</f>
        <v>20.516129032258064</v>
      </c>
      <c r="AS394" s="2" t="str">
        <f ca="1">IF(EDATE(Table1[[#This Row],[origination_date]],6) &gt;= TODAY(), "New Loan", "Old Loan")</f>
        <v>Old Loan</v>
      </c>
      <c r="AT394" s="2" t="str">
        <f>"Q"&amp;ROUNDUP(MONTH(Table1[[#This Row],[origination_date]])/3,0)&amp;YEAR(Table1[[#This Row],[origination_date]])</f>
        <v>Q42022</v>
      </c>
      <c r="AU394" s="2">
        <f>SUMIFS(Table1[loan_amount],Table1[quarter],Table1[[#This Row],[quarter]])</f>
        <v>51169300</v>
      </c>
      <c r="AV394" s="34" t="str">
        <f>_xlfn.TEXTJOIN("|",TRUE,Table1[[#This Row],[loan_id]:[loan_status]])</f>
        <v>L96635338|C6024854|44889|Home Loan|Online|West|Salaried|12|8283400|12.2|736745|1460017|663|C|0.48|0.8|10417400|12|8717593|0|0|0|0|Closed</v>
      </c>
      <c r="AW394" s="42">
        <f>YEAR(Loan_Table[ [#This Row],[origination_date] ])</f>
        <v>2022</v>
      </c>
    </row>
    <row r="395" spans="2:49" ht="18" customHeight="1">
      <c r="B395" s="5" t="s">
        <v>910</v>
      </c>
      <c r="C395" s="2" t="s">
        <v>911</v>
      </c>
      <c r="D395" s="3">
        <v>44907</v>
      </c>
      <c r="E395" s="2" t="s">
        <v>131</v>
      </c>
      <c r="F395" s="2" t="s">
        <v>159</v>
      </c>
      <c r="G395" s="2" t="s">
        <v>151</v>
      </c>
      <c r="H395" s="2" t="s">
        <v>134</v>
      </c>
      <c r="I395" s="2">
        <v>360</v>
      </c>
      <c r="J395" s="2">
        <v>396300</v>
      </c>
      <c r="K395" s="2">
        <v>17.91</v>
      </c>
      <c r="L395" s="2">
        <v>5943</v>
      </c>
      <c r="M395" s="2">
        <v>1389698</v>
      </c>
      <c r="N395" s="2">
        <v>682</v>
      </c>
      <c r="O395" s="2" t="s">
        <v>140</v>
      </c>
      <c r="P395" s="2">
        <v>0.47</v>
      </c>
      <c r="Q395" s="2">
        <v>0.91</v>
      </c>
      <c r="R395" s="2">
        <v>0</v>
      </c>
      <c r="S395" s="2">
        <v>36</v>
      </c>
      <c r="T395" s="2">
        <v>191798</v>
      </c>
      <c r="U395" s="2">
        <v>289675</v>
      </c>
      <c r="V395" s="2">
        <v>0</v>
      </c>
      <c r="W395" s="2">
        <v>0</v>
      </c>
      <c r="X395" s="2">
        <v>0</v>
      </c>
      <c r="Y395" s="2" t="s">
        <v>148</v>
      </c>
      <c r="Z395" s="12">
        <f>SUMIF(Table1[product],Table1[[#This Row],[product]],Table1[loan_amount])</f>
        <v>74897600</v>
      </c>
      <c r="AA395" s="15">
        <f>SUMIF(Table1[region],Table1[[#This Row],[region]],Table1[current_balance])</f>
        <v>105779369</v>
      </c>
      <c r="AB395" s="2">
        <f>COUNTIF(Table1[loan_status],Table1[[#This Row],[loan_status]])</f>
        <v>301</v>
      </c>
      <c r="AC395" s="2">
        <f>COUNTIF(Table1[default_flag],1)/ROWS(Table1[loan_id])</f>
        <v>2.5999999999999999E-2</v>
      </c>
      <c r="AD395" s="2">
        <f>COUNTIFS(Table1[region],Table1[[#This Row],[region]],Table1[default_flag],1)/COUNTIF(Table1[region],Table1[[#This Row],[region]])</f>
        <v>2.6548672566371681E-2</v>
      </c>
      <c r="AE395" s="2">
        <f>COUNTIFS(Table1[channel],Table1[[#This Row],[channel]],Table1[prepayment_flag],1)/COUNTIF(Table1[channel],Table1[[#This Row],[channel]])</f>
        <v>0.1</v>
      </c>
      <c r="AF395" s="2">
        <f>AVERAGEIFS(Table1[interest_rate_pct],Table1[product],Table1[[#This Row],[product]],Table1[risk_band],Table1[[#This Row],[risk_band]])</f>
        <v>18.603181818181817</v>
      </c>
      <c r="AG395" s="2" t="str" cm="1">
        <f t="array" ref="AG395">_xlfn.IFS(Table1[[#This Row],[dti_ratio]] &lt; 0.2, " less than 0.2", Table1[[#This Row],[dti_ratio]] &lt; 0.3, "0.2 - 0.3", Table1[[#This Row],[dti_ratio]] &lt;= 0.5, "0.35 - 0.5", Table1[[#This Row],[dti_ratio]] &gt; 0.5, "greater than 0.5")</f>
        <v>0.35 - 0.5</v>
      </c>
      <c r="AH395" s="2">
        <f>COUNTIF(Table1[DTI band],Table1[[#This Row],[DTI band]])</f>
        <v>260</v>
      </c>
      <c r="AI395" s="2" t="str" cm="1">
        <f t="array" ref="AI395">_xlfn.IFS(Table1[[#This Row],[ltv_ratio]] &lt; 0.6, "less than 0.6 -less risky", Table1[[#This Row],[ltv_ratio]]  &lt;= 0.8, "0.6 - 0.8 -medium risky",Table1[[#This Row],[ltv_ratio]] &gt; 0.8, "greater than 0.8 -highly risky")</f>
        <v>greater than 0.8 -highly risky</v>
      </c>
      <c r="AJ395" s="2">
        <f>COUNTIF(Table1[LTV band],Table1[[#This Row],[LTV band]])</f>
        <v>141</v>
      </c>
      <c r="AK395" s="2">
        <f>COUNTIFS(Table1[count_loan_perband],Table1[[#This Row],[count_loan_perband]],Table1[default_flag],1)/COUNTIF(Table1[count_loan_perband],Table1[[#This Row],[count_loan_perband]])</f>
        <v>1.4184397163120567E-2</v>
      </c>
      <c r="AL395" s="2" t="str" cm="1">
        <f t="array" ref="AL395">_xlfn.IFS(Table1[[#This Row],[loan_amount]] &lt; 900000, "lower size (&lt; 9L)", Table1[[#This Row],[loan_amount]] &lt;=3300000, "medium size (&lt;=33L)", Table1[[#This Row],[loan_amount]] &gt; 3300000, "larger size (&gt; 33L)")</f>
        <v>lower size (&lt; 9L)</v>
      </c>
      <c r="AM395" s="2">
        <f>IF(Table1[[#This Row],[dpd]] &gt;=30,1,0)</f>
        <v>0</v>
      </c>
      <c r="AN395" s="2">
        <f>COUNTIFS(Table1[Loan size],Table1[[#This Row],[Loan size]],Table1[dpd flag],1)/COUNTIF(Table1[Loan size],Table1[[#This Row],[Loan size]])</f>
        <v>0.13934426229508196</v>
      </c>
      <c r="AO395" s="2" t="str">
        <f>IF(OR(Table1[[#This Row],[credit_score]] &lt; 600, Table1[ [#This Row],[dti_ratio] ] &gt; 0.5, Table1[[#This Row],[dpd]] &gt;=30), "high risk", " not riskY")</f>
        <v xml:space="preserve"> not riskY</v>
      </c>
      <c r="AP395" s="26">
        <f>EOMONTH(Table1[[#This Row],[origination_date]],0)</f>
        <v>44926</v>
      </c>
      <c r="AQ395" s="2">
        <f>SUMIFS(Table1[loan_amount],Table1[origination month],Table1[[#This Row],[origination month]])</f>
        <v>18330100</v>
      </c>
      <c r="AR395" s="2">
        <f>AVERAGEIFS(Table1[months_on_book],Table1[product],Table1[[#This Row],[product]])</f>
        <v>21.092024539877301</v>
      </c>
      <c r="AS395" s="2" t="str">
        <f ca="1">IF(EDATE(Table1[[#This Row],[origination_date]],6) &gt;= TODAY(), "New Loan", "Old Loan")</f>
        <v>Old Loan</v>
      </c>
      <c r="AT395" s="2" t="str">
        <f>"Q"&amp;ROUNDUP(MONTH(Table1[[#This Row],[origination_date]])/3,0)&amp;YEAR(Table1[[#This Row],[origination_date]])</f>
        <v>Q42022</v>
      </c>
      <c r="AU395" s="2">
        <f>SUMIFS(Table1[loan_amount],Table1[quarter],Table1[[#This Row],[quarter]])</f>
        <v>51169300</v>
      </c>
      <c r="AV395" s="34" t="str">
        <f>_xlfn.TEXTJOIN("|",TRUE,Table1[[#This Row],[loan_id]:[loan_status]])</f>
        <v>L13745275|C9651679|44907|Personal Loan|Partner|North|Salaried|360|396300|17.91|5943|1389698|682|C|0.47|0.91|0|36|191798|289675|0|0|0|Active</v>
      </c>
      <c r="AW395" s="42">
        <f>YEAR(Loan_Table[ [#This Row],[origination_date] ])</f>
        <v>2022</v>
      </c>
    </row>
    <row r="396" spans="2:49" ht="18" customHeight="1">
      <c r="B396" s="5" t="s">
        <v>912</v>
      </c>
      <c r="C396" s="2" t="s">
        <v>913</v>
      </c>
      <c r="D396" s="3">
        <v>44875</v>
      </c>
      <c r="E396" s="2" t="s">
        <v>169</v>
      </c>
      <c r="F396" s="2" t="s">
        <v>159</v>
      </c>
      <c r="G396" s="2" t="s">
        <v>151</v>
      </c>
      <c r="H396" s="2" t="s">
        <v>152</v>
      </c>
      <c r="I396" s="2">
        <v>120</v>
      </c>
      <c r="J396" s="2">
        <v>3964200</v>
      </c>
      <c r="K396" s="2">
        <v>12.18</v>
      </c>
      <c r="L396" s="2">
        <v>57288</v>
      </c>
      <c r="M396" s="2">
        <v>1100677</v>
      </c>
      <c r="N396" s="2">
        <v>661</v>
      </c>
      <c r="O396" s="2" t="s">
        <v>140</v>
      </c>
      <c r="P396" s="2">
        <v>0.42</v>
      </c>
      <c r="Q396" s="2">
        <v>0.96</v>
      </c>
      <c r="R396" s="2">
        <v>4137600</v>
      </c>
      <c r="S396" s="2">
        <v>37</v>
      </c>
      <c r="T396" s="2">
        <v>2078564</v>
      </c>
      <c r="U396" s="2">
        <v>2481138</v>
      </c>
      <c r="V396" s="2">
        <v>5</v>
      </c>
      <c r="W396" s="2">
        <v>0</v>
      </c>
      <c r="X396" s="2">
        <v>0</v>
      </c>
      <c r="Y396" s="2" t="s">
        <v>148</v>
      </c>
      <c r="Z396" s="12">
        <f>SUMIF(Table1[product],Table1[[#This Row],[product]],Table1[loan_amount])</f>
        <v>403369500</v>
      </c>
      <c r="AA396" s="15">
        <f>SUMIF(Table1[region],Table1[[#This Row],[region]],Table1[current_balance])</f>
        <v>105779369</v>
      </c>
      <c r="AB396" s="2">
        <f>COUNTIF(Table1[loan_status],Table1[[#This Row],[loan_status]])</f>
        <v>301</v>
      </c>
      <c r="AC396" s="2">
        <f>COUNTIF(Table1[default_flag],1)/ROWS(Table1[loan_id])</f>
        <v>2.5999999999999999E-2</v>
      </c>
      <c r="AD396" s="2">
        <f>COUNTIFS(Table1[region],Table1[[#This Row],[region]],Table1[default_flag],1)/COUNTIF(Table1[region],Table1[[#This Row],[region]])</f>
        <v>2.6548672566371681E-2</v>
      </c>
      <c r="AE396" s="2">
        <f>COUNTIFS(Table1[channel],Table1[[#This Row],[channel]],Table1[prepayment_flag],1)/COUNTIF(Table1[channel],Table1[[#This Row],[channel]])</f>
        <v>0.1</v>
      </c>
      <c r="AF396" s="2">
        <f>AVERAGEIFS(Table1[interest_rate_pct],Table1[product],Table1[[#This Row],[product]],Table1[risk_band],Table1[[#This Row],[risk_band]])</f>
        <v>11.719736842105268</v>
      </c>
      <c r="AG396" s="2" t="str" cm="1">
        <f t="array" ref="AG396">_xlfn.IFS(Table1[[#This Row],[dti_ratio]] &lt; 0.2, " less than 0.2", Table1[[#This Row],[dti_ratio]] &lt; 0.3, "0.2 - 0.3", Table1[[#This Row],[dti_ratio]] &lt;= 0.5, "0.35 - 0.5", Table1[[#This Row],[dti_ratio]] &gt; 0.5, "greater than 0.5")</f>
        <v>0.35 - 0.5</v>
      </c>
      <c r="AH396" s="2">
        <f>COUNTIF(Table1[DTI band],Table1[[#This Row],[DTI band]])</f>
        <v>260</v>
      </c>
      <c r="AI396" s="2" t="str" cm="1">
        <f t="array" ref="AI396">_xlfn.IFS(Table1[[#This Row],[ltv_ratio]] &lt; 0.6, "less than 0.6 -less risky", Table1[[#This Row],[ltv_ratio]]  &lt;= 0.8, "0.6 - 0.8 -medium risky",Table1[[#This Row],[ltv_ratio]] &gt; 0.8, "greater than 0.8 -highly risky")</f>
        <v>greater than 0.8 -highly risky</v>
      </c>
      <c r="AJ396" s="2">
        <f>COUNTIF(Table1[LTV band],Table1[[#This Row],[LTV band]])</f>
        <v>141</v>
      </c>
      <c r="AK396" s="2">
        <f>COUNTIFS(Table1[count_loan_perband],Table1[[#This Row],[count_loan_perband]],Table1[default_flag],1)/COUNTIF(Table1[count_loan_perband],Table1[[#This Row],[count_loan_perband]])</f>
        <v>1.4184397163120567E-2</v>
      </c>
      <c r="AL396" s="2" t="str" cm="1">
        <f t="array" ref="AL396">_xlfn.IFS(Table1[[#This Row],[loan_amount]] &lt; 900000, "lower size (&lt; 9L)", Table1[[#This Row],[loan_amount]] &lt;=3300000, "medium size (&lt;=33L)", Table1[[#This Row],[loan_amount]] &gt; 3300000, "larger size (&gt; 33L)")</f>
        <v>larger size (&gt; 33L)</v>
      </c>
      <c r="AM396" s="2">
        <f>IF(Table1[[#This Row],[dpd]] &gt;=30,1,0)</f>
        <v>0</v>
      </c>
      <c r="AN396" s="2">
        <f>COUNTIFS(Table1[Loan size],Table1[[#This Row],[Loan size]],Table1[dpd flag],1)/COUNTIF(Table1[Loan size],Table1[[#This Row],[Loan size]])</f>
        <v>0.16250000000000001</v>
      </c>
      <c r="AO396" s="2" t="str">
        <f>IF(OR(Table1[[#This Row],[credit_score]] &lt; 600, Table1[ [#This Row],[dti_ratio] ] &gt; 0.5, Table1[[#This Row],[dpd]] &gt;=30), "high risk", " not riskY")</f>
        <v xml:space="preserve"> not riskY</v>
      </c>
      <c r="AP396" s="26">
        <f>EOMONTH(Table1[[#This Row],[origination_date]],0)</f>
        <v>44895</v>
      </c>
      <c r="AQ396" s="2">
        <f>SUMIFS(Table1[loan_amount],Table1[origination month],Table1[[#This Row],[origination month]])</f>
        <v>16312200</v>
      </c>
      <c r="AR396" s="2">
        <f>AVERAGEIFS(Table1[months_on_book],Table1[product],Table1[[#This Row],[product]])</f>
        <v>20.516129032258064</v>
      </c>
      <c r="AS396" s="2" t="str">
        <f ca="1">IF(EDATE(Table1[[#This Row],[origination_date]],6) &gt;= TODAY(), "New Loan", "Old Loan")</f>
        <v>Old Loan</v>
      </c>
      <c r="AT396" s="2" t="str">
        <f>"Q"&amp;ROUNDUP(MONTH(Table1[[#This Row],[origination_date]])/3,0)&amp;YEAR(Table1[[#This Row],[origination_date]])</f>
        <v>Q42022</v>
      </c>
      <c r="AU396" s="2">
        <f>SUMIFS(Table1[loan_amount],Table1[quarter],Table1[[#This Row],[quarter]])</f>
        <v>51169300</v>
      </c>
      <c r="AV396" s="34" t="str">
        <f>_xlfn.TEXTJOIN("|",TRUE,Table1[[#This Row],[loan_id]:[loan_status]])</f>
        <v>L49158735|C3590196|44875|Home Loan|Partner|North|Self-Employed|120|3964200|12.18|57288|1100677|661|C|0.42|0.96|4137600|37|2078564|2481138|5|0|0|Active</v>
      </c>
      <c r="AW396" s="42">
        <f>YEAR(Loan_Table[ [#This Row],[origination_date] ])</f>
        <v>2022</v>
      </c>
    </row>
    <row r="397" spans="2:49" ht="18" customHeight="1">
      <c r="B397" s="5" t="s">
        <v>914</v>
      </c>
      <c r="C397" s="2" t="s">
        <v>915</v>
      </c>
      <c r="D397" s="3">
        <v>44897</v>
      </c>
      <c r="E397" s="2" t="s">
        <v>163</v>
      </c>
      <c r="F397" s="2" t="s">
        <v>132</v>
      </c>
      <c r="G397" s="2" t="s">
        <v>151</v>
      </c>
      <c r="H397" s="2" t="s">
        <v>152</v>
      </c>
      <c r="I397" s="2">
        <v>72</v>
      </c>
      <c r="J397" s="2">
        <v>269300</v>
      </c>
      <c r="K397" s="2">
        <v>7.84</v>
      </c>
      <c r="L397" s="2">
        <v>4701</v>
      </c>
      <c r="M397" s="2">
        <v>444323</v>
      </c>
      <c r="N397" s="2">
        <v>788</v>
      </c>
      <c r="O397" s="2" t="s">
        <v>160</v>
      </c>
      <c r="P397" s="2">
        <v>0.4</v>
      </c>
      <c r="Q397" s="2">
        <v>0.83</v>
      </c>
      <c r="R397" s="2">
        <v>323800</v>
      </c>
      <c r="S397" s="2">
        <v>36</v>
      </c>
      <c r="T397" s="2">
        <v>145317</v>
      </c>
      <c r="U397" s="2">
        <v>149319</v>
      </c>
      <c r="V397" s="2">
        <v>15</v>
      </c>
      <c r="W397" s="2">
        <v>0</v>
      </c>
      <c r="X397" s="2">
        <v>0</v>
      </c>
      <c r="Y397" s="2" t="s">
        <v>148</v>
      </c>
      <c r="Z397" s="12">
        <f>SUMIF(Table1[product],Table1[[#This Row],[product]],Table1[loan_amount])</f>
        <v>92273000</v>
      </c>
      <c r="AA397" s="15">
        <f>SUMIF(Table1[region],Table1[[#This Row],[region]],Table1[current_balance])</f>
        <v>105779369</v>
      </c>
      <c r="AB397" s="2">
        <f>COUNTIF(Table1[loan_status],Table1[[#This Row],[loan_status]])</f>
        <v>301</v>
      </c>
      <c r="AC397" s="2">
        <f>COUNTIF(Table1[default_flag],1)/ROWS(Table1[loan_id])</f>
        <v>2.5999999999999999E-2</v>
      </c>
      <c r="AD397" s="2">
        <f>COUNTIFS(Table1[region],Table1[[#This Row],[region]],Table1[default_flag],1)/COUNTIF(Table1[region],Table1[[#This Row],[region]])</f>
        <v>2.6548672566371681E-2</v>
      </c>
      <c r="AE397" s="2">
        <f>COUNTIFS(Table1[channel],Table1[[#This Row],[channel]],Table1[prepayment_flag],1)/COUNTIF(Table1[channel],Table1[[#This Row],[channel]])</f>
        <v>7.1090047393364927E-2</v>
      </c>
      <c r="AF397" s="2">
        <f>AVERAGEIFS(Table1[interest_rate_pct],Table1[product],Table1[[#This Row],[product]],Table1[risk_band],Table1[[#This Row],[risk_band]])</f>
        <v>7.9444999999999997</v>
      </c>
      <c r="AG397" s="2" t="str" cm="1">
        <f t="array" ref="AG397">_xlfn.IFS(Table1[[#This Row],[dti_ratio]] &lt; 0.2, " less than 0.2", Table1[[#This Row],[dti_ratio]] &lt; 0.3, "0.2 - 0.3", Table1[[#This Row],[dti_ratio]] &lt;= 0.5, "0.35 - 0.5", Table1[[#This Row],[dti_ratio]] &gt; 0.5, "greater than 0.5")</f>
        <v>0.35 - 0.5</v>
      </c>
      <c r="AH397" s="2">
        <f>COUNTIF(Table1[DTI band],Table1[[#This Row],[DTI band]])</f>
        <v>260</v>
      </c>
      <c r="AI397" s="2" t="str" cm="1">
        <f t="array" ref="AI397">_xlfn.IFS(Table1[[#This Row],[ltv_ratio]] &lt; 0.6, "less than 0.6 -less risky", Table1[[#This Row],[ltv_ratio]]  &lt;= 0.8, "0.6 - 0.8 -medium risky",Table1[[#This Row],[ltv_ratio]] &gt; 0.8, "greater than 0.8 -highly risky")</f>
        <v>greater than 0.8 -highly risky</v>
      </c>
      <c r="AJ397" s="2">
        <f>COUNTIF(Table1[LTV band],Table1[[#This Row],[LTV band]])</f>
        <v>141</v>
      </c>
      <c r="AK397" s="2">
        <f>COUNTIFS(Table1[count_loan_perband],Table1[[#This Row],[count_loan_perband]],Table1[default_flag],1)/COUNTIF(Table1[count_loan_perband],Table1[[#This Row],[count_loan_perband]])</f>
        <v>1.4184397163120567E-2</v>
      </c>
      <c r="AL397" s="2" t="str" cm="1">
        <f t="array" ref="AL397">_xlfn.IFS(Table1[[#This Row],[loan_amount]] &lt; 900000, "lower size (&lt; 9L)", Table1[[#This Row],[loan_amount]] &lt;=3300000, "medium size (&lt;=33L)", Table1[[#This Row],[loan_amount]] &gt; 3300000, "larger size (&gt; 33L)")</f>
        <v>lower size (&lt; 9L)</v>
      </c>
      <c r="AM397" s="2">
        <f>IF(Table1[[#This Row],[dpd]] &gt;=30,1,0)</f>
        <v>0</v>
      </c>
      <c r="AN397" s="2">
        <f>COUNTIFS(Table1[Loan size],Table1[[#This Row],[Loan size]],Table1[dpd flag],1)/COUNTIF(Table1[Loan size],Table1[[#This Row],[Loan size]])</f>
        <v>0.13934426229508196</v>
      </c>
      <c r="AO397" s="2" t="str">
        <f>IF(OR(Table1[[#This Row],[credit_score]] &lt; 600, Table1[ [#This Row],[dti_ratio] ] &gt; 0.5, Table1[[#This Row],[dpd]] &gt;=30), "high risk", " not riskY")</f>
        <v xml:space="preserve"> not riskY</v>
      </c>
      <c r="AP397" s="26">
        <f>EOMONTH(Table1[[#This Row],[origination_date]],0)</f>
        <v>44926</v>
      </c>
      <c r="AQ397" s="2">
        <f>SUMIFS(Table1[loan_amount],Table1[origination month],Table1[[#This Row],[origination month]])</f>
        <v>18330100</v>
      </c>
      <c r="AR397" s="2">
        <f>AVERAGEIFS(Table1[months_on_book],Table1[product],Table1[[#This Row],[product]])</f>
        <v>20.262135922330096</v>
      </c>
      <c r="AS397" s="2" t="str">
        <f ca="1">IF(EDATE(Table1[[#This Row],[origination_date]],6) &gt;= TODAY(), "New Loan", "Old Loan")</f>
        <v>Old Loan</v>
      </c>
      <c r="AT397" s="2" t="str">
        <f>"Q"&amp;ROUNDUP(MONTH(Table1[[#This Row],[origination_date]])/3,0)&amp;YEAR(Table1[[#This Row],[origination_date]])</f>
        <v>Q42022</v>
      </c>
      <c r="AU397" s="2">
        <f>SUMIFS(Table1[loan_amount],Table1[quarter],Table1[[#This Row],[quarter]])</f>
        <v>51169300</v>
      </c>
      <c r="AV397" s="34" t="str">
        <f>_xlfn.TEXTJOIN("|",TRUE,Table1[[#This Row],[loan_id]:[loan_status]])</f>
        <v>L24491704|C7174867|44897|Auto Loan|Online|North|Self-Employed|72|269300|7.84|4701|444323|788|A|0.4|0.83|323800|36|145317|149319|15|0|0|Active</v>
      </c>
      <c r="AW397" s="42">
        <f>YEAR(Loan_Table[ [#This Row],[origination_date] ])</f>
        <v>2022</v>
      </c>
    </row>
    <row r="398" spans="2:49" ht="18" customHeight="1">
      <c r="B398" s="5" t="s">
        <v>916</v>
      </c>
      <c r="C398" s="2" t="s">
        <v>917</v>
      </c>
      <c r="D398" s="3">
        <v>44839</v>
      </c>
      <c r="E398" s="2" t="s">
        <v>169</v>
      </c>
      <c r="F398" s="2" t="s">
        <v>213</v>
      </c>
      <c r="G398" s="2" t="s">
        <v>170</v>
      </c>
      <c r="H398" s="2" t="s">
        <v>134</v>
      </c>
      <c r="I398" s="2">
        <v>120</v>
      </c>
      <c r="J398" s="2">
        <v>6919400</v>
      </c>
      <c r="K398" s="2">
        <v>13.95</v>
      </c>
      <c r="L398" s="2">
        <v>107227</v>
      </c>
      <c r="M398" s="2">
        <v>1402252</v>
      </c>
      <c r="N398" s="2">
        <v>646</v>
      </c>
      <c r="O398" s="2" t="s">
        <v>147</v>
      </c>
      <c r="P398" s="2">
        <v>0.39</v>
      </c>
      <c r="Q398" s="2">
        <v>0.82</v>
      </c>
      <c r="R398" s="2">
        <v>8474100</v>
      </c>
      <c r="S398" s="2">
        <v>38</v>
      </c>
      <c r="T398" s="2">
        <v>4008423</v>
      </c>
      <c r="U398" s="2">
        <v>4133635</v>
      </c>
      <c r="V398" s="2">
        <v>45</v>
      </c>
      <c r="W398" s="2">
        <v>0</v>
      </c>
      <c r="X398" s="2">
        <v>0</v>
      </c>
      <c r="Y398" s="2" t="s">
        <v>136</v>
      </c>
      <c r="Z398" s="12">
        <f>SUMIF(Table1[product],Table1[[#This Row],[product]],Table1[loan_amount])</f>
        <v>403369500</v>
      </c>
      <c r="AA398" s="15">
        <f>SUMIF(Table1[region],Table1[[#This Row],[region]],Table1[current_balance])</f>
        <v>83297251</v>
      </c>
      <c r="AB398" s="2">
        <f>COUNTIF(Table1[loan_status],Table1[[#This Row],[loan_status]])</f>
        <v>47</v>
      </c>
      <c r="AC398" s="2">
        <f>COUNTIF(Table1[default_flag],1)/ROWS(Table1[loan_id])</f>
        <v>2.5999999999999999E-2</v>
      </c>
      <c r="AD398" s="2">
        <f>COUNTIFS(Table1[region],Table1[[#This Row],[region]],Table1[default_flag],1)/COUNTIF(Table1[region],Table1[[#This Row],[region]])</f>
        <v>3.1914893617021274E-2</v>
      </c>
      <c r="AE398" s="2">
        <f>COUNTIFS(Table1[channel],Table1[[#This Row],[channel]],Table1[prepayment_flag],1)/COUNTIF(Table1[channel],Table1[[#This Row],[channel]])</f>
        <v>0.12</v>
      </c>
      <c r="AF398" s="2">
        <f>AVERAGEIFS(Table1[interest_rate_pct],Table1[product],Table1[[#This Row],[product]],Table1[risk_band],Table1[[#This Row],[risk_band]])</f>
        <v>13.406874999999999</v>
      </c>
      <c r="AG398" s="2" t="str" cm="1">
        <f t="array" ref="AG398">_xlfn.IFS(Table1[[#This Row],[dti_ratio]] &lt; 0.2, " less than 0.2", Table1[[#This Row],[dti_ratio]] &lt; 0.3, "0.2 - 0.3", Table1[[#This Row],[dti_ratio]] &lt;= 0.5, "0.35 - 0.5", Table1[[#This Row],[dti_ratio]] &gt; 0.5, "greater than 0.5")</f>
        <v>0.35 - 0.5</v>
      </c>
      <c r="AH398" s="2">
        <f>COUNTIF(Table1[DTI band],Table1[[#This Row],[DTI band]])</f>
        <v>260</v>
      </c>
      <c r="AI398" s="2" t="str" cm="1">
        <f t="array" ref="AI398">_xlfn.IFS(Table1[[#This Row],[ltv_ratio]] &lt; 0.6, "less than 0.6 -less risky", Table1[[#This Row],[ltv_ratio]]  &lt;= 0.8, "0.6 - 0.8 -medium risky",Table1[[#This Row],[ltv_ratio]] &gt; 0.8, "greater than 0.8 -highly risky")</f>
        <v>greater than 0.8 -highly risky</v>
      </c>
      <c r="AJ398" s="2">
        <f>COUNTIF(Table1[LTV band],Table1[[#This Row],[LTV band]])</f>
        <v>141</v>
      </c>
      <c r="AK398" s="2">
        <f>COUNTIFS(Table1[count_loan_perband],Table1[[#This Row],[count_loan_perband]],Table1[default_flag],1)/COUNTIF(Table1[count_loan_perband],Table1[[#This Row],[count_loan_perband]])</f>
        <v>1.4184397163120567E-2</v>
      </c>
      <c r="AL398" s="2" t="str" cm="1">
        <f t="array" ref="AL398">_xlfn.IFS(Table1[[#This Row],[loan_amount]] &lt; 900000, "lower size (&lt; 9L)", Table1[[#This Row],[loan_amount]] &lt;=3300000, "medium size (&lt;=33L)", Table1[[#This Row],[loan_amount]] &gt; 3300000, "larger size (&gt; 33L)")</f>
        <v>larger size (&gt; 33L)</v>
      </c>
      <c r="AM398" s="2">
        <f>IF(Table1[[#This Row],[dpd]] &gt;=30,1,0)</f>
        <v>1</v>
      </c>
      <c r="AN398" s="2">
        <f>COUNTIFS(Table1[Loan size],Table1[[#This Row],[Loan size]],Table1[dpd flag],1)/COUNTIF(Table1[Loan size],Table1[[#This Row],[Loan size]])</f>
        <v>0.16250000000000001</v>
      </c>
      <c r="AO398" s="2" t="str">
        <f>IF(OR(Table1[[#This Row],[credit_score]] &lt; 600, Table1[ [#This Row],[dti_ratio] ] &gt; 0.5, Table1[[#This Row],[dpd]] &gt;=30), "high risk", " not riskY")</f>
        <v>high risk</v>
      </c>
      <c r="AP398" s="26">
        <f>EOMONTH(Table1[[#This Row],[origination_date]],0)</f>
        <v>44865</v>
      </c>
      <c r="AQ398" s="2">
        <f>SUMIFS(Table1[loan_amount],Table1[origination month],Table1[[#This Row],[origination month]])</f>
        <v>16527000</v>
      </c>
      <c r="AR398" s="2">
        <f>AVERAGEIFS(Table1[months_on_book],Table1[product],Table1[[#This Row],[product]])</f>
        <v>20.516129032258064</v>
      </c>
      <c r="AS398" s="2" t="str">
        <f ca="1">IF(EDATE(Table1[[#This Row],[origination_date]],6) &gt;= TODAY(), "New Loan", "Old Loan")</f>
        <v>Old Loan</v>
      </c>
      <c r="AT398" s="2" t="str">
        <f>"Q"&amp;ROUNDUP(MONTH(Table1[[#This Row],[origination_date]])/3,0)&amp;YEAR(Table1[[#This Row],[origination_date]])</f>
        <v>Q42022</v>
      </c>
      <c r="AU398" s="2">
        <f>SUMIFS(Table1[loan_amount],Table1[quarter],Table1[[#This Row],[quarter]])</f>
        <v>51169300</v>
      </c>
      <c r="AV398" s="34" t="str">
        <f>_xlfn.TEXTJOIN("|",TRUE,Table1[[#This Row],[loan_id]:[loan_status]])</f>
        <v>L51302419|C7175489|44839|Home Loan|Call Center|East|Salaried|120|6919400|13.95|107227|1402252|646|D|0.39|0.82|8474100|38|4008423|4133635|45|0|0|Delinquent</v>
      </c>
      <c r="AW398" s="42">
        <f>YEAR(Loan_Table[ [#This Row],[origination_date] ])</f>
        <v>2022</v>
      </c>
    </row>
    <row r="399" spans="2:49" ht="18" customHeight="1">
      <c r="B399" s="5" t="s">
        <v>918</v>
      </c>
      <c r="C399" s="2" t="s">
        <v>919</v>
      </c>
      <c r="D399" s="3">
        <v>44913</v>
      </c>
      <c r="E399" s="2" t="s">
        <v>131</v>
      </c>
      <c r="F399" s="2" t="s">
        <v>144</v>
      </c>
      <c r="G399" s="2" t="s">
        <v>151</v>
      </c>
      <c r="H399" s="2" t="s">
        <v>134</v>
      </c>
      <c r="I399" s="2">
        <v>84</v>
      </c>
      <c r="J399" s="2">
        <v>536500</v>
      </c>
      <c r="K399" s="2">
        <v>16.010000000000002</v>
      </c>
      <c r="L399" s="2">
        <v>10659</v>
      </c>
      <c r="M399" s="2">
        <v>1248579</v>
      </c>
      <c r="N399" s="2">
        <v>725</v>
      </c>
      <c r="O399" s="2" t="s">
        <v>135</v>
      </c>
      <c r="P399" s="2">
        <v>0.35</v>
      </c>
      <c r="Q399" s="2">
        <v>0.64</v>
      </c>
      <c r="R399" s="2">
        <v>0</v>
      </c>
      <c r="S399" s="2">
        <v>36</v>
      </c>
      <c r="T399" s="2">
        <v>347507</v>
      </c>
      <c r="U399" s="2">
        <v>292065</v>
      </c>
      <c r="V399" s="2">
        <v>0</v>
      </c>
      <c r="W399" s="2">
        <v>0</v>
      </c>
      <c r="X399" s="2">
        <v>0</v>
      </c>
      <c r="Y399" s="2" t="s">
        <v>148</v>
      </c>
      <c r="Z399" s="12">
        <f>SUMIF(Table1[product],Table1[[#This Row],[product]],Table1[loan_amount])</f>
        <v>74897600</v>
      </c>
      <c r="AA399" s="15">
        <f>SUMIF(Table1[region],Table1[[#This Row],[region]],Table1[current_balance])</f>
        <v>105779369</v>
      </c>
      <c r="AB399" s="2">
        <f>COUNTIF(Table1[loan_status],Table1[[#This Row],[loan_status]])</f>
        <v>301</v>
      </c>
      <c r="AC399" s="2">
        <f>COUNTIF(Table1[default_flag],1)/ROWS(Table1[loan_id])</f>
        <v>2.5999999999999999E-2</v>
      </c>
      <c r="AD399" s="2">
        <f>COUNTIFS(Table1[region],Table1[[#This Row],[region]],Table1[default_flag],1)/COUNTIF(Table1[region],Table1[[#This Row],[region]])</f>
        <v>2.6548672566371681E-2</v>
      </c>
      <c r="AE399" s="2">
        <f>COUNTIFS(Table1[channel],Table1[[#This Row],[channel]],Table1[prepayment_flag],1)/COUNTIF(Table1[channel],Table1[[#This Row],[channel]])</f>
        <v>5.8201058201058198E-2</v>
      </c>
      <c r="AF399" s="2">
        <f>AVERAGEIFS(Table1[interest_rate_pct],Table1[product],Table1[[#This Row],[product]],Table1[risk_band],Table1[[#This Row],[risk_band]])</f>
        <v>16.500166666666669</v>
      </c>
      <c r="AG399" s="2" t="str" cm="1">
        <f t="array" ref="AG399">_xlfn.IFS(Table1[[#This Row],[dti_ratio]] &lt; 0.2, " less than 0.2", Table1[[#This Row],[dti_ratio]] &lt; 0.3, "0.2 - 0.3", Table1[[#This Row],[dti_ratio]] &lt;= 0.5, "0.35 - 0.5", Table1[[#This Row],[dti_ratio]] &gt; 0.5, "greater than 0.5")</f>
        <v>0.35 - 0.5</v>
      </c>
      <c r="AH399" s="2">
        <f>COUNTIF(Table1[DTI band],Table1[[#This Row],[DTI band]])</f>
        <v>260</v>
      </c>
      <c r="AI399" s="2" t="str" cm="1">
        <f t="array" ref="AI399">_xlfn.IFS(Table1[[#This Row],[ltv_ratio]] &lt; 0.6, "less than 0.6 -less risky", Table1[[#This Row],[ltv_ratio]]  &lt;= 0.8, "0.6 - 0.8 -medium risky",Table1[[#This Row],[ltv_ratio]] &gt; 0.8, "greater than 0.8 -highly risky")</f>
        <v>0.6 - 0.8 -medium risky</v>
      </c>
      <c r="AJ399" s="2">
        <f>COUNTIF(Table1[LTV band],Table1[[#This Row],[LTV band]])</f>
        <v>302</v>
      </c>
      <c r="AK399" s="2">
        <f>COUNTIFS(Table1[count_loan_perband],Table1[[#This Row],[count_loan_perband]],Table1[default_flag],1)/COUNTIF(Table1[count_loan_perband],Table1[[#This Row],[count_loan_perband]])</f>
        <v>3.6423841059602648E-2</v>
      </c>
      <c r="AL399" s="2" t="str" cm="1">
        <f t="array" ref="AL399">_xlfn.IFS(Table1[[#This Row],[loan_amount]] &lt; 900000, "lower size (&lt; 9L)", Table1[[#This Row],[loan_amount]] &lt;=3300000, "medium size (&lt;=33L)", Table1[[#This Row],[loan_amount]] &gt; 3300000, "larger size (&gt; 33L)")</f>
        <v>lower size (&lt; 9L)</v>
      </c>
      <c r="AM399" s="2">
        <f>IF(Table1[[#This Row],[dpd]] &gt;=30,1,0)</f>
        <v>0</v>
      </c>
      <c r="AN399" s="2">
        <f>COUNTIFS(Table1[Loan size],Table1[[#This Row],[Loan size]],Table1[dpd flag],1)/COUNTIF(Table1[Loan size],Table1[[#This Row],[Loan size]])</f>
        <v>0.13934426229508196</v>
      </c>
      <c r="AO399" s="2" t="str">
        <f>IF(OR(Table1[[#This Row],[credit_score]] &lt; 600, Table1[ [#This Row],[dti_ratio] ] &gt; 0.5, Table1[[#This Row],[dpd]] &gt;=30), "high risk", " not riskY")</f>
        <v xml:space="preserve"> not riskY</v>
      </c>
      <c r="AP399" s="26">
        <f>EOMONTH(Table1[[#This Row],[origination_date]],0)</f>
        <v>44926</v>
      </c>
      <c r="AQ399" s="2">
        <f>SUMIFS(Table1[loan_amount],Table1[origination month],Table1[[#This Row],[origination month]])</f>
        <v>18330100</v>
      </c>
      <c r="AR399" s="2">
        <f>AVERAGEIFS(Table1[months_on_book],Table1[product],Table1[[#This Row],[product]])</f>
        <v>21.092024539877301</v>
      </c>
      <c r="AS399" s="2" t="str">
        <f ca="1">IF(EDATE(Table1[[#This Row],[origination_date]],6) &gt;= TODAY(), "New Loan", "Old Loan")</f>
        <v>Old Loan</v>
      </c>
      <c r="AT399" s="2" t="str">
        <f>"Q"&amp;ROUNDUP(MONTH(Table1[[#This Row],[origination_date]])/3,0)&amp;YEAR(Table1[[#This Row],[origination_date]])</f>
        <v>Q42022</v>
      </c>
      <c r="AU399" s="2">
        <f>SUMIFS(Table1[loan_amount],Table1[quarter],Table1[[#This Row],[quarter]])</f>
        <v>51169300</v>
      </c>
      <c r="AV399" s="34" t="str">
        <f>_xlfn.TEXTJOIN("|",TRUE,Table1[[#This Row],[loan_id]:[loan_status]])</f>
        <v>L28132258|C8567707|44913|Personal Loan|Branch|North|Salaried|84|536500|16.01|10659|1248579|725|B|0.35|0.64|0|36|347507|292065|0|0|0|Active</v>
      </c>
      <c r="AW399" s="42">
        <f>YEAR(Loan_Table[ [#This Row],[origination_date] ])</f>
        <v>2022</v>
      </c>
    </row>
    <row r="400" spans="2:49" ht="18" customHeight="1">
      <c r="B400" s="5" t="s">
        <v>920</v>
      </c>
      <c r="C400" s="2" t="s">
        <v>921</v>
      </c>
      <c r="D400" s="3">
        <v>44850</v>
      </c>
      <c r="E400" s="2" t="s">
        <v>177</v>
      </c>
      <c r="F400" s="2" t="s">
        <v>132</v>
      </c>
      <c r="G400" s="2" t="s">
        <v>139</v>
      </c>
      <c r="H400" s="2" t="s">
        <v>134</v>
      </c>
      <c r="I400" s="2">
        <v>36</v>
      </c>
      <c r="J400" s="2">
        <v>636600</v>
      </c>
      <c r="K400" s="2">
        <v>9.1300000000000008</v>
      </c>
      <c r="L400" s="2">
        <v>20282</v>
      </c>
      <c r="M400" s="2">
        <v>229552</v>
      </c>
      <c r="N400" s="2">
        <v>736</v>
      </c>
      <c r="O400" s="2" t="s">
        <v>135</v>
      </c>
      <c r="P400" s="2">
        <v>0.34</v>
      </c>
      <c r="Q400" s="2">
        <v>1.01</v>
      </c>
      <c r="R400" s="2">
        <v>0</v>
      </c>
      <c r="S400" s="2">
        <v>36</v>
      </c>
      <c r="T400" s="2">
        <v>727869</v>
      </c>
      <c r="U400" s="2">
        <v>0</v>
      </c>
      <c r="V400" s="2">
        <v>30</v>
      </c>
      <c r="W400" s="2">
        <v>0</v>
      </c>
      <c r="X400" s="2">
        <v>0</v>
      </c>
      <c r="Y400" s="2" t="s">
        <v>141</v>
      </c>
      <c r="Z400" s="12">
        <f>SUMIF(Table1[product],Table1[[#This Row],[product]],Table1[loan_amount])</f>
        <v>62765800</v>
      </c>
      <c r="AA400" s="15">
        <f>SUMIF(Table1[region],Table1[[#This Row],[region]],Table1[current_balance])</f>
        <v>83903255</v>
      </c>
      <c r="AB400" s="2">
        <f>COUNTIF(Table1[loan_status],Table1[[#This Row],[loan_status]])</f>
        <v>139</v>
      </c>
      <c r="AC400" s="2">
        <f>COUNTIF(Table1[default_flag],1)/ROWS(Table1[loan_id])</f>
        <v>2.5999999999999999E-2</v>
      </c>
      <c r="AD400" s="2">
        <f>COUNTIFS(Table1[region],Table1[[#This Row],[region]],Table1[default_flag],1)/COUNTIF(Table1[region],Table1[[#This Row],[region]])</f>
        <v>4.2553191489361701E-2</v>
      </c>
      <c r="AE400" s="2">
        <f>COUNTIFS(Table1[channel],Table1[[#This Row],[channel]],Table1[prepayment_flag],1)/COUNTIF(Table1[channel],Table1[[#This Row],[channel]])</f>
        <v>7.1090047393364927E-2</v>
      </c>
      <c r="AF400" s="2">
        <f>AVERAGEIFS(Table1[interest_rate_pct],Table1[product],Table1[[#This Row],[product]],Table1[risk_band],Table1[[#This Row],[risk_band]])</f>
        <v>10.832666666666663</v>
      </c>
      <c r="AG400" s="2" t="str" cm="1">
        <f t="array" ref="AG400">_xlfn.IFS(Table1[[#This Row],[dti_ratio]] &lt; 0.2, " less than 0.2", Table1[[#This Row],[dti_ratio]] &lt; 0.3, "0.2 - 0.3", Table1[[#This Row],[dti_ratio]] &lt;= 0.5, "0.35 - 0.5", Table1[[#This Row],[dti_ratio]] &gt; 0.5, "greater than 0.5")</f>
        <v>0.35 - 0.5</v>
      </c>
      <c r="AH400" s="2">
        <f>COUNTIF(Table1[DTI band],Table1[[#This Row],[DTI band]])</f>
        <v>260</v>
      </c>
      <c r="AI400" s="2" t="str" cm="1">
        <f t="array" ref="AI400">_xlfn.IFS(Table1[[#This Row],[ltv_ratio]] &lt; 0.6, "less than 0.6 -less risky", Table1[[#This Row],[ltv_ratio]]  &lt;= 0.8, "0.6 - 0.8 -medium risky",Table1[[#This Row],[ltv_ratio]] &gt; 0.8, "greater than 0.8 -highly risky")</f>
        <v>greater than 0.8 -highly risky</v>
      </c>
      <c r="AJ400" s="2">
        <f>COUNTIF(Table1[LTV band],Table1[[#This Row],[LTV band]])</f>
        <v>141</v>
      </c>
      <c r="AK400" s="2">
        <f>COUNTIFS(Table1[count_loan_perband],Table1[[#This Row],[count_loan_perband]],Table1[default_flag],1)/COUNTIF(Table1[count_loan_perband],Table1[[#This Row],[count_loan_perband]])</f>
        <v>1.4184397163120567E-2</v>
      </c>
      <c r="AL400" s="2" t="str" cm="1">
        <f t="array" ref="AL400">_xlfn.IFS(Table1[[#This Row],[loan_amount]] &lt; 900000, "lower size (&lt; 9L)", Table1[[#This Row],[loan_amount]] &lt;=3300000, "medium size (&lt;=33L)", Table1[[#This Row],[loan_amount]] &gt; 3300000, "larger size (&gt; 33L)")</f>
        <v>lower size (&lt; 9L)</v>
      </c>
      <c r="AM400" s="2">
        <f>IF(Table1[[#This Row],[dpd]] &gt;=30,1,0)</f>
        <v>1</v>
      </c>
      <c r="AN400" s="2">
        <f>COUNTIFS(Table1[Loan size],Table1[[#This Row],[Loan size]],Table1[dpd flag],1)/COUNTIF(Table1[Loan size],Table1[[#This Row],[Loan size]])</f>
        <v>0.13934426229508196</v>
      </c>
      <c r="AO400" s="2" t="str">
        <f>IF(OR(Table1[[#This Row],[credit_score]] &lt; 600, Table1[ [#This Row],[dti_ratio] ] &gt; 0.5, Table1[[#This Row],[dpd]] &gt;=30), "high risk", " not riskY")</f>
        <v>high risk</v>
      </c>
      <c r="AP400" s="26">
        <f>EOMONTH(Table1[[#This Row],[origination_date]],0)</f>
        <v>44865</v>
      </c>
      <c r="AQ400" s="2">
        <f>SUMIFS(Table1[loan_amount],Table1[origination month],Table1[[#This Row],[origination month]])</f>
        <v>16527000</v>
      </c>
      <c r="AR400" s="2">
        <f>AVERAGEIFS(Table1[months_on_book],Table1[product],Table1[[#This Row],[product]])</f>
        <v>21.962962962962962</v>
      </c>
      <c r="AS400" s="2" t="str">
        <f ca="1">IF(EDATE(Table1[[#This Row],[origination_date]],6) &gt;= TODAY(), "New Loan", "Old Loan")</f>
        <v>Old Loan</v>
      </c>
      <c r="AT400" s="2" t="str">
        <f>"Q"&amp;ROUNDUP(MONTH(Table1[[#This Row],[origination_date]])/3,0)&amp;YEAR(Table1[[#This Row],[origination_date]])</f>
        <v>Q42022</v>
      </c>
      <c r="AU400" s="2">
        <f>SUMIFS(Table1[loan_amount],Table1[quarter],Table1[[#This Row],[quarter]])</f>
        <v>51169300</v>
      </c>
      <c r="AV400" s="34" t="str">
        <f>_xlfn.TEXTJOIN("|",TRUE,Table1[[#This Row],[loan_id]:[loan_status]])</f>
        <v>L30107615|C7948975|44850|Education Loan|Online|West|Salaried|36|636600|9.13|20282|229552|736|B|0.34|1.01|0|36|727869|0|30|0|0|Closed</v>
      </c>
      <c r="AW400" s="42">
        <f>YEAR(Loan_Table[ [#This Row],[origination_date] ])</f>
        <v>2022</v>
      </c>
    </row>
    <row r="401" spans="2:49" ht="18" customHeight="1">
      <c r="B401" s="5" t="s">
        <v>922</v>
      </c>
      <c r="C401" s="2" t="s">
        <v>923</v>
      </c>
      <c r="D401" s="3">
        <v>44896</v>
      </c>
      <c r="E401" s="2" t="s">
        <v>177</v>
      </c>
      <c r="F401" s="2" t="s">
        <v>132</v>
      </c>
      <c r="G401" s="2" t="s">
        <v>151</v>
      </c>
      <c r="H401" s="2" t="s">
        <v>134</v>
      </c>
      <c r="I401" s="2">
        <v>48</v>
      </c>
      <c r="J401" s="2">
        <v>1117800</v>
      </c>
      <c r="K401" s="2">
        <v>14.57</v>
      </c>
      <c r="L401" s="2">
        <v>30866</v>
      </c>
      <c r="M401" s="2">
        <v>891026</v>
      </c>
      <c r="N401" s="2">
        <v>658</v>
      </c>
      <c r="O401" s="2" t="s">
        <v>140</v>
      </c>
      <c r="P401" s="2">
        <v>0.33</v>
      </c>
      <c r="Q401" s="2">
        <v>0.9</v>
      </c>
      <c r="R401" s="2">
        <v>0</v>
      </c>
      <c r="S401" s="2">
        <v>36</v>
      </c>
      <c r="T401" s="2">
        <v>1067590</v>
      </c>
      <c r="U401" s="2">
        <v>245646</v>
      </c>
      <c r="V401" s="2">
        <v>0</v>
      </c>
      <c r="W401" s="2">
        <v>0</v>
      </c>
      <c r="X401" s="2">
        <v>0</v>
      </c>
      <c r="Y401" s="2" t="s">
        <v>148</v>
      </c>
      <c r="Z401" s="12">
        <f>SUMIF(Table1[product],Table1[[#This Row],[product]],Table1[loan_amount])</f>
        <v>62765800</v>
      </c>
      <c r="AA401" s="15">
        <f>SUMIF(Table1[region],Table1[[#This Row],[region]],Table1[current_balance])</f>
        <v>105779369</v>
      </c>
      <c r="AB401" s="2">
        <f>COUNTIF(Table1[loan_status],Table1[[#This Row],[loan_status]])</f>
        <v>301</v>
      </c>
      <c r="AC401" s="2">
        <f>COUNTIF(Table1[default_flag],1)/ROWS(Table1[loan_id])</f>
        <v>2.5999999999999999E-2</v>
      </c>
      <c r="AD401" s="2">
        <f>COUNTIFS(Table1[region],Table1[[#This Row],[region]],Table1[default_flag],1)/COUNTIF(Table1[region],Table1[[#This Row],[region]])</f>
        <v>2.6548672566371681E-2</v>
      </c>
      <c r="AE401" s="2">
        <f>COUNTIFS(Table1[channel],Table1[[#This Row],[channel]],Table1[prepayment_flag],1)/COUNTIF(Table1[channel],Table1[[#This Row],[channel]])</f>
        <v>7.1090047393364927E-2</v>
      </c>
      <c r="AF401" s="2">
        <f>AVERAGEIFS(Table1[interest_rate_pct],Table1[product],Table1[[#This Row],[product]],Table1[risk_band],Table1[[#This Row],[risk_band]])</f>
        <v>13.463888888888889</v>
      </c>
      <c r="AG401" s="2" t="str" cm="1">
        <f t="array" ref="AG401">_xlfn.IFS(Table1[[#This Row],[dti_ratio]] &lt; 0.2, " less than 0.2", Table1[[#This Row],[dti_ratio]] &lt; 0.3, "0.2 - 0.3", Table1[[#This Row],[dti_ratio]] &lt;= 0.5, "0.35 - 0.5", Table1[[#This Row],[dti_ratio]] &gt; 0.5, "greater than 0.5")</f>
        <v>0.35 - 0.5</v>
      </c>
      <c r="AH401" s="2">
        <f>COUNTIF(Table1[DTI band],Table1[[#This Row],[DTI band]])</f>
        <v>260</v>
      </c>
      <c r="AI401" s="2" t="str" cm="1">
        <f t="array" ref="AI401">_xlfn.IFS(Table1[[#This Row],[ltv_ratio]] &lt; 0.6, "less than 0.6 -less risky", Table1[[#This Row],[ltv_ratio]]  &lt;= 0.8, "0.6 - 0.8 -medium risky",Table1[[#This Row],[ltv_ratio]] &gt; 0.8, "greater than 0.8 -highly risky")</f>
        <v>greater than 0.8 -highly risky</v>
      </c>
      <c r="AJ401" s="2">
        <f>COUNTIF(Table1[LTV band],Table1[[#This Row],[LTV band]])</f>
        <v>141</v>
      </c>
      <c r="AK401" s="2">
        <f>COUNTIFS(Table1[count_loan_perband],Table1[[#This Row],[count_loan_perband]],Table1[default_flag],1)/COUNTIF(Table1[count_loan_perband],Table1[[#This Row],[count_loan_perband]])</f>
        <v>1.4184397163120567E-2</v>
      </c>
      <c r="AL401" s="2" t="str" cm="1">
        <f t="array" ref="AL401">_xlfn.IFS(Table1[[#This Row],[loan_amount]] &lt; 900000, "lower size (&lt; 9L)", Table1[[#This Row],[loan_amount]] &lt;=3300000, "medium size (&lt;=33L)", Table1[[#This Row],[loan_amount]] &gt; 3300000, "larger size (&gt; 33L)")</f>
        <v>medium size (&lt;=33L)</v>
      </c>
      <c r="AM401" s="2">
        <f>IF(Table1[[#This Row],[dpd]] &gt;=30,1,0)</f>
        <v>0</v>
      </c>
      <c r="AN401" s="2">
        <f>COUNTIFS(Table1[Loan size],Table1[[#This Row],[Loan size]],Table1[dpd flag],1)/COUNTIF(Table1[Loan size],Table1[[#This Row],[Loan size]])</f>
        <v>0.15909090909090909</v>
      </c>
      <c r="AO401" s="2" t="str">
        <f>IF(OR(Table1[[#This Row],[credit_score]] &lt; 600, Table1[ [#This Row],[dti_ratio] ] &gt; 0.5, Table1[[#This Row],[dpd]] &gt;=30), "high risk", " not riskY")</f>
        <v xml:space="preserve"> not riskY</v>
      </c>
      <c r="AP401" s="26">
        <f>EOMONTH(Table1[[#This Row],[origination_date]],0)</f>
        <v>44926</v>
      </c>
      <c r="AQ401" s="2">
        <f>SUMIFS(Table1[loan_amount],Table1[origination month],Table1[[#This Row],[origination month]])</f>
        <v>18330100</v>
      </c>
      <c r="AR401" s="2">
        <f>AVERAGEIFS(Table1[months_on_book],Table1[product],Table1[[#This Row],[product]])</f>
        <v>21.962962962962962</v>
      </c>
      <c r="AS401" s="2" t="str">
        <f ca="1">IF(EDATE(Table1[[#This Row],[origination_date]],6) &gt;= TODAY(), "New Loan", "Old Loan")</f>
        <v>Old Loan</v>
      </c>
      <c r="AT401" s="2" t="str">
        <f>"Q"&amp;ROUNDUP(MONTH(Table1[[#This Row],[origination_date]])/3,0)&amp;YEAR(Table1[[#This Row],[origination_date]])</f>
        <v>Q42022</v>
      </c>
      <c r="AU401" s="2">
        <f>SUMIFS(Table1[loan_amount],Table1[quarter],Table1[[#This Row],[quarter]])</f>
        <v>51169300</v>
      </c>
      <c r="AV401" s="34" t="str">
        <f>_xlfn.TEXTJOIN("|",TRUE,Table1[[#This Row],[loan_id]:[loan_status]])</f>
        <v>L52614046|C1861097|44896|Education Loan|Online|North|Salaried|48|1117800|14.57|30866|891026|658|C|0.33|0.9|0|36|1067590|245646|0|0|0|Active</v>
      </c>
      <c r="AW401" s="42">
        <f>YEAR(Loan_Table[ [#This Row],[origination_date] ])</f>
        <v>2022</v>
      </c>
    </row>
    <row r="402" spans="2:49" ht="18" customHeight="1">
      <c r="B402" s="5" t="s">
        <v>924</v>
      </c>
      <c r="C402" s="2" t="s">
        <v>925</v>
      </c>
      <c r="D402" s="3">
        <v>44879</v>
      </c>
      <c r="E402" s="2" t="s">
        <v>177</v>
      </c>
      <c r="F402" s="2" t="s">
        <v>144</v>
      </c>
      <c r="G402" s="2" t="s">
        <v>170</v>
      </c>
      <c r="H402" s="2" t="s">
        <v>146</v>
      </c>
      <c r="I402" s="2">
        <v>72</v>
      </c>
      <c r="J402" s="2">
        <v>2151300</v>
      </c>
      <c r="K402" s="2">
        <v>15.14</v>
      </c>
      <c r="L402" s="2">
        <v>45653</v>
      </c>
      <c r="M402" s="2">
        <v>1200024</v>
      </c>
      <c r="N402" s="2">
        <v>653</v>
      </c>
      <c r="O402" s="2" t="s">
        <v>140</v>
      </c>
      <c r="P402" s="2">
        <v>0.31</v>
      </c>
      <c r="Q402" s="2">
        <v>0.63</v>
      </c>
      <c r="R402" s="2">
        <v>0</v>
      </c>
      <c r="S402" s="2">
        <v>37</v>
      </c>
      <c r="T402" s="2">
        <v>1521370</v>
      </c>
      <c r="U402" s="2">
        <v>1031635</v>
      </c>
      <c r="V402" s="2">
        <v>90</v>
      </c>
      <c r="W402" s="2">
        <v>0</v>
      </c>
      <c r="X402" s="2">
        <v>1</v>
      </c>
      <c r="Y402" s="2" t="s">
        <v>153</v>
      </c>
      <c r="Z402" s="12">
        <f>SUMIF(Table1[product],Table1[[#This Row],[product]],Table1[loan_amount])</f>
        <v>62765800</v>
      </c>
      <c r="AA402" s="15">
        <f>SUMIF(Table1[region],Table1[[#This Row],[region]],Table1[current_balance])</f>
        <v>83297251</v>
      </c>
      <c r="AB402" s="2">
        <f>COUNTIF(Table1[loan_status],Table1[[#This Row],[loan_status]])</f>
        <v>13</v>
      </c>
      <c r="AC402" s="2">
        <f>COUNTIF(Table1[default_flag],1)/ROWS(Table1[loan_id])</f>
        <v>2.5999999999999999E-2</v>
      </c>
      <c r="AD402" s="2">
        <f>COUNTIFS(Table1[region],Table1[[#This Row],[region]],Table1[default_flag],1)/COUNTIF(Table1[region],Table1[[#This Row],[region]])</f>
        <v>3.1914893617021274E-2</v>
      </c>
      <c r="AE402" s="2">
        <f>COUNTIFS(Table1[channel],Table1[[#This Row],[channel]],Table1[prepayment_flag],1)/COUNTIF(Table1[channel],Table1[[#This Row],[channel]])</f>
        <v>5.8201058201058198E-2</v>
      </c>
      <c r="AF402" s="2">
        <f>AVERAGEIFS(Table1[interest_rate_pct],Table1[product],Table1[[#This Row],[product]],Table1[risk_band],Table1[[#This Row],[risk_band]])</f>
        <v>13.463888888888889</v>
      </c>
      <c r="AG402" s="2" t="str" cm="1">
        <f t="array" ref="AG402">_xlfn.IFS(Table1[[#This Row],[dti_ratio]] &lt; 0.2, " less than 0.2", Table1[[#This Row],[dti_ratio]] &lt; 0.3, "0.2 - 0.3", Table1[[#This Row],[dti_ratio]] &lt;= 0.5, "0.35 - 0.5", Table1[[#This Row],[dti_ratio]] &gt; 0.5, "greater than 0.5")</f>
        <v>0.35 - 0.5</v>
      </c>
      <c r="AH402" s="2">
        <f>COUNTIF(Table1[DTI band],Table1[[#This Row],[DTI band]])</f>
        <v>260</v>
      </c>
      <c r="AI402" s="2" t="str" cm="1">
        <f t="array" ref="AI402">_xlfn.IFS(Table1[[#This Row],[ltv_ratio]] &lt; 0.6, "less than 0.6 -less risky", Table1[[#This Row],[ltv_ratio]]  &lt;= 0.8, "0.6 - 0.8 -medium risky",Table1[[#This Row],[ltv_ratio]] &gt; 0.8, "greater than 0.8 -highly risky")</f>
        <v>0.6 - 0.8 -medium risky</v>
      </c>
      <c r="AJ402" s="2">
        <f>COUNTIF(Table1[LTV band],Table1[[#This Row],[LTV band]])</f>
        <v>302</v>
      </c>
      <c r="AK402" s="2">
        <f>COUNTIFS(Table1[count_loan_perband],Table1[[#This Row],[count_loan_perband]],Table1[default_flag],1)/COUNTIF(Table1[count_loan_perband],Table1[[#This Row],[count_loan_perband]])</f>
        <v>3.6423841059602648E-2</v>
      </c>
      <c r="AL402" s="2" t="str" cm="1">
        <f t="array" ref="AL402">_xlfn.IFS(Table1[[#This Row],[loan_amount]] &lt; 900000, "lower size (&lt; 9L)", Table1[[#This Row],[loan_amount]] &lt;=3300000, "medium size (&lt;=33L)", Table1[[#This Row],[loan_amount]] &gt; 3300000, "larger size (&gt; 33L)")</f>
        <v>medium size (&lt;=33L)</v>
      </c>
      <c r="AM402" s="2">
        <f>IF(Table1[[#This Row],[dpd]] &gt;=30,1,0)</f>
        <v>1</v>
      </c>
      <c r="AN402" s="2">
        <f>COUNTIFS(Table1[Loan size],Table1[[#This Row],[Loan size]],Table1[dpd flag],1)/COUNTIF(Table1[Loan size],Table1[[#This Row],[Loan size]])</f>
        <v>0.15909090909090909</v>
      </c>
      <c r="AO402" s="2" t="str">
        <f>IF(OR(Table1[[#This Row],[credit_score]] &lt; 600, Table1[ [#This Row],[dti_ratio] ] &gt; 0.5, Table1[[#This Row],[dpd]] &gt;=30), "high risk", " not riskY")</f>
        <v>high risk</v>
      </c>
      <c r="AP402" s="26">
        <f>EOMONTH(Table1[[#This Row],[origination_date]],0)</f>
        <v>44895</v>
      </c>
      <c r="AQ402" s="2">
        <f>SUMIFS(Table1[loan_amount],Table1[origination month],Table1[[#This Row],[origination month]])</f>
        <v>16312200</v>
      </c>
      <c r="AR402" s="2">
        <f>AVERAGEIFS(Table1[months_on_book],Table1[product],Table1[[#This Row],[product]])</f>
        <v>21.962962962962962</v>
      </c>
      <c r="AS402" s="2" t="str">
        <f ca="1">IF(EDATE(Table1[[#This Row],[origination_date]],6) &gt;= TODAY(), "New Loan", "Old Loan")</f>
        <v>Old Loan</v>
      </c>
      <c r="AT402" s="2" t="str">
        <f>"Q"&amp;ROUNDUP(MONTH(Table1[[#This Row],[origination_date]])/3,0)&amp;YEAR(Table1[[#This Row],[origination_date]])</f>
        <v>Q42022</v>
      </c>
      <c r="AU402" s="2">
        <f>SUMIFS(Table1[loan_amount],Table1[quarter],Table1[[#This Row],[quarter]])</f>
        <v>51169300</v>
      </c>
      <c r="AV402" s="34" t="str">
        <f>_xlfn.TEXTJOIN("|",TRUE,Table1[[#This Row],[loan_id]:[loan_status]])</f>
        <v>L23007176|C7637422|44879|Education Loan|Branch|East|Contract|72|2151300|15.14|45653|1200024|653|C|0.31|0.63|0|37|1521370|1031635|90|0|1|Default</v>
      </c>
      <c r="AW402" s="42">
        <f>YEAR(Loan_Table[ [#This Row],[origination_date] ])</f>
        <v>2022</v>
      </c>
    </row>
    <row r="403" spans="2:49" ht="18" customHeight="1">
      <c r="B403" s="5" t="s">
        <v>926</v>
      </c>
      <c r="C403" s="2" t="s">
        <v>927</v>
      </c>
      <c r="D403" s="3">
        <v>44902</v>
      </c>
      <c r="E403" s="2" t="s">
        <v>169</v>
      </c>
      <c r="F403" s="2" t="s">
        <v>144</v>
      </c>
      <c r="G403" s="2" t="s">
        <v>170</v>
      </c>
      <c r="H403" s="2" t="s">
        <v>152</v>
      </c>
      <c r="I403" s="2">
        <v>48</v>
      </c>
      <c r="J403" s="2">
        <v>3168700</v>
      </c>
      <c r="K403" s="2">
        <v>7</v>
      </c>
      <c r="L403" s="2">
        <v>75878</v>
      </c>
      <c r="M403" s="2">
        <v>1005790</v>
      </c>
      <c r="N403" s="2">
        <v>756</v>
      </c>
      <c r="O403" s="2" t="s">
        <v>160</v>
      </c>
      <c r="P403" s="2">
        <v>0.3</v>
      </c>
      <c r="Q403" s="2">
        <v>0.89</v>
      </c>
      <c r="R403" s="2">
        <v>3576900</v>
      </c>
      <c r="S403" s="2">
        <v>36</v>
      </c>
      <c r="T403" s="2">
        <v>2499931</v>
      </c>
      <c r="U403" s="2">
        <v>934940</v>
      </c>
      <c r="V403" s="2">
        <v>0</v>
      </c>
      <c r="W403" s="2">
        <v>0</v>
      </c>
      <c r="X403" s="2">
        <v>0</v>
      </c>
      <c r="Y403" s="2" t="s">
        <v>148</v>
      </c>
      <c r="Z403" s="12">
        <f>SUMIF(Table1[product],Table1[[#This Row],[product]],Table1[loan_amount])</f>
        <v>403369500</v>
      </c>
      <c r="AA403" s="15">
        <f>SUMIF(Table1[region],Table1[[#This Row],[region]],Table1[current_balance])</f>
        <v>83297251</v>
      </c>
      <c r="AB403" s="2">
        <f>COUNTIF(Table1[loan_status],Table1[[#This Row],[loan_status]])</f>
        <v>301</v>
      </c>
      <c r="AC403" s="2">
        <f>COUNTIF(Table1[default_flag],1)/ROWS(Table1[loan_id])</f>
        <v>2.5999999999999999E-2</v>
      </c>
      <c r="AD403" s="2">
        <f>COUNTIFS(Table1[region],Table1[[#This Row],[region]],Table1[default_flag],1)/COUNTIF(Table1[region],Table1[[#This Row],[region]])</f>
        <v>3.1914893617021274E-2</v>
      </c>
      <c r="AE403" s="2">
        <f>COUNTIFS(Table1[channel],Table1[[#This Row],[channel]],Table1[prepayment_flag],1)/COUNTIF(Table1[channel],Table1[[#This Row],[channel]])</f>
        <v>5.8201058201058198E-2</v>
      </c>
      <c r="AF403" s="2">
        <f>AVERAGEIFS(Table1[interest_rate_pct],Table1[product],Table1[[#This Row],[product]],Table1[risk_band],Table1[[#This Row],[risk_band]])</f>
        <v>7.1876190476190471</v>
      </c>
      <c r="AG403" s="2" t="str" cm="1">
        <f t="array" ref="AG403">_xlfn.IFS(Table1[[#This Row],[dti_ratio]] &lt; 0.2, " less than 0.2", Table1[[#This Row],[dti_ratio]] &lt; 0.3, "0.2 - 0.3", Table1[[#This Row],[dti_ratio]] &lt;= 0.5, "0.35 - 0.5", Table1[[#This Row],[dti_ratio]] &gt; 0.5, "greater than 0.5")</f>
        <v>0.35 - 0.5</v>
      </c>
      <c r="AH403" s="2">
        <f>COUNTIF(Table1[DTI band],Table1[[#This Row],[DTI band]])</f>
        <v>260</v>
      </c>
      <c r="AI403" s="2" t="str" cm="1">
        <f t="array" ref="AI403">_xlfn.IFS(Table1[[#This Row],[ltv_ratio]] &lt; 0.6, "less than 0.6 -less risky", Table1[[#This Row],[ltv_ratio]]  &lt;= 0.8, "0.6 - 0.8 -medium risky",Table1[[#This Row],[ltv_ratio]] &gt; 0.8, "greater than 0.8 -highly risky")</f>
        <v>greater than 0.8 -highly risky</v>
      </c>
      <c r="AJ403" s="2">
        <f>COUNTIF(Table1[LTV band],Table1[[#This Row],[LTV band]])</f>
        <v>141</v>
      </c>
      <c r="AK403" s="2">
        <f>COUNTIFS(Table1[count_loan_perband],Table1[[#This Row],[count_loan_perband]],Table1[default_flag],1)/COUNTIF(Table1[count_loan_perband],Table1[[#This Row],[count_loan_perband]])</f>
        <v>1.4184397163120567E-2</v>
      </c>
      <c r="AL403" s="2" t="str" cm="1">
        <f t="array" ref="AL403">_xlfn.IFS(Table1[[#This Row],[loan_amount]] &lt; 900000, "lower size (&lt; 9L)", Table1[[#This Row],[loan_amount]] &lt;=3300000, "medium size (&lt;=33L)", Table1[[#This Row],[loan_amount]] &gt; 3300000, "larger size (&gt; 33L)")</f>
        <v>medium size (&lt;=33L)</v>
      </c>
      <c r="AM403" s="2">
        <f>IF(Table1[[#This Row],[dpd]] &gt;=30,1,0)</f>
        <v>0</v>
      </c>
      <c r="AN403" s="2">
        <f>COUNTIFS(Table1[Loan size],Table1[[#This Row],[Loan size]],Table1[dpd flag],1)/COUNTIF(Table1[Loan size],Table1[[#This Row],[Loan size]])</f>
        <v>0.15909090909090909</v>
      </c>
      <c r="AO403" s="2" t="str">
        <f>IF(OR(Table1[[#This Row],[credit_score]] &lt; 600, Table1[ [#This Row],[dti_ratio] ] &gt; 0.5, Table1[[#This Row],[dpd]] &gt;=30), "high risk", " not riskY")</f>
        <v xml:space="preserve"> not riskY</v>
      </c>
      <c r="AP403" s="26">
        <f>EOMONTH(Table1[[#This Row],[origination_date]],0)</f>
        <v>44926</v>
      </c>
      <c r="AQ403" s="2">
        <f>SUMIFS(Table1[loan_amount],Table1[origination month],Table1[[#This Row],[origination month]])</f>
        <v>18330100</v>
      </c>
      <c r="AR403" s="2">
        <f>AVERAGEIFS(Table1[months_on_book],Table1[product],Table1[[#This Row],[product]])</f>
        <v>20.516129032258064</v>
      </c>
      <c r="AS403" s="2" t="str">
        <f ca="1">IF(EDATE(Table1[[#This Row],[origination_date]],6) &gt;= TODAY(), "New Loan", "Old Loan")</f>
        <v>Old Loan</v>
      </c>
      <c r="AT403" s="2" t="str">
        <f>"Q"&amp;ROUNDUP(MONTH(Table1[[#This Row],[origination_date]])/3,0)&amp;YEAR(Table1[[#This Row],[origination_date]])</f>
        <v>Q42022</v>
      </c>
      <c r="AU403" s="2">
        <f>SUMIFS(Table1[loan_amount],Table1[quarter],Table1[[#This Row],[quarter]])</f>
        <v>51169300</v>
      </c>
      <c r="AV403" s="34" t="str">
        <f>_xlfn.TEXTJOIN("|",TRUE,Table1[[#This Row],[loan_id]:[loan_status]])</f>
        <v>L93260810|C4247046|44902|Home Loan|Branch|East|Self-Employed|48|3168700|7|75878|1005790|756|A|0.3|0.89|3576900|36|2499931|934940|0|0|0|Active</v>
      </c>
      <c r="AW403" s="42">
        <f>YEAR(Loan_Table[ [#This Row],[origination_date] ])</f>
        <v>2022</v>
      </c>
    </row>
    <row r="404" spans="2:49" ht="18" customHeight="1">
      <c r="B404" s="5" t="s">
        <v>928</v>
      </c>
      <c r="C404" s="2" t="s">
        <v>929</v>
      </c>
      <c r="D404" s="3">
        <v>44837</v>
      </c>
      <c r="E404" s="2" t="s">
        <v>169</v>
      </c>
      <c r="F404" s="2" t="s">
        <v>132</v>
      </c>
      <c r="G404" s="2" t="s">
        <v>139</v>
      </c>
      <c r="H404" s="2" t="s">
        <v>134</v>
      </c>
      <c r="I404" s="2">
        <v>120</v>
      </c>
      <c r="J404" s="2">
        <v>2844400</v>
      </c>
      <c r="K404" s="2">
        <v>13.98</v>
      </c>
      <c r="L404" s="2">
        <v>44130</v>
      </c>
      <c r="M404" s="2">
        <v>165278</v>
      </c>
      <c r="N404" s="2">
        <v>661</v>
      </c>
      <c r="O404" s="2" t="s">
        <v>140</v>
      </c>
      <c r="P404" s="2">
        <v>0.28999999999999998</v>
      </c>
      <c r="Q404" s="2">
        <v>0.85</v>
      </c>
      <c r="R404" s="2">
        <v>3336300</v>
      </c>
      <c r="S404" s="2">
        <v>38</v>
      </c>
      <c r="T404" s="2">
        <v>1658093</v>
      </c>
      <c r="U404" s="2">
        <v>1689993</v>
      </c>
      <c r="V404" s="2">
        <v>120</v>
      </c>
      <c r="W404" s="2">
        <v>0</v>
      </c>
      <c r="X404" s="2">
        <v>1</v>
      </c>
      <c r="Y404" s="2" t="s">
        <v>153</v>
      </c>
      <c r="Z404" s="12">
        <f>SUMIF(Table1[product],Table1[[#This Row],[product]],Table1[loan_amount])</f>
        <v>403369500</v>
      </c>
      <c r="AA404" s="15">
        <f>SUMIF(Table1[region],Table1[[#This Row],[region]],Table1[current_balance])</f>
        <v>83903255</v>
      </c>
      <c r="AB404" s="2">
        <f>COUNTIF(Table1[loan_status],Table1[[#This Row],[loan_status]])</f>
        <v>13</v>
      </c>
      <c r="AC404" s="2">
        <f>COUNTIF(Table1[default_flag],1)/ROWS(Table1[loan_id])</f>
        <v>2.5999999999999999E-2</v>
      </c>
      <c r="AD404" s="2">
        <f>COUNTIFS(Table1[region],Table1[[#This Row],[region]],Table1[default_flag],1)/COUNTIF(Table1[region],Table1[[#This Row],[region]])</f>
        <v>4.2553191489361701E-2</v>
      </c>
      <c r="AE404" s="2">
        <f>COUNTIFS(Table1[channel],Table1[[#This Row],[channel]],Table1[prepayment_flag],1)/COUNTIF(Table1[channel],Table1[[#This Row],[channel]])</f>
        <v>7.1090047393364927E-2</v>
      </c>
      <c r="AF404" s="2">
        <f>AVERAGEIFS(Table1[interest_rate_pct],Table1[product],Table1[[#This Row],[product]],Table1[risk_band],Table1[[#This Row],[risk_band]])</f>
        <v>11.719736842105268</v>
      </c>
      <c r="AG404" s="2" t="str" cm="1">
        <f t="array" ref="AG404">_xlfn.IFS(Table1[[#This Row],[dti_ratio]] &lt; 0.2, " less than 0.2", Table1[[#This Row],[dti_ratio]] &lt; 0.3, "0.2 - 0.3", Table1[[#This Row],[dti_ratio]] &lt;= 0.5, "0.35 - 0.5", Table1[[#This Row],[dti_ratio]] &gt; 0.5, "greater than 0.5")</f>
        <v>0.2 - 0.3</v>
      </c>
      <c r="AH404" s="2">
        <f>COUNTIF(Table1[DTI band],Table1[[#This Row],[DTI band]])</f>
        <v>122</v>
      </c>
      <c r="AI404" s="2" t="str" cm="1">
        <f t="array" ref="AI404">_xlfn.IFS(Table1[[#This Row],[ltv_ratio]] &lt; 0.6, "less than 0.6 -less risky", Table1[[#This Row],[ltv_ratio]]  &lt;= 0.8, "0.6 - 0.8 -medium risky",Table1[[#This Row],[ltv_ratio]] &gt; 0.8, "greater than 0.8 -highly risky")</f>
        <v>greater than 0.8 -highly risky</v>
      </c>
      <c r="AJ404" s="2">
        <f>COUNTIF(Table1[LTV band],Table1[[#This Row],[LTV band]])</f>
        <v>141</v>
      </c>
      <c r="AK404" s="2">
        <f>COUNTIFS(Table1[count_loan_perband],Table1[[#This Row],[count_loan_perband]],Table1[default_flag],1)/COUNTIF(Table1[count_loan_perband],Table1[[#This Row],[count_loan_perband]])</f>
        <v>1.4184397163120567E-2</v>
      </c>
      <c r="AL404" s="2" t="str" cm="1">
        <f t="array" ref="AL404">_xlfn.IFS(Table1[[#This Row],[loan_amount]] &lt; 900000, "lower size (&lt; 9L)", Table1[[#This Row],[loan_amount]] &lt;=3300000, "medium size (&lt;=33L)", Table1[[#This Row],[loan_amount]] &gt; 3300000, "larger size (&gt; 33L)")</f>
        <v>medium size (&lt;=33L)</v>
      </c>
      <c r="AM404" s="2">
        <f>IF(Table1[[#This Row],[dpd]] &gt;=30,1,0)</f>
        <v>1</v>
      </c>
      <c r="AN404" s="2">
        <f>COUNTIFS(Table1[Loan size],Table1[[#This Row],[Loan size]],Table1[dpd flag],1)/COUNTIF(Table1[Loan size],Table1[[#This Row],[Loan size]])</f>
        <v>0.15909090909090909</v>
      </c>
      <c r="AO404" s="2" t="str">
        <f>IF(OR(Table1[[#This Row],[credit_score]] &lt; 600, Table1[ [#This Row],[dti_ratio] ] &gt; 0.5, Table1[[#This Row],[dpd]] &gt;=30), "high risk", " not riskY")</f>
        <v>high risk</v>
      </c>
      <c r="AP404" s="26">
        <f>EOMONTH(Table1[[#This Row],[origination_date]],0)</f>
        <v>44865</v>
      </c>
      <c r="AQ404" s="2">
        <f>SUMIFS(Table1[loan_amount],Table1[origination month],Table1[[#This Row],[origination month]])</f>
        <v>16527000</v>
      </c>
      <c r="AR404" s="2">
        <f>AVERAGEIFS(Table1[months_on_book],Table1[product],Table1[[#This Row],[product]])</f>
        <v>20.516129032258064</v>
      </c>
      <c r="AS404" s="2" t="str">
        <f ca="1">IF(EDATE(Table1[[#This Row],[origination_date]],6) &gt;= TODAY(), "New Loan", "Old Loan")</f>
        <v>Old Loan</v>
      </c>
      <c r="AT404" s="2" t="str">
        <f>"Q"&amp;ROUNDUP(MONTH(Table1[[#This Row],[origination_date]])/3,0)&amp;YEAR(Table1[[#This Row],[origination_date]])</f>
        <v>Q42022</v>
      </c>
      <c r="AU404" s="2">
        <f>SUMIFS(Table1[loan_amount],Table1[quarter],Table1[[#This Row],[quarter]])</f>
        <v>51169300</v>
      </c>
      <c r="AV404" s="34" t="str">
        <f>_xlfn.TEXTJOIN("|",TRUE,Table1[[#This Row],[loan_id]:[loan_status]])</f>
        <v>L80265612|C8057240|44837|Home Loan|Online|West|Salaried|120|2844400|13.98|44130|165278|661|C|0.29|0.85|3336300|38|1658093|1689993|120|0|1|Default</v>
      </c>
      <c r="AW404" s="42">
        <f>YEAR(Loan_Table[ [#This Row],[origination_date] ])</f>
        <v>2022</v>
      </c>
    </row>
    <row r="405" spans="2:49" ht="18" customHeight="1">
      <c r="B405" s="5" t="s">
        <v>930</v>
      </c>
      <c r="C405" s="2" t="s">
        <v>931</v>
      </c>
      <c r="D405" s="3">
        <v>44926</v>
      </c>
      <c r="E405" s="2" t="s">
        <v>131</v>
      </c>
      <c r="F405" s="2" t="s">
        <v>144</v>
      </c>
      <c r="G405" s="2" t="s">
        <v>170</v>
      </c>
      <c r="H405" s="2" t="s">
        <v>134</v>
      </c>
      <c r="I405" s="2">
        <v>36</v>
      </c>
      <c r="J405" s="2">
        <v>633800</v>
      </c>
      <c r="K405" s="2">
        <v>13.57</v>
      </c>
      <c r="L405" s="2">
        <v>21530</v>
      </c>
      <c r="M405" s="2">
        <v>1037024</v>
      </c>
      <c r="N405" s="2">
        <v>765</v>
      </c>
      <c r="O405" s="2" t="s">
        <v>160</v>
      </c>
      <c r="P405" s="2">
        <v>0.28999999999999998</v>
      </c>
      <c r="Q405" s="2">
        <v>0.71</v>
      </c>
      <c r="R405" s="2">
        <v>0</v>
      </c>
      <c r="S405" s="2">
        <v>36</v>
      </c>
      <c r="T405" s="2">
        <v>687111</v>
      </c>
      <c r="U405" s="2">
        <v>49897</v>
      </c>
      <c r="V405" s="2">
        <v>0</v>
      </c>
      <c r="W405" s="2">
        <v>0</v>
      </c>
      <c r="X405" s="2">
        <v>0</v>
      </c>
      <c r="Y405" s="2" t="s">
        <v>141</v>
      </c>
      <c r="Z405" s="12">
        <f>SUMIF(Table1[product],Table1[[#This Row],[product]],Table1[loan_amount])</f>
        <v>74897600</v>
      </c>
      <c r="AA405" s="15">
        <f>SUMIF(Table1[region],Table1[[#This Row],[region]],Table1[current_balance])</f>
        <v>83297251</v>
      </c>
      <c r="AB405" s="2">
        <f>COUNTIF(Table1[loan_status],Table1[[#This Row],[loan_status]])</f>
        <v>139</v>
      </c>
      <c r="AC405" s="2">
        <f>COUNTIF(Table1[default_flag],1)/ROWS(Table1[loan_id])</f>
        <v>2.5999999999999999E-2</v>
      </c>
      <c r="AD405" s="2">
        <f>COUNTIFS(Table1[region],Table1[[#This Row],[region]],Table1[default_flag],1)/COUNTIF(Table1[region],Table1[[#This Row],[region]])</f>
        <v>3.1914893617021274E-2</v>
      </c>
      <c r="AE405" s="2">
        <f>COUNTIFS(Table1[channel],Table1[[#This Row],[channel]],Table1[prepayment_flag],1)/COUNTIF(Table1[channel],Table1[[#This Row],[channel]])</f>
        <v>5.8201058201058198E-2</v>
      </c>
      <c r="AF405" s="2">
        <f>AVERAGEIFS(Table1[interest_rate_pct],Table1[product],Table1[[#This Row],[product]],Table1[risk_band],Table1[[#This Row],[risk_band]])</f>
        <v>13.328333333333335</v>
      </c>
      <c r="AG405" s="2" t="str" cm="1">
        <f t="array" ref="AG405">_xlfn.IFS(Table1[[#This Row],[dti_ratio]] &lt; 0.2, " less than 0.2", Table1[[#This Row],[dti_ratio]] &lt; 0.3, "0.2 - 0.3", Table1[[#This Row],[dti_ratio]] &lt;= 0.5, "0.35 - 0.5", Table1[[#This Row],[dti_ratio]] &gt; 0.5, "greater than 0.5")</f>
        <v>0.2 - 0.3</v>
      </c>
      <c r="AH405" s="2">
        <f>COUNTIF(Table1[DTI band],Table1[[#This Row],[DTI band]])</f>
        <v>122</v>
      </c>
      <c r="AI405" s="2" t="str" cm="1">
        <f t="array" ref="AI405">_xlfn.IFS(Table1[[#This Row],[ltv_ratio]] &lt; 0.6, "less than 0.6 -less risky", Table1[[#This Row],[ltv_ratio]]  &lt;= 0.8, "0.6 - 0.8 -medium risky",Table1[[#This Row],[ltv_ratio]] &gt; 0.8, "greater than 0.8 -highly risky")</f>
        <v>0.6 - 0.8 -medium risky</v>
      </c>
      <c r="AJ405" s="2">
        <f>COUNTIF(Table1[LTV band],Table1[[#This Row],[LTV band]])</f>
        <v>302</v>
      </c>
      <c r="AK405" s="2">
        <f>COUNTIFS(Table1[count_loan_perband],Table1[[#This Row],[count_loan_perband]],Table1[default_flag],1)/COUNTIF(Table1[count_loan_perband],Table1[[#This Row],[count_loan_perband]])</f>
        <v>3.6423841059602648E-2</v>
      </c>
      <c r="AL405" s="2" t="str" cm="1">
        <f t="array" ref="AL405">_xlfn.IFS(Table1[[#This Row],[loan_amount]] &lt; 900000, "lower size (&lt; 9L)", Table1[[#This Row],[loan_amount]] &lt;=3300000, "medium size (&lt;=33L)", Table1[[#This Row],[loan_amount]] &gt; 3300000, "larger size (&gt; 33L)")</f>
        <v>lower size (&lt; 9L)</v>
      </c>
      <c r="AM405" s="2">
        <f>IF(Table1[[#This Row],[dpd]] &gt;=30,1,0)</f>
        <v>0</v>
      </c>
      <c r="AN405" s="2">
        <f>COUNTIFS(Table1[Loan size],Table1[[#This Row],[Loan size]],Table1[dpd flag],1)/COUNTIF(Table1[Loan size],Table1[[#This Row],[Loan size]])</f>
        <v>0.13934426229508196</v>
      </c>
      <c r="AO405" s="2" t="str">
        <f>IF(OR(Table1[[#This Row],[credit_score]] &lt; 600, Table1[ [#This Row],[dti_ratio] ] &gt; 0.5, Table1[[#This Row],[dpd]] &gt;=30), "high risk", " not riskY")</f>
        <v xml:space="preserve"> not riskY</v>
      </c>
      <c r="AP405" s="26">
        <f>EOMONTH(Table1[[#This Row],[origination_date]],0)</f>
        <v>44926</v>
      </c>
      <c r="AQ405" s="2">
        <f>SUMIFS(Table1[loan_amount],Table1[origination month],Table1[[#This Row],[origination month]])</f>
        <v>18330100</v>
      </c>
      <c r="AR405" s="2">
        <f>AVERAGEIFS(Table1[months_on_book],Table1[product],Table1[[#This Row],[product]])</f>
        <v>21.092024539877301</v>
      </c>
      <c r="AS405" s="2" t="str">
        <f ca="1">IF(EDATE(Table1[[#This Row],[origination_date]],6) &gt;= TODAY(), "New Loan", "Old Loan")</f>
        <v>Old Loan</v>
      </c>
      <c r="AT405" s="2" t="str">
        <f>"Q"&amp;ROUNDUP(MONTH(Table1[[#This Row],[origination_date]])/3,0)&amp;YEAR(Table1[[#This Row],[origination_date]])</f>
        <v>Q42022</v>
      </c>
      <c r="AU405" s="2">
        <f>SUMIFS(Table1[loan_amount],Table1[quarter],Table1[[#This Row],[quarter]])</f>
        <v>51169300</v>
      </c>
      <c r="AV405" s="34" t="str">
        <f>_xlfn.TEXTJOIN("|",TRUE,Table1[[#This Row],[loan_id]:[loan_status]])</f>
        <v>L22622417|C5904115|44926|Personal Loan|Branch|East|Salaried|36|633800|13.57|21530|1037024|765|A|0.29|0.71|0|36|687111|49897|0|0|0|Closed</v>
      </c>
      <c r="AW405" s="42">
        <f>YEAR(Loan_Table[ [#This Row],[origination_date] ])</f>
        <v>2023</v>
      </c>
    </row>
    <row r="406" spans="2:49" ht="18" customHeight="1">
      <c r="B406" s="5" t="s">
        <v>932</v>
      </c>
      <c r="C406" s="2" t="s">
        <v>933</v>
      </c>
      <c r="D406" s="3">
        <v>44894</v>
      </c>
      <c r="E406" s="2" t="s">
        <v>131</v>
      </c>
      <c r="F406" s="2" t="s">
        <v>144</v>
      </c>
      <c r="G406" s="2" t="s">
        <v>133</v>
      </c>
      <c r="H406" s="2" t="s">
        <v>134</v>
      </c>
      <c r="I406" s="2">
        <v>48</v>
      </c>
      <c r="J406" s="2">
        <v>438900</v>
      </c>
      <c r="K406" s="2">
        <v>20.440000000000001</v>
      </c>
      <c r="L406" s="2">
        <v>13459</v>
      </c>
      <c r="M406" s="2">
        <v>766987</v>
      </c>
      <c r="N406" s="2">
        <v>616</v>
      </c>
      <c r="O406" s="2" t="s">
        <v>147</v>
      </c>
      <c r="P406" s="2">
        <v>0.28999999999999998</v>
      </c>
      <c r="Q406" s="2">
        <v>0.79</v>
      </c>
      <c r="R406" s="2">
        <v>0</v>
      </c>
      <c r="S406" s="2">
        <v>37</v>
      </c>
      <c r="T406" s="2">
        <v>462045</v>
      </c>
      <c r="U406" s="2">
        <v>87499</v>
      </c>
      <c r="V406" s="2">
        <v>60</v>
      </c>
      <c r="W406" s="2">
        <v>0</v>
      </c>
      <c r="X406" s="2">
        <v>0</v>
      </c>
      <c r="Y406" s="2" t="s">
        <v>136</v>
      </c>
      <c r="Z406" s="12">
        <f>SUMIF(Table1[product],Table1[[#This Row],[product]],Table1[loan_amount])</f>
        <v>74897600</v>
      </c>
      <c r="AA406" s="15">
        <f>SUMIF(Table1[region],Table1[[#This Row],[region]],Table1[current_balance])</f>
        <v>94548000</v>
      </c>
      <c r="AB406" s="2">
        <f>COUNTIF(Table1[loan_status],Table1[[#This Row],[loan_status]])</f>
        <v>47</v>
      </c>
      <c r="AC406" s="2">
        <f>COUNTIF(Table1[default_flag],1)/ROWS(Table1[loan_id])</f>
        <v>2.5999999999999999E-2</v>
      </c>
      <c r="AD406" s="2">
        <f>COUNTIFS(Table1[region],Table1[[#This Row],[region]],Table1[default_flag],1)/COUNTIF(Table1[region],Table1[[#This Row],[region]])</f>
        <v>0</v>
      </c>
      <c r="AE406" s="2">
        <f>COUNTIFS(Table1[channel],Table1[[#This Row],[channel]],Table1[prepayment_flag],1)/COUNTIF(Table1[channel],Table1[[#This Row],[channel]])</f>
        <v>5.8201058201058198E-2</v>
      </c>
      <c r="AF406" s="2">
        <f>AVERAGEIFS(Table1[interest_rate_pct],Table1[product],Table1[[#This Row],[product]],Table1[risk_band],Table1[[#This Row],[risk_band]])</f>
        <v>20.962592592592593</v>
      </c>
      <c r="AG406" s="2" t="str" cm="1">
        <f t="array" ref="AG406">_xlfn.IFS(Table1[[#This Row],[dti_ratio]] &lt; 0.2, " less than 0.2", Table1[[#This Row],[dti_ratio]] &lt; 0.3, "0.2 - 0.3", Table1[[#This Row],[dti_ratio]] &lt;= 0.5, "0.35 - 0.5", Table1[[#This Row],[dti_ratio]] &gt; 0.5, "greater than 0.5")</f>
        <v>0.2 - 0.3</v>
      </c>
      <c r="AH406" s="2">
        <f>COUNTIF(Table1[DTI band],Table1[[#This Row],[DTI band]])</f>
        <v>122</v>
      </c>
      <c r="AI406" s="2" t="str" cm="1">
        <f t="array" ref="AI406">_xlfn.IFS(Table1[[#This Row],[ltv_ratio]] &lt; 0.6, "less than 0.6 -less risky", Table1[[#This Row],[ltv_ratio]]  &lt;= 0.8, "0.6 - 0.8 -medium risky",Table1[[#This Row],[ltv_ratio]] &gt; 0.8, "greater than 0.8 -highly risky")</f>
        <v>0.6 - 0.8 -medium risky</v>
      </c>
      <c r="AJ406" s="2">
        <f>COUNTIF(Table1[LTV band],Table1[[#This Row],[LTV band]])</f>
        <v>302</v>
      </c>
      <c r="AK406" s="2">
        <f>COUNTIFS(Table1[count_loan_perband],Table1[[#This Row],[count_loan_perband]],Table1[default_flag],1)/COUNTIF(Table1[count_loan_perband],Table1[[#This Row],[count_loan_perband]])</f>
        <v>3.6423841059602648E-2</v>
      </c>
      <c r="AL406" s="2" t="str" cm="1">
        <f t="array" ref="AL406">_xlfn.IFS(Table1[[#This Row],[loan_amount]] &lt; 900000, "lower size (&lt; 9L)", Table1[[#This Row],[loan_amount]] &lt;=3300000, "medium size (&lt;=33L)", Table1[[#This Row],[loan_amount]] &gt; 3300000, "larger size (&gt; 33L)")</f>
        <v>lower size (&lt; 9L)</v>
      </c>
      <c r="AM406" s="2">
        <f>IF(Table1[[#This Row],[dpd]] &gt;=30,1,0)</f>
        <v>1</v>
      </c>
      <c r="AN406" s="2">
        <f>COUNTIFS(Table1[Loan size],Table1[[#This Row],[Loan size]],Table1[dpd flag],1)/COUNTIF(Table1[Loan size],Table1[[#This Row],[Loan size]])</f>
        <v>0.13934426229508196</v>
      </c>
      <c r="AO406" s="2" t="str">
        <f>IF(OR(Table1[[#This Row],[credit_score]] &lt; 600, Table1[ [#This Row],[dti_ratio] ] &gt; 0.5, Table1[[#This Row],[dpd]] &gt;=30), "high risk", " not riskY")</f>
        <v>high risk</v>
      </c>
      <c r="AP406" s="26">
        <f>EOMONTH(Table1[[#This Row],[origination_date]],0)</f>
        <v>44895</v>
      </c>
      <c r="AQ406" s="2">
        <f>SUMIFS(Table1[loan_amount],Table1[origination month],Table1[[#This Row],[origination month]])</f>
        <v>16312200</v>
      </c>
      <c r="AR406" s="2">
        <f>AVERAGEIFS(Table1[months_on_book],Table1[product],Table1[[#This Row],[product]])</f>
        <v>21.092024539877301</v>
      </c>
      <c r="AS406" s="2" t="str">
        <f ca="1">IF(EDATE(Table1[[#This Row],[origination_date]],6) &gt;= TODAY(), "New Loan", "Old Loan")</f>
        <v>Old Loan</v>
      </c>
      <c r="AT406" s="2" t="str">
        <f>"Q"&amp;ROUNDUP(MONTH(Table1[[#This Row],[origination_date]])/3,0)&amp;YEAR(Table1[[#This Row],[origination_date]])</f>
        <v>Q42022</v>
      </c>
      <c r="AU406" s="2">
        <f>SUMIFS(Table1[loan_amount],Table1[quarter],Table1[[#This Row],[quarter]])</f>
        <v>51169300</v>
      </c>
      <c r="AV406" s="34" t="str">
        <f>_xlfn.TEXTJOIN("|",TRUE,Table1[[#This Row],[loan_id]:[loan_status]])</f>
        <v>L34940946|C5165194|44894|Personal Loan|Branch|South|Salaried|48|438900|20.44|13459|766987|616|D|0.29|0.79|0|37|462045|87499|60|0|0|Delinquent</v>
      </c>
      <c r="AW406" s="42">
        <f>YEAR(Loan_Table[ [#This Row],[origination_date] ])</f>
        <v>2023</v>
      </c>
    </row>
    <row r="407" spans="2:49" ht="18" customHeight="1">
      <c r="B407" s="5" t="s">
        <v>934</v>
      </c>
      <c r="C407" s="2" t="s">
        <v>935</v>
      </c>
      <c r="D407" s="3">
        <v>44870</v>
      </c>
      <c r="E407" s="2" t="s">
        <v>163</v>
      </c>
      <c r="F407" s="2" t="s">
        <v>132</v>
      </c>
      <c r="G407" s="2" t="s">
        <v>170</v>
      </c>
      <c r="H407" s="2" t="s">
        <v>134</v>
      </c>
      <c r="I407" s="2">
        <v>180</v>
      </c>
      <c r="J407" s="2">
        <v>1154800</v>
      </c>
      <c r="K407" s="2">
        <v>15.16</v>
      </c>
      <c r="L407" s="2">
        <v>16289</v>
      </c>
      <c r="M407" s="2">
        <v>1318719</v>
      </c>
      <c r="N407" s="2">
        <v>620</v>
      </c>
      <c r="O407" s="2" t="s">
        <v>147</v>
      </c>
      <c r="P407" s="2">
        <v>0.28000000000000003</v>
      </c>
      <c r="Q407" s="2">
        <v>0.74</v>
      </c>
      <c r="R407" s="2">
        <v>1552600</v>
      </c>
      <c r="S407" s="2">
        <v>37</v>
      </c>
      <c r="T407" s="2">
        <v>537390</v>
      </c>
      <c r="U407" s="2">
        <v>833327</v>
      </c>
      <c r="V407" s="2">
        <v>0</v>
      </c>
      <c r="W407" s="2">
        <v>0</v>
      </c>
      <c r="X407" s="2">
        <v>0</v>
      </c>
      <c r="Y407" s="2" t="s">
        <v>148</v>
      </c>
      <c r="Z407" s="12">
        <f>SUMIF(Table1[product],Table1[[#This Row],[product]],Table1[loan_amount])</f>
        <v>92273000</v>
      </c>
      <c r="AA407" s="15">
        <f>SUMIF(Table1[region],Table1[[#This Row],[region]],Table1[current_balance])</f>
        <v>83297251</v>
      </c>
      <c r="AB407" s="2">
        <f>COUNTIF(Table1[loan_status],Table1[[#This Row],[loan_status]])</f>
        <v>301</v>
      </c>
      <c r="AC407" s="2">
        <f>COUNTIF(Table1[default_flag],1)/ROWS(Table1[loan_id])</f>
        <v>2.5999999999999999E-2</v>
      </c>
      <c r="AD407" s="2">
        <f>COUNTIFS(Table1[region],Table1[[#This Row],[region]],Table1[default_flag],1)/COUNTIF(Table1[region],Table1[[#This Row],[region]])</f>
        <v>3.1914893617021274E-2</v>
      </c>
      <c r="AE407" s="2">
        <f>COUNTIFS(Table1[channel],Table1[[#This Row],[channel]],Table1[prepayment_flag],1)/COUNTIF(Table1[channel],Table1[[#This Row],[channel]])</f>
        <v>7.1090047393364927E-2</v>
      </c>
      <c r="AF407" s="2">
        <f>AVERAGEIFS(Table1[interest_rate_pct],Table1[product],Table1[[#This Row],[product]],Table1[risk_band],Table1[[#This Row],[risk_band]])</f>
        <v>15.092000000000001</v>
      </c>
      <c r="AG407" s="2" t="str" cm="1">
        <f t="array" ref="AG407">_xlfn.IFS(Table1[[#This Row],[dti_ratio]] &lt; 0.2, " less than 0.2", Table1[[#This Row],[dti_ratio]] &lt; 0.3, "0.2 - 0.3", Table1[[#This Row],[dti_ratio]] &lt;= 0.5, "0.35 - 0.5", Table1[[#This Row],[dti_ratio]] &gt; 0.5, "greater than 0.5")</f>
        <v>0.2 - 0.3</v>
      </c>
      <c r="AH407" s="2">
        <f>COUNTIF(Table1[DTI band],Table1[[#This Row],[DTI band]])</f>
        <v>122</v>
      </c>
      <c r="AI407" s="2" t="str" cm="1">
        <f t="array" ref="AI407">_xlfn.IFS(Table1[[#This Row],[ltv_ratio]] &lt; 0.6, "less than 0.6 -less risky", Table1[[#This Row],[ltv_ratio]]  &lt;= 0.8, "0.6 - 0.8 -medium risky",Table1[[#This Row],[ltv_ratio]] &gt; 0.8, "greater than 0.8 -highly risky")</f>
        <v>0.6 - 0.8 -medium risky</v>
      </c>
      <c r="AJ407" s="2">
        <f>COUNTIF(Table1[LTV band],Table1[[#This Row],[LTV band]])</f>
        <v>302</v>
      </c>
      <c r="AK407" s="2">
        <f>COUNTIFS(Table1[count_loan_perband],Table1[[#This Row],[count_loan_perband]],Table1[default_flag],1)/COUNTIF(Table1[count_loan_perband],Table1[[#This Row],[count_loan_perband]])</f>
        <v>3.6423841059602648E-2</v>
      </c>
      <c r="AL407" s="2" t="str" cm="1">
        <f t="array" ref="AL407">_xlfn.IFS(Table1[[#This Row],[loan_amount]] &lt; 900000, "lower size (&lt; 9L)", Table1[[#This Row],[loan_amount]] &lt;=3300000, "medium size (&lt;=33L)", Table1[[#This Row],[loan_amount]] &gt; 3300000, "larger size (&gt; 33L)")</f>
        <v>medium size (&lt;=33L)</v>
      </c>
      <c r="AM407" s="2">
        <f>IF(Table1[[#This Row],[dpd]] &gt;=30,1,0)</f>
        <v>0</v>
      </c>
      <c r="AN407" s="2">
        <f>COUNTIFS(Table1[Loan size],Table1[[#This Row],[Loan size]],Table1[dpd flag],1)/COUNTIF(Table1[Loan size],Table1[[#This Row],[Loan size]])</f>
        <v>0.15909090909090909</v>
      </c>
      <c r="AO407" s="2" t="str">
        <f>IF(OR(Table1[[#This Row],[credit_score]] &lt; 600, Table1[ [#This Row],[dti_ratio] ] &gt; 0.5, Table1[[#This Row],[dpd]] &gt;=30), "high risk", " not riskY")</f>
        <v xml:space="preserve"> not riskY</v>
      </c>
      <c r="AP407" s="26">
        <f>EOMONTH(Table1[[#This Row],[origination_date]],0)</f>
        <v>44895</v>
      </c>
      <c r="AQ407" s="2">
        <f>SUMIFS(Table1[loan_amount],Table1[origination month],Table1[[#This Row],[origination month]])</f>
        <v>16312200</v>
      </c>
      <c r="AR407" s="2">
        <f>AVERAGEIFS(Table1[months_on_book],Table1[product],Table1[[#This Row],[product]])</f>
        <v>20.262135922330096</v>
      </c>
      <c r="AS407" s="2" t="str">
        <f ca="1">IF(EDATE(Table1[[#This Row],[origination_date]],6) &gt;= TODAY(), "New Loan", "Old Loan")</f>
        <v>Old Loan</v>
      </c>
      <c r="AT407" s="2" t="str">
        <f>"Q"&amp;ROUNDUP(MONTH(Table1[[#This Row],[origination_date]])/3,0)&amp;YEAR(Table1[[#This Row],[origination_date]])</f>
        <v>Q42022</v>
      </c>
      <c r="AU407" s="2">
        <f>SUMIFS(Table1[loan_amount],Table1[quarter],Table1[[#This Row],[quarter]])</f>
        <v>51169300</v>
      </c>
      <c r="AV407" s="34" t="str">
        <f>_xlfn.TEXTJOIN("|",TRUE,Table1[[#This Row],[loan_id]:[loan_status]])</f>
        <v>L74793411|C7744816|44870|Auto Loan|Online|East|Salaried|180|1154800|15.16|16289|1318719|620|D|0.28|0.74|1552600|37|537390|833327|0|0|0|Active</v>
      </c>
      <c r="AW407" s="42">
        <f>YEAR(Loan_Table[ [#This Row],[origination_date] ])</f>
        <v>2023</v>
      </c>
    </row>
    <row r="408" spans="2:49" ht="18" customHeight="1">
      <c r="B408" s="5" t="s">
        <v>936</v>
      </c>
      <c r="C408" s="2" t="s">
        <v>937</v>
      </c>
      <c r="D408" s="3">
        <v>44860</v>
      </c>
      <c r="E408" s="2" t="s">
        <v>158</v>
      </c>
      <c r="F408" s="2" t="s">
        <v>132</v>
      </c>
      <c r="G408" s="2" t="s">
        <v>151</v>
      </c>
      <c r="H408" s="2" t="s">
        <v>192</v>
      </c>
      <c r="I408" s="2">
        <v>36</v>
      </c>
      <c r="J408" s="2">
        <v>1677900</v>
      </c>
      <c r="K408" s="2">
        <v>16.39</v>
      </c>
      <c r="L408" s="2">
        <v>59314</v>
      </c>
      <c r="M408" s="2">
        <v>694720</v>
      </c>
      <c r="N408" s="2">
        <v>653</v>
      </c>
      <c r="O408" s="2" t="s">
        <v>140</v>
      </c>
      <c r="P408" s="2">
        <v>0.28000000000000003</v>
      </c>
      <c r="Q408" s="2">
        <v>0.73</v>
      </c>
      <c r="R408" s="2">
        <v>2313400</v>
      </c>
      <c r="S408" s="2">
        <v>36</v>
      </c>
      <c r="T408" s="2">
        <v>2006761</v>
      </c>
      <c r="U408" s="2">
        <v>1148</v>
      </c>
      <c r="V408" s="2">
        <v>90</v>
      </c>
      <c r="W408" s="2">
        <v>0</v>
      </c>
      <c r="X408" s="2">
        <v>1</v>
      </c>
      <c r="Y408" s="2" t="s">
        <v>153</v>
      </c>
      <c r="Z408" s="12">
        <f>SUMIF(Table1[product],Table1[[#This Row],[product]],Table1[loan_amount])</f>
        <v>201475100</v>
      </c>
      <c r="AA408" s="15">
        <f>SUMIF(Table1[region],Table1[[#This Row],[region]],Table1[current_balance])</f>
        <v>105779369</v>
      </c>
      <c r="AB408" s="2">
        <f>COUNTIF(Table1[loan_status],Table1[[#This Row],[loan_status]])</f>
        <v>13</v>
      </c>
      <c r="AC408" s="2">
        <f>COUNTIF(Table1[default_flag],1)/ROWS(Table1[loan_id])</f>
        <v>2.5999999999999999E-2</v>
      </c>
      <c r="AD408" s="2">
        <f>COUNTIFS(Table1[region],Table1[[#This Row],[region]],Table1[default_flag],1)/COUNTIF(Table1[region],Table1[[#This Row],[region]])</f>
        <v>2.6548672566371681E-2</v>
      </c>
      <c r="AE408" s="2">
        <f>COUNTIFS(Table1[channel],Table1[[#This Row],[channel]],Table1[prepayment_flag],1)/COUNTIF(Table1[channel],Table1[[#This Row],[channel]])</f>
        <v>7.1090047393364927E-2</v>
      </c>
      <c r="AF408" s="2">
        <f>AVERAGEIFS(Table1[interest_rate_pct],Table1[product],Table1[[#This Row],[product]],Table1[risk_band],Table1[[#This Row],[risk_band]])</f>
        <v>15.841379310344831</v>
      </c>
      <c r="AG408" s="2" t="str" cm="1">
        <f t="array" ref="AG408">_xlfn.IFS(Table1[[#This Row],[dti_ratio]] &lt; 0.2, " less than 0.2", Table1[[#This Row],[dti_ratio]] &lt; 0.3, "0.2 - 0.3", Table1[[#This Row],[dti_ratio]] &lt;= 0.5, "0.35 - 0.5", Table1[[#This Row],[dti_ratio]] &gt; 0.5, "greater than 0.5")</f>
        <v>0.2 - 0.3</v>
      </c>
      <c r="AH408" s="2">
        <f>COUNTIF(Table1[DTI band],Table1[[#This Row],[DTI band]])</f>
        <v>122</v>
      </c>
      <c r="AI408" s="2" t="str" cm="1">
        <f t="array" ref="AI408">_xlfn.IFS(Table1[[#This Row],[ltv_ratio]] &lt; 0.6, "less than 0.6 -less risky", Table1[[#This Row],[ltv_ratio]]  &lt;= 0.8, "0.6 - 0.8 -medium risky",Table1[[#This Row],[ltv_ratio]] &gt; 0.8, "greater than 0.8 -highly risky")</f>
        <v>0.6 - 0.8 -medium risky</v>
      </c>
      <c r="AJ408" s="2">
        <f>COUNTIF(Table1[LTV band],Table1[[#This Row],[LTV band]])</f>
        <v>302</v>
      </c>
      <c r="AK408" s="2">
        <f>COUNTIFS(Table1[count_loan_perband],Table1[[#This Row],[count_loan_perband]],Table1[default_flag],1)/COUNTIF(Table1[count_loan_perband],Table1[[#This Row],[count_loan_perband]])</f>
        <v>3.6423841059602648E-2</v>
      </c>
      <c r="AL408" s="2" t="str" cm="1">
        <f t="array" ref="AL408">_xlfn.IFS(Table1[[#This Row],[loan_amount]] &lt; 900000, "lower size (&lt; 9L)", Table1[[#This Row],[loan_amount]] &lt;=3300000, "medium size (&lt;=33L)", Table1[[#This Row],[loan_amount]] &gt; 3300000, "larger size (&gt; 33L)")</f>
        <v>medium size (&lt;=33L)</v>
      </c>
      <c r="AM408" s="2">
        <f>IF(Table1[[#This Row],[dpd]] &gt;=30,1,0)</f>
        <v>1</v>
      </c>
      <c r="AN408" s="2">
        <f>COUNTIFS(Table1[Loan size],Table1[[#This Row],[Loan size]],Table1[dpd flag],1)/COUNTIF(Table1[Loan size],Table1[[#This Row],[Loan size]])</f>
        <v>0.15909090909090909</v>
      </c>
      <c r="AO408" s="2" t="str">
        <f>IF(OR(Table1[[#This Row],[credit_score]] &lt; 600, Table1[ [#This Row],[dti_ratio] ] &gt; 0.5, Table1[[#This Row],[dpd]] &gt;=30), "high risk", " not riskY")</f>
        <v>high risk</v>
      </c>
      <c r="AP408" s="26">
        <f>EOMONTH(Table1[[#This Row],[origination_date]],0)</f>
        <v>44865</v>
      </c>
      <c r="AQ408" s="2">
        <f>SUMIFS(Table1[loan_amount],Table1[origination month],Table1[[#This Row],[origination month]])</f>
        <v>16527000</v>
      </c>
      <c r="AR408" s="2">
        <f>AVERAGEIFS(Table1[months_on_book],Table1[product],Table1[[#This Row],[product]])</f>
        <v>19.091954022988507</v>
      </c>
      <c r="AS408" s="2" t="str">
        <f ca="1">IF(EDATE(Table1[[#This Row],[origination_date]],6) &gt;= TODAY(), "New Loan", "Old Loan")</f>
        <v>Old Loan</v>
      </c>
      <c r="AT408" s="2" t="str">
        <f>"Q"&amp;ROUNDUP(MONTH(Table1[[#This Row],[origination_date]])/3,0)&amp;YEAR(Table1[[#This Row],[origination_date]])</f>
        <v>Q42022</v>
      </c>
      <c r="AU408" s="2">
        <f>SUMIFS(Table1[loan_amount],Table1[quarter],Table1[[#This Row],[quarter]])</f>
        <v>51169300</v>
      </c>
      <c r="AV408" s="34" t="str">
        <f>_xlfn.TEXTJOIN("|",TRUE,Table1[[#This Row],[loan_id]:[loan_status]])</f>
        <v>L16870886|C4746361|44860|SME Loan|Online|North|Unemployed|36|1677900|16.39|59314|694720|653|C|0.28|0.73|2313400|36|2006761|1148|90|0|1|Default</v>
      </c>
      <c r="AW408" s="42">
        <f>YEAR(Loan_Table[ [#This Row],[origination_date] ])</f>
        <v>2023</v>
      </c>
    </row>
    <row r="409" spans="2:49" ht="18" customHeight="1">
      <c r="B409" s="5" t="s">
        <v>938</v>
      </c>
      <c r="C409" s="2" t="s">
        <v>939</v>
      </c>
      <c r="D409" s="3">
        <v>44835</v>
      </c>
      <c r="E409" s="2" t="s">
        <v>163</v>
      </c>
      <c r="F409" s="2" t="s">
        <v>144</v>
      </c>
      <c r="G409" s="2" t="s">
        <v>170</v>
      </c>
      <c r="H409" s="2" t="s">
        <v>146</v>
      </c>
      <c r="I409" s="2">
        <v>24</v>
      </c>
      <c r="J409" s="2">
        <v>360900</v>
      </c>
      <c r="K409" s="2">
        <v>11.52</v>
      </c>
      <c r="L409" s="2">
        <v>16908</v>
      </c>
      <c r="M409" s="2">
        <v>660918</v>
      </c>
      <c r="N409" s="2">
        <v>702</v>
      </c>
      <c r="O409" s="2" t="s">
        <v>135</v>
      </c>
      <c r="P409" s="2">
        <v>0.24</v>
      </c>
      <c r="Q409" s="2">
        <v>0.84</v>
      </c>
      <c r="R409" s="2">
        <v>432100</v>
      </c>
      <c r="S409" s="2">
        <v>24</v>
      </c>
      <c r="T409" s="2">
        <v>368338</v>
      </c>
      <c r="U409" s="2">
        <v>25823</v>
      </c>
      <c r="V409" s="2">
        <v>0</v>
      </c>
      <c r="W409" s="2">
        <v>0</v>
      </c>
      <c r="X409" s="2">
        <v>0</v>
      </c>
      <c r="Y409" s="2" t="s">
        <v>141</v>
      </c>
      <c r="Z409" s="12">
        <f>SUMIF(Table1[product],Table1[[#This Row],[product]],Table1[loan_amount])</f>
        <v>92273000</v>
      </c>
      <c r="AA409" s="15">
        <f>SUMIF(Table1[region],Table1[[#This Row],[region]],Table1[current_balance])</f>
        <v>83297251</v>
      </c>
      <c r="AB409" s="2">
        <f>COUNTIF(Table1[loan_status],Table1[[#This Row],[loan_status]])</f>
        <v>139</v>
      </c>
      <c r="AC409" s="2">
        <f>COUNTIF(Table1[default_flag],1)/ROWS(Table1[loan_id])</f>
        <v>2.5999999999999999E-2</v>
      </c>
      <c r="AD409" s="2">
        <f>COUNTIFS(Table1[region],Table1[[#This Row],[region]],Table1[default_flag],1)/COUNTIF(Table1[region],Table1[[#This Row],[region]])</f>
        <v>3.1914893617021274E-2</v>
      </c>
      <c r="AE409" s="2">
        <f>COUNTIFS(Table1[channel],Table1[[#This Row],[channel]],Table1[prepayment_flag],1)/COUNTIF(Table1[channel],Table1[[#This Row],[channel]])</f>
        <v>5.8201058201058198E-2</v>
      </c>
      <c r="AF409" s="2">
        <f>AVERAGEIFS(Table1[interest_rate_pct],Table1[product],Table1[[#This Row],[product]],Table1[risk_band],Table1[[#This Row],[risk_band]])</f>
        <v>10.611923076923079</v>
      </c>
      <c r="AG409" s="2" t="str" cm="1">
        <f t="array" ref="AG409">_xlfn.IFS(Table1[[#This Row],[dti_ratio]] &lt; 0.2, " less than 0.2", Table1[[#This Row],[dti_ratio]] &lt; 0.3, "0.2 - 0.3", Table1[[#This Row],[dti_ratio]] &lt;= 0.5, "0.35 - 0.5", Table1[[#This Row],[dti_ratio]] &gt; 0.5, "greater than 0.5")</f>
        <v>0.2 - 0.3</v>
      </c>
      <c r="AH409" s="2">
        <f>COUNTIF(Table1[DTI band],Table1[[#This Row],[DTI band]])</f>
        <v>122</v>
      </c>
      <c r="AI409" s="2" t="str" cm="1">
        <f t="array" ref="AI409">_xlfn.IFS(Table1[[#This Row],[ltv_ratio]] &lt; 0.6, "less than 0.6 -less risky", Table1[[#This Row],[ltv_ratio]]  &lt;= 0.8, "0.6 - 0.8 -medium risky",Table1[[#This Row],[ltv_ratio]] &gt; 0.8, "greater than 0.8 -highly risky")</f>
        <v>greater than 0.8 -highly risky</v>
      </c>
      <c r="AJ409" s="2">
        <f>COUNTIF(Table1[LTV band],Table1[[#This Row],[LTV band]])</f>
        <v>141</v>
      </c>
      <c r="AK409" s="2">
        <f>COUNTIFS(Table1[count_loan_perband],Table1[[#This Row],[count_loan_perband]],Table1[default_flag],1)/COUNTIF(Table1[count_loan_perband],Table1[[#This Row],[count_loan_perband]])</f>
        <v>1.4184397163120567E-2</v>
      </c>
      <c r="AL409" s="2" t="str" cm="1">
        <f t="array" ref="AL409">_xlfn.IFS(Table1[[#This Row],[loan_amount]] &lt; 900000, "lower size (&lt; 9L)", Table1[[#This Row],[loan_amount]] &lt;=3300000, "medium size (&lt;=33L)", Table1[[#This Row],[loan_amount]] &gt; 3300000, "larger size (&gt; 33L)")</f>
        <v>lower size (&lt; 9L)</v>
      </c>
      <c r="AM409" s="2">
        <f>IF(Table1[[#This Row],[dpd]] &gt;=30,1,0)</f>
        <v>0</v>
      </c>
      <c r="AN409" s="2">
        <f>COUNTIFS(Table1[Loan size],Table1[[#This Row],[Loan size]],Table1[dpd flag],1)/COUNTIF(Table1[Loan size],Table1[[#This Row],[Loan size]])</f>
        <v>0.13934426229508196</v>
      </c>
      <c r="AO409" s="2" t="str">
        <f>IF(OR(Table1[[#This Row],[credit_score]] &lt; 600, Table1[ [#This Row],[dti_ratio] ] &gt; 0.5, Table1[[#This Row],[dpd]] &gt;=30), "high risk", " not riskY")</f>
        <v xml:space="preserve"> not riskY</v>
      </c>
      <c r="AP409" s="26">
        <f>EOMONTH(Table1[[#This Row],[origination_date]],0)</f>
        <v>44865</v>
      </c>
      <c r="AQ409" s="2">
        <f>SUMIFS(Table1[loan_amount],Table1[origination month],Table1[[#This Row],[origination month]])</f>
        <v>16527000</v>
      </c>
      <c r="AR409" s="2">
        <f>AVERAGEIFS(Table1[months_on_book],Table1[product],Table1[[#This Row],[product]])</f>
        <v>20.262135922330096</v>
      </c>
      <c r="AS409" s="2" t="str">
        <f ca="1">IF(EDATE(Table1[[#This Row],[origination_date]],6) &gt;= TODAY(), "New Loan", "Old Loan")</f>
        <v>Old Loan</v>
      </c>
      <c r="AT409" s="2" t="str">
        <f>"Q"&amp;ROUNDUP(MONTH(Table1[[#This Row],[origination_date]])/3,0)&amp;YEAR(Table1[[#This Row],[origination_date]])</f>
        <v>Q42022</v>
      </c>
      <c r="AU409" s="2">
        <f>SUMIFS(Table1[loan_amount],Table1[quarter],Table1[[#This Row],[quarter]])</f>
        <v>51169300</v>
      </c>
      <c r="AV409" s="34" t="str">
        <f>_xlfn.TEXTJOIN("|",TRUE,Table1[[#This Row],[loan_id]:[loan_status]])</f>
        <v>L74535266|C1760438|44835|Auto Loan|Branch|East|Contract|24|360900|11.52|16908|660918|702|B|0.24|0.84|432100|24|368338|25823|0|0|0|Closed</v>
      </c>
      <c r="AW409" s="42">
        <f>YEAR(Loan_Table[ [#This Row],[origination_date] ])</f>
        <v>2023</v>
      </c>
    </row>
    <row r="410" spans="2:49" ht="18" customHeight="1">
      <c r="B410" s="5" t="s">
        <v>940</v>
      </c>
      <c r="C410" s="2" t="s">
        <v>941</v>
      </c>
      <c r="D410" s="3">
        <v>44858</v>
      </c>
      <c r="E410" s="2" t="s">
        <v>131</v>
      </c>
      <c r="F410" s="2" t="s">
        <v>132</v>
      </c>
      <c r="G410" s="2" t="s">
        <v>139</v>
      </c>
      <c r="H410" s="2" t="s">
        <v>134</v>
      </c>
      <c r="I410" s="2">
        <v>24</v>
      </c>
      <c r="J410" s="2">
        <v>432400</v>
      </c>
      <c r="K410" s="2">
        <v>14.42</v>
      </c>
      <c r="L410" s="2">
        <v>20847</v>
      </c>
      <c r="M410" s="2">
        <v>1540834</v>
      </c>
      <c r="N410" s="2">
        <v>751</v>
      </c>
      <c r="O410" s="2" t="s">
        <v>160</v>
      </c>
      <c r="P410" s="2">
        <v>0.24</v>
      </c>
      <c r="Q410" s="2">
        <v>0.78</v>
      </c>
      <c r="R410" s="2">
        <v>0</v>
      </c>
      <c r="S410" s="2">
        <v>24</v>
      </c>
      <c r="T410" s="2">
        <v>487005</v>
      </c>
      <c r="U410" s="2">
        <v>0</v>
      </c>
      <c r="V410" s="2">
        <v>90</v>
      </c>
      <c r="W410" s="2">
        <v>0</v>
      </c>
      <c r="X410" s="2">
        <v>1</v>
      </c>
      <c r="Y410" s="2" t="s">
        <v>153</v>
      </c>
      <c r="Z410" s="12">
        <f>SUMIF(Table1[product],Table1[[#This Row],[product]],Table1[loan_amount])</f>
        <v>74897600</v>
      </c>
      <c r="AA410" s="15">
        <f>SUMIF(Table1[region],Table1[[#This Row],[region]],Table1[current_balance])</f>
        <v>83903255</v>
      </c>
      <c r="AB410" s="2">
        <f>COUNTIF(Table1[loan_status],Table1[[#This Row],[loan_status]])</f>
        <v>13</v>
      </c>
      <c r="AC410" s="2">
        <f>COUNTIF(Table1[default_flag],1)/ROWS(Table1[loan_id])</f>
        <v>2.5999999999999999E-2</v>
      </c>
      <c r="AD410" s="2">
        <f>COUNTIFS(Table1[region],Table1[[#This Row],[region]],Table1[default_flag],1)/COUNTIF(Table1[region],Table1[[#This Row],[region]])</f>
        <v>4.2553191489361701E-2</v>
      </c>
      <c r="AE410" s="2">
        <f>COUNTIFS(Table1[channel],Table1[[#This Row],[channel]],Table1[prepayment_flag],1)/COUNTIF(Table1[channel],Table1[[#This Row],[channel]])</f>
        <v>7.1090047393364927E-2</v>
      </c>
      <c r="AF410" s="2">
        <f>AVERAGEIFS(Table1[interest_rate_pct],Table1[product],Table1[[#This Row],[product]],Table1[risk_band],Table1[[#This Row],[risk_band]])</f>
        <v>13.328333333333335</v>
      </c>
      <c r="AG410" s="2" t="str" cm="1">
        <f t="array" ref="AG410">_xlfn.IFS(Table1[[#This Row],[dti_ratio]] &lt; 0.2, " less than 0.2", Table1[[#This Row],[dti_ratio]] &lt; 0.3, "0.2 - 0.3", Table1[[#This Row],[dti_ratio]] &lt;= 0.5, "0.35 - 0.5", Table1[[#This Row],[dti_ratio]] &gt; 0.5, "greater than 0.5")</f>
        <v>0.2 - 0.3</v>
      </c>
      <c r="AH410" s="2">
        <f>COUNTIF(Table1[DTI band],Table1[[#This Row],[DTI band]])</f>
        <v>122</v>
      </c>
      <c r="AI410" s="2" t="str" cm="1">
        <f t="array" ref="AI410">_xlfn.IFS(Table1[[#This Row],[ltv_ratio]] &lt; 0.6, "less than 0.6 -less risky", Table1[[#This Row],[ltv_ratio]]  &lt;= 0.8, "0.6 - 0.8 -medium risky",Table1[[#This Row],[ltv_ratio]] &gt; 0.8, "greater than 0.8 -highly risky")</f>
        <v>0.6 - 0.8 -medium risky</v>
      </c>
      <c r="AJ410" s="2">
        <f>COUNTIF(Table1[LTV band],Table1[[#This Row],[LTV band]])</f>
        <v>302</v>
      </c>
      <c r="AK410" s="2">
        <f>COUNTIFS(Table1[count_loan_perband],Table1[[#This Row],[count_loan_perband]],Table1[default_flag],1)/COUNTIF(Table1[count_loan_perband],Table1[[#This Row],[count_loan_perband]])</f>
        <v>3.6423841059602648E-2</v>
      </c>
      <c r="AL410" s="2" t="str" cm="1">
        <f t="array" ref="AL410">_xlfn.IFS(Table1[[#This Row],[loan_amount]] &lt; 900000, "lower size (&lt; 9L)", Table1[[#This Row],[loan_amount]] &lt;=3300000, "medium size (&lt;=33L)", Table1[[#This Row],[loan_amount]] &gt; 3300000, "larger size (&gt; 33L)")</f>
        <v>lower size (&lt; 9L)</v>
      </c>
      <c r="AM410" s="2">
        <f>IF(Table1[[#This Row],[dpd]] &gt;=30,1,0)</f>
        <v>1</v>
      </c>
      <c r="AN410" s="2">
        <f>COUNTIFS(Table1[Loan size],Table1[[#This Row],[Loan size]],Table1[dpd flag],1)/COUNTIF(Table1[Loan size],Table1[[#This Row],[Loan size]])</f>
        <v>0.13934426229508196</v>
      </c>
      <c r="AO410" s="2" t="str">
        <f>IF(OR(Table1[[#This Row],[credit_score]] &lt; 600, Table1[ [#This Row],[dti_ratio] ] &gt; 0.5, Table1[[#This Row],[dpd]] &gt;=30), "high risk", " not riskY")</f>
        <v>high risk</v>
      </c>
      <c r="AP410" s="26">
        <f>EOMONTH(Table1[[#This Row],[origination_date]],0)</f>
        <v>44865</v>
      </c>
      <c r="AQ410" s="2">
        <f>SUMIFS(Table1[loan_amount],Table1[origination month],Table1[[#This Row],[origination month]])</f>
        <v>16527000</v>
      </c>
      <c r="AR410" s="2">
        <f>AVERAGEIFS(Table1[months_on_book],Table1[product],Table1[[#This Row],[product]])</f>
        <v>21.092024539877301</v>
      </c>
      <c r="AS410" s="2" t="str">
        <f ca="1">IF(EDATE(Table1[[#This Row],[origination_date]],6) &gt;= TODAY(), "New Loan", "Old Loan")</f>
        <v>Old Loan</v>
      </c>
      <c r="AT410" s="2" t="str">
        <f>"Q"&amp;ROUNDUP(MONTH(Table1[[#This Row],[origination_date]])/3,0)&amp;YEAR(Table1[[#This Row],[origination_date]])</f>
        <v>Q42022</v>
      </c>
      <c r="AU410" s="2">
        <f>SUMIFS(Table1[loan_amount],Table1[quarter],Table1[[#This Row],[quarter]])</f>
        <v>51169300</v>
      </c>
      <c r="AV410" s="34" t="str">
        <f>_xlfn.TEXTJOIN("|",TRUE,Table1[[#This Row],[loan_id]:[loan_status]])</f>
        <v>L52064344|C5267194|44858|Personal Loan|Online|West|Salaried|24|432400|14.42|20847|1540834|751|A|0.24|0.78|0|24|487005|0|90|0|1|Default</v>
      </c>
      <c r="AW410" s="42">
        <f>YEAR(Loan_Table[ [#This Row],[origination_date] ])</f>
        <v>2023</v>
      </c>
    </row>
    <row r="411" spans="2:49" ht="18" customHeight="1">
      <c r="B411" s="5" t="s">
        <v>942</v>
      </c>
      <c r="C411" s="2" t="s">
        <v>943</v>
      </c>
      <c r="D411" s="3">
        <v>44901</v>
      </c>
      <c r="E411" s="2" t="s">
        <v>177</v>
      </c>
      <c r="F411" s="2" t="s">
        <v>132</v>
      </c>
      <c r="G411" s="2" t="s">
        <v>145</v>
      </c>
      <c r="H411" s="2" t="s">
        <v>152</v>
      </c>
      <c r="I411" s="2">
        <v>72</v>
      </c>
      <c r="J411" s="2">
        <v>1471100</v>
      </c>
      <c r="K411" s="2">
        <v>12.52</v>
      </c>
      <c r="L411" s="2">
        <v>29160</v>
      </c>
      <c r="M411" s="2">
        <v>762227</v>
      </c>
      <c r="N411" s="2">
        <v>687</v>
      </c>
      <c r="O411" s="2" t="s">
        <v>140</v>
      </c>
      <c r="P411" s="2">
        <v>0.24</v>
      </c>
      <c r="Q411" s="2">
        <v>0.68</v>
      </c>
      <c r="R411" s="2">
        <v>0</v>
      </c>
      <c r="S411" s="2">
        <v>36</v>
      </c>
      <c r="T411" s="2">
        <v>933136</v>
      </c>
      <c r="U411" s="2">
        <v>758982</v>
      </c>
      <c r="V411" s="2">
        <v>10</v>
      </c>
      <c r="W411" s="2">
        <v>0</v>
      </c>
      <c r="X411" s="2">
        <v>0</v>
      </c>
      <c r="Y411" s="2" t="s">
        <v>148</v>
      </c>
      <c r="Z411" s="12">
        <f>SUMIF(Table1[product],Table1[[#This Row],[product]],Table1[loan_amount])</f>
        <v>62765800</v>
      </c>
      <c r="AA411" s="15">
        <f>SUMIF(Table1[region],Table1[[#This Row],[region]],Table1[current_balance])</f>
        <v>98928695</v>
      </c>
      <c r="AB411" s="2">
        <f>COUNTIF(Table1[loan_status],Table1[[#This Row],[loan_status]])</f>
        <v>301</v>
      </c>
      <c r="AC411" s="2">
        <f>COUNTIF(Table1[default_flag],1)/ROWS(Table1[loan_id])</f>
        <v>2.5999999999999999E-2</v>
      </c>
      <c r="AD411" s="2">
        <f>COUNTIFS(Table1[region],Table1[[#This Row],[region]],Table1[default_flag],1)/COUNTIF(Table1[region],Table1[[#This Row],[region]])</f>
        <v>2.8571428571428571E-2</v>
      </c>
      <c r="AE411" s="2">
        <f>COUNTIFS(Table1[channel],Table1[[#This Row],[channel]],Table1[prepayment_flag],1)/COUNTIF(Table1[channel],Table1[[#This Row],[channel]])</f>
        <v>7.1090047393364927E-2</v>
      </c>
      <c r="AF411" s="2">
        <f>AVERAGEIFS(Table1[interest_rate_pct],Table1[product],Table1[[#This Row],[product]],Table1[risk_band],Table1[[#This Row],[risk_band]])</f>
        <v>13.463888888888889</v>
      </c>
      <c r="AG411" s="2" t="str" cm="1">
        <f t="array" ref="AG411">_xlfn.IFS(Table1[[#This Row],[dti_ratio]] &lt; 0.2, " less than 0.2", Table1[[#This Row],[dti_ratio]] &lt; 0.3, "0.2 - 0.3", Table1[[#This Row],[dti_ratio]] &lt;= 0.5, "0.35 - 0.5", Table1[[#This Row],[dti_ratio]] &gt; 0.5, "greater than 0.5")</f>
        <v>0.2 - 0.3</v>
      </c>
      <c r="AH411" s="2">
        <f>COUNTIF(Table1[DTI band],Table1[[#This Row],[DTI band]])</f>
        <v>122</v>
      </c>
      <c r="AI411" s="2" t="str" cm="1">
        <f t="array" ref="AI411">_xlfn.IFS(Table1[[#This Row],[ltv_ratio]] &lt; 0.6, "less than 0.6 -less risky", Table1[[#This Row],[ltv_ratio]]  &lt;= 0.8, "0.6 - 0.8 -medium risky",Table1[[#This Row],[ltv_ratio]] &gt; 0.8, "greater than 0.8 -highly risky")</f>
        <v>0.6 - 0.8 -medium risky</v>
      </c>
      <c r="AJ411" s="2">
        <f>COUNTIF(Table1[LTV band],Table1[[#This Row],[LTV band]])</f>
        <v>302</v>
      </c>
      <c r="AK411" s="2">
        <f>COUNTIFS(Table1[count_loan_perband],Table1[[#This Row],[count_loan_perband]],Table1[default_flag],1)/COUNTIF(Table1[count_loan_perband],Table1[[#This Row],[count_loan_perband]])</f>
        <v>3.6423841059602648E-2</v>
      </c>
      <c r="AL411" s="2" t="str" cm="1">
        <f t="array" ref="AL411">_xlfn.IFS(Table1[[#This Row],[loan_amount]] &lt; 900000, "lower size (&lt; 9L)", Table1[[#This Row],[loan_amount]] &lt;=3300000, "medium size (&lt;=33L)", Table1[[#This Row],[loan_amount]] &gt; 3300000, "larger size (&gt; 33L)")</f>
        <v>medium size (&lt;=33L)</v>
      </c>
      <c r="AM411" s="2">
        <f>IF(Table1[[#This Row],[dpd]] &gt;=30,1,0)</f>
        <v>0</v>
      </c>
      <c r="AN411" s="2">
        <f>COUNTIFS(Table1[Loan size],Table1[[#This Row],[Loan size]],Table1[dpd flag],1)/COUNTIF(Table1[Loan size],Table1[[#This Row],[Loan size]])</f>
        <v>0.15909090909090909</v>
      </c>
      <c r="AO411" s="2" t="str">
        <f>IF(OR(Table1[[#This Row],[credit_score]] &lt; 600, Table1[ [#This Row],[dti_ratio] ] &gt; 0.5, Table1[[#This Row],[dpd]] &gt;=30), "high risk", " not riskY")</f>
        <v xml:space="preserve"> not riskY</v>
      </c>
      <c r="AP411" s="26">
        <f>EOMONTH(Table1[[#This Row],[origination_date]],0)</f>
        <v>44926</v>
      </c>
      <c r="AQ411" s="2">
        <f>SUMIFS(Table1[loan_amount],Table1[origination month],Table1[[#This Row],[origination month]])</f>
        <v>18330100</v>
      </c>
      <c r="AR411" s="2">
        <f>AVERAGEIFS(Table1[months_on_book],Table1[product],Table1[[#This Row],[product]])</f>
        <v>21.962962962962962</v>
      </c>
      <c r="AS411" s="2" t="str">
        <f ca="1">IF(EDATE(Table1[[#This Row],[origination_date]],6) &gt;= TODAY(), "New Loan", "Old Loan")</f>
        <v>Old Loan</v>
      </c>
      <c r="AT411" s="2" t="str">
        <f>"Q"&amp;ROUNDUP(MONTH(Table1[[#This Row],[origination_date]])/3,0)&amp;YEAR(Table1[[#This Row],[origination_date]])</f>
        <v>Q42022</v>
      </c>
      <c r="AU411" s="2">
        <f>SUMIFS(Table1[loan_amount],Table1[quarter],Table1[[#This Row],[quarter]])</f>
        <v>51169300</v>
      </c>
      <c r="AV411" s="34" t="str">
        <f>_xlfn.TEXTJOIN("|",TRUE,Table1[[#This Row],[loan_id]:[loan_status]])</f>
        <v>L37196139|C1995295|44901|Education Loan|Online|Central|Self-Employed|72|1471100|12.52|29160|762227|687|C|0.24|0.68|0|36|933136|758982|10|0|0|Active</v>
      </c>
      <c r="AW411" s="42">
        <f>YEAR(Loan_Table[ [#This Row],[origination_date] ])</f>
        <v>2023</v>
      </c>
    </row>
    <row r="412" spans="2:49" ht="18" customHeight="1">
      <c r="B412" s="5" t="s">
        <v>944</v>
      </c>
      <c r="C412" s="2" t="s">
        <v>945</v>
      </c>
      <c r="D412" s="3">
        <v>44911</v>
      </c>
      <c r="E412" s="2" t="s">
        <v>158</v>
      </c>
      <c r="F412" s="2" t="s">
        <v>159</v>
      </c>
      <c r="G412" s="2" t="s">
        <v>133</v>
      </c>
      <c r="H412" s="2" t="s">
        <v>134</v>
      </c>
      <c r="I412" s="2">
        <v>24</v>
      </c>
      <c r="J412" s="2">
        <v>1965500</v>
      </c>
      <c r="K412" s="2">
        <v>12.11</v>
      </c>
      <c r="L412" s="2">
        <v>92624</v>
      </c>
      <c r="M412" s="2">
        <v>312311</v>
      </c>
      <c r="N412" s="2">
        <v>755</v>
      </c>
      <c r="O412" s="2" t="s">
        <v>160</v>
      </c>
      <c r="P412" s="2">
        <v>0.23</v>
      </c>
      <c r="Q412" s="2">
        <v>0.86</v>
      </c>
      <c r="R412" s="2">
        <v>2297200</v>
      </c>
      <c r="S412" s="2">
        <v>24</v>
      </c>
      <c r="T412" s="2">
        <v>2168605</v>
      </c>
      <c r="U412" s="2">
        <v>0</v>
      </c>
      <c r="V412" s="2">
        <v>45</v>
      </c>
      <c r="W412" s="2">
        <v>0</v>
      </c>
      <c r="X412" s="2">
        <v>0</v>
      </c>
      <c r="Y412" s="2" t="s">
        <v>141</v>
      </c>
      <c r="Z412" s="12">
        <f>SUMIF(Table1[product],Table1[[#This Row],[product]],Table1[loan_amount])</f>
        <v>201475100</v>
      </c>
      <c r="AA412" s="15">
        <f>SUMIF(Table1[region],Table1[[#This Row],[region]],Table1[current_balance])</f>
        <v>94548000</v>
      </c>
      <c r="AB412" s="2">
        <f>COUNTIF(Table1[loan_status],Table1[[#This Row],[loan_status]])</f>
        <v>139</v>
      </c>
      <c r="AC412" s="2">
        <f>COUNTIF(Table1[default_flag],1)/ROWS(Table1[loan_id])</f>
        <v>2.5999999999999999E-2</v>
      </c>
      <c r="AD412" s="2">
        <f>COUNTIFS(Table1[region],Table1[[#This Row],[region]],Table1[default_flag],1)/COUNTIF(Table1[region],Table1[[#This Row],[region]])</f>
        <v>0</v>
      </c>
      <c r="AE412" s="2">
        <f>COUNTIFS(Table1[channel],Table1[[#This Row],[channel]],Table1[prepayment_flag],1)/COUNTIF(Table1[channel],Table1[[#This Row],[channel]])</f>
        <v>0.1</v>
      </c>
      <c r="AF412" s="2">
        <f>AVERAGEIFS(Table1[interest_rate_pct],Table1[product],Table1[[#This Row],[product]],Table1[risk_band],Table1[[#This Row],[risk_band]])</f>
        <v>10.537499999999998</v>
      </c>
      <c r="AG412" s="2" t="str" cm="1">
        <f t="array" ref="AG412">_xlfn.IFS(Table1[[#This Row],[dti_ratio]] &lt; 0.2, " less than 0.2", Table1[[#This Row],[dti_ratio]] &lt; 0.3, "0.2 - 0.3", Table1[[#This Row],[dti_ratio]] &lt;= 0.5, "0.35 - 0.5", Table1[[#This Row],[dti_ratio]] &gt; 0.5, "greater than 0.5")</f>
        <v>0.2 - 0.3</v>
      </c>
      <c r="AH412" s="2">
        <f>COUNTIF(Table1[DTI band],Table1[[#This Row],[DTI band]])</f>
        <v>122</v>
      </c>
      <c r="AI412" s="2" t="str" cm="1">
        <f t="array" ref="AI412">_xlfn.IFS(Table1[[#This Row],[ltv_ratio]] &lt; 0.6, "less than 0.6 -less risky", Table1[[#This Row],[ltv_ratio]]  &lt;= 0.8, "0.6 - 0.8 -medium risky",Table1[[#This Row],[ltv_ratio]] &gt; 0.8, "greater than 0.8 -highly risky")</f>
        <v>greater than 0.8 -highly risky</v>
      </c>
      <c r="AJ412" s="2">
        <f>COUNTIF(Table1[LTV band],Table1[[#This Row],[LTV band]])</f>
        <v>141</v>
      </c>
      <c r="AK412" s="2">
        <f>COUNTIFS(Table1[count_loan_perband],Table1[[#This Row],[count_loan_perband]],Table1[default_flag],1)/COUNTIF(Table1[count_loan_perband],Table1[[#This Row],[count_loan_perband]])</f>
        <v>1.4184397163120567E-2</v>
      </c>
      <c r="AL412" s="2" t="str" cm="1">
        <f t="array" ref="AL412">_xlfn.IFS(Table1[[#This Row],[loan_amount]] &lt; 900000, "lower size (&lt; 9L)", Table1[[#This Row],[loan_amount]] &lt;=3300000, "medium size (&lt;=33L)", Table1[[#This Row],[loan_amount]] &gt; 3300000, "larger size (&gt; 33L)")</f>
        <v>medium size (&lt;=33L)</v>
      </c>
      <c r="AM412" s="2">
        <f>IF(Table1[[#This Row],[dpd]] &gt;=30,1,0)</f>
        <v>1</v>
      </c>
      <c r="AN412" s="2">
        <f>COUNTIFS(Table1[Loan size],Table1[[#This Row],[Loan size]],Table1[dpd flag],1)/COUNTIF(Table1[Loan size],Table1[[#This Row],[Loan size]])</f>
        <v>0.15909090909090909</v>
      </c>
      <c r="AO412" s="2" t="str">
        <f>IF(OR(Table1[[#This Row],[credit_score]] &lt; 600, Table1[ [#This Row],[dti_ratio] ] &gt; 0.5, Table1[[#This Row],[dpd]] &gt;=30), "high risk", " not riskY")</f>
        <v>high risk</v>
      </c>
      <c r="AP412" s="26">
        <f>EOMONTH(Table1[[#This Row],[origination_date]],0)</f>
        <v>44926</v>
      </c>
      <c r="AQ412" s="2">
        <f>SUMIFS(Table1[loan_amount],Table1[origination month],Table1[[#This Row],[origination month]])</f>
        <v>18330100</v>
      </c>
      <c r="AR412" s="2">
        <f>AVERAGEIFS(Table1[months_on_book],Table1[product],Table1[[#This Row],[product]])</f>
        <v>19.091954022988507</v>
      </c>
      <c r="AS412" s="2" t="str">
        <f ca="1">IF(EDATE(Table1[[#This Row],[origination_date]],6) &gt;= TODAY(), "New Loan", "Old Loan")</f>
        <v>Old Loan</v>
      </c>
      <c r="AT412" s="2" t="str">
        <f>"Q"&amp;ROUNDUP(MONTH(Table1[[#This Row],[origination_date]])/3,0)&amp;YEAR(Table1[[#This Row],[origination_date]])</f>
        <v>Q42022</v>
      </c>
      <c r="AU412" s="2">
        <f>SUMIFS(Table1[loan_amount],Table1[quarter],Table1[[#This Row],[quarter]])</f>
        <v>51169300</v>
      </c>
      <c r="AV412" s="34" t="str">
        <f>_xlfn.TEXTJOIN("|",TRUE,Table1[[#This Row],[loan_id]:[loan_status]])</f>
        <v>L80823193|C3907750|44911|SME Loan|Partner|South|Salaried|24|1965500|12.11|92624|312311|755|A|0.23|0.86|2297200|24|2168605|0|45|0|0|Closed</v>
      </c>
      <c r="AW412" s="42">
        <f>YEAR(Loan_Table[ [#This Row],[origination_date] ])</f>
        <v>2023</v>
      </c>
    </row>
    <row r="413" spans="2:49" ht="18" customHeight="1">
      <c r="B413" s="5" t="s">
        <v>946</v>
      </c>
      <c r="C413" s="2" t="s">
        <v>947</v>
      </c>
      <c r="D413" s="3">
        <v>44891</v>
      </c>
      <c r="E413" s="2" t="s">
        <v>131</v>
      </c>
      <c r="F413" s="2" t="s">
        <v>132</v>
      </c>
      <c r="G413" s="2" t="s">
        <v>145</v>
      </c>
      <c r="H413" s="2" t="s">
        <v>192</v>
      </c>
      <c r="I413" s="2">
        <v>48</v>
      </c>
      <c r="J413" s="2">
        <v>319600</v>
      </c>
      <c r="K413" s="2">
        <v>14.93</v>
      </c>
      <c r="L413" s="2">
        <v>8883</v>
      </c>
      <c r="M413" s="2">
        <v>454467</v>
      </c>
      <c r="N413" s="2">
        <v>759</v>
      </c>
      <c r="O413" s="2" t="s">
        <v>160</v>
      </c>
      <c r="P413" s="2">
        <v>0.19</v>
      </c>
      <c r="Q413" s="2">
        <v>0.56000000000000005</v>
      </c>
      <c r="R413" s="2">
        <v>0</v>
      </c>
      <c r="S413" s="2">
        <v>37</v>
      </c>
      <c r="T413" s="2">
        <v>312943</v>
      </c>
      <c r="U413" s="2">
        <v>65507</v>
      </c>
      <c r="V413" s="2">
        <v>0</v>
      </c>
      <c r="W413" s="2">
        <v>0</v>
      </c>
      <c r="X413" s="2">
        <v>0</v>
      </c>
      <c r="Y413" s="2" t="s">
        <v>148</v>
      </c>
      <c r="Z413" s="12">
        <f>SUMIF(Table1[product],Table1[[#This Row],[product]],Table1[loan_amount])</f>
        <v>74897600</v>
      </c>
      <c r="AA413" s="15">
        <f>SUMIF(Table1[region],Table1[[#This Row],[region]],Table1[current_balance])</f>
        <v>98928695</v>
      </c>
      <c r="AB413" s="2">
        <f>COUNTIF(Table1[loan_status],Table1[[#This Row],[loan_status]])</f>
        <v>301</v>
      </c>
      <c r="AC413" s="2">
        <f>COUNTIF(Table1[default_flag],1)/ROWS(Table1[loan_id])</f>
        <v>2.5999999999999999E-2</v>
      </c>
      <c r="AD413" s="2">
        <f>COUNTIFS(Table1[region],Table1[[#This Row],[region]],Table1[default_flag],1)/COUNTIF(Table1[region],Table1[[#This Row],[region]])</f>
        <v>2.8571428571428571E-2</v>
      </c>
      <c r="AE413" s="2">
        <f>COUNTIFS(Table1[channel],Table1[[#This Row],[channel]],Table1[prepayment_flag],1)/COUNTIF(Table1[channel],Table1[[#This Row],[channel]])</f>
        <v>7.1090047393364927E-2</v>
      </c>
      <c r="AF413" s="2">
        <f>AVERAGEIFS(Table1[interest_rate_pct],Table1[product],Table1[[#This Row],[product]],Table1[risk_band],Table1[[#This Row],[risk_band]])</f>
        <v>13.328333333333335</v>
      </c>
      <c r="AG413" s="2" t="str" cm="1">
        <f t="array" ref="AG413">_xlfn.IFS(Table1[[#This Row],[dti_ratio]] &lt; 0.2, " less than 0.2", Table1[[#This Row],[dti_ratio]] &lt; 0.3, "0.2 - 0.3", Table1[[#This Row],[dti_ratio]] &lt;= 0.5, "0.35 - 0.5", Table1[[#This Row],[dti_ratio]] &gt; 0.5, "greater than 0.5")</f>
        <v xml:space="preserve"> less than 0.2</v>
      </c>
      <c r="AH413" s="2">
        <f>COUNTIF(Table1[DTI band],Table1[[#This Row],[DTI band]])</f>
        <v>86</v>
      </c>
      <c r="AI413" s="2" t="str" cm="1">
        <f t="array" ref="AI413">_xlfn.IFS(Table1[[#This Row],[ltv_ratio]] &lt; 0.6, "less than 0.6 -less risky", Table1[[#This Row],[ltv_ratio]]  &lt;= 0.8, "0.6 - 0.8 -medium risky",Table1[[#This Row],[ltv_ratio]] &gt; 0.8, "greater than 0.8 -highly risky")</f>
        <v>less than 0.6 -less risky</v>
      </c>
      <c r="AJ413" s="2">
        <f>COUNTIF(Table1[LTV band],Table1[[#This Row],[LTV band]])</f>
        <v>57</v>
      </c>
      <c r="AK413" s="2">
        <f>COUNTIFS(Table1[count_loan_perband],Table1[[#This Row],[count_loan_perband]],Table1[default_flag],1)/COUNTIF(Table1[count_loan_perband],Table1[[#This Row],[count_loan_perband]])</f>
        <v>0</v>
      </c>
      <c r="AL413" s="2" t="str" cm="1">
        <f t="array" ref="AL413">_xlfn.IFS(Table1[[#This Row],[loan_amount]] &lt; 900000, "lower size (&lt; 9L)", Table1[[#This Row],[loan_amount]] &lt;=3300000, "medium size (&lt;=33L)", Table1[[#This Row],[loan_amount]] &gt; 3300000, "larger size (&gt; 33L)")</f>
        <v>lower size (&lt; 9L)</v>
      </c>
      <c r="AM413" s="2">
        <f>IF(Table1[[#This Row],[dpd]] &gt;=30,1,0)</f>
        <v>0</v>
      </c>
      <c r="AN413" s="2">
        <f>COUNTIFS(Table1[Loan size],Table1[[#This Row],[Loan size]],Table1[dpd flag],1)/COUNTIF(Table1[Loan size],Table1[[#This Row],[Loan size]])</f>
        <v>0.13934426229508196</v>
      </c>
      <c r="AO413" s="2" t="str">
        <f>IF(OR(Table1[[#This Row],[credit_score]] &lt; 600, Table1[ [#This Row],[dti_ratio] ] &gt; 0.5, Table1[[#This Row],[dpd]] &gt;=30), "high risk", " not riskY")</f>
        <v xml:space="preserve"> not riskY</v>
      </c>
      <c r="AP413" s="26">
        <f>EOMONTH(Table1[[#This Row],[origination_date]],0)</f>
        <v>44895</v>
      </c>
      <c r="AQ413" s="2">
        <f>SUMIFS(Table1[loan_amount],Table1[origination month],Table1[[#This Row],[origination month]])</f>
        <v>16312200</v>
      </c>
      <c r="AR413" s="2">
        <f>AVERAGEIFS(Table1[months_on_book],Table1[product],Table1[[#This Row],[product]])</f>
        <v>21.092024539877301</v>
      </c>
      <c r="AS413" s="2" t="str">
        <f ca="1">IF(EDATE(Table1[[#This Row],[origination_date]],6) &gt;= TODAY(), "New Loan", "Old Loan")</f>
        <v>Old Loan</v>
      </c>
      <c r="AT413" s="2" t="str">
        <f>"Q"&amp;ROUNDUP(MONTH(Table1[[#This Row],[origination_date]])/3,0)&amp;YEAR(Table1[[#This Row],[origination_date]])</f>
        <v>Q42022</v>
      </c>
      <c r="AU413" s="2">
        <f>SUMIFS(Table1[loan_amount],Table1[quarter],Table1[[#This Row],[quarter]])</f>
        <v>51169300</v>
      </c>
      <c r="AV413" s="34" t="str">
        <f>_xlfn.TEXTJOIN("|",TRUE,Table1[[#This Row],[loan_id]:[loan_status]])</f>
        <v>L69720523|C4157818|44891|Personal Loan|Online|Central|Unemployed|48|319600|14.93|8883|454467|759|A|0.19|0.56|0|37|312943|65507|0|0|0|Active</v>
      </c>
      <c r="AW413" s="42">
        <f>YEAR(Loan_Table[ [#This Row],[origination_date] ])</f>
        <v>2023</v>
      </c>
    </row>
    <row r="414" spans="2:49" ht="18" customHeight="1">
      <c r="B414" s="5" t="s">
        <v>948</v>
      </c>
      <c r="C414" s="2" t="s">
        <v>949</v>
      </c>
      <c r="D414" s="3">
        <v>44920</v>
      </c>
      <c r="E414" s="2" t="s">
        <v>131</v>
      </c>
      <c r="F414" s="2" t="s">
        <v>132</v>
      </c>
      <c r="G414" s="2" t="s">
        <v>151</v>
      </c>
      <c r="H414" s="2" t="s">
        <v>134</v>
      </c>
      <c r="I414" s="2">
        <v>12</v>
      </c>
      <c r="J414" s="2">
        <v>226500</v>
      </c>
      <c r="K414" s="2">
        <v>20.100000000000001</v>
      </c>
      <c r="L414" s="2">
        <v>20993</v>
      </c>
      <c r="M414" s="2">
        <v>878644</v>
      </c>
      <c r="N414" s="2">
        <v>650</v>
      </c>
      <c r="O414" s="2" t="s">
        <v>140</v>
      </c>
      <c r="P414" s="2">
        <v>0.18</v>
      </c>
      <c r="Q414" s="2">
        <v>0.85</v>
      </c>
      <c r="R414" s="2">
        <v>0</v>
      </c>
      <c r="S414" s="2">
        <v>12</v>
      </c>
      <c r="T414" s="2">
        <v>250114</v>
      </c>
      <c r="U414" s="2">
        <v>0</v>
      </c>
      <c r="V414" s="2">
        <v>0</v>
      </c>
      <c r="W414" s="2">
        <v>0</v>
      </c>
      <c r="X414" s="2">
        <v>0</v>
      </c>
      <c r="Y414" s="2" t="s">
        <v>141</v>
      </c>
      <c r="Z414" s="12">
        <f>SUMIF(Table1[product],Table1[[#This Row],[product]],Table1[loan_amount])</f>
        <v>74897600</v>
      </c>
      <c r="AA414" s="15">
        <f>SUMIF(Table1[region],Table1[[#This Row],[region]],Table1[current_balance])</f>
        <v>105779369</v>
      </c>
      <c r="AB414" s="2">
        <f>COUNTIF(Table1[loan_status],Table1[[#This Row],[loan_status]])</f>
        <v>139</v>
      </c>
      <c r="AC414" s="2">
        <f>COUNTIF(Table1[default_flag],1)/ROWS(Table1[loan_id])</f>
        <v>2.5999999999999999E-2</v>
      </c>
      <c r="AD414" s="2">
        <f>COUNTIFS(Table1[region],Table1[[#This Row],[region]],Table1[default_flag],1)/COUNTIF(Table1[region],Table1[[#This Row],[region]])</f>
        <v>2.6548672566371681E-2</v>
      </c>
      <c r="AE414" s="2">
        <f>COUNTIFS(Table1[channel],Table1[[#This Row],[channel]],Table1[prepayment_flag],1)/COUNTIF(Table1[channel],Table1[[#This Row],[channel]])</f>
        <v>7.1090047393364927E-2</v>
      </c>
      <c r="AF414" s="2">
        <f>AVERAGEIFS(Table1[interest_rate_pct],Table1[product],Table1[[#This Row],[product]],Table1[risk_band],Table1[[#This Row],[risk_band]])</f>
        <v>18.603181818181817</v>
      </c>
      <c r="AG414" s="2" t="str" cm="1">
        <f t="array" ref="AG414">_xlfn.IFS(Table1[[#This Row],[dti_ratio]] &lt; 0.2, " less than 0.2", Table1[[#This Row],[dti_ratio]] &lt; 0.3, "0.2 - 0.3", Table1[[#This Row],[dti_ratio]] &lt;= 0.5, "0.35 - 0.5", Table1[[#This Row],[dti_ratio]] &gt; 0.5, "greater than 0.5")</f>
        <v xml:space="preserve"> less than 0.2</v>
      </c>
      <c r="AH414" s="2">
        <f>COUNTIF(Table1[DTI band],Table1[[#This Row],[DTI band]])</f>
        <v>86</v>
      </c>
      <c r="AI414" s="2" t="str" cm="1">
        <f t="array" ref="AI414">_xlfn.IFS(Table1[[#This Row],[ltv_ratio]] &lt; 0.6, "less than 0.6 -less risky", Table1[[#This Row],[ltv_ratio]]  &lt;= 0.8, "0.6 - 0.8 -medium risky",Table1[[#This Row],[ltv_ratio]] &gt; 0.8, "greater than 0.8 -highly risky")</f>
        <v>greater than 0.8 -highly risky</v>
      </c>
      <c r="AJ414" s="2">
        <f>COUNTIF(Table1[LTV band],Table1[[#This Row],[LTV band]])</f>
        <v>141</v>
      </c>
      <c r="AK414" s="2">
        <f>COUNTIFS(Table1[count_loan_perband],Table1[[#This Row],[count_loan_perband]],Table1[default_flag],1)/COUNTIF(Table1[count_loan_perband],Table1[[#This Row],[count_loan_perband]])</f>
        <v>1.4184397163120567E-2</v>
      </c>
      <c r="AL414" s="2" t="str" cm="1">
        <f t="array" ref="AL414">_xlfn.IFS(Table1[[#This Row],[loan_amount]] &lt; 900000, "lower size (&lt; 9L)", Table1[[#This Row],[loan_amount]] &lt;=3300000, "medium size (&lt;=33L)", Table1[[#This Row],[loan_amount]] &gt; 3300000, "larger size (&gt; 33L)")</f>
        <v>lower size (&lt; 9L)</v>
      </c>
      <c r="AM414" s="2">
        <f>IF(Table1[[#This Row],[dpd]] &gt;=30,1,0)</f>
        <v>0</v>
      </c>
      <c r="AN414" s="2">
        <f>COUNTIFS(Table1[Loan size],Table1[[#This Row],[Loan size]],Table1[dpd flag],1)/COUNTIF(Table1[Loan size],Table1[[#This Row],[Loan size]])</f>
        <v>0.13934426229508196</v>
      </c>
      <c r="AO414" s="2" t="str">
        <f>IF(OR(Table1[[#This Row],[credit_score]] &lt; 600, Table1[ [#This Row],[dti_ratio] ] &gt; 0.5, Table1[[#This Row],[dpd]] &gt;=30), "high risk", " not riskY")</f>
        <v xml:space="preserve"> not riskY</v>
      </c>
      <c r="AP414" s="26">
        <f>EOMONTH(Table1[[#This Row],[origination_date]],0)</f>
        <v>44926</v>
      </c>
      <c r="AQ414" s="2">
        <f>SUMIFS(Table1[loan_amount],Table1[origination month],Table1[[#This Row],[origination month]])</f>
        <v>18330100</v>
      </c>
      <c r="AR414" s="2">
        <f>AVERAGEIFS(Table1[months_on_book],Table1[product],Table1[[#This Row],[product]])</f>
        <v>21.092024539877301</v>
      </c>
      <c r="AS414" s="2" t="str">
        <f ca="1">IF(EDATE(Table1[[#This Row],[origination_date]],6) &gt;= TODAY(), "New Loan", "Old Loan")</f>
        <v>Old Loan</v>
      </c>
      <c r="AT414" s="2" t="str">
        <f>"Q"&amp;ROUNDUP(MONTH(Table1[[#This Row],[origination_date]])/3,0)&amp;YEAR(Table1[[#This Row],[origination_date]])</f>
        <v>Q42022</v>
      </c>
      <c r="AU414" s="2">
        <f>SUMIFS(Table1[loan_amount],Table1[quarter],Table1[[#This Row],[quarter]])</f>
        <v>51169300</v>
      </c>
      <c r="AV414" s="34" t="str">
        <f>_xlfn.TEXTJOIN("|",TRUE,Table1[[#This Row],[loan_id]:[loan_status]])</f>
        <v>L35136775|C4387391|44920|Personal Loan|Online|North|Salaried|12|226500|20.1|20993|878644|650|C|0.18|0.85|0|12|250114|0|0|0|0|Closed</v>
      </c>
      <c r="AW414" s="42">
        <f>YEAR(Loan_Table[ [#This Row],[origination_date] ])</f>
        <v>2023</v>
      </c>
    </row>
    <row r="415" spans="2:49" ht="18" customHeight="1">
      <c r="B415" s="5" t="s">
        <v>950</v>
      </c>
      <c r="C415" s="2" t="s">
        <v>951</v>
      </c>
      <c r="D415" s="3">
        <v>44898</v>
      </c>
      <c r="E415" s="2" t="s">
        <v>169</v>
      </c>
      <c r="F415" s="2" t="s">
        <v>213</v>
      </c>
      <c r="G415" s="2" t="s">
        <v>133</v>
      </c>
      <c r="H415" s="2" t="s">
        <v>146</v>
      </c>
      <c r="I415" s="2">
        <v>120</v>
      </c>
      <c r="J415" s="2">
        <v>1392400</v>
      </c>
      <c r="K415" s="2">
        <v>12.35</v>
      </c>
      <c r="L415" s="2">
        <v>20260</v>
      </c>
      <c r="M415" s="2">
        <v>1772874</v>
      </c>
      <c r="N415" s="2">
        <v>673</v>
      </c>
      <c r="O415" s="2" t="s">
        <v>140</v>
      </c>
      <c r="P415" s="2">
        <v>0.18</v>
      </c>
      <c r="Q415" s="2">
        <v>0.51</v>
      </c>
      <c r="R415" s="2">
        <v>2731600</v>
      </c>
      <c r="S415" s="2">
        <v>36</v>
      </c>
      <c r="T415" s="2">
        <v>649831</v>
      </c>
      <c r="U415" s="2">
        <v>948923</v>
      </c>
      <c r="V415" s="2">
        <v>0</v>
      </c>
      <c r="W415" s="2">
        <v>0</v>
      </c>
      <c r="X415" s="2">
        <v>0</v>
      </c>
      <c r="Y415" s="2" t="s">
        <v>148</v>
      </c>
      <c r="Z415" s="12">
        <f>SUMIF(Table1[product],Table1[[#This Row],[product]],Table1[loan_amount])</f>
        <v>403369500</v>
      </c>
      <c r="AA415" s="15">
        <f>SUMIF(Table1[region],Table1[[#This Row],[region]],Table1[current_balance])</f>
        <v>94548000</v>
      </c>
      <c r="AB415" s="2">
        <f>COUNTIF(Table1[loan_status],Table1[[#This Row],[loan_status]])</f>
        <v>301</v>
      </c>
      <c r="AC415" s="2">
        <f>COUNTIF(Table1[default_flag],1)/ROWS(Table1[loan_id])</f>
        <v>2.5999999999999999E-2</v>
      </c>
      <c r="AD415" s="2">
        <f>COUNTIFS(Table1[region],Table1[[#This Row],[region]],Table1[default_flag],1)/COUNTIF(Table1[region],Table1[[#This Row],[region]])</f>
        <v>0</v>
      </c>
      <c r="AE415" s="2">
        <f>COUNTIFS(Table1[channel],Table1[[#This Row],[channel]],Table1[prepayment_flag],1)/COUNTIF(Table1[channel],Table1[[#This Row],[channel]])</f>
        <v>0.12</v>
      </c>
      <c r="AF415" s="2">
        <f>AVERAGEIFS(Table1[interest_rate_pct],Table1[product],Table1[[#This Row],[product]],Table1[risk_band],Table1[[#This Row],[risk_band]])</f>
        <v>11.719736842105268</v>
      </c>
      <c r="AG415" s="2" t="str" cm="1">
        <f t="array" ref="AG415">_xlfn.IFS(Table1[[#This Row],[dti_ratio]] &lt; 0.2, " less than 0.2", Table1[[#This Row],[dti_ratio]] &lt; 0.3, "0.2 - 0.3", Table1[[#This Row],[dti_ratio]] &lt;= 0.5, "0.35 - 0.5", Table1[[#This Row],[dti_ratio]] &gt; 0.5, "greater than 0.5")</f>
        <v xml:space="preserve"> less than 0.2</v>
      </c>
      <c r="AH415" s="2">
        <f>COUNTIF(Table1[DTI band],Table1[[#This Row],[DTI band]])</f>
        <v>86</v>
      </c>
      <c r="AI415" s="2" t="str" cm="1">
        <f t="array" ref="AI415">_xlfn.IFS(Table1[[#This Row],[ltv_ratio]] &lt; 0.6, "less than 0.6 -less risky", Table1[[#This Row],[ltv_ratio]]  &lt;= 0.8, "0.6 - 0.8 -medium risky",Table1[[#This Row],[ltv_ratio]] &gt; 0.8, "greater than 0.8 -highly risky")</f>
        <v>less than 0.6 -less risky</v>
      </c>
      <c r="AJ415" s="2">
        <f>COUNTIF(Table1[LTV band],Table1[[#This Row],[LTV band]])</f>
        <v>57</v>
      </c>
      <c r="AK415" s="2">
        <f>COUNTIFS(Table1[count_loan_perband],Table1[[#This Row],[count_loan_perband]],Table1[default_flag],1)/COUNTIF(Table1[count_loan_perband],Table1[[#This Row],[count_loan_perband]])</f>
        <v>0</v>
      </c>
      <c r="AL415" s="2" t="str" cm="1">
        <f t="array" ref="AL415">_xlfn.IFS(Table1[[#This Row],[loan_amount]] &lt; 900000, "lower size (&lt; 9L)", Table1[[#This Row],[loan_amount]] &lt;=3300000, "medium size (&lt;=33L)", Table1[[#This Row],[loan_amount]] &gt; 3300000, "larger size (&gt; 33L)")</f>
        <v>medium size (&lt;=33L)</v>
      </c>
      <c r="AM415" s="2">
        <f>IF(Table1[[#This Row],[dpd]] &gt;=30,1,0)</f>
        <v>0</v>
      </c>
      <c r="AN415" s="2">
        <f>COUNTIFS(Table1[Loan size],Table1[[#This Row],[Loan size]],Table1[dpd flag],1)/COUNTIF(Table1[Loan size],Table1[[#This Row],[Loan size]])</f>
        <v>0.15909090909090909</v>
      </c>
      <c r="AO415" s="2" t="str">
        <f>IF(OR(Table1[[#This Row],[credit_score]] &lt; 600, Table1[ [#This Row],[dti_ratio] ] &gt; 0.5, Table1[[#This Row],[dpd]] &gt;=30), "high risk", " not riskY")</f>
        <v xml:space="preserve"> not riskY</v>
      </c>
      <c r="AP415" s="26">
        <f>EOMONTH(Table1[[#This Row],[origination_date]],0)</f>
        <v>44926</v>
      </c>
      <c r="AQ415" s="2">
        <f>SUMIFS(Table1[loan_amount],Table1[origination month],Table1[[#This Row],[origination month]])</f>
        <v>18330100</v>
      </c>
      <c r="AR415" s="2">
        <f>AVERAGEIFS(Table1[months_on_book],Table1[product],Table1[[#This Row],[product]])</f>
        <v>20.516129032258064</v>
      </c>
      <c r="AS415" s="2" t="str">
        <f ca="1">IF(EDATE(Table1[[#This Row],[origination_date]],6) &gt;= TODAY(), "New Loan", "Old Loan")</f>
        <v>Old Loan</v>
      </c>
      <c r="AT415" s="2" t="str">
        <f>"Q"&amp;ROUNDUP(MONTH(Table1[[#This Row],[origination_date]])/3,0)&amp;YEAR(Table1[[#This Row],[origination_date]])</f>
        <v>Q42022</v>
      </c>
      <c r="AU415" s="2">
        <f>SUMIFS(Table1[loan_amount],Table1[quarter],Table1[[#This Row],[quarter]])</f>
        <v>51169300</v>
      </c>
      <c r="AV415" s="34" t="str">
        <f>_xlfn.TEXTJOIN("|",TRUE,Table1[[#This Row],[loan_id]:[loan_status]])</f>
        <v>L21048213|C7611589|44898|Home Loan|Call Center|South|Contract|120|1392400|12.35|20260|1772874|673|C|0.18|0.51|2731600|36|649831|948923|0|0|0|Active</v>
      </c>
      <c r="AW415" s="42">
        <f>YEAR(Loan_Table[ [#This Row],[origination_date] ])</f>
        <v>2023</v>
      </c>
    </row>
    <row r="416" spans="2:49" ht="18" customHeight="1">
      <c r="B416" s="5" t="s">
        <v>952</v>
      </c>
      <c r="C416" s="2" t="s">
        <v>953</v>
      </c>
      <c r="D416" s="3">
        <v>44910</v>
      </c>
      <c r="E416" s="2" t="s">
        <v>158</v>
      </c>
      <c r="F416" s="2" t="s">
        <v>132</v>
      </c>
      <c r="G416" s="2" t="s">
        <v>151</v>
      </c>
      <c r="H416" s="2" t="s">
        <v>152</v>
      </c>
      <c r="I416" s="2">
        <v>12</v>
      </c>
      <c r="J416" s="2">
        <v>1171300</v>
      </c>
      <c r="K416" s="2">
        <v>12.09</v>
      </c>
      <c r="L416" s="2">
        <v>104118</v>
      </c>
      <c r="M416" s="2">
        <v>1053831</v>
      </c>
      <c r="N416" s="2">
        <v>718</v>
      </c>
      <c r="O416" s="2" t="s">
        <v>135</v>
      </c>
      <c r="P416" s="2">
        <v>0.18</v>
      </c>
      <c r="Q416" s="2">
        <v>0.73</v>
      </c>
      <c r="R416" s="2">
        <v>1603900</v>
      </c>
      <c r="S416" s="2">
        <v>12</v>
      </c>
      <c r="T416" s="2">
        <v>1242275</v>
      </c>
      <c r="U416" s="2">
        <v>0</v>
      </c>
      <c r="V416" s="2">
        <v>15</v>
      </c>
      <c r="W416" s="2">
        <v>0</v>
      </c>
      <c r="X416" s="2">
        <v>0</v>
      </c>
      <c r="Y416" s="2" t="s">
        <v>141</v>
      </c>
      <c r="Z416" s="12">
        <f>SUMIF(Table1[product],Table1[[#This Row],[product]],Table1[loan_amount])</f>
        <v>201475100</v>
      </c>
      <c r="AA416" s="15">
        <f>SUMIF(Table1[region],Table1[[#This Row],[region]],Table1[current_balance])</f>
        <v>105779369</v>
      </c>
      <c r="AB416" s="2">
        <f>COUNTIF(Table1[loan_status],Table1[[#This Row],[loan_status]])</f>
        <v>139</v>
      </c>
      <c r="AC416" s="2">
        <f>COUNTIF(Table1[default_flag],1)/ROWS(Table1[loan_id])</f>
        <v>2.5999999999999999E-2</v>
      </c>
      <c r="AD416" s="2">
        <f>COUNTIFS(Table1[region],Table1[[#This Row],[region]],Table1[default_flag],1)/COUNTIF(Table1[region],Table1[[#This Row],[region]])</f>
        <v>2.6548672566371681E-2</v>
      </c>
      <c r="AE416" s="2">
        <f>COUNTIFS(Table1[channel],Table1[[#This Row],[channel]],Table1[prepayment_flag],1)/COUNTIF(Table1[channel],Table1[[#This Row],[channel]])</f>
        <v>7.1090047393364927E-2</v>
      </c>
      <c r="AF416" s="2">
        <f>AVERAGEIFS(Table1[interest_rate_pct],Table1[product],Table1[[#This Row],[product]],Table1[risk_band],Table1[[#This Row],[risk_band]])</f>
        <v>13.042631578947367</v>
      </c>
      <c r="AG416" s="2" t="str" cm="1">
        <f t="array" ref="AG416">_xlfn.IFS(Table1[[#This Row],[dti_ratio]] &lt; 0.2, " less than 0.2", Table1[[#This Row],[dti_ratio]] &lt; 0.3, "0.2 - 0.3", Table1[[#This Row],[dti_ratio]] &lt;= 0.5, "0.35 - 0.5", Table1[[#This Row],[dti_ratio]] &gt; 0.5, "greater than 0.5")</f>
        <v xml:space="preserve"> less than 0.2</v>
      </c>
      <c r="AH416" s="2">
        <f>COUNTIF(Table1[DTI band],Table1[[#This Row],[DTI band]])</f>
        <v>86</v>
      </c>
      <c r="AI416" s="2" t="str" cm="1">
        <f t="array" ref="AI416">_xlfn.IFS(Table1[[#This Row],[ltv_ratio]] &lt; 0.6, "less than 0.6 -less risky", Table1[[#This Row],[ltv_ratio]]  &lt;= 0.8, "0.6 - 0.8 -medium risky",Table1[[#This Row],[ltv_ratio]] &gt; 0.8, "greater than 0.8 -highly risky")</f>
        <v>0.6 - 0.8 -medium risky</v>
      </c>
      <c r="AJ416" s="2">
        <f>COUNTIF(Table1[LTV band],Table1[[#This Row],[LTV band]])</f>
        <v>302</v>
      </c>
      <c r="AK416" s="2">
        <f>COUNTIFS(Table1[count_loan_perband],Table1[[#This Row],[count_loan_perband]],Table1[default_flag],1)/COUNTIF(Table1[count_loan_perband],Table1[[#This Row],[count_loan_perband]])</f>
        <v>3.6423841059602648E-2</v>
      </c>
      <c r="AL416" s="2" t="str" cm="1">
        <f t="array" ref="AL416">_xlfn.IFS(Table1[[#This Row],[loan_amount]] &lt; 900000, "lower size (&lt; 9L)", Table1[[#This Row],[loan_amount]] &lt;=3300000, "medium size (&lt;=33L)", Table1[[#This Row],[loan_amount]] &gt; 3300000, "larger size (&gt; 33L)")</f>
        <v>medium size (&lt;=33L)</v>
      </c>
      <c r="AM416" s="2">
        <f>IF(Table1[[#This Row],[dpd]] &gt;=30,1,0)</f>
        <v>0</v>
      </c>
      <c r="AN416" s="2">
        <f>COUNTIFS(Table1[Loan size],Table1[[#This Row],[Loan size]],Table1[dpd flag],1)/COUNTIF(Table1[Loan size],Table1[[#This Row],[Loan size]])</f>
        <v>0.15909090909090909</v>
      </c>
      <c r="AO416" s="2" t="str">
        <f>IF(OR(Table1[[#This Row],[credit_score]] &lt; 600, Table1[ [#This Row],[dti_ratio] ] &gt; 0.5, Table1[[#This Row],[dpd]] &gt;=30), "high risk", " not riskY")</f>
        <v xml:space="preserve"> not riskY</v>
      </c>
      <c r="AP416" s="26">
        <f>EOMONTH(Table1[[#This Row],[origination_date]],0)</f>
        <v>44926</v>
      </c>
      <c r="AQ416" s="2">
        <f>SUMIFS(Table1[loan_amount],Table1[origination month],Table1[[#This Row],[origination month]])</f>
        <v>18330100</v>
      </c>
      <c r="AR416" s="2">
        <f>AVERAGEIFS(Table1[months_on_book],Table1[product],Table1[[#This Row],[product]])</f>
        <v>19.091954022988507</v>
      </c>
      <c r="AS416" s="2" t="str">
        <f ca="1">IF(EDATE(Table1[[#This Row],[origination_date]],6) &gt;= TODAY(), "New Loan", "Old Loan")</f>
        <v>Old Loan</v>
      </c>
      <c r="AT416" s="2" t="str">
        <f>"Q"&amp;ROUNDUP(MONTH(Table1[[#This Row],[origination_date]])/3,0)&amp;YEAR(Table1[[#This Row],[origination_date]])</f>
        <v>Q42022</v>
      </c>
      <c r="AU416" s="2">
        <f>SUMIFS(Table1[loan_amount],Table1[quarter],Table1[[#This Row],[quarter]])</f>
        <v>51169300</v>
      </c>
      <c r="AV416" s="34" t="str">
        <f>_xlfn.TEXTJOIN("|",TRUE,Table1[[#This Row],[loan_id]:[loan_status]])</f>
        <v>L68898597|C4752004|44910|SME Loan|Online|North|Self-Employed|12|1171300|12.09|104118|1053831|718|B|0.18|0.73|1603900|12|1242275|0|15|0|0|Closed</v>
      </c>
      <c r="AW416" s="42">
        <f>YEAR(Loan_Table[ [#This Row],[origination_date] ])</f>
        <v>2023</v>
      </c>
    </row>
    <row r="417" spans="2:49" ht="18" customHeight="1">
      <c r="B417" s="5" t="s">
        <v>954</v>
      </c>
      <c r="C417" s="2" t="s">
        <v>955</v>
      </c>
      <c r="D417" s="3">
        <v>44904</v>
      </c>
      <c r="E417" s="2" t="s">
        <v>131</v>
      </c>
      <c r="F417" s="2" t="s">
        <v>159</v>
      </c>
      <c r="G417" s="2" t="s">
        <v>170</v>
      </c>
      <c r="H417" s="2" t="s">
        <v>134</v>
      </c>
      <c r="I417" s="2">
        <v>12</v>
      </c>
      <c r="J417" s="2">
        <v>740300</v>
      </c>
      <c r="K417" s="2">
        <v>15.53</v>
      </c>
      <c r="L417" s="2">
        <v>67004</v>
      </c>
      <c r="M417" s="2">
        <v>1185361</v>
      </c>
      <c r="N417" s="2">
        <v>732</v>
      </c>
      <c r="O417" s="2" t="s">
        <v>135</v>
      </c>
      <c r="P417" s="2">
        <v>0.17</v>
      </c>
      <c r="Q417" s="2">
        <v>0.78</v>
      </c>
      <c r="R417" s="2">
        <v>0</v>
      </c>
      <c r="S417" s="2">
        <v>12</v>
      </c>
      <c r="T417" s="2">
        <v>719713</v>
      </c>
      <c r="U417" s="2">
        <v>66574</v>
      </c>
      <c r="V417" s="2">
        <v>0</v>
      </c>
      <c r="W417" s="2">
        <v>0</v>
      </c>
      <c r="X417" s="2">
        <v>0</v>
      </c>
      <c r="Y417" s="2" t="s">
        <v>141</v>
      </c>
      <c r="Z417" s="12">
        <f>SUMIF(Table1[product],Table1[[#This Row],[product]],Table1[loan_amount])</f>
        <v>74897600</v>
      </c>
      <c r="AA417" s="15">
        <f>SUMIF(Table1[region],Table1[[#This Row],[region]],Table1[current_balance])</f>
        <v>83297251</v>
      </c>
      <c r="AB417" s="2">
        <f>COUNTIF(Table1[loan_status],Table1[[#This Row],[loan_status]])</f>
        <v>139</v>
      </c>
      <c r="AC417" s="2">
        <f>COUNTIF(Table1[default_flag],1)/ROWS(Table1[loan_id])</f>
        <v>2.5999999999999999E-2</v>
      </c>
      <c r="AD417" s="2">
        <f>COUNTIFS(Table1[region],Table1[[#This Row],[region]],Table1[default_flag],1)/COUNTIF(Table1[region],Table1[[#This Row],[region]])</f>
        <v>3.1914893617021274E-2</v>
      </c>
      <c r="AE417" s="2">
        <f>COUNTIFS(Table1[channel],Table1[[#This Row],[channel]],Table1[prepayment_flag],1)/COUNTIF(Table1[channel],Table1[[#This Row],[channel]])</f>
        <v>0.1</v>
      </c>
      <c r="AF417" s="2">
        <f>AVERAGEIFS(Table1[interest_rate_pct],Table1[product],Table1[[#This Row],[product]],Table1[risk_band],Table1[[#This Row],[risk_band]])</f>
        <v>16.500166666666669</v>
      </c>
      <c r="AG417" s="2" t="str" cm="1">
        <f t="array" ref="AG417">_xlfn.IFS(Table1[[#This Row],[dti_ratio]] &lt; 0.2, " less than 0.2", Table1[[#This Row],[dti_ratio]] &lt; 0.3, "0.2 - 0.3", Table1[[#This Row],[dti_ratio]] &lt;= 0.5, "0.35 - 0.5", Table1[[#This Row],[dti_ratio]] &gt; 0.5, "greater than 0.5")</f>
        <v xml:space="preserve"> less than 0.2</v>
      </c>
      <c r="AH417" s="2">
        <f>COUNTIF(Table1[DTI band],Table1[[#This Row],[DTI band]])</f>
        <v>86</v>
      </c>
      <c r="AI417" s="2" t="str" cm="1">
        <f t="array" ref="AI417">_xlfn.IFS(Table1[[#This Row],[ltv_ratio]] &lt; 0.6, "less than 0.6 -less risky", Table1[[#This Row],[ltv_ratio]]  &lt;= 0.8, "0.6 - 0.8 -medium risky",Table1[[#This Row],[ltv_ratio]] &gt; 0.8, "greater than 0.8 -highly risky")</f>
        <v>0.6 - 0.8 -medium risky</v>
      </c>
      <c r="AJ417" s="2">
        <f>COUNTIF(Table1[LTV band],Table1[[#This Row],[LTV band]])</f>
        <v>302</v>
      </c>
      <c r="AK417" s="2">
        <f>COUNTIFS(Table1[count_loan_perband],Table1[[#This Row],[count_loan_perband]],Table1[default_flag],1)/COUNTIF(Table1[count_loan_perband],Table1[[#This Row],[count_loan_perband]])</f>
        <v>3.6423841059602648E-2</v>
      </c>
      <c r="AL417" s="2" t="str" cm="1">
        <f t="array" ref="AL417">_xlfn.IFS(Table1[[#This Row],[loan_amount]] &lt; 900000, "lower size (&lt; 9L)", Table1[[#This Row],[loan_amount]] &lt;=3300000, "medium size (&lt;=33L)", Table1[[#This Row],[loan_amount]] &gt; 3300000, "larger size (&gt; 33L)")</f>
        <v>lower size (&lt; 9L)</v>
      </c>
      <c r="AM417" s="2">
        <f>IF(Table1[[#This Row],[dpd]] &gt;=30,1,0)</f>
        <v>0</v>
      </c>
      <c r="AN417" s="2">
        <f>COUNTIFS(Table1[Loan size],Table1[[#This Row],[Loan size]],Table1[dpd flag],1)/COUNTIF(Table1[Loan size],Table1[[#This Row],[Loan size]])</f>
        <v>0.13934426229508196</v>
      </c>
      <c r="AO417" s="2" t="str">
        <f>IF(OR(Table1[[#This Row],[credit_score]] &lt; 600, Table1[ [#This Row],[dti_ratio] ] &gt; 0.5, Table1[[#This Row],[dpd]] &gt;=30), "high risk", " not riskY")</f>
        <v xml:space="preserve"> not riskY</v>
      </c>
      <c r="AP417" s="26">
        <f>EOMONTH(Table1[[#This Row],[origination_date]],0)</f>
        <v>44926</v>
      </c>
      <c r="AQ417" s="2">
        <f>SUMIFS(Table1[loan_amount],Table1[origination month],Table1[[#This Row],[origination month]])</f>
        <v>18330100</v>
      </c>
      <c r="AR417" s="2">
        <f>AVERAGEIFS(Table1[months_on_book],Table1[product],Table1[[#This Row],[product]])</f>
        <v>21.092024539877301</v>
      </c>
      <c r="AS417" s="2" t="str">
        <f ca="1">IF(EDATE(Table1[[#This Row],[origination_date]],6) &gt;= TODAY(), "New Loan", "Old Loan")</f>
        <v>Old Loan</v>
      </c>
      <c r="AT417" s="2" t="str">
        <f>"Q"&amp;ROUNDUP(MONTH(Table1[[#This Row],[origination_date]])/3,0)&amp;YEAR(Table1[[#This Row],[origination_date]])</f>
        <v>Q42022</v>
      </c>
      <c r="AU417" s="2">
        <f>SUMIFS(Table1[loan_amount],Table1[quarter],Table1[[#This Row],[quarter]])</f>
        <v>51169300</v>
      </c>
      <c r="AV417" s="34" t="str">
        <f>_xlfn.TEXTJOIN("|",TRUE,Table1[[#This Row],[loan_id]:[loan_status]])</f>
        <v>L73047066|C4863336|44904|Personal Loan|Partner|East|Salaried|12|740300|15.53|67004|1185361|732|B|0.17|0.78|0|12|719713|66574|0|0|0|Closed</v>
      </c>
      <c r="AW417" s="42">
        <f>YEAR(Loan_Table[ [#This Row],[origination_date] ])</f>
        <v>2023</v>
      </c>
    </row>
    <row r="418" spans="2:49" ht="18" customHeight="1">
      <c r="B418" s="5" t="s">
        <v>956</v>
      </c>
      <c r="C418" s="2" t="s">
        <v>957</v>
      </c>
      <c r="D418" s="3">
        <v>44848</v>
      </c>
      <c r="E418" s="2" t="s">
        <v>169</v>
      </c>
      <c r="F418" s="2" t="s">
        <v>132</v>
      </c>
      <c r="G418" s="2" t="s">
        <v>170</v>
      </c>
      <c r="H418" s="2" t="s">
        <v>134</v>
      </c>
      <c r="I418" s="2">
        <v>36</v>
      </c>
      <c r="J418" s="2">
        <v>3655400</v>
      </c>
      <c r="K418" s="2">
        <v>13.27</v>
      </c>
      <c r="L418" s="2">
        <v>123641</v>
      </c>
      <c r="M418" s="2">
        <v>1278823</v>
      </c>
      <c r="N418" s="2">
        <v>635</v>
      </c>
      <c r="O418" s="2" t="s">
        <v>147</v>
      </c>
      <c r="P418" s="2">
        <v>0.14000000000000001</v>
      </c>
      <c r="Q418" s="2">
        <v>0.72</v>
      </c>
      <c r="R418" s="2">
        <v>5090800</v>
      </c>
      <c r="S418" s="2">
        <v>36</v>
      </c>
      <c r="T418" s="2">
        <v>3990510</v>
      </c>
      <c r="U418" s="2">
        <v>246976</v>
      </c>
      <c r="V418" s="2">
        <v>0</v>
      </c>
      <c r="W418" s="2">
        <v>0</v>
      </c>
      <c r="X418" s="2">
        <v>0</v>
      </c>
      <c r="Y418" s="2" t="s">
        <v>141</v>
      </c>
      <c r="Z418" s="12">
        <f>SUMIF(Table1[product],Table1[[#This Row],[product]],Table1[loan_amount])</f>
        <v>403369500</v>
      </c>
      <c r="AA418" s="15">
        <f>SUMIF(Table1[region],Table1[[#This Row],[region]],Table1[current_balance])</f>
        <v>83297251</v>
      </c>
      <c r="AB418" s="2">
        <f>COUNTIF(Table1[loan_status],Table1[[#This Row],[loan_status]])</f>
        <v>139</v>
      </c>
      <c r="AC418" s="2">
        <f>COUNTIF(Table1[default_flag],1)/ROWS(Table1[loan_id])</f>
        <v>2.5999999999999999E-2</v>
      </c>
      <c r="AD418" s="2">
        <f>COUNTIFS(Table1[region],Table1[[#This Row],[region]],Table1[default_flag],1)/COUNTIF(Table1[region],Table1[[#This Row],[region]])</f>
        <v>3.1914893617021274E-2</v>
      </c>
      <c r="AE418" s="2">
        <f>COUNTIFS(Table1[channel],Table1[[#This Row],[channel]],Table1[prepayment_flag],1)/COUNTIF(Table1[channel],Table1[[#This Row],[channel]])</f>
        <v>7.1090047393364927E-2</v>
      </c>
      <c r="AF418" s="2">
        <f>AVERAGEIFS(Table1[interest_rate_pct],Table1[product],Table1[[#This Row],[product]],Table1[risk_band],Table1[[#This Row],[risk_band]])</f>
        <v>13.406874999999999</v>
      </c>
      <c r="AG418" s="2" t="str" cm="1">
        <f t="array" ref="AG418">_xlfn.IFS(Table1[[#This Row],[dti_ratio]] &lt; 0.2, " less than 0.2", Table1[[#This Row],[dti_ratio]] &lt; 0.3, "0.2 - 0.3", Table1[[#This Row],[dti_ratio]] &lt;= 0.5, "0.35 - 0.5", Table1[[#This Row],[dti_ratio]] &gt; 0.5, "greater than 0.5")</f>
        <v xml:space="preserve"> less than 0.2</v>
      </c>
      <c r="AH418" s="2">
        <f>COUNTIF(Table1[DTI band],Table1[[#This Row],[DTI band]])</f>
        <v>86</v>
      </c>
      <c r="AI418" s="2" t="str" cm="1">
        <f t="array" ref="AI418">_xlfn.IFS(Table1[[#This Row],[ltv_ratio]] &lt; 0.6, "less than 0.6 -less risky", Table1[[#This Row],[ltv_ratio]]  &lt;= 0.8, "0.6 - 0.8 -medium risky",Table1[[#This Row],[ltv_ratio]] &gt; 0.8, "greater than 0.8 -highly risky")</f>
        <v>0.6 - 0.8 -medium risky</v>
      </c>
      <c r="AJ418" s="2">
        <f>COUNTIF(Table1[LTV band],Table1[[#This Row],[LTV band]])</f>
        <v>302</v>
      </c>
      <c r="AK418" s="2">
        <f>COUNTIFS(Table1[count_loan_perband],Table1[[#This Row],[count_loan_perband]],Table1[default_flag],1)/COUNTIF(Table1[count_loan_perband],Table1[[#This Row],[count_loan_perband]])</f>
        <v>3.6423841059602648E-2</v>
      </c>
      <c r="AL418" s="2" t="str" cm="1">
        <f t="array" ref="AL418">_xlfn.IFS(Table1[[#This Row],[loan_amount]] &lt; 900000, "lower size (&lt; 9L)", Table1[[#This Row],[loan_amount]] &lt;=3300000, "medium size (&lt;=33L)", Table1[[#This Row],[loan_amount]] &gt; 3300000, "larger size (&gt; 33L)")</f>
        <v>larger size (&gt; 33L)</v>
      </c>
      <c r="AM418" s="2">
        <f>IF(Table1[[#This Row],[dpd]] &gt;=30,1,0)</f>
        <v>0</v>
      </c>
      <c r="AN418" s="2">
        <f>COUNTIFS(Table1[Loan size],Table1[[#This Row],[Loan size]],Table1[dpd flag],1)/COUNTIF(Table1[Loan size],Table1[[#This Row],[Loan size]])</f>
        <v>0.16250000000000001</v>
      </c>
      <c r="AO418" s="2" t="str">
        <f>IF(OR(Table1[[#This Row],[credit_score]] &lt; 600, Table1[ [#This Row],[dti_ratio] ] &gt; 0.5, Table1[[#This Row],[dpd]] &gt;=30), "high risk", " not riskY")</f>
        <v xml:space="preserve"> not riskY</v>
      </c>
      <c r="AP418" s="26">
        <f>EOMONTH(Table1[[#This Row],[origination_date]],0)</f>
        <v>44865</v>
      </c>
      <c r="AQ418" s="2">
        <f>SUMIFS(Table1[loan_amount],Table1[origination month],Table1[[#This Row],[origination month]])</f>
        <v>16527000</v>
      </c>
      <c r="AR418" s="2">
        <f>AVERAGEIFS(Table1[months_on_book],Table1[product],Table1[[#This Row],[product]])</f>
        <v>20.516129032258064</v>
      </c>
      <c r="AS418" s="2" t="str">
        <f ca="1">IF(EDATE(Table1[[#This Row],[origination_date]],6) &gt;= TODAY(), "New Loan", "Old Loan")</f>
        <v>Old Loan</v>
      </c>
      <c r="AT418" s="2" t="str">
        <f>"Q"&amp;ROUNDUP(MONTH(Table1[[#This Row],[origination_date]])/3,0)&amp;YEAR(Table1[[#This Row],[origination_date]])</f>
        <v>Q42022</v>
      </c>
      <c r="AU418" s="2">
        <f>SUMIFS(Table1[loan_amount],Table1[quarter],Table1[[#This Row],[quarter]])</f>
        <v>51169300</v>
      </c>
      <c r="AV418" s="34" t="str">
        <f>_xlfn.TEXTJOIN("|",TRUE,Table1[[#This Row],[loan_id]:[loan_status]])</f>
        <v>L84941037|C4636834|44848|Home Loan|Online|East|Salaried|36|3655400|13.27|123641|1278823|635|D|0.14|0.72|5090800|36|3990510|246976|0|0|0|Closed</v>
      </c>
      <c r="AW418" s="42">
        <f>YEAR(Loan_Table[ [#This Row],[origination_date] ])</f>
        <v>2023</v>
      </c>
    </row>
    <row r="419" spans="2:49" ht="18" customHeight="1">
      <c r="B419" s="5" t="s">
        <v>958</v>
      </c>
      <c r="C419" s="2" t="s">
        <v>959</v>
      </c>
      <c r="D419" s="3">
        <v>44907</v>
      </c>
      <c r="E419" s="2" t="s">
        <v>177</v>
      </c>
      <c r="F419" s="2" t="s">
        <v>144</v>
      </c>
      <c r="G419" s="2" t="s">
        <v>139</v>
      </c>
      <c r="H419" s="2" t="s">
        <v>152</v>
      </c>
      <c r="I419" s="2">
        <v>240</v>
      </c>
      <c r="J419" s="2">
        <v>1494700</v>
      </c>
      <c r="K419" s="2">
        <v>12.15</v>
      </c>
      <c r="L419" s="2">
        <v>16615</v>
      </c>
      <c r="M419" s="2">
        <v>534158</v>
      </c>
      <c r="N419" s="2">
        <v>675</v>
      </c>
      <c r="O419" s="2" t="s">
        <v>140</v>
      </c>
      <c r="P419" s="2">
        <v>0.05</v>
      </c>
      <c r="Q419" s="2">
        <v>0.79</v>
      </c>
      <c r="R419" s="2">
        <v>0</v>
      </c>
      <c r="S419" s="2">
        <v>36</v>
      </c>
      <c r="T419" s="2">
        <v>545517</v>
      </c>
      <c r="U419" s="2">
        <v>1167110</v>
      </c>
      <c r="V419" s="2">
        <v>0</v>
      </c>
      <c r="W419" s="2">
        <v>0</v>
      </c>
      <c r="X419" s="2">
        <v>0</v>
      </c>
      <c r="Y419" s="2" t="s">
        <v>148</v>
      </c>
      <c r="Z419" s="12">
        <f>SUMIF(Table1[product],Table1[[#This Row],[product]],Table1[loan_amount])</f>
        <v>62765800</v>
      </c>
      <c r="AA419" s="15">
        <f>SUMIF(Table1[region],Table1[[#This Row],[region]],Table1[current_balance])</f>
        <v>83903255</v>
      </c>
      <c r="AB419" s="2">
        <f>COUNTIF(Table1[loan_status],Table1[[#This Row],[loan_status]])</f>
        <v>301</v>
      </c>
      <c r="AC419" s="2">
        <f>COUNTIF(Table1[default_flag],1)/ROWS(Table1[loan_id])</f>
        <v>2.5999999999999999E-2</v>
      </c>
      <c r="AD419" s="2">
        <f>COUNTIFS(Table1[region],Table1[[#This Row],[region]],Table1[default_flag],1)/COUNTIF(Table1[region],Table1[[#This Row],[region]])</f>
        <v>4.2553191489361701E-2</v>
      </c>
      <c r="AE419" s="2">
        <f>COUNTIFS(Table1[channel],Table1[[#This Row],[channel]],Table1[prepayment_flag],1)/COUNTIF(Table1[channel],Table1[[#This Row],[channel]])</f>
        <v>5.8201058201058198E-2</v>
      </c>
      <c r="AF419" s="2">
        <f>AVERAGEIFS(Table1[interest_rate_pct],Table1[product],Table1[[#This Row],[product]],Table1[risk_band],Table1[[#This Row],[risk_band]])</f>
        <v>13.463888888888889</v>
      </c>
      <c r="AG419" s="2" t="str" cm="1">
        <f t="array" ref="AG419">_xlfn.IFS(Table1[[#This Row],[dti_ratio]] &lt; 0.2, " less than 0.2", Table1[[#This Row],[dti_ratio]] &lt; 0.3, "0.2 - 0.3", Table1[[#This Row],[dti_ratio]] &lt;= 0.5, "0.35 - 0.5", Table1[[#This Row],[dti_ratio]] &gt; 0.5, "greater than 0.5")</f>
        <v xml:space="preserve"> less than 0.2</v>
      </c>
      <c r="AH419" s="2">
        <f>COUNTIF(Table1[DTI band],Table1[[#This Row],[DTI band]])</f>
        <v>86</v>
      </c>
      <c r="AI419" s="2" t="str" cm="1">
        <f t="array" ref="AI419">_xlfn.IFS(Table1[[#This Row],[ltv_ratio]] &lt; 0.6, "less than 0.6 -less risky", Table1[[#This Row],[ltv_ratio]]  &lt;= 0.8, "0.6 - 0.8 -medium risky",Table1[[#This Row],[ltv_ratio]] &gt; 0.8, "greater than 0.8 -highly risky")</f>
        <v>0.6 - 0.8 -medium risky</v>
      </c>
      <c r="AJ419" s="2">
        <f>COUNTIF(Table1[LTV band],Table1[[#This Row],[LTV band]])</f>
        <v>302</v>
      </c>
      <c r="AK419" s="2">
        <f>COUNTIFS(Table1[count_loan_perband],Table1[[#This Row],[count_loan_perband]],Table1[default_flag],1)/COUNTIF(Table1[count_loan_perband],Table1[[#This Row],[count_loan_perband]])</f>
        <v>3.6423841059602648E-2</v>
      </c>
      <c r="AL419" s="2" t="str" cm="1">
        <f t="array" ref="AL419">_xlfn.IFS(Table1[[#This Row],[loan_amount]] &lt; 900000, "lower size (&lt; 9L)", Table1[[#This Row],[loan_amount]] &lt;=3300000, "medium size (&lt;=33L)", Table1[[#This Row],[loan_amount]] &gt; 3300000, "larger size (&gt; 33L)")</f>
        <v>medium size (&lt;=33L)</v>
      </c>
      <c r="AM419" s="2">
        <f>IF(Table1[[#This Row],[dpd]] &gt;=30,1,0)</f>
        <v>0</v>
      </c>
      <c r="AN419" s="2">
        <f>COUNTIFS(Table1[Loan size],Table1[[#This Row],[Loan size]],Table1[dpd flag],1)/COUNTIF(Table1[Loan size],Table1[[#This Row],[Loan size]])</f>
        <v>0.15909090909090909</v>
      </c>
      <c r="AO419" s="2" t="str">
        <f>IF(OR(Table1[[#This Row],[credit_score]] &lt; 600, Table1[ [#This Row],[dti_ratio] ] &gt; 0.5, Table1[[#This Row],[dpd]] &gt;=30), "high risk", " not riskY")</f>
        <v xml:space="preserve"> not riskY</v>
      </c>
      <c r="AP419" s="26">
        <f>EOMONTH(Table1[[#This Row],[origination_date]],0)</f>
        <v>44926</v>
      </c>
      <c r="AQ419" s="2">
        <f>SUMIFS(Table1[loan_amount],Table1[origination month],Table1[[#This Row],[origination month]])</f>
        <v>18330100</v>
      </c>
      <c r="AR419" s="2">
        <f>AVERAGEIFS(Table1[months_on_book],Table1[product],Table1[[#This Row],[product]])</f>
        <v>21.962962962962962</v>
      </c>
      <c r="AS419" s="2" t="str">
        <f ca="1">IF(EDATE(Table1[[#This Row],[origination_date]],6) &gt;= TODAY(), "New Loan", "Old Loan")</f>
        <v>Old Loan</v>
      </c>
      <c r="AT419" s="2" t="str">
        <f>"Q"&amp;ROUNDUP(MONTH(Table1[[#This Row],[origination_date]])/3,0)&amp;YEAR(Table1[[#This Row],[origination_date]])</f>
        <v>Q42022</v>
      </c>
      <c r="AU419" s="2">
        <f>SUMIFS(Table1[loan_amount],Table1[quarter],Table1[[#This Row],[quarter]])</f>
        <v>51169300</v>
      </c>
      <c r="AV419" s="34" t="str">
        <f>_xlfn.TEXTJOIN("|",TRUE,Table1[[#This Row],[loan_id]:[loan_status]])</f>
        <v>L79966435|C1381154|44907|Education Loan|Branch|West|Self-Employed|240|1494700|12.15|16615|534158|675|C|0.05|0.79|0|36|545517|1167110|0|0|0|Active</v>
      </c>
      <c r="AW419" s="42">
        <f>YEAR(Loan_Table[ [#This Row],[origination_date] ])</f>
        <v>2023</v>
      </c>
    </row>
    <row r="420" spans="2:49" ht="18" customHeight="1">
      <c r="B420" s="5" t="s">
        <v>960</v>
      </c>
      <c r="C420" s="2" t="s">
        <v>961</v>
      </c>
      <c r="D420" s="3">
        <v>45283</v>
      </c>
      <c r="E420" s="2" t="s">
        <v>163</v>
      </c>
      <c r="F420" s="2" t="s">
        <v>144</v>
      </c>
      <c r="G420" s="2" t="s">
        <v>145</v>
      </c>
      <c r="H420" s="2" t="s">
        <v>192</v>
      </c>
      <c r="I420" s="2">
        <v>48</v>
      </c>
      <c r="J420" s="2">
        <v>709100</v>
      </c>
      <c r="K420" s="2">
        <v>16.57</v>
      </c>
      <c r="L420" s="2">
        <v>20304</v>
      </c>
      <c r="M420" s="2">
        <v>612054</v>
      </c>
      <c r="N420" s="2">
        <v>616</v>
      </c>
      <c r="O420" s="2" t="s">
        <v>147</v>
      </c>
      <c r="P420" s="2">
        <v>0.62</v>
      </c>
      <c r="Q420" s="2">
        <v>0.51</v>
      </c>
      <c r="R420" s="2">
        <v>1388800</v>
      </c>
      <c r="S420" s="2">
        <v>24</v>
      </c>
      <c r="T420" s="2">
        <v>438611</v>
      </c>
      <c r="U420" s="2">
        <v>364487</v>
      </c>
      <c r="V420" s="2">
        <v>0</v>
      </c>
      <c r="W420" s="2">
        <v>0</v>
      </c>
      <c r="X420" s="2">
        <v>0</v>
      </c>
      <c r="Y420" s="2" t="s">
        <v>148</v>
      </c>
      <c r="Z420" s="12">
        <f>SUMIF(Table1[product],Table1[[#This Row],[product]],Table1[loan_amount])</f>
        <v>92273000</v>
      </c>
      <c r="AA420" s="15">
        <f>SUMIF(Table1[region],Table1[[#This Row],[region]],Table1[current_balance])</f>
        <v>98928695</v>
      </c>
      <c r="AB420" s="2">
        <f>COUNTIF(Table1[loan_status],Table1[[#This Row],[loan_status]])</f>
        <v>301</v>
      </c>
      <c r="AC420" s="2">
        <f>COUNTIF(Table1[default_flag],1)/ROWS(Table1[loan_id])</f>
        <v>2.5999999999999999E-2</v>
      </c>
      <c r="AD420" s="2">
        <f>COUNTIFS(Table1[region],Table1[[#This Row],[region]],Table1[default_flag],1)/COUNTIF(Table1[region],Table1[[#This Row],[region]])</f>
        <v>2.8571428571428571E-2</v>
      </c>
      <c r="AE420" s="2">
        <f>COUNTIFS(Table1[channel],Table1[[#This Row],[channel]],Table1[prepayment_flag],1)/COUNTIF(Table1[channel],Table1[[#This Row],[channel]])</f>
        <v>5.8201058201058198E-2</v>
      </c>
      <c r="AF420" s="2">
        <f>AVERAGEIFS(Table1[interest_rate_pct],Table1[product],Table1[[#This Row],[product]],Table1[risk_band],Table1[[#This Row],[risk_band]])</f>
        <v>15.092000000000001</v>
      </c>
      <c r="AG420" s="2" t="str" cm="1">
        <f t="array" ref="AG420">_xlfn.IFS(Table1[[#This Row],[dti_ratio]] &lt; 0.2, " less than 0.2", Table1[[#This Row],[dti_ratio]] &lt; 0.3, "0.2 - 0.3", Table1[[#This Row],[dti_ratio]] &lt;= 0.5, "0.35 - 0.5", Table1[[#This Row],[dti_ratio]] &gt; 0.5, "greater than 0.5")</f>
        <v>greater than 0.5</v>
      </c>
      <c r="AH420" s="2">
        <f>COUNTIF(Table1[DTI band],Table1[[#This Row],[DTI band]])</f>
        <v>32</v>
      </c>
      <c r="AI420" s="2" t="str" cm="1">
        <f t="array" ref="AI420">_xlfn.IFS(Table1[[#This Row],[ltv_ratio]] &lt; 0.6, "less than 0.6 -less risky", Table1[[#This Row],[ltv_ratio]]  &lt;= 0.8, "0.6 - 0.8 -medium risky",Table1[[#This Row],[ltv_ratio]] &gt; 0.8, "greater than 0.8 -highly risky")</f>
        <v>less than 0.6 -less risky</v>
      </c>
      <c r="AJ420" s="2">
        <f>COUNTIF(Table1[LTV band],Table1[[#This Row],[LTV band]])</f>
        <v>57</v>
      </c>
      <c r="AK420" s="2">
        <f>COUNTIFS(Table1[count_loan_perband],Table1[[#This Row],[count_loan_perband]],Table1[default_flag],1)/COUNTIF(Table1[count_loan_perband],Table1[[#This Row],[count_loan_perband]])</f>
        <v>0</v>
      </c>
      <c r="AL420" s="2" t="str" cm="1">
        <f t="array" ref="AL420">_xlfn.IFS(Table1[[#This Row],[loan_amount]] &lt; 900000, "lower size (&lt; 9L)", Table1[[#This Row],[loan_amount]] &lt;=3300000, "medium size (&lt;=33L)", Table1[[#This Row],[loan_amount]] &gt; 3300000, "larger size (&gt; 33L)")</f>
        <v>lower size (&lt; 9L)</v>
      </c>
      <c r="AM420" s="2">
        <f>IF(Table1[[#This Row],[dpd]] &gt;=30,1,0)</f>
        <v>0</v>
      </c>
      <c r="AN420" s="2">
        <f>COUNTIFS(Table1[Loan size],Table1[[#This Row],[Loan size]],Table1[dpd flag],1)/COUNTIF(Table1[Loan size],Table1[[#This Row],[Loan size]])</f>
        <v>0.13934426229508196</v>
      </c>
      <c r="AO420" s="2" t="str">
        <f>IF(OR(Table1[[#This Row],[credit_score]] &lt; 600, Table1[ [#This Row],[dti_ratio] ] &gt; 0.5, Table1[[#This Row],[dpd]] &gt;=30), "high risk", " not riskY")</f>
        <v>high risk</v>
      </c>
      <c r="AP420" s="26">
        <f>EOMONTH(Table1[[#This Row],[origination_date]],0)</f>
        <v>45291</v>
      </c>
      <c r="AQ420" s="2">
        <f>SUMIFS(Table1[loan_amount],Table1[origination month],Table1[[#This Row],[origination month]])</f>
        <v>28085400</v>
      </c>
      <c r="AR420" s="2">
        <f>AVERAGEIFS(Table1[months_on_book],Table1[product],Table1[[#This Row],[product]])</f>
        <v>20.262135922330096</v>
      </c>
      <c r="AS420" s="2" t="str">
        <f ca="1">IF(EDATE(Table1[[#This Row],[origination_date]],6) &gt;= TODAY(), "New Loan", "Old Loan")</f>
        <v>Old Loan</v>
      </c>
      <c r="AT420" s="2" t="str">
        <f>"Q"&amp;ROUNDUP(MONTH(Table1[[#This Row],[origination_date]])/3,0)&amp;YEAR(Table1[[#This Row],[origination_date]])</f>
        <v>Q42023</v>
      </c>
      <c r="AU420" s="2">
        <f>SUMIFS(Table1[loan_amount],Table1[quarter],Table1[[#This Row],[quarter]])</f>
        <v>58386700</v>
      </c>
      <c r="AV420" s="34" t="str">
        <f>_xlfn.TEXTJOIN("|",TRUE,Table1[[#This Row],[loan_id]:[loan_status]])</f>
        <v>L87010376|C6873286|45283|Auto Loan|Branch|Central|Unemployed|48|709100|16.57|20304|612054|616|D|0.62|0.51|1388800|24|438611|364487|0|0|0|Active</v>
      </c>
      <c r="AW420" s="42">
        <f>YEAR(Loan_Table[ [#This Row],[origination_date] ])</f>
        <v>2023</v>
      </c>
    </row>
    <row r="421" spans="2:49" ht="18" customHeight="1">
      <c r="B421" s="5" t="s">
        <v>962</v>
      </c>
      <c r="C421" s="2" t="s">
        <v>963</v>
      </c>
      <c r="D421" s="3">
        <v>45243</v>
      </c>
      <c r="E421" s="2" t="s">
        <v>131</v>
      </c>
      <c r="F421" s="2" t="s">
        <v>132</v>
      </c>
      <c r="G421" s="2" t="s">
        <v>170</v>
      </c>
      <c r="H421" s="2" t="s">
        <v>134</v>
      </c>
      <c r="I421" s="2">
        <v>60</v>
      </c>
      <c r="J421" s="2">
        <v>614100</v>
      </c>
      <c r="K421" s="2">
        <v>21.86</v>
      </c>
      <c r="L421" s="2">
        <v>16912</v>
      </c>
      <c r="M421" s="2">
        <v>1970836</v>
      </c>
      <c r="N421" s="2">
        <v>630</v>
      </c>
      <c r="O421" s="2" t="s">
        <v>147</v>
      </c>
      <c r="P421" s="2">
        <v>0.52</v>
      </c>
      <c r="Q421" s="2">
        <v>0.66</v>
      </c>
      <c r="R421" s="2">
        <v>0</v>
      </c>
      <c r="S421" s="2">
        <v>25</v>
      </c>
      <c r="T421" s="2">
        <v>409131</v>
      </c>
      <c r="U421" s="2">
        <v>316838</v>
      </c>
      <c r="V421" s="2">
        <v>0</v>
      </c>
      <c r="W421" s="2">
        <v>0</v>
      </c>
      <c r="X421" s="2">
        <v>0</v>
      </c>
      <c r="Y421" s="2" t="s">
        <v>148</v>
      </c>
      <c r="Z421" s="12">
        <f>SUMIF(Table1[product],Table1[[#This Row],[product]],Table1[loan_amount])</f>
        <v>74897600</v>
      </c>
      <c r="AA421" s="15">
        <f>SUMIF(Table1[region],Table1[[#This Row],[region]],Table1[current_balance])</f>
        <v>83297251</v>
      </c>
      <c r="AB421" s="2">
        <f>COUNTIF(Table1[loan_status],Table1[[#This Row],[loan_status]])</f>
        <v>301</v>
      </c>
      <c r="AC421" s="2">
        <f>COUNTIF(Table1[default_flag],1)/ROWS(Table1[loan_id])</f>
        <v>2.5999999999999999E-2</v>
      </c>
      <c r="AD421" s="2">
        <f>COUNTIFS(Table1[region],Table1[[#This Row],[region]],Table1[default_flag],1)/COUNTIF(Table1[region],Table1[[#This Row],[region]])</f>
        <v>3.1914893617021274E-2</v>
      </c>
      <c r="AE421" s="2">
        <f>COUNTIFS(Table1[channel],Table1[[#This Row],[channel]],Table1[prepayment_flag],1)/COUNTIF(Table1[channel],Table1[[#This Row],[channel]])</f>
        <v>7.1090047393364927E-2</v>
      </c>
      <c r="AF421" s="2">
        <f>AVERAGEIFS(Table1[interest_rate_pct],Table1[product],Table1[[#This Row],[product]],Table1[risk_band],Table1[[#This Row],[risk_band]])</f>
        <v>20.962592592592593</v>
      </c>
      <c r="AG421" s="2" t="str" cm="1">
        <f t="array" ref="AG421">_xlfn.IFS(Table1[[#This Row],[dti_ratio]] &lt; 0.2, " less than 0.2", Table1[[#This Row],[dti_ratio]] &lt; 0.3, "0.2 - 0.3", Table1[[#This Row],[dti_ratio]] &lt;= 0.5, "0.35 - 0.5", Table1[[#This Row],[dti_ratio]] &gt; 0.5, "greater than 0.5")</f>
        <v>greater than 0.5</v>
      </c>
      <c r="AH421" s="2">
        <f>COUNTIF(Table1[DTI band],Table1[[#This Row],[DTI band]])</f>
        <v>32</v>
      </c>
      <c r="AI421" s="2" t="str" cm="1">
        <f t="array" ref="AI421">_xlfn.IFS(Table1[[#This Row],[ltv_ratio]] &lt; 0.6, "less than 0.6 -less risky", Table1[[#This Row],[ltv_ratio]]  &lt;= 0.8, "0.6 - 0.8 -medium risky",Table1[[#This Row],[ltv_ratio]] &gt; 0.8, "greater than 0.8 -highly risky")</f>
        <v>0.6 - 0.8 -medium risky</v>
      </c>
      <c r="AJ421" s="2">
        <f>COUNTIF(Table1[LTV band],Table1[[#This Row],[LTV band]])</f>
        <v>302</v>
      </c>
      <c r="AK421" s="2">
        <f>COUNTIFS(Table1[count_loan_perband],Table1[[#This Row],[count_loan_perband]],Table1[default_flag],1)/COUNTIF(Table1[count_loan_perband],Table1[[#This Row],[count_loan_perband]])</f>
        <v>3.6423841059602648E-2</v>
      </c>
      <c r="AL421" s="2" t="str" cm="1">
        <f t="array" ref="AL421">_xlfn.IFS(Table1[[#This Row],[loan_amount]] &lt; 900000, "lower size (&lt; 9L)", Table1[[#This Row],[loan_amount]] &lt;=3300000, "medium size (&lt;=33L)", Table1[[#This Row],[loan_amount]] &gt; 3300000, "larger size (&gt; 33L)")</f>
        <v>lower size (&lt; 9L)</v>
      </c>
      <c r="AM421" s="2">
        <f>IF(Table1[[#This Row],[dpd]] &gt;=30,1,0)</f>
        <v>0</v>
      </c>
      <c r="AN421" s="2">
        <f>COUNTIFS(Table1[Loan size],Table1[[#This Row],[Loan size]],Table1[dpd flag],1)/COUNTIF(Table1[Loan size],Table1[[#This Row],[Loan size]])</f>
        <v>0.13934426229508196</v>
      </c>
      <c r="AO421" s="2" t="str">
        <f>IF(OR(Table1[[#This Row],[credit_score]] &lt; 600, Table1[ [#This Row],[dti_ratio] ] &gt; 0.5, Table1[[#This Row],[dpd]] &gt;=30), "high risk", " not riskY")</f>
        <v>high risk</v>
      </c>
      <c r="AP421" s="26">
        <f>EOMONTH(Table1[[#This Row],[origination_date]],0)</f>
        <v>45260</v>
      </c>
      <c r="AQ421" s="2">
        <f>SUMIFS(Table1[loan_amount],Table1[origination month],Table1[[#This Row],[origination month]])</f>
        <v>5279700</v>
      </c>
      <c r="AR421" s="2">
        <f>AVERAGEIFS(Table1[months_on_book],Table1[product],Table1[[#This Row],[product]])</f>
        <v>21.092024539877301</v>
      </c>
      <c r="AS421" s="2" t="str">
        <f ca="1">IF(EDATE(Table1[[#This Row],[origination_date]],6) &gt;= TODAY(), "New Loan", "Old Loan")</f>
        <v>Old Loan</v>
      </c>
      <c r="AT421" s="2" t="str">
        <f>"Q"&amp;ROUNDUP(MONTH(Table1[[#This Row],[origination_date]])/3,0)&amp;YEAR(Table1[[#This Row],[origination_date]])</f>
        <v>Q42023</v>
      </c>
      <c r="AU421" s="2">
        <f>SUMIFS(Table1[loan_amount],Table1[quarter],Table1[[#This Row],[quarter]])</f>
        <v>58386700</v>
      </c>
      <c r="AV421" s="34" t="str">
        <f>_xlfn.TEXTJOIN("|",TRUE,Table1[[#This Row],[loan_id]:[loan_status]])</f>
        <v>L55569693|C6727675|45243|Personal Loan|Online|East|Salaried|60|614100|21.86|16912|1970836|630|D|0.52|0.66|0|25|409131|316838|0|0|0|Active</v>
      </c>
      <c r="AW421" s="42">
        <f>YEAR(Loan_Table[ [#This Row],[origination_date] ])</f>
        <v>2023</v>
      </c>
    </row>
    <row r="422" spans="2:49" ht="18" customHeight="1">
      <c r="B422" s="5" t="s">
        <v>964</v>
      </c>
      <c r="C422" s="2" t="s">
        <v>965</v>
      </c>
      <c r="D422" s="3">
        <v>45288</v>
      </c>
      <c r="E422" s="2" t="s">
        <v>169</v>
      </c>
      <c r="F422" s="2" t="s">
        <v>132</v>
      </c>
      <c r="G422" s="2" t="s">
        <v>151</v>
      </c>
      <c r="H422" s="2" t="s">
        <v>134</v>
      </c>
      <c r="I422" s="2">
        <v>120</v>
      </c>
      <c r="J422" s="2">
        <v>5751700</v>
      </c>
      <c r="K422" s="2">
        <v>12.79</v>
      </c>
      <c r="L422" s="2">
        <v>85168</v>
      </c>
      <c r="M422" s="2">
        <v>1281731</v>
      </c>
      <c r="N422" s="2">
        <v>658</v>
      </c>
      <c r="O422" s="2" t="s">
        <v>140</v>
      </c>
      <c r="P422" s="2">
        <v>0.49</v>
      </c>
      <c r="Q422" s="2">
        <v>0.82</v>
      </c>
      <c r="R422" s="2">
        <v>7029300</v>
      </c>
      <c r="S422" s="2">
        <v>24</v>
      </c>
      <c r="T422" s="2">
        <v>2083842</v>
      </c>
      <c r="U422" s="2">
        <v>4256372</v>
      </c>
      <c r="V422" s="2">
        <v>0</v>
      </c>
      <c r="W422" s="2">
        <v>0</v>
      </c>
      <c r="X422" s="2">
        <v>0</v>
      </c>
      <c r="Y422" s="2" t="s">
        <v>148</v>
      </c>
      <c r="Z422" s="12">
        <f>SUMIF(Table1[product],Table1[[#This Row],[product]],Table1[loan_amount])</f>
        <v>403369500</v>
      </c>
      <c r="AA422" s="15">
        <f>SUMIF(Table1[region],Table1[[#This Row],[region]],Table1[current_balance])</f>
        <v>105779369</v>
      </c>
      <c r="AB422" s="2">
        <f>COUNTIF(Table1[loan_status],Table1[[#This Row],[loan_status]])</f>
        <v>301</v>
      </c>
      <c r="AC422" s="2">
        <f>COUNTIF(Table1[default_flag],1)/ROWS(Table1[loan_id])</f>
        <v>2.5999999999999999E-2</v>
      </c>
      <c r="AD422" s="2">
        <f>COUNTIFS(Table1[region],Table1[[#This Row],[region]],Table1[default_flag],1)/COUNTIF(Table1[region],Table1[[#This Row],[region]])</f>
        <v>2.6548672566371681E-2</v>
      </c>
      <c r="AE422" s="2">
        <f>COUNTIFS(Table1[channel],Table1[[#This Row],[channel]],Table1[prepayment_flag],1)/COUNTIF(Table1[channel],Table1[[#This Row],[channel]])</f>
        <v>7.1090047393364927E-2</v>
      </c>
      <c r="AF422" s="2">
        <f>AVERAGEIFS(Table1[interest_rate_pct],Table1[product],Table1[[#This Row],[product]],Table1[risk_band],Table1[[#This Row],[risk_band]])</f>
        <v>11.719736842105268</v>
      </c>
      <c r="AG422" s="2" t="str" cm="1">
        <f t="array" ref="AG422">_xlfn.IFS(Table1[[#This Row],[dti_ratio]] &lt; 0.2, " less than 0.2", Table1[[#This Row],[dti_ratio]] &lt; 0.3, "0.2 - 0.3", Table1[[#This Row],[dti_ratio]] &lt;= 0.5, "0.35 - 0.5", Table1[[#This Row],[dti_ratio]] &gt; 0.5, "greater than 0.5")</f>
        <v>0.35 - 0.5</v>
      </c>
      <c r="AH422" s="2">
        <f>COUNTIF(Table1[DTI band],Table1[[#This Row],[DTI band]])</f>
        <v>260</v>
      </c>
      <c r="AI422" s="2" t="str" cm="1">
        <f t="array" ref="AI422">_xlfn.IFS(Table1[[#This Row],[ltv_ratio]] &lt; 0.6, "less than 0.6 -less risky", Table1[[#This Row],[ltv_ratio]]  &lt;= 0.8, "0.6 - 0.8 -medium risky",Table1[[#This Row],[ltv_ratio]] &gt; 0.8, "greater than 0.8 -highly risky")</f>
        <v>greater than 0.8 -highly risky</v>
      </c>
      <c r="AJ422" s="2">
        <f>COUNTIF(Table1[LTV band],Table1[[#This Row],[LTV band]])</f>
        <v>141</v>
      </c>
      <c r="AK422" s="2">
        <f>COUNTIFS(Table1[count_loan_perband],Table1[[#This Row],[count_loan_perband]],Table1[default_flag],1)/COUNTIF(Table1[count_loan_perband],Table1[[#This Row],[count_loan_perband]])</f>
        <v>1.4184397163120567E-2</v>
      </c>
      <c r="AL422" s="2" t="str" cm="1">
        <f t="array" ref="AL422">_xlfn.IFS(Table1[[#This Row],[loan_amount]] &lt; 900000, "lower size (&lt; 9L)", Table1[[#This Row],[loan_amount]] &lt;=3300000, "medium size (&lt;=33L)", Table1[[#This Row],[loan_amount]] &gt; 3300000, "larger size (&gt; 33L)")</f>
        <v>larger size (&gt; 33L)</v>
      </c>
      <c r="AM422" s="2">
        <f>IF(Table1[[#This Row],[dpd]] &gt;=30,1,0)</f>
        <v>0</v>
      </c>
      <c r="AN422" s="2">
        <f>COUNTIFS(Table1[Loan size],Table1[[#This Row],[Loan size]],Table1[dpd flag],1)/COUNTIF(Table1[Loan size],Table1[[#This Row],[Loan size]])</f>
        <v>0.16250000000000001</v>
      </c>
      <c r="AO422" s="2" t="str">
        <f>IF(OR(Table1[[#This Row],[credit_score]] &lt; 600, Table1[ [#This Row],[dti_ratio] ] &gt; 0.5, Table1[[#This Row],[dpd]] &gt;=30), "high risk", " not riskY")</f>
        <v xml:space="preserve"> not riskY</v>
      </c>
      <c r="AP422" s="26">
        <f>EOMONTH(Table1[[#This Row],[origination_date]],0)</f>
        <v>45291</v>
      </c>
      <c r="AQ422" s="2">
        <f>SUMIFS(Table1[loan_amount],Table1[origination month],Table1[[#This Row],[origination month]])</f>
        <v>28085400</v>
      </c>
      <c r="AR422" s="2">
        <f>AVERAGEIFS(Table1[months_on_book],Table1[product],Table1[[#This Row],[product]])</f>
        <v>20.516129032258064</v>
      </c>
      <c r="AS422" s="2" t="str">
        <f ca="1">IF(EDATE(Table1[[#This Row],[origination_date]],6) &gt;= TODAY(), "New Loan", "Old Loan")</f>
        <v>Old Loan</v>
      </c>
      <c r="AT422" s="2" t="str">
        <f>"Q"&amp;ROUNDUP(MONTH(Table1[[#This Row],[origination_date]])/3,0)&amp;YEAR(Table1[[#This Row],[origination_date]])</f>
        <v>Q42023</v>
      </c>
      <c r="AU422" s="2">
        <f>SUMIFS(Table1[loan_amount],Table1[quarter],Table1[[#This Row],[quarter]])</f>
        <v>58386700</v>
      </c>
      <c r="AV422" s="34" t="str">
        <f>_xlfn.TEXTJOIN("|",TRUE,Table1[[#This Row],[loan_id]:[loan_status]])</f>
        <v>L50111873|C8227911|45288|Home Loan|Online|North|Salaried|120|5751700|12.79|85168|1281731|658|C|0.49|0.82|7029300|24|2083842|4256372|0|0|0|Active</v>
      </c>
      <c r="AW422" s="42">
        <f>YEAR(Loan_Table[ [#This Row],[origination_date] ])</f>
        <v>2023</v>
      </c>
    </row>
    <row r="423" spans="2:49" ht="18" customHeight="1">
      <c r="B423" s="5" t="s">
        <v>966</v>
      </c>
      <c r="C423" s="2" t="s">
        <v>967</v>
      </c>
      <c r="D423" s="3">
        <v>45288</v>
      </c>
      <c r="E423" s="2" t="s">
        <v>131</v>
      </c>
      <c r="F423" s="2" t="s">
        <v>144</v>
      </c>
      <c r="G423" s="2" t="s">
        <v>145</v>
      </c>
      <c r="H423" s="2" t="s">
        <v>152</v>
      </c>
      <c r="I423" s="2">
        <v>36</v>
      </c>
      <c r="J423" s="2">
        <v>554700</v>
      </c>
      <c r="K423" s="2">
        <v>18.18</v>
      </c>
      <c r="L423" s="2">
        <v>20104</v>
      </c>
      <c r="M423" s="2">
        <v>1269735</v>
      </c>
      <c r="N423" s="2">
        <v>697</v>
      </c>
      <c r="O423" s="2" t="s">
        <v>140</v>
      </c>
      <c r="P423" s="2">
        <v>0.45</v>
      </c>
      <c r="Q423" s="2">
        <v>0.79</v>
      </c>
      <c r="R423" s="2">
        <v>0</v>
      </c>
      <c r="S423" s="2">
        <v>24</v>
      </c>
      <c r="T423" s="2">
        <v>469622</v>
      </c>
      <c r="U423" s="2">
        <v>165754</v>
      </c>
      <c r="V423" s="2">
        <v>0</v>
      </c>
      <c r="W423" s="2">
        <v>0</v>
      </c>
      <c r="X423" s="2">
        <v>0</v>
      </c>
      <c r="Y423" s="2" t="s">
        <v>148</v>
      </c>
      <c r="Z423" s="12">
        <f>SUMIF(Table1[product],Table1[[#This Row],[product]],Table1[loan_amount])</f>
        <v>74897600</v>
      </c>
      <c r="AA423" s="15">
        <f>SUMIF(Table1[region],Table1[[#This Row],[region]],Table1[current_balance])</f>
        <v>98928695</v>
      </c>
      <c r="AB423" s="2">
        <f>COUNTIF(Table1[loan_status],Table1[[#This Row],[loan_status]])</f>
        <v>301</v>
      </c>
      <c r="AC423" s="2">
        <f>COUNTIF(Table1[default_flag],1)/ROWS(Table1[loan_id])</f>
        <v>2.5999999999999999E-2</v>
      </c>
      <c r="AD423" s="2">
        <f>COUNTIFS(Table1[region],Table1[[#This Row],[region]],Table1[default_flag],1)/COUNTIF(Table1[region],Table1[[#This Row],[region]])</f>
        <v>2.8571428571428571E-2</v>
      </c>
      <c r="AE423" s="2">
        <f>COUNTIFS(Table1[channel],Table1[[#This Row],[channel]],Table1[prepayment_flag],1)/COUNTIF(Table1[channel],Table1[[#This Row],[channel]])</f>
        <v>5.8201058201058198E-2</v>
      </c>
      <c r="AF423" s="2">
        <f>AVERAGEIFS(Table1[interest_rate_pct],Table1[product],Table1[[#This Row],[product]],Table1[risk_band],Table1[[#This Row],[risk_band]])</f>
        <v>18.603181818181817</v>
      </c>
      <c r="AG423" s="2" t="str" cm="1">
        <f t="array" ref="AG423">_xlfn.IFS(Table1[[#This Row],[dti_ratio]] &lt; 0.2, " less than 0.2", Table1[[#This Row],[dti_ratio]] &lt; 0.3, "0.2 - 0.3", Table1[[#This Row],[dti_ratio]] &lt;= 0.5, "0.35 - 0.5", Table1[[#This Row],[dti_ratio]] &gt; 0.5, "greater than 0.5")</f>
        <v>0.35 - 0.5</v>
      </c>
      <c r="AH423" s="2">
        <f>COUNTIF(Table1[DTI band],Table1[[#This Row],[DTI band]])</f>
        <v>260</v>
      </c>
      <c r="AI423" s="2" t="str" cm="1">
        <f t="array" ref="AI423">_xlfn.IFS(Table1[[#This Row],[ltv_ratio]] &lt; 0.6, "less than 0.6 -less risky", Table1[[#This Row],[ltv_ratio]]  &lt;= 0.8, "0.6 - 0.8 -medium risky",Table1[[#This Row],[ltv_ratio]] &gt; 0.8, "greater than 0.8 -highly risky")</f>
        <v>0.6 - 0.8 -medium risky</v>
      </c>
      <c r="AJ423" s="2">
        <f>COUNTIF(Table1[LTV band],Table1[[#This Row],[LTV band]])</f>
        <v>302</v>
      </c>
      <c r="AK423" s="2">
        <f>COUNTIFS(Table1[count_loan_perband],Table1[[#This Row],[count_loan_perband]],Table1[default_flag],1)/COUNTIF(Table1[count_loan_perband],Table1[[#This Row],[count_loan_perband]])</f>
        <v>3.6423841059602648E-2</v>
      </c>
      <c r="AL423" s="2" t="str" cm="1">
        <f t="array" ref="AL423">_xlfn.IFS(Table1[[#This Row],[loan_amount]] &lt; 900000, "lower size (&lt; 9L)", Table1[[#This Row],[loan_amount]] &lt;=3300000, "medium size (&lt;=33L)", Table1[[#This Row],[loan_amount]] &gt; 3300000, "larger size (&gt; 33L)")</f>
        <v>lower size (&lt; 9L)</v>
      </c>
      <c r="AM423" s="2">
        <f>IF(Table1[[#This Row],[dpd]] &gt;=30,1,0)</f>
        <v>0</v>
      </c>
      <c r="AN423" s="2">
        <f>COUNTIFS(Table1[Loan size],Table1[[#This Row],[Loan size]],Table1[dpd flag],1)/COUNTIF(Table1[Loan size],Table1[[#This Row],[Loan size]])</f>
        <v>0.13934426229508196</v>
      </c>
      <c r="AO423" s="2" t="str">
        <f>IF(OR(Table1[[#This Row],[credit_score]] &lt; 600, Table1[ [#This Row],[dti_ratio] ] &gt; 0.5, Table1[[#This Row],[dpd]] &gt;=30), "high risk", " not riskY")</f>
        <v xml:space="preserve"> not riskY</v>
      </c>
      <c r="AP423" s="26">
        <f>EOMONTH(Table1[[#This Row],[origination_date]],0)</f>
        <v>45291</v>
      </c>
      <c r="AQ423" s="2">
        <f>SUMIFS(Table1[loan_amount],Table1[origination month],Table1[[#This Row],[origination month]])</f>
        <v>28085400</v>
      </c>
      <c r="AR423" s="2">
        <f>AVERAGEIFS(Table1[months_on_book],Table1[product],Table1[[#This Row],[product]])</f>
        <v>21.092024539877301</v>
      </c>
      <c r="AS423" s="2" t="str">
        <f ca="1">IF(EDATE(Table1[[#This Row],[origination_date]],6) &gt;= TODAY(), "New Loan", "Old Loan")</f>
        <v>Old Loan</v>
      </c>
      <c r="AT423" s="2" t="str">
        <f>"Q"&amp;ROUNDUP(MONTH(Table1[[#This Row],[origination_date]])/3,0)&amp;YEAR(Table1[[#This Row],[origination_date]])</f>
        <v>Q42023</v>
      </c>
      <c r="AU423" s="2">
        <f>SUMIFS(Table1[loan_amount],Table1[quarter],Table1[[#This Row],[quarter]])</f>
        <v>58386700</v>
      </c>
      <c r="AV423" s="34" t="str">
        <f>_xlfn.TEXTJOIN("|",TRUE,Table1[[#This Row],[loan_id]:[loan_status]])</f>
        <v>L64541423|C8086889|45288|Personal Loan|Branch|Central|Self-Employed|36|554700|18.18|20104|1269735|697|C|0.45|0.79|0|24|469622|165754|0|0|0|Active</v>
      </c>
      <c r="AW423" s="42">
        <f>YEAR(Loan_Table[ [#This Row],[origination_date] ])</f>
        <v>2023</v>
      </c>
    </row>
    <row r="424" spans="2:49" ht="18" customHeight="1">
      <c r="B424" s="5" t="s">
        <v>968</v>
      </c>
      <c r="C424" s="2" t="s">
        <v>969</v>
      </c>
      <c r="D424" s="3">
        <v>45205</v>
      </c>
      <c r="E424" s="2" t="s">
        <v>158</v>
      </c>
      <c r="F424" s="2" t="s">
        <v>144</v>
      </c>
      <c r="G424" s="2" t="s">
        <v>133</v>
      </c>
      <c r="H424" s="2" t="s">
        <v>146</v>
      </c>
      <c r="I424" s="2">
        <v>72</v>
      </c>
      <c r="J424" s="2">
        <v>4208100</v>
      </c>
      <c r="K424" s="2">
        <v>20.54</v>
      </c>
      <c r="L424" s="2">
        <v>102117</v>
      </c>
      <c r="M424" s="2">
        <v>750352</v>
      </c>
      <c r="N424" s="2">
        <v>565</v>
      </c>
      <c r="O424" s="2" t="s">
        <v>166</v>
      </c>
      <c r="P424" s="2">
        <v>0.45</v>
      </c>
      <c r="Q424" s="2">
        <v>0.79</v>
      </c>
      <c r="R424" s="2">
        <v>5318700</v>
      </c>
      <c r="S424" s="2">
        <v>26</v>
      </c>
      <c r="T424" s="2">
        <v>2320839</v>
      </c>
      <c r="U424" s="2">
        <v>2636359</v>
      </c>
      <c r="V424" s="2">
        <v>30</v>
      </c>
      <c r="W424" s="2">
        <v>0</v>
      </c>
      <c r="X424" s="2">
        <v>0</v>
      </c>
      <c r="Y424" s="2" t="s">
        <v>136</v>
      </c>
      <c r="Z424" s="12">
        <f>SUMIF(Table1[product],Table1[[#This Row],[product]],Table1[loan_amount])</f>
        <v>201475100</v>
      </c>
      <c r="AA424" s="15">
        <f>SUMIF(Table1[region],Table1[[#This Row],[region]],Table1[current_balance])</f>
        <v>94548000</v>
      </c>
      <c r="AB424" s="2">
        <f>COUNTIF(Table1[loan_status],Table1[[#This Row],[loan_status]])</f>
        <v>47</v>
      </c>
      <c r="AC424" s="2">
        <f>COUNTIF(Table1[default_flag],1)/ROWS(Table1[loan_id])</f>
        <v>2.5999999999999999E-2</v>
      </c>
      <c r="AD424" s="2">
        <f>COUNTIFS(Table1[region],Table1[[#This Row],[region]],Table1[default_flag],1)/COUNTIF(Table1[region],Table1[[#This Row],[region]])</f>
        <v>0</v>
      </c>
      <c r="AE424" s="2">
        <f>COUNTIFS(Table1[channel],Table1[[#This Row],[channel]],Table1[prepayment_flag],1)/COUNTIF(Table1[channel],Table1[[#This Row],[channel]])</f>
        <v>5.8201058201058198E-2</v>
      </c>
      <c r="AF424" s="2">
        <f>AVERAGEIFS(Table1[interest_rate_pct],Table1[product],Table1[[#This Row],[product]],Table1[risk_band],Table1[[#This Row],[risk_band]])</f>
        <v>20.521428571428572</v>
      </c>
      <c r="AG424" s="2" t="str" cm="1">
        <f t="array" ref="AG424">_xlfn.IFS(Table1[[#This Row],[dti_ratio]] &lt; 0.2, " less than 0.2", Table1[[#This Row],[dti_ratio]] &lt; 0.3, "0.2 - 0.3", Table1[[#This Row],[dti_ratio]] &lt;= 0.5, "0.35 - 0.5", Table1[[#This Row],[dti_ratio]] &gt; 0.5, "greater than 0.5")</f>
        <v>0.35 - 0.5</v>
      </c>
      <c r="AH424" s="2">
        <f>COUNTIF(Table1[DTI band],Table1[[#This Row],[DTI band]])</f>
        <v>260</v>
      </c>
      <c r="AI424" s="2" t="str" cm="1">
        <f t="array" ref="AI424">_xlfn.IFS(Table1[[#This Row],[ltv_ratio]] &lt; 0.6, "less than 0.6 -less risky", Table1[[#This Row],[ltv_ratio]]  &lt;= 0.8, "0.6 - 0.8 -medium risky",Table1[[#This Row],[ltv_ratio]] &gt; 0.8, "greater than 0.8 -highly risky")</f>
        <v>0.6 - 0.8 -medium risky</v>
      </c>
      <c r="AJ424" s="2">
        <f>COUNTIF(Table1[LTV band],Table1[[#This Row],[LTV band]])</f>
        <v>302</v>
      </c>
      <c r="AK424" s="2">
        <f>COUNTIFS(Table1[count_loan_perband],Table1[[#This Row],[count_loan_perband]],Table1[default_flag],1)/COUNTIF(Table1[count_loan_perband],Table1[[#This Row],[count_loan_perband]])</f>
        <v>3.6423841059602648E-2</v>
      </c>
      <c r="AL424" s="2" t="str" cm="1">
        <f t="array" ref="AL424">_xlfn.IFS(Table1[[#This Row],[loan_amount]] &lt; 900000, "lower size (&lt; 9L)", Table1[[#This Row],[loan_amount]] &lt;=3300000, "medium size (&lt;=33L)", Table1[[#This Row],[loan_amount]] &gt; 3300000, "larger size (&gt; 33L)")</f>
        <v>larger size (&gt; 33L)</v>
      </c>
      <c r="AM424" s="2">
        <f>IF(Table1[[#This Row],[dpd]] &gt;=30,1,0)</f>
        <v>1</v>
      </c>
      <c r="AN424" s="2">
        <f>COUNTIFS(Table1[Loan size],Table1[[#This Row],[Loan size]],Table1[dpd flag],1)/COUNTIF(Table1[Loan size],Table1[[#This Row],[Loan size]])</f>
        <v>0.16250000000000001</v>
      </c>
      <c r="AO424" s="2" t="str">
        <f>IF(OR(Table1[[#This Row],[credit_score]] &lt; 600, Table1[ [#This Row],[dti_ratio] ] &gt; 0.5, Table1[[#This Row],[dpd]] &gt;=30), "high risk", " not riskY")</f>
        <v>high risk</v>
      </c>
      <c r="AP424" s="26">
        <f>EOMONTH(Table1[[#This Row],[origination_date]],0)</f>
        <v>45230</v>
      </c>
      <c r="AQ424" s="2">
        <f>SUMIFS(Table1[loan_amount],Table1[origination month],Table1[[#This Row],[origination month]])</f>
        <v>25021600</v>
      </c>
      <c r="AR424" s="2">
        <f>AVERAGEIFS(Table1[months_on_book],Table1[product],Table1[[#This Row],[product]])</f>
        <v>19.091954022988507</v>
      </c>
      <c r="AS424" s="2" t="str">
        <f ca="1">IF(EDATE(Table1[[#This Row],[origination_date]],6) &gt;= TODAY(), "New Loan", "Old Loan")</f>
        <v>Old Loan</v>
      </c>
      <c r="AT424" s="2" t="str">
        <f>"Q"&amp;ROUNDUP(MONTH(Table1[[#This Row],[origination_date]])/3,0)&amp;YEAR(Table1[[#This Row],[origination_date]])</f>
        <v>Q42023</v>
      </c>
      <c r="AU424" s="2">
        <f>SUMIFS(Table1[loan_amount],Table1[quarter],Table1[[#This Row],[quarter]])</f>
        <v>58386700</v>
      </c>
      <c r="AV424" s="34" t="str">
        <f>_xlfn.TEXTJOIN("|",TRUE,Table1[[#This Row],[loan_id]:[loan_status]])</f>
        <v>L59936722|C3213248|45205|SME Loan|Branch|South|Contract|72|4208100|20.54|102117|750352|565|E|0.45|0.79|5318700|26|2320839|2636359|30|0|0|Delinquent</v>
      </c>
      <c r="AW424" s="42">
        <f>YEAR(Loan_Table[ [#This Row],[origination_date] ])</f>
        <v>2023</v>
      </c>
    </row>
    <row r="425" spans="2:49" ht="18" customHeight="1">
      <c r="B425" s="5" t="s">
        <v>970</v>
      </c>
      <c r="C425" s="2" t="s">
        <v>971</v>
      </c>
      <c r="D425" s="3">
        <v>45279</v>
      </c>
      <c r="E425" s="2" t="s">
        <v>131</v>
      </c>
      <c r="F425" s="2" t="s">
        <v>132</v>
      </c>
      <c r="G425" s="2" t="s">
        <v>151</v>
      </c>
      <c r="H425" s="2" t="s">
        <v>134</v>
      </c>
      <c r="I425" s="2">
        <v>120</v>
      </c>
      <c r="J425" s="2">
        <v>433600</v>
      </c>
      <c r="K425" s="2">
        <v>21.73</v>
      </c>
      <c r="L425" s="2">
        <v>8883</v>
      </c>
      <c r="M425" s="2">
        <v>857271</v>
      </c>
      <c r="N425" s="2">
        <v>611</v>
      </c>
      <c r="O425" s="2" t="s">
        <v>147</v>
      </c>
      <c r="P425" s="2">
        <v>0.44</v>
      </c>
      <c r="Q425" s="2">
        <v>0.87</v>
      </c>
      <c r="R425" s="2">
        <v>0</v>
      </c>
      <c r="S425" s="2">
        <v>24</v>
      </c>
      <c r="T425" s="2">
        <v>197583</v>
      </c>
      <c r="U425" s="2">
        <v>311394</v>
      </c>
      <c r="V425" s="2">
        <v>0</v>
      </c>
      <c r="W425" s="2">
        <v>0</v>
      </c>
      <c r="X425" s="2">
        <v>0</v>
      </c>
      <c r="Y425" s="2" t="s">
        <v>148</v>
      </c>
      <c r="Z425" s="12">
        <f>SUMIF(Table1[product],Table1[[#This Row],[product]],Table1[loan_amount])</f>
        <v>74897600</v>
      </c>
      <c r="AA425" s="15">
        <f>SUMIF(Table1[region],Table1[[#This Row],[region]],Table1[current_balance])</f>
        <v>105779369</v>
      </c>
      <c r="AB425" s="2">
        <f>COUNTIF(Table1[loan_status],Table1[[#This Row],[loan_status]])</f>
        <v>301</v>
      </c>
      <c r="AC425" s="2">
        <f>COUNTIF(Table1[default_flag],1)/ROWS(Table1[loan_id])</f>
        <v>2.5999999999999999E-2</v>
      </c>
      <c r="AD425" s="2">
        <f>COUNTIFS(Table1[region],Table1[[#This Row],[region]],Table1[default_flag],1)/COUNTIF(Table1[region],Table1[[#This Row],[region]])</f>
        <v>2.6548672566371681E-2</v>
      </c>
      <c r="AE425" s="2">
        <f>COUNTIFS(Table1[channel],Table1[[#This Row],[channel]],Table1[prepayment_flag],1)/COUNTIF(Table1[channel],Table1[[#This Row],[channel]])</f>
        <v>7.1090047393364927E-2</v>
      </c>
      <c r="AF425" s="2">
        <f>AVERAGEIFS(Table1[interest_rate_pct],Table1[product],Table1[[#This Row],[product]],Table1[risk_band],Table1[[#This Row],[risk_band]])</f>
        <v>20.962592592592593</v>
      </c>
      <c r="AG425" s="2" t="str" cm="1">
        <f t="array" ref="AG425">_xlfn.IFS(Table1[[#This Row],[dti_ratio]] &lt; 0.2, " less than 0.2", Table1[[#This Row],[dti_ratio]] &lt; 0.3, "0.2 - 0.3", Table1[[#This Row],[dti_ratio]] &lt;= 0.5, "0.35 - 0.5", Table1[[#This Row],[dti_ratio]] &gt; 0.5, "greater than 0.5")</f>
        <v>0.35 - 0.5</v>
      </c>
      <c r="AH425" s="2">
        <f>COUNTIF(Table1[DTI band],Table1[[#This Row],[DTI band]])</f>
        <v>260</v>
      </c>
      <c r="AI425" s="2" t="str" cm="1">
        <f t="array" ref="AI425">_xlfn.IFS(Table1[[#This Row],[ltv_ratio]] &lt; 0.6, "less than 0.6 -less risky", Table1[[#This Row],[ltv_ratio]]  &lt;= 0.8, "0.6 - 0.8 -medium risky",Table1[[#This Row],[ltv_ratio]] &gt; 0.8, "greater than 0.8 -highly risky")</f>
        <v>greater than 0.8 -highly risky</v>
      </c>
      <c r="AJ425" s="2">
        <f>COUNTIF(Table1[LTV band],Table1[[#This Row],[LTV band]])</f>
        <v>141</v>
      </c>
      <c r="AK425" s="2">
        <f>COUNTIFS(Table1[count_loan_perband],Table1[[#This Row],[count_loan_perband]],Table1[default_flag],1)/COUNTIF(Table1[count_loan_perband],Table1[[#This Row],[count_loan_perband]])</f>
        <v>1.4184397163120567E-2</v>
      </c>
      <c r="AL425" s="2" t="str" cm="1">
        <f t="array" ref="AL425">_xlfn.IFS(Table1[[#This Row],[loan_amount]] &lt; 900000, "lower size (&lt; 9L)", Table1[[#This Row],[loan_amount]] &lt;=3300000, "medium size (&lt;=33L)", Table1[[#This Row],[loan_amount]] &gt; 3300000, "larger size (&gt; 33L)")</f>
        <v>lower size (&lt; 9L)</v>
      </c>
      <c r="AM425" s="2">
        <f>IF(Table1[[#This Row],[dpd]] &gt;=30,1,0)</f>
        <v>0</v>
      </c>
      <c r="AN425" s="2">
        <f>COUNTIFS(Table1[Loan size],Table1[[#This Row],[Loan size]],Table1[dpd flag],1)/COUNTIF(Table1[Loan size],Table1[[#This Row],[Loan size]])</f>
        <v>0.13934426229508196</v>
      </c>
      <c r="AO425" s="2" t="str">
        <f>IF(OR(Table1[[#This Row],[credit_score]] &lt; 600, Table1[ [#This Row],[dti_ratio] ] &gt; 0.5, Table1[[#This Row],[dpd]] &gt;=30), "high risk", " not riskY")</f>
        <v xml:space="preserve"> not riskY</v>
      </c>
      <c r="AP425" s="26">
        <f>EOMONTH(Table1[[#This Row],[origination_date]],0)</f>
        <v>45291</v>
      </c>
      <c r="AQ425" s="2">
        <f>SUMIFS(Table1[loan_amount],Table1[origination month],Table1[[#This Row],[origination month]])</f>
        <v>28085400</v>
      </c>
      <c r="AR425" s="2">
        <f>AVERAGEIFS(Table1[months_on_book],Table1[product],Table1[[#This Row],[product]])</f>
        <v>21.092024539877301</v>
      </c>
      <c r="AS425" s="2" t="str">
        <f ca="1">IF(EDATE(Table1[[#This Row],[origination_date]],6) &gt;= TODAY(), "New Loan", "Old Loan")</f>
        <v>Old Loan</v>
      </c>
      <c r="AT425" s="2" t="str">
        <f>"Q"&amp;ROUNDUP(MONTH(Table1[[#This Row],[origination_date]])/3,0)&amp;YEAR(Table1[[#This Row],[origination_date]])</f>
        <v>Q42023</v>
      </c>
      <c r="AU425" s="2">
        <f>SUMIFS(Table1[loan_amount],Table1[quarter],Table1[[#This Row],[quarter]])</f>
        <v>58386700</v>
      </c>
      <c r="AV425" s="34" t="str">
        <f>_xlfn.TEXTJOIN("|",TRUE,Table1[[#This Row],[loan_id]:[loan_status]])</f>
        <v>L71012711|C8453960|45279|Personal Loan|Online|North|Salaried|120|433600|21.73|8883|857271|611|D|0.44|0.87|0|24|197583|311394|0|0|0|Active</v>
      </c>
      <c r="AW425" s="42">
        <f>YEAR(Loan_Table[ [#This Row],[origination_date] ])</f>
        <v>2023</v>
      </c>
    </row>
    <row r="426" spans="2:49" ht="18" customHeight="1">
      <c r="B426" s="5" t="s">
        <v>972</v>
      </c>
      <c r="C426" s="2" t="s">
        <v>973</v>
      </c>
      <c r="D426" s="3">
        <v>45275</v>
      </c>
      <c r="E426" s="2" t="s">
        <v>169</v>
      </c>
      <c r="F426" s="2" t="s">
        <v>159</v>
      </c>
      <c r="G426" s="2" t="s">
        <v>170</v>
      </c>
      <c r="H426" s="2" t="s">
        <v>146</v>
      </c>
      <c r="I426" s="2">
        <v>36</v>
      </c>
      <c r="J426" s="2">
        <v>4166000</v>
      </c>
      <c r="K426" s="2">
        <v>10.45</v>
      </c>
      <c r="L426" s="2">
        <v>135307</v>
      </c>
      <c r="M426" s="2">
        <v>585877</v>
      </c>
      <c r="N426" s="2">
        <v>693</v>
      </c>
      <c r="O426" s="2" t="s">
        <v>140</v>
      </c>
      <c r="P426" s="2">
        <v>0.42</v>
      </c>
      <c r="Q426" s="2">
        <v>0.84</v>
      </c>
      <c r="R426" s="2">
        <v>4954500</v>
      </c>
      <c r="S426" s="2">
        <v>24</v>
      </c>
      <c r="T426" s="2">
        <v>3036603</v>
      </c>
      <c r="U426" s="2">
        <v>1477675</v>
      </c>
      <c r="V426" s="2">
        <v>45</v>
      </c>
      <c r="W426" s="2">
        <v>0</v>
      </c>
      <c r="X426" s="2">
        <v>0</v>
      </c>
      <c r="Y426" s="2" t="s">
        <v>136</v>
      </c>
      <c r="Z426" s="12">
        <f>SUMIF(Table1[product],Table1[[#This Row],[product]],Table1[loan_amount])</f>
        <v>403369500</v>
      </c>
      <c r="AA426" s="15">
        <f>SUMIF(Table1[region],Table1[[#This Row],[region]],Table1[current_balance])</f>
        <v>83297251</v>
      </c>
      <c r="AB426" s="2">
        <f>COUNTIF(Table1[loan_status],Table1[[#This Row],[loan_status]])</f>
        <v>47</v>
      </c>
      <c r="AC426" s="2">
        <f>COUNTIF(Table1[default_flag],1)/ROWS(Table1[loan_id])</f>
        <v>2.5999999999999999E-2</v>
      </c>
      <c r="AD426" s="2">
        <f>COUNTIFS(Table1[region],Table1[[#This Row],[region]],Table1[default_flag],1)/COUNTIF(Table1[region],Table1[[#This Row],[region]])</f>
        <v>3.1914893617021274E-2</v>
      </c>
      <c r="AE426" s="2">
        <f>COUNTIFS(Table1[channel],Table1[[#This Row],[channel]],Table1[prepayment_flag],1)/COUNTIF(Table1[channel],Table1[[#This Row],[channel]])</f>
        <v>0.1</v>
      </c>
      <c r="AF426" s="2">
        <f>AVERAGEIFS(Table1[interest_rate_pct],Table1[product],Table1[[#This Row],[product]],Table1[risk_band],Table1[[#This Row],[risk_band]])</f>
        <v>11.719736842105268</v>
      </c>
      <c r="AG426" s="2" t="str" cm="1">
        <f t="array" ref="AG426">_xlfn.IFS(Table1[[#This Row],[dti_ratio]] &lt; 0.2, " less than 0.2", Table1[[#This Row],[dti_ratio]] &lt; 0.3, "0.2 - 0.3", Table1[[#This Row],[dti_ratio]] &lt;= 0.5, "0.35 - 0.5", Table1[[#This Row],[dti_ratio]] &gt; 0.5, "greater than 0.5")</f>
        <v>0.35 - 0.5</v>
      </c>
      <c r="AH426" s="2">
        <f>COUNTIF(Table1[DTI band],Table1[[#This Row],[DTI band]])</f>
        <v>260</v>
      </c>
      <c r="AI426" s="2" t="str" cm="1">
        <f t="array" ref="AI426">_xlfn.IFS(Table1[[#This Row],[ltv_ratio]] &lt; 0.6, "less than 0.6 -less risky", Table1[[#This Row],[ltv_ratio]]  &lt;= 0.8, "0.6 - 0.8 -medium risky",Table1[[#This Row],[ltv_ratio]] &gt; 0.8, "greater than 0.8 -highly risky")</f>
        <v>greater than 0.8 -highly risky</v>
      </c>
      <c r="AJ426" s="2">
        <f>COUNTIF(Table1[LTV band],Table1[[#This Row],[LTV band]])</f>
        <v>141</v>
      </c>
      <c r="AK426" s="2">
        <f>COUNTIFS(Table1[count_loan_perband],Table1[[#This Row],[count_loan_perband]],Table1[default_flag],1)/COUNTIF(Table1[count_loan_perband],Table1[[#This Row],[count_loan_perband]])</f>
        <v>1.4184397163120567E-2</v>
      </c>
      <c r="AL426" s="2" t="str" cm="1">
        <f t="array" ref="AL426">_xlfn.IFS(Table1[[#This Row],[loan_amount]] &lt; 900000, "lower size (&lt; 9L)", Table1[[#This Row],[loan_amount]] &lt;=3300000, "medium size (&lt;=33L)", Table1[[#This Row],[loan_amount]] &gt; 3300000, "larger size (&gt; 33L)")</f>
        <v>larger size (&gt; 33L)</v>
      </c>
      <c r="AM426" s="2">
        <f>IF(Table1[[#This Row],[dpd]] &gt;=30,1,0)</f>
        <v>1</v>
      </c>
      <c r="AN426" s="2">
        <f>COUNTIFS(Table1[Loan size],Table1[[#This Row],[Loan size]],Table1[dpd flag],1)/COUNTIF(Table1[Loan size],Table1[[#This Row],[Loan size]])</f>
        <v>0.16250000000000001</v>
      </c>
      <c r="AO426" s="2" t="str">
        <f>IF(OR(Table1[[#This Row],[credit_score]] &lt; 600, Table1[ [#This Row],[dti_ratio] ] &gt; 0.5, Table1[[#This Row],[dpd]] &gt;=30), "high risk", " not riskY")</f>
        <v>high risk</v>
      </c>
      <c r="AP426" s="26">
        <f>EOMONTH(Table1[[#This Row],[origination_date]],0)</f>
        <v>45291</v>
      </c>
      <c r="AQ426" s="2">
        <f>SUMIFS(Table1[loan_amount],Table1[origination month],Table1[[#This Row],[origination month]])</f>
        <v>28085400</v>
      </c>
      <c r="AR426" s="2">
        <f>AVERAGEIFS(Table1[months_on_book],Table1[product],Table1[[#This Row],[product]])</f>
        <v>20.516129032258064</v>
      </c>
      <c r="AS426" s="2" t="str">
        <f ca="1">IF(EDATE(Table1[[#This Row],[origination_date]],6) &gt;= TODAY(), "New Loan", "Old Loan")</f>
        <v>Old Loan</v>
      </c>
      <c r="AT426" s="2" t="str">
        <f>"Q"&amp;ROUNDUP(MONTH(Table1[[#This Row],[origination_date]])/3,0)&amp;YEAR(Table1[[#This Row],[origination_date]])</f>
        <v>Q42023</v>
      </c>
      <c r="AU426" s="2">
        <f>SUMIFS(Table1[loan_amount],Table1[quarter],Table1[[#This Row],[quarter]])</f>
        <v>58386700</v>
      </c>
      <c r="AV426" s="34" t="str">
        <f>_xlfn.TEXTJOIN("|",TRUE,Table1[[#This Row],[loan_id]:[loan_status]])</f>
        <v>L99649621|C7614038|45275|Home Loan|Partner|East|Contract|36|4166000|10.45|135307|585877|693|C|0.42|0.84|4954500|24|3036603|1477675|45|0|0|Delinquent</v>
      </c>
      <c r="AW426" s="42">
        <f>YEAR(Loan_Table[ [#This Row],[origination_date] ])</f>
        <v>2023</v>
      </c>
    </row>
    <row r="427" spans="2:49" ht="18" customHeight="1">
      <c r="B427" s="5" t="s">
        <v>974</v>
      </c>
      <c r="C427" s="2" t="s">
        <v>975</v>
      </c>
      <c r="D427" s="3">
        <v>45282</v>
      </c>
      <c r="E427" s="2" t="s">
        <v>158</v>
      </c>
      <c r="F427" s="2" t="s">
        <v>132</v>
      </c>
      <c r="G427" s="2" t="s">
        <v>170</v>
      </c>
      <c r="H427" s="2" t="s">
        <v>152</v>
      </c>
      <c r="I427" s="2">
        <v>24</v>
      </c>
      <c r="J427" s="2">
        <v>1334600</v>
      </c>
      <c r="K427" s="2">
        <v>13.85</v>
      </c>
      <c r="L427" s="2">
        <v>63983</v>
      </c>
      <c r="M427" s="2">
        <v>758893</v>
      </c>
      <c r="N427" s="2">
        <v>739</v>
      </c>
      <c r="O427" s="2" t="s">
        <v>135</v>
      </c>
      <c r="P427" s="2">
        <v>0.4</v>
      </c>
      <c r="Q427" s="2">
        <v>1.05</v>
      </c>
      <c r="R427" s="2">
        <v>1271200</v>
      </c>
      <c r="S427" s="2">
        <v>24</v>
      </c>
      <c r="T427" s="2">
        <v>1553051</v>
      </c>
      <c r="U427" s="2">
        <v>0</v>
      </c>
      <c r="V427" s="2">
        <v>0</v>
      </c>
      <c r="W427" s="2">
        <v>0</v>
      </c>
      <c r="X427" s="2">
        <v>0</v>
      </c>
      <c r="Y427" s="2" t="s">
        <v>141</v>
      </c>
      <c r="Z427" s="12">
        <f>SUMIF(Table1[product],Table1[[#This Row],[product]],Table1[loan_amount])</f>
        <v>201475100</v>
      </c>
      <c r="AA427" s="15">
        <f>SUMIF(Table1[region],Table1[[#This Row],[region]],Table1[current_balance])</f>
        <v>83297251</v>
      </c>
      <c r="AB427" s="2">
        <f>COUNTIF(Table1[loan_status],Table1[[#This Row],[loan_status]])</f>
        <v>139</v>
      </c>
      <c r="AC427" s="2">
        <f>COUNTIF(Table1[default_flag],1)/ROWS(Table1[loan_id])</f>
        <v>2.5999999999999999E-2</v>
      </c>
      <c r="AD427" s="2">
        <f>COUNTIFS(Table1[region],Table1[[#This Row],[region]],Table1[default_flag],1)/COUNTIF(Table1[region],Table1[[#This Row],[region]])</f>
        <v>3.1914893617021274E-2</v>
      </c>
      <c r="AE427" s="2">
        <f>COUNTIFS(Table1[channel],Table1[[#This Row],[channel]],Table1[prepayment_flag],1)/COUNTIF(Table1[channel],Table1[[#This Row],[channel]])</f>
        <v>7.1090047393364927E-2</v>
      </c>
      <c r="AF427" s="2">
        <f>AVERAGEIFS(Table1[interest_rate_pct],Table1[product],Table1[[#This Row],[product]],Table1[risk_band],Table1[[#This Row],[risk_band]])</f>
        <v>13.042631578947367</v>
      </c>
      <c r="AG427" s="2" t="str" cm="1">
        <f t="array" ref="AG427">_xlfn.IFS(Table1[[#This Row],[dti_ratio]] &lt; 0.2, " less than 0.2", Table1[[#This Row],[dti_ratio]] &lt; 0.3, "0.2 - 0.3", Table1[[#This Row],[dti_ratio]] &lt;= 0.5, "0.35 - 0.5", Table1[[#This Row],[dti_ratio]] &gt; 0.5, "greater than 0.5")</f>
        <v>0.35 - 0.5</v>
      </c>
      <c r="AH427" s="2">
        <f>COUNTIF(Table1[DTI band],Table1[[#This Row],[DTI band]])</f>
        <v>260</v>
      </c>
      <c r="AI427" s="2" t="str" cm="1">
        <f t="array" ref="AI427">_xlfn.IFS(Table1[[#This Row],[ltv_ratio]] &lt; 0.6, "less than 0.6 -less risky", Table1[[#This Row],[ltv_ratio]]  &lt;= 0.8, "0.6 - 0.8 -medium risky",Table1[[#This Row],[ltv_ratio]] &gt; 0.8, "greater than 0.8 -highly risky")</f>
        <v>greater than 0.8 -highly risky</v>
      </c>
      <c r="AJ427" s="2">
        <f>COUNTIF(Table1[LTV band],Table1[[#This Row],[LTV band]])</f>
        <v>141</v>
      </c>
      <c r="AK427" s="2">
        <f>COUNTIFS(Table1[count_loan_perband],Table1[[#This Row],[count_loan_perband]],Table1[default_flag],1)/COUNTIF(Table1[count_loan_perband],Table1[[#This Row],[count_loan_perband]])</f>
        <v>1.4184397163120567E-2</v>
      </c>
      <c r="AL427" s="2" t="str" cm="1">
        <f t="array" ref="AL427">_xlfn.IFS(Table1[[#This Row],[loan_amount]] &lt; 900000, "lower size (&lt; 9L)", Table1[[#This Row],[loan_amount]] &lt;=3300000, "medium size (&lt;=33L)", Table1[[#This Row],[loan_amount]] &gt; 3300000, "larger size (&gt; 33L)")</f>
        <v>medium size (&lt;=33L)</v>
      </c>
      <c r="AM427" s="2">
        <f>IF(Table1[[#This Row],[dpd]] &gt;=30,1,0)</f>
        <v>0</v>
      </c>
      <c r="AN427" s="2">
        <f>COUNTIFS(Table1[Loan size],Table1[[#This Row],[Loan size]],Table1[dpd flag],1)/COUNTIF(Table1[Loan size],Table1[[#This Row],[Loan size]])</f>
        <v>0.15909090909090909</v>
      </c>
      <c r="AO427" s="2" t="str">
        <f>IF(OR(Table1[[#This Row],[credit_score]] &lt; 600, Table1[ [#This Row],[dti_ratio] ] &gt; 0.5, Table1[[#This Row],[dpd]] &gt;=30), "high risk", " not riskY")</f>
        <v xml:space="preserve"> not riskY</v>
      </c>
      <c r="AP427" s="26">
        <f>EOMONTH(Table1[[#This Row],[origination_date]],0)</f>
        <v>45291</v>
      </c>
      <c r="AQ427" s="2">
        <f>SUMIFS(Table1[loan_amount],Table1[origination month],Table1[[#This Row],[origination month]])</f>
        <v>28085400</v>
      </c>
      <c r="AR427" s="2">
        <f>AVERAGEIFS(Table1[months_on_book],Table1[product],Table1[[#This Row],[product]])</f>
        <v>19.091954022988507</v>
      </c>
      <c r="AS427" s="2" t="str">
        <f ca="1">IF(EDATE(Table1[[#This Row],[origination_date]],6) &gt;= TODAY(), "New Loan", "Old Loan")</f>
        <v>Old Loan</v>
      </c>
      <c r="AT427" s="2" t="str">
        <f>"Q"&amp;ROUNDUP(MONTH(Table1[[#This Row],[origination_date]])/3,0)&amp;YEAR(Table1[[#This Row],[origination_date]])</f>
        <v>Q42023</v>
      </c>
      <c r="AU427" s="2">
        <f>SUMIFS(Table1[loan_amount],Table1[quarter],Table1[[#This Row],[quarter]])</f>
        <v>58386700</v>
      </c>
      <c r="AV427" s="34" t="str">
        <f>_xlfn.TEXTJOIN("|",TRUE,Table1[[#This Row],[loan_id]:[loan_status]])</f>
        <v>L49499059|C3230556|45282|SME Loan|Online|East|Self-Employed|24|1334600|13.85|63983|758893|739|B|0.4|1.05|1271200|24|1553051|0|0|0|0|Closed</v>
      </c>
      <c r="AW427" s="42">
        <f>YEAR(Loan_Table[ [#This Row],[origination_date] ])</f>
        <v>2023</v>
      </c>
    </row>
    <row r="428" spans="2:49" ht="18" customHeight="1">
      <c r="B428" s="5" t="s">
        <v>976</v>
      </c>
      <c r="C428" s="2" t="s">
        <v>977</v>
      </c>
      <c r="D428" s="3">
        <v>45212</v>
      </c>
      <c r="E428" s="2" t="s">
        <v>158</v>
      </c>
      <c r="F428" s="2" t="s">
        <v>132</v>
      </c>
      <c r="G428" s="2" t="s">
        <v>133</v>
      </c>
      <c r="H428" s="2" t="s">
        <v>134</v>
      </c>
      <c r="I428" s="2">
        <v>12</v>
      </c>
      <c r="J428" s="2">
        <v>1443800</v>
      </c>
      <c r="K428" s="2">
        <v>13.38</v>
      </c>
      <c r="L428" s="2">
        <v>129214</v>
      </c>
      <c r="M428" s="2">
        <v>407725</v>
      </c>
      <c r="N428" s="2">
        <v>744</v>
      </c>
      <c r="O428" s="2" t="s">
        <v>135</v>
      </c>
      <c r="P428" s="2">
        <v>0.4</v>
      </c>
      <c r="Q428" s="2">
        <v>0.68</v>
      </c>
      <c r="R428" s="2">
        <v>2124900</v>
      </c>
      <c r="S428" s="2">
        <v>12</v>
      </c>
      <c r="T428" s="2">
        <v>1363582</v>
      </c>
      <c r="U428" s="2">
        <v>157490</v>
      </c>
      <c r="V428" s="2">
        <v>0</v>
      </c>
      <c r="W428" s="2">
        <v>0</v>
      </c>
      <c r="X428" s="2">
        <v>0</v>
      </c>
      <c r="Y428" s="2" t="s">
        <v>141</v>
      </c>
      <c r="Z428" s="12">
        <f>SUMIF(Table1[product],Table1[[#This Row],[product]],Table1[loan_amount])</f>
        <v>201475100</v>
      </c>
      <c r="AA428" s="15">
        <f>SUMIF(Table1[region],Table1[[#This Row],[region]],Table1[current_balance])</f>
        <v>94548000</v>
      </c>
      <c r="AB428" s="2">
        <f>COUNTIF(Table1[loan_status],Table1[[#This Row],[loan_status]])</f>
        <v>139</v>
      </c>
      <c r="AC428" s="2">
        <f>COUNTIF(Table1[default_flag],1)/ROWS(Table1[loan_id])</f>
        <v>2.5999999999999999E-2</v>
      </c>
      <c r="AD428" s="2">
        <f>COUNTIFS(Table1[region],Table1[[#This Row],[region]],Table1[default_flag],1)/COUNTIF(Table1[region],Table1[[#This Row],[region]])</f>
        <v>0</v>
      </c>
      <c r="AE428" s="2">
        <f>COUNTIFS(Table1[channel],Table1[[#This Row],[channel]],Table1[prepayment_flag],1)/COUNTIF(Table1[channel],Table1[[#This Row],[channel]])</f>
        <v>7.1090047393364927E-2</v>
      </c>
      <c r="AF428" s="2">
        <f>AVERAGEIFS(Table1[interest_rate_pct],Table1[product],Table1[[#This Row],[product]],Table1[risk_band],Table1[[#This Row],[risk_band]])</f>
        <v>13.042631578947367</v>
      </c>
      <c r="AG428" s="2" t="str" cm="1">
        <f t="array" ref="AG428">_xlfn.IFS(Table1[[#This Row],[dti_ratio]] &lt; 0.2, " less than 0.2", Table1[[#This Row],[dti_ratio]] &lt; 0.3, "0.2 - 0.3", Table1[[#This Row],[dti_ratio]] &lt;= 0.5, "0.35 - 0.5", Table1[[#This Row],[dti_ratio]] &gt; 0.5, "greater than 0.5")</f>
        <v>0.35 - 0.5</v>
      </c>
      <c r="AH428" s="2">
        <f>COUNTIF(Table1[DTI band],Table1[[#This Row],[DTI band]])</f>
        <v>260</v>
      </c>
      <c r="AI428" s="2" t="str" cm="1">
        <f t="array" ref="AI428">_xlfn.IFS(Table1[[#This Row],[ltv_ratio]] &lt; 0.6, "less than 0.6 -less risky", Table1[[#This Row],[ltv_ratio]]  &lt;= 0.8, "0.6 - 0.8 -medium risky",Table1[[#This Row],[ltv_ratio]] &gt; 0.8, "greater than 0.8 -highly risky")</f>
        <v>0.6 - 0.8 -medium risky</v>
      </c>
      <c r="AJ428" s="2">
        <f>COUNTIF(Table1[LTV band],Table1[[#This Row],[LTV band]])</f>
        <v>302</v>
      </c>
      <c r="AK428" s="2">
        <f>COUNTIFS(Table1[count_loan_perband],Table1[[#This Row],[count_loan_perband]],Table1[default_flag],1)/COUNTIF(Table1[count_loan_perband],Table1[[#This Row],[count_loan_perband]])</f>
        <v>3.6423841059602648E-2</v>
      </c>
      <c r="AL428" s="2" t="str" cm="1">
        <f t="array" ref="AL428">_xlfn.IFS(Table1[[#This Row],[loan_amount]] &lt; 900000, "lower size (&lt; 9L)", Table1[[#This Row],[loan_amount]] &lt;=3300000, "medium size (&lt;=33L)", Table1[[#This Row],[loan_amount]] &gt; 3300000, "larger size (&gt; 33L)")</f>
        <v>medium size (&lt;=33L)</v>
      </c>
      <c r="AM428" s="2">
        <f>IF(Table1[[#This Row],[dpd]] &gt;=30,1,0)</f>
        <v>0</v>
      </c>
      <c r="AN428" s="2">
        <f>COUNTIFS(Table1[Loan size],Table1[[#This Row],[Loan size]],Table1[dpd flag],1)/COUNTIF(Table1[Loan size],Table1[[#This Row],[Loan size]])</f>
        <v>0.15909090909090909</v>
      </c>
      <c r="AO428" s="2" t="str">
        <f>IF(OR(Table1[[#This Row],[credit_score]] &lt; 600, Table1[ [#This Row],[dti_ratio] ] &gt; 0.5, Table1[[#This Row],[dpd]] &gt;=30), "high risk", " not riskY")</f>
        <v xml:space="preserve"> not riskY</v>
      </c>
      <c r="AP428" s="26">
        <f>EOMONTH(Table1[[#This Row],[origination_date]],0)</f>
        <v>45230</v>
      </c>
      <c r="AQ428" s="2">
        <f>SUMIFS(Table1[loan_amount],Table1[origination month],Table1[[#This Row],[origination month]])</f>
        <v>25021600</v>
      </c>
      <c r="AR428" s="2">
        <f>AVERAGEIFS(Table1[months_on_book],Table1[product],Table1[[#This Row],[product]])</f>
        <v>19.091954022988507</v>
      </c>
      <c r="AS428" s="2" t="str">
        <f ca="1">IF(EDATE(Table1[[#This Row],[origination_date]],6) &gt;= TODAY(), "New Loan", "Old Loan")</f>
        <v>Old Loan</v>
      </c>
      <c r="AT428" s="2" t="str">
        <f>"Q"&amp;ROUNDUP(MONTH(Table1[[#This Row],[origination_date]])/3,0)&amp;YEAR(Table1[[#This Row],[origination_date]])</f>
        <v>Q42023</v>
      </c>
      <c r="AU428" s="2">
        <f>SUMIFS(Table1[loan_amount],Table1[quarter],Table1[[#This Row],[quarter]])</f>
        <v>58386700</v>
      </c>
      <c r="AV428" s="34" t="str">
        <f>_xlfn.TEXTJOIN("|",TRUE,Table1[[#This Row],[loan_id]:[loan_status]])</f>
        <v>L67057760|C6711662|45212|SME Loan|Online|South|Salaried|12|1443800|13.38|129214|407725|744|B|0.4|0.68|2124900|12|1363582|157490|0|0|0|Closed</v>
      </c>
      <c r="AW428" s="42">
        <f>YEAR(Loan_Table[ [#This Row],[origination_date] ])</f>
        <v>2023</v>
      </c>
    </row>
    <row r="429" spans="2:49" ht="18" customHeight="1">
      <c r="B429" s="5" t="s">
        <v>978</v>
      </c>
      <c r="C429" s="2" t="s">
        <v>979</v>
      </c>
      <c r="D429" s="3">
        <v>45281</v>
      </c>
      <c r="E429" s="2" t="s">
        <v>158</v>
      </c>
      <c r="F429" s="2" t="s">
        <v>132</v>
      </c>
      <c r="G429" s="2" t="s">
        <v>139</v>
      </c>
      <c r="H429" s="2" t="s">
        <v>192</v>
      </c>
      <c r="I429" s="2">
        <v>36</v>
      </c>
      <c r="J429" s="2">
        <v>2460000</v>
      </c>
      <c r="K429" s="2">
        <v>11.13</v>
      </c>
      <c r="L429" s="2">
        <v>80689</v>
      </c>
      <c r="M429" s="2">
        <v>838761</v>
      </c>
      <c r="N429" s="2">
        <v>761</v>
      </c>
      <c r="O429" s="2" t="s">
        <v>160</v>
      </c>
      <c r="P429" s="2">
        <v>0.38</v>
      </c>
      <c r="Q429" s="2">
        <v>0.65</v>
      </c>
      <c r="R429" s="2">
        <v>3809200</v>
      </c>
      <c r="S429" s="2">
        <v>24</v>
      </c>
      <c r="T429" s="2">
        <v>1710621</v>
      </c>
      <c r="U429" s="2">
        <v>968417</v>
      </c>
      <c r="V429" s="2">
        <v>0</v>
      </c>
      <c r="W429" s="2">
        <v>0</v>
      </c>
      <c r="X429" s="2">
        <v>0</v>
      </c>
      <c r="Y429" s="2" t="s">
        <v>148</v>
      </c>
      <c r="Z429" s="12">
        <f>SUMIF(Table1[product],Table1[[#This Row],[product]],Table1[loan_amount])</f>
        <v>201475100</v>
      </c>
      <c r="AA429" s="15">
        <f>SUMIF(Table1[region],Table1[[#This Row],[region]],Table1[current_balance])</f>
        <v>83903255</v>
      </c>
      <c r="AB429" s="2">
        <f>COUNTIF(Table1[loan_status],Table1[[#This Row],[loan_status]])</f>
        <v>301</v>
      </c>
      <c r="AC429" s="2">
        <f>COUNTIF(Table1[default_flag],1)/ROWS(Table1[loan_id])</f>
        <v>2.5999999999999999E-2</v>
      </c>
      <c r="AD429" s="2">
        <f>COUNTIFS(Table1[region],Table1[[#This Row],[region]],Table1[default_flag],1)/COUNTIF(Table1[region],Table1[[#This Row],[region]])</f>
        <v>4.2553191489361701E-2</v>
      </c>
      <c r="AE429" s="2">
        <f>COUNTIFS(Table1[channel],Table1[[#This Row],[channel]],Table1[prepayment_flag],1)/COUNTIF(Table1[channel],Table1[[#This Row],[channel]])</f>
        <v>7.1090047393364927E-2</v>
      </c>
      <c r="AF429" s="2">
        <f>AVERAGEIFS(Table1[interest_rate_pct],Table1[product],Table1[[#This Row],[product]],Table1[risk_band],Table1[[#This Row],[risk_band]])</f>
        <v>10.537499999999998</v>
      </c>
      <c r="AG429" s="2" t="str" cm="1">
        <f t="array" ref="AG429">_xlfn.IFS(Table1[[#This Row],[dti_ratio]] &lt; 0.2, " less than 0.2", Table1[[#This Row],[dti_ratio]] &lt; 0.3, "0.2 - 0.3", Table1[[#This Row],[dti_ratio]] &lt;= 0.5, "0.35 - 0.5", Table1[[#This Row],[dti_ratio]] &gt; 0.5, "greater than 0.5")</f>
        <v>0.35 - 0.5</v>
      </c>
      <c r="AH429" s="2">
        <f>COUNTIF(Table1[DTI band],Table1[[#This Row],[DTI band]])</f>
        <v>260</v>
      </c>
      <c r="AI429" s="2" t="str" cm="1">
        <f t="array" ref="AI429">_xlfn.IFS(Table1[[#This Row],[ltv_ratio]] &lt; 0.6, "less than 0.6 -less risky", Table1[[#This Row],[ltv_ratio]]  &lt;= 0.8, "0.6 - 0.8 -medium risky",Table1[[#This Row],[ltv_ratio]] &gt; 0.8, "greater than 0.8 -highly risky")</f>
        <v>0.6 - 0.8 -medium risky</v>
      </c>
      <c r="AJ429" s="2">
        <f>COUNTIF(Table1[LTV band],Table1[[#This Row],[LTV band]])</f>
        <v>302</v>
      </c>
      <c r="AK429" s="2">
        <f>COUNTIFS(Table1[count_loan_perband],Table1[[#This Row],[count_loan_perband]],Table1[default_flag],1)/COUNTIF(Table1[count_loan_perband],Table1[[#This Row],[count_loan_perband]])</f>
        <v>3.6423841059602648E-2</v>
      </c>
      <c r="AL429" s="2" t="str" cm="1">
        <f t="array" ref="AL429">_xlfn.IFS(Table1[[#This Row],[loan_amount]] &lt; 900000, "lower size (&lt; 9L)", Table1[[#This Row],[loan_amount]] &lt;=3300000, "medium size (&lt;=33L)", Table1[[#This Row],[loan_amount]] &gt; 3300000, "larger size (&gt; 33L)")</f>
        <v>medium size (&lt;=33L)</v>
      </c>
      <c r="AM429" s="2">
        <f>IF(Table1[[#This Row],[dpd]] &gt;=30,1,0)</f>
        <v>0</v>
      </c>
      <c r="AN429" s="2">
        <f>COUNTIFS(Table1[Loan size],Table1[[#This Row],[Loan size]],Table1[dpd flag],1)/COUNTIF(Table1[Loan size],Table1[[#This Row],[Loan size]])</f>
        <v>0.15909090909090909</v>
      </c>
      <c r="AO429" s="2" t="str">
        <f>IF(OR(Table1[[#This Row],[credit_score]] &lt; 600, Table1[ [#This Row],[dti_ratio] ] &gt; 0.5, Table1[[#This Row],[dpd]] &gt;=30), "high risk", " not riskY")</f>
        <v xml:space="preserve"> not riskY</v>
      </c>
      <c r="AP429" s="26">
        <f>EOMONTH(Table1[[#This Row],[origination_date]],0)</f>
        <v>45291</v>
      </c>
      <c r="AQ429" s="2">
        <f>SUMIFS(Table1[loan_amount],Table1[origination month],Table1[[#This Row],[origination month]])</f>
        <v>28085400</v>
      </c>
      <c r="AR429" s="2">
        <f>AVERAGEIFS(Table1[months_on_book],Table1[product],Table1[[#This Row],[product]])</f>
        <v>19.091954022988507</v>
      </c>
      <c r="AS429" s="2" t="str">
        <f ca="1">IF(EDATE(Table1[[#This Row],[origination_date]],6) &gt;= TODAY(), "New Loan", "Old Loan")</f>
        <v>Old Loan</v>
      </c>
      <c r="AT429" s="2" t="str">
        <f>"Q"&amp;ROUNDUP(MONTH(Table1[[#This Row],[origination_date]])/3,0)&amp;YEAR(Table1[[#This Row],[origination_date]])</f>
        <v>Q42023</v>
      </c>
      <c r="AU429" s="2">
        <f>SUMIFS(Table1[loan_amount],Table1[quarter],Table1[[#This Row],[quarter]])</f>
        <v>58386700</v>
      </c>
      <c r="AV429" s="34" t="str">
        <f>_xlfn.TEXTJOIN("|",TRUE,Table1[[#This Row],[loan_id]:[loan_status]])</f>
        <v>L84903382|C8206268|45281|SME Loan|Online|West|Unemployed|36|2460000|11.13|80689|838761|761|A|0.38|0.65|3809200|24|1710621|968417|0|0|0|Active</v>
      </c>
      <c r="AW429" s="42">
        <f>YEAR(Loan_Table[ [#This Row],[origination_date] ])</f>
        <v>2023</v>
      </c>
    </row>
    <row r="430" spans="2:49" ht="18" customHeight="1">
      <c r="B430" s="5" t="s">
        <v>980</v>
      </c>
      <c r="C430" s="2" t="s">
        <v>981</v>
      </c>
      <c r="D430" s="3">
        <v>45262</v>
      </c>
      <c r="E430" s="2" t="s">
        <v>177</v>
      </c>
      <c r="F430" s="2" t="s">
        <v>132</v>
      </c>
      <c r="G430" s="2" t="s">
        <v>133</v>
      </c>
      <c r="H430" s="2" t="s">
        <v>192</v>
      </c>
      <c r="I430" s="2">
        <v>120</v>
      </c>
      <c r="J430" s="2">
        <v>1191500</v>
      </c>
      <c r="K430" s="2">
        <v>15.55</v>
      </c>
      <c r="L430" s="2">
        <v>19626</v>
      </c>
      <c r="M430" s="2">
        <v>816080</v>
      </c>
      <c r="N430" s="2">
        <v>643</v>
      </c>
      <c r="O430" s="2" t="s">
        <v>147</v>
      </c>
      <c r="P430" s="2">
        <v>0.37</v>
      </c>
      <c r="Q430" s="2">
        <v>0.69</v>
      </c>
      <c r="R430" s="2">
        <v>0</v>
      </c>
      <c r="S430" s="2">
        <v>24</v>
      </c>
      <c r="T430" s="2">
        <v>407057</v>
      </c>
      <c r="U430" s="2">
        <v>932666</v>
      </c>
      <c r="V430" s="2">
        <v>0</v>
      </c>
      <c r="W430" s="2">
        <v>0</v>
      </c>
      <c r="X430" s="2">
        <v>0</v>
      </c>
      <c r="Y430" s="2" t="s">
        <v>148</v>
      </c>
      <c r="Z430" s="12">
        <f>SUMIF(Table1[product],Table1[[#This Row],[product]],Table1[loan_amount])</f>
        <v>62765800</v>
      </c>
      <c r="AA430" s="15">
        <f>SUMIF(Table1[region],Table1[[#This Row],[region]],Table1[current_balance])</f>
        <v>94548000</v>
      </c>
      <c r="AB430" s="2">
        <f>COUNTIF(Table1[loan_status],Table1[[#This Row],[loan_status]])</f>
        <v>301</v>
      </c>
      <c r="AC430" s="2">
        <f>COUNTIF(Table1[default_flag],1)/ROWS(Table1[loan_id])</f>
        <v>2.5999999999999999E-2</v>
      </c>
      <c r="AD430" s="2">
        <f>COUNTIFS(Table1[region],Table1[[#This Row],[region]],Table1[default_flag],1)/COUNTIF(Table1[region],Table1[[#This Row],[region]])</f>
        <v>0</v>
      </c>
      <c r="AE430" s="2">
        <f>COUNTIFS(Table1[channel],Table1[[#This Row],[channel]],Table1[prepayment_flag],1)/COUNTIF(Table1[channel],Table1[[#This Row],[channel]])</f>
        <v>7.1090047393364927E-2</v>
      </c>
      <c r="AF430" s="2">
        <f>AVERAGEIFS(Table1[interest_rate_pct],Table1[product],Table1[[#This Row],[product]],Table1[risk_band],Table1[[#This Row],[risk_band]])</f>
        <v>15.810000000000002</v>
      </c>
      <c r="AG430" s="2" t="str" cm="1">
        <f t="array" ref="AG430">_xlfn.IFS(Table1[[#This Row],[dti_ratio]] &lt; 0.2, " less than 0.2", Table1[[#This Row],[dti_ratio]] &lt; 0.3, "0.2 - 0.3", Table1[[#This Row],[dti_ratio]] &lt;= 0.5, "0.35 - 0.5", Table1[[#This Row],[dti_ratio]] &gt; 0.5, "greater than 0.5")</f>
        <v>0.35 - 0.5</v>
      </c>
      <c r="AH430" s="2">
        <f>COUNTIF(Table1[DTI band],Table1[[#This Row],[DTI band]])</f>
        <v>260</v>
      </c>
      <c r="AI430" s="2" t="str" cm="1">
        <f t="array" ref="AI430">_xlfn.IFS(Table1[[#This Row],[ltv_ratio]] &lt; 0.6, "less than 0.6 -less risky", Table1[[#This Row],[ltv_ratio]]  &lt;= 0.8, "0.6 - 0.8 -medium risky",Table1[[#This Row],[ltv_ratio]] &gt; 0.8, "greater than 0.8 -highly risky")</f>
        <v>0.6 - 0.8 -medium risky</v>
      </c>
      <c r="AJ430" s="2">
        <f>COUNTIF(Table1[LTV band],Table1[[#This Row],[LTV band]])</f>
        <v>302</v>
      </c>
      <c r="AK430" s="2">
        <f>COUNTIFS(Table1[count_loan_perband],Table1[[#This Row],[count_loan_perband]],Table1[default_flag],1)/COUNTIF(Table1[count_loan_perband],Table1[[#This Row],[count_loan_perband]])</f>
        <v>3.6423841059602648E-2</v>
      </c>
      <c r="AL430" s="2" t="str" cm="1">
        <f t="array" ref="AL430">_xlfn.IFS(Table1[[#This Row],[loan_amount]] &lt; 900000, "lower size (&lt; 9L)", Table1[[#This Row],[loan_amount]] &lt;=3300000, "medium size (&lt;=33L)", Table1[[#This Row],[loan_amount]] &gt; 3300000, "larger size (&gt; 33L)")</f>
        <v>medium size (&lt;=33L)</v>
      </c>
      <c r="AM430" s="2">
        <f>IF(Table1[[#This Row],[dpd]] &gt;=30,1,0)</f>
        <v>0</v>
      </c>
      <c r="AN430" s="2">
        <f>COUNTIFS(Table1[Loan size],Table1[[#This Row],[Loan size]],Table1[dpd flag],1)/COUNTIF(Table1[Loan size],Table1[[#This Row],[Loan size]])</f>
        <v>0.15909090909090909</v>
      </c>
      <c r="AO430" s="2" t="str">
        <f>IF(OR(Table1[[#This Row],[credit_score]] &lt; 600, Table1[ [#This Row],[dti_ratio] ] &gt; 0.5, Table1[[#This Row],[dpd]] &gt;=30), "high risk", " not riskY")</f>
        <v xml:space="preserve"> not riskY</v>
      </c>
      <c r="AP430" s="26">
        <f>EOMONTH(Table1[[#This Row],[origination_date]],0)</f>
        <v>45291</v>
      </c>
      <c r="AQ430" s="2">
        <f>SUMIFS(Table1[loan_amount],Table1[origination month],Table1[[#This Row],[origination month]])</f>
        <v>28085400</v>
      </c>
      <c r="AR430" s="2">
        <f>AVERAGEIFS(Table1[months_on_book],Table1[product],Table1[[#This Row],[product]])</f>
        <v>21.962962962962962</v>
      </c>
      <c r="AS430" s="2" t="str">
        <f ca="1">IF(EDATE(Table1[[#This Row],[origination_date]],6) &gt;= TODAY(), "New Loan", "Old Loan")</f>
        <v>Old Loan</v>
      </c>
      <c r="AT430" s="2" t="str">
        <f>"Q"&amp;ROUNDUP(MONTH(Table1[[#This Row],[origination_date]])/3,0)&amp;YEAR(Table1[[#This Row],[origination_date]])</f>
        <v>Q42023</v>
      </c>
      <c r="AU430" s="2">
        <f>SUMIFS(Table1[loan_amount],Table1[quarter],Table1[[#This Row],[quarter]])</f>
        <v>58386700</v>
      </c>
      <c r="AV430" s="34" t="str">
        <f>_xlfn.TEXTJOIN("|",TRUE,Table1[[#This Row],[loan_id]:[loan_status]])</f>
        <v>L18522522|C3434814|45262|Education Loan|Online|South|Unemployed|120|1191500|15.55|19626|816080|643|D|0.37|0.69|0|24|407057|932666|0|0|0|Active</v>
      </c>
      <c r="AW430" s="42">
        <f>YEAR(Loan_Table[ [#This Row],[origination_date] ])</f>
        <v>2023</v>
      </c>
    </row>
    <row r="431" spans="2:49" ht="18" customHeight="1">
      <c r="B431" s="5" t="s">
        <v>982</v>
      </c>
      <c r="C431" s="2" t="s">
        <v>983</v>
      </c>
      <c r="D431" s="3">
        <v>45263</v>
      </c>
      <c r="E431" s="2" t="s">
        <v>163</v>
      </c>
      <c r="F431" s="2" t="s">
        <v>159</v>
      </c>
      <c r="G431" s="2" t="s">
        <v>170</v>
      </c>
      <c r="H431" s="2" t="s">
        <v>134</v>
      </c>
      <c r="I431" s="2">
        <v>24</v>
      </c>
      <c r="J431" s="2">
        <v>1096000</v>
      </c>
      <c r="K431" s="2">
        <v>12.1</v>
      </c>
      <c r="L431" s="2">
        <v>51644</v>
      </c>
      <c r="M431" s="2">
        <v>647302</v>
      </c>
      <c r="N431" s="2">
        <v>691</v>
      </c>
      <c r="O431" s="2" t="s">
        <v>140</v>
      </c>
      <c r="P431" s="2">
        <v>0.36</v>
      </c>
      <c r="Q431" s="2">
        <v>0.89</v>
      </c>
      <c r="R431" s="2">
        <v>1231000</v>
      </c>
      <c r="S431" s="2">
        <v>24</v>
      </c>
      <c r="T431" s="2">
        <v>1108313</v>
      </c>
      <c r="U431" s="2">
        <v>93780</v>
      </c>
      <c r="V431" s="2">
        <v>0</v>
      </c>
      <c r="W431" s="2">
        <v>0</v>
      </c>
      <c r="X431" s="2">
        <v>0</v>
      </c>
      <c r="Y431" s="2" t="s">
        <v>141</v>
      </c>
      <c r="Z431" s="12">
        <f>SUMIF(Table1[product],Table1[[#This Row],[product]],Table1[loan_amount])</f>
        <v>92273000</v>
      </c>
      <c r="AA431" s="15">
        <f>SUMIF(Table1[region],Table1[[#This Row],[region]],Table1[current_balance])</f>
        <v>83297251</v>
      </c>
      <c r="AB431" s="2">
        <f>COUNTIF(Table1[loan_status],Table1[[#This Row],[loan_status]])</f>
        <v>139</v>
      </c>
      <c r="AC431" s="2">
        <f>COUNTIF(Table1[default_flag],1)/ROWS(Table1[loan_id])</f>
        <v>2.5999999999999999E-2</v>
      </c>
      <c r="AD431" s="2">
        <f>COUNTIFS(Table1[region],Table1[[#This Row],[region]],Table1[default_flag],1)/COUNTIF(Table1[region],Table1[[#This Row],[region]])</f>
        <v>3.1914893617021274E-2</v>
      </c>
      <c r="AE431" s="2">
        <f>COUNTIFS(Table1[channel],Table1[[#This Row],[channel]],Table1[prepayment_flag],1)/COUNTIF(Table1[channel],Table1[[#This Row],[channel]])</f>
        <v>0.1</v>
      </c>
      <c r="AF431" s="2">
        <f>AVERAGEIFS(Table1[interest_rate_pct],Table1[product],Table1[[#This Row],[product]],Table1[risk_band],Table1[[#This Row],[risk_band]])</f>
        <v>13.246500000000001</v>
      </c>
      <c r="AG431" s="2" t="str" cm="1">
        <f t="array" ref="AG431">_xlfn.IFS(Table1[[#This Row],[dti_ratio]] &lt; 0.2, " less than 0.2", Table1[[#This Row],[dti_ratio]] &lt; 0.3, "0.2 - 0.3", Table1[[#This Row],[dti_ratio]] &lt;= 0.5, "0.35 - 0.5", Table1[[#This Row],[dti_ratio]] &gt; 0.5, "greater than 0.5")</f>
        <v>0.35 - 0.5</v>
      </c>
      <c r="AH431" s="2">
        <f>COUNTIF(Table1[DTI band],Table1[[#This Row],[DTI band]])</f>
        <v>260</v>
      </c>
      <c r="AI431" s="2" t="str" cm="1">
        <f t="array" ref="AI431">_xlfn.IFS(Table1[[#This Row],[ltv_ratio]] &lt; 0.6, "less than 0.6 -less risky", Table1[[#This Row],[ltv_ratio]]  &lt;= 0.8, "0.6 - 0.8 -medium risky",Table1[[#This Row],[ltv_ratio]] &gt; 0.8, "greater than 0.8 -highly risky")</f>
        <v>greater than 0.8 -highly risky</v>
      </c>
      <c r="AJ431" s="2">
        <f>COUNTIF(Table1[LTV band],Table1[[#This Row],[LTV band]])</f>
        <v>141</v>
      </c>
      <c r="AK431" s="2">
        <f>COUNTIFS(Table1[count_loan_perband],Table1[[#This Row],[count_loan_perband]],Table1[default_flag],1)/COUNTIF(Table1[count_loan_perband],Table1[[#This Row],[count_loan_perband]])</f>
        <v>1.4184397163120567E-2</v>
      </c>
      <c r="AL431" s="2" t="str" cm="1">
        <f t="array" ref="AL431">_xlfn.IFS(Table1[[#This Row],[loan_amount]] &lt; 900000, "lower size (&lt; 9L)", Table1[[#This Row],[loan_amount]] &lt;=3300000, "medium size (&lt;=33L)", Table1[[#This Row],[loan_amount]] &gt; 3300000, "larger size (&gt; 33L)")</f>
        <v>medium size (&lt;=33L)</v>
      </c>
      <c r="AM431" s="2">
        <f>IF(Table1[[#This Row],[dpd]] &gt;=30,1,0)</f>
        <v>0</v>
      </c>
      <c r="AN431" s="2">
        <f>COUNTIFS(Table1[Loan size],Table1[[#This Row],[Loan size]],Table1[dpd flag],1)/COUNTIF(Table1[Loan size],Table1[[#This Row],[Loan size]])</f>
        <v>0.15909090909090909</v>
      </c>
      <c r="AO431" s="2" t="str">
        <f>IF(OR(Table1[[#This Row],[credit_score]] &lt; 600, Table1[ [#This Row],[dti_ratio] ] &gt; 0.5, Table1[[#This Row],[dpd]] &gt;=30), "high risk", " not riskY")</f>
        <v xml:space="preserve"> not riskY</v>
      </c>
      <c r="AP431" s="26">
        <f>EOMONTH(Table1[[#This Row],[origination_date]],0)</f>
        <v>45291</v>
      </c>
      <c r="AQ431" s="2">
        <f>SUMIFS(Table1[loan_amount],Table1[origination month],Table1[[#This Row],[origination month]])</f>
        <v>28085400</v>
      </c>
      <c r="AR431" s="2">
        <f>AVERAGEIFS(Table1[months_on_book],Table1[product],Table1[[#This Row],[product]])</f>
        <v>20.262135922330096</v>
      </c>
      <c r="AS431" s="2" t="str">
        <f ca="1">IF(EDATE(Table1[[#This Row],[origination_date]],6) &gt;= TODAY(), "New Loan", "Old Loan")</f>
        <v>Old Loan</v>
      </c>
      <c r="AT431" s="2" t="str">
        <f>"Q"&amp;ROUNDUP(MONTH(Table1[[#This Row],[origination_date]])/3,0)&amp;YEAR(Table1[[#This Row],[origination_date]])</f>
        <v>Q42023</v>
      </c>
      <c r="AU431" s="2">
        <f>SUMIFS(Table1[loan_amount],Table1[quarter],Table1[[#This Row],[quarter]])</f>
        <v>58386700</v>
      </c>
      <c r="AV431" s="34" t="str">
        <f>_xlfn.TEXTJOIN("|",TRUE,Table1[[#This Row],[loan_id]:[loan_status]])</f>
        <v>L86228159|C1857179|45263|Auto Loan|Partner|East|Salaried|24|1096000|12.1|51644|647302|691|C|0.36|0.89|1231000|24|1108313|93780|0|0|0|Closed</v>
      </c>
      <c r="AW431" s="42">
        <f>YEAR(Loan_Table[ [#This Row],[origination_date] ])</f>
        <v>2023</v>
      </c>
    </row>
    <row r="432" spans="2:49" ht="18" customHeight="1">
      <c r="B432" s="5" t="s">
        <v>984</v>
      </c>
      <c r="C432" s="2" t="s">
        <v>985</v>
      </c>
      <c r="D432" s="3">
        <v>45204</v>
      </c>
      <c r="E432" s="2" t="s">
        <v>131</v>
      </c>
      <c r="F432" s="2" t="s">
        <v>132</v>
      </c>
      <c r="G432" s="2" t="s">
        <v>170</v>
      </c>
      <c r="H432" s="2" t="s">
        <v>134</v>
      </c>
      <c r="I432" s="2">
        <v>36</v>
      </c>
      <c r="J432" s="2">
        <v>353900</v>
      </c>
      <c r="K432" s="2">
        <v>17.739999999999998</v>
      </c>
      <c r="L432" s="2">
        <v>12748</v>
      </c>
      <c r="M432" s="2">
        <v>713268</v>
      </c>
      <c r="N432" s="2">
        <v>711</v>
      </c>
      <c r="O432" s="2" t="s">
        <v>135</v>
      </c>
      <c r="P432" s="2">
        <v>0.36</v>
      </c>
      <c r="Q432" s="2">
        <v>0.68</v>
      </c>
      <c r="R432" s="2">
        <v>0</v>
      </c>
      <c r="S432" s="2">
        <v>26</v>
      </c>
      <c r="T432" s="2">
        <v>297900</v>
      </c>
      <c r="U432" s="2">
        <v>110411</v>
      </c>
      <c r="V432" s="2">
        <v>0</v>
      </c>
      <c r="W432" s="2">
        <v>0</v>
      </c>
      <c r="X432" s="2">
        <v>0</v>
      </c>
      <c r="Y432" s="2" t="s">
        <v>148</v>
      </c>
      <c r="Z432" s="12">
        <f>SUMIF(Table1[product],Table1[[#This Row],[product]],Table1[loan_amount])</f>
        <v>74897600</v>
      </c>
      <c r="AA432" s="15">
        <f>SUMIF(Table1[region],Table1[[#This Row],[region]],Table1[current_balance])</f>
        <v>83297251</v>
      </c>
      <c r="AB432" s="2">
        <f>COUNTIF(Table1[loan_status],Table1[[#This Row],[loan_status]])</f>
        <v>301</v>
      </c>
      <c r="AC432" s="2">
        <f>COUNTIF(Table1[default_flag],1)/ROWS(Table1[loan_id])</f>
        <v>2.5999999999999999E-2</v>
      </c>
      <c r="AD432" s="2">
        <f>COUNTIFS(Table1[region],Table1[[#This Row],[region]],Table1[default_flag],1)/COUNTIF(Table1[region],Table1[[#This Row],[region]])</f>
        <v>3.1914893617021274E-2</v>
      </c>
      <c r="AE432" s="2">
        <f>COUNTIFS(Table1[channel],Table1[[#This Row],[channel]],Table1[prepayment_flag],1)/COUNTIF(Table1[channel],Table1[[#This Row],[channel]])</f>
        <v>7.1090047393364927E-2</v>
      </c>
      <c r="AF432" s="2">
        <f>AVERAGEIFS(Table1[interest_rate_pct],Table1[product],Table1[[#This Row],[product]],Table1[risk_band],Table1[[#This Row],[risk_band]])</f>
        <v>16.500166666666669</v>
      </c>
      <c r="AG432" s="2" t="str" cm="1">
        <f t="array" ref="AG432">_xlfn.IFS(Table1[[#This Row],[dti_ratio]] &lt; 0.2, " less than 0.2", Table1[[#This Row],[dti_ratio]] &lt; 0.3, "0.2 - 0.3", Table1[[#This Row],[dti_ratio]] &lt;= 0.5, "0.35 - 0.5", Table1[[#This Row],[dti_ratio]] &gt; 0.5, "greater than 0.5")</f>
        <v>0.35 - 0.5</v>
      </c>
      <c r="AH432" s="2">
        <f>COUNTIF(Table1[DTI band],Table1[[#This Row],[DTI band]])</f>
        <v>260</v>
      </c>
      <c r="AI432" s="2" t="str" cm="1">
        <f t="array" ref="AI432">_xlfn.IFS(Table1[[#This Row],[ltv_ratio]] &lt; 0.6, "less than 0.6 -less risky", Table1[[#This Row],[ltv_ratio]]  &lt;= 0.8, "0.6 - 0.8 -medium risky",Table1[[#This Row],[ltv_ratio]] &gt; 0.8, "greater than 0.8 -highly risky")</f>
        <v>0.6 - 0.8 -medium risky</v>
      </c>
      <c r="AJ432" s="2">
        <f>COUNTIF(Table1[LTV band],Table1[[#This Row],[LTV band]])</f>
        <v>302</v>
      </c>
      <c r="AK432" s="2">
        <f>COUNTIFS(Table1[count_loan_perband],Table1[[#This Row],[count_loan_perband]],Table1[default_flag],1)/COUNTIF(Table1[count_loan_perband],Table1[[#This Row],[count_loan_perband]])</f>
        <v>3.6423841059602648E-2</v>
      </c>
      <c r="AL432" s="2" t="str" cm="1">
        <f t="array" ref="AL432">_xlfn.IFS(Table1[[#This Row],[loan_amount]] &lt; 900000, "lower size (&lt; 9L)", Table1[[#This Row],[loan_amount]] &lt;=3300000, "medium size (&lt;=33L)", Table1[[#This Row],[loan_amount]] &gt; 3300000, "larger size (&gt; 33L)")</f>
        <v>lower size (&lt; 9L)</v>
      </c>
      <c r="AM432" s="2">
        <f>IF(Table1[[#This Row],[dpd]] &gt;=30,1,0)</f>
        <v>0</v>
      </c>
      <c r="AN432" s="2">
        <f>COUNTIFS(Table1[Loan size],Table1[[#This Row],[Loan size]],Table1[dpd flag],1)/COUNTIF(Table1[Loan size],Table1[[#This Row],[Loan size]])</f>
        <v>0.13934426229508196</v>
      </c>
      <c r="AO432" s="2" t="str">
        <f>IF(OR(Table1[[#This Row],[credit_score]] &lt; 600, Table1[ [#This Row],[dti_ratio] ] &gt; 0.5, Table1[[#This Row],[dpd]] &gt;=30), "high risk", " not riskY")</f>
        <v xml:space="preserve"> not riskY</v>
      </c>
      <c r="AP432" s="26">
        <f>EOMONTH(Table1[[#This Row],[origination_date]],0)</f>
        <v>45230</v>
      </c>
      <c r="AQ432" s="2">
        <f>SUMIFS(Table1[loan_amount],Table1[origination month],Table1[[#This Row],[origination month]])</f>
        <v>25021600</v>
      </c>
      <c r="AR432" s="2">
        <f>AVERAGEIFS(Table1[months_on_book],Table1[product],Table1[[#This Row],[product]])</f>
        <v>21.092024539877301</v>
      </c>
      <c r="AS432" s="2" t="str">
        <f ca="1">IF(EDATE(Table1[[#This Row],[origination_date]],6) &gt;= TODAY(), "New Loan", "Old Loan")</f>
        <v>Old Loan</v>
      </c>
      <c r="AT432" s="2" t="str">
        <f>"Q"&amp;ROUNDUP(MONTH(Table1[[#This Row],[origination_date]])/3,0)&amp;YEAR(Table1[[#This Row],[origination_date]])</f>
        <v>Q42023</v>
      </c>
      <c r="AU432" s="2">
        <f>SUMIFS(Table1[loan_amount],Table1[quarter],Table1[[#This Row],[quarter]])</f>
        <v>58386700</v>
      </c>
      <c r="AV432" s="34" t="str">
        <f>_xlfn.TEXTJOIN("|",TRUE,Table1[[#This Row],[loan_id]:[loan_status]])</f>
        <v>L75429515|C6991746|45204|Personal Loan|Online|East|Salaried|36|353900|17.74|12748|713268|711|B|0.36|0.68|0|26|297900|110411|0|0|0|Active</v>
      </c>
      <c r="AW432" s="42">
        <f>YEAR(Loan_Table[ [#This Row],[origination_date] ])</f>
        <v>2023</v>
      </c>
    </row>
    <row r="433" spans="2:49" ht="18" customHeight="1">
      <c r="B433" s="5" t="s">
        <v>986</v>
      </c>
      <c r="C433" s="2" t="s">
        <v>987</v>
      </c>
      <c r="D433" s="3">
        <v>45261</v>
      </c>
      <c r="E433" s="2" t="s">
        <v>177</v>
      </c>
      <c r="F433" s="2" t="s">
        <v>132</v>
      </c>
      <c r="G433" s="2" t="s">
        <v>170</v>
      </c>
      <c r="H433" s="2" t="s">
        <v>152</v>
      </c>
      <c r="I433" s="2">
        <v>18</v>
      </c>
      <c r="J433" s="2">
        <v>695900</v>
      </c>
      <c r="K433" s="2">
        <v>9.4700000000000006</v>
      </c>
      <c r="L433" s="2">
        <v>41624</v>
      </c>
      <c r="M433" s="2">
        <v>150000</v>
      </c>
      <c r="N433" s="2">
        <v>724</v>
      </c>
      <c r="O433" s="2" t="s">
        <v>135</v>
      </c>
      <c r="P433" s="2">
        <v>0.35</v>
      </c>
      <c r="Q433" s="2">
        <v>0.85</v>
      </c>
      <c r="R433" s="2">
        <v>0</v>
      </c>
      <c r="S433" s="2">
        <v>18</v>
      </c>
      <c r="T433" s="2">
        <v>710562</v>
      </c>
      <c r="U433" s="2">
        <v>24879</v>
      </c>
      <c r="V433" s="2">
        <v>0</v>
      </c>
      <c r="W433" s="2">
        <v>1</v>
      </c>
      <c r="X433" s="2">
        <v>0</v>
      </c>
      <c r="Y433" s="2" t="s">
        <v>141</v>
      </c>
      <c r="Z433" s="12">
        <f>SUMIF(Table1[product],Table1[[#This Row],[product]],Table1[loan_amount])</f>
        <v>62765800</v>
      </c>
      <c r="AA433" s="15">
        <f>SUMIF(Table1[region],Table1[[#This Row],[region]],Table1[current_balance])</f>
        <v>83297251</v>
      </c>
      <c r="AB433" s="2">
        <f>COUNTIF(Table1[loan_status],Table1[[#This Row],[loan_status]])</f>
        <v>139</v>
      </c>
      <c r="AC433" s="2">
        <f>COUNTIF(Table1[default_flag],1)/ROWS(Table1[loan_id])</f>
        <v>2.5999999999999999E-2</v>
      </c>
      <c r="AD433" s="2">
        <f>COUNTIFS(Table1[region],Table1[[#This Row],[region]],Table1[default_flag],1)/COUNTIF(Table1[region],Table1[[#This Row],[region]])</f>
        <v>3.1914893617021274E-2</v>
      </c>
      <c r="AE433" s="2">
        <f>COUNTIFS(Table1[channel],Table1[[#This Row],[channel]],Table1[prepayment_flag],1)/COUNTIF(Table1[channel],Table1[[#This Row],[channel]])</f>
        <v>7.1090047393364927E-2</v>
      </c>
      <c r="AF433" s="2">
        <f>AVERAGEIFS(Table1[interest_rate_pct],Table1[product],Table1[[#This Row],[product]],Table1[risk_band],Table1[[#This Row],[risk_band]])</f>
        <v>10.832666666666663</v>
      </c>
      <c r="AG433" s="2" t="str" cm="1">
        <f t="array" ref="AG433">_xlfn.IFS(Table1[[#This Row],[dti_ratio]] &lt; 0.2, " less than 0.2", Table1[[#This Row],[dti_ratio]] &lt; 0.3, "0.2 - 0.3", Table1[[#This Row],[dti_ratio]] &lt;= 0.5, "0.35 - 0.5", Table1[[#This Row],[dti_ratio]] &gt; 0.5, "greater than 0.5")</f>
        <v>0.35 - 0.5</v>
      </c>
      <c r="AH433" s="2">
        <f>COUNTIF(Table1[DTI band],Table1[[#This Row],[DTI band]])</f>
        <v>260</v>
      </c>
      <c r="AI433" s="2" t="str" cm="1">
        <f t="array" ref="AI433">_xlfn.IFS(Table1[[#This Row],[ltv_ratio]] &lt; 0.6, "less than 0.6 -less risky", Table1[[#This Row],[ltv_ratio]]  &lt;= 0.8, "0.6 - 0.8 -medium risky",Table1[[#This Row],[ltv_ratio]] &gt; 0.8, "greater than 0.8 -highly risky")</f>
        <v>greater than 0.8 -highly risky</v>
      </c>
      <c r="AJ433" s="2">
        <f>COUNTIF(Table1[LTV band],Table1[[#This Row],[LTV band]])</f>
        <v>141</v>
      </c>
      <c r="AK433" s="2">
        <f>COUNTIFS(Table1[count_loan_perband],Table1[[#This Row],[count_loan_perband]],Table1[default_flag],1)/COUNTIF(Table1[count_loan_perband],Table1[[#This Row],[count_loan_perband]])</f>
        <v>1.4184397163120567E-2</v>
      </c>
      <c r="AL433" s="2" t="str" cm="1">
        <f t="array" ref="AL433">_xlfn.IFS(Table1[[#This Row],[loan_amount]] &lt; 900000, "lower size (&lt; 9L)", Table1[[#This Row],[loan_amount]] &lt;=3300000, "medium size (&lt;=33L)", Table1[[#This Row],[loan_amount]] &gt; 3300000, "larger size (&gt; 33L)")</f>
        <v>lower size (&lt; 9L)</v>
      </c>
      <c r="AM433" s="2">
        <f>IF(Table1[[#This Row],[dpd]] &gt;=30,1,0)</f>
        <v>0</v>
      </c>
      <c r="AN433" s="2">
        <f>COUNTIFS(Table1[Loan size],Table1[[#This Row],[Loan size]],Table1[dpd flag],1)/COUNTIF(Table1[Loan size],Table1[[#This Row],[Loan size]])</f>
        <v>0.13934426229508196</v>
      </c>
      <c r="AO433" s="2" t="str">
        <f>IF(OR(Table1[[#This Row],[credit_score]] &lt; 600, Table1[ [#This Row],[dti_ratio] ] &gt; 0.5, Table1[[#This Row],[dpd]] &gt;=30), "high risk", " not riskY")</f>
        <v xml:space="preserve"> not riskY</v>
      </c>
      <c r="AP433" s="26">
        <f>EOMONTH(Table1[[#This Row],[origination_date]],0)</f>
        <v>45291</v>
      </c>
      <c r="AQ433" s="2">
        <f>SUMIFS(Table1[loan_amount],Table1[origination month],Table1[[#This Row],[origination month]])</f>
        <v>28085400</v>
      </c>
      <c r="AR433" s="2">
        <f>AVERAGEIFS(Table1[months_on_book],Table1[product],Table1[[#This Row],[product]])</f>
        <v>21.962962962962962</v>
      </c>
      <c r="AS433" s="2" t="str">
        <f ca="1">IF(EDATE(Table1[[#This Row],[origination_date]],6) &gt;= TODAY(), "New Loan", "Old Loan")</f>
        <v>Old Loan</v>
      </c>
      <c r="AT433" s="2" t="str">
        <f>"Q"&amp;ROUNDUP(MONTH(Table1[[#This Row],[origination_date]])/3,0)&amp;YEAR(Table1[[#This Row],[origination_date]])</f>
        <v>Q42023</v>
      </c>
      <c r="AU433" s="2">
        <f>SUMIFS(Table1[loan_amount],Table1[quarter],Table1[[#This Row],[quarter]])</f>
        <v>58386700</v>
      </c>
      <c r="AV433" s="34" t="str">
        <f>_xlfn.TEXTJOIN("|",TRUE,Table1[[#This Row],[loan_id]:[loan_status]])</f>
        <v>L88096505|C5942299|45261|Education Loan|Online|East|Self-Employed|18|695900|9.47|41624|150000|724|B|0.35|0.85|0|18|710562|24879|0|1|0|Closed</v>
      </c>
      <c r="AW433" s="42">
        <f>YEAR(Loan_Table[ [#This Row],[origination_date] ])</f>
        <v>2023</v>
      </c>
    </row>
    <row r="434" spans="2:49" ht="18" customHeight="1">
      <c r="B434" s="5" t="s">
        <v>988</v>
      </c>
      <c r="C434" s="2" t="s">
        <v>989</v>
      </c>
      <c r="D434" s="3">
        <v>45229</v>
      </c>
      <c r="E434" s="2" t="s">
        <v>131</v>
      </c>
      <c r="F434" s="2" t="s">
        <v>132</v>
      </c>
      <c r="G434" s="2" t="s">
        <v>139</v>
      </c>
      <c r="H434" s="2" t="s">
        <v>134</v>
      </c>
      <c r="I434" s="2">
        <v>36</v>
      </c>
      <c r="J434" s="2">
        <v>579500</v>
      </c>
      <c r="K434" s="2">
        <v>16.190000000000001</v>
      </c>
      <c r="L434" s="2">
        <v>20428</v>
      </c>
      <c r="M434" s="2">
        <v>1094334</v>
      </c>
      <c r="N434" s="2">
        <v>715</v>
      </c>
      <c r="O434" s="2" t="s">
        <v>135</v>
      </c>
      <c r="P434" s="2">
        <v>0.32</v>
      </c>
      <c r="Q434" s="2">
        <v>0.7</v>
      </c>
      <c r="R434" s="2">
        <v>0</v>
      </c>
      <c r="S434" s="2">
        <v>26</v>
      </c>
      <c r="T434" s="2">
        <v>490052</v>
      </c>
      <c r="U434" s="2">
        <v>170760</v>
      </c>
      <c r="V434" s="2">
        <v>0</v>
      </c>
      <c r="W434" s="2">
        <v>0</v>
      </c>
      <c r="X434" s="2">
        <v>0</v>
      </c>
      <c r="Y434" s="2" t="s">
        <v>148</v>
      </c>
      <c r="Z434" s="12">
        <f>SUMIF(Table1[product],Table1[[#This Row],[product]],Table1[loan_amount])</f>
        <v>74897600</v>
      </c>
      <c r="AA434" s="15">
        <f>SUMIF(Table1[region],Table1[[#This Row],[region]],Table1[current_balance])</f>
        <v>83903255</v>
      </c>
      <c r="AB434" s="2">
        <f>COUNTIF(Table1[loan_status],Table1[[#This Row],[loan_status]])</f>
        <v>301</v>
      </c>
      <c r="AC434" s="2">
        <f>COUNTIF(Table1[default_flag],1)/ROWS(Table1[loan_id])</f>
        <v>2.5999999999999999E-2</v>
      </c>
      <c r="AD434" s="2">
        <f>COUNTIFS(Table1[region],Table1[[#This Row],[region]],Table1[default_flag],1)/COUNTIF(Table1[region],Table1[[#This Row],[region]])</f>
        <v>4.2553191489361701E-2</v>
      </c>
      <c r="AE434" s="2">
        <f>COUNTIFS(Table1[channel],Table1[[#This Row],[channel]],Table1[prepayment_flag],1)/COUNTIF(Table1[channel],Table1[[#This Row],[channel]])</f>
        <v>7.1090047393364927E-2</v>
      </c>
      <c r="AF434" s="2">
        <f>AVERAGEIFS(Table1[interest_rate_pct],Table1[product],Table1[[#This Row],[product]],Table1[risk_band],Table1[[#This Row],[risk_band]])</f>
        <v>16.500166666666669</v>
      </c>
      <c r="AG434" s="2" t="str" cm="1">
        <f t="array" ref="AG434">_xlfn.IFS(Table1[[#This Row],[dti_ratio]] &lt; 0.2, " less than 0.2", Table1[[#This Row],[dti_ratio]] &lt; 0.3, "0.2 - 0.3", Table1[[#This Row],[dti_ratio]] &lt;= 0.5, "0.35 - 0.5", Table1[[#This Row],[dti_ratio]] &gt; 0.5, "greater than 0.5")</f>
        <v>0.35 - 0.5</v>
      </c>
      <c r="AH434" s="2">
        <f>COUNTIF(Table1[DTI band],Table1[[#This Row],[DTI band]])</f>
        <v>260</v>
      </c>
      <c r="AI434" s="2" t="str" cm="1">
        <f t="array" ref="AI434">_xlfn.IFS(Table1[[#This Row],[ltv_ratio]] &lt; 0.6, "less than 0.6 -less risky", Table1[[#This Row],[ltv_ratio]]  &lt;= 0.8, "0.6 - 0.8 -medium risky",Table1[[#This Row],[ltv_ratio]] &gt; 0.8, "greater than 0.8 -highly risky")</f>
        <v>0.6 - 0.8 -medium risky</v>
      </c>
      <c r="AJ434" s="2">
        <f>COUNTIF(Table1[LTV band],Table1[[#This Row],[LTV band]])</f>
        <v>302</v>
      </c>
      <c r="AK434" s="2">
        <f>COUNTIFS(Table1[count_loan_perband],Table1[[#This Row],[count_loan_perband]],Table1[default_flag],1)/COUNTIF(Table1[count_loan_perband],Table1[[#This Row],[count_loan_perband]])</f>
        <v>3.6423841059602648E-2</v>
      </c>
      <c r="AL434" s="2" t="str" cm="1">
        <f t="array" ref="AL434">_xlfn.IFS(Table1[[#This Row],[loan_amount]] &lt; 900000, "lower size (&lt; 9L)", Table1[[#This Row],[loan_amount]] &lt;=3300000, "medium size (&lt;=33L)", Table1[[#This Row],[loan_amount]] &gt; 3300000, "larger size (&gt; 33L)")</f>
        <v>lower size (&lt; 9L)</v>
      </c>
      <c r="AM434" s="2">
        <f>IF(Table1[[#This Row],[dpd]] &gt;=30,1,0)</f>
        <v>0</v>
      </c>
      <c r="AN434" s="2">
        <f>COUNTIFS(Table1[Loan size],Table1[[#This Row],[Loan size]],Table1[dpd flag],1)/COUNTIF(Table1[Loan size],Table1[[#This Row],[Loan size]])</f>
        <v>0.13934426229508196</v>
      </c>
      <c r="AO434" s="2" t="str">
        <f>IF(OR(Table1[[#This Row],[credit_score]] &lt; 600, Table1[ [#This Row],[dti_ratio] ] &gt; 0.5, Table1[[#This Row],[dpd]] &gt;=30), "high risk", " not riskY")</f>
        <v xml:space="preserve"> not riskY</v>
      </c>
      <c r="AP434" s="26">
        <f>EOMONTH(Table1[[#This Row],[origination_date]],0)</f>
        <v>45230</v>
      </c>
      <c r="AQ434" s="2">
        <f>SUMIFS(Table1[loan_amount],Table1[origination month],Table1[[#This Row],[origination month]])</f>
        <v>25021600</v>
      </c>
      <c r="AR434" s="2">
        <f>AVERAGEIFS(Table1[months_on_book],Table1[product],Table1[[#This Row],[product]])</f>
        <v>21.092024539877301</v>
      </c>
      <c r="AS434" s="2" t="str">
        <f ca="1">IF(EDATE(Table1[[#This Row],[origination_date]],6) &gt;= TODAY(), "New Loan", "Old Loan")</f>
        <v>Old Loan</v>
      </c>
      <c r="AT434" s="2" t="str">
        <f>"Q"&amp;ROUNDUP(MONTH(Table1[[#This Row],[origination_date]])/3,0)&amp;YEAR(Table1[[#This Row],[origination_date]])</f>
        <v>Q42023</v>
      </c>
      <c r="AU434" s="2">
        <f>SUMIFS(Table1[loan_amount],Table1[quarter],Table1[[#This Row],[quarter]])</f>
        <v>58386700</v>
      </c>
      <c r="AV434" s="34" t="str">
        <f>_xlfn.TEXTJOIN("|",TRUE,Table1[[#This Row],[loan_id]:[loan_status]])</f>
        <v>L51664651|C1063683|45229|Personal Loan|Online|West|Salaried|36|579500|16.19|20428|1094334|715|B|0.32|0.7|0|26|490052|170760|0|0|0|Active</v>
      </c>
      <c r="AW434" s="42">
        <f>YEAR(Loan_Table[ [#This Row],[origination_date] ])</f>
        <v>2023</v>
      </c>
    </row>
    <row r="435" spans="2:49" ht="18" customHeight="1">
      <c r="B435" s="5" t="s">
        <v>990</v>
      </c>
      <c r="C435" s="2" t="s">
        <v>991</v>
      </c>
      <c r="D435" s="3">
        <v>45287</v>
      </c>
      <c r="E435" s="2" t="s">
        <v>169</v>
      </c>
      <c r="F435" s="2" t="s">
        <v>132</v>
      </c>
      <c r="G435" s="2" t="s">
        <v>145</v>
      </c>
      <c r="H435" s="2" t="s">
        <v>134</v>
      </c>
      <c r="I435" s="2">
        <v>360</v>
      </c>
      <c r="J435" s="2">
        <v>1326500</v>
      </c>
      <c r="K435" s="2">
        <v>10.79</v>
      </c>
      <c r="L435" s="2">
        <v>12423</v>
      </c>
      <c r="M435" s="2">
        <v>547092</v>
      </c>
      <c r="N435" s="2">
        <v>687</v>
      </c>
      <c r="O435" s="2" t="s">
        <v>140</v>
      </c>
      <c r="P435" s="2">
        <v>0.32</v>
      </c>
      <c r="Q435" s="2">
        <v>0.56999999999999995</v>
      </c>
      <c r="R435" s="2">
        <v>2340000</v>
      </c>
      <c r="S435" s="2">
        <v>24</v>
      </c>
      <c r="T435" s="2">
        <v>279136</v>
      </c>
      <c r="U435" s="2">
        <v>1161867</v>
      </c>
      <c r="V435" s="2">
        <v>0</v>
      </c>
      <c r="W435" s="2">
        <v>0</v>
      </c>
      <c r="X435" s="2">
        <v>0</v>
      </c>
      <c r="Y435" s="2" t="s">
        <v>148</v>
      </c>
      <c r="Z435" s="12">
        <f>SUMIF(Table1[product],Table1[[#This Row],[product]],Table1[loan_amount])</f>
        <v>403369500</v>
      </c>
      <c r="AA435" s="15">
        <f>SUMIF(Table1[region],Table1[[#This Row],[region]],Table1[current_balance])</f>
        <v>98928695</v>
      </c>
      <c r="AB435" s="2">
        <f>COUNTIF(Table1[loan_status],Table1[[#This Row],[loan_status]])</f>
        <v>301</v>
      </c>
      <c r="AC435" s="2">
        <f>COUNTIF(Table1[default_flag],1)/ROWS(Table1[loan_id])</f>
        <v>2.5999999999999999E-2</v>
      </c>
      <c r="AD435" s="2">
        <f>COUNTIFS(Table1[region],Table1[[#This Row],[region]],Table1[default_flag],1)/COUNTIF(Table1[region],Table1[[#This Row],[region]])</f>
        <v>2.8571428571428571E-2</v>
      </c>
      <c r="AE435" s="2">
        <f>COUNTIFS(Table1[channel],Table1[[#This Row],[channel]],Table1[prepayment_flag],1)/COUNTIF(Table1[channel],Table1[[#This Row],[channel]])</f>
        <v>7.1090047393364927E-2</v>
      </c>
      <c r="AF435" s="2">
        <f>AVERAGEIFS(Table1[interest_rate_pct],Table1[product],Table1[[#This Row],[product]],Table1[risk_band],Table1[[#This Row],[risk_band]])</f>
        <v>11.719736842105268</v>
      </c>
      <c r="AG435" s="2" t="str" cm="1">
        <f t="array" ref="AG435">_xlfn.IFS(Table1[[#This Row],[dti_ratio]] &lt; 0.2, " less than 0.2", Table1[[#This Row],[dti_ratio]] &lt; 0.3, "0.2 - 0.3", Table1[[#This Row],[dti_ratio]] &lt;= 0.5, "0.35 - 0.5", Table1[[#This Row],[dti_ratio]] &gt; 0.5, "greater than 0.5")</f>
        <v>0.35 - 0.5</v>
      </c>
      <c r="AH435" s="2">
        <f>COUNTIF(Table1[DTI band],Table1[[#This Row],[DTI band]])</f>
        <v>260</v>
      </c>
      <c r="AI435" s="2" t="str" cm="1">
        <f t="array" ref="AI435">_xlfn.IFS(Table1[[#This Row],[ltv_ratio]] &lt; 0.6, "less than 0.6 -less risky", Table1[[#This Row],[ltv_ratio]]  &lt;= 0.8, "0.6 - 0.8 -medium risky",Table1[[#This Row],[ltv_ratio]] &gt; 0.8, "greater than 0.8 -highly risky")</f>
        <v>less than 0.6 -less risky</v>
      </c>
      <c r="AJ435" s="2">
        <f>COUNTIF(Table1[LTV band],Table1[[#This Row],[LTV band]])</f>
        <v>57</v>
      </c>
      <c r="AK435" s="2">
        <f>COUNTIFS(Table1[count_loan_perband],Table1[[#This Row],[count_loan_perband]],Table1[default_flag],1)/COUNTIF(Table1[count_loan_perband],Table1[[#This Row],[count_loan_perband]])</f>
        <v>0</v>
      </c>
      <c r="AL435" s="2" t="str" cm="1">
        <f t="array" ref="AL435">_xlfn.IFS(Table1[[#This Row],[loan_amount]] &lt; 900000, "lower size (&lt; 9L)", Table1[[#This Row],[loan_amount]] &lt;=3300000, "medium size (&lt;=33L)", Table1[[#This Row],[loan_amount]] &gt; 3300000, "larger size (&gt; 33L)")</f>
        <v>medium size (&lt;=33L)</v>
      </c>
      <c r="AM435" s="2">
        <f>IF(Table1[[#This Row],[dpd]] &gt;=30,1,0)</f>
        <v>0</v>
      </c>
      <c r="AN435" s="2">
        <f>COUNTIFS(Table1[Loan size],Table1[[#This Row],[Loan size]],Table1[dpd flag],1)/COUNTIF(Table1[Loan size],Table1[[#This Row],[Loan size]])</f>
        <v>0.15909090909090909</v>
      </c>
      <c r="AO435" s="2" t="str">
        <f>IF(OR(Table1[[#This Row],[credit_score]] &lt; 600, Table1[ [#This Row],[dti_ratio] ] &gt; 0.5, Table1[[#This Row],[dpd]] &gt;=30), "high risk", " not riskY")</f>
        <v xml:space="preserve"> not riskY</v>
      </c>
      <c r="AP435" s="26">
        <f>EOMONTH(Table1[[#This Row],[origination_date]],0)</f>
        <v>45291</v>
      </c>
      <c r="AQ435" s="2">
        <f>SUMIFS(Table1[loan_amount],Table1[origination month],Table1[[#This Row],[origination month]])</f>
        <v>28085400</v>
      </c>
      <c r="AR435" s="2">
        <f>AVERAGEIFS(Table1[months_on_book],Table1[product],Table1[[#This Row],[product]])</f>
        <v>20.516129032258064</v>
      </c>
      <c r="AS435" s="2" t="str">
        <f ca="1">IF(EDATE(Table1[[#This Row],[origination_date]],6) &gt;= TODAY(), "New Loan", "Old Loan")</f>
        <v>Old Loan</v>
      </c>
      <c r="AT435" s="2" t="str">
        <f>"Q"&amp;ROUNDUP(MONTH(Table1[[#This Row],[origination_date]])/3,0)&amp;YEAR(Table1[[#This Row],[origination_date]])</f>
        <v>Q42023</v>
      </c>
      <c r="AU435" s="2">
        <f>SUMIFS(Table1[loan_amount],Table1[quarter],Table1[[#This Row],[quarter]])</f>
        <v>58386700</v>
      </c>
      <c r="AV435" s="34" t="str">
        <f>_xlfn.TEXTJOIN("|",TRUE,Table1[[#This Row],[loan_id]:[loan_status]])</f>
        <v>L34501740|C5659355|45287|Home Loan|Online|Central|Salaried|360|1326500|10.79|12423|547092|687|C|0.32|0.57|2340000|24|279136|1161867|0|0|0|Active</v>
      </c>
      <c r="AW435" s="42">
        <f>YEAR(Loan_Table[ [#This Row],[origination_date] ])</f>
        <v>2023</v>
      </c>
    </row>
    <row r="436" spans="2:49" ht="18" customHeight="1">
      <c r="B436" s="5" t="s">
        <v>992</v>
      </c>
      <c r="C436" s="2" t="s">
        <v>993</v>
      </c>
      <c r="D436" s="3">
        <v>45281</v>
      </c>
      <c r="E436" s="2" t="s">
        <v>163</v>
      </c>
      <c r="F436" s="2" t="s">
        <v>144</v>
      </c>
      <c r="G436" s="2" t="s">
        <v>139</v>
      </c>
      <c r="H436" s="2" t="s">
        <v>152</v>
      </c>
      <c r="I436" s="2">
        <v>48</v>
      </c>
      <c r="J436" s="2">
        <v>727900</v>
      </c>
      <c r="K436" s="2">
        <v>12.47</v>
      </c>
      <c r="L436" s="2">
        <v>19337</v>
      </c>
      <c r="M436" s="2">
        <v>1136593</v>
      </c>
      <c r="N436" s="2">
        <v>701</v>
      </c>
      <c r="O436" s="2" t="s">
        <v>135</v>
      </c>
      <c r="P436" s="2">
        <v>0.31</v>
      </c>
      <c r="Q436" s="2">
        <v>0.55000000000000004</v>
      </c>
      <c r="R436" s="2">
        <v>1334200</v>
      </c>
      <c r="S436" s="2">
        <v>24</v>
      </c>
      <c r="T436" s="2">
        <v>460753</v>
      </c>
      <c r="U436" s="2">
        <v>339762</v>
      </c>
      <c r="V436" s="2">
        <v>45</v>
      </c>
      <c r="W436" s="2">
        <v>0</v>
      </c>
      <c r="X436" s="2">
        <v>0</v>
      </c>
      <c r="Y436" s="2" t="s">
        <v>136</v>
      </c>
      <c r="Z436" s="12">
        <f>SUMIF(Table1[product],Table1[[#This Row],[product]],Table1[loan_amount])</f>
        <v>92273000</v>
      </c>
      <c r="AA436" s="15">
        <f>SUMIF(Table1[region],Table1[[#This Row],[region]],Table1[current_balance])</f>
        <v>83903255</v>
      </c>
      <c r="AB436" s="2">
        <f>COUNTIF(Table1[loan_status],Table1[[#This Row],[loan_status]])</f>
        <v>47</v>
      </c>
      <c r="AC436" s="2">
        <f>COUNTIF(Table1[default_flag],1)/ROWS(Table1[loan_id])</f>
        <v>2.5999999999999999E-2</v>
      </c>
      <c r="AD436" s="2">
        <f>COUNTIFS(Table1[region],Table1[[#This Row],[region]],Table1[default_flag],1)/COUNTIF(Table1[region],Table1[[#This Row],[region]])</f>
        <v>4.2553191489361701E-2</v>
      </c>
      <c r="AE436" s="2">
        <f>COUNTIFS(Table1[channel],Table1[[#This Row],[channel]],Table1[prepayment_flag],1)/COUNTIF(Table1[channel],Table1[[#This Row],[channel]])</f>
        <v>5.8201058201058198E-2</v>
      </c>
      <c r="AF436" s="2">
        <f>AVERAGEIFS(Table1[interest_rate_pct],Table1[product],Table1[[#This Row],[product]],Table1[risk_band],Table1[[#This Row],[risk_band]])</f>
        <v>10.611923076923079</v>
      </c>
      <c r="AG436" s="2" t="str" cm="1">
        <f t="array" ref="AG436">_xlfn.IFS(Table1[[#This Row],[dti_ratio]] &lt; 0.2, " less than 0.2", Table1[[#This Row],[dti_ratio]] &lt; 0.3, "0.2 - 0.3", Table1[[#This Row],[dti_ratio]] &lt;= 0.5, "0.35 - 0.5", Table1[[#This Row],[dti_ratio]] &gt; 0.5, "greater than 0.5")</f>
        <v>0.35 - 0.5</v>
      </c>
      <c r="AH436" s="2">
        <f>COUNTIF(Table1[DTI band],Table1[[#This Row],[DTI band]])</f>
        <v>260</v>
      </c>
      <c r="AI436" s="2" t="str" cm="1">
        <f t="array" ref="AI436">_xlfn.IFS(Table1[[#This Row],[ltv_ratio]] &lt; 0.6, "less than 0.6 -less risky", Table1[[#This Row],[ltv_ratio]]  &lt;= 0.8, "0.6 - 0.8 -medium risky",Table1[[#This Row],[ltv_ratio]] &gt; 0.8, "greater than 0.8 -highly risky")</f>
        <v>less than 0.6 -less risky</v>
      </c>
      <c r="AJ436" s="2">
        <f>COUNTIF(Table1[LTV band],Table1[[#This Row],[LTV band]])</f>
        <v>57</v>
      </c>
      <c r="AK436" s="2">
        <f>COUNTIFS(Table1[count_loan_perband],Table1[[#This Row],[count_loan_perband]],Table1[default_flag],1)/COUNTIF(Table1[count_loan_perband],Table1[[#This Row],[count_loan_perband]])</f>
        <v>0</v>
      </c>
      <c r="AL436" s="2" t="str" cm="1">
        <f t="array" ref="AL436">_xlfn.IFS(Table1[[#This Row],[loan_amount]] &lt; 900000, "lower size (&lt; 9L)", Table1[[#This Row],[loan_amount]] &lt;=3300000, "medium size (&lt;=33L)", Table1[[#This Row],[loan_amount]] &gt; 3300000, "larger size (&gt; 33L)")</f>
        <v>lower size (&lt; 9L)</v>
      </c>
      <c r="AM436" s="2">
        <f>IF(Table1[[#This Row],[dpd]] &gt;=30,1,0)</f>
        <v>1</v>
      </c>
      <c r="AN436" s="2">
        <f>COUNTIFS(Table1[Loan size],Table1[[#This Row],[Loan size]],Table1[dpd flag],1)/COUNTIF(Table1[Loan size],Table1[[#This Row],[Loan size]])</f>
        <v>0.13934426229508196</v>
      </c>
      <c r="AO436" s="2" t="str">
        <f>IF(OR(Table1[[#This Row],[credit_score]] &lt; 600, Table1[ [#This Row],[dti_ratio] ] &gt; 0.5, Table1[[#This Row],[dpd]] &gt;=30), "high risk", " not riskY")</f>
        <v>high risk</v>
      </c>
      <c r="AP436" s="26">
        <f>EOMONTH(Table1[[#This Row],[origination_date]],0)</f>
        <v>45291</v>
      </c>
      <c r="AQ436" s="2">
        <f>SUMIFS(Table1[loan_amount],Table1[origination month],Table1[[#This Row],[origination month]])</f>
        <v>28085400</v>
      </c>
      <c r="AR436" s="2">
        <f>AVERAGEIFS(Table1[months_on_book],Table1[product],Table1[[#This Row],[product]])</f>
        <v>20.262135922330096</v>
      </c>
      <c r="AS436" s="2" t="str">
        <f ca="1">IF(EDATE(Table1[[#This Row],[origination_date]],6) &gt;= TODAY(), "New Loan", "Old Loan")</f>
        <v>Old Loan</v>
      </c>
      <c r="AT436" s="2" t="str">
        <f>"Q"&amp;ROUNDUP(MONTH(Table1[[#This Row],[origination_date]])/3,0)&amp;YEAR(Table1[[#This Row],[origination_date]])</f>
        <v>Q42023</v>
      </c>
      <c r="AU436" s="2">
        <f>SUMIFS(Table1[loan_amount],Table1[quarter],Table1[[#This Row],[quarter]])</f>
        <v>58386700</v>
      </c>
      <c r="AV436" s="34" t="str">
        <f>_xlfn.TEXTJOIN("|",TRUE,Table1[[#This Row],[loan_id]:[loan_status]])</f>
        <v>L44199230|C5934409|45281|Auto Loan|Branch|West|Self-Employed|48|727900|12.47|19337|1136593|701|B|0.31|0.55|1334200|24|460753|339762|45|0|0|Delinquent</v>
      </c>
      <c r="AW436" s="42">
        <f>YEAR(Loan_Table[ [#This Row],[origination_date] ])</f>
        <v>2023</v>
      </c>
    </row>
    <row r="437" spans="2:49" ht="18" customHeight="1">
      <c r="B437" s="5" t="s">
        <v>994</v>
      </c>
      <c r="C437" s="2" t="s">
        <v>995</v>
      </c>
      <c r="D437" s="3">
        <v>45205</v>
      </c>
      <c r="E437" s="2" t="s">
        <v>131</v>
      </c>
      <c r="F437" s="2" t="s">
        <v>144</v>
      </c>
      <c r="G437" s="2" t="s">
        <v>151</v>
      </c>
      <c r="H437" s="2" t="s">
        <v>152</v>
      </c>
      <c r="I437" s="2">
        <v>72</v>
      </c>
      <c r="J437" s="2">
        <v>246700</v>
      </c>
      <c r="K437" s="2">
        <v>17.7</v>
      </c>
      <c r="L437" s="2">
        <v>5585</v>
      </c>
      <c r="M437" s="2">
        <v>388140</v>
      </c>
      <c r="N437" s="2">
        <v>679</v>
      </c>
      <c r="O437" s="2" t="s">
        <v>140</v>
      </c>
      <c r="P437" s="2">
        <v>0.31</v>
      </c>
      <c r="Q437" s="2">
        <v>0.82</v>
      </c>
      <c r="R437" s="2">
        <v>0</v>
      </c>
      <c r="S437" s="2">
        <v>26</v>
      </c>
      <c r="T437" s="2">
        <v>130293</v>
      </c>
      <c r="U437" s="2">
        <v>154251</v>
      </c>
      <c r="V437" s="2">
        <v>0</v>
      </c>
      <c r="W437" s="2">
        <v>0</v>
      </c>
      <c r="X437" s="2">
        <v>0</v>
      </c>
      <c r="Y437" s="2" t="s">
        <v>148</v>
      </c>
      <c r="Z437" s="12">
        <f>SUMIF(Table1[product],Table1[[#This Row],[product]],Table1[loan_amount])</f>
        <v>74897600</v>
      </c>
      <c r="AA437" s="15">
        <f>SUMIF(Table1[region],Table1[[#This Row],[region]],Table1[current_balance])</f>
        <v>105779369</v>
      </c>
      <c r="AB437" s="2">
        <f>COUNTIF(Table1[loan_status],Table1[[#This Row],[loan_status]])</f>
        <v>301</v>
      </c>
      <c r="AC437" s="2">
        <f>COUNTIF(Table1[default_flag],1)/ROWS(Table1[loan_id])</f>
        <v>2.5999999999999999E-2</v>
      </c>
      <c r="AD437" s="2">
        <f>COUNTIFS(Table1[region],Table1[[#This Row],[region]],Table1[default_flag],1)/COUNTIF(Table1[region],Table1[[#This Row],[region]])</f>
        <v>2.6548672566371681E-2</v>
      </c>
      <c r="AE437" s="2">
        <f>COUNTIFS(Table1[channel],Table1[[#This Row],[channel]],Table1[prepayment_flag],1)/COUNTIF(Table1[channel],Table1[[#This Row],[channel]])</f>
        <v>5.8201058201058198E-2</v>
      </c>
      <c r="AF437" s="2">
        <f>AVERAGEIFS(Table1[interest_rate_pct],Table1[product],Table1[[#This Row],[product]],Table1[risk_band],Table1[[#This Row],[risk_band]])</f>
        <v>18.603181818181817</v>
      </c>
      <c r="AG437" s="2" t="str" cm="1">
        <f t="array" ref="AG437">_xlfn.IFS(Table1[[#This Row],[dti_ratio]] &lt; 0.2, " less than 0.2", Table1[[#This Row],[dti_ratio]] &lt; 0.3, "0.2 - 0.3", Table1[[#This Row],[dti_ratio]] &lt;= 0.5, "0.35 - 0.5", Table1[[#This Row],[dti_ratio]] &gt; 0.5, "greater than 0.5")</f>
        <v>0.35 - 0.5</v>
      </c>
      <c r="AH437" s="2">
        <f>COUNTIF(Table1[DTI band],Table1[[#This Row],[DTI band]])</f>
        <v>260</v>
      </c>
      <c r="AI437" s="2" t="str" cm="1">
        <f t="array" ref="AI437">_xlfn.IFS(Table1[[#This Row],[ltv_ratio]] &lt; 0.6, "less than 0.6 -less risky", Table1[[#This Row],[ltv_ratio]]  &lt;= 0.8, "0.6 - 0.8 -medium risky",Table1[[#This Row],[ltv_ratio]] &gt; 0.8, "greater than 0.8 -highly risky")</f>
        <v>greater than 0.8 -highly risky</v>
      </c>
      <c r="AJ437" s="2">
        <f>COUNTIF(Table1[LTV band],Table1[[#This Row],[LTV band]])</f>
        <v>141</v>
      </c>
      <c r="AK437" s="2">
        <f>COUNTIFS(Table1[count_loan_perband],Table1[[#This Row],[count_loan_perband]],Table1[default_flag],1)/COUNTIF(Table1[count_loan_perband],Table1[[#This Row],[count_loan_perband]])</f>
        <v>1.4184397163120567E-2</v>
      </c>
      <c r="AL437" s="2" t="str" cm="1">
        <f t="array" ref="AL437">_xlfn.IFS(Table1[[#This Row],[loan_amount]] &lt; 900000, "lower size (&lt; 9L)", Table1[[#This Row],[loan_amount]] &lt;=3300000, "medium size (&lt;=33L)", Table1[[#This Row],[loan_amount]] &gt; 3300000, "larger size (&gt; 33L)")</f>
        <v>lower size (&lt; 9L)</v>
      </c>
      <c r="AM437" s="2">
        <f>IF(Table1[[#This Row],[dpd]] &gt;=30,1,0)</f>
        <v>0</v>
      </c>
      <c r="AN437" s="2">
        <f>COUNTIFS(Table1[Loan size],Table1[[#This Row],[Loan size]],Table1[dpd flag],1)/COUNTIF(Table1[Loan size],Table1[[#This Row],[Loan size]])</f>
        <v>0.13934426229508196</v>
      </c>
      <c r="AO437" s="2" t="str">
        <f>IF(OR(Table1[[#This Row],[credit_score]] &lt; 600, Table1[ [#This Row],[dti_ratio] ] &gt; 0.5, Table1[[#This Row],[dpd]] &gt;=30), "high risk", " not riskY")</f>
        <v xml:space="preserve"> not riskY</v>
      </c>
      <c r="AP437" s="26">
        <f>EOMONTH(Table1[[#This Row],[origination_date]],0)</f>
        <v>45230</v>
      </c>
      <c r="AQ437" s="2">
        <f>SUMIFS(Table1[loan_amount],Table1[origination month],Table1[[#This Row],[origination month]])</f>
        <v>25021600</v>
      </c>
      <c r="AR437" s="2">
        <f>AVERAGEIFS(Table1[months_on_book],Table1[product],Table1[[#This Row],[product]])</f>
        <v>21.092024539877301</v>
      </c>
      <c r="AS437" s="2" t="str">
        <f ca="1">IF(EDATE(Table1[[#This Row],[origination_date]],6) &gt;= TODAY(), "New Loan", "Old Loan")</f>
        <v>Old Loan</v>
      </c>
      <c r="AT437" s="2" t="str">
        <f>"Q"&amp;ROUNDUP(MONTH(Table1[[#This Row],[origination_date]])/3,0)&amp;YEAR(Table1[[#This Row],[origination_date]])</f>
        <v>Q42023</v>
      </c>
      <c r="AU437" s="2">
        <f>SUMIFS(Table1[loan_amount],Table1[quarter],Table1[[#This Row],[quarter]])</f>
        <v>58386700</v>
      </c>
      <c r="AV437" s="34" t="str">
        <f>_xlfn.TEXTJOIN("|",TRUE,Table1[[#This Row],[loan_id]:[loan_status]])</f>
        <v>L69549513|C2023564|45205|Personal Loan|Branch|North|Self-Employed|72|246700|17.7|5585|388140|679|C|0.31|0.82|0|26|130293|154251|0|0|0|Active</v>
      </c>
      <c r="AW437" s="42">
        <f>YEAR(Loan_Table[ [#This Row],[origination_date] ])</f>
        <v>2023</v>
      </c>
    </row>
    <row r="438" spans="2:49" ht="18" customHeight="1">
      <c r="B438" s="5" t="s">
        <v>996</v>
      </c>
      <c r="C438" s="2" t="s">
        <v>997</v>
      </c>
      <c r="D438" s="3">
        <v>45272</v>
      </c>
      <c r="E438" s="2" t="s">
        <v>177</v>
      </c>
      <c r="F438" s="2" t="s">
        <v>213</v>
      </c>
      <c r="G438" s="2" t="s">
        <v>139</v>
      </c>
      <c r="H438" s="2" t="s">
        <v>134</v>
      </c>
      <c r="I438" s="2">
        <v>180</v>
      </c>
      <c r="J438" s="2">
        <v>831600</v>
      </c>
      <c r="K438" s="2">
        <v>12.25</v>
      </c>
      <c r="L438" s="2">
        <v>10115</v>
      </c>
      <c r="M438" s="2">
        <v>674754</v>
      </c>
      <c r="N438" s="2">
        <v>700</v>
      </c>
      <c r="O438" s="2" t="s">
        <v>135</v>
      </c>
      <c r="P438" s="2">
        <v>0.31</v>
      </c>
      <c r="Q438" s="2">
        <v>0.72</v>
      </c>
      <c r="R438" s="2">
        <v>0</v>
      </c>
      <c r="S438" s="2">
        <v>24</v>
      </c>
      <c r="T438" s="2">
        <v>214682</v>
      </c>
      <c r="U438" s="2">
        <v>698415</v>
      </c>
      <c r="V438" s="2">
        <v>15</v>
      </c>
      <c r="W438" s="2">
        <v>0</v>
      </c>
      <c r="X438" s="2">
        <v>0</v>
      </c>
      <c r="Y438" s="2" t="s">
        <v>148</v>
      </c>
      <c r="Z438" s="12">
        <f>SUMIF(Table1[product],Table1[[#This Row],[product]],Table1[loan_amount])</f>
        <v>62765800</v>
      </c>
      <c r="AA438" s="15">
        <f>SUMIF(Table1[region],Table1[[#This Row],[region]],Table1[current_balance])</f>
        <v>83903255</v>
      </c>
      <c r="AB438" s="2">
        <f>COUNTIF(Table1[loan_status],Table1[[#This Row],[loan_status]])</f>
        <v>301</v>
      </c>
      <c r="AC438" s="2">
        <f>COUNTIF(Table1[default_flag],1)/ROWS(Table1[loan_id])</f>
        <v>2.5999999999999999E-2</v>
      </c>
      <c r="AD438" s="2">
        <f>COUNTIFS(Table1[region],Table1[[#This Row],[region]],Table1[default_flag],1)/COUNTIF(Table1[region],Table1[[#This Row],[region]])</f>
        <v>4.2553191489361701E-2</v>
      </c>
      <c r="AE438" s="2">
        <f>COUNTIFS(Table1[channel],Table1[[#This Row],[channel]],Table1[prepayment_flag],1)/COUNTIF(Table1[channel],Table1[[#This Row],[channel]])</f>
        <v>0.12</v>
      </c>
      <c r="AF438" s="2">
        <f>AVERAGEIFS(Table1[interest_rate_pct],Table1[product],Table1[[#This Row],[product]],Table1[risk_band],Table1[[#This Row],[risk_band]])</f>
        <v>10.832666666666663</v>
      </c>
      <c r="AG438" s="2" t="str" cm="1">
        <f t="array" ref="AG438">_xlfn.IFS(Table1[[#This Row],[dti_ratio]] &lt; 0.2, " less than 0.2", Table1[[#This Row],[dti_ratio]] &lt; 0.3, "0.2 - 0.3", Table1[[#This Row],[dti_ratio]] &lt;= 0.5, "0.35 - 0.5", Table1[[#This Row],[dti_ratio]] &gt; 0.5, "greater than 0.5")</f>
        <v>0.35 - 0.5</v>
      </c>
      <c r="AH438" s="2">
        <f>COUNTIF(Table1[DTI band],Table1[[#This Row],[DTI band]])</f>
        <v>260</v>
      </c>
      <c r="AI438" s="2" t="str" cm="1">
        <f t="array" ref="AI438">_xlfn.IFS(Table1[[#This Row],[ltv_ratio]] &lt; 0.6, "less than 0.6 -less risky", Table1[[#This Row],[ltv_ratio]]  &lt;= 0.8, "0.6 - 0.8 -medium risky",Table1[[#This Row],[ltv_ratio]] &gt; 0.8, "greater than 0.8 -highly risky")</f>
        <v>0.6 - 0.8 -medium risky</v>
      </c>
      <c r="AJ438" s="2">
        <f>COUNTIF(Table1[LTV band],Table1[[#This Row],[LTV band]])</f>
        <v>302</v>
      </c>
      <c r="AK438" s="2">
        <f>COUNTIFS(Table1[count_loan_perband],Table1[[#This Row],[count_loan_perband]],Table1[default_flag],1)/COUNTIF(Table1[count_loan_perband],Table1[[#This Row],[count_loan_perband]])</f>
        <v>3.6423841059602648E-2</v>
      </c>
      <c r="AL438" s="2" t="str" cm="1">
        <f t="array" ref="AL438">_xlfn.IFS(Table1[[#This Row],[loan_amount]] &lt; 900000, "lower size (&lt; 9L)", Table1[[#This Row],[loan_amount]] &lt;=3300000, "medium size (&lt;=33L)", Table1[[#This Row],[loan_amount]] &gt; 3300000, "larger size (&gt; 33L)")</f>
        <v>lower size (&lt; 9L)</v>
      </c>
      <c r="AM438" s="2">
        <f>IF(Table1[[#This Row],[dpd]] &gt;=30,1,0)</f>
        <v>0</v>
      </c>
      <c r="AN438" s="2">
        <f>COUNTIFS(Table1[Loan size],Table1[[#This Row],[Loan size]],Table1[dpd flag],1)/COUNTIF(Table1[Loan size],Table1[[#This Row],[Loan size]])</f>
        <v>0.13934426229508196</v>
      </c>
      <c r="AO438" s="2" t="str">
        <f>IF(OR(Table1[[#This Row],[credit_score]] &lt; 600, Table1[ [#This Row],[dti_ratio] ] &gt; 0.5, Table1[[#This Row],[dpd]] &gt;=30), "high risk", " not riskY")</f>
        <v xml:space="preserve"> not riskY</v>
      </c>
      <c r="AP438" s="26">
        <f>EOMONTH(Table1[[#This Row],[origination_date]],0)</f>
        <v>45291</v>
      </c>
      <c r="AQ438" s="2">
        <f>SUMIFS(Table1[loan_amount],Table1[origination month],Table1[[#This Row],[origination month]])</f>
        <v>28085400</v>
      </c>
      <c r="AR438" s="2">
        <f>AVERAGEIFS(Table1[months_on_book],Table1[product],Table1[[#This Row],[product]])</f>
        <v>21.962962962962962</v>
      </c>
      <c r="AS438" s="2" t="str">
        <f ca="1">IF(EDATE(Table1[[#This Row],[origination_date]],6) &gt;= TODAY(), "New Loan", "Old Loan")</f>
        <v>Old Loan</v>
      </c>
      <c r="AT438" s="2" t="str">
        <f>"Q"&amp;ROUNDUP(MONTH(Table1[[#This Row],[origination_date]])/3,0)&amp;YEAR(Table1[[#This Row],[origination_date]])</f>
        <v>Q42023</v>
      </c>
      <c r="AU438" s="2">
        <f>SUMIFS(Table1[loan_amount],Table1[quarter],Table1[[#This Row],[quarter]])</f>
        <v>58386700</v>
      </c>
      <c r="AV438" s="34" t="str">
        <f>_xlfn.TEXTJOIN("|",TRUE,Table1[[#This Row],[loan_id]:[loan_status]])</f>
        <v>L97243597|C8644679|45272|Education Loan|Call Center|West|Salaried|180|831600|12.25|10115|674754|700|B|0.31|0.72|0|24|214682|698415|15|0|0|Active</v>
      </c>
      <c r="AW438" s="42">
        <f>YEAR(Loan_Table[ [#This Row],[origination_date] ])</f>
        <v>2023</v>
      </c>
    </row>
    <row r="439" spans="2:49" ht="18" customHeight="1">
      <c r="B439" s="5" t="s">
        <v>998</v>
      </c>
      <c r="C439" s="2" t="s">
        <v>999</v>
      </c>
      <c r="D439" s="3">
        <v>45226</v>
      </c>
      <c r="E439" s="2" t="s">
        <v>169</v>
      </c>
      <c r="F439" s="2" t="s">
        <v>132</v>
      </c>
      <c r="G439" s="2" t="s">
        <v>133</v>
      </c>
      <c r="H439" s="2" t="s">
        <v>134</v>
      </c>
      <c r="I439" s="2">
        <v>48</v>
      </c>
      <c r="J439" s="2">
        <v>4201100</v>
      </c>
      <c r="K439" s="2">
        <v>12.6</v>
      </c>
      <c r="L439" s="2">
        <v>111873</v>
      </c>
      <c r="M439" s="2">
        <v>538789</v>
      </c>
      <c r="N439" s="2">
        <v>637</v>
      </c>
      <c r="O439" s="2" t="s">
        <v>147</v>
      </c>
      <c r="P439" s="2">
        <v>0.31</v>
      </c>
      <c r="Q439" s="2">
        <v>0.85</v>
      </c>
      <c r="R439" s="2">
        <v>4960800</v>
      </c>
      <c r="S439" s="2">
        <v>26</v>
      </c>
      <c r="T439" s="2">
        <v>2856715</v>
      </c>
      <c r="U439" s="2">
        <v>1803145</v>
      </c>
      <c r="V439" s="2">
        <v>15</v>
      </c>
      <c r="W439" s="2">
        <v>0</v>
      </c>
      <c r="X439" s="2">
        <v>0</v>
      </c>
      <c r="Y439" s="2" t="s">
        <v>148</v>
      </c>
      <c r="Z439" s="12">
        <f>SUMIF(Table1[product],Table1[[#This Row],[product]],Table1[loan_amount])</f>
        <v>403369500</v>
      </c>
      <c r="AA439" s="15">
        <f>SUMIF(Table1[region],Table1[[#This Row],[region]],Table1[current_balance])</f>
        <v>94548000</v>
      </c>
      <c r="AB439" s="2">
        <f>COUNTIF(Table1[loan_status],Table1[[#This Row],[loan_status]])</f>
        <v>301</v>
      </c>
      <c r="AC439" s="2">
        <f>COUNTIF(Table1[default_flag],1)/ROWS(Table1[loan_id])</f>
        <v>2.5999999999999999E-2</v>
      </c>
      <c r="AD439" s="2">
        <f>COUNTIFS(Table1[region],Table1[[#This Row],[region]],Table1[default_flag],1)/COUNTIF(Table1[region],Table1[[#This Row],[region]])</f>
        <v>0</v>
      </c>
      <c r="AE439" s="2">
        <f>COUNTIFS(Table1[channel],Table1[[#This Row],[channel]],Table1[prepayment_flag],1)/COUNTIF(Table1[channel],Table1[[#This Row],[channel]])</f>
        <v>7.1090047393364927E-2</v>
      </c>
      <c r="AF439" s="2">
        <f>AVERAGEIFS(Table1[interest_rate_pct],Table1[product],Table1[[#This Row],[product]],Table1[risk_band],Table1[[#This Row],[risk_band]])</f>
        <v>13.406874999999999</v>
      </c>
      <c r="AG439" s="2" t="str" cm="1">
        <f t="array" ref="AG439">_xlfn.IFS(Table1[[#This Row],[dti_ratio]] &lt; 0.2, " less than 0.2", Table1[[#This Row],[dti_ratio]] &lt; 0.3, "0.2 - 0.3", Table1[[#This Row],[dti_ratio]] &lt;= 0.5, "0.35 - 0.5", Table1[[#This Row],[dti_ratio]] &gt; 0.5, "greater than 0.5")</f>
        <v>0.35 - 0.5</v>
      </c>
      <c r="AH439" s="2">
        <f>COUNTIF(Table1[DTI band],Table1[[#This Row],[DTI band]])</f>
        <v>260</v>
      </c>
      <c r="AI439" s="2" t="str" cm="1">
        <f t="array" ref="AI439">_xlfn.IFS(Table1[[#This Row],[ltv_ratio]] &lt; 0.6, "less than 0.6 -less risky", Table1[[#This Row],[ltv_ratio]]  &lt;= 0.8, "0.6 - 0.8 -medium risky",Table1[[#This Row],[ltv_ratio]] &gt; 0.8, "greater than 0.8 -highly risky")</f>
        <v>greater than 0.8 -highly risky</v>
      </c>
      <c r="AJ439" s="2">
        <f>COUNTIF(Table1[LTV band],Table1[[#This Row],[LTV band]])</f>
        <v>141</v>
      </c>
      <c r="AK439" s="2">
        <f>COUNTIFS(Table1[count_loan_perband],Table1[[#This Row],[count_loan_perband]],Table1[default_flag],1)/COUNTIF(Table1[count_loan_perband],Table1[[#This Row],[count_loan_perband]])</f>
        <v>1.4184397163120567E-2</v>
      </c>
      <c r="AL439" s="2" t="str" cm="1">
        <f t="array" ref="AL439">_xlfn.IFS(Table1[[#This Row],[loan_amount]] &lt; 900000, "lower size (&lt; 9L)", Table1[[#This Row],[loan_amount]] &lt;=3300000, "medium size (&lt;=33L)", Table1[[#This Row],[loan_amount]] &gt; 3300000, "larger size (&gt; 33L)")</f>
        <v>larger size (&gt; 33L)</v>
      </c>
      <c r="AM439" s="2">
        <f>IF(Table1[[#This Row],[dpd]] &gt;=30,1,0)</f>
        <v>0</v>
      </c>
      <c r="AN439" s="2">
        <f>COUNTIFS(Table1[Loan size],Table1[[#This Row],[Loan size]],Table1[dpd flag],1)/COUNTIF(Table1[Loan size],Table1[[#This Row],[Loan size]])</f>
        <v>0.16250000000000001</v>
      </c>
      <c r="AO439" s="2" t="str">
        <f>IF(OR(Table1[[#This Row],[credit_score]] &lt; 600, Table1[ [#This Row],[dti_ratio] ] &gt; 0.5, Table1[[#This Row],[dpd]] &gt;=30), "high risk", " not riskY")</f>
        <v xml:space="preserve"> not riskY</v>
      </c>
      <c r="AP439" s="26">
        <f>EOMONTH(Table1[[#This Row],[origination_date]],0)</f>
        <v>45230</v>
      </c>
      <c r="AQ439" s="2">
        <f>SUMIFS(Table1[loan_amount],Table1[origination month],Table1[[#This Row],[origination month]])</f>
        <v>25021600</v>
      </c>
      <c r="AR439" s="2">
        <f>AVERAGEIFS(Table1[months_on_book],Table1[product],Table1[[#This Row],[product]])</f>
        <v>20.516129032258064</v>
      </c>
      <c r="AS439" s="2" t="str">
        <f ca="1">IF(EDATE(Table1[[#This Row],[origination_date]],6) &gt;= TODAY(), "New Loan", "Old Loan")</f>
        <v>Old Loan</v>
      </c>
      <c r="AT439" s="2" t="str">
        <f>"Q"&amp;ROUNDUP(MONTH(Table1[[#This Row],[origination_date]])/3,0)&amp;YEAR(Table1[[#This Row],[origination_date]])</f>
        <v>Q42023</v>
      </c>
      <c r="AU439" s="2">
        <f>SUMIFS(Table1[loan_amount],Table1[quarter],Table1[[#This Row],[quarter]])</f>
        <v>58386700</v>
      </c>
      <c r="AV439" s="34" t="str">
        <f>_xlfn.TEXTJOIN("|",TRUE,Table1[[#This Row],[loan_id]:[loan_status]])</f>
        <v>L78173910|C3829959|45226|Home Loan|Online|South|Salaried|48|4201100|12.6|111873|538789|637|D|0.31|0.85|4960800|26|2856715|1803145|15|0|0|Active</v>
      </c>
      <c r="AW439" s="42">
        <f>YEAR(Loan_Table[ [#This Row],[origination_date] ])</f>
        <v>2023</v>
      </c>
    </row>
    <row r="440" spans="2:49" ht="18" customHeight="1">
      <c r="B440" s="5" t="s">
        <v>1000</v>
      </c>
      <c r="C440" s="2" t="s">
        <v>1001</v>
      </c>
      <c r="D440" s="3">
        <v>45267</v>
      </c>
      <c r="E440" s="2" t="s">
        <v>131</v>
      </c>
      <c r="F440" s="2" t="s">
        <v>144</v>
      </c>
      <c r="G440" s="2" t="s">
        <v>145</v>
      </c>
      <c r="H440" s="2" t="s">
        <v>146</v>
      </c>
      <c r="I440" s="2">
        <v>120</v>
      </c>
      <c r="J440" s="2">
        <v>418400</v>
      </c>
      <c r="K440" s="2">
        <v>17.27</v>
      </c>
      <c r="L440" s="2">
        <v>7343</v>
      </c>
      <c r="M440" s="2">
        <v>1488834</v>
      </c>
      <c r="N440" s="2">
        <v>701</v>
      </c>
      <c r="O440" s="2" t="s">
        <v>135</v>
      </c>
      <c r="P440" s="2">
        <v>0.3</v>
      </c>
      <c r="Q440" s="2">
        <v>0.66</v>
      </c>
      <c r="R440" s="2">
        <v>0</v>
      </c>
      <c r="S440" s="2">
        <v>24</v>
      </c>
      <c r="T440" s="2">
        <v>174120</v>
      </c>
      <c r="U440" s="2">
        <v>302086</v>
      </c>
      <c r="V440" s="2">
        <v>0</v>
      </c>
      <c r="W440" s="2">
        <v>0</v>
      </c>
      <c r="X440" s="2">
        <v>0</v>
      </c>
      <c r="Y440" s="2" t="s">
        <v>148</v>
      </c>
      <c r="Z440" s="12">
        <f>SUMIF(Table1[product],Table1[[#This Row],[product]],Table1[loan_amount])</f>
        <v>74897600</v>
      </c>
      <c r="AA440" s="15">
        <f>SUMIF(Table1[region],Table1[[#This Row],[region]],Table1[current_balance])</f>
        <v>98928695</v>
      </c>
      <c r="AB440" s="2">
        <f>COUNTIF(Table1[loan_status],Table1[[#This Row],[loan_status]])</f>
        <v>301</v>
      </c>
      <c r="AC440" s="2">
        <f>COUNTIF(Table1[default_flag],1)/ROWS(Table1[loan_id])</f>
        <v>2.5999999999999999E-2</v>
      </c>
      <c r="AD440" s="2">
        <f>COUNTIFS(Table1[region],Table1[[#This Row],[region]],Table1[default_flag],1)/COUNTIF(Table1[region],Table1[[#This Row],[region]])</f>
        <v>2.8571428571428571E-2</v>
      </c>
      <c r="AE440" s="2">
        <f>COUNTIFS(Table1[channel],Table1[[#This Row],[channel]],Table1[prepayment_flag],1)/COUNTIF(Table1[channel],Table1[[#This Row],[channel]])</f>
        <v>5.8201058201058198E-2</v>
      </c>
      <c r="AF440" s="2">
        <f>AVERAGEIFS(Table1[interest_rate_pct],Table1[product],Table1[[#This Row],[product]],Table1[risk_band],Table1[[#This Row],[risk_band]])</f>
        <v>16.500166666666669</v>
      </c>
      <c r="AG440" s="2" t="str" cm="1">
        <f t="array" ref="AG440">_xlfn.IFS(Table1[[#This Row],[dti_ratio]] &lt; 0.2, " less than 0.2", Table1[[#This Row],[dti_ratio]] &lt; 0.3, "0.2 - 0.3", Table1[[#This Row],[dti_ratio]] &lt;= 0.5, "0.35 - 0.5", Table1[[#This Row],[dti_ratio]] &gt; 0.5, "greater than 0.5")</f>
        <v>0.35 - 0.5</v>
      </c>
      <c r="AH440" s="2">
        <f>COUNTIF(Table1[DTI band],Table1[[#This Row],[DTI band]])</f>
        <v>260</v>
      </c>
      <c r="AI440" s="2" t="str" cm="1">
        <f t="array" ref="AI440">_xlfn.IFS(Table1[[#This Row],[ltv_ratio]] &lt; 0.6, "less than 0.6 -less risky", Table1[[#This Row],[ltv_ratio]]  &lt;= 0.8, "0.6 - 0.8 -medium risky",Table1[[#This Row],[ltv_ratio]] &gt; 0.8, "greater than 0.8 -highly risky")</f>
        <v>0.6 - 0.8 -medium risky</v>
      </c>
      <c r="AJ440" s="2">
        <f>COUNTIF(Table1[LTV band],Table1[[#This Row],[LTV band]])</f>
        <v>302</v>
      </c>
      <c r="AK440" s="2">
        <f>COUNTIFS(Table1[count_loan_perband],Table1[[#This Row],[count_loan_perband]],Table1[default_flag],1)/COUNTIF(Table1[count_loan_perband],Table1[[#This Row],[count_loan_perband]])</f>
        <v>3.6423841059602648E-2</v>
      </c>
      <c r="AL440" s="2" t="str" cm="1">
        <f t="array" ref="AL440">_xlfn.IFS(Table1[[#This Row],[loan_amount]] &lt; 900000, "lower size (&lt; 9L)", Table1[[#This Row],[loan_amount]] &lt;=3300000, "medium size (&lt;=33L)", Table1[[#This Row],[loan_amount]] &gt; 3300000, "larger size (&gt; 33L)")</f>
        <v>lower size (&lt; 9L)</v>
      </c>
      <c r="AM440" s="2">
        <f>IF(Table1[[#This Row],[dpd]] &gt;=30,1,0)</f>
        <v>0</v>
      </c>
      <c r="AN440" s="2">
        <f>COUNTIFS(Table1[Loan size],Table1[[#This Row],[Loan size]],Table1[dpd flag],1)/COUNTIF(Table1[Loan size],Table1[[#This Row],[Loan size]])</f>
        <v>0.13934426229508196</v>
      </c>
      <c r="AO440" s="2" t="str">
        <f>IF(OR(Table1[[#This Row],[credit_score]] &lt; 600, Table1[ [#This Row],[dti_ratio] ] &gt; 0.5, Table1[[#This Row],[dpd]] &gt;=30), "high risk", " not riskY")</f>
        <v xml:space="preserve"> not riskY</v>
      </c>
      <c r="AP440" s="26">
        <f>EOMONTH(Table1[[#This Row],[origination_date]],0)</f>
        <v>45291</v>
      </c>
      <c r="AQ440" s="2">
        <f>SUMIFS(Table1[loan_amount],Table1[origination month],Table1[[#This Row],[origination month]])</f>
        <v>28085400</v>
      </c>
      <c r="AR440" s="2">
        <f>AVERAGEIFS(Table1[months_on_book],Table1[product],Table1[[#This Row],[product]])</f>
        <v>21.092024539877301</v>
      </c>
      <c r="AS440" s="2" t="str">
        <f ca="1">IF(EDATE(Table1[[#This Row],[origination_date]],6) &gt;= TODAY(), "New Loan", "Old Loan")</f>
        <v>Old Loan</v>
      </c>
      <c r="AT440" s="2" t="str">
        <f>"Q"&amp;ROUNDUP(MONTH(Table1[[#This Row],[origination_date]])/3,0)&amp;YEAR(Table1[[#This Row],[origination_date]])</f>
        <v>Q42023</v>
      </c>
      <c r="AU440" s="2">
        <f>SUMIFS(Table1[loan_amount],Table1[quarter],Table1[[#This Row],[quarter]])</f>
        <v>58386700</v>
      </c>
      <c r="AV440" s="34" t="str">
        <f>_xlfn.TEXTJOIN("|",TRUE,Table1[[#This Row],[loan_id]:[loan_status]])</f>
        <v>L32093304|C2257915|45267|Personal Loan|Branch|Central|Contract|120|418400|17.27|7343|1488834|701|B|0.3|0.66|0|24|174120|302086|0|0|0|Active</v>
      </c>
      <c r="AW440" s="42">
        <f>YEAR(Loan_Table[ [#This Row],[origination_date] ])</f>
        <v>2023</v>
      </c>
    </row>
    <row r="441" spans="2:49" ht="18" customHeight="1">
      <c r="B441" s="5" t="s">
        <v>1002</v>
      </c>
      <c r="C441" s="2" t="s">
        <v>1003</v>
      </c>
      <c r="D441" s="3">
        <v>45220</v>
      </c>
      <c r="E441" s="2" t="s">
        <v>177</v>
      </c>
      <c r="F441" s="2" t="s">
        <v>132</v>
      </c>
      <c r="G441" s="2" t="s">
        <v>145</v>
      </c>
      <c r="H441" s="2" t="s">
        <v>146</v>
      </c>
      <c r="I441" s="2">
        <v>60</v>
      </c>
      <c r="J441" s="2">
        <v>382600</v>
      </c>
      <c r="K441" s="2">
        <v>7</v>
      </c>
      <c r="L441" s="2">
        <v>7576</v>
      </c>
      <c r="M441" s="2">
        <v>993857</v>
      </c>
      <c r="N441" s="2">
        <v>850</v>
      </c>
      <c r="O441" s="2" t="s">
        <v>160</v>
      </c>
      <c r="P441" s="2">
        <v>0.28999999999999998</v>
      </c>
      <c r="Q441" s="2">
        <v>0.79</v>
      </c>
      <c r="R441" s="2">
        <v>0</v>
      </c>
      <c r="S441" s="2">
        <v>26</v>
      </c>
      <c r="T441" s="2">
        <v>169769</v>
      </c>
      <c r="U441" s="2">
        <v>236042</v>
      </c>
      <c r="V441" s="2">
        <v>0</v>
      </c>
      <c r="W441" s="2">
        <v>0</v>
      </c>
      <c r="X441" s="2">
        <v>0</v>
      </c>
      <c r="Y441" s="2" t="s">
        <v>148</v>
      </c>
      <c r="Z441" s="12">
        <f>SUMIF(Table1[product],Table1[[#This Row],[product]],Table1[loan_amount])</f>
        <v>62765800</v>
      </c>
      <c r="AA441" s="15">
        <f>SUMIF(Table1[region],Table1[[#This Row],[region]],Table1[current_balance])</f>
        <v>98928695</v>
      </c>
      <c r="AB441" s="2">
        <f>COUNTIF(Table1[loan_status],Table1[[#This Row],[loan_status]])</f>
        <v>301</v>
      </c>
      <c r="AC441" s="2">
        <f>COUNTIF(Table1[default_flag],1)/ROWS(Table1[loan_id])</f>
        <v>2.5999999999999999E-2</v>
      </c>
      <c r="AD441" s="2">
        <f>COUNTIFS(Table1[region],Table1[[#This Row],[region]],Table1[default_flag],1)/COUNTIF(Table1[region],Table1[[#This Row],[region]])</f>
        <v>2.8571428571428571E-2</v>
      </c>
      <c r="AE441" s="2">
        <f>COUNTIFS(Table1[channel],Table1[[#This Row],[channel]],Table1[prepayment_flag],1)/COUNTIF(Table1[channel],Table1[[#This Row],[channel]])</f>
        <v>7.1090047393364927E-2</v>
      </c>
      <c r="AF441" s="2">
        <f>AVERAGEIFS(Table1[interest_rate_pct],Table1[product],Table1[[#This Row],[product]],Table1[risk_band],Table1[[#This Row],[risk_band]])</f>
        <v>8.5057142857142871</v>
      </c>
      <c r="AG441" s="2" t="str" cm="1">
        <f t="array" ref="AG441">_xlfn.IFS(Table1[[#This Row],[dti_ratio]] &lt; 0.2, " less than 0.2", Table1[[#This Row],[dti_ratio]] &lt; 0.3, "0.2 - 0.3", Table1[[#This Row],[dti_ratio]] &lt;= 0.5, "0.35 - 0.5", Table1[[#This Row],[dti_ratio]] &gt; 0.5, "greater than 0.5")</f>
        <v>0.2 - 0.3</v>
      </c>
      <c r="AH441" s="2">
        <f>COUNTIF(Table1[DTI band],Table1[[#This Row],[DTI band]])</f>
        <v>122</v>
      </c>
      <c r="AI441" s="2" t="str" cm="1">
        <f t="array" ref="AI441">_xlfn.IFS(Table1[[#This Row],[ltv_ratio]] &lt; 0.6, "less than 0.6 -less risky", Table1[[#This Row],[ltv_ratio]]  &lt;= 0.8, "0.6 - 0.8 -medium risky",Table1[[#This Row],[ltv_ratio]] &gt; 0.8, "greater than 0.8 -highly risky")</f>
        <v>0.6 - 0.8 -medium risky</v>
      </c>
      <c r="AJ441" s="2">
        <f>COUNTIF(Table1[LTV band],Table1[[#This Row],[LTV band]])</f>
        <v>302</v>
      </c>
      <c r="AK441" s="2">
        <f>COUNTIFS(Table1[count_loan_perband],Table1[[#This Row],[count_loan_perband]],Table1[default_flag],1)/COUNTIF(Table1[count_loan_perband],Table1[[#This Row],[count_loan_perband]])</f>
        <v>3.6423841059602648E-2</v>
      </c>
      <c r="AL441" s="2" t="str" cm="1">
        <f t="array" ref="AL441">_xlfn.IFS(Table1[[#This Row],[loan_amount]] &lt; 900000, "lower size (&lt; 9L)", Table1[[#This Row],[loan_amount]] &lt;=3300000, "medium size (&lt;=33L)", Table1[[#This Row],[loan_amount]] &gt; 3300000, "larger size (&gt; 33L)")</f>
        <v>lower size (&lt; 9L)</v>
      </c>
      <c r="AM441" s="2">
        <f>IF(Table1[[#This Row],[dpd]] &gt;=30,1,0)</f>
        <v>0</v>
      </c>
      <c r="AN441" s="2">
        <f>COUNTIFS(Table1[Loan size],Table1[[#This Row],[Loan size]],Table1[dpd flag],1)/COUNTIF(Table1[Loan size],Table1[[#This Row],[Loan size]])</f>
        <v>0.13934426229508196</v>
      </c>
      <c r="AO441" s="2" t="str">
        <f>IF(OR(Table1[[#This Row],[credit_score]] &lt; 600, Table1[ [#This Row],[dti_ratio] ] &gt; 0.5, Table1[[#This Row],[dpd]] &gt;=30), "high risk", " not riskY")</f>
        <v xml:space="preserve"> not riskY</v>
      </c>
      <c r="AP441" s="26">
        <f>EOMONTH(Table1[[#This Row],[origination_date]],0)</f>
        <v>45230</v>
      </c>
      <c r="AQ441" s="2">
        <f>SUMIFS(Table1[loan_amount],Table1[origination month],Table1[[#This Row],[origination month]])</f>
        <v>25021600</v>
      </c>
      <c r="AR441" s="2">
        <f>AVERAGEIFS(Table1[months_on_book],Table1[product],Table1[[#This Row],[product]])</f>
        <v>21.962962962962962</v>
      </c>
      <c r="AS441" s="2" t="str">
        <f ca="1">IF(EDATE(Table1[[#This Row],[origination_date]],6) &gt;= TODAY(), "New Loan", "Old Loan")</f>
        <v>Old Loan</v>
      </c>
      <c r="AT441" s="2" t="str">
        <f>"Q"&amp;ROUNDUP(MONTH(Table1[[#This Row],[origination_date]])/3,0)&amp;YEAR(Table1[[#This Row],[origination_date]])</f>
        <v>Q42023</v>
      </c>
      <c r="AU441" s="2">
        <f>SUMIFS(Table1[loan_amount],Table1[quarter],Table1[[#This Row],[quarter]])</f>
        <v>58386700</v>
      </c>
      <c r="AV441" s="34" t="str">
        <f>_xlfn.TEXTJOIN("|",TRUE,Table1[[#This Row],[loan_id]:[loan_status]])</f>
        <v>L74520117|C7549738|45220|Education Loan|Online|Central|Contract|60|382600|7|7576|993857|850|A|0.29|0.79|0|26|169769|236042|0|0|0|Active</v>
      </c>
      <c r="AW441" s="42">
        <f>YEAR(Loan_Table[ [#This Row],[origination_date] ])</f>
        <v>2023</v>
      </c>
    </row>
    <row r="442" spans="2:49" ht="18" customHeight="1">
      <c r="B442" s="5" t="s">
        <v>1004</v>
      </c>
      <c r="C442" s="2" t="s">
        <v>1005</v>
      </c>
      <c r="D442" s="3">
        <v>45247</v>
      </c>
      <c r="E442" s="2" t="s">
        <v>163</v>
      </c>
      <c r="F442" s="2" t="s">
        <v>132</v>
      </c>
      <c r="G442" s="2" t="s">
        <v>145</v>
      </c>
      <c r="H442" s="2" t="s">
        <v>134</v>
      </c>
      <c r="I442" s="2">
        <v>18</v>
      </c>
      <c r="J442" s="2">
        <v>154500</v>
      </c>
      <c r="K442" s="2">
        <v>11.05</v>
      </c>
      <c r="L442" s="2">
        <v>9354</v>
      </c>
      <c r="M442" s="2">
        <v>884055</v>
      </c>
      <c r="N442" s="2">
        <v>703</v>
      </c>
      <c r="O442" s="2" t="s">
        <v>135</v>
      </c>
      <c r="P442" s="2">
        <v>0.28999999999999998</v>
      </c>
      <c r="Q442" s="2">
        <v>0.61</v>
      </c>
      <c r="R442" s="2">
        <v>251300</v>
      </c>
      <c r="S442" s="2">
        <v>18</v>
      </c>
      <c r="T442" s="2">
        <v>161863</v>
      </c>
      <c r="U442" s="2">
        <v>2880</v>
      </c>
      <c r="V442" s="2">
        <v>0</v>
      </c>
      <c r="W442" s="2">
        <v>0</v>
      </c>
      <c r="X442" s="2">
        <v>0</v>
      </c>
      <c r="Y442" s="2" t="s">
        <v>141</v>
      </c>
      <c r="Z442" s="12">
        <f>SUMIF(Table1[product],Table1[[#This Row],[product]],Table1[loan_amount])</f>
        <v>92273000</v>
      </c>
      <c r="AA442" s="15">
        <f>SUMIF(Table1[region],Table1[[#This Row],[region]],Table1[current_balance])</f>
        <v>98928695</v>
      </c>
      <c r="AB442" s="2">
        <f>COUNTIF(Table1[loan_status],Table1[[#This Row],[loan_status]])</f>
        <v>139</v>
      </c>
      <c r="AC442" s="2">
        <f>COUNTIF(Table1[default_flag],1)/ROWS(Table1[loan_id])</f>
        <v>2.5999999999999999E-2</v>
      </c>
      <c r="AD442" s="2">
        <f>COUNTIFS(Table1[region],Table1[[#This Row],[region]],Table1[default_flag],1)/COUNTIF(Table1[region],Table1[[#This Row],[region]])</f>
        <v>2.8571428571428571E-2</v>
      </c>
      <c r="AE442" s="2">
        <f>COUNTIFS(Table1[channel],Table1[[#This Row],[channel]],Table1[prepayment_flag],1)/COUNTIF(Table1[channel],Table1[[#This Row],[channel]])</f>
        <v>7.1090047393364927E-2</v>
      </c>
      <c r="AF442" s="2">
        <f>AVERAGEIFS(Table1[interest_rate_pct],Table1[product],Table1[[#This Row],[product]],Table1[risk_band],Table1[[#This Row],[risk_band]])</f>
        <v>10.611923076923079</v>
      </c>
      <c r="AG442" s="2" t="str" cm="1">
        <f t="array" ref="AG442">_xlfn.IFS(Table1[[#This Row],[dti_ratio]] &lt; 0.2, " less than 0.2", Table1[[#This Row],[dti_ratio]] &lt; 0.3, "0.2 - 0.3", Table1[[#This Row],[dti_ratio]] &lt;= 0.5, "0.35 - 0.5", Table1[[#This Row],[dti_ratio]] &gt; 0.5, "greater than 0.5")</f>
        <v>0.2 - 0.3</v>
      </c>
      <c r="AH442" s="2">
        <f>COUNTIF(Table1[DTI band],Table1[[#This Row],[DTI band]])</f>
        <v>122</v>
      </c>
      <c r="AI442" s="2" t="str" cm="1">
        <f t="array" ref="AI442">_xlfn.IFS(Table1[[#This Row],[ltv_ratio]] &lt; 0.6, "less than 0.6 -less risky", Table1[[#This Row],[ltv_ratio]]  &lt;= 0.8, "0.6 - 0.8 -medium risky",Table1[[#This Row],[ltv_ratio]] &gt; 0.8, "greater than 0.8 -highly risky")</f>
        <v>0.6 - 0.8 -medium risky</v>
      </c>
      <c r="AJ442" s="2">
        <f>COUNTIF(Table1[LTV band],Table1[[#This Row],[LTV band]])</f>
        <v>302</v>
      </c>
      <c r="AK442" s="2">
        <f>COUNTIFS(Table1[count_loan_perband],Table1[[#This Row],[count_loan_perband]],Table1[default_flag],1)/COUNTIF(Table1[count_loan_perband],Table1[[#This Row],[count_loan_perband]])</f>
        <v>3.6423841059602648E-2</v>
      </c>
      <c r="AL442" s="2" t="str" cm="1">
        <f t="array" ref="AL442">_xlfn.IFS(Table1[[#This Row],[loan_amount]] &lt; 900000, "lower size (&lt; 9L)", Table1[[#This Row],[loan_amount]] &lt;=3300000, "medium size (&lt;=33L)", Table1[[#This Row],[loan_amount]] &gt; 3300000, "larger size (&gt; 33L)")</f>
        <v>lower size (&lt; 9L)</v>
      </c>
      <c r="AM442" s="2">
        <f>IF(Table1[[#This Row],[dpd]] &gt;=30,1,0)</f>
        <v>0</v>
      </c>
      <c r="AN442" s="2">
        <f>COUNTIFS(Table1[Loan size],Table1[[#This Row],[Loan size]],Table1[dpd flag],1)/COUNTIF(Table1[Loan size],Table1[[#This Row],[Loan size]])</f>
        <v>0.13934426229508196</v>
      </c>
      <c r="AO442" s="2" t="str">
        <f>IF(OR(Table1[[#This Row],[credit_score]] &lt; 600, Table1[ [#This Row],[dti_ratio] ] &gt; 0.5, Table1[[#This Row],[dpd]] &gt;=30), "high risk", " not riskY")</f>
        <v xml:space="preserve"> not riskY</v>
      </c>
      <c r="AP442" s="26">
        <f>EOMONTH(Table1[[#This Row],[origination_date]],0)</f>
        <v>45260</v>
      </c>
      <c r="AQ442" s="2">
        <f>SUMIFS(Table1[loan_amount],Table1[origination month],Table1[[#This Row],[origination month]])</f>
        <v>5279700</v>
      </c>
      <c r="AR442" s="2">
        <f>AVERAGEIFS(Table1[months_on_book],Table1[product],Table1[[#This Row],[product]])</f>
        <v>20.262135922330096</v>
      </c>
      <c r="AS442" s="2" t="str">
        <f ca="1">IF(EDATE(Table1[[#This Row],[origination_date]],6) &gt;= TODAY(), "New Loan", "Old Loan")</f>
        <v>Old Loan</v>
      </c>
      <c r="AT442" s="2" t="str">
        <f>"Q"&amp;ROUNDUP(MONTH(Table1[[#This Row],[origination_date]])/3,0)&amp;YEAR(Table1[[#This Row],[origination_date]])</f>
        <v>Q42023</v>
      </c>
      <c r="AU442" s="2">
        <f>SUMIFS(Table1[loan_amount],Table1[quarter],Table1[[#This Row],[quarter]])</f>
        <v>58386700</v>
      </c>
      <c r="AV442" s="34" t="str">
        <f>_xlfn.TEXTJOIN("|",TRUE,Table1[[#This Row],[loan_id]:[loan_status]])</f>
        <v>L22577723|C6546556|45247|Auto Loan|Online|Central|Salaried|18|154500|11.05|9354|884055|703|B|0.29|0.61|251300|18|161863|2880|0|0|0|Closed</v>
      </c>
      <c r="AW442" s="42">
        <f>YEAR(Loan_Table[ [#This Row],[origination_date] ])</f>
        <v>2023</v>
      </c>
    </row>
    <row r="443" spans="2:49" ht="18" customHeight="1">
      <c r="B443" s="5" t="s">
        <v>1006</v>
      </c>
      <c r="C443" s="2" t="s">
        <v>1007</v>
      </c>
      <c r="D443" s="3">
        <v>45204</v>
      </c>
      <c r="E443" s="2" t="s">
        <v>177</v>
      </c>
      <c r="F443" s="2" t="s">
        <v>132</v>
      </c>
      <c r="G443" s="2" t="s">
        <v>151</v>
      </c>
      <c r="H443" s="2" t="s">
        <v>152</v>
      </c>
      <c r="I443" s="2">
        <v>18</v>
      </c>
      <c r="J443" s="2">
        <v>1405200</v>
      </c>
      <c r="K443" s="2">
        <v>7.63</v>
      </c>
      <c r="L443" s="2">
        <v>82867</v>
      </c>
      <c r="M443" s="2">
        <v>1093577</v>
      </c>
      <c r="N443" s="2">
        <v>771</v>
      </c>
      <c r="O443" s="2" t="s">
        <v>160</v>
      </c>
      <c r="P443" s="2">
        <v>0.28999999999999998</v>
      </c>
      <c r="Q443" s="2">
        <v>0.77</v>
      </c>
      <c r="R443" s="2">
        <v>0</v>
      </c>
      <c r="S443" s="2">
        <v>18</v>
      </c>
      <c r="T443" s="2">
        <v>1393963</v>
      </c>
      <c r="U443" s="2">
        <v>75567</v>
      </c>
      <c r="V443" s="2">
        <v>0</v>
      </c>
      <c r="W443" s="2">
        <v>0</v>
      </c>
      <c r="X443" s="2">
        <v>0</v>
      </c>
      <c r="Y443" s="2" t="s">
        <v>141</v>
      </c>
      <c r="Z443" s="12">
        <f>SUMIF(Table1[product],Table1[[#This Row],[product]],Table1[loan_amount])</f>
        <v>62765800</v>
      </c>
      <c r="AA443" s="15">
        <f>SUMIF(Table1[region],Table1[[#This Row],[region]],Table1[current_balance])</f>
        <v>105779369</v>
      </c>
      <c r="AB443" s="2">
        <f>COUNTIF(Table1[loan_status],Table1[[#This Row],[loan_status]])</f>
        <v>139</v>
      </c>
      <c r="AC443" s="2">
        <f>COUNTIF(Table1[default_flag],1)/ROWS(Table1[loan_id])</f>
        <v>2.5999999999999999E-2</v>
      </c>
      <c r="AD443" s="2">
        <f>COUNTIFS(Table1[region],Table1[[#This Row],[region]],Table1[default_flag],1)/COUNTIF(Table1[region],Table1[[#This Row],[region]])</f>
        <v>2.6548672566371681E-2</v>
      </c>
      <c r="AE443" s="2">
        <f>COUNTIFS(Table1[channel],Table1[[#This Row],[channel]],Table1[prepayment_flag],1)/COUNTIF(Table1[channel],Table1[[#This Row],[channel]])</f>
        <v>7.1090047393364927E-2</v>
      </c>
      <c r="AF443" s="2">
        <f>AVERAGEIFS(Table1[interest_rate_pct],Table1[product],Table1[[#This Row],[product]],Table1[risk_band],Table1[[#This Row],[risk_band]])</f>
        <v>8.5057142857142871</v>
      </c>
      <c r="AG443" s="2" t="str" cm="1">
        <f t="array" ref="AG443">_xlfn.IFS(Table1[[#This Row],[dti_ratio]] &lt; 0.2, " less than 0.2", Table1[[#This Row],[dti_ratio]] &lt; 0.3, "0.2 - 0.3", Table1[[#This Row],[dti_ratio]] &lt;= 0.5, "0.35 - 0.5", Table1[[#This Row],[dti_ratio]] &gt; 0.5, "greater than 0.5")</f>
        <v>0.2 - 0.3</v>
      </c>
      <c r="AH443" s="2">
        <f>COUNTIF(Table1[DTI band],Table1[[#This Row],[DTI band]])</f>
        <v>122</v>
      </c>
      <c r="AI443" s="2" t="str" cm="1">
        <f t="array" ref="AI443">_xlfn.IFS(Table1[[#This Row],[ltv_ratio]] &lt; 0.6, "less than 0.6 -less risky", Table1[[#This Row],[ltv_ratio]]  &lt;= 0.8, "0.6 - 0.8 -medium risky",Table1[[#This Row],[ltv_ratio]] &gt; 0.8, "greater than 0.8 -highly risky")</f>
        <v>0.6 - 0.8 -medium risky</v>
      </c>
      <c r="AJ443" s="2">
        <f>COUNTIF(Table1[LTV band],Table1[[#This Row],[LTV band]])</f>
        <v>302</v>
      </c>
      <c r="AK443" s="2">
        <f>COUNTIFS(Table1[count_loan_perband],Table1[[#This Row],[count_loan_perband]],Table1[default_flag],1)/COUNTIF(Table1[count_loan_perband],Table1[[#This Row],[count_loan_perband]])</f>
        <v>3.6423841059602648E-2</v>
      </c>
      <c r="AL443" s="2" t="str" cm="1">
        <f t="array" ref="AL443">_xlfn.IFS(Table1[[#This Row],[loan_amount]] &lt; 900000, "lower size (&lt; 9L)", Table1[[#This Row],[loan_amount]] &lt;=3300000, "medium size (&lt;=33L)", Table1[[#This Row],[loan_amount]] &gt; 3300000, "larger size (&gt; 33L)")</f>
        <v>medium size (&lt;=33L)</v>
      </c>
      <c r="AM443" s="2">
        <f>IF(Table1[[#This Row],[dpd]] &gt;=30,1,0)</f>
        <v>0</v>
      </c>
      <c r="AN443" s="2">
        <f>COUNTIFS(Table1[Loan size],Table1[[#This Row],[Loan size]],Table1[dpd flag],1)/COUNTIF(Table1[Loan size],Table1[[#This Row],[Loan size]])</f>
        <v>0.15909090909090909</v>
      </c>
      <c r="AO443" s="2" t="str">
        <f>IF(OR(Table1[[#This Row],[credit_score]] &lt; 600, Table1[ [#This Row],[dti_ratio] ] &gt; 0.5, Table1[[#This Row],[dpd]] &gt;=30), "high risk", " not riskY")</f>
        <v xml:space="preserve"> not riskY</v>
      </c>
      <c r="AP443" s="26">
        <f>EOMONTH(Table1[[#This Row],[origination_date]],0)</f>
        <v>45230</v>
      </c>
      <c r="AQ443" s="2">
        <f>SUMIFS(Table1[loan_amount],Table1[origination month],Table1[[#This Row],[origination month]])</f>
        <v>25021600</v>
      </c>
      <c r="AR443" s="2">
        <f>AVERAGEIFS(Table1[months_on_book],Table1[product],Table1[[#This Row],[product]])</f>
        <v>21.962962962962962</v>
      </c>
      <c r="AS443" s="2" t="str">
        <f ca="1">IF(EDATE(Table1[[#This Row],[origination_date]],6) &gt;= TODAY(), "New Loan", "Old Loan")</f>
        <v>Old Loan</v>
      </c>
      <c r="AT443" s="2" t="str">
        <f>"Q"&amp;ROUNDUP(MONTH(Table1[[#This Row],[origination_date]])/3,0)&amp;YEAR(Table1[[#This Row],[origination_date]])</f>
        <v>Q42023</v>
      </c>
      <c r="AU443" s="2">
        <f>SUMIFS(Table1[loan_amount],Table1[quarter],Table1[[#This Row],[quarter]])</f>
        <v>58386700</v>
      </c>
      <c r="AV443" s="34" t="str">
        <f>_xlfn.TEXTJOIN("|",TRUE,Table1[[#This Row],[loan_id]:[loan_status]])</f>
        <v>L42751542|C7624120|45204|Education Loan|Online|North|Self-Employed|18|1405200|7.63|82867|1093577|771|A|0.29|0.77|0|18|1393963|75567|0|0|0|Closed</v>
      </c>
      <c r="AW443" s="42">
        <f>YEAR(Loan_Table[ [#This Row],[origination_date] ])</f>
        <v>2024</v>
      </c>
    </row>
    <row r="444" spans="2:49" ht="18" customHeight="1">
      <c r="B444" s="5" t="s">
        <v>1008</v>
      </c>
      <c r="C444" s="2" t="s">
        <v>1009</v>
      </c>
      <c r="D444" s="3">
        <v>45204</v>
      </c>
      <c r="E444" s="2" t="s">
        <v>131</v>
      </c>
      <c r="F444" s="2" t="s">
        <v>132</v>
      </c>
      <c r="G444" s="2" t="s">
        <v>145</v>
      </c>
      <c r="H444" s="2" t="s">
        <v>152</v>
      </c>
      <c r="I444" s="2">
        <v>12</v>
      </c>
      <c r="J444" s="2">
        <v>470300</v>
      </c>
      <c r="K444" s="2">
        <v>17.489999999999998</v>
      </c>
      <c r="L444" s="2">
        <v>43003</v>
      </c>
      <c r="M444" s="2">
        <v>1451572</v>
      </c>
      <c r="N444" s="2">
        <v>697</v>
      </c>
      <c r="O444" s="2" t="s">
        <v>140</v>
      </c>
      <c r="P444" s="2">
        <v>0.28000000000000003</v>
      </c>
      <c r="Q444" s="2">
        <v>0.9</v>
      </c>
      <c r="R444" s="2">
        <v>0</v>
      </c>
      <c r="S444" s="2">
        <v>12</v>
      </c>
      <c r="T444" s="2">
        <v>504312</v>
      </c>
      <c r="U444" s="2">
        <v>0</v>
      </c>
      <c r="V444" s="2">
        <v>0</v>
      </c>
      <c r="W444" s="2">
        <v>0</v>
      </c>
      <c r="X444" s="2">
        <v>0</v>
      </c>
      <c r="Y444" s="2" t="s">
        <v>141</v>
      </c>
      <c r="Z444" s="12">
        <f>SUMIF(Table1[product],Table1[[#This Row],[product]],Table1[loan_amount])</f>
        <v>74897600</v>
      </c>
      <c r="AA444" s="15">
        <f>SUMIF(Table1[region],Table1[[#This Row],[region]],Table1[current_balance])</f>
        <v>98928695</v>
      </c>
      <c r="AB444" s="2">
        <f>COUNTIF(Table1[loan_status],Table1[[#This Row],[loan_status]])</f>
        <v>139</v>
      </c>
      <c r="AC444" s="2">
        <f>COUNTIF(Table1[default_flag],1)/ROWS(Table1[loan_id])</f>
        <v>2.5999999999999999E-2</v>
      </c>
      <c r="AD444" s="2">
        <f>COUNTIFS(Table1[region],Table1[[#This Row],[region]],Table1[default_flag],1)/COUNTIF(Table1[region],Table1[[#This Row],[region]])</f>
        <v>2.8571428571428571E-2</v>
      </c>
      <c r="AE444" s="2">
        <f>COUNTIFS(Table1[channel],Table1[[#This Row],[channel]],Table1[prepayment_flag],1)/COUNTIF(Table1[channel],Table1[[#This Row],[channel]])</f>
        <v>7.1090047393364927E-2</v>
      </c>
      <c r="AF444" s="2">
        <f>AVERAGEIFS(Table1[interest_rate_pct],Table1[product],Table1[[#This Row],[product]],Table1[risk_band],Table1[[#This Row],[risk_band]])</f>
        <v>18.603181818181817</v>
      </c>
      <c r="AG444" s="2" t="str" cm="1">
        <f t="array" ref="AG444">_xlfn.IFS(Table1[[#This Row],[dti_ratio]] &lt; 0.2, " less than 0.2", Table1[[#This Row],[dti_ratio]] &lt; 0.3, "0.2 - 0.3", Table1[[#This Row],[dti_ratio]] &lt;= 0.5, "0.35 - 0.5", Table1[[#This Row],[dti_ratio]] &gt; 0.5, "greater than 0.5")</f>
        <v>0.2 - 0.3</v>
      </c>
      <c r="AH444" s="2">
        <f>COUNTIF(Table1[DTI band],Table1[[#This Row],[DTI band]])</f>
        <v>122</v>
      </c>
      <c r="AI444" s="2" t="str" cm="1">
        <f t="array" ref="AI444">_xlfn.IFS(Table1[[#This Row],[ltv_ratio]] &lt; 0.6, "less than 0.6 -less risky", Table1[[#This Row],[ltv_ratio]]  &lt;= 0.8, "0.6 - 0.8 -medium risky",Table1[[#This Row],[ltv_ratio]] &gt; 0.8, "greater than 0.8 -highly risky")</f>
        <v>greater than 0.8 -highly risky</v>
      </c>
      <c r="AJ444" s="2">
        <f>COUNTIF(Table1[LTV band],Table1[[#This Row],[LTV band]])</f>
        <v>141</v>
      </c>
      <c r="AK444" s="2">
        <f>COUNTIFS(Table1[count_loan_perband],Table1[[#This Row],[count_loan_perband]],Table1[default_flag],1)/COUNTIF(Table1[count_loan_perband],Table1[[#This Row],[count_loan_perband]])</f>
        <v>1.4184397163120567E-2</v>
      </c>
      <c r="AL444" s="2" t="str" cm="1">
        <f t="array" ref="AL444">_xlfn.IFS(Table1[[#This Row],[loan_amount]] &lt; 900000, "lower size (&lt; 9L)", Table1[[#This Row],[loan_amount]] &lt;=3300000, "medium size (&lt;=33L)", Table1[[#This Row],[loan_amount]] &gt; 3300000, "larger size (&gt; 33L)")</f>
        <v>lower size (&lt; 9L)</v>
      </c>
      <c r="AM444" s="2">
        <f>IF(Table1[[#This Row],[dpd]] &gt;=30,1,0)</f>
        <v>0</v>
      </c>
      <c r="AN444" s="2">
        <f>COUNTIFS(Table1[Loan size],Table1[[#This Row],[Loan size]],Table1[dpd flag],1)/COUNTIF(Table1[Loan size],Table1[[#This Row],[Loan size]])</f>
        <v>0.13934426229508196</v>
      </c>
      <c r="AO444" s="2" t="str">
        <f>IF(OR(Table1[[#This Row],[credit_score]] &lt; 600, Table1[ [#This Row],[dti_ratio] ] &gt; 0.5, Table1[[#This Row],[dpd]] &gt;=30), "high risk", " not riskY")</f>
        <v xml:space="preserve"> not riskY</v>
      </c>
      <c r="AP444" s="26">
        <f>EOMONTH(Table1[[#This Row],[origination_date]],0)</f>
        <v>45230</v>
      </c>
      <c r="AQ444" s="2">
        <f>SUMIFS(Table1[loan_amount],Table1[origination month],Table1[[#This Row],[origination month]])</f>
        <v>25021600</v>
      </c>
      <c r="AR444" s="2">
        <f>AVERAGEIFS(Table1[months_on_book],Table1[product],Table1[[#This Row],[product]])</f>
        <v>21.092024539877301</v>
      </c>
      <c r="AS444" s="2" t="str">
        <f ca="1">IF(EDATE(Table1[[#This Row],[origination_date]],6) &gt;= TODAY(), "New Loan", "Old Loan")</f>
        <v>Old Loan</v>
      </c>
      <c r="AT444" s="2" t="str">
        <f>"Q"&amp;ROUNDUP(MONTH(Table1[[#This Row],[origination_date]])/3,0)&amp;YEAR(Table1[[#This Row],[origination_date]])</f>
        <v>Q42023</v>
      </c>
      <c r="AU444" s="2">
        <f>SUMIFS(Table1[loan_amount],Table1[quarter],Table1[[#This Row],[quarter]])</f>
        <v>58386700</v>
      </c>
      <c r="AV444" s="34" t="str">
        <f>_xlfn.TEXTJOIN("|",TRUE,Table1[[#This Row],[loan_id]:[loan_status]])</f>
        <v>L48887190|C5295478|45204|Personal Loan|Online|Central|Self-Employed|12|470300|17.49|43003|1451572|697|C|0.28|0.9|0|12|504312|0|0|0|0|Closed</v>
      </c>
      <c r="AW444" s="42">
        <f>YEAR(Loan_Table[ [#This Row],[origination_date] ])</f>
        <v>2024</v>
      </c>
    </row>
    <row r="445" spans="2:49" ht="18" customHeight="1">
      <c r="B445" s="5" t="s">
        <v>1010</v>
      </c>
      <c r="C445" s="2" t="s">
        <v>1011</v>
      </c>
      <c r="D445" s="3">
        <v>45210</v>
      </c>
      <c r="E445" s="2" t="s">
        <v>131</v>
      </c>
      <c r="F445" s="2" t="s">
        <v>213</v>
      </c>
      <c r="G445" s="2" t="s">
        <v>133</v>
      </c>
      <c r="H445" s="2" t="s">
        <v>134</v>
      </c>
      <c r="I445" s="2">
        <v>12</v>
      </c>
      <c r="J445" s="2">
        <v>330200</v>
      </c>
      <c r="K445" s="2">
        <v>17.04</v>
      </c>
      <c r="L445" s="2">
        <v>30122</v>
      </c>
      <c r="M445" s="2">
        <v>772450</v>
      </c>
      <c r="N445" s="2">
        <v>732</v>
      </c>
      <c r="O445" s="2" t="s">
        <v>135</v>
      </c>
      <c r="P445" s="2">
        <v>0.28000000000000003</v>
      </c>
      <c r="Q445" s="2">
        <v>0.74</v>
      </c>
      <c r="R445" s="2">
        <v>0</v>
      </c>
      <c r="S445" s="2">
        <v>12</v>
      </c>
      <c r="T445" s="2">
        <v>336687</v>
      </c>
      <c r="U445" s="2">
        <v>16019</v>
      </c>
      <c r="V445" s="2">
        <v>30</v>
      </c>
      <c r="W445" s="2">
        <v>0</v>
      </c>
      <c r="X445" s="2">
        <v>0</v>
      </c>
      <c r="Y445" s="2" t="s">
        <v>141</v>
      </c>
      <c r="Z445" s="12">
        <f>SUMIF(Table1[product],Table1[[#This Row],[product]],Table1[loan_amount])</f>
        <v>74897600</v>
      </c>
      <c r="AA445" s="15">
        <f>SUMIF(Table1[region],Table1[[#This Row],[region]],Table1[current_balance])</f>
        <v>94548000</v>
      </c>
      <c r="AB445" s="2">
        <f>COUNTIF(Table1[loan_status],Table1[[#This Row],[loan_status]])</f>
        <v>139</v>
      </c>
      <c r="AC445" s="2">
        <f>COUNTIF(Table1[default_flag],1)/ROWS(Table1[loan_id])</f>
        <v>2.5999999999999999E-2</v>
      </c>
      <c r="AD445" s="2">
        <f>COUNTIFS(Table1[region],Table1[[#This Row],[region]],Table1[default_flag],1)/COUNTIF(Table1[region],Table1[[#This Row],[region]])</f>
        <v>0</v>
      </c>
      <c r="AE445" s="2">
        <f>COUNTIFS(Table1[channel],Table1[[#This Row],[channel]],Table1[prepayment_flag],1)/COUNTIF(Table1[channel],Table1[[#This Row],[channel]])</f>
        <v>0.12</v>
      </c>
      <c r="AF445" s="2">
        <f>AVERAGEIFS(Table1[interest_rate_pct],Table1[product],Table1[[#This Row],[product]],Table1[risk_band],Table1[[#This Row],[risk_band]])</f>
        <v>16.500166666666669</v>
      </c>
      <c r="AG445" s="2" t="str" cm="1">
        <f t="array" ref="AG445">_xlfn.IFS(Table1[[#This Row],[dti_ratio]] &lt; 0.2, " less than 0.2", Table1[[#This Row],[dti_ratio]] &lt; 0.3, "0.2 - 0.3", Table1[[#This Row],[dti_ratio]] &lt;= 0.5, "0.35 - 0.5", Table1[[#This Row],[dti_ratio]] &gt; 0.5, "greater than 0.5")</f>
        <v>0.2 - 0.3</v>
      </c>
      <c r="AH445" s="2">
        <f>COUNTIF(Table1[DTI band],Table1[[#This Row],[DTI band]])</f>
        <v>122</v>
      </c>
      <c r="AI445" s="2" t="str" cm="1">
        <f t="array" ref="AI445">_xlfn.IFS(Table1[[#This Row],[ltv_ratio]] &lt; 0.6, "less than 0.6 -less risky", Table1[[#This Row],[ltv_ratio]]  &lt;= 0.8, "0.6 - 0.8 -medium risky",Table1[[#This Row],[ltv_ratio]] &gt; 0.8, "greater than 0.8 -highly risky")</f>
        <v>0.6 - 0.8 -medium risky</v>
      </c>
      <c r="AJ445" s="2">
        <f>COUNTIF(Table1[LTV band],Table1[[#This Row],[LTV band]])</f>
        <v>302</v>
      </c>
      <c r="AK445" s="2">
        <f>COUNTIFS(Table1[count_loan_perband],Table1[[#This Row],[count_loan_perband]],Table1[default_flag],1)/COUNTIF(Table1[count_loan_perband],Table1[[#This Row],[count_loan_perband]])</f>
        <v>3.6423841059602648E-2</v>
      </c>
      <c r="AL445" s="2" t="str" cm="1">
        <f t="array" ref="AL445">_xlfn.IFS(Table1[[#This Row],[loan_amount]] &lt; 900000, "lower size (&lt; 9L)", Table1[[#This Row],[loan_amount]] &lt;=3300000, "medium size (&lt;=33L)", Table1[[#This Row],[loan_amount]] &gt; 3300000, "larger size (&gt; 33L)")</f>
        <v>lower size (&lt; 9L)</v>
      </c>
      <c r="AM445" s="2">
        <f>IF(Table1[[#This Row],[dpd]] &gt;=30,1,0)</f>
        <v>1</v>
      </c>
      <c r="AN445" s="2">
        <f>COUNTIFS(Table1[Loan size],Table1[[#This Row],[Loan size]],Table1[dpd flag],1)/COUNTIF(Table1[Loan size],Table1[[#This Row],[Loan size]])</f>
        <v>0.13934426229508196</v>
      </c>
      <c r="AO445" s="2" t="str">
        <f>IF(OR(Table1[[#This Row],[credit_score]] &lt; 600, Table1[ [#This Row],[dti_ratio] ] &gt; 0.5, Table1[[#This Row],[dpd]] &gt;=30), "high risk", " not riskY")</f>
        <v>high risk</v>
      </c>
      <c r="AP445" s="26">
        <f>EOMONTH(Table1[[#This Row],[origination_date]],0)</f>
        <v>45230</v>
      </c>
      <c r="AQ445" s="2">
        <f>SUMIFS(Table1[loan_amount],Table1[origination month],Table1[[#This Row],[origination month]])</f>
        <v>25021600</v>
      </c>
      <c r="AR445" s="2">
        <f>AVERAGEIFS(Table1[months_on_book],Table1[product],Table1[[#This Row],[product]])</f>
        <v>21.092024539877301</v>
      </c>
      <c r="AS445" s="2" t="str">
        <f ca="1">IF(EDATE(Table1[[#This Row],[origination_date]],6) &gt;= TODAY(), "New Loan", "Old Loan")</f>
        <v>Old Loan</v>
      </c>
      <c r="AT445" s="2" t="str">
        <f>"Q"&amp;ROUNDUP(MONTH(Table1[[#This Row],[origination_date]])/3,0)&amp;YEAR(Table1[[#This Row],[origination_date]])</f>
        <v>Q42023</v>
      </c>
      <c r="AU445" s="2">
        <f>SUMIFS(Table1[loan_amount],Table1[quarter],Table1[[#This Row],[quarter]])</f>
        <v>58386700</v>
      </c>
      <c r="AV445" s="34" t="str">
        <f>_xlfn.TEXTJOIN("|",TRUE,Table1[[#This Row],[loan_id]:[loan_status]])</f>
        <v>L52259076|C8541821|45210|Personal Loan|Call Center|South|Salaried|12|330200|17.04|30122|772450|732|B|0.28|0.74|0|12|336687|16019|30|0|0|Closed</v>
      </c>
      <c r="AW445" s="42">
        <f>YEAR(Loan_Table[ [#This Row],[origination_date] ])</f>
        <v>2024</v>
      </c>
    </row>
    <row r="446" spans="2:49" ht="18" customHeight="1">
      <c r="B446" s="5" t="s">
        <v>1012</v>
      </c>
      <c r="C446" s="2" t="s">
        <v>1013</v>
      </c>
      <c r="D446" s="3">
        <v>45252</v>
      </c>
      <c r="E446" s="2" t="s">
        <v>131</v>
      </c>
      <c r="F446" s="2" t="s">
        <v>144</v>
      </c>
      <c r="G446" s="2" t="s">
        <v>170</v>
      </c>
      <c r="H446" s="2" t="s">
        <v>134</v>
      </c>
      <c r="I446" s="2">
        <v>12</v>
      </c>
      <c r="J446" s="2">
        <v>494500</v>
      </c>
      <c r="K446" s="2">
        <v>14.82</v>
      </c>
      <c r="L446" s="2">
        <v>44591</v>
      </c>
      <c r="M446" s="2">
        <v>1118464</v>
      </c>
      <c r="N446" s="2">
        <v>753</v>
      </c>
      <c r="O446" s="2" t="s">
        <v>160</v>
      </c>
      <c r="P446" s="2">
        <v>0.25</v>
      </c>
      <c r="Q446" s="2">
        <v>0.84</v>
      </c>
      <c r="R446" s="2">
        <v>0</v>
      </c>
      <c r="S446" s="2">
        <v>12</v>
      </c>
      <c r="T446" s="2">
        <v>493726</v>
      </c>
      <c r="U446" s="2">
        <v>30088</v>
      </c>
      <c r="V446" s="2">
        <v>0</v>
      </c>
      <c r="W446" s="2">
        <v>0</v>
      </c>
      <c r="X446" s="2">
        <v>0</v>
      </c>
      <c r="Y446" s="2" t="s">
        <v>141</v>
      </c>
      <c r="Z446" s="12">
        <f>SUMIF(Table1[product],Table1[[#This Row],[product]],Table1[loan_amount])</f>
        <v>74897600</v>
      </c>
      <c r="AA446" s="15">
        <f>SUMIF(Table1[region],Table1[[#This Row],[region]],Table1[current_balance])</f>
        <v>83297251</v>
      </c>
      <c r="AB446" s="2">
        <f>COUNTIF(Table1[loan_status],Table1[[#This Row],[loan_status]])</f>
        <v>139</v>
      </c>
      <c r="AC446" s="2">
        <f>COUNTIF(Table1[default_flag],1)/ROWS(Table1[loan_id])</f>
        <v>2.5999999999999999E-2</v>
      </c>
      <c r="AD446" s="2">
        <f>COUNTIFS(Table1[region],Table1[[#This Row],[region]],Table1[default_flag],1)/COUNTIF(Table1[region],Table1[[#This Row],[region]])</f>
        <v>3.1914893617021274E-2</v>
      </c>
      <c r="AE446" s="2">
        <f>COUNTIFS(Table1[channel],Table1[[#This Row],[channel]],Table1[prepayment_flag],1)/COUNTIF(Table1[channel],Table1[[#This Row],[channel]])</f>
        <v>5.8201058201058198E-2</v>
      </c>
      <c r="AF446" s="2">
        <f>AVERAGEIFS(Table1[interest_rate_pct],Table1[product],Table1[[#This Row],[product]],Table1[risk_band],Table1[[#This Row],[risk_band]])</f>
        <v>13.328333333333335</v>
      </c>
      <c r="AG446" s="2" t="str" cm="1">
        <f t="array" ref="AG446">_xlfn.IFS(Table1[[#This Row],[dti_ratio]] &lt; 0.2, " less than 0.2", Table1[[#This Row],[dti_ratio]] &lt; 0.3, "0.2 - 0.3", Table1[[#This Row],[dti_ratio]] &lt;= 0.5, "0.35 - 0.5", Table1[[#This Row],[dti_ratio]] &gt; 0.5, "greater than 0.5")</f>
        <v>0.2 - 0.3</v>
      </c>
      <c r="AH446" s="2">
        <f>COUNTIF(Table1[DTI band],Table1[[#This Row],[DTI band]])</f>
        <v>122</v>
      </c>
      <c r="AI446" s="2" t="str" cm="1">
        <f t="array" ref="AI446">_xlfn.IFS(Table1[[#This Row],[ltv_ratio]] &lt; 0.6, "less than 0.6 -less risky", Table1[[#This Row],[ltv_ratio]]  &lt;= 0.8, "0.6 - 0.8 -medium risky",Table1[[#This Row],[ltv_ratio]] &gt; 0.8, "greater than 0.8 -highly risky")</f>
        <v>greater than 0.8 -highly risky</v>
      </c>
      <c r="AJ446" s="2">
        <f>COUNTIF(Table1[LTV band],Table1[[#This Row],[LTV band]])</f>
        <v>141</v>
      </c>
      <c r="AK446" s="2">
        <f>COUNTIFS(Table1[count_loan_perband],Table1[[#This Row],[count_loan_perband]],Table1[default_flag],1)/COUNTIF(Table1[count_loan_perband],Table1[[#This Row],[count_loan_perband]])</f>
        <v>1.4184397163120567E-2</v>
      </c>
      <c r="AL446" s="2" t="str" cm="1">
        <f t="array" ref="AL446">_xlfn.IFS(Table1[[#This Row],[loan_amount]] &lt; 900000, "lower size (&lt; 9L)", Table1[[#This Row],[loan_amount]] &lt;=3300000, "medium size (&lt;=33L)", Table1[[#This Row],[loan_amount]] &gt; 3300000, "larger size (&gt; 33L)")</f>
        <v>lower size (&lt; 9L)</v>
      </c>
      <c r="AM446" s="2">
        <f>IF(Table1[[#This Row],[dpd]] &gt;=30,1,0)</f>
        <v>0</v>
      </c>
      <c r="AN446" s="2">
        <f>COUNTIFS(Table1[Loan size],Table1[[#This Row],[Loan size]],Table1[dpd flag],1)/COUNTIF(Table1[Loan size],Table1[[#This Row],[Loan size]])</f>
        <v>0.13934426229508196</v>
      </c>
      <c r="AO446" s="2" t="str">
        <f>IF(OR(Table1[[#This Row],[credit_score]] &lt; 600, Table1[ [#This Row],[dti_ratio] ] &gt; 0.5, Table1[[#This Row],[dpd]] &gt;=30), "high risk", " not riskY")</f>
        <v xml:space="preserve"> not riskY</v>
      </c>
      <c r="AP446" s="26">
        <f>EOMONTH(Table1[[#This Row],[origination_date]],0)</f>
        <v>45260</v>
      </c>
      <c r="AQ446" s="2">
        <f>SUMIFS(Table1[loan_amount],Table1[origination month],Table1[[#This Row],[origination month]])</f>
        <v>5279700</v>
      </c>
      <c r="AR446" s="2">
        <f>AVERAGEIFS(Table1[months_on_book],Table1[product],Table1[[#This Row],[product]])</f>
        <v>21.092024539877301</v>
      </c>
      <c r="AS446" s="2" t="str">
        <f ca="1">IF(EDATE(Table1[[#This Row],[origination_date]],6) &gt;= TODAY(), "New Loan", "Old Loan")</f>
        <v>Old Loan</v>
      </c>
      <c r="AT446" s="2" t="str">
        <f>"Q"&amp;ROUNDUP(MONTH(Table1[[#This Row],[origination_date]])/3,0)&amp;YEAR(Table1[[#This Row],[origination_date]])</f>
        <v>Q42023</v>
      </c>
      <c r="AU446" s="2">
        <f>SUMIFS(Table1[loan_amount],Table1[quarter],Table1[[#This Row],[quarter]])</f>
        <v>58386700</v>
      </c>
      <c r="AV446" s="34" t="str">
        <f>_xlfn.TEXTJOIN("|",TRUE,Table1[[#This Row],[loan_id]:[loan_status]])</f>
        <v>L99339905|C3955250|45252|Personal Loan|Branch|East|Salaried|12|494500|14.82|44591|1118464|753|A|0.25|0.84|0|12|493726|30088|0|0|0|Closed</v>
      </c>
      <c r="AW446" s="42">
        <f>YEAR(Loan_Table[ [#This Row],[origination_date] ])</f>
        <v>2024</v>
      </c>
    </row>
    <row r="447" spans="2:49" ht="18" customHeight="1">
      <c r="B447" s="5" t="s">
        <v>1014</v>
      </c>
      <c r="C447" s="2" t="s">
        <v>1015</v>
      </c>
      <c r="D447" s="3">
        <v>45233</v>
      </c>
      <c r="E447" s="2" t="s">
        <v>131</v>
      </c>
      <c r="F447" s="2" t="s">
        <v>132</v>
      </c>
      <c r="G447" s="2" t="s">
        <v>145</v>
      </c>
      <c r="H447" s="2" t="s">
        <v>152</v>
      </c>
      <c r="I447" s="2">
        <v>360</v>
      </c>
      <c r="J447" s="2">
        <v>410000</v>
      </c>
      <c r="K447" s="2">
        <v>19.3</v>
      </c>
      <c r="L447" s="2">
        <v>6615</v>
      </c>
      <c r="M447" s="2">
        <v>729510</v>
      </c>
      <c r="N447" s="2">
        <v>666</v>
      </c>
      <c r="O447" s="2" t="s">
        <v>140</v>
      </c>
      <c r="P447" s="2">
        <v>0.24</v>
      </c>
      <c r="Q447" s="2">
        <v>0.72</v>
      </c>
      <c r="R447" s="2">
        <v>0</v>
      </c>
      <c r="S447" s="2">
        <v>25</v>
      </c>
      <c r="T447" s="2">
        <v>152887</v>
      </c>
      <c r="U447" s="2">
        <v>323055</v>
      </c>
      <c r="V447" s="2">
        <v>0</v>
      </c>
      <c r="W447" s="2">
        <v>0</v>
      </c>
      <c r="X447" s="2">
        <v>0</v>
      </c>
      <c r="Y447" s="2" t="s">
        <v>148</v>
      </c>
      <c r="Z447" s="12">
        <f>SUMIF(Table1[product],Table1[[#This Row],[product]],Table1[loan_amount])</f>
        <v>74897600</v>
      </c>
      <c r="AA447" s="15">
        <f>SUMIF(Table1[region],Table1[[#This Row],[region]],Table1[current_balance])</f>
        <v>98928695</v>
      </c>
      <c r="AB447" s="2">
        <f>COUNTIF(Table1[loan_status],Table1[[#This Row],[loan_status]])</f>
        <v>301</v>
      </c>
      <c r="AC447" s="2">
        <f>COUNTIF(Table1[default_flag],1)/ROWS(Table1[loan_id])</f>
        <v>2.5999999999999999E-2</v>
      </c>
      <c r="AD447" s="2">
        <f>COUNTIFS(Table1[region],Table1[[#This Row],[region]],Table1[default_flag],1)/COUNTIF(Table1[region],Table1[[#This Row],[region]])</f>
        <v>2.8571428571428571E-2</v>
      </c>
      <c r="AE447" s="2">
        <f>COUNTIFS(Table1[channel],Table1[[#This Row],[channel]],Table1[prepayment_flag],1)/COUNTIF(Table1[channel],Table1[[#This Row],[channel]])</f>
        <v>7.1090047393364927E-2</v>
      </c>
      <c r="AF447" s="2">
        <f>AVERAGEIFS(Table1[interest_rate_pct],Table1[product],Table1[[#This Row],[product]],Table1[risk_band],Table1[[#This Row],[risk_band]])</f>
        <v>18.603181818181817</v>
      </c>
      <c r="AG447" s="2" t="str" cm="1">
        <f t="array" ref="AG447">_xlfn.IFS(Table1[[#This Row],[dti_ratio]] &lt; 0.2, " less than 0.2", Table1[[#This Row],[dti_ratio]] &lt; 0.3, "0.2 - 0.3", Table1[[#This Row],[dti_ratio]] &lt;= 0.5, "0.35 - 0.5", Table1[[#This Row],[dti_ratio]] &gt; 0.5, "greater than 0.5")</f>
        <v>0.2 - 0.3</v>
      </c>
      <c r="AH447" s="2">
        <f>COUNTIF(Table1[DTI band],Table1[[#This Row],[DTI band]])</f>
        <v>122</v>
      </c>
      <c r="AI447" s="2" t="str" cm="1">
        <f t="array" ref="AI447">_xlfn.IFS(Table1[[#This Row],[ltv_ratio]] &lt; 0.6, "less than 0.6 -less risky", Table1[[#This Row],[ltv_ratio]]  &lt;= 0.8, "0.6 - 0.8 -medium risky",Table1[[#This Row],[ltv_ratio]] &gt; 0.8, "greater than 0.8 -highly risky")</f>
        <v>0.6 - 0.8 -medium risky</v>
      </c>
      <c r="AJ447" s="2">
        <f>COUNTIF(Table1[LTV band],Table1[[#This Row],[LTV band]])</f>
        <v>302</v>
      </c>
      <c r="AK447" s="2">
        <f>COUNTIFS(Table1[count_loan_perband],Table1[[#This Row],[count_loan_perband]],Table1[default_flag],1)/COUNTIF(Table1[count_loan_perband],Table1[[#This Row],[count_loan_perband]])</f>
        <v>3.6423841059602648E-2</v>
      </c>
      <c r="AL447" s="2" t="str" cm="1">
        <f t="array" ref="AL447">_xlfn.IFS(Table1[[#This Row],[loan_amount]] &lt; 900000, "lower size (&lt; 9L)", Table1[[#This Row],[loan_amount]] &lt;=3300000, "medium size (&lt;=33L)", Table1[[#This Row],[loan_amount]] &gt; 3300000, "larger size (&gt; 33L)")</f>
        <v>lower size (&lt; 9L)</v>
      </c>
      <c r="AM447" s="2">
        <f>IF(Table1[[#This Row],[dpd]] &gt;=30,1,0)</f>
        <v>0</v>
      </c>
      <c r="AN447" s="2">
        <f>COUNTIFS(Table1[Loan size],Table1[[#This Row],[Loan size]],Table1[dpd flag],1)/COUNTIF(Table1[Loan size],Table1[[#This Row],[Loan size]])</f>
        <v>0.13934426229508196</v>
      </c>
      <c r="AO447" s="2" t="str">
        <f>IF(OR(Table1[[#This Row],[credit_score]] &lt; 600, Table1[ [#This Row],[dti_ratio] ] &gt; 0.5, Table1[[#This Row],[dpd]] &gt;=30), "high risk", " not riskY")</f>
        <v xml:space="preserve"> not riskY</v>
      </c>
      <c r="AP447" s="26">
        <f>EOMONTH(Table1[[#This Row],[origination_date]],0)</f>
        <v>45260</v>
      </c>
      <c r="AQ447" s="2">
        <f>SUMIFS(Table1[loan_amount],Table1[origination month],Table1[[#This Row],[origination month]])</f>
        <v>5279700</v>
      </c>
      <c r="AR447" s="2">
        <f>AVERAGEIFS(Table1[months_on_book],Table1[product],Table1[[#This Row],[product]])</f>
        <v>21.092024539877301</v>
      </c>
      <c r="AS447" s="2" t="str">
        <f ca="1">IF(EDATE(Table1[[#This Row],[origination_date]],6) &gt;= TODAY(), "New Loan", "Old Loan")</f>
        <v>Old Loan</v>
      </c>
      <c r="AT447" s="2" t="str">
        <f>"Q"&amp;ROUNDUP(MONTH(Table1[[#This Row],[origination_date]])/3,0)&amp;YEAR(Table1[[#This Row],[origination_date]])</f>
        <v>Q42023</v>
      </c>
      <c r="AU447" s="2">
        <f>SUMIFS(Table1[loan_amount],Table1[quarter],Table1[[#This Row],[quarter]])</f>
        <v>58386700</v>
      </c>
      <c r="AV447" s="34" t="str">
        <f>_xlfn.TEXTJOIN("|",TRUE,Table1[[#This Row],[loan_id]:[loan_status]])</f>
        <v>L84946307|C8010967|45233|Personal Loan|Online|Central|Self-Employed|360|410000|19.3|6615|729510|666|C|0.24|0.72|0|25|152887|323055|0|0|0|Active</v>
      </c>
      <c r="AW447" s="42">
        <f>YEAR(Loan_Table[ [#This Row],[origination_date] ])</f>
        <v>2024</v>
      </c>
    </row>
    <row r="448" spans="2:49" ht="18" customHeight="1">
      <c r="B448" s="5" t="s">
        <v>1016</v>
      </c>
      <c r="C448" s="2" t="s">
        <v>1017</v>
      </c>
      <c r="D448" s="3">
        <v>45230</v>
      </c>
      <c r="E448" s="2" t="s">
        <v>169</v>
      </c>
      <c r="F448" s="2" t="s">
        <v>144</v>
      </c>
      <c r="G448" s="2" t="s">
        <v>139</v>
      </c>
      <c r="H448" s="2" t="s">
        <v>146</v>
      </c>
      <c r="I448" s="2">
        <v>60</v>
      </c>
      <c r="J448" s="2">
        <v>4037400</v>
      </c>
      <c r="K448" s="2">
        <v>10.87</v>
      </c>
      <c r="L448" s="2">
        <v>87521</v>
      </c>
      <c r="M448" s="2">
        <v>908557</v>
      </c>
      <c r="N448" s="2">
        <v>694</v>
      </c>
      <c r="O448" s="2" t="s">
        <v>140</v>
      </c>
      <c r="P448" s="2">
        <v>0.22</v>
      </c>
      <c r="Q448" s="2">
        <v>0.74</v>
      </c>
      <c r="R448" s="2">
        <v>5491800</v>
      </c>
      <c r="S448" s="2">
        <v>26</v>
      </c>
      <c r="T448" s="2">
        <v>2169718</v>
      </c>
      <c r="U448" s="2">
        <v>2248032</v>
      </c>
      <c r="V448" s="2">
        <v>0</v>
      </c>
      <c r="W448" s="2">
        <v>0</v>
      </c>
      <c r="X448" s="2">
        <v>0</v>
      </c>
      <c r="Y448" s="2" t="s">
        <v>148</v>
      </c>
      <c r="Z448" s="12">
        <f>SUMIF(Table1[product],Table1[[#This Row],[product]],Table1[loan_amount])</f>
        <v>403369500</v>
      </c>
      <c r="AA448" s="15">
        <f>SUMIF(Table1[region],Table1[[#This Row],[region]],Table1[current_balance])</f>
        <v>83903255</v>
      </c>
      <c r="AB448" s="2">
        <f>COUNTIF(Table1[loan_status],Table1[[#This Row],[loan_status]])</f>
        <v>301</v>
      </c>
      <c r="AC448" s="2">
        <f>COUNTIF(Table1[default_flag],1)/ROWS(Table1[loan_id])</f>
        <v>2.5999999999999999E-2</v>
      </c>
      <c r="AD448" s="2">
        <f>COUNTIFS(Table1[region],Table1[[#This Row],[region]],Table1[default_flag],1)/COUNTIF(Table1[region],Table1[[#This Row],[region]])</f>
        <v>4.2553191489361701E-2</v>
      </c>
      <c r="AE448" s="2">
        <f>COUNTIFS(Table1[channel],Table1[[#This Row],[channel]],Table1[prepayment_flag],1)/COUNTIF(Table1[channel],Table1[[#This Row],[channel]])</f>
        <v>5.8201058201058198E-2</v>
      </c>
      <c r="AF448" s="2">
        <f>AVERAGEIFS(Table1[interest_rate_pct],Table1[product],Table1[[#This Row],[product]],Table1[risk_band],Table1[[#This Row],[risk_band]])</f>
        <v>11.719736842105268</v>
      </c>
      <c r="AG448" s="2" t="str" cm="1">
        <f t="array" ref="AG448">_xlfn.IFS(Table1[[#This Row],[dti_ratio]] &lt; 0.2, " less than 0.2", Table1[[#This Row],[dti_ratio]] &lt; 0.3, "0.2 - 0.3", Table1[[#This Row],[dti_ratio]] &lt;= 0.5, "0.35 - 0.5", Table1[[#This Row],[dti_ratio]] &gt; 0.5, "greater than 0.5")</f>
        <v>0.2 - 0.3</v>
      </c>
      <c r="AH448" s="2">
        <f>COUNTIF(Table1[DTI band],Table1[[#This Row],[DTI band]])</f>
        <v>122</v>
      </c>
      <c r="AI448" s="2" t="str" cm="1">
        <f t="array" ref="AI448">_xlfn.IFS(Table1[[#This Row],[ltv_ratio]] &lt; 0.6, "less than 0.6 -less risky", Table1[[#This Row],[ltv_ratio]]  &lt;= 0.8, "0.6 - 0.8 -medium risky",Table1[[#This Row],[ltv_ratio]] &gt; 0.8, "greater than 0.8 -highly risky")</f>
        <v>0.6 - 0.8 -medium risky</v>
      </c>
      <c r="AJ448" s="2">
        <f>COUNTIF(Table1[LTV band],Table1[[#This Row],[LTV band]])</f>
        <v>302</v>
      </c>
      <c r="AK448" s="2">
        <f>COUNTIFS(Table1[count_loan_perband],Table1[[#This Row],[count_loan_perband]],Table1[default_flag],1)/COUNTIF(Table1[count_loan_perband],Table1[[#This Row],[count_loan_perband]])</f>
        <v>3.6423841059602648E-2</v>
      </c>
      <c r="AL448" s="2" t="str" cm="1">
        <f t="array" ref="AL448">_xlfn.IFS(Table1[[#This Row],[loan_amount]] &lt; 900000, "lower size (&lt; 9L)", Table1[[#This Row],[loan_amount]] &lt;=3300000, "medium size (&lt;=33L)", Table1[[#This Row],[loan_amount]] &gt; 3300000, "larger size (&gt; 33L)")</f>
        <v>larger size (&gt; 33L)</v>
      </c>
      <c r="AM448" s="2">
        <f>IF(Table1[[#This Row],[dpd]] &gt;=30,1,0)</f>
        <v>0</v>
      </c>
      <c r="AN448" s="2">
        <f>COUNTIFS(Table1[Loan size],Table1[[#This Row],[Loan size]],Table1[dpd flag],1)/COUNTIF(Table1[Loan size],Table1[[#This Row],[Loan size]])</f>
        <v>0.16250000000000001</v>
      </c>
      <c r="AO448" s="2" t="str">
        <f>IF(OR(Table1[[#This Row],[credit_score]] &lt; 600, Table1[ [#This Row],[dti_ratio] ] &gt; 0.5, Table1[[#This Row],[dpd]] &gt;=30), "high risk", " not riskY")</f>
        <v xml:space="preserve"> not riskY</v>
      </c>
      <c r="AP448" s="26">
        <f>EOMONTH(Table1[[#This Row],[origination_date]],0)</f>
        <v>45230</v>
      </c>
      <c r="AQ448" s="2">
        <f>SUMIFS(Table1[loan_amount],Table1[origination month],Table1[[#This Row],[origination month]])</f>
        <v>25021600</v>
      </c>
      <c r="AR448" s="2">
        <f>AVERAGEIFS(Table1[months_on_book],Table1[product],Table1[[#This Row],[product]])</f>
        <v>20.516129032258064</v>
      </c>
      <c r="AS448" s="2" t="str">
        <f ca="1">IF(EDATE(Table1[[#This Row],[origination_date]],6) &gt;= TODAY(), "New Loan", "Old Loan")</f>
        <v>Old Loan</v>
      </c>
      <c r="AT448" s="2" t="str">
        <f>"Q"&amp;ROUNDUP(MONTH(Table1[[#This Row],[origination_date]])/3,0)&amp;YEAR(Table1[[#This Row],[origination_date]])</f>
        <v>Q42023</v>
      </c>
      <c r="AU448" s="2">
        <f>SUMIFS(Table1[loan_amount],Table1[quarter],Table1[[#This Row],[quarter]])</f>
        <v>58386700</v>
      </c>
      <c r="AV448" s="34" t="str">
        <f>_xlfn.TEXTJOIN("|",TRUE,Table1[[#This Row],[loan_id]:[loan_status]])</f>
        <v>L93382501|C9655941|45230|Home Loan|Branch|West|Contract|60|4037400|10.87|87521|908557|694|C|0.22|0.74|5491800|26|2169718|2248032|0|0|0|Active</v>
      </c>
      <c r="AW448" s="42">
        <f>YEAR(Loan_Table[ [#This Row],[origination_date] ])</f>
        <v>2024</v>
      </c>
    </row>
    <row r="449" spans="2:49" ht="18" customHeight="1">
      <c r="B449" s="5" t="s">
        <v>1018</v>
      </c>
      <c r="C449" s="2" t="s">
        <v>1019</v>
      </c>
      <c r="D449" s="3">
        <v>45262</v>
      </c>
      <c r="E449" s="2" t="s">
        <v>131</v>
      </c>
      <c r="F449" s="2" t="s">
        <v>132</v>
      </c>
      <c r="G449" s="2" t="s">
        <v>170</v>
      </c>
      <c r="H449" s="2" t="s">
        <v>134</v>
      </c>
      <c r="I449" s="2">
        <v>60</v>
      </c>
      <c r="J449" s="2">
        <v>485300</v>
      </c>
      <c r="K449" s="2">
        <v>19.07</v>
      </c>
      <c r="L449" s="2">
        <v>12608</v>
      </c>
      <c r="M449" s="2">
        <v>1421544</v>
      </c>
      <c r="N449" s="2">
        <v>669</v>
      </c>
      <c r="O449" s="2" t="s">
        <v>140</v>
      </c>
      <c r="P449" s="2">
        <v>0.22</v>
      </c>
      <c r="Q449" s="2">
        <v>0.73</v>
      </c>
      <c r="R449" s="2">
        <v>0</v>
      </c>
      <c r="S449" s="2">
        <v>24</v>
      </c>
      <c r="T449" s="2">
        <v>287182</v>
      </c>
      <c r="U449" s="2">
        <v>272155</v>
      </c>
      <c r="V449" s="2">
        <v>0</v>
      </c>
      <c r="W449" s="2">
        <v>0</v>
      </c>
      <c r="X449" s="2">
        <v>0</v>
      </c>
      <c r="Y449" s="2" t="s">
        <v>148</v>
      </c>
      <c r="Z449" s="12">
        <f>SUMIF(Table1[product],Table1[[#This Row],[product]],Table1[loan_amount])</f>
        <v>74897600</v>
      </c>
      <c r="AA449" s="15">
        <f>SUMIF(Table1[region],Table1[[#This Row],[region]],Table1[current_balance])</f>
        <v>83297251</v>
      </c>
      <c r="AB449" s="2">
        <f>COUNTIF(Table1[loan_status],Table1[[#This Row],[loan_status]])</f>
        <v>301</v>
      </c>
      <c r="AC449" s="2">
        <f>COUNTIF(Table1[default_flag],1)/ROWS(Table1[loan_id])</f>
        <v>2.5999999999999999E-2</v>
      </c>
      <c r="AD449" s="2">
        <f>COUNTIFS(Table1[region],Table1[[#This Row],[region]],Table1[default_flag],1)/COUNTIF(Table1[region],Table1[[#This Row],[region]])</f>
        <v>3.1914893617021274E-2</v>
      </c>
      <c r="AE449" s="2">
        <f>COUNTIFS(Table1[channel],Table1[[#This Row],[channel]],Table1[prepayment_flag],1)/COUNTIF(Table1[channel],Table1[[#This Row],[channel]])</f>
        <v>7.1090047393364927E-2</v>
      </c>
      <c r="AF449" s="2">
        <f>AVERAGEIFS(Table1[interest_rate_pct],Table1[product],Table1[[#This Row],[product]],Table1[risk_band],Table1[[#This Row],[risk_band]])</f>
        <v>18.603181818181817</v>
      </c>
      <c r="AG449" s="2" t="str" cm="1">
        <f t="array" ref="AG449">_xlfn.IFS(Table1[[#This Row],[dti_ratio]] &lt; 0.2, " less than 0.2", Table1[[#This Row],[dti_ratio]] &lt; 0.3, "0.2 - 0.3", Table1[[#This Row],[dti_ratio]] &lt;= 0.5, "0.35 - 0.5", Table1[[#This Row],[dti_ratio]] &gt; 0.5, "greater than 0.5")</f>
        <v>0.2 - 0.3</v>
      </c>
      <c r="AH449" s="2">
        <f>COUNTIF(Table1[DTI band],Table1[[#This Row],[DTI band]])</f>
        <v>122</v>
      </c>
      <c r="AI449" s="2" t="str" cm="1">
        <f t="array" ref="AI449">_xlfn.IFS(Table1[[#This Row],[ltv_ratio]] &lt; 0.6, "less than 0.6 -less risky", Table1[[#This Row],[ltv_ratio]]  &lt;= 0.8, "0.6 - 0.8 -medium risky",Table1[[#This Row],[ltv_ratio]] &gt; 0.8, "greater than 0.8 -highly risky")</f>
        <v>0.6 - 0.8 -medium risky</v>
      </c>
      <c r="AJ449" s="2">
        <f>COUNTIF(Table1[LTV band],Table1[[#This Row],[LTV band]])</f>
        <v>302</v>
      </c>
      <c r="AK449" s="2">
        <f>COUNTIFS(Table1[count_loan_perband],Table1[[#This Row],[count_loan_perband]],Table1[default_flag],1)/COUNTIF(Table1[count_loan_perband],Table1[[#This Row],[count_loan_perband]])</f>
        <v>3.6423841059602648E-2</v>
      </c>
      <c r="AL449" s="2" t="str" cm="1">
        <f t="array" ref="AL449">_xlfn.IFS(Table1[[#This Row],[loan_amount]] &lt; 900000, "lower size (&lt; 9L)", Table1[[#This Row],[loan_amount]] &lt;=3300000, "medium size (&lt;=33L)", Table1[[#This Row],[loan_amount]] &gt; 3300000, "larger size (&gt; 33L)")</f>
        <v>lower size (&lt; 9L)</v>
      </c>
      <c r="AM449" s="2">
        <f>IF(Table1[[#This Row],[dpd]] &gt;=30,1,0)</f>
        <v>0</v>
      </c>
      <c r="AN449" s="2">
        <f>COUNTIFS(Table1[Loan size],Table1[[#This Row],[Loan size]],Table1[dpd flag],1)/COUNTIF(Table1[Loan size],Table1[[#This Row],[Loan size]])</f>
        <v>0.13934426229508196</v>
      </c>
      <c r="AO449" s="2" t="str">
        <f>IF(OR(Table1[[#This Row],[credit_score]] &lt; 600, Table1[ [#This Row],[dti_ratio] ] &gt; 0.5, Table1[[#This Row],[dpd]] &gt;=30), "high risk", " not riskY")</f>
        <v xml:space="preserve"> not riskY</v>
      </c>
      <c r="AP449" s="26">
        <f>EOMONTH(Table1[[#This Row],[origination_date]],0)</f>
        <v>45291</v>
      </c>
      <c r="AQ449" s="2">
        <f>SUMIFS(Table1[loan_amount],Table1[origination month],Table1[[#This Row],[origination month]])</f>
        <v>28085400</v>
      </c>
      <c r="AR449" s="2">
        <f>AVERAGEIFS(Table1[months_on_book],Table1[product],Table1[[#This Row],[product]])</f>
        <v>21.092024539877301</v>
      </c>
      <c r="AS449" s="2" t="str">
        <f ca="1">IF(EDATE(Table1[[#This Row],[origination_date]],6) &gt;= TODAY(), "New Loan", "Old Loan")</f>
        <v>Old Loan</v>
      </c>
      <c r="AT449" s="2" t="str">
        <f>"Q"&amp;ROUNDUP(MONTH(Table1[[#This Row],[origination_date]])/3,0)&amp;YEAR(Table1[[#This Row],[origination_date]])</f>
        <v>Q42023</v>
      </c>
      <c r="AU449" s="2">
        <f>SUMIFS(Table1[loan_amount],Table1[quarter],Table1[[#This Row],[quarter]])</f>
        <v>58386700</v>
      </c>
      <c r="AV449" s="34" t="str">
        <f>_xlfn.TEXTJOIN("|",TRUE,Table1[[#This Row],[loan_id]:[loan_status]])</f>
        <v>L55504562|C6756069|45262|Personal Loan|Online|East|Salaried|60|485300|19.07|12608|1421544|669|C|0.22|0.73|0|24|287182|272155|0|0|0|Active</v>
      </c>
      <c r="AW449" s="42">
        <f>YEAR(Loan_Table[ [#This Row],[origination_date] ])</f>
        <v>2024</v>
      </c>
    </row>
    <row r="450" spans="2:49" ht="18" customHeight="1">
      <c r="B450" s="5" t="s">
        <v>1020</v>
      </c>
      <c r="C450" s="2" t="s">
        <v>1021</v>
      </c>
      <c r="D450" s="3">
        <v>45202</v>
      </c>
      <c r="E450" s="2" t="s">
        <v>169</v>
      </c>
      <c r="F450" s="2" t="s">
        <v>132</v>
      </c>
      <c r="G450" s="2" t="s">
        <v>151</v>
      </c>
      <c r="H450" s="2" t="s">
        <v>134</v>
      </c>
      <c r="I450" s="2">
        <v>36</v>
      </c>
      <c r="J450" s="2">
        <v>6928900</v>
      </c>
      <c r="K450" s="2">
        <v>8.7899999999999991</v>
      </c>
      <c r="L450" s="2">
        <v>219661</v>
      </c>
      <c r="M450" s="2">
        <v>1413171</v>
      </c>
      <c r="N450" s="2">
        <v>717</v>
      </c>
      <c r="O450" s="2" t="s">
        <v>135</v>
      </c>
      <c r="P450" s="2">
        <v>0.21</v>
      </c>
      <c r="Q450" s="2">
        <v>0.7</v>
      </c>
      <c r="R450" s="2">
        <v>9892200</v>
      </c>
      <c r="S450" s="2">
        <v>26</v>
      </c>
      <c r="T450" s="2">
        <v>5097897</v>
      </c>
      <c r="U450" s="2">
        <v>2358847</v>
      </c>
      <c r="V450" s="2">
        <v>0</v>
      </c>
      <c r="W450" s="2">
        <v>1</v>
      </c>
      <c r="X450" s="2">
        <v>0</v>
      </c>
      <c r="Y450" s="2" t="s">
        <v>141</v>
      </c>
      <c r="Z450" s="12">
        <f>SUMIF(Table1[product],Table1[[#This Row],[product]],Table1[loan_amount])</f>
        <v>403369500</v>
      </c>
      <c r="AA450" s="15">
        <f>SUMIF(Table1[region],Table1[[#This Row],[region]],Table1[current_balance])</f>
        <v>105779369</v>
      </c>
      <c r="AB450" s="2">
        <f>COUNTIF(Table1[loan_status],Table1[[#This Row],[loan_status]])</f>
        <v>139</v>
      </c>
      <c r="AC450" s="2">
        <f>COUNTIF(Table1[default_flag],1)/ROWS(Table1[loan_id])</f>
        <v>2.5999999999999999E-2</v>
      </c>
      <c r="AD450" s="2">
        <f>COUNTIFS(Table1[region],Table1[[#This Row],[region]],Table1[default_flag],1)/COUNTIF(Table1[region],Table1[[#This Row],[region]])</f>
        <v>2.6548672566371681E-2</v>
      </c>
      <c r="AE450" s="2">
        <f>COUNTIFS(Table1[channel],Table1[[#This Row],[channel]],Table1[prepayment_flag],1)/COUNTIF(Table1[channel],Table1[[#This Row],[channel]])</f>
        <v>7.1090047393364927E-2</v>
      </c>
      <c r="AF450" s="2">
        <f>AVERAGEIFS(Table1[interest_rate_pct],Table1[product],Table1[[#This Row],[product]],Table1[risk_band],Table1[[#This Row],[risk_band]])</f>
        <v>8.8557142857142868</v>
      </c>
      <c r="AG450" s="2" t="str" cm="1">
        <f t="array" ref="AG450">_xlfn.IFS(Table1[[#This Row],[dti_ratio]] &lt; 0.2, " less than 0.2", Table1[[#This Row],[dti_ratio]] &lt; 0.3, "0.2 - 0.3", Table1[[#This Row],[dti_ratio]] &lt;= 0.5, "0.35 - 0.5", Table1[[#This Row],[dti_ratio]] &gt; 0.5, "greater than 0.5")</f>
        <v>0.2 - 0.3</v>
      </c>
      <c r="AH450" s="2">
        <f>COUNTIF(Table1[DTI band],Table1[[#This Row],[DTI band]])</f>
        <v>122</v>
      </c>
      <c r="AI450" s="2" t="str" cm="1">
        <f t="array" ref="AI450">_xlfn.IFS(Table1[[#This Row],[ltv_ratio]] &lt; 0.6, "less than 0.6 -less risky", Table1[[#This Row],[ltv_ratio]]  &lt;= 0.8, "0.6 - 0.8 -medium risky",Table1[[#This Row],[ltv_ratio]] &gt; 0.8, "greater than 0.8 -highly risky")</f>
        <v>0.6 - 0.8 -medium risky</v>
      </c>
      <c r="AJ450" s="2">
        <f>COUNTIF(Table1[LTV band],Table1[[#This Row],[LTV band]])</f>
        <v>302</v>
      </c>
      <c r="AK450" s="2">
        <f>COUNTIFS(Table1[count_loan_perband],Table1[[#This Row],[count_loan_perband]],Table1[default_flag],1)/COUNTIF(Table1[count_loan_perband],Table1[[#This Row],[count_loan_perband]])</f>
        <v>3.6423841059602648E-2</v>
      </c>
      <c r="AL450" s="2" t="str" cm="1">
        <f t="array" ref="AL450">_xlfn.IFS(Table1[[#This Row],[loan_amount]] &lt; 900000, "lower size (&lt; 9L)", Table1[[#This Row],[loan_amount]] &lt;=3300000, "medium size (&lt;=33L)", Table1[[#This Row],[loan_amount]] &gt; 3300000, "larger size (&gt; 33L)")</f>
        <v>larger size (&gt; 33L)</v>
      </c>
      <c r="AM450" s="2">
        <f>IF(Table1[[#This Row],[dpd]] &gt;=30,1,0)</f>
        <v>0</v>
      </c>
      <c r="AN450" s="2">
        <f>COUNTIFS(Table1[Loan size],Table1[[#This Row],[Loan size]],Table1[dpd flag],1)/COUNTIF(Table1[Loan size],Table1[[#This Row],[Loan size]])</f>
        <v>0.16250000000000001</v>
      </c>
      <c r="AO450" s="2" t="str">
        <f>IF(OR(Table1[[#This Row],[credit_score]] &lt; 600, Table1[ [#This Row],[dti_ratio] ] &gt; 0.5, Table1[[#This Row],[dpd]] &gt;=30), "high risk", " not riskY")</f>
        <v xml:space="preserve"> not riskY</v>
      </c>
      <c r="AP450" s="26">
        <f>EOMONTH(Table1[[#This Row],[origination_date]],0)</f>
        <v>45230</v>
      </c>
      <c r="AQ450" s="2">
        <f>SUMIFS(Table1[loan_amount],Table1[origination month],Table1[[#This Row],[origination month]])</f>
        <v>25021600</v>
      </c>
      <c r="AR450" s="2">
        <f>AVERAGEIFS(Table1[months_on_book],Table1[product],Table1[[#This Row],[product]])</f>
        <v>20.516129032258064</v>
      </c>
      <c r="AS450" s="2" t="str">
        <f ca="1">IF(EDATE(Table1[[#This Row],[origination_date]],6) &gt;= TODAY(), "New Loan", "Old Loan")</f>
        <v>Old Loan</v>
      </c>
      <c r="AT450" s="2" t="str">
        <f>"Q"&amp;ROUNDUP(MONTH(Table1[[#This Row],[origination_date]])/3,0)&amp;YEAR(Table1[[#This Row],[origination_date]])</f>
        <v>Q42023</v>
      </c>
      <c r="AU450" s="2">
        <f>SUMIFS(Table1[loan_amount],Table1[quarter],Table1[[#This Row],[quarter]])</f>
        <v>58386700</v>
      </c>
      <c r="AV450" s="34" t="str">
        <f>_xlfn.TEXTJOIN("|",TRUE,Table1[[#This Row],[loan_id]:[loan_status]])</f>
        <v>L54759706|C9629922|45202|Home Loan|Online|North|Salaried|36|6928900|8.79|219661|1413171|717|B|0.21|0.7|9892200|26|5097897|2358847|0|1|0|Closed</v>
      </c>
      <c r="AW450" s="42">
        <f>YEAR(Loan_Table[ [#This Row],[origination_date] ])</f>
        <v>2024</v>
      </c>
    </row>
    <row r="451" spans="2:49" ht="18" customHeight="1">
      <c r="B451" s="5" t="s">
        <v>1022</v>
      </c>
      <c r="C451" s="2" t="s">
        <v>1023</v>
      </c>
      <c r="D451" s="3">
        <v>45288</v>
      </c>
      <c r="E451" s="2" t="s">
        <v>158</v>
      </c>
      <c r="F451" s="2" t="s">
        <v>213</v>
      </c>
      <c r="G451" s="2" t="s">
        <v>133</v>
      </c>
      <c r="H451" s="2" t="s">
        <v>146</v>
      </c>
      <c r="I451" s="2">
        <v>36</v>
      </c>
      <c r="J451" s="2">
        <v>965600</v>
      </c>
      <c r="K451" s="2">
        <v>12.89</v>
      </c>
      <c r="L451" s="2">
        <v>32484</v>
      </c>
      <c r="M451" s="2">
        <v>380061</v>
      </c>
      <c r="N451" s="2">
        <v>735</v>
      </c>
      <c r="O451" s="2" t="s">
        <v>135</v>
      </c>
      <c r="P451" s="2">
        <v>0.19</v>
      </c>
      <c r="Q451" s="2">
        <v>0.74</v>
      </c>
      <c r="R451" s="2">
        <v>1311500</v>
      </c>
      <c r="S451" s="2">
        <v>24</v>
      </c>
      <c r="T451" s="2">
        <v>667104</v>
      </c>
      <c r="U451" s="2">
        <v>398069</v>
      </c>
      <c r="V451" s="2">
        <v>0</v>
      </c>
      <c r="W451" s="2">
        <v>0</v>
      </c>
      <c r="X451" s="2">
        <v>0</v>
      </c>
      <c r="Y451" s="2" t="s">
        <v>148</v>
      </c>
      <c r="Z451" s="12">
        <f>SUMIF(Table1[product],Table1[[#This Row],[product]],Table1[loan_amount])</f>
        <v>201475100</v>
      </c>
      <c r="AA451" s="15">
        <f>SUMIF(Table1[region],Table1[[#This Row],[region]],Table1[current_balance])</f>
        <v>94548000</v>
      </c>
      <c r="AB451" s="2">
        <f>COUNTIF(Table1[loan_status],Table1[[#This Row],[loan_status]])</f>
        <v>301</v>
      </c>
      <c r="AC451" s="2">
        <f>COUNTIF(Table1[default_flag],1)/ROWS(Table1[loan_id])</f>
        <v>2.5999999999999999E-2</v>
      </c>
      <c r="AD451" s="2">
        <f>COUNTIFS(Table1[region],Table1[[#This Row],[region]],Table1[default_flag],1)/COUNTIF(Table1[region],Table1[[#This Row],[region]])</f>
        <v>0</v>
      </c>
      <c r="AE451" s="2">
        <f>COUNTIFS(Table1[channel],Table1[[#This Row],[channel]],Table1[prepayment_flag],1)/COUNTIF(Table1[channel],Table1[[#This Row],[channel]])</f>
        <v>0.12</v>
      </c>
      <c r="AF451" s="2">
        <f>AVERAGEIFS(Table1[interest_rate_pct],Table1[product],Table1[[#This Row],[product]],Table1[risk_band],Table1[[#This Row],[risk_band]])</f>
        <v>13.042631578947367</v>
      </c>
      <c r="AG451" s="2" t="str" cm="1">
        <f t="array" ref="AG451">_xlfn.IFS(Table1[[#This Row],[dti_ratio]] &lt; 0.2, " less than 0.2", Table1[[#This Row],[dti_ratio]] &lt; 0.3, "0.2 - 0.3", Table1[[#This Row],[dti_ratio]] &lt;= 0.5, "0.35 - 0.5", Table1[[#This Row],[dti_ratio]] &gt; 0.5, "greater than 0.5")</f>
        <v xml:space="preserve"> less than 0.2</v>
      </c>
      <c r="AH451" s="2">
        <f>COUNTIF(Table1[DTI band],Table1[[#This Row],[DTI band]])</f>
        <v>86</v>
      </c>
      <c r="AI451" s="2" t="str" cm="1">
        <f t="array" ref="AI451">_xlfn.IFS(Table1[[#This Row],[ltv_ratio]] &lt; 0.6, "less than 0.6 -less risky", Table1[[#This Row],[ltv_ratio]]  &lt;= 0.8, "0.6 - 0.8 -medium risky",Table1[[#This Row],[ltv_ratio]] &gt; 0.8, "greater than 0.8 -highly risky")</f>
        <v>0.6 - 0.8 -medium risky</v>
      </c>
      <c r="AJ451" s="2">
        <f>COUNTIF(Table1[LTV band],Table1[[#This Row],[LTV band]])</f>
        <v>302</v>
      </c>
      <c r="AK451" s="2">
        <f>COUNTIFS(Table1[count_loan_perband],Table1[[#This Row],[count_loan_perband]],Table1[default_flag],1)/COUNTIF(Table1[count_loan_perband],Table1[[#This Row],[count_loan_perband]])</f>
        <v>3.6423841059602648E-2</v>
      </c>
      <c r="AL451" s="2" t="str" cm="1">
        <f t="array" ref="AL451">_xlfn.IFS(Table1[[#This Row],[loan_amount]] &lt; 900000, "lower size (&lt; 9L)", Table1[[#This Row],[loan_amount]] &lt;=3300000, "medium size (&lt;=33L)", Table1[[#This Row],[loan_amount]] &gt; 3300000, "larger size (&gt; 33L)")</f>
        <v>medium size (&lt;=33L)</v>
      </c>
      <c r="AM451" s="2">
        <f>IF(Table1[[#This Row],[dpd]] &gt;=30,1,0)</f>
        <v>0</v>
      </c>
      <c r="AN451" s="2">
        <f>COUNTIFS(Table1[Loan size],Table1[[#This Row],[Loan size]],Table1[dpd flag],1)/COUNTIF(Table1[Loan size],Table1[[#This Row],[Loan size]])</f>
        <v>0.15909090909090909</v>
      </c>
      <c r="AO451" s="2" t="str">
        <f>IF(OR(Table1[[#This Row],[credit_score]] &lt; 600, Table1[ [#This Row],[dti_ratio] ] &gt; 0.5, Table1[[#This Row],[dpd]] &gt;=30), "high risk", " not riskY")</f>
        <v xml:space="preserve"> not riskY</v>
      </c>
      <c r="AP451" s="26">
        <f>EOMONTH(Table1[[#This Row],[origination_date]],0)</f>
        <v>45291</v>
      </c>
      <c r="AQ451" s="2">
        <f>SUMIFS(Table1[loan_amount],Table1[origination month],Table1[[#This Row],[origination month]])</f>
        <v>28085400</v>
      </c>
      <c r="AR451" s="2">
        <f>AVERAGEIFS(Table1[months_on_book],Table1[product],Table1[[#This Row],[product]])</f>
        <v>19.091954022988507</v>
      </c>
      <c r="AS451" s="2" t="str">
        <f ca="1">IF(EDATE(Table1[[#This Row],[origination_date]],6) &gt;= TODAY(), "New Loan", "Old Loan")</f>
        <v>Old Loan</v>
      </c>
      <c r="AT451" s="2" t="str">
        <f>"Q"&amp;ROUNDUP(MONTH(Table1[[#This Row],[origination_date]])/3,0)&amp;YEAR(Table1[[#This Row],[origination_date]])</f>
        <v>Q42023</v>
      </c>
      <c r="AU451" s="2">
        <f>SUMIFS(Table1[loan_amount],Table1[quarter],Table1[[#This Row],[quarter]])</f>
        <v>58386700</v>
      </c>
      <c r="AV451" s="34" t="str">
        <f>_xlfn.TEXTJOIN("|",TRUE,Table1[[#This Row],[loan_id]:[loan_status]])</f>
        <v>L66457795|C8354028|45288|SME Loan|Call Center|South|Contract|36|965600|12.89|32484|380061|735|B|0.19|0.74|1311500|24|667104|398069|0|0|0|Active</v>
      </c>
      <c r="AW451" s="42">
        <f>YEAR(Loan_Table[ [#This Row],[origination_date] ])</f>
        <v>2024</v>
      </c>
    </row>
    <row r="452" spans="2:49" ht="18" customHeight="1">
      <c r="B452" s="5" t="s">
        <v>1024</v>
      </c>
      <c r="C452" s="2" t="s">
        <v>1025</v>
      </c>
      <c r="D452" s="3">
        <v>45234</v>
      </c>
      <c r="E452" s="2" t="s">
        <v>158</v>
      </c>
      <c r="F452" s="2" t="s">
        <v>144</v>
      </c>
      <c r="G452" s="2" t="s">
        <v>151</v>
      </c>
      <c r="H452" s="2" t="s">
        <v>152</v>
      </c>
      <c r="I452" s="2">
        <v>24</v>
      </c>
      <c r="J452" s="2">
        <v>1065000</v>
      </c>
      <c r="K452" s="2">
        <v>14.91</v>
      </c>
      <c r="L452" s="2">
        <v>51593</v>
      </c>
      <c r="M452" s="2">
        <v>940943</v>
      </c>
      <c r="N452" s="2">
        <v>689</v>
      </c>
      <c r="O452" s="2" t="s">
        <v>140</v>
      </c>
      <c r="P452" s="2">
        <v>0.17</v>
      </c>
      <c r="Q452" s="2">
        <v>0.85</v>
      </c>
      <c r="R452" s="2">
        <v>1247300</v>
      </c>
      <c r="S452" s="2">
        <v>24</v>
      </c>
      <c r="T452" s="2">
        <v>1188546</v>
      </c>
      <c r="U452" s="2">
        <v>3487</v>
      </c>
      <c r="V452" s="2">
        <v>0</v>
      </c>
      <c r="W452" s="2">
        <v>0</v>
      </c>
      <c r="X452" s="2">
        <v>0</v>
      </c>
      <c r="Y452" s="2" t="s">
        <v>141</v>
      </c>
      <c r="Z452" s="12">
        <f>SUMIF(Table1[product],Table1[[#This Row],[product]],Table1[loan_amount])</f>
        <v>201475100</v>
      </c>
      <c r="AA452" s="15">
        <f>SUMIF(Table1[region],Table1[[#This Row],[region]],Table1[current_balance])</f>
        <v>105779369</v>
      </c>
      <c r="AB452" s="2">
        <f>COUNTIF(Table1[loan_status],Table1[[#This Row],[loan_status]])</f>
        <v>139</v>
      </c>
      <c r="AC452" s="2">
        <f>COUNTIF(Table1[default_flag],1)/ROWS(Table1[loan_id])</f>
        <v>2.5999999999999999E-2</v>
      </c>
      <c r="AD452" s="2">
        <f>COUNTIFS(Table1[region],Table1[[#This Row],[region]],Table1[default_flag],1)/COUNTIF(Table1[region],Table1[[#This Row],[region]])</f>
        <v>2.6548672566371681E-2</v>
      </c>
      <c r="AE452" s="2">
        <f>COUNTIFS(Table1[channel],Table1[[#This Row],[channel]],Table1[prepayment_flag],1)/COUNTIF(Table1[channel],Table1[[#This Row],[channel]])</f>
        <v>5.8201058201058198E-2</v>
      </c>
      <c r="AF452" s="2">
        <f>AVERAGEIFS(Table1[interest_rate_pct],Table1[product],Table1[[#This Row],[product]],Table1[risk_band],Table1[[#This Row],[risk_band]])</f>
        <v>15.841379310344831</v>
      </c>
      <c r="AG452" s="2" t="str" cm="1">
        <f t="array" ref="AG452">_xlfn.IFS(Table1[[#This Row],[dti_ratio]] &lt; 0.2, " less than 0.2", Table1[[#This Row],[dti_ratio]] &lt; 0.3, "0.2 - 0.3", Table1[[#This Row],[dti_ratio]] &lt;= 0.5, "0.35 - 0.5", Table1[[#This Row],[dti_ratio]] &gt; 0.5, "greater than 0.5")</f>
        <v xml:space="preserve"> less than 0.2</v>
      </c>
      <c r="AH452" s="2">
        <f>COUNTIF(Table1[DTI band],Table1[[#This Row],[DTI band]])</f>
        <v>86</v>
      </c>
      <c r="AI452" s="2" t="str" cm="1">
        <f t="array" ref="AI452">_xlfn.IFS(Table1[[#This Row],[ltv_ratio]] &lt; 0.6, "less than 0.6 -less risky", Table1[[#This Row],[ltv_ratio]]  &lt;= 0.8, "0.6 - 0.8 -medium risky",Table1[[#This Row],[ltv_ratio]] &gt; 0.8, "greater than 0.8 -highly risky")</f>
        <v>greater than 0.8 -highly risky</v>
      </c>
      <c r="AJ452" s="2">
        <f>COUNTIF(Table1[LTV band],Table1[[#This Row],[LTV band]])</f>
        <v>141</v>
      </c>
      <c r="AK452" s="2">
        <f>COUNTIFS(Table1[count_loan_perband],Table1[[#This Row],[count_loan_perband]],Table1[default_flag],1)/COUNTIF(Table1[count_loan_perband],Table1[[#This Row],[count_loan_perband]])</f>
        <v>1.4184397163120567E-2</v>
      </c>
      <c r="AL452" s="2" t="str" cm="1">
        <f t="array" ref="AL452">_xlfn.IFS(Table1[[#This Row],[loan_amount]] &lt; 900000, "lower size (&lt; 9L)", Table1[[#This Row],[loan_amount]] &lt;=3300000, "medium size (&lt;=33L)", Table1[[#This Row],[loan_amount]] &gt; 3300000, "larger size (&gt; 33L)")</f>
        <v>medium size (&lt;=33L)</v>
      </c>
      <c r="AM452" s="2">
        <f>IF(Table1[[#This Row],[dpd]] &gt;=30,1,0)</f>
        <v>0</v>
      </c>
      <c r="AN452" s="2">
        <f>COUNTIFS(Table1[Loan size],Table1[[#This Row],[Loan size]],Table1[dpd flag],1)/COUNTIF(Table1[Loan size],Table1[[#This Row],[Loan size]])</f>
        <v>0.15909090909090909</v>
      </c>
      <c r="AO452" s="2" t="str">
        <f>IF(OR(Table1[[#This Row],[credit_score]] &lt; 600, Table1[ [#This Row],[dti_ratio] ] &gt; 0.5, Table1[[#This Row],[dpd]] &gt;=30), "high risk", " not riskY")</f>
        <v xml:space="preserve"> not riskY</v>
      </c>
      <c r="AP452" s="26">
        <f>EOMONTH(Table1[[#This Row],[origination_date]],0)</f>
        <v>45260</v>
      </c>
      <c r="AQ452" s="2">
        <f>SUMIFS(Table1[loan_amount],Table1[origination month],Table1[[#This Row],[origination month]])</f>
        <v>5279700</v>
      </c>
      <c r="AR452" s="2">
        <f>AVERAGEIFS(Table1[months_on_book],Table1[product],Table1[[#This Row],[product]])</f>
        <v>19.091954022988507</v>
      </c>
      <c r="AS452" s="2" t="str">
        <f ca="1">IF(EDATE(Table1[[#This Row],[origination_date]],6) &gt;= TODAY(), "New Loan", "Old Loan")</f>
        <v>Old Loan</v>
      </c>
      <c r="AT452" s="2" t="str">
        <f>"Q"&amp;ROUNDUP(MONTH(Table1[[#This Row],[origination_date]])/3,0)&amp;YEAR(Table1[[#This Row],[origination_date]])</f>
        <v>Q42023</v>
      </c>
      <c r="AU452" s="2">
        <f>SUMIFS(Table1[loan_amount],Table1[quarter],Table1[[#This Row],[quarter]])</f>
        <v>58386700</v>
      </c>
      <c r="AV452" s="34" t="str">
        <f>_xlfn.TEXTJOIN("|",TRUE,Table1[[#This Row],[loan_id]:[loan_status]])</f>
        <v>L17594929|C5837924|45234|SME Loan|Branch|North|Self-Employed|24|1065000|14.91|51593|940943|689|C|0.17|0.85|1247300|24|1188546|3487|0|0|0|Closed</v>
      </c>
      <c r="AW452" s="42">
        <f>YEAR(Loan_Table[ [#This Row],[origination_date] ])</f>
        <v>2024</v>
      </c>
    </row>
    <row r="453" spans="2:49" ht="18" customHeight="1">
      <c r="B453" s="5" t="s">
        <v>1026</v>
      </c>
      <c r="C453" s="2" t="s">
        <v>1027</v>
      </c>
      <c r="D453" s="3">
        <v>45259</v>
      </c>
      <c r="E453" s="2" t="s">
        <v>158</v>
      </c>
      <c r="F453" s="2" t="s">
        <v>144</v>
      </c>
      <c r="G453" s="2" t="s">
        <v>151</v>
      </c>
      <c r="H453" s="2" t="s">
        <v>134</v>
      </c>
      <c r="I453" s="2">
        <v>120</v>
      </c>
      <c r="J453" s="2">
        <v>2097100</v>
      </c>
      <c r="K453" s="2">
        <v>15.61</v>
      </c>
      <c r="L453" s="2">
        <v>34621</v>
      </c>
      <c r="M453" s="2">
        <v>582334</v>
      </c>
      <c r="N453" s="2">
        <v>698</v>
      </c>
      <c r="O453" s="2" t="s">
        <v>140</v>
      </c>
      <c r="P453" s="2">
        <v>0.16</v>
      </c>
      <c r="Q453" s="2">
        <v>0.65</v>
      </c>
      <c r="R453" s="2">
        <v>3210900</v>
      </c>
      <c r="S453" s="2">
        <v>25</v>
      </c>
      <c r="T453" s="2">
        <v>797893</v>
      </c>
      <c r="U453" s="2">
        <v>1572005</v>
      </c>
      <c r="V453" s="2">
        <v>0</v>
      </c>
      <c r="W453" s="2">
        <v>0</v>
      </c>
      <c r="X453" s="2">
        <v>0</v>
      </c>
      <c r="Y453" s="2" t="s">
        <v>148</v>
      </c>
      <c r="Z453" s="12">
        <f>SUMIF(Table1[product],Table1[[#This Row],[product]],Table1[loan_amount])</f>
        <v>201475100</v>
      </c>
      <c r="AA453" s="15">
        <f>SUMIF(Table1[region],Table1[[#This Row],[region]],Table1[current_balance])</f>
        <v>105779369</v>
      </c>
      <c r="AB453" s="2">
        <f>COUNTIF(Table1[loan_status],Table1[[#This Row],[loan_status]])</f>
        <v>301</v>
      </c>
      <c r="AC453" s="2">
        <f>COUNTIF(Table1[default_flag],1)/ROWS(Table1[loan_id])</f>
        <v>2.5999999999999999E-2</v>
      </c>
      <c r="AD453" s="2">
        <f>COUNTIFS(Table1[region],Table1[[#This Row],[region]],Table1[default_flag],1)/COUNTIF(Table1[region],Table1[[#This Row],[region]])</f>
        <v>2.6548672566371681E-2</v>
      </c>
      <c r="AE453" s="2">
        <f>COUNTIFS(Table1[channel],Table1[[#This Row],[channel]],Table1[prepayment_flag],1)/COUNTIF(Table1[channel],Table1[[#This Row],[channel]])</f>
        <v>5.8201058201058198E-2</v>
      </c>
      <c r="AF453" s="2">
        <f>AVERAGEIFS(Table1[interest_rate_pct],Table1[product],Table1[[#This Row],[product]],Table1[risk_band],Table1[[#This Row],[risk_band]])</f>
        <v>15.841379310344831</v>
      </c>
      <c r="AG453" s="2" t="str" cm="1">
        <f t="array" ref="AG453">_xlfn.IFS(Table1[[#This Row],[dti_ratio]] &lt; 0.2, " less than 0.2", Table1[[#This Row],[dti_ratio]] &lt; 0.3, "0.2 - 0.3", Table1[[#This Row],[dti_ratio]] &lt;= 0.5, "0.35 - 0.5", Table1[[#This Row],[dti_ratio]] &gt; 0.5, "greater than 0.5")</f>
        <v xml:space="preserve"> less than 0.2</v>
      </c>
      <c r="AH453" s="2">
        <f>COUNTIF(Table1[DTI band],Table1[[#This Row],[DTI band]])</f>
        <v>86</v>
      </c>
      <c r="AI453" s="2" t="str" cm="1">
        <f t="array" ref="AI453">_xlfn.IFS(Table1[[#This Row],[ltv_ratio]] &lt; 0.6, "less than 0.6 -less risky", Table1[[#This Row],[ltv_ratio]]  &lt;= 0.8, "0.6 - 0.8 -medium risky",Table1[[#This Row],[ltv_ratio]] &gt; 0.8, "greater than 0.8 -highly risky")</f>
        <v>0.6 - 0.8 -medium risky</v>
      </c>
      <c r="AJ453" s="2">
        <f>COUNTIF(Table1[LTV band],Table1[[#This Row],[LTV band]])</f>
        <v>302</v>
      </c>
      <c r="AK453" s="2">
        <f>COUNTIFS(Table1[count_loan_perband],Table1[[#This Row],[count_loan_perband]],Table1[default_flag],1)/COUNTIF(Table1[count_loan_perband],Table1[[#This Row],[count_loan_perband]])</f>
        <v>3.6423841059602648E-2</v>
      </c>
      <c r="AL453" s="2" t="str" cm="1">
        <f t="array" ref="AL453">_xlfn.IFS(Table1[[#This Row],[loan_amount]] &lt; 900000, "lower size (&lt; 9L)", Table1[[#This Row],[loan_amount]] &lt;=3300000, "medium size (&lt;=33L)", Table1[[#This Row],[loan_amount]] &gt; 3300000, "larger size (&gt; 33L)")</f>
        <v>medium size (&lt;=33L)</v>
      </c>
      <c r="AM453" s="2">
        <f>IF(Table1[[#This Row],[dpd]] &gt;=30,1,0)</f>
        <v>0</v>
      </c>
      <c r="AN453" s="2">
        <f>COUNTIFS(Table1[Loan size],Table1[[#This Row],[Loan size]],Table1[dpd flag],1)/COUNTIF(Table1[Loan size],Table1[[#This Row],[Loan size]])</f>
        <v>0.15909090909090909</v>
      </c>
      <c r="AO453" s="2" t="str">
        <f>IF(OR(Table1[[#This Row],[credit_score]] &lt; 600, Table1[ [#This Row],[dti_ratio] ] &gt; 0.5, Table1[[#This Row],[dpd]] &gt;=30), "high risk", " not riskY")</f>
        <v xml:space="preserve"> not riskY</v>
      </c>
      <c r="AP453" s="26">
        <f>EOMONTH(Table1[[#This Row],[origination_date]],0)</f>
        <v>45260</v>
      </c>
      <c r="AQ453" s="2">
        <f>SUMIFS(Table1[loan_amount],Table1[origination month],Table1[[#This Row],[origination month]])</f>
        <v>5279700</v>
      </c>
      <c r="AR453" s="2">
        <f>AVERAGEIFS(Table1[months_on_book],Table1[product],Table1[[#This Row],[product]])</f>
        <v>19.091954022988507</v>
      </c>
      <c r="AS453" s="2" t="str">
        <f ca="1">IF(EDATE(Table1[[#This Row],[origination_date]],6) &gt;= TODAY(), "New Loan", "Old Loan")</f>
        <v>Old Loan</v>
      </c>
      <c r="AT453" s="2" t="str">
        <f>"Q"&amp;ROUNDUP(MONTH(Table1[[#This Row],[origination_date]])/3,0)&amp;YEAR(Table1[[#This Row],[origination_date]])</f>
        <v>Q42023</v>
      </c>
      <c r="AU453" s="2">
        <f>SUMIFS(Table1[loan_amount],Table1[quarter],Table1[[#This Row],[quarter]])</f>
        <v>58386700</v>
      </c>
      <c r="AV453" s="34" t="str">
        <f>_xlfn.TEXTJOIN("|",TRUE,Table1[[#This Row],[loan_id]:[loan_status]])</f>
        <v>L46217292|C6387036|45259|SME Loan|Branch|North|Salaried|120|2097100|15.61|34621|582334|698|C|0.16|0.65|3210900|25|797893|1572005|0|0|0|Active</v>
      </c>
      <c r="AW453" s="42">
        <f>YEAR(Loan_Table[ [#This Row],[origination_date] ])</f>
        <v>2024</v>
      </c>
    </row>
    <row r="454" spans="2:49" ht="18" customHeight="1">
      <c r="B454" s="5" t="s">
        <v>1028</v>
      </c>
      <c r="C454" s="2" t="s">
        <v>1029</v>
      </c>
      <c r="D454" s="3">
        <v>45202</v>
      </c>
      <c r="E454" s="2" t="s">
        <v>163</v>
      </c>
      <c r="F454" s="2" t="s">
        <v>132</v>
      </c>
      <c r="G454" s="2" t="s">
        <v>151</v>
      </c>
      <c r="H454" s="2" t="s">
        <v>134</v>
      </c>
      <c r="I454" s="2">
        <v>48</v>
      </c>
      <c r="J454" s="2">
        <v>433900</v>
      </c>
      <c r="K454" s="2">
        <v>9.5500000000000007</v>
      </c>
      <c r="L454" s="2">
        <v>10911</v>
      </c>
      <c r="M454" s="2">
        <v>1265974</v>
      </c>
      <c r="N454" s="2">
        <v>722</v>
      </c>
      <c r="O454" s="2" t="s">
        <v>135</v>
      </c>
      <c r="P454" s="2">
        <v>0.16</v>
      </c>
      <c r="Q454" s="2">
        <v>0.76</v>
      </c>
      <c r="R454" s="2">
        <v>570200</v>
      </c>
      <c r="S454" s="2">
        <v>26</v>
      </c>
      <c r="T454" s="2">
        <v>282776</v>
      </c>
      <c r="U454" s="2">
        <v>187036</v>
      </c>
      <c r="V454" s="2">
        <v>5</v>
      </c>
      <c r="W454" s="2">
        <v>0</v>
      </c>
      <c r="X454" s="2">
        <v>0</v>
      </c>
      <c r="Y454" s="2" t="s">
        <v>148</v>
      </c>
      <c r="Z454" s="12">
        <f>SUMIF(Table1[product],Table1[[#This Row],[product]],Table1[loan_amount])</f>
        <v>92273000</v>
      </c>
      <c r="AA454" s="15">
        <f>SUMIF(Table1[region],Table1[[#This Row],[region]],Table1[current_balance])</f>
        <v>105779369</v>
      </c>
      <c r="AB454" s="2">
        <f>COUNTIF(Table1[loan_status],Table1[[#This Row],[loan_status]])</f>
        <v>301</v>
      </c>
      <c r="AC454" s="2">
        <f>COUNTIF(Table1[default_flag],1)/ROWS(Table1[loan_id])</f>
        <v>2.5999999999999999E-2</v>
      </c>
      <c r="AD454" s="2">
        <f>COUNTIFS(Table1[region],Table1[[#This Row],[region]],Table1[default_flag],1)/COUNTIF(Table1[region],Table1[[#This Row],[region]])</f>
        <v>2.6548672566371681E-2</v>
      </c>
      <c r="AE454" s="2">
        <f>COUNTIFS(Table1[channel],Table1[[#This Row],[channel]],Table1[prepayment_flag],1)/COUNTIF(Table1[channel],Table1[[#This Row],[channel]])</f>
        <v>7.1090047393364927E-2</v>
      </c>
      <c r="AF454" s="2">
        <f>AVERAGEIFS(Table1[interest_rate_pct],Table1[product],Table1[[#This Row],[product]],Table1[risk_band],Table1[[#This Row],[risk_band]])</f>
        <v>10.611923076923079</v>
      </c>
      <c r="AG454" s="2" t="str" cm="1">
        <f t="array" ref="AG454">_xlfn.IFS(Table1[[#This Row],[dti_ratio]] &lt; 0.2, " less than 0.2", Table1[[#This Row],[dti_ratio]] &lt; 0.3, "0.2 - 0.3", Table1[[#This Row],[dti_ratio]] &lt;= 0.5, "0.35 - 0.5", Table1[[#This Row],[dti_ratio]] &gt; 0.5, "greater than 0.5")</f>
        <v xml:space="preserve"> less than 0.2</v>
      </c>
      <c r="AH454" s="2">
        <f>COUNTIF(Table1[DTI band],Table1[[#This Row],[DTI band]])</f>
        <v>86</v>
      </c>
      <c r="AI454" s="2" t="str" cm="1">
        <f t="array" ref="AI454">_xlfn.IFS(Table1[[#This Row],[ltv_ratio]] &lt; 0.6, "less than 0.6 -less risky", Table1[[#This Row],[ltv_ratio]]  &lt;= 0.8, "0.6 - 0.8 -medium risky",Table1[[#This Row],[ltv_ratio]] &gt; 0.8, "greater than 0.8 -highly risky")</f>
        <v>0.6 - 0.8 -medium risky</v>
      </c>
      <c r="AJ454" s="2">
        <f>COUNTIF(Table1[LTV band],Table1[[#This Row],[LTV band]])</f>
        <v>302</v>
      </c>
      <c r="AK454" s="2">
        <f>COUNTIFS(Table1[count_loan_perband],Table1[[#This Row],[count_loan_perband]],Table1[default_flag],1)/COUNTIF(Table1[count_loan_perband],Table1[[#This Row],[count_loan_perband]])</f>
        <v>3.6423841059602648E-2</v>
      </c>
      <c r="AL454" s="2" t="str" cm="1">
        <f t="array" ref="AL454">_xlfn.IFS(Table1[[#This Row],[loan_amount]] &lt; 900000, "lower size (&lt; 9L)", Table1[[#This Row],[loan_amount]] &lt;=3300000, "medium size (&lt;=33L)", Table1[[#This Row],[loan_amount]] &gt; 3300000, "larger size (&gt; 33L)")</f>
        <v>lower size (&lt; 9L)</v>
      </c>
      <c r="AM454" s="2">
        <f>IF(Table1[[#This Row],[dpd]] &gt;=30,1,0)</f>
        <v>0</v>
      </c>
      <c r="AN454" s="2">
        <f>COUNTIFS(Table1[Loan size],Table1[[#This Row],[Loan size]],Table1[dpd flag],1)/COUNTIF(Table1[Loan size],Table1[[#This Row],[Loan size]])</f>
        <v>0.13934426229508196</v>
      </c>
      <c r="AO454" s="2" t="str">
        <f>IF(OR(Table1[[#This Row],[credit_score]] &lt; 600, Table1[ [#This Row],[dti_ratio] ] &gt; 0.5, Table1[[#This Row],[dpd]] &gt;=30), "high risk", " not riskY")</f>
        <v xml:space="preserve"> not riskY</v>
      </c>
      <c r="AP454" s="26">
        <f>EOMONTH(Table1[[#This Row],[origination_date]],0)</f>
        <v>45230</v>
      </c>
      <c r="AQ454" s="2">
        <f>SUMIFS(Table1[loan_amount],Table1[origination month],Table1[[#This Row],[origination month]])</f>
        <v>25021600</v>
      </c>
      <c r="AR454" s="2">
        <f>AVERAGEIFS(Table1[months_on_book],Table1[product],Table1[[#This Row],[product]])</f>
        <v>20.262135922330096</v>
      </c>
      <c r="AS454" s="2" t="str">
        <f ca="1">IF(EDATE(Table1[[#This Row],[origination_date]],6) &gt;= TODAY(), "New Loan", "Old Loan")</f>
        <v>Old Loan</v>
      </c>
      <c r="AT454" s="2" t="str">
        <f>"Q"&amp;ROUNDUP(MONTH(Table1[[#This Row],[origination_date]])/3,0)&amp;YEAR(Table1[[#This Row],[origination_date]])</f>
        <v>Q42023</v>
      </c>
      <c r="AU454" s="2">
        <f>SUMIFS(Table1[loan_amount],Table1[quarter],Table1[[#This Row],[quarter]])</f>
        <v>58386700</v>
      </c>
      <c r="AV454" s="34" t="str">
        <f>_xlfn.TEXTJOIN("|",TRUE,Table1[[#This Row],[loan_id]:[loan_status]])</f>
        <v>L49169500|C9123878|45202|Auto Loan|Online|North|Salaried|48|433900|9.55|10911|1265974|722|B|0.16|0.76|570200|26|282776|187036|5|0|0|Active</v>
      </c>
      <c r="AW454" s="42">
        <f>YEAR(Loan_Table[ [#This Row],[origination_date] ])</f>
        <v>2024</v>
      </c>
    </row>
    <row r="455" spans="2:49" ht="18" customHeight="1">
      <c r="B455" s="5" t="s">
        <v>1030</v>
      </c>
      <c r="C455" s="2" t="s">
        <v>1031</v>
      </c>
      <c r="D455" s="3">
        <v>45268</v>
      </c>
      <c r="E455" s="2" t="s">
        <v>177</v>
      </c>
      <c r="F455" s="2" t="s">
        <v>144</v>
      </c>
      <c r="G455" s="2" t="s">
        <v>151</v>
      </c>
      <c r="H455" s="2" t="s">
        <v>134</v>
      </c>
      <c r="I455" s="2">
        <v>12</v>
      </c>
      <c r="J455" s="2">
        <v>388300</v>
      </c>
      <c r="K455" s="2">
        <v>14.01</v>
      </c>
      <c r="L455" s="2">
        <v>34866</v>
      </c>
      <c r="M455" s="2">
        <v>440391</v>
      </c>
      <c r="N455" s="2">
        <v>688</v>
      </c>
      <c r="O455" s="2" t="s">
        <v>140</v>
      </c>
      <c r="P455" s="2">
        <v>0.15</v>
      </c>
      <c r="Q455" s="2">
        <v>0.91</v>
      </c>
      <c r="R455" s="2">
        <v>0</v>
      </c>
      <c r="S455" s="2">
        <v>12</v>
      </c>
      <c r="T455" s="2">
        <v>383017</v>
      </c>
      <c r="U455" s="2">
        <v>27043</v>
      </c>
      <c r="V455" s="2">
        <v>0</v>
      </c>
      <c r="W455" s="2">
        <v>0</v>
      </c>
      <c r="X455" s="2">
        <v>0</v>
      </c>
      <c r="Y455" s="2" t="s">
        <v>141</v>
      </c>
      <c r="Z455" s="12">
        <f>SUMIF(Table1[product],Table1[[#This Row],[product]],Table1[loan_amount])</f>
        <v>62765800</v>
      </c>
      <c r="AA455" s="15">
        <f>SUMIF(Table1[region],Table1[[#This Row],[region]],Table1[current_balance])</f>
        <v>105779369</v>
      </c>
      <c r="AB455" s="2">
        <f>COUNTIF(Table1[loan_status],Table1[[#This Row],[loan_status]])</f>
        <v>139</v>
      </c>
      <c r="AC455" s="2">
        <f>COUNTIF(Table1[default_flag],1)/ROWS(Table1[loan_id])</f>
        <v>2.5999999999999999E-2</v>
      </c>
      <c r="AD455" s="2">
        <f>COUNTIFS(Table1[region],Table1[[#This Row],[region]],Table1[default_flag],1)/COUNTIF(Table1[region],Table1[[#This Row],[region]])</f>
        <v>2.6548672566371681E-2</v>
      </c>
      <c r="AE455" s="2">
        <f>COUNTIFS(Table1[channel],Table1[[#This Row],[channel]],Table1[prepayment_flag],1)/COUNTIF(Table1[channel],Table1[[#This Row],[channel]])</f>
        <v>5.8201058201058198E-2</v>
      </c>
      <c r="AF455" s="2">
        <f>AVERAGEIFS(Table1[interest_rate_pct],Table1[product],Table1[[#This Row],[product]],Table1[risk_band],Table1[[#This Row],[risk_band]])</f>
        <v>13.463888888888889</v>
      </c>
      <c r="AG455" s="2" t="str" cm="1">
        <f t="array" ref="AG455">_xlfn.IFS(Table1[[#This Row],[dti_ratio]] &lt; 0.2, " less than 0.2", Table1[[#This Row],[dti_ratio]] &lt; 0.3, "0.2 - 0.3", Table1[[#This Row],[dti_ratio]] &lt;= 0.5, "0.35 - 0.5", Table1[[#This Row],[dti_ratio]] &gt; 0.5, "greater than 0.5")</f>
        <v xml:space="preserve"> less than 0.2</v>
      </c>
      <c r="AH455" s="2">
        <f>COUNTIF(Table1[DTI band],Table1[[#This Row],[DTI band]])</f>
        <v>86</v>
      </c>
      <c r="AI455" s="2" t="str" cm="1">
        <f t="array" ref="AI455">_xlfn.IFS(Table1[[#This Row],[ltv_ratio]] &lt; 0.6, "less than 0.6 -less risky", Table1[[#This Row],[ltv_ratio]]  &lt;= 0.8, "0.6 - 0.8 -medium risky",Table1[[#This Row],[ltv_ratio]] &gt; 0.8, "greater than 0.8 -highly risky")</f>
        <v>greater than 0.8 -highly risky</v>
      </c>
      <c r="AJ455" s="2">
        <f>COUNTIF(Table1[LTV band],Table1[[#This Row],[LTV band]])</f>
        <v>141</v>
      </c>
      <c r="AK455" s="2">
        <f>COUNTIFS(Table1[count_loan_perband],Table1[[#This Row],[count_loan_perband]],Table1[default_flag],1)/COUNTIF(Table1[count_loan_perband],Table1[[#This Row],[count_loan_perband]])</f>
        <v>1.4184397163120567E-2</v>
      </c>
      <c r="AL455" s="2" t="str" cm="1">
        <f t="array" ref="AL455">_xlfn.IFS(Table1[[#This Row],[loan_amount]] &lt; 900000, "lower size (&lt; 9L)", Table1[[#This Row],[loan_amount]] &lt;=3300000, "medium size (&lt;=33L)", Table1[[#This Row],[loan_amount]] &gt; 3300000, "larger size (&gt; 33L)")</f>
        <v>lower size (&lt; 9L)</v>
      </c>
      <c r="AM455" s="2">
        <f>IF(Table1[[#This Row],[dpd]] &gt;=30,1,0)</f>
        <v>0</v>
      </c>
      <c r="AN455" s="2">
        <f>COUNTIFS(Table1[Loan size],Table1[[#This Row],[Loan size]],Table1[dpd flag],1)/COUNTIF(Table1[Loan size],Table1[[#This Row],[Loan size]])</f>
        <v>0.13934426229508196</v>
      </c>
      <c r="AO455" s="2" t="str">
        <f>IF(OR(Table1[[#This Row],[credit_score]] &lt; 600, Table1[ [#This Row],[dti_ratio] ] &gt; 0.5, Table1[[#This Row],[dpd]] &gt;=30), "high risk", " not riskY")</f>
        <v xml:space="preserve"> not riskY</v>
      </c>
      <c r="AP455" s="26">
        <f>EOMONTH(Table1[[#This Row],[origination_date]],0)</f>
        <v>45291</v>
      </c>
      <c r="AQ455" s="2">
        <f>SUMIFS(Table1[loan_amount],Table1[origination month],Table1[[#This Row],[origination month]])</f>
        <v>28085400</v>
      </c>
      <c r="AR455" s="2">
        <f>AVERAGEIFS(Table1[months_on_book],Table1[product],Table1[[#This Row],[product]])</f>
        <v>21.962962962962962</v>
      </c>
      <c r="AS455" s="2" t="str">
        <f ca="1">IF(EDATE(Table1[[#This Row],[origination_date]],6) &gt;= TODAY(), "New Loan", "Old Loan")</f>
        <v>Old Loan</v>
      </c>
      <c r="AT455" s="2" t="str">
        <f>"Q"&amp;ROUNDUP(MONTH(Table1[[#This Row],[origination_date]])/3,0)&amp;YEAR(Table1[[#This Row],[origination_date]])</f>
        <v>Q42023</v>
      </c>
      <c r="AU455" s="2">
        <f>SUMIFS(Table1[loan_amount],Table1[quarter],Table1[[#This Row],[quarter]])</f>
        <v>58386700</v>
      </c>
      <c r="AV455" s="34" t="str">
        <f>_xlfn.TEXTJOIN("|",TRUE,Table1[[#This Row],[loan_id]:[loan_status]])</f>
        <v>L78502573|C1599029|45268|Education Loan|Branch|North|Salaried|12|388300|14.01|34866|440391|688|C|0.15|0.91|0|12|383017|27043|0|0|0|Closed</v>
      </c>
      <c r="AW455" s="42">
        <f>YEAR(Loan_Table[ [#This Row],[origination_date] ])</f>
        <v>2024</v>
      </c>
    </row>
    <row r="456" spans="2:49" ht="18" customHeight="1">
      <c r="B456" s="5" t="s">
        <v>1032</v>
      </c>
      <c r="C456" s="2" t="s">
        <v>1033</v>
      </c>
      <c r="D456" s="3">
        <v>45244</v>
      </c>
      <c r="E456" s="2" t="s">
        <v>131</v>
      </c>
      <c r="F456" s="2" t="s">
        <v>213</v>
      </c>
      <c r="G456" s="2" t="s">
        <v>151</v>
      </c>
      <c r="H456" s="2" t="s">
        <v>134</v>
      </c>
      <c r="I456" s="2">
        <v>36</v>
      </c>
      <c r="J456" s="2">
        <v>444500</v>
      </c>
      <c r="K456" s="2">
        <v>16.489999999999998</v>
      </c>
      <c r="L456" s="2">
        <v>15735</v>
      </c>
      <c r="M456" s="2">
        <v>845252</v>
      </c>
      <c r="N456" s="2">
        <v>714</v>
      </c>
      <c r="O456" s="2" t="s">
        <v>135</v>
      </c>
      <c r="P456" s="2">
        <v>0.14000000000000001</v>
      </c>
      <c r="Q456" s="2">
        <v>0.5</v>
      </c>
      <c r="R456" s="2">
        <v>0</v>
      </c>
      <c r="S456" s="2">
        <v>25</v>
      </c>
      <c r="T456" s="2">
        <v>380243</v>
      </c>
      <c r="U456" s="2">
        <v>125339</v>
      </c>
      <c r="V456" s="2">
        <v>0</v>
      </c>
      <c r="W456" s="2">
        <v>0</v>
      </c>
      <c r="X456" s="2">
        <v>0</v>
      </c>
      <c r="Y456" s="2" t="s">
        <v>148</v>
      </c>
      <c r="Z456" s="12">
        <f>SUMIF(Table1[product],Table1[[#This Row],[product]],Table1[loan_amount])</f>
        <v>74897600</v>
      </c>
      <c r="AA456" s="15">
        <f>SUMIF(Table1[region],Table1[[#This Row],[region]],Table1[current_balance])</f>
        <v>105779369</v>
      </c>
      <c r="AB456" s="2">
        <f>COUNTIF(Table1[loan_status],Table1[[#This Row],[loan_status]])</f>
        <v>301</v>
      </c>
      <c r="AC456" s="2">
        <f>COUNTIF(Table1[default_flag],1)/ROWS(Table1[loan_id])</f>
        <v>2.5999999999999999E-2</v>
      </c>
      <c r="AD456" s="2">
        <f>COUNTIFS(Table1[region],Table1[[#This Row],[region]],Table1[default_flag],1)/COUNTIF(Table1[region],Table1[[#This Row],[region]])</f>
        <v>2.6548672566371681E-2</v>
      </c>
      <c r="AE456" s="2">
        <f>COUNTIFS(Table1[channel],Table1[[#This Row],[channel]],Table1[prepayment_flag],1)/COUNTIF(Table1[channel],Table1[[#This Row],[channel]])</f>
        <v>0.12</v>
      </c>
      <c r="AF456" s="2">
        <f>AVERAGEIFS(Table1[interest_rate_pct],Table1[product],Table1[[#This Row],[product]],Table1[risk_band],Table1[[#This Row],[risk_band]])</f>
        <v>16.500166666666669</v>
      </c>
      <c r="AG456" s="2" t="str" cm="1">
        <f t="array" ref="AG456">_xlfn.IFS(Table1[[#This Row],[dti_ratio]] &lt; 0.2, " less than 0.2", Table1[[#This Row],[dti_ratio]] &lt; 0.3, "0.2 - 0.3", Table1[[#This Row],[dti_ratio]] &lt;= 0.5, "0.35 - 0.5", Table1[[#This Row],[dti_ratio]] &gt; 0.5, "greater than 0.5")</f>
        <v xml:space="preserve"> less than 0.2</v>
      </c>
      <c r="AH456" s="2">
        <f>COUNTIF(Table1[DTI band],Table1[[#This Row],[DTI band]])</f>
        <v>86</v>
      </c>
      <c r="AI456" s="2" t="str" cm="1">
        <f t="array" ref="AI456">_xlfn.IFS(Table1[[#This Row],[ltv_ratio]] &lt; 0.6, "less than 0.6 -less risky", Table1[[#This Row],[ltv_ratio]]  &lt;= 0.8, "0.6 - 0.8 -medium risky",Table1[[#This Row],[ltv_ratio]] &gt; 0.8, "greater than 0.8 -highly risky")</f>
        <v>less than 0.6 -less risky</v>
      </c>
      <c r="AJ456" s="2">
        <f>COUNTIF(Table1[LTV band],Table1[[#This Row],[LTV band]])</f>
        <v>57</v>
      </c>
      <c r="AK456" s="2">
        <f>COUNTIFS(Table1[count_loan_perband],Table1[[#This Row],[count_loan_perband]],Table1[default_flag],1)/COUNTIF(Table1[count_loan_perband],Table1[[#This Row],[count_loan_perband]])</f>
        <v>0</v>
      </c>
      <c r="AL456" s="2" t="str" cm="1">
        <f t="array" ref="AL456">_xlfn.IFS(Table1[[#This Row],[loan_amount]] &lt; 900000, "lower size (&lt; 9L)", Table1[[#This Row],[loan_amount]] &lt;=3300000, "medium size (&lt;=33L)", Table1[[#This Row],[loan_amount]] &gt; 3300000, "larger size (&gt; 33L)")</f>
        <v>lower size (&lt; 9L)</v>
      </c>
      <c r="AM456" s="2">
        <f>IF(Table1[[#This Row],[dpd]] &gt;=30,1,0)</f>
        <v>0</v>
      </c>
      <c r="AN456" s="2">
        <f>COUNTIFS(Table1[Loan size],Table1[[#This Row],[Loan size]],Table1[dpd flag],1)/COUNTIF(Table1[Loan size],Table1[[#This Row],[Loan size]])</f>
        <v>0.13934426229508196</v>
      </c>
      <c r="AO456" s="2" t="str">
        <f>IF(OR(Table1[[#This Row],[credit_score]] &lt; 600, Table1[ [#This Row],[dti_ratio] ] &gt; 0.5, Table1[[#This Row],[dpd]] &gt;=30), "high risk", " not riskY")</f>
        <v xml:space="preserve"> not riskY</v>
      </c>
      <c r="AP456" s="26">
        <f>EOMONTH(Table1[[#This Row],[origination_date]],0)</f>
        <v>45260</v>
      </c>
      <c r="AQ456" s="2">
        <f>SUMIFS(Table1[loan_amount],Table1[origination month],Table1[[#This Row],[origination month]])</f>
        <v>5279700</v>
      </c>
      <c r="AR456" s="2">
        <f>AVERAGEIFS(Table1[months_on_book],Table1[product],Table1[[#This Row],[product]])</f>
        <v>21.092024539877301</v>
      </c>
      <c r="AS456" s="2" t="str">
        <f ca="1">IF(EDATE(Table1[[#This Row],[origination_date]],6) &gt;= TODAY(), "New Loan", "Old Loan")</f>
        <v>Old Loan</v>
      </c>
      <c r="AT456" s="2" t="str">
        <f>"Q"&amp;ROUNDUP(MONTH(Table1[[#This Row],[origination_date]])/3,0)&amp;YEAR(Table1[[#This Row],[origination_date]])</f>
        <v>Q42023</v>
      </c>
      <c r="AU456" s="2">
        <f>SUMIFS(Table1[loan_amount],Table1[quarter],Table1[[#This Row],[quarter]])</f>
        <v>58386700</v>
      </c>
      <c r="AV456" s="34" t="str">
        <f>_xlfn.TEXTJOIN("|",TRUE,Table1[[#This Row],[loan_id]:[loan_status]])</f>
        <v>L42963718|C6545491|45244|Personal Loan|Call Center|North|Salaried|36|444500|16.49|15735|845252|714|B|0.14|0.5|0|25|380243|125339|0|0|0|Active</v>
      </c>
      <c r="AW456" s="42">
        <f>YEAR(Loan_Table[ [#This Row],[origination_date] ])</f>
        <v>2024</v>
      </c>
    </row>
    <row r="457" spans="2:49" ht="18" customHeight="1">
      <c r="B457" s="5" t="s">
        <v>1034</v>
      </c>
      <c r="C457" s="2" t="s">
        <v>1035</v>
      </c>
      <c r="D457" s="3">
        <v>45270</v>
      </c>
      <c r="E457" s="2" t="s">
        <v>158</v>
      </c>
      <c r="F457" s="2" t="s">
        <v>132</v>
      </c>
      <c r="G457" s="2" t="s">
        <v>151</v>
      </c>
      <c r="H457" s="2" t="s">
        <v>192</v>
      </c>
      <c r="I457" s="2">
        <v>12</v>
      </c>
      <c r="J457" s="2">
        <v>4548700</v>
      </c>
      <c r="K457" s="2">
        <v>13.39</v>
      </c>
      <c r="L457" s="2">
        <v>407110</v>
      </c>
      <c r="M457" s="2">
        <v>1096115</v>
      </c>
      <c r="N457" s="2">
        <v>719</v>
      </c>
      <c r="O457" s="2" t="s">
        <v>135</v>
      </c>
      <c r="P457" s="2">
        <v>0.12</v>
      </c>
      <c r="Q457" s="2">
        <v>0.71</v>
      </c>
      <c r="R457" s="2">
        <v>6442800</v>
      </c>
      <c r="S457" s="2">
        <v>12</v>
      </c>
      <c r="T457" s="2">
        <v>4922349</v>
      </c>
      <c r="U457" s="2">
        <v>0</v>
      </c>
      <c r="V457" s="2">
        <v>10</v>
      </c>
      <c r="W457" s="2">
        <v>0</v>
      </c>
      <c r="X457" s="2">
        <v>0</v>
      </c>
      <c r="Y457" s="2" t="s">
        <v>141</v>
      </c>
      <c r="Z457" s="12">
        <f>SUMIF(Table1[product],Table1[[#This Row],[product]],Table1[loan_amount])</f>
        <v>201475100</v>
      </c>
      <c r="AA457" s="15">
        <f>SUMIF(Table1[region],Table1[[#This Row],[region]],Table1[current_balance])</f>
        <v>105779369</v>
      </c>
      <c r="AB457" s="2">
        <f>COUNTIF(Table1[loan_status],Table1[[#This Row],[loan_status]])</f>
        <v>139</v>
      </c>
      <c r="AC457" s="2">
        <f>COUNTIF(Table1[default_flag],1)/ROWS(Table1[loan_id])</f>
        <v>2.5999999999999999E-2</v>
      </c>
      <c r="AD457" s="2">
        <f>COUNTIFS(Table1[region],Table1[[#This Row],[region]],Table1[default_flag],1)/COUNTIF(Table1[region],Table1[[#This Row],[region]])</f>
        <v>2.6548672566371681E-2</v>
      </c>
      <c r="AE457" s="2">
        <f>COUNTIFS(Table1[channel],Table1[[#This Row],[channel]],Table1[prepayment_flag],1)/COUNTIF(Table1[channel],Table1[[#This Row],[channel]])</f>
        <v>7.1090047393364927E-2</v>
      </c>
      <c r="AF457" s="2">
        <f>AVERAGEIFS(Table1[interest_rate_pct],Table1[product],Table1[[#This Row],[product]],Table1[risk_band],Table1[[#This Row],[risk_band]])</f>
        <v>13.042631578947367</v>
      </c>
      <c r="AG457" s="2" t="str" cm="1">
        <f t="array" ref="AG457">_xlfn.IFS(Table1[[#This Row],[dti_ratio]] &lt; 0.2, " less than 0.2", Table1[[#This Row],[dti_ratio]] &lt; 0.3, "0.2 - 0.3", Table1[[#This Row],[dti_ratio]] &lt;= 0.5, "0.35 - 0.5", Table1[[#This Row],[dti_ratio]] &gt; 0.5, "greater than 0.5")</f>
        <v xml:space="preserve"> less than 0.2</v>
      </c>
      <c r="AH457" s="2">
        <f>COUNTIF(Table1[DTI band],Table1[[#This Row],[DTI band]])</f>
        <v>86</v>
      </c>
      <c r="AI457" s="2" t="str" cm="1">
        <f t="array" ref="AI457">_xlfn.IFS(Table1[[#This Row],[ltv_ratio]] &lt; 0.6, "less than 0.6 -less risky", Table1[[#This Row],[ltv_ratio]]  &lt;= 0.8, "0.6 - 0.8 -medium risky",Table1[[#This Row],[ltv_ratio]] &gt; 0.8, "greater than 0.8 -highly risky")</f>
        <v>0.6 - 0.8 -medium risky</v>
      </c>
      <c r="AJ457" s="2">
        <f>COUNTIF(Table1[LTV band],Table1[[#This Row],[LTV band]])</f>
        <v>302</v>
      </c>
      <c r="AK457" s="2">
        <f>COUNTIFS(Table1[count_loan_perband],Table1[[#This Row],[count_loan_perband]],Table1[default_flag],1)/COUNTIF(Table1[count_loan_perband],Table1[[#This Row],[count_loan_perband]])</f>
        <v>3.6423841059602648E-2</v>
      </c>
      <c r="AL457" s="2" t="str" cm="1">
        <f t="array" ref="AL457">_xlfn.IFS(Table1[[#This Row],[loan_amount]] &lt; 900000, "lower size (&lt; 9L)", Table1[[#This Row],[loan_amount]] &lt;=3300000, "medium size (&lt;=33L)", Table1[[#This Row],[loan_amount]] &gt; 3300000, "larger size (&gt; 33L)")</f>
        <v>larger size (&gt; 33L)</v>
      </c>
      <c r="AM457" s="2">
        <f>IF(Table1[[#This Row],[dpd]] &gt;=30,1,0)</f>
        <v>0</v>
      </c>
      <c r="AN457" s="2">
        <f>COUNTIFS(Table1[Loan size],Table1[[#This Row],[Loan size]],Table1[dpd flag],1)/COUNTIF(Table1[Loan size],Table1[[#This Row],[Loan size]])</f>
        <v>0.16250000000000001</v>
      </c>
      <c r="AO457" s="2" t="str">
        <f>IF(OR(Table1[[#This Row],[credit_score]] &lt; 600, Table1[ [#This Row],[dti_ratio] ] &gt; 0.5, Table1[[#This Row],[dpd]] &gt;=30), "high risk", " not riskY")</f>
        <v xml:space="preserve"> not riskY</v>
      </c>
      <c r="AP457" s="26">
        <f>EOMONTH(Table1[[#This Row],[origination_date]],0)</f>
        <v>45291</v>
      </c>
      <c r="AQ457" s="2">
        <f>SUMIFS(Table1[loan_amount],Table1[origination month],Table1[[#This Row],[origination month]])</f>
        <v>28085400</v>
      </c>
      <c r="AR457" s="2">
        <f>AVERAGEIFS(Table1[months_on_book],Table1[product],Table1[[#This Row],[product]])</f>
        <v>19.091954022988507</v>
      </c>
      <c r="AS457" s="2" t="str">
        <f ca="1">IF(EDATE(Table1[[#This Row],[origination_date]],6) &gt;= TODAY(), "New Loan", "Old Loan")</f>
        <v>Old Loan</v>
      </c>
      <c r="AT457" s="2" t="str">
        <f>"Q"&amp;ROUNDUP(MONTH(Table1[[#This Row],[origination_date]])/3,0)&amp;YEAR(Table1[[#This Row],[origination_date]])</f>
        <v>Q42023</v>
      </c>
      <c r="AU457" s="2">
        <f>SUMIFS(Table1[loan_amount],Table1[quarter],Table1[[#This Row],[quarter]])</f>
        <v>58386700</v>
      </c>
      <c r="AV457" s="34" t="str">
        <f>_xlfn.TEXTJOIN("|",TRUE,Table1[[#This Row],[loan_id]:[loan_status]])</f>
        <v>L14041955|C9668691|45270|SME Loan|Online|North|Unemployed|12|4548700|13.39|407110|1096115|719|B|0.12|0.71|6442800|12|4922349|0|10|0|0|Closed</v>
      </c>
      <c r="AW457" s="42">
        <f>YEAR(Loan_Table[ [#This Row],[origination_date] ])</f>
        <v>2024</v>
      </c>
    </row>
    <row r="458" spans="2:49" ht="18" customHeight="1">
      <c r="B458" s="5" t="s">
        <v>1036</v>
      </c>
      <c r="C458" s="2" t="s">
        <v>1037</v>
      </c>
      <c r="D458" s="3">
        <v>45648</v>
      </c>
      <c r="E458" s="2" t="s">
        <v>131</v>
      </c>
      <c r="F458" s="2" t="s">
        <v>144</v>
      </c>
      <c r="G458" s="2" t="s">
        <v>139</v>
      </c>
      <c r="H458" s="2" t="s">
        <v>134</v>
      </c>
      <c r="I458" s="2">
        <v>240</v>
      </c>
      <c r="J458" s="2">
        <v>635600</v>
      </c>
      <c r="K458" s="2">
        <v>15.61</v>
      </c>
      <c r="L458" s="2">
        <v>8657</v>
      </c>
      <c r="M458" s="2">
        <v>1256829</v>
      </c>
      <c r="N458" s="2">
        <v>722</v>
      </c>
      <c r="O458" s="2" t="s">
        <v>135</v>
      </c>
      <c r="P458" s="2">
        <v>0.66</v>
      </c>
      <c r="Q458" s="2">
        <v>0.77</v>
      </c>
      <c r="R458" s="2">
        <v>0</v>
      </c>
      <c r="S458" s="2">
        <v>12</v>
      </c>
      <c r="T458" s="2">
        <v>93530</v>
      </c>
      <c r="U458" s="2">
        <v>581757</v>
      </c>
      <c r="V458" s="2">
        <v>0</v>
      </c>
      <c r="W458" s="2">
        <v>0</v>
      </c>
      <c r="X458" s="2">
        <v>0</v>
      </c>
      <c r="Y458" s="2" t="s">
        <v>148</v>
      </c>
      <c r="Z458" s="12">
        <f>SUMIF(Table1[product],Table1[[#This Row],[product]],Table1[loan_amount])</f>
        <v>74897600</v>
      </c>
      <c r="AA458" s="15">
        <f>SUMIF(Table1[region],Table1[[#This Row],[region]],Table1[current_balance])</f>
        <v>83903255</v>
      </c>
      <c r="AB458" s="2">
        <f>COUNTIF(Table1[loan_status],Table1[[#This Row],[loan_status]])</f>
        <v>301</v>
      </c>
      <c r="AC458" s="2">
        <f>COUNTIF(Table1[default_flag],1)/ROWS(Table1[loan_id])</f>
        <v>2.5999999999999999E-2</v>
      </c>
      <c r="AD458" s="2">
        <f>COUNTIFS(Table1[region],Table1[[#This Row],[region]],Table1[default_flag],1)/COUNTIF(Table1[region],Table1[[#This Row],[region]])</f>
        <v>4.2553191489361701E-2</v>
      </c>
      <c r="AE458" s="2">
        <f>COUNTIFS(Table1[channel],Table1[[#This Row],[channel]],Table1[prepayment_flag],1)/COUNTIF(Table1[channel],Table1[[#This Row],[channel]])</f>
        <v>5.8201058201058198E-2</v>
      </c>
      <c r="AF458" s="2">
        <f>AVERAGEIFS(Table1[interest_rate_pct],Table1[product],Table1[[#This Row],[product]],Table1[risk_band],Table1[[#This Row],[risk_band]])</f>
        <v>16.500166666666669</v>
      </c>
      <c r="AG458" s="2" t="str" cm="1">
        <f t="array" ref="AG458">_xlfn.IFS(Table1[[#This Row],[dti_ratio]] &lt; 0.2, " less than 0.2", Table1[[#This Row],[dti_ratio]] &lt; 0.3, "0.2 - 0.3", Table1[[#This Row],[dti_ratio]] &lt;= 0.5, "0.35 - 0.5", Table1[[#This Row],[dti_ratio]] &gt; 0.5, "greater than 0.5")</f>
        <v>greater than 0.5</v>
      </c>
      <c r="AH458" s="2">
        <f>COUNTIF(Table1[DTI band],Table1[[#This Row],[DTI band]])</f>
        <v>32</v>
      </c>
      <c r="AI458" s="2" t="str" cm="1">
        <f t="array" ref="AI458">_xlfn.IFS(Table1[[#This Row],[ltv_ratio]] &lt; 0.6, "less than 0.6 -less risky", Table1[[#This Row],[ltv_ratio]]  &lt;= 0.8, "0.6 - 0.8 -medium risky",Table1[[#This Row],[ltv_ratio]] &gt; 0.8, "greater than 0.8 -highly risky")</f>
        <v>0.6 - 0.8 -medium risky</v>
      </c>
      <c r="AJ458" s="2">
        <f>COUNTIF(Table1[LTV band],Table1[[#This Row],[LTV band]])</f>
        <v>302</v>
      </c>
      <c r="AK458" s="2">
        <f>COUNTIFS(Table1[count_loan_perband],Table1[[#This Row],[count_loan_perband]],Table1[default_flag],1)/COUNTIF(Table1[count_loan_perband],Table1[[#This Row],[count_loan_perband]])</f>
        <v>3.6423841059602648E-2</v>
      </c>
      <c r="AL458" s="2" t="str" cm="1">
        <f t="array" ref="AL458">_xlfn.IFS(Table1[[#This Row],[loan_amount]] &lt; 900000, "lower size (&lt; 9L)", Table1[[#This Row],[loan_amount]] &lt;=3300000, "medium size (&lt;=33L)", Table1[[#This Row],[loan_amount]] &gt; 3300000, "larger size (&gt; 33L)")</f>
        <v>lower size (&lt; 9L)</v>
      </c>
      <c r="AM458" s="2">
        <f>IF(Table1[[#This Row],[dpd]] &gt;=30,1,0)</f>
        <v>0</v>
      </c>
      <c r="AN458" s="2">
        <f>COUNTIFS(Table1[Loan size],Table1[[#This Row],[Loan size]],Table1[dpd flag],1)/COUNTIF(Table1[Loan size],Table1[[#This Row],[Loan size]])</f>
        <v>0.13934426229508196</v>
      </c>
      <c r="AO458" s="2" t="str">
        <f>IF(OR(Table1[[#This Row],[credit_score]] &lt; 600, Table1[ [#This Row],[dti_ratio] ] &gt; 0.5, Table1[[#This Row],[dpd]] &gt;=30), "high risk", " not riskY")</f>
        <v>high risk</v>
      </c>
      <c r="AP458" s="26">
        <f>EOMONTH(Table1[[#This Row],[origination_date]],0)</f>
        <v>45657</v>
      </c>
      <c r="AQ458" s="2">
        <f>SUMIFS(Table1[loan_amount],Table1[origination month],Table1[[#This Row],[origination month]])</f>
        <v>19904900</v>
      </c>
      <c r="AR458" s="2">
        <f>AVERAGEIFS(Table1[months_on_book],Table1[product],Table1[[#This Row],[product]])</f>
        <v>21.092024539877301</v>
      </c>
      <c r="AS458" s="2" t="str">
        <f ca="1">IF(EDATE(Table1[[#This Row],[origination_date]],6) &gt;= TODAY(), "New Loan", "Old Loan")</f>
        <v>Old Loan</v>
      </c>
      <c r="AT458" s="2" t="str">
        <f>"Q"&amp;ROUNDUP(MONTH(Table1[[#This Row],[origination_date]])/3,0)&amp;YEAR(Table1[[#This Row],[origination_date]])</f>
        <v>Q42024</v>
      </c>
      <c r="AU458" s="2">
        <f>SUMIFS(Table1[loan_amount],Table1[quarter],Table1[[#This Row],[quarter]])</f>
        <v>53441200</v>
      </c>
      <c r="AV458" s="34" t="str">
        <f>_xlfn.TEXTJOIN("|",TRUE,Table1[[#This Row],[loan_id]:[loan_status]])</f>
        <v>L11945087|C1108824|45648|Personal Loan|Branch|West|Salaried|240|635600|15.61|8657|1256829|722|B|0.66|0.77|0|12|93530|581757|0|0|0|Active</v>
      </c>
      <c r="AW458" s="42">
        <f>YEAR(Loan_Table[ [#This Row],[origination_date] ])</f>
        <v>2024</v>
      </c>
    </row>
    <row r="459" spans="2:49" ht="18" customHeight="1">
      <c r="B459" s="5" t="s">
        <v>1038</v>
      </c>
      <c r="C459" s="2" t="s">
        <v>1039</v>
      </c>
      <c r="D459" s="3">
        <v>45611</v>
      </c>
      <c r="E459" s="2" t="s">
        <v>163</v>
      </c>
      <c r="F459" s="2" t="s">
        <v>144</v>
      </c>
      <c r="G459" s="2" t="s">
        <v>139</v>
      </c>
      <c r="H459" s="2" t="s">
        <v>134</v>
      </c>
      <c r="I459" s="2">
        <v>24</v>
      </c>
      <c r="J459" s="2">
        <v>873600</v>
      </c>
      <c r="K459" s="2">
        <v>18.670000000000002</v>
      </c>
      <c r="L459" s="2">
        <v>43897</v>
      </c>
      <c r="M459" s="2">
        <v>1027921</v>
      </c>
      <c r="N459" s="2">
        <v>576</v>
      </c>
      <c r="O459" s="2" t="s">
        <v>166</v>
      </c>
      <c r="P459" s="2">
        <v>0.56000000000000005</v>
      </c>
      <c r="Q459" s="2">
        <v>0.67</v>
      </c>
      <c r="R459" s="2">
        <v>1296900</v>
      </c>
      <c r="S459" s="2">
        <v>13</v>
      </c>
      <c r="T459" s="2">
        <v>488838</v>
      </c>
      <c r="U459" s="2">
        <v>455439</v>
      </c>
      <c r="V459" s="2">
        <v>30</v>
      </c>
      <c r="W459" s="2">
        <v>0</v>
      </c>
      <c r="X459" s="2">
        <v>0</v>
      </c>
      <c r="Y459" s="2" t="s">
        <v>136</v>
      </c>
      <c r="Z459" s="12">
        <f>SUMIF(Table1[product],Table1[[#This Row],[product]],Table1[loan_amount])</f>
        <v>92273000</v>
      </c>
      <c r="AA459" s="15">
        <f>SUMIF(Table1[region],Table1[[#This Row],[region]],Table1[current_balance])</f>
        <v>83903255</v>
      </c>
      <c r="AB459" s="2">
        <f>COUNTIF(Table1[loan_status],Table1[[#This Row],[loan_status]])</f>
        <v>47</v>
      </c>
      <c r="AC459" s="2">
        <f>COUNTIF(Table1[default_flag],1)/ROWS(Table1[loan_id])</f>
        <v>2.5999999999999999E-2</v>
      </c>
      <c r="AD459" s="2">
        <f>COUNTIFS(Table1[region],Table1[[#This Row],[region]],Table1[default_flag],1)/COUNTIF(Table1[region],Table1[[#This Row],[region]])</f>
        <v>4.2553191489361701E-2</v>
      </c>
      <c r="AE459" s="2">
        <f>COUNTIFS(Table1[channel],Table1[[#This Row],[channel]],Table1[prepayment_flag],1)/COUNTIF(Table1[channel],Table1[[#This Row],[channel]])</f>
        <v>5.8201058201058198E-2</v>
      </c>
      <c r="AF459" s="2">
        <f>AVERAGEIFS(Table1[interest_rate_pct],Table1[product],Table1[[#This Row],[product]],Table1[risk_band],Table1[[#This Row],[risk_band]])</f>
        <v>17.744166666666668</v>
      </c>
      <c r="AG459" s="2" t="str" cm="1">
        <f t="array" ref="AG459">_xlfn.IFS(Table1[[#This Row],[dti_ratio]] &lt; 0.2, " less than 0.2", Table1[[#This Row],[dti_ratio]] &lt; 0.3, "0.2 - 0.3", Table1[[#This Row],[dti_ratio]] &lt;= 0.5, "0.35 - 0.5", Table1[[#This Row],[dti_ratio]] &gt; 0.5, "greater than 0.5")</f>
        <v>greater than 0.5</v>
      </c>
      <c r="AH459" s="2">
        <f>COUNTIF(Table1[DTI band],Table1[[#This Row],[DTI band]])</f>
        <v>32</v>
      </c>
      <c r="AI459" s="2" t="str" cm="1">
        <f t="array" ref="AI459">_xlfn.IFS(Table1[[#This Row],[ltv_ratio]] &lt; 0.6, "less than 0.6 -less risky", Table1[[#This Row],[ltv_ratio]]  &lt;= 0.8, "0.6 - 0.8 -medium risky",Table1[[#This Row],[ltv_ratio]] &gt; 0.8, "greater than 0.8 -highly risky")</f>
        <v>0.6 - 0.8 -medium risky</v>
      </c>
      <c r="AJ459" s="2">
        <f>COUNTIF(Table1[LTV band],Table1[[#This Row],[LTV band]])</f>
        <v>302</v>
      </c>
      <c r="AK459" s="2">
        <f>COUNTIFS(Table1[count_loan_perband],Table1[[#This Row],[count_loan_perband]],Table1[default_flag],1)/COUNTIF(Table1[count_loan_perband],Table1[[#This Row],[count_loan_perband]])</f>
        <v>3.6423841059602648E-2</v>
      </c>
      <c r="AL459" s="2" t="str" cm="1">
        <f t="array" ref="AL459">_xlfn.IFS(Table1[[#This Row],[loan_amount]] &lt; 900000, "lower size (&lt; 9L)", Table1[[#This Row],[loan_amount]] &lt;=3300000, "medium size (&lt;=33L)", Table1[[#This Row],[loan_amount]] &gt; 3300000, "larger size (&gt; 33L)")</f>
        <v>lower size (&lt; 9L)</v>
      </c>
      <c r="AM459" s="2">
        <f>IF(Table1[[#This Row],[dpd]] &gt;=30,1,0)</f>
        <v>1</v>
      </c>
      <c r="AN459" s="2">
        <f>COUNTIFS(Table1[Loan size],Table1[[#This Row],[Loan size]],Table1[dpd flag],1)/COUNTIF(Table1[Loan size],Table1[[#This Row],[Loan size]])</f>
        <v>0.13934426229508196</v>
      </c>
      <c r="AO459" s="2" t="str">
        <f>IF(OR(Table1[[#This Row],[credit_score]] &lt; 600, Table1[ [#This Row],[dti_ratio] ] &gt; 0.5, Table1[[#This Row],[dpd]] &gt;=30), "high risk", " not riskY")</f>
        <v>high risk</v>
      </c>
      <c r="AP459" s="26">
        <f>EOMONTH(Table1[[#This Row],[origination_date]],0)</f>
        <v>45626</v>
      </c>
      <c r="AQ459" s="2">
        <f>SUMIFS(Table1[loan_amount],Table1[origination month],Table1[[#This Row],[origination month]])</f>
        <v>18553400</v>
      </c>
      <c r="AR459" s="2">
        <f>AVERAGEIFS(Table1[months_on_book],Table1[product],Table1[[#This Row],[product]])</f>
        <v>20.262135922330096</v>
      </c>
      <c r="AS459" s="2" t="str">
        <f ca="1">IF(EDATE(Table1[[#This Row],[origination_date]],6) &gt;= TODAY(), "New Loan", "Old Loan")</f>
        <v>Old Loan</v>
      </c>
      <c r="AT459" s="2" t="str">
        <f>"Q"&amp;ROUNDUP(MONTH(Table1[[#This Row],[origination_date]])/3,0)&amp;YEAR(Table1[[#This Row],[origination_date]])</f>
        <v>Q42024</v>
      </c>
      <c r="AU459" s="2">
        <f>SUMIFS(Table1[loan_amount],Table1[quarter],Table1[[#This Row],[quarter]])</f>
        <v>53441200</v>
      </c>
      <c r="AV459" s="34" t="str">
        <f>_xlfn.TEXTJOIN("|",TRUE,Table1[[#This Row],[loan_id]:[loan_status]])</f>
        <v>L51688531|C4767474|45611|Auto Loan|Branch|West|Salaried|24|873600|18.67|43897|1027921|576|E|0.56|0.67|1296900|13|488838|455439|30|0|0|Delinquent</v>
      </c>
      <c r="AW459" s="42">
        <f>YEAR(Loan_Table[ [#This Row],[origination_date] ])</f>
        <v>2024</v>
      </c>
    </row>
    <row r="460" spans="2:49" ht="18" customHeight="1">
      <c r="B460" s="5" t="s">
        <v>1040</v>
      </c>
      <c r="C460" s="2" t="s">
        <v>1041</v>
      </c>
      <c r="D460" s="3">
        <v>45610</v>
      </c>
      <c r="E460" s="2" t="s">
        <v>177</v>
      </c>
      <c r="F460" s="2" t="s">
        <v>144</v>
      </c>
      <c r="G460" s="2" t="s">
        <v>133</v>
      </c>
      <c r="H460" s="2" t="s">
        <v>134</v>
      </c>
      <c r="I460" s="2">
        <v>36</v>
      </c>
      <c r="J460" s="2">
        <v>316400</v>
      </c>
      <c r="K460" s="2">
        <v>14.32</v>
      </c>
      <c r="L460" s="2">
        <v>10863</v>
      </c>
      <c r="M460" s="2">
        <v>1089396</v>
      </c>
      <c r="N460" s="2">
        <v>671</v>
      </c>
      <c r="O460" s="2" t="s">
        <v>140</v>
      </c>
      <c r="P460" s="2">
        <v>0.55000000000000004</v>
      </c>
      <c r="Q460" s="2">
        <v>0.73</v>
      </c>
      <c r="R460" s="2">
        <v>0</v>
      </c>
      <c r="S460" s="2">
        <v>13</v>
      </c>
      <c r="T460" s="2">
        <v>133783</v>
      </c>
      <c r="U460" s="2">
        <v>202251</v>
      </c>
      <c r="V460" s="2">
        <v>5</v>
      </c>
      <c r="W460" s="2">
        <v>0</v>
      </c>
      <c r="X460" s="2">
        <v>0</v>
      </c>
      <c r="Y460" s="2" t="s">
        <v>148</v>
      </c>
      <c r="Z460" s="12">
        <f>SUMIF(Table1[product],Table1[[#This Row],[product]],Table1[loan_amount])</f>
        <v>62765800</v>
      </c>
      <c r="AA460" s="15">
        <f>SUMIF(Table1[region],Table1[[#This Row],[region]],Table1[current_balance])</f>
        <v>94548000</v>
      </c>
      <c r="AB460" s="2">
        <f>COUNTIF(Table1[loan_status],Table1[[#This Row],[loan_status]])</f>
        <v>301</v>
      </c>
      <c r="AC460" s="2">
        <f>COUNTIF(Table1[default_flag],1)/ROWS(Table1[loan_id])</f>
        <v>2.5999999999999999E-2</v>
      </c>
      <c r="AD460" s="2">
        <f>COUNTIFS(Table1[region],Table1[[#This Row],[region]],Table1[default_flag],1)/COUNTIF(Table1[region],Table1[[#This Row],[region]])</f>
        <v>0</v>
      </c>
      <c r="AE460" s="2">
        <f>COUNTIFS(Table1[channel],Table1[[#This Row],[channel]],Table1[prepayment_flag],1)/COUNTIF(Table1[channel],Table1[[#This Row],[channel]])</f>
        <v>5.8201058201058198E-2</v>
      </c>
      <c r="AF460" s="2">
        <f>AVERAGEIFS(Table1[interest_rate_pct],Table1[product],Table1[[#This Row],[product]],Table1[risk_band],Table1[[#This Row],[risk_band]])</f>
        <v>13.463888888888889</v>
      </c>
      <c r="AG460" s="2" t="str" cm="1">
        <f t="array" ref="AG460">_xlfn.IFS(Table1[[#This Row],[dti_ratio]] &lt; 0.2, " less than 0.2", Table1[[#This Row],[dti_ratio]] &lt; 0.3, "0.2 - 0.3", Table1[[#This Row],[dti_ratio]] &lt;= 0.5, "0.35 - 0.5", Table1[[#This Row],[dti_ratio]] &gt; 0.5, "greater than 0.5")</f>
        <v>greater than 0.5</v>
      </c>
      <c r="AH460" s="2">
        <f>COUNTIF(Table1[DTI band],Table1[[#This Row],[DTI band]])</f>
        <v>32</v>
      </c>
      <c r="AI460" s="2" t="str" cm="1">
        <f t="array" ref="AI460">_xlfn.IFS(Table1[[#This Row],[ltv_ratio]] &lt; 0.6, "less than 0.6 -less risky", Table1[[#This Row],[ltv_ratio]]  &lt;= 0.8, "0.6 - 0.8 -medium risky",Table1[[#This Row],[ltv_ratio]] &gt; 0.8, "greater than 0.8 -highly risky")</f>
        <v>0.6 - 0.8 -medium risky</v>
      </c>
      <c r="AJ460" s="2">
        <f>COUNTIF(Table1[LTV band],Table1[[#This Row],[LTV band]])</f>
        <v>302</v>
      </c>
      <c r="AK460" s="2">
        <f>COUNTIFS(Table1[count_loan_perband],Table1[[#This Row],[count_loan_perband]],Table1[default_flag],1)/COUNTIF(Table1[count_loan_perband],Table1[[#This Row],[count_loan_perband]])</f>
        <v>3.6423841059602648E-2</v>
      </c>
      <c r="AL460" s="2" t="str" cm="1">
        <f t="array" ref="AL460">_xlfn.IFS(Table1[[#This Row],[loan_amount]] &lt; 900000, "lower size (&lt; 9L)", Table1[[#This Row],[loan_amount]] &lt;=3300000, "medium size (&lt;=33L)", Table1[[#This Row],[loan_amount]] &gt; 3300000, "larger size (&gt; 33L)")</f>
        <v>lower size (&lt; 9L)</v>
      </c>
      <c r="AM460" s="2">
        <f>IF(Table1[[#This Row],[dpd]] &gt;=30,1,0)</f>
        <v>0</v>
      </c>
      <c r="AN460" s="2">
        <f>COUNTIFS(Table1[Loan size],Table1[[#This Row],[Loan size]],Table1[dpd flag],1)/COUNTIF(Table1[Loan size],Table1[[#This Row],[Loan size]])</f>
        <v>0.13934426229508196</v>
      </c>
      <c r="AO460" s="2" t="str">
        <f>IF(OR(Table1[[#This Row],[credit_score]] &lt; 600, Table1[ [#This Row],[dti_ratio] ] &gt; 0.5, Table1[[#This Row],[dpd]] &gt;=30), "high risk", " not riskY")</f>
        <v>high risk</v>
      </c>
      <c r="AP460" s="26">
        <f>EOMONTH(Table1[[#This Row],[origination_date]],0)</f>
        <v>45626</v>
      </c>
      <c r="AQ460" s="2">
        <f>SUMIFS(Table1[loan_amount],Table1[origination month],Table1[[#This Row],[origination month]])</f>
        <v>18553400</v>
      </c>
      <c r="AR460" s="2">
        <f>AVERAGEIFS(Table1[months_on_book],Table1[product],Table1[[#This Row],[product]])</f>
        <v>21.962962962962962</v>
      </c>
      <c r="AS460" s="2" t="str">
        <f ca="1">IF(EDATE(Table1[[#This Row],[origination_date]],6) &gt;= TODAY(), "New Loan", "Old Loan")</f>
        <v>Old Loan</v>
      </c>
      <c r="AT460" s="2" t="str">
        <f>"Q"&amp;ROUNDUP(MONTH(Table1[[#This Row],[origination_date]])/3,0)&amp;YEAR(Table1[[#This Row],[origination_date]])</f>
        <v>Q42024</v>
      </c>
      <c r="AU460" s="2">
        <f>SUMIFS(Table1[loan_amount],Table1[quarter],Table1[[#This Row],[quarter]])</f>
        <v>53441200</v>
      </c>
      <c r="AV460" s="34" t="str">
        <f>_xlfn.TEXTJOIN("|",TRUE,Table1[[#This Row],[loan_id]:[loan_status]])</f>
        <v>L48971371|C3418227|45610|Education Loan|Branch|South|Salaried|36|316400|14.32|10863|1089396|671|C|0.55|0.73|0|13|133783|202251|5|0|0|Active</v>
      </c>
      <c r="AW460" s="42">
        <f>YEAR(Loan_Table[ [#This Row],[origination_date] ])</f>
        <v>2024</v>
      </c>
    </row>
    <row r="461" spans="2:49" ht="18" customHeight="1">
      <c r="B461" s="5" t="s">
        <v>1042</v>
      </c>
      <c r="C461" s="2" t="s">
        <v>1043</v>
      </c>
      <c r="D461" s="3">
        <v>45619</v>
      </c>
      <c r="E461" s="2" t="s">
        <v>131</v>
      </c>
      <c r="F461" s="2" t="s">
        <v>132</v>
      </c>
      <c r="G461" s="2" t="s">
        <v>170</v>
      </c>
      <c r="H461" s="2" t="s">
        <v>134</v>
      </c>
      <c r="I461" s="2">
        <v>36</v>
      </c>
      <c r="J461" s="2">
        <v>50000</v>
      </c>
      <c r="K461" s="2">
        <v>19.98</v>
      </c>
      <c r="L461" s="2">
        <v>1858</v>
      </c>
      <c r="M461" s="2">
        <v>770251</v>
      </c>
      <c r="N461" s="2">
        <v>652</v>
      </c>
      <c r="O461" s="2" t="s">
        <v>140</v>
      </c>
      <c r="P461" s="2">
        <v>0.49</v>
      </c>
      <c r="Q461" s="2">
        <v>0.79</v>
      </c>
      <c r="R461" s="2">
        <v>0</v>
      </c>
      <c r="S461" s="2">
        <v>13</v>
      </c>
      <c r="T461" s="2">
        <v>21110</v>
      </c>
      <c r="U461" s="2">
        <v>33219</v>
      </c>
      <c r="V461" s="2">
        <v>0</v>
      </c>
      <c r="W461" s="2">
        <v>0</v>
      </c>
      <c r="X461" s="2">
        <v>0</v>
      </c>
      <c r="Y461" s="2" t="s">
        <v>148</v>
      </c>
      <c r="Z461" s="12">
        <f>SUMIF(Table1[product],Table1[[#This Row],[product]],Table1[loan_amount])</f>
        <v>74897600</v>
      </c>
      <c r="AA461" s="15">
        <f>SUMIF(Table1[region],Table1[[#This Row],[region]],Table1[current_balance])</f>
        <v>83297251</v>
      </c>
      <c r="AB461" s="2">
        <f>COUNTIF(Table1[loan_status],Table1[[#This Row],[loan_status]])</f>
        <v>301</v>
      </c>
      <c r="AC461" s="2">
        <f>COUNTIF(Table1[default_flag],1)/ROWS(Table1[loan_id])</f>
        <v>2.5999999999999999E-2</v>
      </c>
      <c r="AD461" s="2">
        <f>COUNTIFS(Table1[region],Table1[[#This Row],[region]],Table1[default_flag],1)/COUNTIF(Table1[region],Table1[[#This Row],[region]])</f>
        <v>3.1914893617021274E-2</v>
      </c>
      <c r="AE461" s="2">
        <f>COUNTIFS(Table1[channel],Table1[[#This Row],[channel]],Table1[prepayment_flag],1)/COUNTIF(Table1[channel],Table1[[#This Row],[channel]])</f>
        <v>7.1090047393364927E-2</v>
      </c>
      <c r="AF461" s="2">
        <f>AVERAGEIFS(Table1[interest_rate_pct],Table1[product],Table1[[#This Row],[product]],Table1[risk_band],Table1[[#This Row],[risk_band]])</f>
        <v>18.603181818181817</v>
      </c>
      <c r="AG461" s="2" t="str" cm="1">
        <f t="array" ref="AG461">_xlfn.IFS(Table1[[#This Row],[dti_ratio]] &lt; 0.2, " less than 0.2", Table1[[#This Row],[dti_ratio]] &lt; 0.3, "0.2 - 0.3", Table1[[#This Row],[dti_ratio]] &lt;= 0.5, "0.35 - 0.5", Table1[[#This Row],[dti_ratio]] &gt; 0.5, "greater than 0.5")</f>
        <v>0.35 - 0.5</v>
      </c>
      <c r="AH461" s="2">
        <f>COUNTIF(Table1[DTI band],Table1[[#This Row],[DTI band]])</f>
        <v>260</v>
      </c>
      <c r="AI461" s="2" t="str" cm="1">
        <f t="array" ref="AI461">_xlfn.IFS(Table1[[#This Row],[ltv_ratio]] &lt; 0.6, "less than 0.6 -less risky", Table1[[#This Row],[ltv_ratio]]  &lt;= 0.8, "0.6 - 0.8 -medium risky",Table1[[#This Row],[ltv_ratio]] &gt; 0.8, "greater than 0.8 -highly risky")</f>
        <v>0.6 - 0.8 -medium risky</v>
      </c>
      <c r="AJ461" s="2">
        <f>COUNTIF(Table1[LTV band],Table1[[#This Row],[LTV band]])</f>
        <v>302</v>
      </c>
      <c r="AK461" s="2">
        <f>COUNTIFS(Table1[count_loan_perband],Table1[[#This Row],[count_loan_perband]],Table1[default_flag],1)/COUNTIF(Table1[count_loan_perband],Table1[[#This Row],[count_loan_perband]])</f>
        <v>3.6423841059602648E-2</v>
      </c>
      <c r="AL461" s="2" t="str" cm="1">
        <f t="array" ref="AL461">_xlfn.IFS(Table1[[#This Row],[loan_amount]] &lt; 900000, "lower size (&lt; 9L)", Table1[[#This Row],[loan_amount]] &lt;=3300000, "medium size (&lt;=33L)", Table1[[#This Row],[loan_amount]] &gt; 3300000, "larger size (&gt; 33L)")</f>
        <v>lower size (&lt; 9L)</v>
      </c>
      <c r="AM461" s="2">
        <f>IF(Table1[[#This Row],[dpd]] &gt;=30,1,0)</f>
        <v>0</v>
      </c>
      <c r="AN461" s="2">
        <f>COUNTIFS(Table1[Loan size],Table1[[#This Row],[Loan size]],Table1[dpd flag],1)/COUNTIF(Table1[Loan size],Table1[[#This Row],[Loan size]])</f>
        <v>0.13934426229508196</v>
      </c>
      <c r="AO461" s="2" t="str">
        <f>IF(OR(Table1[[#This Row],[credit_score]] &lt; 600, Table1[ [#This Row],[dti_ratio] ] &gt; 0.5, Table1[[#This Row],[dpd]] &gt;=30), "high risk", " not riskY")</f>
        <v xml:space="preserve"> not riskY</v>
      </c>
      <c r="AP461" s="26">
        <f>EOMONTH(Table1[[#This Row],[origination_date]],0)</f>
        <v>45626</v>
      </c>
      <c r="AQ461" s="2">
        <f>SUMIFS(Table1[loan_amount],Table1[origination month],Table1[[#This Row],[origination month]])</f>
        <v>18553400</v>
      </c>
      <c r="AR461" s="2">
        <f>AVERAGEIFS(Table1[months_on_book],Table1[product],Table1[[#This Row],[product]])</f>
        <v>21.092024539877301</v>
      </c>
      <c r="AS461" s="2" t="str">
        <f ca="1">IF(EDATE(Table1[[#This Row],[origination_date]],6) &gt;= TODAY(), "New Loan", "Old Loan")</f>
        <v>Old Loan</v>
      </c>
      <c r="AT461" s="2" t="str">
        <f>"Q"&amp;ROUNDUP(MONTH(Table1[[#This Row],[origination_date]])/3,0)&amp;YEAR(Table1[[#This Row],[origination_date]])</f>
        <v>Q42024</v>
      </c>
      <c r="AU461" s="2">
        <f>SUMIFS(Table1[loan_amount],Table1[quarter],Table1[[#This Row],[quarter]])</f>
        <v>53441200</v>
      </c>
      <c r="AV461" s="34" t="str">
        <f>_xlfn.TEXTJOIN("|",TRUE,Table1[[#This Row],[loan_id]:[loan_status]])</f>
        <v>L34826252|C6733664|45619|Personal Loan|Online|East|Salaried|36|50000|19.98|1858|770251|652|C|0.49|0.79|0|13|21110|33219|0|0|0|Active</v>
      </c>
      <c r="AW461" s="42">
        <f>YEAR(Loan_Table[ [#This Row],[origination_date] ])</f>
        <v>2024</v>
      </c>
    </row>
    <row r="462" spans="2:49" ht="18" customHeight="1">
      <c r="B462" s="5" t="s">
        <v>1044</v>
      </c>
      <c r="C462" s="2" t="s">
        <v>1045</v>
      </c>
      <c r="D462" s="3">
        <v>45567</v>
      </c>
      <c r="E462" s="2" t="s">
        <v>131</v>
      </c>
      <c r="F462" s="2" t="s">
        <v>132</v>
      </c>
      <c r="G462" s="2" t="s">
        <v>145</v>
      </c>
      <c r="H462" s="2" t="s">
        <v>152</v>
      </c>
      <c r="I462" s="2">
        <v>180</v>
      </c>
      <c r="J462" s="2">
        <v>478900</v>
      </c>
      <c r="K462" s="2">
        <v>14.16</v>
      </c>
      <c r="L462" s="2">
        <v>6429</v>
      </c>
      <c r="M462" s="2">
        <v>825116</v>
      </c>
      <c r="N462" s="2">
        <v>759</v>
      </c>
      <c r="O462" s="2" t="s">
        <v>160</v>
      </c>
      <c r="P462" s="2">
        <v>0.48</v>
      </c>
      <c r="Q462" s="2">
        <v>0.77</v>
      </c>
      <c r="R462" s="2">
        <v>0</v>
      </c>
      <c r="S462" s="2">
        <v>14</v>
      </c>
      <c r="T462" s="2">
        <v>80377</v>
      </c>
      <c r="U462" s="2">
        <v>430169</v>
      </c>
      <c r="V462" s="2">
        <v>45</v>
      </c>
      <c r="W462" s="2">
        <v>0</v>
      </c>
      <c r="X462" s="2">
        <v>0</v>
      </c>
      <c r="Y462" s="2" t="s">
        <v>136</v>
      </c>
      <c r="Z462" s="12">
        <f>SUMIF(Table1[product],Table1[[#This Row],[product]],Table1[loan_amount])</f>
        <v>74897600</v>
      </c>
      <c r="AA462" s="15">
        <f>SUMIF(Table1[region],Table1[[#This Row],[region]],Table1[current_balance])</f>
        <v>98928695</v>
      </c>
      <c r="AB462" s="2">
        <f>COUNTIF(Table1[loan_status],Table1[[#This Row],[loan_status]])</f>
        <v>47</v>
      </c>
      <c r="AC462" s="2">
        <f>COUNTIF(Table1[default_flag],1)/ROWS(Table1[loan_id])</f>
        <v>2.5999999999999999E-2</v>
      </c>
      <c r="AD462" s="2">
        <f>COUNTIFS(Table1[region],Table1[[#This Row],[region]],Table1[default_flag],1)/COUNTIF(Table1[region],Table1[[#This Row],[region]])</f>
        <v>2.8571428571428571E-2</v>
      </c>
      <c r="AE462" s="2">
        <f>COUNTIFS(Table1[channel],Table1[[#This Row],[channel]],Table1[prepayment_flag],1)/COUNTIF(Table1[channel],Table1[[#This Row],[channel]])</f>
        <v>7.1090047393364927E-2</v>
      </c>
      <c r="AF462" s="2">
        <f>AVERAGEIFS(Table1[interest_rate_pct],Table1[product],Table1[[#This Row],[product]],Table1[risk_band],Table1[[#This Row],[risk_band]])</f>
        <v>13.328333333333335</v>
      </c>
      <c r="AG462" s="2" t="str" cm="1">
        <f t="array" ref="AG462">_xlfn.IFS(Table1[[#This Row],[dti_ratio]] &lt; 0.2, " less than 0.2", Table1[[#This Row],[dti_ratio]] &lt; 0.3, "0.2 - 0.3", Table1[[#This Row],[dti_ratio]] &lt;= 0.5, "0.35 - 0.5", Table1[[#This Row],[dti_ratio]] &gt; 0.5, "greater than 0.5")</f>
        <v>0.35 - 0.5</v>
      </c>
      <c r="AH462" s="2">
        <f>COUNTIF(Table1[DTI band],Table1[[#This Row],[DTI band]])</f>
        <v>260</v>
      </c>
      <c r="AI462" s="2" t="str" cm="1">
        <f t="array" ref="AI462">_xlfn.IFS(Table1[[#This Row],[ltv_ratio]] &lt; 0.6, "less than 0.6 -less risky", Table1[[#This Row],[ltv_ratio]]  &lt;= 0.8, "0.6 - 0.8 -medium risky",Table1[[#This Row],[ltv_ratio]] &gt; 0.8, "greater than 0.8 -highly risky")</f>
        <v>0.6 - 0.8 -medium risky</v>
      </c>
      <c r="AJ462" s="2">
        <f>COUNTIF(Table1[LTV band],Table1[[#This Row],[LTV band]])</f>
        <v>302</v>
      </c>
      <c r="AK462" s="2">
        <f>COUNTIFS(Table1[count_loan_perband],Table1[[#This Row],[count_loan_perband]],Table1[default_flag],1)/COUNTIF(Table1[count_loan_perband],Table1[[#This Row],[count_loan_perband]])</f>
        <v>3.6423841059602648E-2</v>
      </c>
      <c r="AL462" s="2" t="str" cm="1">
        <f t="array" ref="AL462">_xlfn.IFS(Table1[[#This Row],[loan_amount]] &lt; 900000, "lower size (&lt; 9L)", Table1[[#This Row],[loan_amount]] &lt;=3300000, "medium size (&lt;=33L)", Table1[[#This Row],[loan_amount]] &gt; 3300000, "larger size (&gt; 33L)")</f>
        <v>lower size (&lt; 9L)</v>
      </c>
      <c r="AM462" s="2">
        <f>IF(Table1[[#This Row],[dpd]] &gt;=30,1,0)</f>
        <v>1</v>
      </c>
      <c r="AN462" s="2">
        <f>COUNTIFS(Table1[Loan size],Table1[[#This Row],[Loan size]],Table1[dpd flag],1)/COUNTIF(Table1[Loan size],Table1[[#This Row],[Loan size]])</f>
        <v>0.13934426229508196</v>
      </c>
      <c r="AO462" s="2" t="str">
        <f>IF(OR(Table1[[#This Row],[credit_score]] &lt; 600, Table1[ [#This Row],[dti_ratio] ] &gt; 0.5, Table1[[#This Row],[dpd]] &gt;=30), "high risk", " not riskY")</f>
        <v>high risk</v>
      </c>
      <c r="AP462" s="26">
        <f>EOMONTH(Table1[[#This Row],[origination_date]],0)</f>
        <v>45596</v>
      </c>
      <c r="AQ462" s="2">
        <f>SUMIFS(Table1[loan_amount],Table1[origination month],Table1[[#This Row],[origination month]])</f>
        <v>14982900</v>
      </c>
      <c r="AR462" s="2">
        <f>AVERAGEIFS(Table1[months_on_book],Table1[product],Table1[[#This Row],[product]])</f>
        <v>21.092024539877301</v>
      </c>
      <c r="AS462" s="2" t="str">
        <f ca="1">IF(EDATE(Table1[[#This Row],[origination_date]],6) &gt;= TODAY(), "New Loan", "Old Loan")</f>
        <v>Old Loan</v>
      </c>
      <c r="AT462" s="2" t="str">
        <f>"Q"&amp;ROUNDUP(MONTH(Table1[[#This Row],[origination_date]])/3,0)&amp;YEAR(Table1[[#This Row],[origination_date]])</f>
        <v>Q42024</v>
      </c>
      <c r="AU462" s="2">
        <f>SUMIFS(Table1[loan_amount],Table1[quarter],Table1[[#This Row],[quarter]])</f>
        <v>53441200</v>
      </c>
      <c r="AV462" s="34" t="str">
        <f>_xlfn.TEXTJOIN("|",TRUE,Table1[[#This Row],[loan_id]:[loan_status]])</f>
        <v>L64647678|C9514243|45567|Personal Loan|Online|Central|Self-Employed|180|478900|14.16|6429|825116|759|A|0.48|0.77|0|14|80377|430169|45|0|0|Delinquent</v>
      </c>
      <c r="AW462" s="42">
        <f>YEAR(Loan_Table[ [#This Row],[origination_date] ])</f>
        <v>2024</v>
      </c>
    </row>
    <row r="463" spans="2:49" ht="18" customHeight="1">
      <c r="B463" s="5" t="s">
        <v>1046</v>
      </c>
      <c r="C463" s="2" t="s">
        <v>1047</v>
      </c>
      <c r="D463" s="3">
        <v>45637</v>
      </c>
      <c r="E463" s="2" t="s">
        <v>169</v>
      </c>
      <c r="F463" s="2" t="s">
        <v>132</v>
      </c>
      <c r="G463" s="2" t="s">
        <v>170</v>
      </c>
      <c r="H463" s="2" t="s">
        <v>134</v>
      </c>
      <c r="I463" s="2">
        <v>60</v>
      </c>
      <c r="J463" s="2">
        <v>3418900</v>
      </c>
      <c r="K463" s="2">
        <v>10.91</v>
      </c>
      <c r="L463" s="2">
        <v>74182</v>
      </c>
      <c r="M463" s="2">
        <v>1004621</v>
      </c>
      <c r="N463" s="2">
        <v>670</v>
      </c>
      <c r="O463" s="2" t="s">
        <v>140</v>
      </c>
      <c r="P463" s="2">
        <v>0.47</v>
      </c>
      <c r="Q463" s="2">
        <v>0.75</v>
      </c>
      <c r="R463" s="2">
        <v>4540300</v>
      </c>
      <c r="S463" s="2">
        <v>12</v>
      </c>
      <c r="T463" s="2">
        <v>880043</v>
      </c>
      <c r="U463" s="2">
        <v>2688058</v>
      </c>
      <c r="V463" s="2">
        <v>0</v>
      </c>
      <c r="W463" s="2">
        <v>0</v>
      </c>
      <c r="X463" s="2">
        <v>0</v>
      </c>
      <c r="Y463" s="2" t="s">
        <v>148</v>
      </c>
      <c r="Z463" s="12">
        <f>SUMIF(Table1[product],Table1[[#This Row],[product]],Table1[loan_amount])</f>
        <v>403369500</v>
      </c>
      <c r="AA463" s="15">
        <f>SUMIF(Table1[region],Table1[[#This Row],[region]],Table1[current_balance])</f>
        <v>83297251</v>
      </c>
      <c r="AB463" s="2">
        <f>COUNTIF(Table1[loan_status],Table1[[#This Row],[loan_status]])</f>
        <v>301</v>
      </c>
      <c r="AC463" s="2">
        <f>COUNTIF(Table1[default_flag],1)/ROWS(Table1[loan_id])</f>
        <v>2.5999999999999999E-2</v>
      </c>
      <c r="AD463" s="2">
        <f>COUNTIFS(Table1[region],Table1[[#This Row],[region]],Table1[default_flag],1)/COUNTIF(Table1[region],Table1[[#This Row],[region]])</f>
        <v>3.1914893617021274E-2</v>
      </c>
      <c r="AE463" s="2">
        <f>COUNTIFS(Table1[channel],Table1[[#This Row],[channel]],Table1[prepayment_flag],1)/COUNTIF(Table1[channel],Table1[[#This Row],[channel]])</f>
        <v>7.1090047393364927E-2</v>
      </c>
      <c r="AF463" s="2">
        <f>AVERAGEIFS(Table1[interest_rate_pct],Table1[product],Table1[[#This Row],[product]],Table1[risk_band],Table1[[#This Row],[risk_band]])</f>
        <v>11.719736842105268</v>
      </c>
      <c r="AG463" s="2" t="str" cm="1">
        <f t="array" ref="AG463">_xlfn.IFS(Table1[[#This Row],[dti_ratio]] &lt; 0.2, " less than 0.2", Table1[[#This Row],[dti_ratio]] &lt; 0.3, "0.2 - 0.3", Table1[[#This Row],[dti_ratio]] &lt;= 0.5, "0.35 - 0.5", Table1[[#This Row],[dti_ratio]] &gt; 0.5, "greater than 0.5")</f>
        <v>0.35 - 0.5</v>
      </c>
      <c r="AH463" s="2">
        <f>COUNTIF(Table1[DTI band],Table1[[#This Row],[DTI band]])</f>
        <v>260</v>
      </c>
      <c r="AI463" s="2" t="str" cm="1">
        <f t="array" ref="AI463">_xlfn.IFS(Table1[[#This Row],[ltv_ratio]] &lt; 0.6, "less than 0.6 -less risky", Table1[[#This Row],[ltv_ratio]]  &lt;= 0.8, "0.6 - 0.8 -medium risky",Table1[[#This Row],[ltv_ratio]] &gt; 0.8, "greater than 0.8 -highly risky")</f>
        <v>0.6 - 0.8 -medium risky</v>
      </c>
      <c r="AJ463" s="2">
        <f>COUNTIF(Table1[LTV band],Table1[[#This Row],[LTV band]])</f>
        <v>302</v>
      </c>
      <c r="AK463" s="2">
        <f>COUNTIFS(Table1[count_loan_perband],Table1[[#This Row],[count_loan_perband]],Table1[default_flag],1)/COUNTIF(Table1[count_loan_perband],Table1[[#This Row],[count_loan_perband]])</f>
        <v>3.6423841059602648E-2</v>
      </c>
      <c r="AL463" s="2" t="str" cm="1">
        <f t="array" ref="AL463">_xlfn.IFS(Table1[[#This Row],[loan_amount]] &lt; 900000, "lower size (&lt; 9L)", Table1[[#This Row],[loan_amount]] &lt;=3300000, "medium size (&lt;=33L)", Table1[[#This Row],[loan_amount]] &gt; 3300000, "larger size (&gt; 33L)")</f>
        <v>larger size (&gt; 33L)</v>
      </c>
      <c r="AM463" s="2">
        <f>IF(Table1[[#This Row],[dpd]] &gt;=30,1,0)</f>
        <v>0</v>
      </c>
      <c r="AN463" s="2">
        <f>COUNTIFS(Table1[Loan size],Table1[[#This Row],[Loan size]],Table1[dpd flag],1)/COUNTIF(Table1[Loan size],Table1[[#This Row],[Loan size]])</f>
        <v>0.16250000000000001</v>
      </c>
      <c r="AO463" s="2" t="str">
        <f>IF(OR(Table1[[#This Row],[credit_score]] &lt; 600, Table1[ [#This Row],[dti_ratio] ] &gt; 0.5, Table1[[#This Row],[dpd]] &gt;=30), "high risk", " not riskY")</f>
        <v xml:space="preserve"> not riskY</v>
      </c>
      <c r="AP463" s="26">
        <f>EOMONTH(Table1[[#This Row],[origination_date]],0)</f>
        <v>45657</v>
      </c>
      <c r="AQ463" s="2">
        <f>SUMIFS(Table1[loan_amount],Table1[origination month],Table1[[#This Row],[origination month]])</f>
        <v>19904900</v>
      </c>
      <c r="AR463" s="2">
        <f>AVERAGEIFS(Table1[months_on_book],Table1[product],Table1[[#This Row],[product]])</f>
        <v>20.516129032258064</v>
      </c>
      <c r="AS463" s="2" t="str">
        <f ca="1">IF(EDATE(Table1[[#This Row],[origination_date]],6) &gt;= TODAY(), "New Loan", "Old Loan")</f>
        <v>Old Loan</v>
      </c>
      <c r="AT463" s="2" t="str">
        <f>"Q"&amp;ROUNDUP(MONTH(Table1[[#This Row],[origination_date]])/3,0)&amp;YEAR(Table1[[#This Row],[origination_date]])</f>
        <v>Q42024</v>
      </c>
      <c r="AU463" s="2">
        <f>SUMIFS(Table1[loan_amount],Table1[quarter],Table1[[#This Row],[quarter]])</f>
        <v>53441200</v>
      </c>
      <c r="AV463" s="34" t="str">
        <f>_xlfn.TEXTJOIN("|",TRUE,Table1[[#This Row],[loan_id]:[loan_status]])</f>
        <v>L76295562|C7706693|45637|Home Loan|Online|East|Salaried|60|3418900|10.91|74182|1004621|670|C|0.47|0.75|4540300|12|880043|2688058|0|0|0|Active</v>
      </c>
      <c r="AW463" s="42">
        <f>YEAR(Loan_Table[ [#This Row],[origination_date] ])</f>
        <v>2024</v>
      </c>
    </row>
    <row r="464" spans="2:49" ht="18" customHeight="1">
      <c r="B464" s="5" t="s">
        <v>1048</v>
      </c>
      <c r="C464" s="2" t="s">
        <v>1049</v>
      </c>
      <c r="D464" s="3">
        <v>45571</v>
      </c>
      <c r="E464" s="2" t="s">
        <v>163</v>
      </c>
      <c r="F464" s="2" t="s">
        <v>159</v>
      </c>
      <c r="G464" s="2" t="s">
        <v>170</v>
      </c>
      <c r="H464" s="2" t="s">
        <v>134</v>
      </c>
      <c r="I464" s="2">
        <v>120</v>
      </c>
      <c r="J464" s="2">
        <v>390900</v>
      </c>
      <c r="K464" s="2">
        <v>15.54</v>
      </c>
      <c r="L464" s="2">
        <v>6436</v>
      </c>
      <c r="M464" s="2">
        <v>864896</v>
      </c>
      <c r="N464" s="2">
        <v>604</v>
      </c>
      <c r="O464" s="2" t="s">
        <v>147</v>
      </c>
      <c r="P464" s="2">
        <v>0.42</v>
      </c>
      <c r="Q464" s="2">
        <v>0.64</v>
      </c>
      <c r="R464" s="2">
        <v>615400</v>
      </c>
      <c r="S464" s="2">
        <v>14</v>
      </c>
      <c r="T464" s="2">
        <v>91782</v>
      </c>
      <c r="U464" s="2">
        <v>327466</v>
      </c>
      <c r="V464" s="2">
        <v>60</v>
      </c>
      <c r="W464" s="2">
        <v>0</v>
      </c>
      <c r="X464" s="2">
        <v>0</v>
      </c>
      <c r="Y464" s="2" t="s">
        <v>136</v>
      </c>
      <c r="Z464" s="12">
        <f>SUMIF(Table1[product],Table1[[#This Row],[product]],Table1[loan_amount])</f>
        <v>92273000</v>
      </c>
      <c r="AA464" s="15">
        <f>SUMIF(Table1[region],Table1[[#This Row],[region]],Table1[current_balance])</f>
        <v>83297251</v>
      </c>
      <c r="AB464" s="2">
        <f>COUNTIF(Table1[loan_status],Table1[[#This Row],[loan_status]])</f>
        <v>47</v>
      </c>
      <c r="AC464" s="2">
        <f>COUNTIF(Table1[default_flag],1)/ROWS(Table1[loan_id])</f>
        <v>2.5999999999999999E-2</v>
      </c>
      <c r="AD464" s="2">
        <f>COUNTIFS(Table1[region],Table1[[#This Row],[region]],Table1[default_flag],1)/COUNTIF(Table1[region],Table1[[#This Row],[region]])</f>
        <v>3.1914893617021274E-2</v>
      </c>
      <c r="AE464" s="2">
        <f>COUNTIFS(Table1[channel],Table1[[#This Row],[channel]],Table1[prepayment_flag],1)/COUNTIF(Table1[channel],Table1[[#This Row],[channel]])</f>
        <v>0.1</v>
      </c>
      <c r="AF464" s="2">
        <f>AVERAGEIFS(Table1[interest_rate_pct],Table1[product],Table1[[#This Row],[product]],Table1[risk_band],Table1[[#This Row],[risk_band]])</f>
        <v>15.092000000000001</v>
      </c>
      <c r="AG464" s="2" t="str" cm="1">
        <f t="array" ref="AG464">_xlfn.IFS(Table1[[#This Row],[dti_ratio]] &lt; 0.2, " less than 0.2", Table1[[#This Row],[dti_ratio]] &lt; 0.3, "0.2 - 0.3", Table1[[#This Row],[dti_ratio]] &lt;= 0.5, "0.35 - 0.5", Table1[[#This Row],[dti_ratio]] &gt; 0.5, "greater than 0.5")</f>
        <v>0.35 - 0.5</v>
      </c>
      <c r="AH464" s="2">
        <f>COUNTIF(Table1[DTI band],Table1[[#This Row],[DTI band]])</f>
        <v>260</v>
      </c>
      <c r="AI464" s="2" t="str" cm="1">
        <f t="array" ref="AI464">_xlfn.IFS(Table1[[#This Row],[ltv_ratio]] &lt; 0.6, "less than 0.6 -less risky", Table1[[#This Row],[ltv_ratio]]  &lt;= 0.8, "0.6 - 0.8 -medium risky",Table1[[#This Row],[ltv_ratio]] &gt; 0.8, "greater than 0.8 -highly risky")</f>
        <v>0.6 - 0.8 -medium risky</v>
      </c>
      <c r="AJ464" s="2">
        <f>COUNTIF(Table1[LTV band],Table1[[#This Row],[LTV band]])</f>
        <v>302</v>
      </c>
      <c r="AK464" s="2">
        <f>COUNTIFS(Table1[count_loan_perband],Table1[[#This Row],[count_loan_perband]],Table1[default_flag],1)/COUNTIF(Table1[count_loan_perband],Table1[[#This Row],[count_loan_perband]])</f>
        <v>3.6423841059602648E-2</v>
      </c>
      <c r="AL464" s="2" t="str" cm="1">
        <f t="array" ref="AL464">_xlfn.IFS(Table1[[#This Row],[loan_amount]] &lt; 900000, "lower size (&lt; 9L)", Table1[[#This Row],[loan_amount]] &lt;=3300000, "medium size (&lt;=33L)", Table1[[#This Row],[loan_amount]] &gt; 3300000, "larger size (&gt; 33L)")</f>
        <v>lower size (&lt; 9L)</v>
      </c>
      <c r="AM464" s="2">
        <f>IF(Table1[[#This Row],[dpd]] &gt;=30,1,0)</f>
        <v>1</v>
      </c>
      <c r="AN464" s="2">
        <f>COUNTIFS(Table1[Loan size],Table1[[#This Row],[Loan size]],Table1[dpd flag],1)/COUNTIF(Table1[Loan size],Table1[[#This Row],[Loan size]])</f>
        <v>0.13934426229508196</v>
      </c>
      <c r="AO464" s="2" t="str">
        <f>IF(OR(Table1[[#This Row],[credit_score]] &lt; 600, Table1[ [#This Row],[dti_ratio] ] &gt; 0.5, Table1[[#This Row],[dpd]] &gt;=30), "high risk", " not riskY")</f>
        <v>high risk</v>
      </c>
      <c r="AP464" s="26">
        <f>EOMONTH(Table1[[#This Row],[origination_date]],0)</f>
        <v>45596</v>
      </c>
      <c r="AQ464" s="2">
        <f>SUMIFS(Table1[loan_amount],Table1[origination month],Table1[[#This Row],[origination month]])</f>
        <v>14982900</v>
      </c>
      <c r="AR464" s="2">
        <f>AVERAGEIFS(Table1[months_on_book],Table1[product],Table1[[#This Row],[product]])</f>
        <v>20.262135922330096</v>
      </c>
      <c r="AS464" s="2" t="str">
        <f ca="1">IF(EDATE(Table1[[#This Row],[origination_date]],6) &gt;= TODAY(), "New Loan", "Old Loan")</f>
        <v>Old Loan</v>
      </c>
      <c r="AT464" s="2" t="str">
        <f>"Q"&amp;ROUNDUP(MONTH(Table1[[#This Row],[origination_date]])/3,0)&amp;YEAR(Table1[[#This Row],[origination_date]])</f>
        <v>Q42024</v>
      </c>
      <c r="AU464" s="2">
        <f>SUMIFS(Table1[loan_amount],Table1[quarter],Table1[[#This Row],[quarter]])</f>
        <v>53441200</v>
      </c>
      <c r="AV464" s="34" t="str">
        <f>_xlfn.TEXTJOIN("|",TRUE,Table1[[#This Row],[loan_id]:[loan_status]])</f>
        <v>L87246216|C7381325|45571|Auto Loan|Partner|East|Salaried|120|390900|15.54|6436|864896|604|D|0.42|0.64|615400|14|91782|327466|60|0|0|Delinquent</v>
      </c>
      <c r="AW464" s="42">
        <f>YEAR(Loan_Table[ [#This Row],[origination_date] ])</f>
        <v>2024</v>
      </c>
    </row>
    <row r="465" spans="2:49" ht="18" customHeight="1">
      <c r="B465" s="5" t="s">
        <v>1050</v>
      </c>
      <c r="C465" s="2" t="s">
        <v>1051</v>
      </c>
      <c r="D465" s="3">
        <v>45598</v>
      </c>
      <c r="E465" s="2" t="s">
        <v>158</v>
      </c>
      <c r="F465" s="2" t="s">
        <v>144</v>
      </c>
      <c r="G465" s="2" t="s">
        <v>145</v>
      </c>
      <c r="H465" s="2" t="s">
        <v>134</v>
      </c>
      <c r="I465" s="2">
        <v>24</v>
      </c>
      <c r="J465" s="2">
        <v>2149400</v>
      </c>
      <c r="K465" s="2">
        <v>17.36</v>
      </c>
      <c r="L465" s="2">
        <v>106643</v>
      </c>
      <c r="M465" s="2">
        <v>553113</v>
      </c>
      <c r="N465" s="2">
        <v>660</v>
      </c>
      <c r="O465" s="2" t="s">
        <v>140</v>
      </c>
      <c r="P465" s="2">
        <v>0.4</v>
      </c>
      <c r="Q465" s="2">
        <v>0.88</v>
      </c>
      <c r="R465" s="2">
        <v>2431500</v>
      </c>
      <c r="S465" s="2">
        <v>13</v>
      </c>
      <c r="T465" s="2">
        <v>1349877</v>
      </c>
      <c r="U465" s="2">
        <v>961215</v>
      </c>
      <c r="V465" s="2">
        <v>45</v>
      </c>
      <c r="W465" s="2">
        <v>0</v>
      </c>
      <c r="X465" s="2">
        <v>0</v>
      </c>
      <c r="Y465" s="2" t="s">
        <v>136</v>
      </c>
      <c r="Z465" s="12">
        <f>SUMIF(Table1[product],Table1[[#This Row],[product]],Table1[loan_amount])</f>
        <v>201475100</v>
      </c>
      <c r="AA465" s="15">
        <f>SUMIF(Table1[region],Table1[[#This Row],[region]],Table1[current_balance])</f>
        <v>98928695</v>
      </c>
      <c r="AB465" s="2">
        <f>COUNTIF(Table1[loan_status],Table1[[#This Row],[loan_status]])</f>
        <v>47</v>
      </c>
      <c r="AC465" s="2">
        <f>COUNTIF(Table1[default_flag],1)/ROWS(Table1[loan_id])</f>
        <v>2.5999999999999999E-2</v>
      </c>
      <c r="AD465" s="2">
        <f>COUNTIFS(Table1[region],Table1[[#This Row],[region]],Table1[default_flag],1)/COUNTIF(Table1[region],Table1[[#This Row],[region]])</f>
        <v>2.8571428571428571E-2</v>
      </c>
      <c r="AE465" s="2">
        <f>COUNTIFS(Table1[channel],Table1[[#This Row],[channel]],Table1[prepayment_flag],1)/COUNTIF(Table1[channel],Table1[[#This Row],[channel]])</f>
        <v>5.8201058201058198E-2</v>
      </c>
      <c r="AF465" s="2">
        <f>AVERAGEIFS(Table1[interest_rate_pct],Table1[product],Table1[[#This Row],[product]],Table1[risk_band],Table1[[#This Row],[risk_band]])</f>
        <v>15.841379310344831</v>
      </c>
      <c r="AG465" s="2" t="str" cm="1">
        <f t="array" ref="AG465">_xlfn.IFS(Table1[[#This Row],[dti_ratio]] &lt; 0.2, " less than 0.2", Table1[[#This Row],[dti_ratio]] &lt; 0.3, "0.2 - 0.3", Table1[[#This Row],[dti_ratio]] &lt;= 0.5, "0.35 - 0.5", Table1[[#This Row],[dti_ratio]] &gt; 0.5, "greater than 0.5")</f>
        <v>0.35 - 0.5</v>
      </c>
      <c r="AH465" s="2">
        <f>COUNTIF(Table1[DTI band],Table1[[#This Row],[DTI band]])</f>
        <v>260</v>
      </c>
      <c r="AI465" s="2" t="str" cm="1">
        <f t="array" ref="AI465">_xlfn.IFS(Table1[[#This Row],[ltv_ratio]] &lt; 0.6, "less than 0.6 -less risky", Table1[[#This Row],[ltv_ratio]]  &lt;= 0.8, "0.6 - 0.8 -medium risky",Table1[[#This Row],[ltv_ratio]] &gt; 0.8, "greater than 0.8 -highly risky")</f>
        <v>greater than 0.8 -highly risky</v>
      </c>
      <c r="AJ465" s="2">
        <f>COUNTIF(Table1[LTV band],Table1[[#This Row],[LTV band]])</f>
        <v>141</v>
      </c>
      <c r="AK465" s="2">
        <f>COUNTIFS(Table1[count_loan_perband],Table1[[#This Row],[count_loan_perband]],Table1[default_flag],1)/COUNTIF(Table1[count_loan_perband],Table1[[#This Row],[count_loan_perband]])</f>
        <v>1.4184397163120567E-2</v>
      </c>
      <c r="AL465" s="2" t="str" cm="1">
        <f t="array" ref="AL465">_xlfn.IFS(Table1[[#This Row],[loan_amount]] &lt; 900000, "lower size (&lt; 9L)", Table1[[#This Row],[loan_amount]] &lt;=3300000, "medium size (&lt;=33L)", Table1[[#This Row],[loan_amount]] &gt; 3300000, "larger size (&gt; 33L)")</f>
        <v>medium size (&lt;=33L)</v>
      </c>
      <c r="AM465" s="2">
        <f>IF(Table1[[#This Row],[dpd]] &gt;=30,1,0)</f>
        <v>1</v>
      </c>
      <c r="AN465" s="2">
        <f>COUNTIFS(Table1[Loan size],Table1[[#This Row],[Loan size]],Table1[dpd flag],1)/COUNTIF(Table1[Loan size],Table1[[#This Row],[Loan size]])</f>
        <v>0.15909090909090909</v>
      </c>
      <c r="AO465" s="2" t="str">
        <f>IF(OR(Table1[[#This Row],[credit_score]] &lt; 600, Table1[ [#This Row],[dti_ratio] ] &gt; 0.5, Table1[[#This Row],[dpd]] &gt;=30), "high risk", " not riskY")</f>
        <v>high risk</v>
      </c>
      <c r="AP465" s="26">
        <f>EOMONTH(Table1[[#This Row],[origination_date]],0)</f>
        <v>45626</v>
      </c>
      <c r="AQ465" s="2">
        <f>SUMIFS(Table1[loan_amount],Table1[origination month],Table1[[#This Row],[origination month]])</f>
        <v>18553400</v>
      </c>
      <c r="AR465" s="2">
        <f>AVERAGEIFS(Table1[months_on_book],Table1[product],Table1[[#This Row],[product]])</f>
        <v>19.091954022988507</v>
      </c>
      <c r="AS465" s="2" t="str">
        <f ca="1">IF(EDATE(Table1[[#This Row],[origination_date]],6) &gt;= TODAY(), "New Loan", "Old Loan")</f>
        <v>Old Loan</v>
      </c>
      <c r="AT465" s="2" t="str">
        <f>"Q"&amp;ROUNDUP(MONTH(Table1[[#This Row],[origination_date]])/3,0)&amp;YEAR(Table1[[#This Row],[origination_date]])</f>
        <v>Q42024</v>
      </c>
      <c r="AU465" s="2">
        <f>SUMIFS(Table1[loan_amount],Table1[quarter],Table1[[#This Row],[quarter]])</f>
        <v>53441200</v>
      </c>
      <c r="AV465" s="34" t="str">
        <f>_xlfn.TEXTJOIN("|",TRUE,Table1[[#This Row],[loan_id]:[loan_status]])</f>
        <v>L37355508|C3119015|45598|SME Loan|Branch|Central|Salaried|24|2149400|17.36|106643|553113|660|C|0.4|0.88|2431500|13|1349877|961215|45|0|0|Delinquent</v>
      </c>
      <c r="AW465" s="42">
        <f>YEAR(Loan_Table[ [#This Row],[origination_date] ])</f>
        <v>2024</v>
      </c>
    </row>
    <row r="466" spans="2:49" ht="18" customHeight="1">
      <c r="B466" s="5" t="s">
        <v>1052</v>
      </c>
      <c r="C466" s="2" t="s">
        <v>1053</v>
      </c>
      <c r="D466" s="3">
        <v>45634</v>
      </c>
      <c r="E466" s="2" t="s">
        <v>131</v>
      </c>
      <c r="F466" s="2" t="s">
        <v>132</v>
      </c>
      <c r="G466" s="2" t="s">
        <v>133</v>
      </c>
      <c r="H466" s="2" t="s">
        <v>134</v>
      </c>
      <c r="I466" s="2">
        <v>180</v>
      </c>
      <c r="J466" s="2">
        <v>386100</v>
      </c>
      <c r="K466" s="2">
        <v>17.32</v>
      </c>
      <c r="L466" s="2">
        <v>6030</v>
      </c>
      <c r="M466" s="2">
        <v>1078031</v>
      </c>
      <c r="N466" s="2">
        <v>702</v>
      </c>
      <c r="O466" s="2" t="s">
        <v>135</v>
      </c>
      <c r="P466" s="2">
        <v>0.39</v>
      </c>
      <c r="Q466" s="2">
        <v>0.78</v>
      </c>
      <c r="R466" s="2">
        <v>0</v>
      </c>
      <c r="S466" s="2">
        <v>12</v>
      </c>
      <c r="T466" s="2">
        <v>67656</v>
      </c>
      <c r="U466" s="2">
        <v>345193</v>
      </c>
      <c r="V466" s="2">
        <v>0</v>
      </c>
      <c r="W466" s="2">
        <v>0</v>
      </c>
      <c r="X466" s="2">
        <v>0</v>
      </c>
      <c r="Y466" s="2" t="s">
        <v>148</v>
      </c>
      <c r="Z466" s="12">
        <f>SUMIF(Table1[product],Table1[[#This Row],[product]],Table1[loan_amount])</f>
        <v>74897600</v>
      </c>
      <c r="AA466" s="15">
        <f>SUMIF(Table1[region],Table1[[#This Row],[region]],Table1[current_balance])</f>
        <v>94548000</v>
      </c>
      <c r="AB466" s="2">
        <f>COUNTIF(Table1[loan_status],Table1[[#This Row],[loan_status]])</f>
        <v>301</v>
      </c>
      <c r="AC466" s="2">
        <f>COUNTIF(Table1[default_flag],1)/ROWS(Table1[loan_id])</f>
        <v>2.5999999999999999E-2</v>
      </c>
      <c r="AD466" s="2">
        <f>COUNTIFS(Table1[region],Table1[[#This Row],[region]],Table1[default_flag],1)/COUNTIF(Table1[region],Table1[[#This Row],[region]])</f>
        <v>0</v>
      </c>
      <c r="AE466" s="2">
        <f>COUNTIFS(Table1[channel],Table1[[#This Row],[channel]],Table1[prepayment_flag],1)/COUNTIF(Table1[channel],Table1[[#This Row],[channel]])</f>
        <v>7.1090047393364927E-2</v>
      </c>
      <c r="AF466" s="2">
        <f>AVERAGEIFS(Table1[interest_rate_pct],Table1[product],Table1[[#This Row],[product]],Table1[risk_band],Table1[[#This Row],[risk_band]])</f>
        <v>16.500166666666669</v>
      </c>
      <c r="AG466" s="2" t="str" cm="1">
        <f t="array" ref="AG466">_xlfn.IFS(Table1[[#This Row],[dti_ratio]] &lt; 0.2, " less than 0.2", Table1[[#This Row],[dti_ratio]] &lt; 0.3, "0.2 - 0.3", Table1[[#This Row],[dti_ratio]] &lt;= 0.5, "0.35 - 0.5", Table1[[#This Row],[dti_ratio]] &gt; 0.5, "greater than 0.5")</f>
        <v>0.35 - 0.5</v>
      </c>
      <c r="AH466" s="2">
        <f>COUNTIF(Table1[DTI band],Table1[[#This Row],[DTI band]])</f>
        <v>260</v>
      </c>
      <c r="AI466" s="2" t="str" cm="1">
        <f t="array" ref="AI466">_xlfn.IFS(Table1[[#This Row],[ltv_ratio]] &lt; 0.6, "less than 0.6 -less risky", Table1[[#This Row],[ltv_ratio]]  &lt;= 0.8, "0.6 - 0.8 -medium risky",Table1[[#This Row],[ltv_ratio]] &gt; 0.8, "greater than 0.8 -highly risky")</f>
        <v>0.6 - 0.8 -medium risky</v>
      </c>
      <c r="AJ466" s="2">
        <f>COUNTIF(Table1[LTV band],Table1[[#This Row],[LTV band]])</f>
        <v>302</v>
      </c>
      <c r="AK466" s="2">
        <f>COUNTIFS(Table1[count_loan_perband],Table1[[#This Row],[count_loan_perband]],Table1[default_flag],1)/COUNTIF(Table1[count_loan_perband],Table1[[#This Row],[count_loan_perband]])</f>
        <v>3.6423841059602648E-2</v>
      </c>
      <c r="AL466" s="2" t="str" cm="1">
        <f t="array" ref="AL466">_xlfn.IFS(Table1[[#This Row],[loan_amount]] &lt; 900000, "lower size (&lt; 9L)", Table1[[#This Row],[loan_amount]] &lt;=3300000, "medium size (&lt;=33L)", Table1[[#This Row],[loan_amount]] &gt; 3300000, "larger size (&gt; 33L)")</f>
        <v>lower size (&lt; 9L)</v>
      </c>
      <c r="AM466" s="2">
        <f>IF(Table1[[#This Row],[dpd]] &gt;=30,1,0)</f>
        <v>0</v>
      </c>
      <c r="AN466" s="2">
        <f>COUNTIFS(Table1[Loan size],Table1[[#This Row],[Loan size]],Table1[dpd flag],1)/COUNTIF(Table1[Loan size],Table1[[#This Row],[Loan size]])</f>
        <v>0.13934426229508196</v>
      </c>
      <c r="AO466" s="2" t="str">
        <f>IF(OR(Table1[[#This Row],[credit_score]] &lt; 600, Table1[ [#This Row],[dti_ratio] ] &gt; 0.5, Table1[[#This Row],[dpd]] &gt;=30), "high risk", " not riskY")</f>
        <v xml:space="preserve"> not riskY</v>
      </c>
      <c r="AP466" s="26">
        <f>EOMONTH(Table1[[#This Row],[origination_date]],0)</f>
        <v>45657</v>
      </c>
      <c r="AQ466" s="2">
        <f>SUMIFS(Table1[loan_amount],Table1[origination month],Table1[[#This Row],[origination month]])</f>
        <v>19904900</v>
      </c>
      <c r="AR466" s="2">
        <f>AVERAGEIFS(Table1[months_on_book],Table1[product],Table1[[#This Row],[product]])</f>
        <v>21.092024539877301</v>
      </c>
      <c r="AS466" s="2" t="str">
        <f ca="1">IF(EDATE(Table1[[#This Row],[origination_date]],6) &gt;= TODAY(), "New Loan", "Old Loan")</f>
        <v>Old Loan</v>
      </c>
      <c r="AT466" s="2" t="str">
        <f>"Q"&amp;ROUNDUP(MONTH(Table1[[#This Row],[origination_date]])/3,0)&amp;YEAR(Table1[[#This Row],[origination_date]])</f>
        <v>Q42024</v>
      </c>
      <c r="AU466" s="2">
        <f>SUMIFS(Table1[loan_amount],Table1[quarter],Table1[[#This Row],[quarter]])</f>
        <v>53441200</v>
      </c>
      <c r="AV466" s="34" t="str">
        <f>_xlfn.TEXTJOIN("|",TRUE,Table1[[#This Row],[loan_id]:[loan_status]])</f>
        <v>L11757159|C7968892|45634|Personal Loan|Online|South|Salaried|180|386100|17.32|6030|1078031|702|B|0.39|0.78|0|12|67656|345193|0|0|0|Active</v>
      </c>
      <c r="AW466" s="42">
        <f>YEAR(Loan_Table[ [#This Row],[origination_date] ])</f>
        <v>2024</v>
      </c>
    </row>
    <row r="467" spans="2:49" ht="18" customHeight="1">
      <c r="B467" s="5" t="s">
        <v>1054</v>
      </c>
      <c r="C467" s="2" t="s">
        <v>1055</v>
      </c>
      <c r="D467" s="3">
        <v>45638</v>
      </c>
      <c r="E467" s="2" t="s">
        <v>169</v>
      </c>
      <c r="F467" s="2" t="s">
        <v>132</v>
      </c>
      <c r="G467" s="2" t="s">
        <v>145</v>
      </c>
      <c r="H467" s="2" t="s">
        <v>134</v>
      </c>
      <c r="I467" s="2">
        <v>360</v>
      </c>
      <c r="J467" s="2">
        <v>3166500</v>
      </c>
      <c r="K467" s="2">
        <v>11.37</v>
      </c>
      <c r="L467" s="2">
        <v>31044</v>
      </c>
      <c r="M467" s="2">
        <v>1216841</v>
      </c>
      <c r="N467" s="2">
        <v>672</v>
      </c>
      <c r="O467" s="2" t="s">
        <v>140</v>
      </c>
      <c r="P467" s="2">
        <v>0.39</v>
      </c>
      <c r="Q467" s="2">
        <v>0.63</v>
      </c>
      <c r="R467" s="2">
        <v>5017800</v>
      </c>
      <c r="S467" s="2">
        <v>12</v>
      </c>
      <c r="T467" s="2">
        <v>332312</v>
      </c>
      <c r="U467" s="2">
        <v>2978200</v>
      </c>
      <c r="V467" s="2">
        <v>30</v>
      </c>
      <c r="W467" s="2">
        <v>0</v>
      </c>
      <c r="X467" s="2">
        <v>0</v>
      </c>
      <c r="Y467" s="2" t="s">
        <v>136</v>
      </c>
      <c r="Z467" s="12">
        <f>SUMIF(Table1[product],Table1[[#This Row],[product]],Table1[loan_amount])</f>
        <v>403369500</v>
      </c>
      <c r="AA467" s="15">
        <f>SUMIF(Table1[region],Table1[[#This Row],[region]],Table1[current_balance])</f>
        <v>98928695</v>
      </c>
      <c r="AB467" s="2">
        <f>COUNTIF(Table1[loan_status],Table1[[#This Row],[loan_status]])</f>
        <v>47</v>
      </c>
      <c r="AC467" s="2">
        <f>COUNTIF(Table1[default_flag],1)/ROWS(Table1[loan_id])</f>
        <v>2.5999999999999999E-2</v>
      </c>
      <c r="AD467" s="2">
        <f>COUNTIFS(Table1[region],Table1[[#This Row],[region]],Table1[default_flag],1)/COUNTIF(Table1[region],Table1[[#This Row],[region]])</f>
        <v>2.8571428571428571E-2</v>
      </c>
      <c r="AE467" s="2">
        <f>COUNTIFS(Table1[channel],Table1[[#This Row],[channel]],Table1[prepayment_flag],1)/COUNTIF(Table1[channel],Table1[[#This Row],[channel]])</f>
        <v>7.1090047393364927E-2</v>
      </c>
      <c r="AF467" s="2">
        <f>AVERAGEIFS(Table1[interest_rate_pct],Table1[product],Table1[[#This Row],[product]],Table1[risk_band],Table1[[#This Row],[risk_band]])</f>
        <v>11.719736842105268</v>
      </c>
      <c r="AG467" s="2" t="str" cm="1">
        <f t="array" ref="AG467">_xlfn.IFS(Table1[[#This Row],[dti_ratio]] &lt; 0.2, " less than 0.2", Table1[[#This Row],[dti_ratio]] &lt; 0.3, "0.2 - 0.3", Table1[[#This Row],[dti_ratio]] &lt;= 0.5, "0.35 - 0.5", Table1[[#This Row],[dti_ratio]] &gt; 0.5, "greater than 0.5")</f>
        <v>0.35 - 0.5</v>
      </c>
      <c r="AH467" s="2">
        <f>COUNTIF(Table1[DTI band],Table1[[#This Row],[DTI band]])</f>
        <v>260</v>
      </c>
      <c r="AI467" s="2" t="str" cm="1">
        <f t="array" ref="AI467">_xlfn.IFS(Table1[[#This Row],[ltv_ratio]] &lt; 0.6, "less than 0.6 -less risky", Table1[[#This Row],[ltv_ratio]]  &lt;= 0.8, "0.6 - 0.8 -medium risky",Table1[[#This Row],[ltv_ratio]] &gt; 0.8, "greater than 0.8 -highly risky")</f>
        <v>0.6 - 0.8 -medium risky</v>
      </c>
      <c r="AJ467" s="2">
        <f>COUNTIF(Table1[LTV band],Table1[[#This Row],[LTV band]])</f>
        <v>302</v>
      </c>
      <c r="AK467" s="2">
        <f>COUNTIFS(Table1[count_loan_perband],Table1[[#This Row],[count_loan_perband]],Table1[default_flag],1)/COUNTIF(Table1[count_loan_perband],Table1[[#This Row],[count_loan_perband]])</f>
        <v>3.6423841059602648E-2</v>
      </c>
      <c r="AL467" s="2" t="str" cm="1">
        <f t="array" ref="AL467">_xlfn.IFS(Table1[[#This Row],[loan_amount]] &lt; 900000, "lower size (&lt; 9L)", Table1[[#This Row],[loan_amount]] &lt;=3300000, "medium size (&lt;=33L)", Table1[[#This Row],[loan_amount]] &gt; 3300000, "larger size (&gt; 33L)")</f>
        <v>medium size (&lt;=33L)</v>
      </c>
      <c r="AM467" s="2">
        <f>IF(Table1[[#This Row],[dpd]] &gt;=30,1,0)</f>
        <v>1</v>
      </c>
      <c r="AN467" s="2">
        <f>COUNTIFS(Table1[Loan size],Table1[[#This Row],[Loan size]],Table1[dpd flag],1)/COUNTIF(Table1[Loan size],Table1[[#This Row],[Loan size]])</f>
        <v>0.15909090909090909</v>
      </c>
      <c r="AO467" s="2" t="str">
        <f>IF(OR(Table1[[#This Row],[credit_score]] &lt; 600, Table1[ [#This Row],[dti_ratio] ] &gt; 0.5, Table1[[#This Row],[dpd]] &gt;=30), "high risk", " not riskY")</f>
        <v>high risk</v>
      </c>
      <c r="AP467" s="26">
        <f>EOMONTH(Table1[[#This Row],[origination_date]],0)</f>
        <v>45657</v>
      </c>
      <c r="AQ467" s="2">
        <f>SUMIFS(Table1[loan_amount],Table1[origination month],Table1[[#This Row],[origination month]])</f>
        <v>19904900</v>
      </c>
      <c r="AR467" s="2">
        <f>AVERAGEIFS(Table1[months_on_book],Table1[product],Table1[[#This Row],[product]])</f>
        <v>20.516129032258064</v>
      </c>
      <c r="AS467" s="2" t="str">
        <f ca="1">IF(EDATE(Table1[[#This Row],[origination_date]],6) &gt;= TODAY(), "New Loan", "Old Loan")</f>
        <v>Old Loan</v>
      </c>
      <c r="AT467" s="2" t="str">
        <f>"Q"&amp;ROUNDUP(MONTH(Table1[[#This Row],[origination_date]])/3,0)&amp;YEAR(Table1[[#This Row],[origination_date]])</f>
        <v>Q42024</v>
      </c>
      <c r="AU467" s="2">
        <f>SUMIFS(Table1[loan_amount],Table1[quarter],Table1[[#This Row],[quarter]])</f>
        <v>53441200</v>
      </c>
      <c r="AV467" s="34" t="str">
        <f>_xlfn.TEXTJOIN("|",TRUE,Table1[[#This Row],[loan_id]:[loan_status]])</f>
        <v>L93027505|C9002049|45638|Home Loan|Online|Central|Salaried|360|3166500|11.37|31044|1216841|672|C|0.39|0.63|5017800|12|332312|2978200|30|0|0|Delinquent</v>
      </c>
      <c r="AW467" s="42">
        <f>YEAR(Loan_Table[ [#This Row],[origination_date] ])</f>
        <v>2024</v>
      </c>
    </row>
    <row r="468" spans="2:49" ht="18" customHeight="1">
      <c r="B468" s="5" t="s">
        <v>1056</v>
      </c>
      <c r="C468" s="2" t="s">
        <v>1057</v>
      </c>
      <c r="D468" s="3">
        <v>45643</v>
      </c>
      <c r="E468" s="2" t="s">
        <v>163</v>
      </c>
      <c r="F468" s="2" t="s">
        <v>213</v>
      </c>
      <c r="G468" s="2" t="s">
        <v>170</v>
      </c>
      <c r="H468" s="2" t="s">
        <v>134</v>
      </c>
      <c r="I468" s="2">
        <v>12</v>
      </c>
      <c r="J468" s="2">
        <v>574000</v>
      </c>
      <c r="K468" s="2">
        <v>15.08</v>
      </c>
      <c r="L468" s="2">
        <v>51830</v>
      </c>
      <c r="M468" s="2">
        <v>903844</v>
      </c>
      <c r="N468" s="2">
        <v>649</v>
      </c>
      <c r="O468" s="2" t="s">
        <v>147</v>
      </c>
      <c r="P468" s="2">
        <v>0.37</v>
      </c>
      <c r="Q468" s="2">
        <v>0.94</v>
      </c>
      <c r="R468" s="2">
        <v>613200</v>
      </c>
      <c r="S468" s="2">
        <v>12</v>
      </c>
      <c r="T468" s="2">
        <v>587088</v>
      </c>
      <c r="U468" s="2">
        <v>21536</v>
      </c>
      <c r="V468" s="2">
        <v>0</v>
      </c>
      <c r="W468" s="2">
        <v>0</v>
      </c>
      <c r="X468" s="2">
        <v>0</v>
      </c>
      <c r="Y468" s="2" t="s">
        <v>141</v>
      </c>
      <c r="Z468" s="12">
        <f>SUMIF(Table1[product],Table1[[#This Row],[product]],Table1[loan_amount])</f>
        <v>92273000</v>
      </c>
      <c r="AA468" s="15">
        <f>SUMIF(Table1[region],Table1[[#This Row],[region]],Table1[current_balance])</f>
        <v>83297251</v>
      </c>
      <c r="AB468" s="2">
        <f>COUNTIF(Table1[loan_status],Table1[[#This Row],[loan_status]])</f>
        <v>139</v>
      </c>
      <c r="AC468" s="2">
        <f>COUNTIF(Table1[default_flag],1)/ROWS(Table1[loan_id])</f>
        <v>2.5999999999999999E-2</v>
      </c>
      <c r="AD468" s="2">
        <f>COUNTIFS(Table1[region],Table1[[#This Row],[region]],Table1[default_flag],1)/COUNTIF(Table1[region],Table1[[#This Row],[region]])</f>
        <v>3.1914893617021274E-2</v>
      </c>
      <c r="AE468" s="2">
        <f>COUNTIFS(Table1[channel],Table1[[#This Row],[channel]],Table1[prepayment_flag],1)/COUNTIF(Table1[channel],Table1[[#This Row],[channel]])</f>
        <v>0.12</v>
      </c>
      <c r="AF468" s="2">
        <f>AVERAGEIFS(Table1[interest_rate_pct],Table1[product],Table1[[#This Row],[product]],Table1[risk_band],Table1[[#This Row],[risk_band]])</f>
        <v>15.092000000000001</v>
      </c>
      <c r="AG468" s="2" t="str" cm="1">
        <f t="array" ref="AG468">_xlfn.IFS(Table1[[#This Row],[dti_ratio]] &lt; 0.2, " less than 0.2", Table1[[#This Row],[dti_ratio]] &lt; 0.3, "0.2 - 0.3", Table1[[#This Row],[dti_ratio]] &lt;= 0.5, "0.35 - 0.5", Table1[[#This Row],[dti_ratio]] &gt; 0.5, "greater than 0.5")</f>
        <v>0.35 - 0.5</v>
      </c>
      <c r="AH468" s="2">
        <f>COUNTIF(Table1[DTI band],Table1[[#This Row],[DTI band]])</f>
        <v>260</v>
      </c>
      <c r="AI468" s="2" t="str" cm="1">
        <f t="array" ref="AI468">_xlfn.IFS(Table1[[#This Row],[ltv_ratio]] &lt; 0.6, "less than 0.6 -less risky", Table1[[#This Row],[ltv_ratio]]  &lt;= 0.8, "0.6 - 0.8 -medium risky",Table1[[#This Row],[ltv_ratio]] &gt; 0.8, "greater than 0.8 -highly risky")</f>
        <v>greater than 0.8 -highly risky</v>
      </c>
      <c r="AJ468" s="2">
        <f>COUNTIF(Table1[LTV band],Table1[[#This Row],[LTV band]])</f>
        <v>141</v>
      </c>
      <c r="AK468" s="2">
        <f>COUNTIFS(Table1[count_loan_perband],Table1[[#This Row],[count_loan_perband]],Table1[default_flag],1)/COUNTIF(Table1[count_loan_perband],Table1[[#This Row],[count_loan_perband]])</f>
        <v>1.4184397163120567E-2</v>
      </c>
      <c r="AL468" s="2" t="str" cm="1">
        <f t="array" ref="AL468">_xlfn.IFS(Table1[[#This Row],[loan_amount]] &lt; 900000, "lower size (&lt; 9L)", Table1[[#This Row],[loan_amount]] &lt;=3300000, "medium size (&lt;=33L)", Table1[[#This Row],[loan_amount]] &gt; 3300000, "larger size (&gt; 33L)")</f>
        <v>lower size (&lt; 9L)</v>
      </c>
      <c r="AM468" s="2">
        <f>IF(Table1[[#This Row],[dpd]] &gt;=30,1,0)</f>
        <v>0</v>
      </c>
      <c r="AN468" s="2">
        <f>COUNTIFS(Table1[Loan size],Table1[[#This Row],[Loan size]],Table1[dpd flag],1)/COUNTIF(Table1[Loan size],Table1[[#This Row],[Loan size]])</f>
        <v>0.13934426229508196</v>
      </c>
      <c r="AO468" s="2" t="str">
        <f>IF(OR(Table1[[#This Row],[credit_score]] &lt; 600, Table1[ [#This Row],[dti_ratio] ] &gt; 0.5, Table1[[#This Row],[dpd]] &gt;=30), "high risk", " not riskY")</f>
        <v xml:space="preserve"> not riskY</v>
      </c>
      <c r="AP468" s="26">
        <f>EOMONTH(Table1[[#This Row],[origination_date]],0)</f>
        <v>45657</v>
      </c>
      <c r="AQ468" s="2">
        <f>SUMIFS(Table1[loan_amount],Table1[origination month],Table1[[#This Row],[origination month]])</f>
        <v>19904900</v>
      </c>
      <c r="AR468" s="2">
        <f>AVERAGEIFS(Table1[months_on_book],Table1[product],Table1[[#This Row],[product]])</f>
        <v>20.262135922330096</v>
      </c>
      <c r="AS468" s="2" t="str">
        <f ca="1">IF(EDATE(Table1[[#This Row],[origination_date]],6) &gt;= TODAY(), "New Loan", "Old Loan")</f>
        <v>Old Loan</v>
      </c>
      <c r="AT468" s="2" t="str">
        <f>"Q"&amp;ROUNDUP(MONTH(Table1[[#This Row],[origination_date]])/3,0)&amp;YEAR(Table1[[#This Row],[origination_date]])</f>
        <v>Q42024</v>
      </c>
      <c r="AU468" s="2">
        <f>SUMIFS(Table1[loan_amount],Table1[quarter],Table1[[#This Row],[quarter]])</f>
        <v>53441200</v>
      </c>
      <c r="AV468" s="34" t="str">
        <f>_xlfn.TEXTJOIN("|",TRUE,Table1[[#This Row],[loan_id]:[loan_status]])</f>
        <v>L81611197|C3540503|45643|Auto Loan|Call Center|East|Salaried|12|574000|15.08|51830|903844|649|D|0.37|0.94|613200|12|587088|21536|0|0|0|Closed</v>
      </c>
      <c r="AW468" s="42">
        <f>YEAR(Loan_Table[ [#This Row],[origination_date] ])</f>
        <v>2024</v>
      </c>
    </row>
    <row r="469" spans="2:49" ht="18" customHeight="1">
      <c r="B469" s="5" t="s">
        <v>1058</v>
      </c>
      <c r="C469" s="2" t="s">
        <v>1059</v>
      </c>
      <c r="D469" s="3">
        <v>45570</v>
      </c>
      <c r="E469" s="2" t="s">
        <v>158</v>
      </c>
      <c r="F469" s="2" t="s">
        <v>132</v>
      </c>
      <c r="G469" s="2" t="s">
        <v>151</v>
      </c>
      <c r="H469" s="2" t="s">
        <v>134</v>
      </c>
      <c r="I469" s="2">
        <v>12</v>
      </c>
      <c r="J469" s="2">
        <v>1148500</v>
      </c>
      <c r="K469" s="2">
        <v>10.44</v>
      </c>
      <c r="L469" s="2">
        <v>101207</v>
      </c>
      <c r="M469" s="2">
        <v>1025579</v>
      </c>
      <c r="N469" s="2">
        <v>759</v>
      </c>
      <c r="O469" s="2" t="s">
        <v>160</v>
      </c>
      <c r="P469" s="2">
        <v>0.37</v>
      </c>
      <c r="Q469" s="2">
        <v>0.8</v>
      </c>
      <c r="R469" s="2">
        <v>1433700</v>
      </c>
      <c r="S469" s="2">
        <v>12</v>
      </c>
      <c r="T469" s="2">
        <v>1078722</v>
      </c>
      <c r="U469" s="2">
        <v>117739</v>
      </c>
      <c r="V469" s="2">
        <v>45</v>
      </c>
      <c r="W469" s="2">
        <v>0</v>
      </c>
      <c r="X469" s="2">
        <v>0</v>
      </c>
      <c r="Y469" s="2" t="s">
        <v>141</v>
      </c>
      <c r="Z469" s="12">
        <f>SUMIF(Table1[product],Table1[[#This Row],[product]],Table1[loan_amount])</f>
        <v>201475100</v>
      </c>
      <c r="AA469" s="15">
        <f>SUMIF(Table1[region],Table1[[#This Row],[region]],Table1[current_balance])</f>
        <v>105779369</v>
      </c>
      <c r="AB469" s="2">
        <f>COUNTIF(Table1[loan_status],Table1[[#This Row],[loan_status]])</f>
        <v>139</v>
      </c>
      <c r="AC469" s="2">
        <f>COUNTIF(Table1[default_flag],1)/ROWS(Table1[loan_id])</f>
        <v>2.5999999999999999E-2</v>
      </c>
      <c r="AD469" s="2">
        <f>COUNTIFS(Table1[region],Table1[[#This Row],[region]],Table1[default_flag],1)/COUNTIF(Table1[region],Table1[[#This Row],[region]])</f>
        <v>2.6548672566371681E-2</v>
      </c>
      <c r="AE469" s="2">
        <f>COUNTIFS(Table1[channel],Table1[[#This Row],[channel]],Table1[prepayment_flag],1)/COUNTIF(Table1[channel],Table1[[#This Row],[channel]])</f>
        <v>7.1090047393364927E-2</v>
      </c>
      <c r="AF469" s="2">
        <f>AVERAGEIFS(Table1[interest_rate_pct],Table1[product],Table1[[#This Row],[product]],Table1[risk_band],Table1[[#This Row],[risk_band]])</f>
        <v>10.537499999999998</v>
      </c>
      <c r="AG469" s="2" t="str" cm="1">
        <f t="array" ref="AG469">_xlfn.IFS(Table1[[#This Row],[dti_ratio]] &lt; 0.2, " less than 0.2", Table1[[#This Row],[dti_ratio]] &lt; 0.3, "0.2 - 0.3", Table1[[#This Row],[dti_ratio]] &lt;= 0.5, "0.35 - 0.5", Table1[[#This Row],[dti_ratio]] &gt; 0.5, "greater than 0.5")</f>
        <v>0.35 - 0.5</v>
      </c>
      <c r="AH469" s="2">
        <f>COUNTIF(Table1[DTI band],Table1[[#This Row],[DTI band]])</f>
        <v>260</v>
      </c>
      <c r="AI469" s="2" t="str" cm="1">
        <f t="array" ref="AI469">_xlfn.IFS(Table1[[#This Row],[ltv_ratio]] &lt; 0.6, "less than 0.6 -less risky", Table1[[#This Row],[ltv_ratio]]  &lt;= 0.8, "0.6 - 0.8 -medium risky",Table1[[#This Row],[ltv_ratio]] &gt; 0.8, "greater than 0.8 -highly risky")</f>
        <v>0.6 - 0.8 -medium risky</v>
      </c>
      <c r="AJ469" s="2">
        <f>COUNTIF(Table1[LTV band],Table1[[#This Row],[LTV band]])</f>
        <v>302</v>
      </c>
      <c r="AK469" s="2">
        <f>COUNTIFS(Table1[count_loan_perband],Table1[[#This Row],[count_loan_perband]],Table1[default_flag],1)/COUNTIF(Table1[count_loan_perband],Table1[[#This Row],[count_loan_perband]])</f>
        <v>3.6423841059602648E-2</v>
      </c>
      <c r="AL469" s="2" t="str" cm="1">
        <f t="array" ref="AL469">_xlfn.IFS(Table1[[#This Row],[loan_amount]] &lt; 900000, "lower size (&lt; 9L)", Table1[[#This Row],[loan_amount]] &lt;=3300000, "medium size (&lt;=33L)", Table1[[#This Row],[loan_amount]] &gt; 3300000, "larger size (&gt; 33L)")</f>
        <v>medium size (&lt;=33L)</v>
      </c>
      <c r="AM469" s="2">
        <f>IF(Table1[[#This Row],[dpd]] &gt;=30,1,0)</f>
        <v>1</v>
      </c>
      <c r="AN469" s="2">
        <f>COUNTIFS(Table1[Loan size],Table1[[#This Row],[Loan size]],Table1[dpd flag],1)/COUNTIF(Table1[Loan size],Table1[[#This Row],[Loan size]])</f>
        <v>0.15909090909090909</v>
      </c>
      <c r="AO469" s="2" t="str">
        <f>IF(OR(Table1[[#This Row],[credit_score]] &lt; 600, Table1[ [#This Row],[dti_ratio] ] &gt; 0.5, Table1[[#This Row],[dpd]] &gt;=30), "high risk", " not riskY")</f>
        <v>high risk</v>
      </c>
      <c r="AP469" s="26">
        <f>EOMONTH(Table1[[#This Row],[origination_date]],0)</f>
        <v>45596</v>
      </c>
      <c r="AQ469" s="2">
        <f>SUMIFS(Table1[loan_amount],Table1[origination month],Table1[[#This Row],[origination month]])</f>
        <v>14982900</v>
      </c>
      <c r="AR469" s="2">
        <f>AVERAGEIFS(Table1[months_on_book],Table1[product],Table1[[#This Row],[product]])</f>
        <v>19.091954022988507</v>
      </c>
      <c r="AS469" s="2" t="str">
        <f ca="1">IF(EDATE(Table1[[#This Row],[origination_date]],6) &gt;= TODAY(), "New Loan", "Old Loan")</f>
        <v>Old Loan</v>
      </c>
      <c r="AT469" s="2" t="str">
        <f>"Q"&amp;ROUNDUP(MONTH(Table1[[#This Row],[origination_date]])/3,0)&amp;YEAR(Table1[[#This Row],[origination_date]])</f>
        <v>Q42024</v>
      </c>
      <c r="AU469" s="2">
        <f>SUMIFS(Table1[loan_amount],Table1[quarter],Table1[[#This Row],[quarter]])</f>
        <v>53441200</v>
      </c>
      <c r="AV469" s="34" t="str">
        <f>_xlfn.TEXTJOIN("|",TRUE,Table1[[#This Row],[loan_id]:[loan_status]])</f>
        <v>L71474405|C2633485|45570|SME Loan|Online|North|Salaried|12|1148500|10.44|101207|1025579|759|A|0.37|0.8|1433700|12|1078722|117739|45|0|0|Closed</v>
      </c>
      <c r="AW469" s="42">
        <f>YEAR(Loan_Table[ [#This Row],[origination_date] ])</f>
        <v>2024</v>
      </c>
    </row>
    <row r="470" spans="2:49" ht="18" customHeight="1">
      <c r="B470" s="5" t="s">
        <v>1060</v>
      </c>
      <c r="C470" s="2" t="s">
        <v>1061</v>
      </c>
      <c r="D470" s="3">
        <v>45609</v>
      </c>
      <c r="E470" s="2" t="s">
        <v>169</v>
      </c>
      <c r="F470" s="2" t="s">
        <v>144</v>
      </c>
      <c r="G470" s="2" t="s">
        <v>145</v>
      </c>
      <c r="H470" s="2" t="s">
        <v>146</v>
      </c>
      <c r="I470" s="2">
        <v>48</v>
      </c>
      <c r="J470" s="2">
        <v>3448700</v>
      </c>
      <c r="K470" s="2">
        <v>9.0500000000000007</v>
      </c>
      <c r="L470" s="2">
        <v>85903</v>
      </c>
      <c r="M470" s="2">
        <v>654971</v>
      </c>
      <c r="N470" s="2">
        <v>726</v>
      </c>
      <c r="O470" s="2" t="s">
        <v>135</v>
      </c>
      <c r="P470" s="2">
        <v>0.37</v>
      </c>
      <c r="Q470" s="2">
        <v>0.56999999999999995</v>
      </c>
      <c r="R470" s="2">
        <v>6078400</v>
      </c>
      <c r="S470" s="2">
        <v>13</v>
      </c>
      <c r="T470" s="2">
        <v>1003592</v>
      </c>
      <c r="U470" s="2">
        <v>2580355</v>
      </c>
      <c r="V470" s="2">
        <v>0</v>
      </c>
      <c r="W470" s="2">
        <v>0</v>
      </c>
      <c r="X470" s="2">
        <v>0</v>
      </c>
      <c r="Y470" s="2" t="s">
        <v>148</v>
      </c>
      <c r="Z470" s="12">
        <f>SUMIF(Table1[product],Table1[[#This Row],[product]],Table1[loan_amount])</f>
        <v>403369500</v>
      </c>
      <c r="AA470" s="15">
        <f>SUMIF(Table1[region],Table1[[#This Row],[region]],Table1[current_balance])</f>
        <v>98928695</v>
      </c>
      <c r="AB470" s="2">
        <f>COUNTIF(Table1[loan_status],Table1[[#This Row],[loan_status]])</f>
        <v>301</v>
      </c>
      <c r="AC470" s="2">
        <f>COUNTIF(Table1[default_flag],1)/ROWS(Table1[loan_id])</f>
        <v>2.5999999999999999E-2</v>
      </c>
      <c r="AD470" s="2">
        <f>COUNTIFS(Table1[region],Table1[[#This Row],[region]],Table1[default_flag],1)/COUNTIF(Table1[region],Table1[[#This Row],[region]])</f>
        <v>2.8571428571428571E-2</v>
      </c>
      <c r="AE470" s="2">
        <f>COUNTIFS(Table1[channel],Table1[[#This Row],[channel]],Table1[prepayment_flag],1)/COUNTIF(Table1[channel],Table1[[#This Row],[channel]])</f>
        <v>5.8201058201058198E-2</v>
      </c>
      <c r="AF470" s="2">
        <f>AVERAGEIFS(Table1[interest_rate_pct],Table1[product],Table1[[#This Row],[product]],Table1[risk_band],Table1[[#This Row],[risk_band]])</f>
        <v>8.8557142857142868</v>
      </c>
      <c r="AG470" s="2" t="str" cm="1">
        <f t="array" ref="AG470">_xlfn.IFS(Table1[[#This Row],[dti_ratio]] &lt; 0.2, " less than 0.2", Table1[[#This Row],[dti_ratio]] &lt; 0.3, "0.2 - 0.3", Table1[[#This Row],[dti_ratio]] &lt;= 0.5, "0.35 - 0.5", Table1[[#This Row],[dti_ratio]] &gt; 0.5, "greater than 0.5")</f>
        <v>0.35 - 0.5</v>
      </c>
      <c r="AH470" s="2">
        <f>COUNTIF(Table1[DTI band],Table1[[#This Row],[DTI band]])</f>
        <v>260</v>
      </c>
      <c r="AI470" s="2" t="str" cm="1">
        <f t="array" ref="AI470">_xlfn.IFS(Table1[[#This Row],[ltv_ratio]] &lt; 0.6, "less than 0.6 -less risky", Table1[[#This Row],[ltv_ratio]]  &lt;= 0.8, "0.6 - 0.8 -medium risky",Table1[[#This Row],[ltv_ratio]] &gt; 0.8, "greater than 0.8 -highly risky")</f>
        <v>less than 0.6 -less risky</v>
      </c>
      <c r="AJ470" s="2">
        <f>COUNTIF(Table1[LTV band],Table1[[#This Row],[LTV band]])</f>
        <v>57</v>
      </c>
      <c r="AK470" s="2">
        <f>COUNTIFS(Table1[count_loan_perband],Table1[[#This Row],[count_loan_perband]],Table1[default_flag],1)/COUNTIF(Table1[count_loan_perband],Table1[[#This Row],[count_loan_perband]])</f>
        <v>0</v>
      </c>
      <c r="AL470" s="2" t="str" cm="1">
        <f t="array" ref="AL470">_xlfn.IFS(Table1[[#This Row],[loan_amount]] &lt; 900000, "lower size (&lt; 9L)", Table1[[#This Row],[loan_amount]] &lt;=3300000, "medium size (&lt;=33L)", Table1[[#This Row],[loan_amount]] &gt; 3300000, "larger size (&gt; 33L)")</f>
        <v>larger size (&gt; 33L)</v>
      </c>
      <c r="AM470" s="2">
        <f>IF(Table1[[#This Row],[dpd]] &gt;=30,1,0)</f>
        <v>0</v>
      </c>
      <c r="AN470" s="2">
        <f>COUNTIFS(Table1[Loan size],Table1[[#This Row],[Loan size]],Table1[dpd flag],1)/COUNTIF(Table1[Loan size],Table1[[#This Row],[Loan size]])</f>
        <v>0.16250000000000001</v>
      </c>
      <c r="AO470" s="2" t="str">
        <f>IF(OR(Table1[[#This Row],[credit_score]] &lt; 600, Table1[ [#This Row],[dti_ratio] ] &gt; 0.5, Table1[[#This Row],[dpd]] &gt;=30), "high risk", " not riskY")</f>
        <v xml:space="preserve"> not riskY</v>
      </c>
      <c r="AP470" s="26">
        <f>EOMONTH(Table1[[#This Row],[origination_date]],0)</f>
        <v>45626</v>
      </c>
      <c r="AQ470" s="2">
        <f>SUMIFS(Table1[loan_amount],Table1[origination month],Table1[[#This Row],[origination month]])</f>
        <v>18553400</v>
      </c>
      <c r="AR470" s="2">
        <f>AVERAGEIFS(Table1[months_on_book],Table1[product],Table1[[#This Row],[product]])</f>
        <v>20.516129032258064</v>
      </c>
      <c r="AS470" s="2" t="str">
        <f ca="1">IF(EDATE(Table1[[#This Row],[origination_date]],6) &gt;= TODAY(), "New Loan", "Old Loan")</f>
        <v>Old Loan</v>
      </c>
      <c r="AT470" s="2" t="str">
        <f>"Q"&amp;ROUNDUP(MONTH(Table1[[#This Row],[origination_date]])/3,0)&amp;YEAR(Table1[[#This Row],[origination_date]])</f>
        <v>Q42024</v>
      </c>
      <c r="AU470" s="2">
        <f>SUMIFS(Table1[loan_amount],Table1[quarter],Table1[[#This Row],[quarter]])</f>
        <v>53441200</v>
      </c>
      <c r="AV470" s="34" t="str">
        <f>_xlfn.TEXTJOIN("|",TRUE,Table1[[#This Row],[loan_id]:[loan_status]])</f>
        <v>L17132816|C5429378|45609|Home Loan|Branch|Central|Contract|48|3448700|9.05|85903|654971|726|B|0.37|0.57|6078400|13|1003592|2580355|0|0|0|Active</v>
      </c>
      <c r="AW470" s="42">
        <f>YEAR(Loan_Table[ [#This Row],[origination_date] ])</f>
        <v>2024</v>
      </c>
    </row>
    <row r="471" spans="2:49" ht="18" customHeight="1">
      <c r="B471" s="5" t="s">
        <v>1062</v>
      </c>
      <c r="C471" s="2" t="s">
        <v>1063</v>
      </c>
      <c r="D471" s="3">
        <v>45652</v>
      </c>
      <c r="E471" s="2" t="s">
        <v>158</v>
      </c>
      <c r="F471" s="2" t="s">
        <v>144</v>
      </c>
      <c r="G471" s="2" t="s">
        <v>133</v>
      </c>
      <c r="H471" s="2" t="s">
        <v>152</v>
      </c>
      <c r="I471" s="2">
        <v>360</v>
      </c>
      <c r="J471" s="2">
        <v>3528000</v>
      </c>
      <c r="K471" s="2">
        <v>7.69</v>
      </c>
      <c r="L471" s="2">
        <v>25129</v>
      </c>
      <c r="M471" s="2">
        <v>1263779</v>
      </c>
      <c r="N471" s="2">
        <v>835</v>
      </c>
      <c r="O471" s="2" t="s">
        <v>160</v>
      </c>
      <c r="P471" s="2">
        <v>0.37</v>
      </c>
      <c r="Q471" s="2">
        <v>0.96</v>
      </c>
      <c r="R471" s="2">
        <v>3661700</v>
      </c>
      <c r="S471" s="2">
        <v>12</v>
      </c>
      <c r="T471" s="2">
        <v>305260</v>
      </c>
      <c r="U471" s="2">
        <v>3331261</v>
      </c>
      <c r="V471" s="2">
        <v>45</v>
      </c>
      <c r="W471" s="2">
        <v>1</v>
      </c>
      <c r="X471" s="2">
        <v>0</v>
      </c>
      <c r="Y471" s="2" t="s">
        <v>141</v>
      </c>
      <c r="Z471" s="12">
        <f>SUMIF(Table1[product],Table1[[#This Row],[product]],Table1[loan_amount])</f>
        <v>201475100</v>
      </c>
      <c r="AA471" s="15">
        <f>SUMIF(Table1[region],Table1[[#This Row],[region]],Table1[current_balance])</f>
        <v>94548000</v>
      </c>
      <c r="AB471" s="2">
        <f>COUNTIF(Table1[loan_status],Table1[[#This Row],[loan_status]])</f>
        <v>139</v>
      </c>
      <c r="AC471" s="2">
        <f>COUNTIF(Table1[default_flag],1)/ROWS(Table1[loan_id])</f>
        <v>2.5999999999999999E-2</v>
      </c>
      <c r="AD471" s="2">
        <f>COUNTIFS(Table1[region],Table1[[#This Row],[region]],Table1[default_flag],1)/COUNTIF(Table1[region],Table1[[#This Row],[region]])</f>
        <v>0</v>
      </c>
      <c r="AE471" s="2">
        <f>COUNTIFS(Table1[channel],Table1[[#This Row],[channel]],Table1[prepayment_flag],1)/COUNTIF(Table1[channel],Table1[[#This Row],[channel]])</f>
        <v>5.8201058201058198E-2</v>
      </c>
      <c r="AF471" s="2">
        <f>AVERAGEIFS(Table1[interest_rate_pct],Table1[product],Table1[[#This Row],[product]],Table1[risk_band],Table1[[#This Row],[risk_band]])</f>
        <v>10.537499999999998</v>
      </c>
      <c r="AG471" s="2" t="str" cm="1">
        <f t="array" ref="AG471">_xlfn.IFS(Table1[[#This Row],[dti_ratio]] &lt; 0.2, " less than 0.2", Table1[[#This Row],[dti_ratio]] &lt; 0.3, "0.2 - 0.3", Table1[[#This Row],[dti_ratio]] &lt;= 0.5, "0.35 - 0.5", Table1[[#This Row],[dti_ratio]] &gt; 0.5, "greater than 0.5")</f>
        <v>0.35 - 0.5</v>
      </c>
      <c r="AH471" s="2">
        <f>COUNTIF(Table1[DTI band],Table1[[#This Row],[DTI band]])</f>
        <v>260</v>
      </c>
      <c r="AI471" s="2" t="str" cm="1">
        <f t="array" ref="AI471">_xlfn.IFS(Table1[[#This Row],[ltv_ratio]] &lt; 0.6, "less than 0.6 -less risky", Table1[[#This Row],[ltv_ratio]]  &lt;= 0.8, "0.6 - 0.8 -medium risky",Table1[[#This Row],[ltv_ratio]] &gt; 0.8, "greater than 0.8 -highly risky")</f>
        <v>greater than 0.8 -highly risky</v>
      </c>
      <c r="AJ471" s="2">
        <f>COUNTIF(Table1[LTV band],Table1[[#This Row],[LTV band]])</f>
        <v>141</v>
      </c>
      <c r="AK471" s="2">
        <f>COUNTIFS(Table1[count_loan_perband],Table1[[#This Row],[count_loan_perband]],Table1[default_flag],1)/COUNTIF(Table1[count_loan_perband],Table1[[#This Row],[count_loan_perband]])</f>
        <v>1.4184397163120567E-2</v>
      </c>
      <c r="AL471" s="2" t="str" cm="1">
        <f t="array" ref="AL471">_xlfn.IFS(Table1[[#This Row],[loan_amount]] &lt; 900000, "lower size (&lt; 9L)", Table1[[#This Row],[loan_amount]] &lt;=3300000, "medium size (&lt;=33L)", Table1[[#This Row],[loan_amount]] &gt; 3300000, "larger size (&gt; 33L)")</f>
        <v>larger size (&gt; 33L)</v>
      </c>
      <c r="AM471" s="2">
        <f>IF(Table1[[#This Row],[dpd]] &gt;=30,1,0)</f>
        <v>1</v>
      </c>
      <c r="AN471" s="2">
        <f>COUNTIFS(Table1[Loan size],Table1[[#This Row],[Loan size]],Table1[dpd flag],1)/COUNTIF(Table1[Loan size],Table1[[#This Row],[Loan size]])</f>
        <v>0.16250000000000001</v>
      </c>
      <c r="AO471" s="2" t="str">
        <f>IF(OR(Table1[[#This Row],[credit_score]] &lt; 600, Table1[ [#This Row],[dti_ratio] ] &gt; 0.5, Table1[[#This Row],[dpd]] &gt;=30), "high risk", " not riskY")</f>
        <v>high risk</v>
      </c>
      <c r="AP471" s="26">
        <f>EOMONTH(Table1[[#This Row],[origination_date]],0)</f>
        <v>45657</v>
      </c>
      <c r="AQ471" s="2">
        <f>SUMIFS(Table1[loan_amount],Table1[origination month],Table1[[#This Row],[origination month]])</f>
        <v>19904900</v>
      </c>
      <c r="AR471" s="2">
        <f>AVERAGEIFS(Table1[months_on_book],Table1[product],Table1[[#This Row],[product]])</f>
        <v>19.091954022988507</v>
      </c>
      <c r="AS471" s="2" t="str">
        <f ca="1">IF(EDATE(Table1[[#This Row],[origination_date]],6) &gt;= TODAY(), "New Loan", "Old Loan")</f>
        <v>Old Loan</v>
      </c>
      <c r="AT471" s="2" t="str">
        <f>"Q"&amp;ROUNDUP(MONTH(Table1[[#This Row],[origination_date]])/3,0)&amp;YEAR(Table1[[#This Row],[origination_date]])</f>
        <v>Q42024</v>
      </c>
      <c r="AU471" s="2">
        <f>SUMIFS(Table1[loan_amount],Table1[quarter],Table1[[#This Row],[quarter]])</f>
        <v>53441200</v>
      </c>
      <c r="AV471" s="34" t="str">
        <f>_xlfn.TEXTJOIN("|",TRUE,Table1[[#This Row],[loan_id]:[loan_status]])</f>
        <v>L96270329|C8617031|45652|SME Loan|Branch|South|Self-Employed|360|3528000|7.69|25129|1263779|835|A|0.37|0.96|3661700|12|305260|3331261|45|1|0|Closed</v>
      </c>
      <c r="AW471" s="42">
        <f>YEAR(Loan_Table[ [#This Row],[origination_date] ])</f>
        <v>2024</v>
      </c>
    </row>
    <row r="472" spans="2:49" ht="18" customHeight="1">
      <c r="B472" s="5" t="s">
        <v>1064</v>
      </c>
      <c r="C472" s="2" t="s">
        <v>1065</v>
      </c>
      <c r="D472" s="3">
        <v>45642</v>
      </c>
      <c r="E472" s="2" t="s">
        <v>169</v>
      </c>
      <c r="F472" s="2" t="s">
        <v>132</v>
      </c>
      <c r="G472" s="2" t="s">
        <v>151</v>
      </c>
      <c r="H472" s="2" t="s">
        <v>152</v>
      </c>
      <c r="I472" s="2">
        <v>240</v>
      </c>
      <c r="J472" s="2">
        <v>5254000</v>
      </c>
      <c r="K472" s="2">
        <v>11.91</v>
      </c>
      <c r="L472" s="2">
        <v>57522</v>
      </c>
      <c r="M472" s="2">
        <v>1042705</v>
      </c>
      <c r="N472" s="2">
        <v>682</v>
      </c>
      <c r="O472" s="2" t="s">
        <v>140</v>
      </c>
      <c r="P472" s="2">
        <v>0.36</v>
      </c>
      <c r="Q472" s="2">
        <v>0.72</v>
      </c>
      <c r="R472" s="2">
        <v>7293700</v>
      </c>
      <c r="S472" s="2">
        <v>12</v>
      </c>
      <c r="T472" s="2">
        <v>617932</v>
      </c>
      <c r="U472" s="2">
        <v>4886369</v>
      </c>
      <c r="V472" s="2">
        <v>0</v>
      </c>
      <c r="W472" s="2">
        <v>0</v>
      </c>
      <c r="X472" s="2">
        <v>0</v>
      </c>
      <c r="Y472" s="2" t="s">
        <v>148</v>
      </c>
      <c r="Z472" s="12">
        <f>SUMIF(Table1[product],Table1[[#This Row],[product]],Table1[loan_amount])</f>
        <v>403369500</v>
      </c>
      <c r="AA472" s="15">
        <f>SUMIF(Table1[region],Table1[[#This Row],[region]],Table1[current_balance])</f>
        <v>105779369</v>
      </c>
      <c r="AB472" s="2">
        <f>COUNTIF(Table1[loan_status],Table1[[#This Row],[loan_status]])</f>
        <v>301</v>
      </c>
      <c r="AC472" s="2">
        <f>COUNTIF(Table1[default_flag],1)/ROWS(Table1[loan_id])</f>
        <v>2.5999999999999999E-2</v>
      </c>
      <c r="AD472" s="2">
        <f>COUNTIFS(Table1[region],Table1[[#This Row],[region]],Table1[default_flag],1)/COUNTIF(Table1[region],Table1[[#This Row],[region]])</f>
        <v>2.6548672566371681E-2</v>
      </c>
      <c r="AE472" s="2">
        <f>COUNTIFS(Table1[channel],Table1[[#This Row],[channel]],Table1[prepayment_flag],1)/COUNTIF(Table1[channel],Table1[[#This Row],[channel]])</f>
        <v>7.1090047393364927E-2</v>
      </c>
      <c r="AF472" s="2">
        <f>AVERAGEIFS(Table1[interest_rate_pct],Table1[product],Table1[[#This Row],[product]],Table1[risk_band],Table1[[#This Row],[risk_band]])</f>
        <v>11.719736842105268</v>
      </c>
      <c r="AG472" s="2" t="str" cm="1">
        <f t="array" ref="AG472">_xlfn.IFS(Table1[[#This Row],[dti_ratio]] &lt; 0.2, " less than 0.2", Table1[[#This Row],[dti_ratio]] &lt; 0.3, "0.2 - 0.3", Table1[[#This Row],[dti_ratio]] &lt;= 0.5, "0.35 - 0.5", Table1[[#This Row],[dti_ratio]] &gt; 0.5, "greater than 0.5")</f>
        <v>0.35 - 0.5</v>
      </c>
      <c r="AH472" s="2">
        <f>COUNTIF(Table1[DTI band],Table1[[#This Row],[DTI band]])</f>
        <v>260</v>
      </c>
      <c r="AI472" s="2" t="str" cm="1">
        <f t="array" ref="AI472">_xlfn.IFS(Table1[[#This Row],[ltv_ratio]] &lt; 0.6, "less than 0.6 -less risky", Table1[[#This Row],[ltv_ratio]]  &lt;= 0.8, "0.6 - 0.8 -medium risky",Table1[[#This Row],[ltv_ratio]] &gt; 0.8, "greater than 0.8 -highly risky")</f>
        <v>0.6 - 0.8 -medium risky</v>
      </c>
      <c r="AJ472" s="2">
        <f>COUNTIF(Table1[LTV band],Table1[[#This Row],[LTV band]])</f>
        <v>302</v>
      </c>
      <c r="AK472" s="2">
        <f>COUNTIFS(Table1[count_loan_perband],Table1[[#This Row],[count_loan_perband]],Table1[default_flag],1)/COUNTIF(Table1[count_loan_perband],Table1[[#This Row],[count_loan_perband]])</f>
        <v>3.6423841059602648E-2</v>
      </c>
      <c r="AL472" s="2" t="str" cm="1">
        <f t="array" ref="AL472">_xlfn.IFS(Table1[[#This Row],[loan_amount]] &lt; 900000, "lower size (&lt; 9L)", Table1[[#This Row],[loan_amount]] &lt;=3300000, "medium size (&lt;=33L)", Table1[[#This Row],[loan_amount]] &gt; 3300000, "larger size (&gt; 33L)")</f>
        <v>larger size (&gt; 33L)</v>
      </c>
      <c r="AM472" s="2">
        <f>IF(Table1[[#This Row],[dpd]] &gt;=30,1,0)</f>
        <v>0</v>
      </c>
      <c r="AN472" s="2">
        <f>COUNTIFS(Table1[Loan size],Table1[[#This Row],[Loan size]],Table1[dpd flag],1)/COUNTIF(Table1[Loan size],Table1[[#This Row],[Loan size]])</f>
        <v>0.16250000000000001</v>
      </c>
      <c r="AO472" s="2" t="str">
        <f>IF(OR(Table1[[#This Row],[credit_score]] &lt; 600, Table1[ [#This Row],[dti_ratio] ] &gt; 0.5, Table1[[#This Row],[dpd]] &gt;=30), "high risk", " not riskY")</f>
        <v xml:space="preserve"> not riskY</v>
      </c>
      <c r="AP472" s="26">
        <f>EOMONTH(Table1[[#This Row],[origination_date]],0)</f>
        <v>45657</v>
      </c>
      <c r="AQ472" s="2">
        <f>SUMIFS(Table1[loan_amount],Table1[origination month],Table1[[#This Row],[origination month]])</f>
        <v>19904900</v>
      </c>
      <c r="AR472" s="2">
        <f>AVERAGEIFS(Table1[months_on_book],Table1[product],Table1[[#This Row],[product]])</f>
        <v>20.516129032258064</v>
      </c>
      <c r="AS472" s="2" t="str">
        <f ca="1">IF(EDATE(Table1[[#This Row],[origination_date]],6) &gt;= TODAY(), "New Loan", "Old Loan")</f>
        <v>Old Loan</v>
      </c>
      <c r="AT472" s="2" t="str">
        <f>"Q"&amp;ROUNDUP(MONTH(Table1[[#This Row],[origination_date]])/3,0)&amp;YEAR(Table1[[#This Row],[origination_date]])</f>
        <v>Q42024</v>
      </c>
      <c r="AU472" s="2">
        <f>SUMIFS(Table1[loan_amount],Table1[quarter],Table1[[#This Row],[quarter]])</f>
        <v>53441200</v>
      </c>
      <c r="AV472" s="34" t="str">
        <f>_xlfn.TEXTJOIN("|",TRUE,Table1[[#This Row],[loan_id]:[loan_status]])</f>
        <v>L31560200|C8015297|45642|Home Loan|Online|North|Self-Employed|240|5254000|11.91|57522|1042705|682|C|0.36|0.72|7293700|12|617932|4886369|0|0|0|Active</v>
      </c>
      <c r="AW472" s="42">
        <f>YEAR(Loan_Table[ [#This Row],[origination_date] ])</f>
        <v>2024</v>
      </c>
    </row>
    <row r="473" spans="2:49" ht="18" customHeight="1">
      <c r="B473" s="5" t="s">
        <v>1066</v>
      </c>
      <c r="C473" s="2" t="s">
        <v>1067</v>
      </c>
      <c r="D473" s="3">
        <v>45592</v>
      </c>
      <c r="E473" s="2" t="s">
        <v>131</v>
      </c>
      <c r="F473" s="2" t="s">
        <v>213</v>
      </c>
      <c r="G473" s="2" t="s">
        <v>170</v>
      </c>
      <c r="H473" s="2" t="s">
        <v>134</v>
      </c>
      <c r="I473" s="2">
        <v>240</v>
      </c>
      <c r="J473" s="2">
        <v>216300</v>
      </c>
      <c r="K473" s="2">
        <v>21.38</v>
      </c>
      <c r="L473" s="2">
        <v>3910</v>
      </c>
      <c r="M473" s="2">
        <v>235765</v>
      </c>
      <c r="N473" s="2">
        <v>631</v>
      </c>
      <c r="O473" s="2" t="s">
        <v>147</v>
      </c>
      <c r="P473" s="2">
        <v>0.35</v>
      </c>
      <c r="Q473" s="2">
        <v>0.93</v>
      </c>
      <c r="R473" s="2">
        <v>0</v>
      </c>
      <c r="S473" s="2">
        <v>14</v>
      </c>
      <c r="T473" s="2">
        <v>53218</v>
      </c>
      <c r="U473" s="2">
        <v>184663</v>
      </c>
      <c r="V473" s="2">
        <v>0</v>
      </c>
      <c r="W473" s="2">
        <v>0</v>
      </c>
      <c r="X473" s="2">
        <v>0</v>
      </c>
      <c r="Y473" s="2" t="s">
        <v>148</v>
      </c>
      <c r="Z473" s="12">
        <f>SUMIF(Table1[product],Table1[[#This Row],[product]],Table1[loan_amount])</f>
        <v>74897600</v>
      </c>
      <c r="AA473" s="15">
        <f>SUMIF(Table1[region],Table1[[#This Row],[region]],Table1[current_balance])</f>
        <v>83297251</v>
      </c>
      <c r="AB473" s="2">
        <f>COUNTIF(Table1[loan_status],Table1[[#This Row],[loan_status]])</f>
        <v>301</v>
      </c>
      <c r="AC473" s="2">
        <f>COUNTIF(Table1[default_flag],1)/ROWS(Table1[loan_id])</f>
        <v>2.5999999999999999E-2</v>
      </c>
      <c r="AD473" s="2">
        <f>COUNTIFS(Table1[region],Table1[[#This Row],[region]],Table1[default_flag],1)/COUNTIF(Table1[region],Table1[[#This Row],[region]])</f>
        <v>3.1914893617021274E-2</v>
      </c>
      <c r="AE473" s="2">
        <f>COUNTIFS(Table1[channel],Table1[[#This Row],[channel]],Table1[prepayment_flag],1)/COUNTIF(Table1[channel],Table1[[#This Row],[channel]])</f>
        <v>0.12</v>
      </c>
      <c r="AF473" s="2">
        <f>AVERAGEIFS(Table1[interest_rate_pct],Table1[product],Table1[[#This Row],[product]],Table1[risk_band],Table1[[#This Row],[risk_band]])</f>
        <v>20.962592592592593</v>
      </c>
      <c r="AG473" s="2" t="str" cm="1">
        <f t="array" ref="AG473">_xlfn.IFS(Table1[[#This Row],[dti_ratio]] &lt; 0.2, " less than 0.2", Table1[[#This Row],[dti_ratio]] &lt; 0.3, "0.2 - 0.3", Table1[[#This Row],[dti_ratio]] &lt;= 0.5, "0.35 - 0.5", Table1[[#This Row],[dti_ratio]] &gt; 0.5, "greater than 0.5")</f>
        <v>0.35 - 0.5</v>
      </c>
      <c r="AH473" s="2">
        <f>COUNTIF(Table1[DTI band],Table1[[#This Row],[DTI band]])</f>
        <v>260</v>
      </c>
      <c r="AI473" s="2" t="str" cm="1">
        <f t="array" ref="AI473">_xlfn.IFS(Table1[[#This Row],[ltv_ratio]] &lt; 0.6, "less than 0.6 -less risky", Table1[[#This Row],[ltv_ratio]]  &lt;= 0.8, "0.6 - 0.8 -medium risky",Table1[[#This Row],[ltv_ratio]] &gt; 0.8, "greater than 0.8 -highly risky")</f>
        <v>greater than 0.8 -highly risky</v>
      </c>
      <c r="AJ473" s="2">
        <f>COUNTIF(Table1[LTV band],Table1[[#This Row],[LTV band]])</f>
        <v>141</v>
      </c>
      <c r="AK473" s="2">
        <f>COUNTIFS(Table1[count_loan_perband],Table1[[#This Row],[count_loan_perband]],Table1[default_flag],1)/COUNTIF(Table1[count_loan_perband],Table1[[#This Row],[count_loan_perband]])</f>
        <v>1.4184397163120567E-2</v>
      </c>
      <c r="AL473" s="2" t="str" cm="1">
        <f t="array" ref="AL473">_xlfn.IFS(Table1[[#This Row],[loan_amount]] &lt; 900000, "lower size (&lt; 9L)", Table1[[#This Row],[loan_amount]] &lt;=3300000, "medium size (&lt;=33L)", Table1[[#This Row],[loan_amount]] &gt; 3300000, "larger size (&gt; 33L)")</f>
        <v>lower size (&lt; 9L)</v>
      </c>
      <c r="AM473" s="2">
        <f>IF(Table1[[#This Row],[dpd]] &gt;=30,1,0)</f>
        <v>0</v>
      </c>
      <c r="AN473" s="2">
        <f>COUNTIFS(Table1[Loan size],Table1[[#This Row],[Loan size]],Table1[dpd flag],1)/COUNTIF(Table1[Loan size],Table1[[#This Row],[Loan size]])</f>
        <v>0.13934426229508196</v>
      </c>
      <c r="AO473" s="2" t="str">
        <f>IF(OR(Table1[[#This Row],[credit_score]] &lt; 600, Table1[ [#This Row],[dti_ratio] ] &gt; 0.5, Table1[[#This Row],[dpd]] &gt;=30), "high risk", " not riskY")</f>
        <v xml:space="preserve"> not riskY</v>
      </c>
      <c r="AP473" s="26">
        <f>EOMONTH(Table1[[#This Row],[origination_date]],0)</f>
        <v>45596</v>
      </c>
      <c r="AQ473" s="2">
        <f>SUMIFS(Table1[loan_amount],Table1[origination month],Table1[[#This Row],[origination month]])</f>
        <v>14982900</v>
      </c>
      <c r="AR473" s="2">
        <f>AVERAGEIFS(Table1[months_on_book],Table1[product],Table1[[#This Row],[product]])</f>
        <v>21.092024539877301</v>
      </c>
      <c r="AS473" s="2" t="str">
        <f ca="1">IF(EDATE(Table1[[#This Row],[origination_date]],6) &gt;= TODAY(), "New Loan", "Old Loan")</f>
        <v>Old Loan</v>
      </c>
      <c r="AT473" s="2" t="str">
        <f>"Q"&amp;ROUNDUP(MONTH(Table1[[#This Row],[origination_date]])/3,0)&amp;YEAR(Table1[[#This Row],[origination_date]])</f>
        <v>Q42024</v>
      </c>
      <c r="AU473" s="2">
        <f>SUMIFS(Table1[loan_amount],Table1[quarter],Table1[[#This Row],[quarter]])</f>
        <v>53441200</v>
      </c>
      <c r="AV473" s="34" t="str">
        <f>_xlfn.TEXTJOIN("|",TRUE,Table1[[#This Row],[loan_id]:[loan_status]])</f>
        <v>L78780650|C6151874|45592|Personal Loan|Call Center|East|Salaried|240|216300|21.38|3910|235765|631|D|0.35|0.93|0|14|53218|184663|0|0|0|Active</v>
      </c>
      <c r="AW473" s="42">
        <f>YEAR(Loan_Table[ [#This Row],[origination_date] ])</f>
        <v>2024</v>
      </c>
    </row>
    <row r="474" spans="2:49" ht="18" customHeight="1">
      <c r="B474" s="5" t="s">
        <v>1068</v>
      </c>
      <c r="C474" s="2" t="s">
        <v>1069</v>
      </c>
      <c r="D474" s="3">
        <v>45581</v>
      </c>
      <c r="E474" s="2" t="s">
        <v>177</v>
      </c>
      <c r="F474" s="2" t="s">
        <v>144</v>
      </c>
      <c r="G474" s="2" t="s">
        <v>151</v>
      </c>
      <c r="H474" s="2" t="s">
        <v>134</v>
      </c>
      <c r="I474" s="2">
        <v>60</v>
      </c>
      <c r="J474" s="2">
        <v>704200</v>
      </c>
      <c r="K474" s="2">
        <v>8.84</v>
      </c>
      <c r="L474" s="2">
        <v>14563</v>
      </c>
      <c r="M474" s="2">
        <v>519888</v>
      </c>
      <c r="N474" s="2">
        <v>755</v>
      </c>
      <c r="O474" s="2" t="s">
        <v>160</v>
      </c>
      <c r="P474" s="2">
        <v>0.35</v>
      </c>
      <c r="Q474" s="2">
        <v>0.69</v>
      </c>
      <c r="R474" s="2">
        <v>0</v>
      </c>
      <c r="S474" s="2">
        <v>14</v>
      </c>
      <c r="T474" s="2">
        <v>179802</v>
      </c>
      <c r="U474" s="2">
        <v>553449</v>
      </c>
      <c r="V474" s="2">
        <v>10</v>
      </c>
      <c r="W474" s="2">
        <v>0</v>
      </c>
      <c r="X474" s="2">
        <v>0</v>
      </c>
      <c r="Y474" s="2" t="s">
        <v>148</v>
      </c>
      <c r="Z474" s="12">
        <f>SUMIF(Table1[product],Table1[[#This Row],[product]],Table1[loan_amount])</f>
        <v>62765800</v>
      </c>
      <c r="AA474" s="15">
        <f>SUMIF(Table1[region],Table1[[#This Row],[region]],Table1[current_balance])</f>
        <v>105779369</v>
      </c>
      <c r="AB474" s="2">
        <f>COUNTIF(Table1[loan_status],Table1[[#This Row],[loan_status]])</f>
        <v>301</v>
      </c>
      <c r="AC474" s="2">
        <f>COUNTIF(Table1[default_flag],1)/ROWS(Table1[loan_id])</f>
        <v>2.5999999999999999E-2</v>
      </c>
      <c r="AD474" s="2">
        <f>COUNTIFS(Table1[region],Table1[[#This Row],[region]],Table1[default_flag],1)/COUNTIF(Table1[region],Table1[[#This Row],[region]])</f>
        <v>2.6548672566371681E-2</v>
      </c>
      <c r="AE474" s="2">
        <f>COUNTIFS(Table1[channel],Table1[[#This Row],[channel]],Table1[prepayment_flag],1)/COUNTIF(Table1[channel],Table1[[#This Row],[channel]])</f>
        <v>5.8201058201058198E-2</v>
      </c>
      <c r="AF474" s="2">
        <f>AVERAGEIFS(Table1[interest_rate_pct],Table1[product],Table1[[#This Row],[product]],Table1[risk_band],Table1[[#This Row],[risk_band]])</f>
        <v>8.5057142857142871</v>
      </c>
      <c r="AG474" s="2" t="str" cm="1">
        <f t="array" ref="AG474">_xlfn.IFS(Table1[[#This Row],[dti_ratio]] &lt; 0.2, " less than 0.2", Table1[[#This Row],[dti_ratio]] &lt; 0.3, "0.2 - 0.3", Table1[[#This Row],[dti_ratio]] &lt;= 0.5, "0.35 - 0.5", Table1[[#This Row],[dti_ratio]] &gt; 0.5, "greater than 0.5")</f>
        <v>0.35 - 0.5</v>
      </c>
      <c r="AH474" s="2">
        <f>COUNTIF(Table1[DTI band],Table1[[#This Row],[DTI band]])</f>
        <v>260</v>
      </c>
      <c r="AI474" s="2" t="str" cm="1">
        <f t="array" ref="AI474">_xlfn.IFS(Table1[[#This Row],[ltv_ratio]] &lt; 0.6, "less than 0.6 -less risky", Table1[[#This Row],[ltv_ratio]]  &lt;= 0.8, "0.6 - 0.8 -medium risky",Table1[[#This Row],[ltv_ratio]] &gt; 0.8, "greater than 0.8 -highly risky")</f>
        <v>0.6 - 0.8 -medium risky</v>
      </c>
      <c r="AJ474" s="2">
        <f>COUNTIF(Table1[LTV band],Table1[[#This Row],[LTV band]])</f>
        <v>302</v>
      </c>
      <c r="AK474" s="2">
        <f>COUNTIFS(Table1[count_loan_perband],Table1[[#This Row],[count_loan_perband]],Table1[default_flag],1)/COUNTIF(Table1[count_loan_perband],Table1[[#This Row],[count_loan_perband]])</f>
        <v>3.6423841059602648E-2</v>
      </c>
      <c r="AL474" s="2" t="str" cm="1">
        <f t="array" ref="AL474">_xlfn.IFS(Table1[[#This Row],[loan_amount]] &lt; 900000, "lower size (&lt; 9L)", Table1[[#This Row],[loan_amount]] &lt;=3300000, "medium size (&lt;=33L)", Table1[[#This Row],[loan_amount]] &gt; 3300000, "larger size (&gt; 33L)")</f>
        <v>lower size (&lt; 9L)</v>
      </c>
      <c r="AM474" s="2">
        <f>IF(Table1[[#This Row],[dpd]] &gt;=30,1,0)</f>
        <v>0</v>
      </c>
      <c r="AN474" s="2">
        <f>COUNTIFS(Table1[Loan size],Table1[[#This Row],[Loan size]],Table1[dpd flag],1)/COUNTIF(Table1[Loan size],Table1[[#This Row],[Loan size]])</f>
        <v>0.13934426229508196</v>
      </c>
      <c r="AO474" s="2" t="str">
        <f>IF(OR(Table1[[#This Row],[credit_score]] &lt; 600, Table1[ [#This Row],[dti_ratio] ] &gt; 0.5, Table1[[#This Row],[dpd]] &gt;=30), "high risk", " not riskY")</f>
        <v xml:space="preserve"> not riskY</v>
      </c>
      <c r="AP474" s="26">
        <f>EOMONTH(Table1[[#This Row],[origination_date]],0)</f>
        <v>45596</v>
      </c>
      <c r="AQ474" s="2">
        <f>SUMIFS(Table1[loan_amount],Table1[origination month],Table1[[#This Row],[origination month]])</f>
        <v>14982900</v>
      </c>
      <c r="AR474" s="2">
        <f>AVERAGEIFS(Table1[months_on_book],Table1[product],Table1[[#This Row],[product]])</f>
        <v>21.962962962962962</v>
      </c>
      <c r="AS474" s="2" t="str">
        <f ca="1">IF(EDATE(Table1[[#This Row],[origination_date]],6) &gt;= TODAY(), "New Loan", "Old Loan")</f>
        <v>Old Loan</v>
      </c>
      <c r="AT474" s="2" t="str">
        <f>"Q"&amp;ROUNDUP(MONTH(Table1[[#This Row],[origination_date]])/3,0)&amp;YEAR(Table1[[#This Row],[origination_date]])</f>
        <v>Q42024</v>
      </c>
      <c r="AU474" s="2">
        <f>SUMIFS(Table1[loan_amount],Table1[quarter],Table1[[#This Row],[quarter]])</f>
        <v>53441200</v>
      </c>
      <c r="AV474" s="34" t="str">
        <f>_xlfn.TEXTJOIN("|",TRUE,Table1[[#This Row],[loan_id]:[loan_status]])</f>
        <v>L47633942|C9560751|45581|Education Loan|Branch|North|Salaried|60|704200|8.84|14563|519888|755|A|0.35|0.69|0|14|179802|553449|10|0|0|Active</v>
      </c>
      <c r="AW474" s="42">
        <f>YEAR(Loan_Table[ [#This Row],[origination_date] ])</f>
        <v>2024</v>
      </c>
    </row>
    <row r="475" spans="2:49" ht="18" customHeight="1">
      <c r="B475" s="5" t="s">
        <v>1070</v>
      </c>
      <c r="C475" s="2" t="s">
        <v>1071</v>
      </c>
      <c r="D475" s="3">
        <v>45652</v>
      </c>
      <c r="E475" s="2" t="s">
        <v>131</v>
      </c>
      <c r="F475" s="2" t="s">
        <v>132</v>
      </c>
      <c r="G475" s="2" t="s">
        <v>151</v>
      </c>
      <c r="H475" s="2" t="s">
        <v>146</v>
      </c>
      <c r="I475" s="2">
        <v>60</v>
      </c>
      <c r="J475" s="2">
        <v>53300</v>
      </c>
      <c r="K475" s="2">
        <v>23.37</v>
      </c>
      <c r="L475" s="2">
        <v>1514</v>
      </c>
      <c r="M475" s="2">
        <v>562679</v>
      </c>
      <c r="N475" s="2">
        <v>578</v>
      </c>
      <c r="O475" s="2" t="s">
        <v>166</v>
      </c>
      <c r="P475" s="2">
        <v>0.34</v>
      </c>
      <c r="Q475" s="2">
        <v>0.68</v>
      </c>
      <c r="R475" s="2">
        <v>0</v>
      </c>
      <c r="S475" s="2">
        <v>12</v>
      </c>
      <c r="T475" s="2">
        <v>16311</v>
      </c>
      <c r="U475" s="2">
        <v>41971</v>
      </c>
      <c r="V475" s="2">
        <v>45</v>
      </c>
      <c r="W475" s="2">
        <v>0</v>
      </c>
      <c r="X475" s="2">
        <v>0</v>
      </c>
      <c r="Y475" s="2" t="s">
        <v>136</v>
      </c>
      <c r="Z475" s="12">
        <f>SUMIF(Table1[product],Table1[[#This Row],[product]],Table1[loan_amount])</f>
        <v>74897600</v>
      </c>
      <c r="AA475" s="15">
        <f>SUMIF(Table1[region],Table1[[#This Row],[region]],Table1[current_balance])</f>
        <v>105779369</v>
      </c>
      <c r="AB475" s="2">
        <f>COUNTIF(Table1[loan_status],Table1[[#This Row],[loan_status]])</f>
        <v>47</v>
      </c>
      <c r="AC475" s="2">
        <f>COUNTIF(Table1[default_flag],1)/ROWS(Table1[loan_id])</f>
        <v>2.5999999999999999E-2</v>
      </c>
      <c r="AD475" s="2">
        <f>COUNTIFS(Table1[region],Table1[[#This Row],[region]],Table1[default_flag],1)/COUNTIF(Table1[region],Table1[[#This Row],[region]])</f>
        <v>2.6548672566371681E-2</v>
      </c>
      <c r="AE475" s="2">
        <f>COUNTIFS(Table1[channel],Table1[[#This Row],[channel]],Table1[prepayment_flag],1)/COUNTIF(Table1[channel],Table1[[#This Row],[channel]])</f>
        <v>7.1090047393364927E-2</v>
      </c>
      <c r="AF475" s="2">
        <f>AVERAGEIFS(Table1[interest_rate_pct],Table1[product],Table1[[#This Row],[product]],Table1[risk_band],Table1[[#This Row],[risk_band]])</f>
        <v>23.803750000000001</v>
      </c>
      <c r="AG475" s="2" t="str" cm="1">
        <f t="array" ref="AG475">_xlfn.IFS(Table1[[#This Row],[dti_ratio]] &lt; 0.2, " less than 0.2", Table1[[#This Row],[dti_ratio]] &lt; 0.3, "0.2 - 0.3", Table1[[#This Row],[dti_ratio]] &lt;= 0.5, "0.35 - 0.5", Table1[[#This Row],[dti_ratio]] &gt; 0.5, "greater than 0.5")</f>
        <v>0.35 - 0.5</v>
      </c>
      <c r="AH475" s="2">
        <f>COUNTIF(Table1[DTI band],Table1[[#This Row],[DTI band]])</f>
        <v>260</v>
      </c>
      <c r="AI475" s="2" t="str" cm="1">
        <f t="array" ref="AI475">_xlfn.IFS(Table1[[#This Row],[ltv_ratio]] &lt; 0.6, "less than 0.6 -less risky", Table1[[#This Row],[ltv_ratio]]  &lt;= 0.8, "0.6 - 0.8 -medium risky",Table1[[#This Row],[ltv_ratio]] &gt; 0.8, "greater than 0.8 -highly risky")</f>
        <v>0.6 - 0.8 -medium risky</v>
      </c>
      <c r="AJ475" s="2">
        <f>COUNTIF(Table1[LTV band],Table1[[#This Row],[LTV band]])</f>
        <v>302</v>
      </c>
      <c r="AK475" s="2">
        <f>COUNTIFS(Table1[count_loan_perband],Table1[[#This Row],[count_loan_perband]],Table1[default_flag],1)/COUNTIF(Table1[count_loan_perband],Table1[[#This Row],[count_loan_perband]])</f>
        <v>3.6423841059602648E-2</v>
      </c>
      <c r="AL475" s="2" t="str" cm="1">
        <f t="array" ref="AL475">_xlfn.IFS(Table1[[#This Row],[loan_amount]] &lt; 900000, "lower size (&lt; 9L)", Table1[[#This Row],[loan_amount]] &lt;=3300000, "medium size (&lt;=33L)", Table1[[#This Row],[loan_amount]] &gt; 3300000, "larger size (&gt; 33L)")</f>
        <v>lower size (&lt; 9L)</v>
      </c>
      <c r="AM475" s="2">
        <f>IF(Table1[[#This Row],[dpd]] &gt;=30,1,0)</f>
        <v>1</v>
      </c>
      <c r="AN475" s="2">
        <f>COUNTIFS(Table1[Loan size],Table1[[#This Row],[Loan size]],Table1[dpd flag],1)/COUNTIF(Table1[Loan size],Table1[[#This Row],[Loan size]])</f>
        <v>0.13934426229508196</v>
      </c>
      <c r="AO475" s="2" t="str">
        <f>IF(OR(Table1[[#This Row],[credit_score]] &lt; 600, Table1[ [#This Row],[dti_ratio] ] &gt; 0.5, Table1[[#This Row],[dpd]] &gt;=30), "high risk", " not riskY")</f>
        <v>high risk</v>
      </c>
      <c r="AP475" s="26">
        <f>EOMONTH(Table1[[#This Row],[origination_date]],0)</f>
        <v>45657</v>
      </c>
      <c r="AQ475" s="2">
        <f>SUMIFS(Table1[loan_amount],Table1[origination month],Table1[[#This Row],[origination month]])</f>
        <v>19904900</v>
      </c>
      <c r="AR475" s="2">
        <f>AVERAGEIFS(Table1[months_on_book],Table1[product],Table1[[#This Row],[product]])</f>
        <v>21.092024539877301</v>
      </c>
      <c r="AS475" s="2" t="str">
        <f ca="1">IF(EDATE(Table1[[#This Row],[origination_date]],6) &gt;= TODAY(), "New Loan", "Old Loan")</f>
        <v>Old Loan</v>
      </c>
      <c r="AT475" s="2" t="str">
        <f>"Q"&amp;ROUNDUP(MONTH(Table1[[#This Row],[origination_date]])/3,0)&amp;YEAR(Table1[[#This Row],[origination_date]])</f>
        <v>Q42024</v>
      </c>
      <c r="AU475" s="2">
        <f>SUMIFS(Table1[loan_amount],Table1[quarter],Table1[[#This Row],[quarter]])</f>
        <v>53441200</v>
      </c>
      <c r="AV475" s="34" t="str">
        <f>_xlfn.TEXTJOIN("|",TRUE,Table1[[#This Row],[loan_id]:[loan_status]])</f>
        <v>L18150978|C4415176|45652|Personal Loan|Online|North|Contract|60|53300|23.37|1514|562679|578|E|0.34|0.68|0|12|16311|41971|45|0|0|Delinquent</v>
      </c>
      <c r="AW475" s="42">
        <f>YEAR(Loan_Table[ [#This Row],[origination_date] ])</f>
        <v>2025</v>
      </c>
    </row>
    <row r="476" spans="2:49" ht="18" customHeight="1">
      <c r="B476" s="5" t="s">
        <v>1072</v>
      </c>
      <c r="C476" s="2" t="s">
        <v>1073</v>
      </c>
      <c r="D476" s="3">
        <v>45576</v>
      </c>
      <c r="E476" s="2" t="s">
        <v>169</v>
      </c>
      <c r="F476" s="2" t="s">
        <v>144</v>
      </c>
      <c r="G476" s="2" t="s">
        <v>170</v>
      </c>
      <c r="H476" s="2" t="s">
        <v>146</v>
      </c>
      <c r="I476" s="2">
        <v>36</v>
      </c>
      <c r="J476" s="2">
        <v>6123600</v>
      </c>
      <c r="K476" s="2">
        <v>9.5399999999999991</v>
      </c>
      <c r="L476" s="2">
        <v>196271</v>
      </c>
      <c r="M476" s="2">
        <v>1382208</v>
      </c>
      <c r="N476" s="2">
        <v>704</v>
      </c>
      <c r="O476" s="2" t="s">
        <v>135</v>
      </c>
      <c r="P476" s="2">
        <v>0.33</v>
      </c>
      <c r="Q476" s="2">
        <v>0.9</v>
      </c>
      <c r="R476" s="2">
        <v>6837700</v>
      </c>
      <c r="S476" s="2">
        <v>14</v>
      </c>
      <c r="T476" s="2">
        <v>2554236</v>
      </c>
      <c r="U476" s="2">
        <v>3841987</v>
      </c>
      <c r="V476" s="2">
        <v>0</v>
      </c>
      <c r="W476" s="2">
        <v>0</v>
      </c>
      <c r="X476" s="2">
        <v>0</v>
      </c>
      <c r="Y476" s="2" t="s">
        <v>148</v>
      </c>
      <c r="Z476" s="12">
        <f>SUMIF(Table1[product],Table1[[#This Row],[product]],Table1[loan_amount])</f>
        <v>403369500</v>
      </c>
      <c r="AA476" s="15">
        <f>SUMIF(Table1[region],Table1[[#This Row],[region]],Table1[current_balance])</f>
        <v>83297251</v>
      </c>
      <c r="AB476" s="2">
        <f>COUNTIF(Table1[loan_status],Table1[[#This Row],[loan_status]])</f>
        <v>301</v>
      </c>
      <c r="AC476" s="2">
        <f>COUNTIF(Table1[default_flag],1)/ROWS(Table1[loan_id])</f>
        <v>2.5999999999999999E-2</v>
      </c>
      <c r="AD476" s="2">
        <f>COUNTIFS(Table1[region],Table1[[#This Row],[region]],Table1[default_flag],1)/COUNTIF(Table1[region],Table1[[#This Row],[region]])</f>
        <v>3.1914893617021274E-2</v>
      </c>
      <c r="AE476" s="2">
        <f>COUNTIFS(Table1[channel],Table1[[#This Row],[channel]],Table1[prepayment_flag],1)/COUNTIF(Table1[channel],Table1[[#This Row],[channel]])</f>
        <v>5.8201058201058198E-2</v>
      </c>
      <c r="AF476" s="2">
        <f>AVERAGEIFS(Table1[interest_rate_pct],Table1[product],Table1[[#This Row],[product]],Table1[risk_band],Table1[[#This Row],[risk_band]])</f>
        <v>8.8557142857142868</v>
      </c>
      <c r="AG476" s="2" t="str" cm="1">
        <f t="array" ref="AG476">_xlfn.IFS(Table1[[#This Row],[dti_ratio]] &lt; 0.2, " less than 0.2", Table1[[#This Row],[dti_ratio]] &lt; 0.3, "0.2 - 0.3", Table1[[#This Row],[dti_ratio]] &lt;= 0.5, "0.35 - 0.5", Table1[[#This Row],[dti_ratio]] &gt; 0.5, "greater than 0.5")</f>
        <v>0.35 - 0.5</v>
      </c>
      <c r="AH476" s="2">
        <f>COUNTIF(Table1[DTI band],Table1[[#This Row],[DTI band]])</f>
        <v>260</v>
      </c>
      <c r="AI476" s="2" t="str" cm="1">
        <f t="array" ref="AI476">_xlfn.IFS(Table1[[#This Row],[ltv_ratio]] &lt; 0.6, "less than 0.6 -less risky", Table1[[#This Row],[ltv_ratio]]  &lt;= 0.8, "0.6 - 0.8 -medium risky",Table1[[#This Row],[ltv_ratio]] &gt; 0.8, "greater than 0.8 -highly risky")</f>
        <v>greater than 0.8 -highly risky</v>
      </c>
      <c r="AJ476" s="2">
        <f>COUNTIF(Table1[LTV band],Table1[[#This Row],[LTV band]])</f>
        <v>141</v>
      </c>
      <c r="AK476" s="2">
        <f>COUNTIFS(Table1[count_loan_perband],Table1[[#This Row],[count_loan_perband]],Table1[default_flag],1)/COUNTIF(Table1[count_loan_perband],Table1[[#This Row],[count_loan_perband]])</f>
        <v>1.4184397163120567E-2</v>
      </c>
      <c r="AL476" s="2" t="str" cm="1">
        <f t="array" ref="AL476">_xlfn.IFS(Table1[[#This Row],[loan_amount]] &lt; 900000, "lower size (&lt; 9L)", Table1[[#This Row],[loan_amount]] &lt;=3300000, "medium size (&lt;=33L)", Table1[[#This Row],[loan_amount]] &gt; 3300000, "larger size (&gt; 33L)")</f>
        <v>larger size (&gt; 33L)</v>
      </c>
      <c r="AM476" s="2">
        <f>IF(Table1[[#This Row],[dpd]] &gt;=30,1,0)</f>
        <v>0</v>
      </c>
      <c r="AN476" s="2">
        <f>COUNTIFS(Table1[Loan size],Table1[[#This Row],[Loan size]],Table1[dpd flag],1)/COUNTIF(Table1[Loan size],Table1[[#This Row],[Loan size]])</f>
        <v>0.16250000000000001</v>
      </c>
      <c r="AO476" s="2" t="str">
        <f>IF(OR(Table1[[#This Row],[credit_score]] &lt; 600, Table1[ [#This Row],[dti_ratio] ] &gt; 0.5, Table1[[#This Row],[dpd]] &gt;=30), "high risk", " not riskY")</f>
        <v xml:space="preserve"> not riskY</v>
      </c>
      <c r="AP476" s="26">
        <f>EOMONTH(Table1[[#This Row],[origination_date]],0)</f>
        <v>45596</v>
      </c>
      <c r="AQ476" s="2">
        <f>SUMIFS(Table1[loan_amount],Table1[origination month],Table1[[#This Row],[origination month]])</f>
        <v>14982900</v>
      </c>
      <c r="AR476" s="2">
        <f>AVERAGEIFS(Table1[months_on_book],Table1[product],Table1[[#This Row],[product]])</f>
        <v>20.516129032258064</v>
      </c>
      <c r="AS476" s="2" t="str">
        <f ca="1">IF(EDATE(Table1[[#This Row],[origination_date]],6) &gt;= TODAY(), "New Loan", "Old Loan")</f>
        <v>Old Loan</v>
      </c>
      <c r="AT476" s="2" t="str">
        <f>"Q"&amp;ROUNDUP(MONTH(Table1[[#This Row],[origination_date]])/3,0)&amp;YEAR(Table1[[#This Row],[origination_date]])</f>
        <v>Q42024</v>
      </c>
      <c r="AU476" s="2">
        <f>SUMIFS(Table1[loan_amount],Table1[quarter],Table1[[#This Row],[quarter]])</f>
        <v>53441200</v>
      </c>
      <c r="AV476" s="34" t="str">
        <f>_xlfn.TEXTJOIN("|",TRUE,Table1[[#This Row],[loan_id]:[loan_status]])</f>
        <v>L24870617|C8478946|45576|Home Loan|Branch|East|Contract|36|6123600|9.54|196271|1382208|704|B|0.33|0.9|6837700|14|2554236|3841987|0|0|0|Active</v>
      </c>
      <c r="AW476" s="42">
        <f>YEAR(Loan_Table[ [#This Row],[origination_date] ])</f>
        <v>2025</v>
      </c>
    </row>
    <row r="477" spans="2:49" ht="18" customHeight="1">
      <c r="B477" s="5" t="s">
        <v>1074</v>
      </c>
      <c r="C477" s="2" t="s">
        <v>1075</v>
      </c>
      <c r="D477" s="3">
        <v>45625</v>
      </c>
      <c r="E477" s="2" t="s">
        <v>169</v>
      </c>
      <c r="F477" s="2" t="s">
        <v>144</v>
      </c>
      <c r="G477" s="2" t="s">
        <v>139</v>
      </c>
      <c r="H477" s="2" t="s">
        <v>146</v>
      </c>
      <c r="I477" s="2">
        <v>36</v>
      </c>
      <c r="J477" s="2">
        <v>4710600</v>
      </c>
      <c r="K477" s="2">
        <v>9.86</v>
      </c>
      <c r="L477" s="2">
        <v>151688</v>
      </c>
      <c r="M477" s="2">
        <v>869564</v>
      </c>
      <c r="N477" s="2">
        <v>705</v>
      </c>
      <c r="O477" s="2" t="s">
        <v>135</v>
      </c>
      <c r="P477" s="2">
        <v>0.33</v>
      </c>
      <c r="Q477" s="2">
        <v>0.75</v>
      </c>
      <c r="R477" s="2">
        <v>6279800</v>
      </c>
      <c r="S477" s="2">
        <v>13</v>
      </c>
      <c r="T477" s="2">
        <v>2003923</v>
      </c>
      <c r="U477" s="2">
        <v>2907945</v>
      </c>
      <c r="V477" s="2">
        <v>0</v>
      </c>
      <c r="W477" s="2">
        <v>0</v>
      </c>
      <c r="X477" s="2">
        <v>0</v>
      </c>
      <c r="Y477" s="2" t="s">
        <v>148</v>
      </c>
      <c r="Z477" s="12">
        <f>SUMIF(Table1[product],Table1[[#This Row],[product]],Table1[loan_amount])</f>
        <v>403369500</v>
      </c>
      <c r="AA477" s="15">
        <f>SUMIF(Table1[region],Table1[[#This Row],[region]],Table1[current_balance])</f>
        <v>83903255</v>
      </c>
      <c r="AB477" s="2">
        <f>COUNTIF(Table1[loan_status],Table1[[#This Row],[loan_status]])</f>
        <v>301</v>
      </c>
      <c r="AC477" s="2">
        <f>COUNTIF(Table1[default_flag],1)/ROWS(Table1[loan_id])</f>
        <v>2.5999999999999999E-2</v>
      </c>
      <c r="AD477" s="2">
        <f>COUNTIFS(Table1[region],Table1[[#This Row],[region]],Table1[default_flag],1)/COUNTIF(Table1[region],Table1[[#This Row],[region]])</f>
        <v>4.2553191489361701E-2</v>
      </c>
      <c r="AE477" s="2">
        <f>COUNTIFS(Table1[channel],Table1[[#This Row],[channel]],Table1[prepayment_flag],1)/COUNTIF(Table1[channel],Table1[[#This Row],[channel]])</f>
        <v>5.8201058201058198E-2</v>
      </c>
      <c r="AF477" s="2">
        <f>AVERAGEIFS(Table1[interest_rate_pct],Table1[product],Table1[[#This Row],[product]],Table1[risk_band],Table1[[#This Row],[risk_band]])</f>
        <v>8.8557142857142868</v>
      </c>
      <c r="AG477" s="2" t="str" cm="1">
        <f t="array" ref="AG477">_xlfn.IFS(Table1[[#This Row],[dti_ratio]] &lt; 0.2, " less than 0.2", Table1[[#This Row],[dti_ratio]] &lt; 0.3, "0.2 - 0.3", Table1[[#This Row],[dti_ratio]] &lt;= 0.5, "0.35 - 0.5", Table1[[#This Row],[dti_ratio]] &gt; 0.5, "greater than 0.5")</f>
        <v>0.35 - 0.5</v>
      </c>
      <c r="AH477" s="2">
        <f>COUNTIF(Table1[DTI band],Table1[[#This Row],[DTI band]])</f>
        <v>260</v>
      </c>
      <c r="AI477" s="2" t="str" cm="1">
        <f t="array" ref="AI477">_xlfn.IFS(Table1[[#This Row],[ltv_ratio]] &lt; 0.6, "less than 0.6 -less risky", Table1[[#This Row],[ltv_ratio]]  &lt;= 0.8, "0.6 - 0.8 -medium risky",Table1[[#This Row],[ltv_ratio]] &gt; 0.8, "greater than 0.8 -highly risky")</f>
        <v>0.6 - 0.8 -medium risky</v>
      </c>
      <c r="AJ477" s="2">
        <f>COUNTIF(Table1[LTV band],Table1[[#This Row],[LTV band]])</f>
        <v>302</v>
      </c>
      <c r="AK477" s="2">
        <f>COUNTIFS(Table1[count_loan_perband],Table1[[#This Row],[count_loan_perband]],Table1[default_flag],1)/COUNTIF(Table1[count_loan_perband],Table1[[#This Row],[count_loan_perband]])</f>
        <v>3.6423841059602648E-2</v>
      </c>
      <c r="AL477" s="2" t="str" cm="1">
        <f t="array" ref="AL477">_xlfn.IFS(Table1[[#This Row],[loan_amount]] &lt; 900000, "lower size (&lt; 9L)", Table1[[#This Row],[loan_amount]] &lt;=3300000, "medium size (&lt;=33L)", Table1[[#This Row],[loan_amount]] &gt; 3300000, "larger size (&gt; 33L)")</f>
        <v>larger size (&gt; 33L)</v>
      </c>
      <c r="AM477" s="2">
        <f>IF(Table1[[#This Row],[dpd]] &gt;=30,1,0)</f>
        <v>0</v>
      </c>
      <c r="AN477" s="2">
        <f>COUNTIFS(Table1[Loan size],Table1[[#This Row],[Loan size]],Table1[dpd flag],1)/COUNTIF(Table1[Loan size],Table1[[#This Row],[Loan size]])</f>
        <v>0.16250000000000001</v>
      </c>
      <c r="AO477" s="2" t="str">
        <f>IF(OR(Table1[[#This Row],[credit_score]] &lt; 600, Table1[ [#This Row],[dti_ratio] ] &gt; 0.5, Table1[[#This Row],[dpd]] &gt;=30), "high risk", " not riskY")</f>
        <v xml:space="preserve"> not riskY</v>
      </c>
      <c r="AP477" s="26">
        <f>EOMONTH(Table1[[#This Row],[origination_date]],0)</f>
        <v>45626</v>
      </c>
      <c r="AQ477" s="2">
        <f>SUMIFS(Table1[loan_amount],Table1[origination month],Table1[[#This Row],[origination month]])</f>
        <v>18553400</v>
      </c>
      <c r="AR477" s="2">
        <f>AVERAGEIFS(Table1[months_on_book],Table1[product],Table1[[#This Row],[product]])</f>
        <v>20.516129032258064</v>
      </c>
      <c r="AS477" s="2" t="str">
        <f ca="1">IF(EDATE(Table1[[#This Row],[origination_date]],6) &gt;= TODAY(), "New Loan", "Old Loan")</f>
        <v>Old Loan</v>
      </c>
      <c r="AT477" s="2" t="str">
        <f>"Q"&amp;ROUNDUP(MONTH(Table1[[#This Row],[origination_date]])/3,0)&amp;YEAR(Table1[[#This Row],[origination_date]])</f>
        <v>Q42024</v>
      </c>
      <c r="AU477" s="2">
        <f>SUMIFS(Table1[loan_amount],Table1[quarter],Table1[[#This Row],[quarter]])</f>
        <v>53441200</v>
      </c>
      <c r="AV477" s="34" t="str">
        <f>_xlfn.TEXTJOIN("|",TRUE,Table1[[#This Row],[loan_id]:[loan_status]])</f>
        <v>L12773605|C8134767|45625|Home Loan|Branch|West|Contract|36|4710600|9.86|151688|869564|705|B|0.33|0.75|6279800|13|2003923|2907945|0|0|0|Active</v>
      </c>
      <c r="AW477" s="42">
        <f>YEAR(Loan_Table[ [#This Row],[origination_date] ])</f>
        <v>2025</v>
      </c>
    </row>
    <row r="478" spans="2:49" ht="18" customHeight="1">
      <c r="B478" s="5" t="s">
        <v>1076</v>
      </c>
      <c r="C478" s="2" t="s">
        <v>1077</v>
      </c>
      <c r="D478" s="3">
        <v>45624</v>
      </c>
      <c r="E478" s="2" t="s">
        <v>169</v>
      </c>
      <c r="F478" s="2" t="s">
        <v>144</v>
      </c>
      <c r="G478" s="2" t="s">
        <v>170</v>
      </c>
      <c r="H478" s="2" t="s">
        <v>134</v>
      </c>
      <c r="I478" s="2">
        <v>60</v>
      </c>
      <c r="J478" s="2">
        <v>4995000</v>
      </c>
      <c r="K478" s="2">
        <v>7</v>
      </c>
      <c r="L478" s="2">
        <v>98907</v>
      </c>
      <c r="M478" s="2">
        <v>801976</v>
      </c>
      <c r="N478" s="2">
        <v>839</v>
      </c>
      <c r="O478" s="2" t="s">
        <v>160</v>
      </c>
      <c r="P478" s="2">
        <v>0.32</v>
      </c>
      <c r="Q478" s="2">
        <v>0.84</v>
      </c>
      <c r="R478" s="2">
        <v>5940900</v>
      </c>
      <c r="S478" s="2">
        <v>13</v>
      </c>
      <c r="T478" s="2">
        <v>1191476</v>
      </c>
      <c r="U478" s="2">
        <v>3955039</v>
      </c>
      <c r="V478" s="2">
        <v>0</v>
      </c>
      <c r="W478" s="2">
        <v>0</v>
      </c>
      <c r="X478" s="2">
        <v>0</v>
      </c>
      <c r="Y478" s="2" t="s">
        <v>148</v>
      </c>
      <c r="Z478" s="12">
        <f>SUMIF(Table1[product],Table1[[#This Row],[product]],Table1[loan_amount])</f>
        <v>403369500</v>
      </c>
      <c r="AA478" s="15">
        <f>SUMIF(Table1[region],Table1[[#This Row],[region]],Table1[current_balance])</f>
        <v>83297251</v>
      </c>
      <c r="AB478" s="2">
        <f>COUNTIF(Table1[loan_status],Table1[[#This Row],[loan_status]])</f>
        <v>301</v>
      </c>
      <c r="AC478" s="2">
        <f>COUNTIF(Table1[default_flag],1)/ROWS(Table1[loan_id])</f>
        <v>2.5999999999999999E-2</v>
      </c>
      <c r="AD478" s="2">
        <f>COUNTIFS(Table1[region],Table1[[#This Row],[region]],Table1[default_flag],1)/COUNTIF(Table1[region],Table1[[#This Row],[region]])</f>
        <v>3.1914893617021274E-2</v>
      </c>
      <c r="AE478" s="2">
        <f>COUNTIFS(Table1[channel],Table1[[#This Row],[channel]],Table1[prepayment_flag],1)/COUNTIF(Table1[channel],Table1[[#This Row],[channel]])</f>
        <v>5.8201058201058198E-2</v>
      </c>
      <c r="AF478" s="2">
        <f>AVERAGEIFS(Table1[interest_rate_pct],Table1[product],Table1[[#This Row],[product]],Table1[risk_band],Table1[[#This Row],[risk_band]])</f>
        <v>7.1876190476190471</v>
      </c>
      <c r="AG478" s="2" t="str" cm="1">
        <f t="array" ref="AG478">_xlfn.IFS(Table1[[#This Row],[dti_ratio]] &lt; 0.2, " less than 0.2", Table1[[#This Row],[dti_ratio]] &lt; 0.3, "0.2 - 0.3", Table1[[#This Row],[dti_ratio]] &lt;= 0.5, "0.35 - 0.5", Table1[[#This Row],[dti_ratio]] &gt; 0.5, "greater than 0.5")</f>
        <v>0.35 - 0.5</v>
      </c>
      <c r="AH478" s="2">
        <f>COUNTIF(Table1[DTI band],Table1[[#This Row],[DTI band]])</f>
        <v>260</v>
      </c>
      <c r="AI478" s="2" t="str" cm="1">
        <f t="array" ref="AI478">_xlfn.IFS(Table1[[#This Row],[ltv_ratio]] &lt; 0.6, "less than 0.6 -less risky", Table1[[#This Row],[ltv_ratio]]  &lt;= 0.8, "0.6 - 0.8 -medium risky",Table1[[#This Row],[ltv_ratio]] &gt; 0.8, "greater than 0.8 -highly risky")</f>
        <v>greater than 0.8 -highly risky</v>
      </c>
      <c r="AJ478" s="2">
        <f>COUNTIF(Table1[LTV band],Table1[[#This Row],[LTV band]])</f>
        <v>141</v>
      </c>
      <c r="AK478" s="2">
        <f>COUNTIFS(Table1[count_loan_perband],Table1[[#This Row],[count_loan_perband]],Table1[default_flag],1)/COUNTIF(Table1[count_loan_perband],Table1[[#This Row],[count_loan_perband]])</f>
        <v>1.4184397163120567E-2</v>
      </c>
      <c r="AL478" s="2" t="str" cm="1">
        <f t="array" ref="AL478">_xlfn.IFS(Table1[[#This Row],[loan_amount]] &lt; 900000, "lower size (&lt; 9L)", Table1[[#This Row],[loan_amount]] &lt;=3300000, "medium size (&lt;=33L)", Table1[[#This Row],[loan_amount]] &gt; 3300000, "larger size (&gt; 33L)")</f>
        <v>larger size (&gt; 33L)</v>
      </c>
      <c r="AM478" s="2">
        <f>IF(Table1[[#This Row],[dpd]] &gt;=30,1,0)</f>
        <v>0</v>
      </c>
      <c r="AN478" s="2">
        <f>COUNTIFS(Table1[Loan size],Table1[[#This Row],[Loan size]],Table1[dpd flag],1)/COUNTIF(Table1[Loan size],Table1[[#This Row],[Loan size]])</f>
        <v>0.16250000000000001</v>
      </c>
      <c r="AO478" s="2" t="str">
        <f>IF(OR(Table1[[#This Row],[credit_score]] &lt; 600, Table1[ [#This Row],[dti_ratio] ] &gt; 0.5, Table1[[#This Row],[dpd]] &gt;=30), "high risk", " not riskY")</f>
        <v xml:space="preserve"> not riskY</v>
      </c>
      <c r="AP478" s="26">
        <f>EOMONTH(Table1[[#This Row],[origination_date]],0)</f>
        <v>45626</v>
      </c>
      <c r="AQ478" s="2">
        <f>SUMIFS(Table1[loan_amount],Table1[origination month],Table1[[#This Row],[origination month]])</f>
        <v>18553400</v>
      </c>
      <c r="AR478" s="2">
        <f>AVERAGEIFS(Table1[months_on_book],Table1[product],Table1[[#This Row],[product]])</f>
        <v>20.516129032258064</v>
      </c>
      <c r="AS478" s="2" t="str">
        <f ca="1">IF(EDATE(Table1[[#This Row],[origination_date]],6) &gt;= TODAY(), "New Loan", "Old Loan")</f>
        <v>Old Loan</v>
      </c>
      <c r="AT478" s="2" t="str">
        <f>"Q"&amp;ROUNDUP(MONTH(Table1[[#This Row],[origination_date]])/3,0)&amp;YEAR(Table1[[#This Row],[origination_date]])</f>
        <v>Q42024</v>
      </c>
      <c r="AU478" s="2">
        <f>SUMIFS(Table1[loan_amount],Table1[quarter],Table1[[#This Row],[quarter]])</f>
        <v>53441200</v>
      </c>
      <c r="AV478" s="34" t="str">
        <f>_xlfn.TEXTJOIN("|",TRUE,Table1[[#This Row],[loan_id]:[loan_status]])</f>
        <v>L30451484|C2382520|45624|Home Loan|Branch|East|Salaried|60|4995000|7|98907|801976|839|A|0.32|0.84|5940900|13|1191476|3955039|0|0|0|Active</v>
      </c>
      <c r="AW478" s="42">
        <f>YEAR(Loan_Table[ [#This Row],[origination_date] ])</f>
        <v>2025</v>
      </c>
    </row>
    <row r="479" spans="2:49" ht="18" customHeight="1">
      <c r="B479" s="5" t="s">
        <v>1078</v>
      </c>
      <c r="C479" s="2" t="s">
        <v>1079</v>
      </c>
      <c r="D479" s="3">
        <v>45620</v>
      </c>
      <c r="E479" s="2" t="s">
        <v>131</v>
      </c>
      <c r="F479" s="2" t="s">
        <v>132</v>
      </c>
      <c r="G479" s="2" t="s">
        <v>145</v>
      </c>
      <c r="H479" s="2" t="s">
        <v>134</v>
      </c>
      <c r="I479" s="2">
        <v>120</v>
      </c>
      <c r="J479" s="2">
        <v>503500</v>
      </c>
      <c r="K479" s="2">
        <v>16.600000000000001</v>
      </c>
      <c r="L479" s="2">
        <v>8624</v>
      </c>
      <c r="M479" s="2">
        <v>695118</v>
      </c>
      <c r="N479" s="2">
        <v>707</v>
      </c>
      <c r="O479" s="2" t="s">
        <v>135</v>
      </c>
      <c r="P479" s="2">
        <v>0.31</v>
      </c>
      <c r="Q479" s="2">
        <v>0.65</v>
      </c>
      <c r="R479" s="2">
        <v>0</v>
      </c>
      <c r="S479" s="2">
        <v>13</v>
      </c>
      <c r="T479" s="2">
        <v>114064</v>
      </c>
      <c r="U479" s="2">
        <v>425654</v>
      </c>
      <c r="V479" s="2">
        <v>0</v>
      </c>
      <c r="W479" s="2">
        <v>0</v>
      </c>
      <c r="X479" s="2">
        <v>0</v>
      </c>
      <c r="Y479" s="2" t="s">
        <v>148</v>
      </c>
      <c r="Z479" s="12">
        <f>SUMIF(Table1[product],Table1[[#This Row],[product]],Table1[loan_amount])</f>
        <v>74897600</v>
      </c>
      <c r="AA479" s="15">
        <f>SUMIF(Table1[region],Table1[[#This Row],[region]],Table1[current_balance])</f>
        <v>98928695</v>
      </c>
      <c r="AB479" s="2">
        <f>COUNTIF(Table1[loan_status],Table1[[#This Row],[loan_status]])</f>
        <v>301</v>
      </c>
      <c r="AC479" s="2">
        <f>COUNTIF(Table1[default_flag],1)/ROWS(Table1[loan_id])</f>
        <v>2.5999999999999999E-2</v>
      </c>
      <c r="AD479" s="2">
        <f>COUNTIFS(Table1[region],Table1[[#This Row],[region]],Table1[default_flag],1)/COUNTIF(Table1[region],Table1[[#This Row],[region]])</f>
        <v>2.8571428571428571E-2</v>
      </c>
      <c r="AE479" s="2">
        <f>COUNTIFS(Table1[channel],Table1[[#This Row],[channel]],Table1[prepayment_flag],1)/COUNTIF(Table1[channel],Table1[[#This Row],[channel]])</f>
        <v>7.1090047393364927E-2</v>
      </c>
      <c r="AF479" s="2">
        <f>AVERAGEIFS(Table1[interest_rate_pct],Table1[product],Table1[[#This Row],[product]],Table1[risk_band],Table1[[#This Row],[risk_band]])</f>
        <v>16.500166666666669</v>
      </c>
      <c r="AG479" s="2" t="str" cm="1">
        <f t="array" ref="AG479">_xlfn.IFS(Table1[[#This Row],[dti_ratio]] &lt; 0.2, " less than 0.2", Table1[[#This Row],[dti_ratio]] &lt; 0.3, "0.2 - 0.3", Table1[[#This Row],[dti_ratio]] &lt;= 0.5, "0.35 - 0.5", Table1[[#This Row],[dti_ratio]] &gt; 0.5, "greater than 0.5")</f>
        <v>0.35 - 0.5</v>
      </c>
      <c r="AH479" s="2">
        <f>COUNTIF(Table1[DTI band],Table1[[#This Row],[DTI band]])</f>
        <v>260</v>
      </c>
      <c r="AI479" s="2" t="str" cm="1">
        <f t="array" ref="AI479">_xlfn.IFS(Table1[[#This Row],[ltv_ratio]] &lt; 0.6, "less than 0.6 -less risky", Table1[[#This Row],[ltv_ratio]]  &lt;= 0.8, "0.6 - 0.8 -medium risky",Table1[[#This Row],[ltv_ratio]] &gt; 0.8, "greater than 0.8 -highly risky")</f>
        <v>0.6 - 0.8 -medium risky</v>
      </c>
      <c r="AJ479" s="2">
        <f>COUNTIF(Table1[LTV band],Table1[[#This Row],[LTV band]])</f>
        <v>302</v>
      </c>
      <c r="AK479" s="2">
        <f>COUNTIFS(Table1[count_loan_perband],Table1[[#This Row],[count_loan_perband]],Table1[default_flag],1)/COUNTIF(Table1[count_loan_perband],Table1[[#This Row],[count_loan_perband]])</f>
        <v>3.6423841059602648E-2</v>
      </c>
      <c r="AL479" s="2" t="str" cm="1">
        <f t="array" ref="AL479">_xlfn.IFS(Table1[[#This Row],[loan_amount]] &lt; 900000, "lower size (&lt; 9L)", Table1[[#This Row],[loan_amount]] &lt;=3300000, "medium size (&lt;=33L)", Table1[[#This Row],[loan_amount]] &gt; 3300000, "larger size (&gt; 33L)")</f>
        <v>lower size (&lt; 9L)</v>
      </c>
      <c r="AM479" s="2">
        <f>IF(Table1[[#This Row],[dpd]] &gt;=30,1,0)</f>
        <v>0</v>
      </c>
      <c r="AN479" s="2">
        <f>COUNTIFS(Table1[Loan size],Table1[[#This Row],[Loan size]],Table1[dpd flag],1)/COUNTIF(Table1[Loan size],Table1[[#This Row],[Loan size]])</f>
        <v>0.13934426229508196</v>
      </c>
      <c r="AO479" s="2" t="str">
        <f>IF(OR(Table1[[#This Row],[credit_score]] &lt; 600, Table1[ [#This Row],[dti_ratio] ] &gt; 0.5, Table1[[#This Row],[dpd]] &gt;=30), "high risk", " not riskY")</f>
        <v xml:space="preserve"> not riskY</v>
      </c>
      <c r="AP479" s="26">
        <f>EOMONTH(Table1[[#This Row],[origination_date]],0)</f>
        <v>45626</v>
      </c>
      <c r="AQ479" s="2">
        <f>SUMIFS(Table1[loan_amount],Table1[origination month],Table1[[#This Row],[origination month]])</f>
        <v>18553400</v>
      </c>
      <c r="AR479" s="2">
        <f>AVERAGEIFS(Table1[months_on_book],Table1[product],Table1[[#This Row],[product]])</f>
        <v>21.092024539877301</v>
      </c>
      <c r="AS479" s="2" t="str">
        <f ca="1">IF(EDATE(Table1[[#This Row],[origination_date]],6) &gt;= TODAY(), "New Loan", "Old Loan")</f>
        <v>Old Loan</v>
      </c>
      <c r="AT479" s="2" t="str">
        <f>"Q"&amp;ROUNDUP(MONTH(Table1[[#This Row],[origination_date]])/3,0)&amp;YEAR(Table1[[#This Row],[origination_date]])</f>
        <v>Q42024</v>
      </c>
      <c r="AU479" s="2">
        <f>SUMIFS(Table1[loan_amount],Table1[quarter],Table1[[#This Row],[quarter]])</f>
        <v>53441200</v>
      </c>
      <c r="AV479" s="34" t="str">
        <f>_xlfn.TEXTJOIN("|",TRUE,Table1[[#This Row],[loan_id]:[loan_status]])</f>
        <v>L17445699|C8901414|45620|Personal Loan|Online|Central|Salaried|120|503500|16.6|8624|695118|707|B|0.31|0.65|0|13|114064|425654|0|0|0|Active</v>
      </c>
      <c r="AW479" s="42">
        <f>YEAR(Loan_Table[ [#This Row],[origination_date] ])</f>
        <v>2025</v>
      </c>
    </row>
    <row r="480" spans="2:49" ht="18" customHeight="1">
      <c r="B480" s="5" t="s">
        <v>1080</v>
      </c>
      <c r="C480" s="2" t="s">
        <v>1081</v>
      </c>
      <c r="D480" s="3">
        <v>45623</v>
      </c>
      <c r="E480" s="2" t="s">
        <v>131</v>
      </c>
      <c r="F480" s="2" t="s">
        <v>132</v>
      </c>
      <c r="G480" s="2" t="s">
        <v>151</v>
      </c>
      <c r="H480" s="2" t="s">
        <v>134</v>
      </c>
      <c r="I480" s="2">
        <v>120</v>
      </c>
      <c r="J480" s="2">
        <v>345900</v>
      </c>
      <c r="K480" s="2">
        <v>15.68</v>
      </c>
      <c r="L480" s="2">
        <v>5725</v>
      </c>
      <c r="M480" s="2">
        <v>980735</v>
      </c>
      <c r="N480" s="2">
        <v>722</v>
      </c>
      <c r="O480" s="2" t="s">
        <v>135</v>
      </c>
      <c r="P480" s="2">
        <v>0.3</v>
      </c>
      <c r="Q480" s="2">
        <v>0.68</v>
      </c>
      <c r="R480" s="2">
        <v>0</v>
      </c>
      <c r="S480" s="2">
        <v>13</v>
      </c>
      <c r="T480" s="2">
        <v>68489</v>
      </c>
      <c r="U480" s="2">
        <v>300914</v>
      </c>
      <c r="V480" s="2">
        <v>0</v>
      </c>
      <c r="W480" s="2">
        <v>0</v>
      </c>
      <c r="X480" s="2">
        <v>0</v>
      </c>
      <c r="Y480" s="2" t="s">
        <v>148</v>
      </c>
      <c r="Z480" s="12">
        <f>SUMIF(Table1[product],Table1[[#This Row],[product]],Table1[loan_amount])</f>
        <v>74897600</v>
      </c>
      <c r="AA480" s="15">
        <f>SUMIF(Table1[region],Table1[[#This Row],[region]],Table1[current_balance])</f>
        <v>105779369</v>
      </c>
      <c r="AB480" s="2">
        <f>COUNTIF(Table1[loan_status],Table1[[#This Row],[loan_status]])</f>
        <v>301</v>
      </c>
      <c r="AC480" s="2">
        <f>COUNTIF(Table1[default_flag],1)/ROWS(Table1[loan_id])</f>
        <v>2.5999999999999999E-2</v>
      </c>
      <c r="AD480" s="2">
        <f>COUNTIFS(Table1[region],Table1[[#This Row],[region]],Table1[default_flag],1)/COUNTIF(Table1[region],Table1[[#This Row],[region]])</f>
        <v>2.6548672566371681E-2</v>
      </c>
      <c r="AE480" s="2">
        <f>COUNTIFS(Table1[channel],Table1[[#This Row],[channel]],Table1[prepayment_flag],1)/COUNTIF(Table1[channel],Table1[[#This Row],[channel]])</f>
        <v>7.1090047393364927E-2</v>
      </c>
      <c r="AF480" s="2">
        <f>AVERAGEIFS(Table1[interest_rate_pct],Table1[product],Table1[[#This Row],[product]],Table1[risk_band],Table1[[#This Row],[risk_band]])</f>
        <v>16.500166666666669</v>
      </c>
      <c r="AG480" s="2" t="str" cm="1">
        <f t="array" ref="AG480">_xlfn.IFS(Table1[[#This Row],[dti_ratio]] &lt; 0.2, " less than 0.2", Table1[[#This Row],[dti_ratio]] &lt; 0.3, "0.2 - 0.3", Table1[[#This Row],[dti_ratio]] &lt;= 0.5, "0.35 - 0.5", Table1[[#This Row],[dti_ratio]] &gt; 0.5, "greater than 0.5")</f>
        <v>0.35 - 0.5</v>
      </c>
      <c r="AH480" s="2">
        <f>COUNTIF(Table1[DTI band],Table1[[#This Row],[DTI band]])</f>
        <v>260</v>
      </c>
      <c r="AI480" s="2" t="str" cm="1">
        <f t="array" ref="AI480">_xlfn.IFS(Table1[[#This Row],[ltv_ratio]] &lt; 0.6, "less than 0.6 -less risky", Table1[[#This Row],[ltv_ratio]]  &lt;= 0.8, "0.6 - 0.8 -medium risky",Table1[[#This Row],[ltv_ratio]] &gt; 0.8, "greater than 0.8 -highly risky")</f>
        <v>0.6 - 0.8 -medium risky</v>
      </c>
      <c r="AJ480" s="2">
        <f>COUNTIF(Table1[LTV band],Table1[[#This Row],[LTV band]])</f>
        <v>302</v>
      </c>
      <c r="AK480" s="2">
        <f>COUNTIFS(Table1[count_loan_perband],Table1[[#This Row],[count_loan_perband]],Table1[default_flag],1)/COUNTIF(Table1[count_loan_perband],Table1[[#This Row],[count_loan_perband]])</f>
        <v>3.6423841059602648E-2</v>
      </c>
      <c r="AL480" s="2" t="str" cm="1">
        <f t="array" ref="AL480">_xlfn.IFS(Table1[[#This Row],[loan_amount]] &lt; 900000, "lower size (&lt; 9L)", Table1[[#This Row],[loan_amount]] &lt;=3300000, "medium size (&lt;=33L)", Table1[[#This Row],[loan_amount]] &gt; 3300000, "larger size (&gt; 33L)")</f>
        <v>lower size (&lt; 9L)</v>
      </c>
      <c r="AM480" s="2">
        <f>IF(Table1[[#This Row],[dpd]] &gt;=30,1,0)</f>
        <v>0</v>
      </c>
      <c r="AN480" s="2">
        <f>COUNTIFS(Table1[Loan size],Table1[[#This Row],[Loan size]],Table1[dpd flag],1)/COUNTIF(Table1[Loan size],Table1[[#This Row],[Loan size]])</f>
        <v>0.13934426229508196</v>
      </c>
      <c r="AO480" s="2" t="str">
        <f>IF(OR(Table1[[#This Row],[credit_score]] &lt; 600, Table1[ [#This Row],[dti_ratio] ] &gt; 0.5, Table1[[#This Row],[dpd]] &gt;=30), "high risk", " not riskY")</f>
        <v xml:space="preserve"> not riskY</v>
      </c>
      <c r="AP480" s="26">
        <f>EOMONTH(Table1[[#This Row],[origination_date]],0)</f>
        <v>45626</v>
      </c>
      <c r="AQ480" s="2">
        <f>SUMIFS(Table1[loan_amount],Table1[origination month],Table1[[#This Row],[origination month]])</f>
        <v>18553400</v>
      </c>
      <c r="AR480" s="2">
        <f>AVERAGEIFS(Table1[months_on_book],Table1[product],Table1[[#This Row],[product]])</f>
        <v>21.092024539877301</v>
      </c>
      <c r="AS480" s="2" t="str">
        <f ca="1">IF(EDATE(Table1[[#This Row],[origination_date]],6) &gt;= TODAY(), "New Loan", "Old Loan")</f>
        <v>Old Loan</v>
      </c>
      <c r="AT480" s="2" t="str">
        <f>"Q"&amp;ROUNDUP(MONTH(Table1[[#This Row],[origination_date]])/3,0)&amp;YEAR(Table1[[#This Row],[origination_date]])</f>
        <v>Q42024</v>
      </c>
      <c r="AU480" s="2">
        <f>SUMIFS(Table1[loan_amount],Table1[quarter],Table1[[#This Row],[quarter]])</f>
        <v>53441200</v>
      </c>
      <c r="AV480" s="34" t="str">
        <f>_xlfn.TEXTJOIN("|",TRUE,Table1[[#This Row],[loan_id]:[loan_status]])</f>
        <v>L63944451|C9821843|45623|Personal Loan|Online|North|Salaried|120|345900|15.68|5725|980735|722|B|0.3|0.68|0|13|68489|300914|0|0|0|Active</v>
      </c>
      <c r="AW480" s="42">
        <f>YEAR(Loan_Table[ [#This Row],[origination_date] ])</f>
        <v>2025</v>
      </c>
    </row>
    <row r="481" spans="2:49" ht="18" customHeight="1">
      <c r="B481" s="5" t="s">
        <v>1082</v>
      </c>
      <c r="C481" s="2" t="s">
        <v>1083</v>
      </c>
      <c r="D481" s="3">
        <v>45612</v>
      </c>
      <c r="E481" s="2" t="s">
        <v>131</v>
      </c>
      <c r="F481" s="2" t="s">
        <v>144</v>
      </c>
      <c r="G481" s="2" t="s">
        <v>151</v>
      </c>
      <c r="H481" s="2" t="s">
        <v>134</v>
      </c>
      <c r="I481" s="2">
        <v>24</v>
      </c>
      <c r="J481" s="2">
        <v>465000</v>
      </c>
      <c r="K481" s="2">
        <v>19.46</v>
      </c>
      <c r="L481" s="2">
        <v>23544</v>
      </c>
      <c r="M481" s="2">
        <v>624971</v>
      </c>
      <c r="N481" s="2">
        <v>658</v>
      </c>
      <c r="O481" s="2" t="s">
        <v>140</v>
      </c>
      <c r="P481" s="2">
        <v>0.28000000000000003</v>
      </c>
      <c r="Q481" s="2">
        <v>0.63</v>
      </c>
      <c r="R481" s="2">
        <v>0</v>
      </c>
      <c r="S481" s="2">
        <v>13</v>
      </c>
      <c r="T481" s="2">
        <v>307151</v>
      </c>
      <c r="U481" s="2">
        <v>197061</v>
      </c>
      <c r="V481" s="2">
        <v>0</v>
      </c>
      <c r="W481" s="2">
        <v>0</v>
      </c>
      <c r="X481" s="2">
        <v>0</v>
      </c>
      <c r="Y481" s="2" t="s">
        <v>148</v>
      </c>
      <c r="Z481" s="12">
        <f>SUMIF(Table1[product],Table1[[#This Row],[product]],Table1[loan_amount])</f>
        <v>74897600</v>
      </c>
      <c r="AA481" s="15">
        <f>SUMIF(Table1[region],Table1[[#This Row],[region]],Table1[current_balance])</f>
        <v>105779369</v>
      </c>
      <c r="AB481" s="2">
        <f>COUNTIF(Table1[loan_status],Table1[[#This Row],[loan_status]])</f>
        <v>301</v>
      </c>
      <c r="AC481" s="2">
        <f>COUNTIF(Table1[default_flag],1)/ROWS(Table1[loan_id])</f>
        <v>2.5999999999999999E-2</v>
      </c>
      <c r="AD481" s="2">
        <f>COUNTIFS(Table1[region],Table1[[#This Row],[region]],Table1[default_flag],1)/COUNTIF(Table1[region],Table1[[#This Row],[region]])</f>
        <v>2.6548672566371681E-2</v>
      </c>
      <c r="AE481" s="2">
        <f>COUNTIFS(Table1[channel],Table1[[#This Row],[channel]],Table1[prepayment_flag],1)/COUNTIF(Table1[channel],Table1[[#This Row],[channel]])</f>
        <v>5.8201058201058198E-2</v>
      </c>
      <c r="AF481" s="2">
        <f>AVERAGEIFS(Table1[interest_rate_pct],Table1[product],Table1[[#This Row],[product]],Table1[risk_band],Table1[[#This Row],[risk_band]])</f>
        <v>18.603181818181817</v>
      </c>
      <c r="AG481" s="2" t="str" cm="1">
        <f t="array" ref="AG481">_xlfn.IFS(Table1[[#This Row],[dti_ratio]] &lt; 0.2, " less than 0.2", Table1[[#This Row],[dti_ratio]] &lt; 0.3, "0.2 - 0.3", Table1[[#This Row],[dti_ratio]] &lt;= 0.5, "0.35 - 0.5", Table1[[#This Row],[dti_ratio]] &gt; 0.5, "greater than 0.5")</f>
        <v>0.2 - 0.3</v>
      </c>
      <c r="AH481" s="2">
        <f>COUNTIF(Table1[DTI band],Table1[[#This Row],[DTI band]])</f>
        <v>122</v>
      </c>
      <c r="AI481" s="2" t="str" cm="1">
        <f t="array" ref="AI481">_xlfn.IFS(Table1[[#This Row],[ltv_ratio]] &lt; 0.6, "less than 0.6 -less risky", Table1[[#This Row],[ltv_ratio]]  &lt;= 0.8, "0.6 - 0.8 -medium risky",Table1[[#This Row],[ltv_ratio]] &gt; 0.8, "greater than 0.8 -highly risky")</f>
        <v>0.6 - 0.8 -medium risky</v>
      </c>
      <c r="AJ481" s="2">
        <f>COUNTIF(Table1[LTV band],Table1[[#This Row],[LTV band]])</f>
        <v>302</v>
      </c>
      <c r="AK481" s="2">
        <f>COUNTIFS(Table1[count_loan_perband],Table1[[#This Row],[count_loan_perband]],Table1[default_flag],1)/COUNTIF(Table1[count_loan_perband],Table1[[#This Row],[count_loan_perband]])</f>
        <v>3.6423841059602648E-2</v>
      </c>
      <c r="AL481" s="2" t="str" cm="1">
        <f t="array" ref="AL481">_xlfn.IFS(Table1[[#This Row],[loan_amount]] &lt; 900000, "lower size (&lt; 9L)", Table1[[#This Row],[loan_amount]] &lt;=3300000, "medium size (&lt;=33L)", Table1[[#This Row],[loan_amount]] &gt; 3300000, "larger size (&gt; 33L)")</f>
        <v>lower size (&lt; 9L)</v>
      </c>
      <c r="AM481" s="2">
        <f>IF(Table1[[#This Row],[dpd]] &gt;=30,1,0)</f>
        <v>0</v>
      </c>
      <c r="AN481" s="2">
        <f>COUNTIFS(Table1[Loan size],Table1[[#This Row],[Loan size]],Table1[dpd flag],1)/COUNTIF(Table1[Loan size],Table1[[#This Row],[Loan size]])</f>
        <v>0.13934426229508196</v>
      </c>
      <c r="AO481" s="2" t="str">
        <f>IF(OR(Table1[[#This Row],[credit_score]] &lt; 600, Table1[ [#This Row],[dti_ratio] ] &gt; 0.5, Table1[[#This Row],[dpd]] &gt;=30), "high risk", " not riskY")</f>
        <v xml:space="preserve"> not riskY</v>
      </c>
      <c r="AP481" s="26">
        <f>EOMONTH(Table1[[#This Row],[origination_date]],0)</f>
        <v>45626</v>
      </c>
      <c r="AQ481" s="2">
        <f>SUMIFS(Table1[loan_amount],Table1[origination month],Table1[[#This Row],[origination month]])</f>
        <v>18553400</v>
      </c>
      <c r="AR481" s="2">
        <f>AVERAGEIFS(Table1[months_on_book],Table1[product],Table1[[#This Row],[product]])</f>
        <v>21.092024539877301</v>
      </c>
      <c r="AS481" s="2" t="str">
        <f ca="1">IF(EDATE(Table1[[#This Row],[origination_date]],6) &gt;= TODAY(), "New Loan", "Old Loan")</f>
        <v>Old Loan</v>
      </c>
      <c r="AT481" s="2" t="str">
        <f>"Q"&amp;ROUNDUP(MONTH(Table1[[#This Row],[origination_date]])/3,0)&amp;YEAR(Table1[[#This Row],[origination_date]])</f>
        <v>Q42024</v>
      </c>
      <c r="AU481" s="2">
        <f>SUMIFS(Table1[loan_amount],Table1[quarter],Table1[[#This Row],[quarter]])</f>
        <v>53441200</v>
      </c>
      <c r="AV481" s="34" t="str">
        <f>_xlfn.TEXTJOIN("|",TRUE,Table1[[#This Row],[loan_id]:[loan_status]])</f>
        <v>L94243921|C8379827|45612|Personal Loan|Branch|North|Salaried|24|465000|19.46|23544|624971|658|C|0.28|0.63|0|13|307151|197061|0|0|0|Active</v>
      </c>
      <c r="AW481" s="42">
        <f>YEAR(Loan_Table[ [#This Row],[origination_date] ])</f>
        <v>2025</v>
      </c>
    </row>
    <row r="482" spans="2:49" ht="18" customHeight="1">
      <c r="B482" s="5" t="s">
        <v>1084</v>
      </c>
      <c r="C482" s="2" t="s">
        <v>1085</v>
      </c>
      <c r="D482" s="3">
        <v>45576</v>
      </c>
      <c r="E482" s="2" t="s">
        <v>177</v>
      </c>
      <c r="F482" s="2" t="s">
        <v>132</v>
      </c>
      <c r="G482" s="2" t="s">
        <v>145</v>
      </c>
      <c r="H482" s="2" t="s">
        <v>134</v>
      </c>
      <c r="I482" s="2">
        <v>36</v>
      </c>
      <c r="J482" s="2">
        <v>822600</v>
      </c>
      <c r="K482" s="2">
        <v>12.4</v>
      </c>
      <c r="L482" s="2">
        <v>27480</v>
      </c>
      <c r="M482" s="2">
        <v>656937</v>
      </c>
      <c r="N482" s="2">
        <v>697</v>
      </c>
      <c r="O482" s="2" t="s">
        <v>140</v>
      </c>
      <c r="P482" s="2">
        <v>0.27</v>
      </c>
      <c r="Q482" s="2">
        <v>0.78</v>
      </c>
      <c r="R482" s="2">
        <v>0</v>
      </c>
      <c r="S482" s="2">
        <v>14</v>
      </c>
      <c r="T482" s="2">
        <v>388014</v>
      </c>
      <c r="U482" s="2">
        <v>482187</v>
      </c>
      <c r="V482" s="2">
        <v>0</v>
      </c>
      <c r="W482" s="2">
        <v>0</v>
      </c>
      <c r="X482" s="2">
        <v>0</v>
      </c>
      <c r="Y482" s="2" t="s">
        <v>148</v>
      </c>
      <c r="Z482" s="12">
        <f>SUMIF(Table1[product],Table1[[#This Row],[product]],Table1[loan_amount])</f>
        <v>62765800</v>
      </c>
      <c r="AA482" s="15">
        <f>SUMIF(Table1[region],Table1[[#This Row],[region]],Table1[current_balance])</f>
        <v>98928695</v>
      </c>
      <c r="AB482" s="2">
        <f>COUNTIF(Table1[loan_status],Table1[[#This Row],[loan_status]])</f>
        <v>301</v>
      </c>
      <c r="AC482" s="2">
        <f>COUNTIF(Table1[default_flag],1)/ROWS(Table1[loan_id])</f>
        <v>2.5999999999999999E-2</v>
      </c>
      <c r="AD482" s="2">
        <f>COUNTIFS(Table1[region],Table1[[#This Row],[region]],Table1[default_flag],1)/COUNTIF(Table1[region],Table1[[#This Row],[region]])</f>
        <v>2.8571428571428571E-2</v>
      </c>
      <c r="AE482" s="2">
        <f>COUNTIFS(Table1[channel],Table1[[#This Row],[channel]],Table1[prepayment_flag],1)/COUNTIF(Table1[channel],Table1[[#This Row],[channel]])</f>
        <v>7.1090047393364927E-2</v>
      </c>
      <c r="AF482" s="2">
        <f>AVERAGEIFS(Table1[interest_rate_pct],Table1[product],Table1[[#This Row],[product]],Table1[risk_band],Table1[[#This Row],[risk_band]])</f>
        <v>13.463888888888889</v>
      </c>
      <c r="AG482" s="2" t="str" cm="1">
        <f t="array" ref="AG482">_xlfn.IFS(Table1[[#This Row],[dti_ratio]] &lt; 0.2, " less than 0.2", Table1[[#This Row],[dti_ratio]] &lt; 0.3, "0.2 - 0.3", Table1[[#This Row],[dti_ratio]] &lt;= 0.5, "0.35 - 0.5", Table1[[#This Row],[dti_ratio]] &gt; 0.5, "greater than 0.5")</f>
        <v>0.2 - 0.3</v>
      </c>
      <c r="AH482" s="2">
        <f>COUNTIF(Table1[DTI band],Table1[[#This Row],[DTI band]])</f>
        <v>122</v>
      </c>
      <c r="AI482" s="2" t="str" cm="1">
        <f t="array" ref="AI482">_xlfn.IFS(Table1[[#This Row],[ltv_ratio]] &lt; 0.6, "less than 0.6 -less risky", Table1[[#This Row],[ltv_ratio]]  &lt;= 0.8, "0.6 - 0.8 -medium risky",Table1[[#This Row],[ltv_ratio]] &gt; 0.8, "greater than 0.8 -highly risky")</f>
        <v>0.6 - 0.8 -medium risky</v>
      </c>
      <c r="AJ482" s="2">
        <f>COUNTIF(Table1[LTV band],Table1[[#This Row],[LTV band]])</f>
        <v>302</v>
      </c>
      <c r="AK482" s="2">
        <f>COUNTIFS(Table1[count_loan_perband],Table1[[#This Row],[count_loan_perband]],Table1[default_flag],1)/COUNTIF(Table1[count_loan_perband],Table1[[#This Row],[count_loan_perband]])</f>
        <v>3.6423841059602648E-2</v>
      </c>
      <c r="AL482" s="2" t="str" cm="1">
        <f t="array" ref="AL482">_xlfn.IFS(Table1[[#This Row],[loan_amount]] &lt; 900000, "lower size (&lt; 9L)", Table1[[#This Row],[loan_amount]] &lt;=3300000, "medium size (&lt;=33L)", Table1[[#This Row],[loan_amount]] &gt; 3300000, "larger size (&gt; 33L)")</f>
        <v>lower size (&lt; 9L)</v>
      </c>
      <c r="AM482" s="2">
        <f>IF(Table1[[#This Row],[dpd]] &gt;=30,1,0)</f>
        <v>0</v>
      </c>
      <c r="AN482" s="2">
        <f>COUNTIFS(Table1[Loan size],Table1[[#This Row],[Loan size]],Table1[dpd flag],1)/COUNTIF(Table1[Loan size],Table1[[#This Row],[Loan size]])</f>
        <v>0.13934426229508196</v>
      </c>
      <c r="AO482" s="2" t="str">
        <f>IF(OR(Table1[[#This Row],[credit_score]] &lt; 600, Table1[ [#This Row],[dti_ratio] ] &gt; 0.5, Table1[[#This Row],[dpd]] &gt;=30), "high risk", " not riskY")</f>
        <v xml:space="preserve"> not riskY</v>
      </c>
      <c r="AP482" s="26">
        <f>EOMONTH(Table1[[#This Row],[origination_date]],0)</f>
        <v>45596</v>
      </c>
      <c r="AQ482" s="2">
        <f>SUMIFS(Table1[loan_amount],Table1[origination month],Table1[[#This Row],[origination month]])</f>
        <v>14982900</v>
      </c>
      <c r="AR482" s="2">
        <f>AVERAGEIFS(Table1[months_on_book],Table1[product],Table1[[#This Row],[product]])</f>
        <v>21.962962962962962</v>
      </c>
      <c r="AS482" s="2" t="str">
        <f ca="1">IF(EDATE(Table1[[#This Row],[origination_date]],6) &gt;= TODAY(), "New Loan", "Old Loan")</f>
        <v>Old Loan</v>
      </c>
      <c r="AT482" s="2" t="str">
        <f>"Q"&amp;ROUNDUP(MONTH(Table1[[#This Row],[origination_date]])/3,0)&amp;YEAR(Table1[[#This Row],[origination_date]])</f>
        <v>Q42024</v>
      </c>
      <c r="AU482" s="2">
        <f>SUMIFS(Table1[loan_amount],Table1[quarter],Table1[[#This Row],[quarter]])</f>
        <v>53441200</v>
      </c>
      <c r="AV482" s="34" t="str">
        <f>_xlfn.TEXTJOIN("|",TRUE,Table1[[#This Row],[loan_id]:[loan_status]])</f>
        <v>L69348037|C1388971|45576|Education Loan|Online|Central|Salaried|36|822600|12.4|27480|656937|697|C|0.27|0.78|0|14|388014|482187|0|0|0|Active</v>
      </c>
      <c r="AW482" s="42">
        <f>YEAR(Loan_Table[ [#This Row],[origination_date] ])</f>
        <v>2025</v>
      </c>
    </row>
    <row r="483" spans="2:49" ht="18" customHeight="1">
      <c r="B483" s="5" t="s">
        <v>1086</v>
      </c>
      <c r="C483" s="2" t="s">
        <v>1087</v>
      </c>
      <c r="D483" s="3">
        <v>45650</v>
      </c>
      <c r="E483" s="2" t="s">
        <v>169</v>
      </c>
      <c r="F483" s="2" t="s">
        <v>144</v>
      </c>
      <c r="G483" s="2" t="s">
        <v>145</v>
      </c>
      <c r="H483" s="2" t="s">
        <v>134</v>
      </c>
      <c r="I483" s="2">
        <v>24</v>
      </c>
      <c r="J483" s="2">
        <v>2888500</v>
      </c>
      <c r="K483" s="2">
        <v>11.45</v>
      </c>
      <c r="L483" s="2">
        <v>135231</v>
      </c>
      <c r="M483" s="2">
        <v>720227</v>
      </c>
      <c r="N483" s="2">
        <v>683</v>
      </c>
      <c r="O483" s="2" t="s">
        <v>140</v>
      </c>
      <c r="P483" s="2">
        <v>0.27</v>
      </c>
      <c r="Q483" s="2">
        <v>1</v>
      </c>
      <c r="R483" s="2">
        <v>2890600</v>
      </c>
      <c r="S483" s="2">
        <v>12</v>
      </c>
      <c r="T483" s="2">
        <v>1570584</v>
      </c>
      <c r="U483" s="2">
        <v>1450209</v>
      </c>
      <c r="V483" s="2">
        <v>0</v>
      </c>
      <c r="W483" s="2">
        <v>0</v>
      </c>
      <c r="X483" s="2">
        <v>0</v>
      </c>
      <c r="Y483" s="2" t="s">
        <v>148</v>
      </c>
      <c r="Z483" s="12">
        <f>SUMIF(Table1[product],Table1[[#This Row],[product]],Table1[loan_amount])</f>
        <v>403369500</v>
      </c>
      <c r="AA483" s="15">
        <f>SUMIF(Table1[region],Table1[[#This Row],[region]],Table1[current_balance])</f>
        <v>98928695</v>
      </c>
      <c r="AB483" s="2">
        <f>COUNTIF(Table1[loan_status],Table1[[#This Row],[loan_status]])</f>
        <v>301</v>
      </c>
      <c r="AC483" s="2">
        <f>COUNTIF(Table1[default_flag],1)/ROWS(Table1[loan_id])</f>
        <v>2.5999999999999999E-2</v>
      </c>
      <c r="AD483" s="2">
        <f>COUNTIFS(Table1[region],Table1[[#This Row],[region]],Table1[default_flag],1)/COUNTIF(Table1[region],Table1[[#This Row],[region]])</f>
        <v>2.8571428571428571E-2</v>
      </c>
      <c r="AE483" s="2">
        <f>COUNTIFS(Table1[channel],Table1[[#This Row],[channel]],Table1[prepayment_flag],1)/COUNTIF(Table1[channel],Table1[[#This Row],[channel]])</f>
        <v>5.8201058201058198E-2</v>
      </c>
      <c r="AF483" s="2">
        <f>AVERAGEIFS(Table1[interest_rate_pct],Table1[product],Table1[[#This Row],[product]],Table1[risk_band],Table1[[#This Row],[risk_band]])</f>
        <v>11.719736842105268</v>
      </c>
      <c r="AG483" s="2" t="str" cm="1">
        <f t="array" ref="AG483">_xlfn.IFS(Table1[[#This Row],[dti_ratio]] &lt; 0.2, " less than 0.2", Table1[[#This Row],[dti_ratio]] &lt; 0.3, "0.2 - 0.3", Table1[[#This Row],[dti_ratio]] &lt;= 0.5, "0.35 - 0.5", Table1[[#This Row],[dti_ratio]] &gt; 0.5, "greater than 0.5")</f>
        <v>0.2 - 0.3</v>
      </c>
      <c r="AH483" s="2">
        <f>COUNTIF(Table1[DTI band],Table1[[#This Row],[DTI band]])</f>
        <v>122</v>
      </c>
      <c r="AI483" s="2" t="str" cm="1">
        <f t="array" ref="AI483">_xlfn.IFS(Table1[[#This Row],[ltv_ratio]] &lt; 0.6, "less than 0.6 -less risky", Table1[[#This Row],[ltv_ratio]]  &lt;= 0.8, "0.6 - 0.8 -medium risky",Table1[[#This Row],[ltv_ratio]] &gt; 0.8, "greater than 0.8 -highly risky")</f>
        <v>greater than 0.8 -highly risky</v>
      </c>
      <c r="AJ483" s="2">
        <f>COUNTIF(Table1[LTV band],Table1[[#This Row],[LTV band]])</f>
        <v>141</v>
      </c>
      <c r="AK483" s="2">
        <f>COUNTIFS(Table1[count_loan_perband],Table1[[#This Row],[count_loan_perband]],Table1[default_flag],1)/COUNTIF(Table1[count_loan_perband],Table1[[#This Row],[count_loan_perband]])</f>
        <v>1.4184397163120567E-2</v>
      </c>
      <c r="AL483" s="2" t="str" cm="1">
        <f t="array" ref="AL483">_xlfn.IFS(Table1[[#This Row],[loan_amount]] &lt; 900000, "lower size (&lt; 9L)", Table1[[#This Row],[loan_amount]] &lt;=3300000, "medium size (&lt;=33L)", Table1[[#This Row],[loan_amount]] &gt; 3300000, "larger size (&gt; 33L)")</f>
        <v>medium size (&lt;=33L)</v>
      </c>
      <c r="AM483" s="2">
        <f>IF(Table1[[#This Row],[dpd]] &gt;=30,1,0)</f>
        <v>0</v>
      </c>
      <c r="AN483" s="2">
        <f>COUNTIFS(Table1[Loan size],Table1[[#This Row],[Loan size]],Table1[dpd flag],1)/COUNTIF(Table1[Loan size],Table1[[#This Row],[Loan size]])</f>
        <v>0.15909090909090909</v>
      </c>
      <c r="AO483" s="2" t="str">
        <f>IF(OR(Table1[[#This Row],[credit_score]] &lt; 600, Table1[ [#This Row],[dti_ratio] ] &gt; 0.5, Table1[[#This Row],[dpd]] &gt;=30), "high risk", " not riskY")</f>
        <v xml:space="preserve"> not riskY</v>
      </c>
      <c r="AP483" s="26">
        <f>EOMONTH(Table1[[#This Row],[origination_date]],0)</f>
        <v>45657</v>
      </c>
      <c r="AQ483" s="2">
        <f>SUMIFS(Table1[loan_amount],Table1[origination month],Table1[[#This Row],[origination month]])</f>
        <v>19904900</v>
      </c>
      <c r="AR483" s="2">
        <f>AVERAGEIFS(Table1[months_on_book],Table1[product],Table1[[#This Row],[product]])</f>
        <v>20.516129032258064</v>
      </c>
      <c r="AS483" s="2" t="str">
        <f ca="1">IF(EDATE(Table1[[#This Row],[origination_date]],6) &gt;= TODAY(), "New Loan", "Old Loan")</f>
        <v>Old Loan</v>
      </c>
      <c r="AT483" s="2" t="str">
        <f>"Q"&amp;ROUNDUP(MONTH(Table1[[#This Row],[origination_date]])/3,0)&amp;YEAR(Table1[[#This Row],[origination_date]])</f>
        <v>Q42024</v>
      </c>
      <c r="AU483" s="2">
        <f>SUMIFS(Table1[loan_amount],Table1[quarter],Table1[[#This Row],[quarter]])</f>
        <v>53441200</v>
      </c>
      <c r="AV483" s="34" t="str">
        <f>_xlfn.TEXTJOIN("|",TRUE,Table1[[#This Row],[loan_id]:[loan_status]])</f>
        <v>L54555909|C2541621|45650|Home Loan|Branch|Central|Salaried|24|2888500|11.45|135231|720227|683|C|0.27|1|2890600|12|1570584|1450209|0|0|0|Active</v>
      </c>
      <c r="AW483" s="42">
        <f>YEAR(Loan_Table[ [#This Row],[origination_date] ])</f>
        <v>2025</v>
      </c>
    </row>
    <row r="484" spans="2:49" ht="18" customHeight="1">
      <c r="B484" s="5" t="s">
        <v>1088</v>
      </c>
      <c r="C484" s="2" t="s">
        <v>1089</v>
      </c>
      <c r="D484" s="3">
        <v>45579</v>
      </c>
      <c r="E484" s="2" t="s">
        <v>131</v>
      </c>
      <c r="F484" s="2" t="s">
        <v>132</v>
      </c>
      <c r="G484" s="2" t="s">
        <v>151</v>
      </c>
      <c r="H484" s="2" t="s">
        <v>152</v>
      </c>
      <c r="I484" s="2">
        <v>180</v>
      </c>
      <c r="J484" s="2">
        <v>663700</v>
      </c>
      <c r="K484" s="2">
        <v>22.09</v>
      </c>
      <c r="L484" s="2">
        <v>12694</v>
      </c>
      <c r="M484" s="2">
        <v>824664</v>
      </c>
      <c r="N484" s="2">
        <v>610</v>
      </c>
      <c r="O484" s="2" t="s">
        <v>147</v>
      </c>
      <c r="P484" s="2">
        <v>0.23</v>
      </c>
      <c r="Q484" s="2">
        <v>0.77</v>
      </c>
      <c r="R484" s="2">
        <v>0</v>
      </c>
      <c r="S484" s="2">
        <v>14</v>
      </c>
      <c r="T484" s="2">
        <v>156525</v>
      </c>
      <c r="U484" s="2">
        <v>575594</v>
      </c>
      <c r="V484" s="2">
        <v>0</v>
      </c>
      <c r="W484" s="2">
        <v>0</v>
      </c>
      <c r="X484" s="2">
        <v>0</v>
      </c>
      <c r="Y484" s="2" t="s">
        <v>148</v>
      </c>
      <c r="Z484" s="12">
        <f>SUMIF(Table1[product],Table1[[#This Row],[product]],Table1[loan_amount])</f>
        <v>74897600</v>
      </c>
      <c r="AA484" s="15">
        <f>SUMIF(Table1[region],Table1[[#This Row],[region]],Table1[current_balance])</f>
        <v>105779369</v>
      </c>
      <c r="AB484" s="2">
        <f>COUNTIF(Table1[loan_status],Table1[[#This Row],[loan_status]])</f>
        <v>301</v>
      </c>
      <c r="AC484" s="2">
        <f>COUNTIF(Table1[default_flag],1)/ROWS(Table1[loan_id])</f>
        <v>2.5999999999999999E-2</v>
      </c>
      <c r="AD484" s="2">
        <f>COUNTIFS(Table1[region],Table1[[#This Row],[region]],Table1[default_flag],1)/COUNTIF(Table1[region],Table1[[#This Row],[region]])</f>
        <v>2.6548672566371681E-2</v>
      </c>
      <c r="AE484" s="2">
        <f>COUNTIFS(Table1[channel],Table1[[#This Row],[channel]],Table1[prepayment_flag],1)/COUNTIF(Table1[channel],Table1[[#This Row],[channel]])</f>
        <v>7.1090047393364927E-2</v>
      </c>
      <c r="AF484" s="2">
        <f>AVERAGEIFS(Table1[interest_rate_pct],Table1[product],Table1[[#This Row],[product]],Table1[risk_band],Table1[[#This Row],[risk_band]])</f>
        <v>20.962592592592593</v>
      </c>
      <c r="AG484" s="2" t="str" cm="1">
        <f t="array" ref="AG484">_xlfn.IFS(Table1[[#This Row],[dti_ratio]] &lt; 0.2, " less than 0.2", Table1[[#This Row],[dti_ratio]] &lt; 0.3, "0.2 - 0.3", Table1[[#This Row],[dti_ratio]] &lt;= 0.5, "0.35 - 0.5", Table1[[#This Row],[dti_ratio]] &gt; 0.5, "greater than 0.5")</f>
        <v>0.2 - 0.3</v>
      </c>
      <c r="AH484" s="2">
        <f>COUNTIF(Table1[DTI band],Table1[[#This Row],[DTI band]])</f>
        <v>122</v>
      </c>
      <c r="AI484" s="2" t="str" cm="1">
        <f t="array" ref="AI484">_xlfn.IFS(Table1[[#This Row],[ltv_ratio]] &lt; 0.6, "less than 0.6 -less risky", Table1[[#This Row],[ltv_ratio]]  &lt;= 0.8, "0.6 - 0.8 -medium risky",Table1[[#This Row],[ltv_ratio]] &gt; 0.8, "greater than 0.8 -highly risky")</f>
        <v>0.6 - 0.8 -medium risky</v>
      </c>
      <c r="AJ484" s="2">
        <f>COUNTIF(Table1[LTV band],Table1[[#This Row],[LTV band]])</f>
        <v>302</v>
      </c>
      <c r="AK484" s="2">
        <f>COUNTIFS(Table1[count_loan_perband],Table1[[#This Row],[count_loan_perband]],Table1[default_flag],1)/COUNTIF(Table1[count_loan_perband],Table1[[#This Row],[count_loan_perband]])</f>
        <v>3.6423841059602648E-2</v>
      </c>
      <c r="AL484" s="2" t="str" cm="1">
        <f t="array" ref="AL484">_xlfn.IFS(Table1[[#This Row],[loan_amount]] &lt; 900000, "lower size (&lt; 9L)", Table1[[#This Row],[loan_amount]] &lt;=3300000, "medium size (&lt;=33L)", Table1[[#This Row],[loan_amount]] &gt; 3300000, "larger size (&gt; 33L)")</f>
        <v>lower size (&lt; 9L)</v>
      </c>
      <c r="AM484" s="2">
        <f>IF(Table1[[#This Row],[dpd]] &gt;=30,1,0)</f>
        <v>0</v>
      </c>
      <c r="AN484" s="2">
        <f>COUNTIFS(Table1[Loan size],Table1[[#This Row],[Loan size]],Table1[dpd flag],1)/COUNTIF(Table1[Loan size],Table1[[#This Row],[Loan size]])</f>
        <v>0.13934426229508196</v>
      </c>
      <c r="AO484" s="2" t="str">
        <f>IF(OR(Table1[[#This Row],[credit_score]] &lt; 600, Table1[ [#This Row],[dti_ratio] ] &gt; 0.5, Table1[[#This Row],[dpd]] &gt;=30), "high risk", " not riskY")</f>
        <v xml:space="preserve"> not riskY</v>
      </c>
      <c r="AP484" s="26">
        <f>EOMONTH(Table1[[#This Row],[origination_date]],0)</f>
        <v>45596</v>
      </c>
      <c r="AQ484" s="2">
        <f>SUMIFS(Table1[loan_amount],Table1[origination month],Table1[[#This Row],[origination month]])</f>
        <v>14982900</v>
      </c>
      <c r="AR484" s="2">
        <f>AVERAGEIFS(Table1[months_on_book],Table1[product],Table1[[#This Row],[product]])</f>
        <v>21.092024539877301</v>
      </c>
      <c r="AS484" s="2" t="str">
        <f ca="1">IF(EDATE(Table1[[#This Row],[origination_date]],6) &gt;= TODAY(), "New Loan", "Old Loan")</f>
        <v>Old Loan</v>
      </c>
      <c r="AT484" s="2" t="str">
        <f>"Q"&amp;ROUNDUP(MONTH(Table1[[#This Row],[origination_date]])/3,0)&amp;YEAR(Table1[[#This Row],[origination_date]])</f>
        <v>Q42024</v>
      </c>
      <c r="AU484" s="2">
        <f>SUMIFS(Table1[loan_amount],Table1[quarter],Table1[[#This Row],[quarter]])</f>
        <v>53441200</v>
      </c>
      <c r="AV484" s="34" t="str">
        <f>_xlfn.TEXTJOIN("|",TRUE,Table1[[#This Row],[loan_id]:[loan_status]])</f>
        <v>L71783038|C9332356|45579|Personal Loan|Online|North|Self-Employed|180|663700|22.09|12694|824664|610|D|0.23|0.77|0|14|156525|575594|0|0|0|Active</v>
      </c>
      <c r="AW484" s="42">
        <f>YEAR(Loan_Table[ [#This Row],[origination_date] ])</f>
        <v>2025</v>
      </c>
    </row>
    <row r="485" spans="2:49" ht="18" customHeight="1">
      <c r="B485" s="5" t="s">
        <v>1090</v>
      </c>
      <c r="C485" s="2" t="s">
        <v>1091</v>
      </c>
      <c r="D485" s="3">
        <v>45588</v>
      </c>
      <c r="E485" s="2" t="s">
        <v>158</v>
      </c>
      <c r="F485" s="2" t="s">
        <v>144</v>
      </c>
      <c r="G485" s="2" t="s">
        <v>151</v>
      </c>
      <c r="H485" s="2" t="s">
        <v>134</v>
      </c>
      <c r="I485" s="2">
        <v>36</v>
      </c>
      <c r="J485" s="2">
        <v>3181700</v>
      </c>
      <c r="K485" s="2">
        <v>18.29</v>
      </c>
      <c r="L485" s="2">
        <v>115489</v>
      </c>
      <c r="M485" s="2">
        <v>1822159</v>
      </c>
      <c r="N485" s="2">
        <v>616</v>
      </c>
      <c r="O485" s="2" t="s">
        <v>147</v>
      </c>
      <c r="P485" s="2">
        <v>0.21</v>
      </c>
      <c r="Q485" s="2">
        <v>0.69</v>
      </c>
      <c r="R485" s="2">
        <v>4613100</v>
      </c>
      <c r="S485" s="2">
        <v>14</v>
      </c>
      <c r="T485" s="2">
        <v>1445629</v>
      </c>
      <c r="U485" s="2">
        <v>2007640</v>
      </c>
      <c r="V485" s="2">
        <v>0</v>
      </c>
      <c r="W485" s="2">
        <v>0</v>
      </c>
      <c r="X485" s="2">
        <v>0</v>
      </c>
      <c r="Y485" s="2" t="s">
        <v>148</v>
      </c>
      <c r="Z485" s="12">
        <f>SUMIF(Table1[product],Table1[[#This Row],[product]],Table1[loan_amount])</f>
        <v>201475100</v>
      </c>
      <c r="AA485" s="15">
        <f>SUMIF(Table1[region],Table1[[#This Row],[region]],Table1[current_balance])</f>
        <v>105779369</v>
      </c>
      <c r="AB485" s="2">
        <f>COUNTIF(Table1[loan_status],Table1[[#This Row],[loan_status]])</f>
        <v>301</v>
      </c>
      <c r="AC485" s="2">
        <f>COUNTIF(Table1[default_flag],1)/ROWS(Table1[loan_id])</f>
        <v>2.5999999999999999E-2</v>
      </c>
      <c r="AD485" s="2">
        <f>COUNTIFS(Table1[region],Table1[[#This Row],[region]],Table1[default_flag],1)/COUNTIF(Table1[region],Table1[[#This Row],[region]])</f>
        <v>2.6548672566371681E-2</v>
      </c>
      <c r="AE485" s="2">
        <f>COUNTIFS(Table1[channel],Table1[[#This Row],[channel]],Table1[prepayment_flag],1)/COUNTIF(Table1[channel],Table1[[#This Row],[channel]])</f>
        <v>5.8201058201058198E-2</v>
      </c>
      <c r="AF485" s="2">
        <f>AVERAGEIFS(Table1[interest_rate_pct],Table1[product],Table1[[#This Row],[product]],Table1[risk_band],Table1[[#This Row],[risk_band]])</f>
        <v>18.241249999999997</v>
      </c>
      <c r="AG485" s="2" t="str" cm="1">
        <f t="array" ref="AG485">_xlfn.IFS(Table1[[#This Row],[dti_ratio]] &lt; 0.2, " less than 0.2", Table1[[#This Row],[dti_ratio]] &lt; 0.3, "0.2 - 0.3", Table1[[#This Row],[dti_ratio]] &lt;= 0.5, "0.35 - 0.5", Table1[[#This Row],[dti_ratio]] &gt; 0.5, "greater than 0.5")</f>
        <v>0.2 - 0.3</v>
      </c>
      <c r="AH485" s="2">
        <f>COUNTIF(Table1[DTI band],Table1[[#This Row],[DTI band]])</f>
        <v>122</v>
      </c>
      <c r="AI485" s="2" t="str" cm="1">
        <f t="array" ref="AI485">_xlfn.IFS(Table1[[#This Row],[ltv_ratio]] &lt; 0.6, "less than 0.6 -less risky", Table1[[#This Row],[ltv_ratio]]  &lt;= 0.8, "0.6 - 0.8 -medium risky",Table1[[#This Row],[ltv_ratio]] &gt; 0.8, "greater than 0.8 -highly risky")</f>
        <v>0.6 - 0.8 -medium risky</v>
      </c>
      <c r="AJ485" s="2">
        <f>COUNTIF(Table1[LTV band],Table1[[#This Row],[LTV band]])</f>
        <v>302</v>
      </c>
      <c r="AK485" s="2">
        <f>COUNTIFS(Table1[count_loan_perband],Table1[[#This Row],[count_loan_perband]],Table1[default_flag],1)/COUNTIF(Table1[count_loan_perband],Table1[[#This Row],[count_loan_perband]])</f>
        <v>3.6423841059602648E-2</v>
      </c>
      <c r="AL485" s="2" t="str" cm="1">
        <f t="array" ref="AL485">_xlfn.IFS(Table1[[#This Row],[loan_amount]] &lt; 900000, "lower size (&lt; 9L)", Table1[[#This Row],[loan_amount]] &lt;=3300000, "medium size (&lt;=33L)", Table1[[#This Row],[loan_amount]] &gt; 3300000, "larger size (&gt; 33L)")</f>
        <v>medium size (&lt;=33L)</v>
      </c>
      <c r="AM485" s="2">
        <f>IF(Table1[[#This Row],[dpd]] &gt;=30,1,0)</f>
        <v>0</v>
      </c>
      <c r="AN485" s="2">
        <f>COUNTIFS(Table1[Loan size],Table1[[#This Row],[Loan size]],Table1[dpd flag],1)/COUNTIF(Table1[Loan size],Table1[[#This Row],[Loan size]])</f>
        <v>0.15909090909090909</v>
      </c>
      <c r="AO485" s="2" t="str">
        <f>IF(OR(Table1[[#This Row],[credit_score]] &lt; 600, Table1[ [#This Row],[dti_ratio] ] &gt; 0.5, Table1[[#This Row],[dpd]] &gt;=30), "high risk", " not riskY")</f>
        <v xml:space="preserve"> not riskY</v>
      </c>
      <c r="AP485" s="26">
        <f>EOMONTH(Table1[[#This Row],[origination_date]],0)</f>
        <v>45596</v>
      </c>
      <c r="AQ485" s="2">
        <f>SUMIFS(Table1[loan_amount],Table1[origination month],Table1[[#This Row],[origination month]])</f>
        <v>14982900</v>
      </c>
      <c r="AR485" s="2">
        <f>AVERAGEIFS(Table1[months_on_book],Table1[product],Table1[[#This Row],[product]])</f>
        <v>19.091954022988507</v>
      </c>
      <c r="AS485" s="2" t="str">
        <f ca="1">IF(EDATE(Table1[[#This Row],[origination_date]],6) &gt;= TODAY(), "New Loan", "Old Loan")</f>
        <v>Old Loan</v>
      </c>
      <c r="AT485" s="2" t="str">
        <f>"Q"&amp;ROUNDUP(MONTH(Table1[[#This Row],[origination_date]])/3,0)&amp;YEAR(Table1[[#This Row],[origination_date]])</f>
        <v>Q42024</v>
      </c>
      <c r="AU485" s="2">
        <f>SUMIFS(Table1[loan_amount],Table1[quarter],Table1[[#This Row],[quarter]])</f>
        <v>53441200</v>
      </c>
      <c r="AV485" s="34" t="str">
        <f>_xlfn.TEXTJOIN("|",TRUE,Table1[[#This Row],[loan_id]:[loan_status]])</f>
        <v>L59212295|C3167452|45588|SME Loan|Branch|North|Salaried|36|3181700|18.29|115489|1822159|616|D|0.21|0.69|4613100|14|1445629|2007640|0|0|0|Active</v>
      </c>
      <c r="AW485" s="42">
        <f>YEAR(Loan_Table[ [#This Row],[origination_date] ])</f>
        <v>2025</v>
      </c>
    </row>
    <row r="486" spans="2:49" ht="18" customHeight="1">
      <c r="B486" s="5" t="s">
        <v>1092</v>
      </c>
      <c r="C486" s="2" t="s">
        <v>1093</v>
      </c>
      <c r="D486" s="3">
        <v>45596</v>
      </c>
      <c r="E486" s="2" t="s">
        <v>131</v>
      </c>
      <c r="F486" s="2" t="s">
        <v>213</v>
      </c>
      <c r="G486" s="2" t="s">
        <v>139</v>
      </c>
      <c r="H486" s="2" t="s">
        <v>152</v>
      </c>
      <c r="I486" s="2">
        <v>240</v>
      </c>
      <c r="J486" s="2">
        <v>638100</v>
      </c>
      <c r="K486" s="2">
        <v>10.44</v>
      </c>
      <c r="L486" s="2">
        <v>6345</v>
      </c>
      <c r="M486" s="2">
        <v>1364855</v>
      </c>
      <c r="N486" s="2">
        <v>850</v>
      </c>
      <c r="O486" s="2" t="s">
        <v>160</v>
      </c>
      <c r="P486" s="2">
        <v>0.17</v>
      </c>
      <c r="Q486" s="2">
        <v>0.66</v>
      </c>
      <c r="R486" s="2">
        <v>0</v>
      </c>
      <c r="S486" s="2">
        <v>14</v>
      </c>
      <c r="T486" s="2">
        <v>79852</v>
      </c>
      <c r="U486" s="2">
        <v>589336</v>
      </c>
      <c r="V486" s="2">
        <v>0</v>
      </c>
      <c r="W486" s="2">
        <v>0</v>
      </c>
      <c r="X486" s="2">
        <v>0</v>
      </c>
      <c r="Y486" s="2" t="s">
        <v>148</v>
      </c>
      <c r="Z486" s="12">
        <f>SUMIF(Table1[product],Table1[[#This Row],[product]],Table1[loan_amount])</f>
        <v>74897600</v>
      </c>
      <c r="AA486" s="15">
        <f>SUMIF(Table1[region],Table1[[#This Row],[region]],Table1[current_balance])</f>
        <v>83903255</v>
      </c>
      <c r="AB486" s="2">
        <f>COUNTIF(Table1[loan_status],Table1[[#This Row],[loan_status]])</f>
        <v>301</v>
      </c>
      <c r="AC486" s="2">
        <f>COUNTIF(Table1[default_flag],1)/ROWS(Table1[loan_id])</f>
        <v>2.5999999999999999E-2</v>
      </c>
      <c r="AD486" s="2">
        <f>COUNTIFS(Table1[region],Table1[[#This Row],[region]],Table1[default_flag],1)/COUNTIF(Table1[region],Table1[[#This Row],[region]])</f>
        <v>4.2553191489361701E-2</v>
      </c>
      <c r="AE486" s="2">
        <f>COUNTIFS(Table1[channel],Table1[[#This Row],[channel]],Table1[prepayment_flag],1)/COUNTIF(Table1[channel],Table1[[#This Row],[channel]])</f>
        <v>0.12</v>
      </c>
      <c r="AF486" s="2">
        <f>AVERAGEIFS(Table1[interest_rate_pct],Table1[product],Table1[[#This Row],[product]],Table1[risk_band],Table1[[#This Row],[risk_band]])</f>
        <v>13.328333333333335</v>
      </c>
      <c r="AG486" s="2" t="str" cm="1">
        <f t="array" ref="AG486">_xlfn.IFS(Table1[[#This Row],[dti_ratio]] &lt; 0.2, " less than 0.2", Table1[[#This Row],[dti_ratio]] &lt; 0.3, "0.2 - 0.3", Table1[[#This Row],[dti_ratio]] &lt;= 0.5, "0.35 - 0.5", Table1[[#This Row],[dti_ratio]] &gt; 0.5, "greater than 0.5")</f>
        <v xml:space="preserve"> less than 0.2</v>
      </c>
      <c r="AH486" s="2">
        <f>COUNTIF(Table1[DTI band],Table1[[#This Row],[DTI band]])</f>
        <v>86</v>
      </c>
      <c r="AI486" s="2" t="str" cm="1">
        <f t="array" ref="AI486">_xlfn.IFS(Table1[[#This Row],[ltv_ratio]] &lt; 0.6, "less than 0.6 -less risky", Table1[[#This Row],[ltv_ratio]]  &lt;= 0.8, "0.6 - 0.8 -medium risky",Table1[[#This Row],[ltv_ratio]] &gt; 0.8, "greater than 0.8 -highly risky")</f>
        <v>0.6 - 0.8 -medium risky</v>
      </c>
      <c r="AJ486" s="2">
        <f>COUNTIF(Table1[LTV band],Table1[[#This Row],[LTV band]])</f>
        <v>302</v>
      </c>
      <c r="AK486" s="2">
        <f>COUNTIFS(Table1[count_loan_perband],Table1[[#This Row],[count_loan_perband]],Table1[default_flag],1)/COUNTIF(Table1[count_loan_perband],Table1[[#This Row],[count_loan_perband]])</f>
        <v>3.6423841059602648E-2</v>
      </c>
      <c r="AL486" s="2" t="str" cm="1">
        <f t="array" ref="AL486">_xlfn.IFS(Table1[[#This Row],[loan_amount]] &lt; 900000, "lower size (&lt; 9L)", Table1[[#This Row],[loan_amount]] &lt;=3300000, "medium size (&lt;=33L)", Table1[[#This Row],[loan_amount]] &gt; 3300000, "larger size (&gt; 33L)")</f>
        <v>lower size (&lt; 9L)</v>
      </c>
      <c r="AM486" s="2">
        <f>IF(Table1[[#This Row],[dpd]] &gt;=30,1,0)</f>
        <v>0</v>
      </c>
      <c r="AN486" s="2">
        <f>COUNTIFS(Table1[Loan size],Table1[[#This Row],[Loan size]],Table1[dpd flag],1)/COUNTIF(Table1[Loan size],Table1[[#This Row],[Loan size]])</f>
        <v>0.13934426229508196</v>
      </c>
      <c r="AO486" s="2" t="str">
        <f>IF(OR(Table1[[#This Row],[credit_score]] &lt; 600, Table1[ [#This Row],[dti_ratio] ] &gt; 0.5, Table1[[#This Row],[dpd]] &gt;=30), "high risk", " not riskY")</f>
        <v xml:space="preserve"> not riskY</v>
      </c>
      <c r="AP486" s="26">
        <f>EOMONTH(Table1[[#This Row],[origination_date]],0)</f>
        <v>45596</v>
      </c>
      <c r="AQ486" s="2">
        <f>SUMIFS(Table1[loan_amount],Table1[origination month],Table1[[#This Row],[origination month]])</f>
        <v>14982900</v>
      </c>
      <c r="AR486" s="2">
        <f>AVERAGEIFS(Table1[months_on_book],Table1[product],Table1[[#This Row],[product]])</f>
        <v>21.092024539877301</v>
      </c>
      <c r="AS486" s="2" t="str">
        <f ca="1">IF(EDATE(Table1[[#This Row],[origination_date]],6) &gt;= TODAY(), "New Loan", "Old Loan")</f>
        <v>Old Loan</v>
      </c>
      <c r="AT486" s="2" t="str">
        <f>"Q"&amp;ROUNDUP(MONTH(Table1[[#This Row],[origination_date]])/3,0)&amp;YEAR(Table1[[#This Row],[origination_date]])</f>
        <v>Q42024</v>
      </c>
      <c r="AU486" s="2">
        <f>SUMIFS(Table1[loan_amount],Table1[quarter],Table1[[#This Row],[quarter]])</f>
        <v>53441200</v>
      </c>
      <c r="AV486" s="34" t="str">
        <f>_xlfn.TEXTJOIN("|",TRUE,Table1[[#This Row],[loan_id]:[loan_status]])</f>
        <v>L22581729|C1550198|45596|Personal Loan|Call Center|West|Self-Employed|240|638100|10.44|6345|1364855|850|A|0.17|0.66|0|14|79852|589336|0|0|0|Active</v>
      </c>
      <c r="AW486" s="42">
        <f>YEAR(Loan_Table[ [#This Row],[origination_date] ])</f>
        <v>2025</v>
      </c>
    </row>
    <row r="487" spans="2:49" ht="18" customHeight="1">
      <c r="B487" s="5" t="s">
        <v>1094</v>
      </c>
      <c r="C487" s="2" t="s">
        <v>1095</v>
      </c>
      <c r="D487" s="3">
        <v>45582</v>
      </c>
      <c r="E487" s="2" t="s">
        <v>131</v>
      </c>
      <c r="F487" s="2" t="s">
        <v>159</v>
      </c>
      <c r="G487" s="2" t="s">
        <v>151</v>
      </c>
      <c r="H487" s="2" t="s">
        <v>134</v>
      </c>
      <c r="I487" s="2">
        <v>48</v>
      </c>
      <c r="J487" s="2">
        <v>614400</v>
      </c>
      <c r="K487" s="2">
        <v>17.63</v>
      </c>
      <c r="L487" s="2">
        <v>17929</v>
      </c>
      <c r="M487" s="2">
        <v>1106024</v>
      </c>
      <c r="N487" s="2">
        <v>678</v>
      </c>
      <c r="O487" s="2" t="s">
        <v>140</v>
      </c>
      <c r="P487" s="2">
        <v>0.13</v>
      </c>
      <c r="Q487" s="2">
        <v>0.72</v>
      </c>
      <c r="R487" s="2">
        <v>0</v>
      </c>
      <c r="S487" s="2">
        <v>14</v>
      </c>
      <c r="T487" s="2">
        <v>247077</v>
      </c>
      <c r="U487" s="2">
        <v>417872</v>
      </c>
      <c r="V487" s="2">
        <v>0</v>
      </c>
      <c r="W487" s="2">
        <v>0</v>
      </c>
      <c r="X487" s="2">
        <v>0</v>
      </c>
      <c r="Y487" s="2" t="s">
        <v>148</v>
      </c>
      <c r="Z487" s="12">
        <f>SUMIF(Table1[product],Table1[[#This Row],[product]],Table1[loan_amount])</f>
        <v>74897600</v>
      </c>
      <c r="AA487" s="15">
        <f>SUMIF(Table1[region],Table1[[#This Row],[region]],Table1[current_balance])</f>
        <v>105779369</v>
      </c>
      <c r="AB487" s="2">
        <f>COUNTIF(Table1[loan_status],Table1[[#This Row],[loan_status]])</f>
        <v>301</v>
      </c>
      <c r="AC487" s="2">
        <f>COUNTIF(Table1[default_flag],1)/ROWS(Table1[loan_id])</f>
        <v>2.5999999999999999E-2</v>
      </c>
      <c r="AD487" s="2">
        <f>COUNTIFS(Table1[region],Table1[[#This Row],[region]],Table1[default_flag],1)/COUNTIF(Table1[region],Table1[[#This Row],[region]])</f>
        <v>2.6548672566371681E-2</v>
      </c>
      <c r="AE487" s="2">
        <f>COUNTIFS(Table1[channel],Table1[[#This Row],[channel]],Table1[prepayment_flag],1)/COUNTIF(Table1[channel],Table1[[#This Row],[channel]])</f>
        <v>0.1</v>
      </c>
      <c r="AF487" s="2">
        <f>AVERAGEIFS(Table1[interest_rate_pct],Table1[product],Table1[[#This Row],[product]],Table1[risk_band],Table1[[#This Row],[risk_band]])</f>
        <v>18.603181818181817</v>
      </c>
      <c r="AG487" s="2" t="str" cm="1">
        <f t="array" ref="AG487">_xlfn.IFS(Table1[[#This Row],[dti_ratio]] &lt; 0.2, " less than 0.2", Table1[[#This Row],[dti_ratio]] &lt; 0.3, "0.2 - 0.3", Table1[[#This Row],[dti_ratio]] &lt;= 0.5, "0.35 - 0.5", Table1[[#This Row],[dti_ratio]] &gt; 0.5, "greater than 0.5")</f>
        <v xml:space="preserve"> less than 0.2</v>
      </c>
      <c r="AH487" s="2">
        <f>COUNTIF(Table1[DTI band],Table1[[#This Row],[DTI band]])</f>
        <v>86</v>
      </c>
      <c r="AI487" s="2" t="str" cm="1">
        <f t="array" ref="AI487">_xlfn.IFS(Table1[[#This Row],[ltv_ratio]] &lt; 0.6, "less than 0.6 -less risky", Table1[[#This Row],[ltv_ratio]]  &lt;= 0.8, "0.6 - 0.8 -medium risky",Table1[[#This Row],[ltv_ratio]] &gt; 0.8, "greater than 0.8 -highly risky")</f>
        <v>0.6 - 0.8 -medium risky</v>
      </c>
      <c r="AJ487" s="2">
        <f>COUNTIF(Table1[LTV band],Table1[[#This Row],[LTV band]])</f>
        <v>302</v>
      </c>
      <c r="AK487" s="2">
        <f>COUNTIFS(Table1[count_loan_perband],Table1[[#This Row],[count_loan_perband]],Table1[default_flag],1)/COUNTIF(Table1[count_loan_perband],Table1[[#This Row],[count_loan_perband]])</f>
        <v>3.6423841059602648E-2</v>
      </c>
      <c r="AL487" s="2" t="str" cm="1">
        <f t="array" ref="AL487">_xlfn.IFS(Table1[[#This Row],[loan_amount]] &lt; 900000, "lower size (&lt; 9L)", Table1[[#This Row],[loan_amount]] &lt;=3300000, "medium size (&lt;=33L)", Table1[[#This Row],[loan_amount]] &gt; 3300000, "larger size (&gt; 33L)")</f>
        <v>lower size (&lt; 9L)</v>
      </c>
      <c r="AM487" s="2">
        <f>IF(Table1[[#This Row],[dpd]] &gt;=30,1,0)</f>
        <v>0</v>
      </c>
      <c r="AN487" s="2">
        <f>COUNTIFS(Table1[Loan size],Table1[[#This Row],[Loan size]],Table1[dpd flag],1)/COUNTIF(Table1[Loan size],Table1[[#This Row],[Loan size]])</f>
        <v>0.13934426229508196</v>
      </c>
      <c r="AO487" s="2" t="str">
        <f>IF(OR(Table1[[#This Row],[credit_score]] &lt; 600, Table1[ [#This Row],[dti_ratio] ] &gt; 0.5, Table1[[#This Row],[dpd]] &gt;=30), "high risk", " not riskY")</f>
        <v xml:space="preserve"> not riskY</v>
      </c>
      <c r="AP487" s="26">
        <f>EOMONTH(Table1[[#This Row],[origination_date]],0)</f>
        <v>45596</v>
      </c>
      <c r="AQ487" s="2">
        <f>SUMIFS(Table1[loan_amount],Table1[origination month],Table1[[#This Row],[origination month]])</f>
        <v>14982900</v>
      </c>
      <c r="AR487" s="2">
        <f>AVERAGEIFS(Table1[months_on_book],Table1[product],Table1[[#This Row],[product]])</f>
        <v>21.092024539877301</v>
      </c>
      <c r="AS487" s="2" t="str">
        <f ca="1">IF(EDATE(Table1[[#This Row],[origination_date]],6) &gt;= TODAY(), "New Loan", "Old Loan")</f>
        <v>Old Loan</v>
      </c>
      <c r="AT487" s="2" t="str">
        <f>"Q"&amp;ROUNDUP(MONTH(Table1[[#This Row],[origination_date]])/3,0)&amp;YEAR(Table1[[#This Row],[origination_date]])</f>
        <v>Q42024</v>
      </c>
      <c r="AU487" s="2">
        <f>SUMIFS(Table1[loan_amount],Table1[quarter],Table1[[#This Row],[quarter]])</f>
        <v>53441200</v>
      </c>
      <c r="AV487" s="34" t="str">
        <f>_xlfn.TEXTJOIN("|",TRUE,Table1[[#This Row],[loan_id]:[loan_status]])</f>
        <v>L17888492|C7496709|45582|Personal Loan|Partner|North|Salaried|48|614400|17.63|17929|1106024|678|C|0.13|0.72|0|14|247077|417872|0|0|0|Active</v>
      </c>
      <c r="AW487" s="42">
        <f>YEAR(Loan_Table[ [#This Row],[origination_date] ])</f>
        <v>2025</v>
      </c>
    </row>
    <row r="488" spans="2:49" ht="18" customHeight="1">
      <c r="B488" s="5" t="s">
        <v>1096</v>
      </c>
      <c r="C488" s="2" t="s">
        <v>1097</v>
      </c>
      <c r="D488" s="3">
        <v>45607</v>
      </c>
      <c r="E488" s="2" t="s">
        <v>163</v>
      </c>
      <c r="F488" s="2" t="s">
        <v>144</v>
      </c>
      <c r="G488" s="2" t="s">
        <v>139</v>
      </c>
      <c r="H488" s="2" t="s">
        <v>152</v>
      </c>
      <c r="I488" s="2">
        <v>24</v>
      </c>
      <c r="J488" s="2">
        <v>551200</v>
      </c>
      <c r="K488" s="2">
        <v>14.94</v>
      </c>
      <c r="L488" s="2">
        <v>26710</v>
      </c>
      <c r="M488" s="2">
        <v>188933</v>
      </c>
      <c r="N488" s="2">
        <v>639</v>
      </c>
      <c r="O488" s="2" t="s">
        <v>147</v>
      </c>
      <c r="P488" s="2">
        <v>0.06</v>
      </c>
      <c r="Q488" s="2">
        <v>0.78</v>
      </c>
      <c r="R488" s="2">
        <v>706100</v>
      </c>
      <c r="S488" s="2">
        <v>13</v>
      </c>
      <c r="T488" s="2">
        <v>333755</v>
      </c>
      <c r="U488" s="2">
        <v>253130</v>
      </c>
      <c r="V488" s="2">
        <v>0</v>
      </c>
      <c r="W488" s="2">
        <v>1</v>
      </c>
      <c r="X488" s="2">
        <v>0</v>
      </c>
      <c r="Y488" s="2" t="s">
        <v>141</v>
      </c>
      <c r="Z488" s="12">
        <f>SUMIF(Table1[product],Table1[[#This Row],[product]],Table1[loan_amount])</f>
        <v>92273000</v>
      </c>
      <c r="AA488" s="15">
        <f>SUMIF(Table1[region],Table1[[#This Row],[region]],Table1[current_balance])</f>
        <v>83903255</v>
      </c>
      <c r="AB488" s="2">
        <f>COUNTIF(Table1[loan_status],Table1[[#This Row],[loan_status]])</f>
        <v>139</v>
      </c>
      <c r="AC488" s="2">
        <f>COUNTIF(Table1[default_flag],1)/ROWS(Table1[loan_id])</f>
        <v>2.5999999999999999E-2</v>
      </c>
      <c r="AD488" s="2">
        <f>COUNTIFS(Table1[region],Table1[[#This Row],[region]],Table1[default_flag],1)/COUNTIF(Table1[region],Table1[[#This Row],[region]])</f>
        <v>4.2553191489361701E-2</v>
      </c>
      <c r="AE488" s="2">
        <f>COUNTIFS(Table1[channel],Table1[[#This Row],[channel]],Table1[prepayment_flag],1)/COUNTIF(Table1[channel],Table1[[#This Row],[channel]])</f>
        <v>5.8201058201058198E-2</v>
      </c>
      <c r="AF488" s="2">
        <f>AVERAGEIFS(Table1[interest_rate_pct],Table1[product],Table1[[#This Row],[product]],Table1[risk_band],Table1[[#This Row],[risk_band]])</f>
        <v>15.092000000000001</v>
      </c>
      <c r="AG488" s="2" t="str" cm="1">
        <f t="array" ref="AG488">_xlfn.IFS(Table1[[#This Row],[dti_ratio]] &lt; 0.2, " less than 0.2", Table1[[#This Row],[dti_ratio]] &lt; 0.3, "0.2 - 0.3", Table1[[#This Row],[dti_ratio]] &lt;= 0.5, "0.35 - 0.5", Table1[[#This Row],[dti_ratio]] &gt; 0.5, "greater than 0.5")</f>
        <v xml:space="preserve"> less than 0.2</v>
      </c>
      <c r="AH488" s="2">
        <f>COUNTIF(Table1[DTI band],Table1[[#This Row],[DTI band]])</f>
        <v>86</v>
      </c>
      <c r="AI488" s="2" t="str" cm="1">
        <f t="array" ref="AI488">_xlfn.IFS(Table1[[#This Row],[ltv_ratio]] &lt; 0.6, "less than 0.6 -less risky", Table1[[#This Row],[ltv_ratio]]  &lt;= 0.8, "0.6 - 0.8 -medium risky",Table1[[#This Row],[ltv_ratio]] &gt; 0.8, "greater than 0.8 -highly risky")</f>
        <v>0.6 - 0.8 -medium risky</v>
      </c>
      <c r="AJ488" s="2">
        <f>COUNTIF(Table1[LTV band],Table1[[#This Row],[LTV band]])</f>
        <v>302</v>
      </c>
      <c r="AK488" s="2">
        <f>COUNTIFS(Table1[count_loan_perband],Table1[[#This Row],[count_loan_perband]],Table1[default_flag],1)/COUNTIF(Table1[count_loan_perband],Table1[[#This Row],[count_loan_perband]])</f>
        <v>3.6423841059602648E-2</v>
      </c>
      <c r="AL488" s="2" t="str" cm="1">
        <f t="array" ref="AL488">_xlfn.IFS(Table1[[#This Row],[loan_amount]] &lt; 900000, "lower size (&lt; 9L)", Table1[[#This Row],[loan_amount]] &lt;=3300000, "medium size (&lt;=33L)", Table1[[#This Row],[loan_amount]] &gt; 3300000, "larger size (&gt; 33L)")</f>
        <v>lower size (&lt; 9L)</v>
      </c>
      <c r="AM488" s="2">
        <f>IF(Table1[[#This Row],[dpd]] &gt;=30,1,0)</f>
        <v>0</v>
      </c>
      <c r="AN488" s="2">
        <f>COUNTIFS(Table1[Loan size],Table1[[#This Row],[Loan size]],Table1[dpd flag],1)/COUNTIF(Table1[Loan size],Table1[[#This Row],[Loan size]])</f>
        <v>0.13934426229508196</v>
      </c>
      <c r="AO488" s="2" t="str">
        <f>IF(OR(Table1[[#This Row],[credit_score]] &lt; 600, Table1[ [#This Row],[dti_ratio] ] &gt; 0.5, Table1[[#This Row],[dpd]] &gt;=30), "high risk", " not riskY")</f>
        <v xml:space="preserve"> not riskY</v>
      </c>
      <c r="AP488" s="26">
        <f>EOMONTH(Table1[[#This Row],[origination_date]],0)</f>
        <v>45626</v>
      </c>
      <c r="AQ488" s="2">
        <f>SUMIFS(Table1[loan_amount],Table1[origination month],Table1[[#This Row],[origination month]])</f>
        <v>18553400</v>
      </c>
      <c r="AR488" s="2">
        <f>AVERAGEIFS(Table1[months_on_book],Table1[product],Table1[[#This Row],[product]])</f>
        <v>20.262135922330096</v>
      </c>
      <c r="AS488" s="2" t="str">
        <f ca="1">IF(EDATE(Table1[[#This Row],[origination_date]],6) &gt;= TODAY(), "New Loan", "Old Loan")</f>
        <v>Old Loan</v>
      </c>
      <c r="AT488" s="2" t="str">
        <f>"Q"&amp;ROUNDUP(MONTH(Table1[[#This Row],[origination_date]])/3,0)&amp;YEAR(Table1[[#This Row],[origination_date]])</f>
        <v>Q42024</v>
      </c>
      <c r="AU488" s="2">
        <f>SUMIFS(Table1[loan_amount],Table1[quarter],Table1[[#This Row],[quarter]])</f>
        <v>53441200</v>
      </c>
      <c r="AV488" s="34" t="str">
        <f>_xlfn.TEXTJOIN("|",TRUE,Table1[[#This Row],[loan_id]:[loan_status]])</f>
        <v>L59088620|C2402747|45607|Auto Loan|Branch|West|Self-Employed|24|551200|14.94|26710|188933|639|D|0.06|0.78|706100|13|333755|253130|0|1|0|Closed</v>
      </c>
      <c r="AW488" s="42">
        <f>YEAR(Loan_Table[ [#This Row],[origination_date] ])</f>
        <v>2025</v>
      </c>
    </row>
    <row r="489" spans="2:49" ht="18" customHeight="1">
      <c r="B489" s="5" t="s">
        <v>1098</v>
      </c>
      <c r="C489" s="2" t="s">
        <v>1099</v>
      </c>
      <c r="D489" s="3">
        <v>45619</v>
      </c>
      <c r="E489" s="2" t="s">
        <v>131</v>
      </c>
      <c r="F489" s="2" t="s">
        <v>144</v>
      </c>
      <c r="G489" s="2" t="s">
        <v>133</v>
      </c>
      <c r="H489" s="2" t="s">
        <v>134</v>
      </c>
      <c r="I489" s="2">
        <v>24</v>
      </c>
      <c r="J489" s="2">
        <v>144100</v>
      </c>
      <c r="K489" s="2">
        <v>20.079999999999998</v>
      </c>
      <c r="L489" s="2">
        <v>7340</v>
      </c>
      <c r="M489" s="2">
        <v>867095</v>
      </c>
      <c r="N489" s="2">
        <v>638</v>
      </c>
      <c r="O489" s="2" t="s">
        <v>147</v>
      </c>
      <c r="P489" s="2">
        <v>0.05</v>
      </c>
      <c r="Q489" s="2">
        <v>0.6</v>
      </c>
      <c r="R489" s="2">
        <v>0</v>
      </c>
      <c r="S489" s="2">
        <v>13</v>
      </c>
      <c r="T489" s="2">
        <v>96979</v>
      </c>
      <c r="U489" s="2">
        <v>59660</v>
      </c>
      <c r="V489" s="2">
        <v>0</v>
      </c>
      <c r="W489" s="2">
        <v>0</v>
      </c>
      <c r="X489" s="2">
        <v>0</v>
      </c>
      <c r="Y489" s="2" t="s">
        <v>148</v>
      </c>
      <c r="Z489" s="12">
        <f>SUMIF(Table1[product],Table1[[#This Row],[product]],Table1[loan_amount])</f>
        <v>74897600</v>
      </c>
      <c r="AA489" s="15">
        <f>SUMIF(Table1[region],Table1[[#This Row],[region]],Table1[current_balance])</f>
        <v>94548000</v>
      </c>
      <c r="AB489" s="2">
        <f>COUNTIF(Table1[loan_status],Table1[[#This Row],[loan_status]])</f>
        <v>301</v>
      </c>
      <c r="AC489" s="2">
        <f>COUNTIF(Table1[default_flag],1)/ROWS(Table1[loan_id])</f>
        <v>2.5999999999999999E-2</v>
      </c>
      <c r="AD489" s="2">
        <f>COUNTIFS(Table1[region],Table1[[#This Row],[region]],Table1[default_flag],1)/COUNTIF(Table1[region],Table1[[#This Row],[region]])</f>
        <v>0</v>
      </c>
      <c r="AE489" s="2">
        <f>COUNTIFS(Table1[channel],Table1[[#This Row],[channel]],Table1[prepayment_flag],1)/COUNTIF(Table1[channel],Table1[[#This Row],[channel]])</f>
        <v>5.8201058201058198E-2</v>
      </c>
      <c r="AF489" s="2">
        <f>AVERAGEIFS(Table1[interest_rate_pct],Table1[product],Table1[[#This Row],[product]],Table1[risk_band],Table1[[#This Row],[risk_band]])</f>
        <v>20.962592592592593</v>
      </c>
      <c r="AG489" s="2" t="str" cm="1">
        <f t="array" ref="AG489">_xlfn.IFS(Table1[[#This Row],[dti_ratio]] &lt; 0.2, " less than 0.2", Table1[[#This Row],[dti_ratio]] &lt; 0.3, "0.2 - 0.3", Table1[[#This Row],[dti_ratio]] &lt;= 0.5, "0.35 - 0.5", Table1[[#This Row],[dti_ratio]] &gt; 0.5, "greater than 0.5")</f>
        <v xml:space="preserve"> less than 0.2</v>
      </c>
      <c r="AH489" s="2">
        <f>COUNTIF(Table1[DTI band],Table1[[#This Row],[DTI band]])</f>
        <v>86</v>
      </c>
      <c r="AI489" s="2" t="str" cm="1">
        <f t="array" ref="AI489">_xlfn.IFS(Table1[[#This Row],[ltv_ratio]] &lt; 0.6, "less than 0.6 -less risky", Table1[[#This Row],[ltv_ratio]]  &lt;= 0.8, "0.6 - 0.8 -medium risky",Table1[[#This Row],[ltv_ratio]] &gt; 0.8, "greater than 0.8 -highly risky")</f>
        <v>0.6 - 0.8 -medium risky</v>
      </c>
      <c r="AJ489" s="2">
        <f>COUNTIF(Table1[LTV band],Table1[[#This Row],[LTV band]])</f>
        <v>302</v>
      </c>
      <c r="AK489" s="2">
        <f>COUNTIFS(Table1[count_loan_perband],Table1[[#This Row],[count_loan_perband]],Table1[default_flag],1)/COUNTIF(Table1[count_loan_perband],Table1[[#This Row],[count_loan_perband]])</f>
        <v>3.6423841059602648E-2</v>
      </c>
      <c r="AL489" s="2" t="str" cm="1">
        <f t="array" ref="AL489">_xlfn.IFS(Table1[[#This Row],[loan_amount]] &lt; 900000, "lower size (&lt; 9L)", Table1[[#This Row],[loan_amount]] &lt;=3300000, "medium size (&lt;=33L)", Table1[[#This Row],[loan_amount]] &gt; 3300000, "larger size (&gt; 33L)")</f>
        <v>lower size (&lt; 9L)</v>
      </c>
      <c r="AM489" s="2">
        <f>IF(Table1[[#This Row],[dpd]] &gt;=30,1,0)</f>
        <v>0</v>
      </c>
      <c r="AN489" s="2">
        <f>COUNTIFS(Table1[Loan size],Table1[[#This Row],[Loan size]],Table1[dpd flag],1)/COUNTIF(Table1[Loan size],Table1[[#This Row],[Loan size]])</f>
        <v>0.13934426229508196</v>
      </c>
      <c r="AO489" s="2" t="str">
        <f>IF(OR(Table1[[#This Row],[credit_score]] &lt; 600, Table1[ [#This Row],[dti_ratio] ] &gt; 0.5, Table1[[#This Row],[dpd]] &gt;=30), "high risk", " not riskY")</f>
        <v xml:space="preserve"> not riskY</v>
      </c>
      <c r="AP489" s="26">
        <f>EOMONTH(Table1[[#This Row],[origination_date]],0)</f>
        <v>45626</v>
      </c>
      <c r="AQ489" s="2">
        <f>SUMIFS(Table1[loan_amount],Table1[origination month],Table1[[#This Row],[origination month]])</f>
        <v>18553400</v>
      </c>
      <c r="AR489" s="2">
        <f>AVERAGEIFS(Table1[months_on_book],Table1[product],Table1[[#This Row],[product]])</f>
        <v>21.092024539877301</v>
      </c>
      <c r="AS489" s="2" t="str">
        <f ca="1">IF(EDATE(Table1[[#This Row],[origination_date]],6) &gt;= TODAY(), "New Loan", "Old Loan")</f>
        <v>Old Loan</v>
      </c>
      <c r="AT489" s="2" t="str">
        <f>"Q"&amp;ROUNDUP(MONTH(Table1[[#This Row],[origination_date]])/3,0)&amp;YEAR(Table1[[#This Row],[origination_date]])</f>
        <v>Q42024</v>
      </c>
      <c r="AU489" s="2">
        <f>SUMIFS(Table1[loan_amount],Table1[quarter],Table1[[#This Row],[quarter]])</f>
        <v>53441200</v>
      </c>
      <c r="AV489" s="34" t="str">
        <f>_xlfn.TEXTJOIN("|",TRUE,Table1[[#This Row],[loan_id]:[loan_status]])</f>
        <v>L56892046|C9530660|45619|Personal Loan|Branch|South|Salaried|24|144100|20.08|7340|867095|638|D|0.05|0.6|0|13|96979|59660|0|0|0|Active</v>
      </c>
      <c r="AW489" s="42">
        <f>YEAR(Loan_Table[ [#This Row],[origination_date] ])</f>
        <v>2025</v>
      </c>
    </row>
    <row r="490" spans="2:49" ht="18" customHeight="1">
      <c r="B490" s="5" t="s">
        <v>1100</v>
      </c>
      <c r="C490" s="2" t="s">
        <v>1101</v>
      </c>
      <c r="D490" s="3">
        <v>45965</v>
      </c>
      <c r="E490" s="2" t="s">
        <v>169</v>
      </c>
      <c r="F490" s="2" t="s">
        <v>213</v>
      </c>
      <c r="G490" s="2" t="s">
        <v>151</v>
      </c>
      <c r="H490" s="2" t="s">
        <v>134</v>
      </c>
      <c r="I490" s="2">
        <v>24</v>
      </c>
      <c r="J490" s="2">
        <v>3354500</v>
      </c>
      <c r="K490" s="2">
        <v>7</v>
      </c>
      <c r="L490" s="2">
        <v>150190</v>
      </c>
      <c r="M490" s="2">
        <v>869233</v>
      </c>
      <c r="N490" s="2">
        <v>850</v>
      </c>
      <c r="O490" s="2" t="s">
        <v>160</v>
      </c>
      <c r="P490" s="2">
        <v>0.52</v>
      </c>
      <c r="Q490" s="2">
        <v>1.19</v>
      </c>
      <c r="R490" s="2">
        <v>2821200</v>
      </c>
      <c r="S490" s="2">
        <v>1</v>
      </c>
      <c r="T490" s="2">
        <v>131404</v>
      </c>
      <c r="U490" s="2">
        <v>3230923</v>
      </c>
      <c r="V490" s="2">
        <v>0</v>
      </c>
      <c r="W490" s="2">
        <v>1</v>
      </c>
      <c r="X490" s="2">
        <v>0</v>
      </c>
      <c r="Y490" s="2" t="s">
        <v>141</v>
      </c>
      <c r="Z490" s="12">
        <f>SUMIF(Table1[product],Table1[[#This Row],[product]],Table1[loan_amount])</f>
        <v>403369500</v>
      </c>
      <c r="AA490" s="15">
        <f>SUMIF(Table1[region],Table1[[#This Row],[region]],Table1[current_balance])</f>
        <v>105779369</v>
      </c>
      <c r="AB490" s="2">
        <f>COUNTIF(Table1[loan_status],Table1[[#This Row],[loan_status]])</f>
        <v>139</v>
      </c>
      <c r="AC490" s="2">
        <f>COUNTIF(Table1[default_flag],1)/ROWS(Table1[loan_id])</f>
        <v>2.5999999999999999E-2</v>
      </c>
      <c r="AD490" s="2">
        <f>COUNTIFS(Table1[region],Table1[[#This Row],[region]],Table1[default_flag],1)/COUNTIF(Table1[region],Table1[[#This Row],[region]])</f>
        <v>2.6548672566371681E-2</v>
      </c>
      <c r="AE490" s="2">
        <f>COUNTIFS(Table1[channel],Table1[[#This Row],[channel]],Table1[prepayment_flag],1)/COUNTIF(Table1[channel],Table1[[#This Row],[channel]])</f>
        <v>0.12</v>
      </c>
      <c r="AF490" s="2">
        <f>AVERAGEIFS(Table1[interest_rate_pct],Table1[product],Table1[[#This Row],[product]],Table1[risk_band],Table1[[#This Row],[risk_band]])</f>
        <v>7.1876190476190471</v>
      </c>
      <c r="AG490" s="2" t="str" cm="1">
        <f t="array" ref="AG490">_xlfn.IFS(Table1[[#This Row],[dti_ratio]] &lt; 0.2, " less than 0.2", Table1[[#This Row],[dti_ratio]] &lt; 0.3, "0.2 - 0.3", Table1[[#This Row],[dti_ratio]] &lt;= 0.5, "0.35 - 0.5", Table1[[#This Row],[dti_ratio]] &gt; 0.5, "greater than 0.5")</f>
        <v>greater than 0.5</v>
      </c>
      <c r="AH490" s="2">
        <f>COUNTIF(Table1[DTI band],Table1[[#This Row],[DTI band]])</f>
        <v>32</v>
      </c>
      <c r="AI490" s="2" t="str" cm="1">
        <f t="array" ref="AI490">_xlfn.IFS(Table1[[#This Row],[ltv_ratio]] &lt; 0.6, "less than 0.6 -less risky", Table1[[#This Row],[ltv_ratio]]  &lt;= 0.8, "0.6 - 0.8 -medium risky",Table1[[#This Row],[ltv_ratio]] &gt; 0.8, "greater than 0.8 -highly risky")</f>
        <v>greater than 0.8 -highly risky</v>
      </c>
      <c r="AJ490" s="2">
        <f>COUNTIF(Table1[LTV band],Table1[[#This Row],[LTV band]])</f>
        <v>141</v>
      </c>
      <c r="AK490" s="2">
        <f>COUNTIFS(Table1[count_loan_perband],Table1[[#This Row],[count_loan_perband]],Table1[default_flag],1)/COUNTIF(Table1[count_loan_perband],Table1[[#This Row],[count_loan_perband]])</f>
        <v>1.4184397163120567E-2</v>
      </c>
      <c r="AL490" s="2" t="str" cm="1">
        <f t="array" ref="AL490">_xlfn.IFS(Table1[[#This Row],[loan_amount]] &lt; 900000, "lower size (&lt; 9L)", Table1[[#This Row],[loan_amount]] &lt;=3300000, "medium size (&lt;=33L)", Table1[[#This Row],[loan_amount]] &gt; 3300000, "larger size (&gt; 33L)")</f>
        <v>larger size (&gt; 33L)</v>
      </c>
      <c r="AM490" s="2">
        <f>IF(Table1[[#This Row],[dpd]] &gt;=30,1,0)</f>
        <v>0</v>
      </c>
      <c r="AN490" s="2">
        <f>COUNTIFS(Table1[Loan size],Table1[[#This Row],[Loan size]],Table1[dpd flag],1)/COUNTIF(Table1[Loan size],Table1[[#This Row],[Loan size]])</f>
        <v>0.16250000000000001</v>
      </c>
      <c r="AO490" s="2" t="str">
        <f>IF(OR(Table1[[#This Row],[credit_score]] &lt; 600, Table1[ [#This Row],[dti_ratio] ] &gt; 0.5, Table1[[#This Row],[dpd]] &gt;=30), "high risk", " not riskY")</f>
        <v>high risk</v>
      </c>
      <c r="AP490" s="26">
        <f>EOMONTH(Table1[[#This Row],[origination_date]],0)</f>
        <v>45991</v>
      </c>
      <c r="AQ490" s="2">
        <f>SUMIFS(Table1[loan_amount],Table1[origination month],Table1[[#This Row],[origination month]])</f>
        <v>20272200</v>
      </c>
      <c r="AR490" s="2">
        <f>AVERAGEIFS(Table1[months_on_book],Table1[product],Table1[[#This Row],[product]])</f>
        <v>20.516129032258064</v>
      </c>
      <c r="AS490" s="2" t="str">
        <f ca="1">IF(EDATE(Table1[[#This Row],[origination_date]],6) &gt;= TODAY(), "New Loan", "Old Loan")</f>
        <v>New Loan</v>
      </c>
      <c r="AT490" s="2" t="str">
        <f>"Q"&amp;ROUNDUP(MONTH(Table1[[#This Row],[origination_date]])/3,0)&amp;YEAR(Table1[[#This Row],[origination_date]])</f>
        <v>Q42025</v>
      </c>
      <c r="AU490" s="2">
        <f>SUMIFS(Table1[loan_amount],Table1[quarter],Table1[[#This Row],[quarter]])</f>
        <v>38483800</v>
      </c>
      <c r="AV490" s="34" t="str">
        <f>_xlfn.TEXTJOIN("|",TRUE,Table1[[#This Row],[loan_id]:[loan_status]])</f>
        <v>L40833169|C6310683|45965|Home Loan|Call Center|North|Salaried|24|3354500|7|150190|869233|850|A|0.52|1.19|2821200|1|131404|3230923|0|1|0|Closed</v>
      </c>
      <c r="AW490" s="42">
        <f>YEAR(Loan_Table[ [#This Row],[origination_date] ])</f>
        <v>2025</v>
      </c>
    </row>
    <row r="491" spans="2:49" ht="18" customHeight="1">
      <c r="B491" s="5" t="s">
        <v>1102</v>
      </c>
      <c r="C491" s="2" t="s">
        <v>1103</v>
      </c>
      <c r="D491" s="3">
        <v>45976</v>
      </c>
      <c r="E491" s="2" t="s">
        <v>131</v>
      </c>
      <c r="F491" s="2" t="s">
        <v>132</v>
      </c>
      <c r="G491" s="2" t="s">
        <v>145</v>
      </c>
      <c r="H491" s="2" t="s">
        <v>134</v>
      </c>
      <c r="I491" s="2">
        <v>24</v>
      </c>
      <c r="J491" s="2">
        <v>751300</v>
      </c>
      <c r="K491" s="2">
        <v>18.989999999999998</v>
      </c>
      <c r="L491" s="2">
        <v>37868</v>
      </c>
      <c r="M491" s="2">
        <v>1138837</v>
      </c>
      <c r="N491" s="2">
        <v>691</v>
      </c>
      <c r="O491" s="2" t="s">
        <v>140</v>
      </c>
      <c r="P491" s="2">
        <v>0.51</v>
      </c>
      <c r="Q491" s="2">
        <v>0.61</v>
      </c>
      <c r="R491" s="2">
        <v>0</v>
      </c>
      <c r="S491" s="2">
        <v>1</v>
      </c>
      <c r="T491" s="2">
        <v>37205</v>
      </c>
      <c r="U491" s="2">
        <v>718851</v>
      </c>
      <c r="V491" s="2">
        <v>90</v>
      </c>
      <c r="W491" s="2">
        <v>0</v>
      </c>
      <c r="X491" s="2">
        <v>1</v>
      </c>
      <c r="Y491" s="2" t="s">
        <v>153</v>
      </c>
      <c r="Z491" s="12">
        <f>SUMIF(Table1[product],Table1[[#This Row],[product]],Table1[loan_amount])</f>
        <v>74897600</v>
      </c>
      <c r="AA491" s="15">
        <f>SUMIF(Table1[region],Table1[[#This Row],[region]],Table1[current_balance])</f>
        <v>98928695</v>
      </c>
      <c r="AB491" s="2">
        <f>COUNTIF(Table1[loan_status],Table1[[#This Row],[loan_status]])</f>
        <v>13</v>
      </c>
      <c r="AC491" s="2">
        <f>COUNTIF(Table1[default_flag],1)/ROWS(Table1[loan_id])</f>
        <v>2.5999999999999999E-2</v>
      </c>
      <c r="AD491" s="2">
        <f>COUNTIFS(Table1[region],Table1[[#This Row],[region]],Table1[default_flag],1)/COUNTIF(Table1[region],Table1[[#This Row],[region]])</f>
        <v>2.8571428571428571E-2</v>
      </c>
      <c r="AE491" s="2">
        <f>COUNTIFS(Table1[channel],Table1[[#This Row],[channel]],Table1[prepayment_flag],1)/COUNTIF(Table1[channel],Table1[[#This Row],[channel]])</f>
        <v>7.1090047393364927E-2</v>
      </c>
      <c r="AF491" s="2">
        <f>AVERAGEIFS(Table1[interest_rate_pct],Table1[product],Table1[[#This Row],[product]],Table1[risk_band],Table1[[#This Row],[risk_band]])</f>
        <v>18.603181818181817</v>
      </c>
      <c r="AG491" s="2" t="str" cm="1">
        <f t="array" ref="AG491">_xlfn.IFS(Table1[[#This Row],[dti_ratio]] &lt; 0.2, " less than 0.2", Table1[[#This Row],[dti_ratio]] &lt; 0.3, "0.2 - 0.3", Table1[[#This Row],[dti_ratio]] &lt;= 0.5, "0.35 - 0.5", Table1[[#This Row],[dti_ratio]] &gt; 0.5, "greater than 0.5")</f>
        <v>greater than 0.5</v>
      </c>
      <c r="AH491" s="2">
        <f>COUNTIF(Table1[DTI band],Table1[[#This Row],[DTI band]])</f>
        <v>32</v>
      </c>
      <c r="AI491" s="2" t="str" cm="1">
        <f t="array" ref="AI491">_xlfn.IFS(Table1[[#This Row],[ltv_ratio]] &lt; 0.6, "less than 0.6 -less risky", Table1[[#This Row],[ltv_ratio]]  &lt;= 0.8, "0.6 - 0.8 -medium risky",Table1[[#This Row],[ltv_ratio]] &gt; 0.8, "greater than 0.8 -highly risky")</f>
        <v>0.6 - 0.8 -medium risky</v>
      </c>
      <c r="AJ491" s="2">
        <f>COUNTIF(Table1[LTV band],Table1[[#This Row],[LTV band]])</f>
        <v>302</v>
      </c>
      <c r="AK491" s="2">
        <f>COUNTIFS(Table1[count_loan_perband],Table1[[#This Row],[count_loan_perband]],Table1[default_flag],1)/COUNTIF(Table1[count_loan_perband],Table1[[#This Row],[count_loan_perband]])</f>
        <v>3.6423841059602648E-2</v>
      </c>
      <c r="AL491" s="2" t="str" cm="1">
        <f t="array" ref="AL491">_xlfn.IFS(Table1[[#This Row],[loan_amount]] &lt; 900000, "lower size (&lt; 9L)", Table1[[#This Row],[loan_amount]] &lt;=3300000, "medium size (&lt;=33L)", Table1[[#This Row],[loan_amount]] &gt; 3300000, "larger size (&gt; 33L)")</f>
        <v>lower size (&lt; 9L)</v>
      </c>
      <c r="AM491" s="2">
        <f>IF(Table1[[#This Row],[dpd]] &gt;=30,1,0)</f>
        <v>1</v>
      </c>
      <c r="AN491" s="2">
        <f>COUNTIFS(Table1[Loan size],Table1[[#This Row],[Loan size]],Table1[dpd flag],1)/COUNTIF(Table1[Loan size],Table1[[#This Row],[Loan size]])</f>
        <v>0.13934426229508196</v>
      </c>
      <c r="AO491" s="2" t="str">
        <f>IF(OR(Table1[[#This Row],[credit_score]] &lt; 600, Table1[ [#This Row],[dti_ratio] ] &gt; 0.5, Table1[[#This Row],[dpd]] &gt;=30), "high risk", " not riskY")</f>
        <v>high risk</v>
      </c>
      <c r="AP491" s="26">
        <f>EOMONTH(Table1[[#This Row],[origination_date]],0)</f>
        <v>45991</v>
      </c>
      <c r="AQ491" s="2">
        <f>SUMIFS(Table1[loan_amount],Table1[origination month],Table1[[#This Row],[origination month]])</f>
        <v>20272200</v>
      </c>
      <c r="AR491" s="2">
        <f>AVERAGEIFS(Table1[months_on_book],Table1[product],Table1[[#This Row],[product]])</f>
        <v>21.092024539877301</v>
      </c>
      <c r="AS491" s="2" t="str">
        <f ca="1">IF(EDATE(Table1[[#This Row],[origination_date]],6) &gt;= TODAY(), "New Loan", "Old Loan")</f>
        <v>New Loan</v>
      </c>
      <c r="AT491" s="2" t="str">
        <f>"Q"&amp;ROUNDUP(MONTH(Table1[[#This Row],[origination_date]])/3,0)&amp;YEAR(Table1[[#This Row],[origination_date]])</f>
        <v>Q42025</v>
      </c>
      <c r="AU491" s="2">
        <f>SUMIFS(Table1[loan_amount],Table1[quarter],Table1[[#This Row],[quarter]])</f>
        <v>38483800</v>
      </c>
      <c r="AV491" s="34" t="str">
        <f>_xlfn.TEXTJOIN("|",TRUE,Table1[[#This Row],[loan_id]:[loan_status]])</f>
        <v>L94627548|C8501126|45976|Personal Loan|Online|Central|Salaried|24|751300|18.99|37868|1138837|691|C|0.51|0.61|0|1|37205|718851|90|0|1|Default</v>
      </c>
      <c r="AW491" s="42">
        <f>YEAR(Loan_Table[ [#This Row],[origination_date] ])</f>
        <v>2025</v>
      </c>
    </row>
    <row r="492" spans="2:49" ht="18" customHeight="1">
      <c r="B492" s="5" t="s">
        <v>1104</v>
      </c>
      <c r="C492" s="2" t="s">
        <v>1105</v>
      </c>
      <c r="D492" s="3">
        <v>45970</v>
      </c>
      <c r="E492" s="2" t="s">
        <v>177</v>
      </c>
      <c r="F492" s="2" t="s">
        <v>213</v>
      </c>
      <c r="G492" s="2" t="s">
        <v>170</v>
      </c>
      <c r="H492" s="2" t="s">
        <v>134</v>
      </c>
      <c r="I492" s="2">
        <v>60</v>
      </c>
      <c r="J492" s="2">
        <v>1120400</v>
      </c>
      <c r="K492" s="2">
        <v>11.13</v>
      </c>
      <c r="L492" s="2">
        <v>24433</v>
      </c>
      <c r="M492" s="2">
        <v>1474124</v>
      </c>
      <c r="N492" s="2">
        <v>744</v>
      </c>
      <c r="O492" s="2" t="s">
        <v>135</v>
      </c>
      <c r="P492" s="2">
        <v>0.49</v>
      </c>
      <c r="Q492" s="2">
        <v>0.75</v>
      </c>
      <c r="R492" s="2">
        <v>0</v>
      </c>
      <c r="S492" s="2">
        <v>1</v>
      </c>
      <c r="T492" s="2">
        <v>21142</v>
      </c>
      <c r="U492" s="2">
        <v>1103415</v>
      </c>
      <c r="V492" s="2">
        <v>0</v>
      </c>
      <c r="W492" s="2">
        <v>0</v>
      </c>
      <c r="X492" s="2">
        <v>0</v>
      </c>
      <c r="Y492" s="2" t="s">
        <v>148</v>
      </c>
      <c r="Z492" s="12">
        <f>SUMIF(Table1[product],Table1[[#This Row],[product]],Table1[loan_amount])</f>
        <v>62765800</v>
      </c>
      <c r="AA492" s="15">
        <f>SUMIF(Table1[region],Table1[[#This Row],[region]],Table1[current_balance])</f>
        <v>83297251</v>
      </c>
      <c r="AB492" s="2">
        <f>COUNTIF(Table1[loan_status],Table1[[#This Row],[loan_status]])</f>
        <v>301</v>
      </c>
      <c r="AC492" s="2">
        <f>COUNTIF(Table1[default_flag],1)/ROWS(Table1[loan_id])</f>
        <v>2.5999999999999999E-2</v>
      </c>
      <c r="AD492" s="2">
        <f>COUNTIFS(Table1[region],Table1[[#This Row],[region]],Table1[default_flag],1)/COUNTIF(Table1[region],Table1[[#This Row],[region]])</f>
        <v>3.1914893617021274E-2</v>
      </c>
      <c r="AE492" s="2">
        <f>COUNTIFS(Table1[channel],Table1[[#This Row],[channel]],Table1[prepayment_flag],1)/COUNTIF(Table1[channel],Table1[[#This Row],[channel]])</f>
        <v>0.12</v>
      </c>
      <c r="AF492" s="2">
        <f>AVERAGEIFS(Table1[interest_rate_pct],Table1[product],Table1[[#This Row],[product]],Table1[risk_band],Table1[[#This Row],[risk_band]])</f>
        <v>10.832666666666663</v>
      </c>
      <c r="AG492" s="2" t="str" cm="1">
        <f t="array" ref="AG492">_xlfn.IFS(Table1[[#This Row],[dti_ratio]] &lt; 0.2, " less than 0.2", Table1[[#This Row],[dti_ratio]] &lt; 0.3, "0.2 - 0.3", Table1[[#This Row],[dti_ratio]] &lt;= 0.5, "0.35 - 0.5", Table1[[#This Row],[dti_ratio]] &gt; 0.5, "greater than 0.5")</f>
        <v>0.35 - 0.5</v>
      </c>
      <c r="AH492" s="2">
        <f>COUNTIF(Table1[DTI band],Table1[[#This Row],[DTI band]])</f>
        <v>260</v>
      </c>
      <c r="AI492" s="2" t="str" cm="1">
        <f t="array" ref="AI492">_xlfn.IFS(Table1[[#This Row],[ltv_ratio]] &lt; 0.6, "less than 0.6 -less risky", Table1[[#This Row],[ltv_ratio]]  &lt;= 0.8, "0.6 - 0.8 -medium risky",Table1[[#This Row],[ltv_ratio]] &gt; 0.8, "greater than 0.8 -highly risky")</f>
        <v>0.6 - 0.8 -medium risky</v>
      </c>
      <c r="AJ492" s="2">
        <f>COUNTIF(Table1[LTV band],Table1[[#This Row],[LTV band]])</f>
        <v>302</v>
      </c>
      <c r="AK492" s="2">
        <f>COUNTIFS(Table1[count_loan_perband],Table1[[#This Row],[count_loan_perband]],Table1[default_flag],1)/COUNTIF(Table1[count_loan_perband],Table1[[#This Row],[count_loan_perband]])</f>
        <v>3.6423841059602648E-2</v>
      </c>
      <c r="AL492" s="2" t="str" cm="1">
        <f t="array" ref="AL492">_xlfn.IFS(Table1[[#This Row],[loan_amount]] &lt; 900000, "lower size (&lt; 9L)", Table1[[#This Row],[loan_amount]] &lt;=3300000, "medium size (&lt;=33L)", Table1[[#This Row],[loan_amount]] &gt; 3300000, "larger size (&gt; 33L)")</f>
        <v>medium size (&lt;=33L)</v>
      </c>
      <c r="AM492" s="2">
        <f>IF(Table1[[#This Row],[dpd]] &gt;=30,1,0)</f>
        <v>0</v>
      </c>
      <c r="AN492" s="2">
        <f>COUNTIFS(Table1[Loan size],Table1[[#This Row],[Loan size]],Table1[dpd flag],1)/COUNTIF(Table1[Loan size],Table1[[#This Row],[Loan size]])</f>
        <v>0.15909090909090909</v>
      </c>
      <c r="AO492" s="2" t="str">
        <f>IF(OR(Table1[[#This Row],[credit_score]] &lt; 600, Table1[ [#This Row],[dti_ratio] ] &gt; 0.5, Table1[[#This Row],[dpd]] &gt;=30), "high risk", " not riskY")</f>
        <v xml:space="preserve"> not riskY</v>
      </c>
      <c r="AP492" s="26">
        <f>EOMONTH(Table1[[#This Row],[origination_date]],0)</f>
        <v>45991</v>
      </c>
      <c r="AQ492" s="2">
        <f>SUMIFS(Table1[loan_amount],Table1[origination month],Table1[[#This Row],[origination month]])</f>
        <v>20272200</v>
      </c>
      <c r="AR492" s="2">
        <f>AVERAGEIFS(Table1[months_on_book],Table1[product],Table1[[#This Row],[product]])</f>
        <v>21.962962962962962</v>
      </c>
      <c r="AS492" s="2" t="str">
        <f ca="1">IF(EDATE(Table1[[#This Row],[origination_date]],6) &gt;= TODAY(), "New Loan", "Old Loan")</f>
        <v>New Loan</v>
      </c>
      <c r="AT492" s="2" t="str">
        <f>"Q"&amp;ROUNDUP(MONTH(Table1[[#This Row],[origination_date]])/3,0)&amp;YEAR(Table1[[#This Row],[origination_date]])</f>
        <v>Q42025</v>
      </c>
      <c r="AU492" s="2">
        <f>SUMIFS(Table1[loan_amount],Table1[quarter],Table1[[#This Row],[quarter]])</f>
        <v>38483800</v>
      </c>
      <c r="AV492" s="34" t="str">
        <f>_xlfn.TEXTJOIN("|",TRUE,Table1[[#This Row],[loan_id]:[loan_status]])</f>
        <v>L91772262|C2509474|45970|Education Loan|Call Center|East|Salaried|60|1120400|11.13|24433|1474124|744|B|0.49|0.75|0|1|21142|1103415|0|0|0|Active</v>
      </c>
      <c r="AW492" s="42">
        <f>YEAR(Loan_Table[ [#This Row],[origination_date] ])</f>
        <v>2025</v>
      </c>
    </row>
    <row r="493" spans="2:49" ht="18" customHeight="1">
      <c r="B493" s="5" t="s">
        <v>1106</v>
      </c>
      <c r="C493" s="2" t="s">
        <v>1107</v>
      </c>
      <c r="D493" s="3">
        <v>45971</v>
      </c>
      <c r="E493" s="2" t="s">
        <v>177</v>
      </c>
      <c r="F493" s="2" t="s">
        <v>144</v>
      </c>
      <c r="G493" s="2" t="s">
        <v>133</v>
      </c>
      <c r="H493" s="2" t="s">
        <v>134</v>
      </c>
      <c r="I493" s="2">
        <v>24</v>
      </c>
      <c r="J493" s="2">
        <v>674600</v>
      </c>
      <c r="K493" s="2">
        <v>16.75</v>
      </c>
      <c r="L493" s="2">
        <v>33273</v>
      </c>
      <c r="M493" s="2">
        <v>231583</v>
      </c>
      <c r="N493" s="2">
        <v>601</v>
      </c>
      <c r="O493" s="2" t="s">
        <v>147</v>
      </c>
      <c r="P493" s="2">
        <v>0.48</v>
      </c>
      <c r="Q493" s="2">
        <v>1.02</v>
      </c>
      <c r="R493" s="2">
        <v>0</v>
      </c>
      <c r="S493" s="2">
        <v>1</v>
      </c>
      <c r="T493" s="2">
        <v>28982</v>
      </c>
      <c r="U493" s="2">
        <v>649385</v>
      </c>
      <c r="V493" s="2">
        <v>0</v>
      </c>
      <c r="W493" s="2">
        <v>0</v>
      </c>
      <c r="X493" s="2">
        <v>0</v>
      </c>
      <c r="Y493" s="2" t="s">
        <v>148</v>
      </c>
      <c r="Z493" s="12">
        <f>SUMIF(Table1[product],Table1[[#This Row],[product]],Table1[loan_amount])</f>
        <v>62765800</v>
      </c>
      <c r="AA493" s="15">
        <f>SUMIF(Table1[region],Table1[[#This Row],[region]],Table1[current_balance])</f>
        <v>94548000</v>
      </c>
      <c r="AB493" s="2">
        <f>COUNTIF(Table1[loan_status],Table1[[#This Row],[loan_status]])</f>
        <v>301</v>
      </c>
      <c r="AC493" s="2">
        <f>COUNTIF(Table1[default_flag],1)/ROWS(Table1[loan_id])</f>
        <v>2.5999999999999999E-2</v>
      </c>
      <c r="AD493" s="2">
        <f>COUNTIFS(Table1[region],Table1[[#This Row],[region]],Table1[default_flag],1)/COUNTIF(Table1[region],Table1[[#This Row],[region]])</f>
        <v>0</v>
      </c>
      <c r="AE493" s="2">
        <f>COUNTIFS(Table1[channel],Table1[[#This Row],[channel]],Table1[prepayment_flag],1)/COUNTIF(Table1[channel],Table1[[#This Row],[channel]])</f>
        <v>5.8201058201058198E-2</v>
      </c>
      <c r="AF493" s="2">
        <f>AVERAGEIFS(Table1[interest_rate_pct],Table1[product],Table1[[#This Row],[product]],Table1[risk_band],Table1[[#This Row],[risk_band]])</f>
        <v>15.810000000000002</v>
      </c>
      <c r="AG493" s="2" t="str" cm="1">
        <f t="array" ref="AG493">_xlfn.IFS(Table1[[#This Row],[dti_ratio]] &lt; 0.2, " less than 0.2", Table1[[#This Row],[dti_ratio]] &lt; 0.3, "0.2 - 0.3", Table1[[#This Row],[dti_ratio]] &lt;= 0.5, "0.35 - 0.5", Table1[[#This Row],[dti_ratio]] &gt; 0.5, "greater than 0.5")</f>
        <v>0.35 - 0.5</v>
      </c>
      <c r="AH493" s="2">
        <f>COUNTIF(Table1[DTI band],Table1[[#This Row],[DTI band]])</f>
        <v>260</v>
      </c>
      <c r="AI493" s="2" t="str" cm="1">
        <f t="array" ref="AI493">_xlfn.IFS(Table1[[#This Row],[ltv_ratio]] &lt; 0.6, "less than 0.6 -less risky", Table1[[#This Row],[ltv_ratio]]  &lt;= 0.8, "0.6 - 0.8 -medium risky",Table1[[#This Row],[ltv_ratio]] &gt; 0.8, "greater than 0.8 -highly risky")</f>
        <v>greater than 0.8 -highly risky</v>
      </c>
      <c r="AJ493" s="2">
        <f>COUNTIF(Table1[LTV band],Table1[[#This Row],[LTV band]])</f>
        <v>141</v>
      </c>
      <c r="AK493" s="2">
        <f>COUNTIFS(Table1[count_loan_perband],Table1[[#This Row],[count_loan_perband]],Table1[default_flag],1)/COUNTIF(Table1[count_loan_perband],Table1[[#This Row],[count_loan_perband]])</f>
        <v>1.4184397163120567E-2</v>
      </c>
      <c r="AL493" s="2" t="str" cm="1">
        <f t="array" ref="AL493">_xlfn.IFS(Table1[[#This Row],[loan_amount]] &lt; 900000, "lower size (&lt; 9L)", Table1[[#This Row],[loan_amount]] &lt;=3300000, "medium size (&lt;=33L)", Table1[[#This Row],[loan_amount]] &gt; 3300000, "larger size (&gt; 33L)")</f>
        <v>lower size (&lt; 9L)</v>
      </c>
      <c r="AM493" s="2">
        <f>IF(Table1[[#This Row],[dpd]] &gt;=30,1,0)</f>
        <v>0</v>
      </c>
      <c r="AN493" s="2">
        <f>COUNTIFS(Table1[Loan size],Table1[[#This Row],[Loan size]],Table1[dpd flag],1)/COUNTIF(Table1[Loan size],Table1[[#This Row],[Loan size]])</f>
        <v>0.13934426229508196</v>
      </c>
      <c r="AO493" s="2" t="str">
        <f>IF(OR(Table1[[#This Row],[credit_score]] &lt; 600, Table1[ [#This Row],[dti_ratio] ] &gt; 0.5, Table1[[#This Row],[dpd]] &gt;=30), "high risk", " not riskY")</f>
        <v xml:space="preserve"> not riskY</v>
      </c>
      <c r="AP493" s="26">
        <f>EOMONTH(Table1[[#This Row],[origination_date]],0)</f>
        <v>45991</v>
      </c>
      <c r="AQ493" s="2">
        <f>SUMIFS(Table1[loan_amount],Table1[origination month],Table1[[#This Row],[origination month]])</f>
        <v>20272200</v>
      </c>
      <c r="AR493" s="2">
        <f>AVERAGEIFS(Table1[months_on_book],Table1[product],Table1[[#This Row],[product]])</f>
        <v>21.962962962962962</v>
      </c>
      <c r="AS493" s="2" t="str">
        <f ca="1">IF(EDATE(Table1[[#This Row],[origination_date]],6) &gt;= TODAY(), "New Loan", "Old Loan")</f>
        <v>New Loan</v>
      </c>
      <c r="AT493" s="2" t="str">
        <f>"Q"&amp;ROUNDUP(MONTH(Table1[[#This Row],[origination_date]])/3,0)&amp;YEAR(Table1[[#This Row],[origination_date]])</f>
        <v>Q42025</v>
      </c>
      <c r="AU493" s="2">
        <f>SUMIFS(Table1[loan_amount],Table1[quarter],Table1[[#This Row],[quarter]])</f>
        <v>38483800</v>
      </c>
      <c r="AV493" s="34" t="str">
        <f>_xlfn.TEXTJOIN("|",TRUE,Table1[[#This Row],[loan_id]:[loan_status]])</f>
        <v>L66587075|C4277728|45971|Education Loan|Branch|South|Salaried|24|674600|16.75|33273|231583|601|D|0.48|1.02|0|1|28982|649385|0|0|0|Active</v>
      </c>
      <c r="AW493" s="42">
        <f>YEAR(Loan_Table[ [#This Row],[origination_date] ])</f>
        <v>2025</v>
      </c>
    </row>
    <row r="494" spans="2:49" ht="18" customHeight="1">
      <c r="B494" s="5" t="s">
        <v>1108</v>
      </c>
      <c r="C494" s="2" t="s">
        <v>1109</v>
      </c>
      <c r="D494" s="3">
        <v>45932</v>
      </c>
      <c r="E494" s="2" t="s">
        <v>169</v>
      </c>
      <c r="F494" s="2" t="s">
        <v>132</v>
      </c>
      <c r="G494" s="2" t="s">
        <v>170</v>
      </c>
      <c r="H494" s="2" t="s">
        <v>192</v>
      </c>
      <c r="I494" s="2">
        <v>36</v>
      </c>
      <c r="J494" s="2">
        <v>334200</v>
      </c>
      <c r="K494" s="2">
        <v>7</v>
      </c>
      <c r="L494" s="2">
        <v>10319</v>
      </c>
      <c r="M494" s="2">
        <v>150000</v>
      </c>
      <c r="N494" s="2">
        <v>842</v>
      </c>
      <c r="O494" s="2" t="s">
        <v>160</v>
      </c>
      <c r="P494" s="2">
        <v>0.45</v>
      </c>
      <c r="Q494" s="2">
        <v>0.71</v>
      </c>
      <c r="R494" s="2">
        <v>472000</v>
      </c>
      <c r="S494" s="2">
        <v>2</v>
      </c>
      <c r="T494" s="2">
        <v>20527</v>
      </c>
      <c r="U494" s="2">
        <v>315233</v>
      </c>
      <c r="V494" s="2">
        <v>0</v>
      </c>
      <c r="W494" s="2">
        <v>0</v>
      </c>
      <c r="X494" s="2">
        <v>0</v>
      </c>
      <c r="Y494" s="2" t="s">
        <v>148</v>
      </c>
      <c r="Z494" s="12">
        <f>SUMIF(Table1[product],Table1[[#This Row],[product]],Table1[loan_amount])</f>
        <v>403369500</v>
      </c>
      <c r="AA494" s="15">
        <f>SUMIF(Table1[region],Table1[[#This Row],[region]],Table1[current_balance])</f>
        <v>83297251</v>
      </c>
      <c r="AB494" s="2">
        <f>COUNTIF(Table1[loan_status],Table1[[#This Row],[loan_status]])</f>
        <v>301</v>
      </c>
      <c r="AC494" s="2">
        <f>COUNTIF(Table1[default_flag],1)/ROWS(Table1[loan_id])</f>
        <v>2.5999999999999999E-2</v>
      </c>
      <c r="AD494" s="2">
        <f>COUNTIFS(Table1[region],Table1[[#This Row],[region]],Table1[default_flag],1)/COUNTIF(Table1[region],Table1[[#This Row],[region]])</f>
        <v>3.1914893617021274E-2</v>
      </c>
      <c r="AE494" s="2">
        <f>COUNTIFS(Table1[channel],Table1[[#This Row],[channel]],Table1[prepayment_flag],1)/COUNTIF(Table1[channel],Table1[[#This Row],[channel]])</f>
        <v>7.1090047393364927E-2</v>
      </c>
      <c r="AF494" s="2">
        <f>AVERAGEIFS(Table1[interest_rate_pct],Table1[product],Table1[[#This Row],[product]],Table1[risk_band],Table1[[#This Row],[risk_band]])</f>
        <v>7.1876190476190471</v>
      </c>
      <c r="AG494" s="2" t="str" cm="1">
        <f t="array" ref="AG494">_xlfn.IFS(Table1[[#This Row],[dti_ratio]] &lt; 0.2, " less than 0.2", Table1[[#This Row],[dti_ratio]] &lt; 0.3, "0.2 - 0.3", Table1[[#This Row],[dti_ratio]] &lt;= 0.5, "0.35 - 0.5", Table1[[#This Row],[dti_ratio]] &gt; 0.5, "greater than 0.5")</f>
        <v>0.35 - 0.5</v>
      </c>
      <c r="AH494" s="2">
        <f>COUNTIF(Table1[DTI band],Table1[[#This Row],[DTI band]])</f>
        <v>260</v>
      </c>
      <c r="AI494" s="2" t="str" cm="1">
        <f t="array" ref="AI494">_xlfn.IFS(Table1[[#This Row],[ltv_ratio]] &lt; 0.6, "less than 0.6 -less risky", Table1[[#This Row],[ltv_ratio]]  &lt;= 0.8, "0.6 - 0.8 -medium risky",Table1[[#This Row],[ltv_ratio]] &gt; 0.8, "greater than 0.8 -highly risky")</f>
        <v>0.6 - 0.8 -medium risky</v>
      </c>
      <c r="AJ494" s="2">
        <f>COUNTIF(Table1[LTV band],Table1[[#This Row],[LTV band]])</f>
        <v>302</v>
      </c>
      <c r="AK494" s="2">
        <f>COUNTIFS(Table1[count_loan_perband],Table1[[#This Row],[count_loan_perband]],Table1[default_flag],1)/COUNTIF(Table1[count_loan_perband],Table1[[#This Row],[count_loan_perband]])</f>
        <v>3.6423841059602648E-2</v>
      </c>
      <c r="AL494" s="2" t="str" cm="1">
        <f t="array" ref="AL494">_xlfn.IFS(Table1[[#This Row],[loan_amount]] &lt; 900000, "lower size (&lt; 9L)", Table1[[#This Row],[loan_amount]] &lt;=3300000, "medium size (&lt;=33L)", Table1[[#This Row],[loan_amount]] &gt; 3300000, "larger size (&gt; 33L)")</f>
        <v>lower size (&lt; 9L)</v>
      </c>
      <c r="AM494" s="2">
        <f>IF(Table1[[#This Row],[dpd]] &gt;=30,1,0)</f>
        <v>0</v>
      </c>
      <c r="AN494" s="2">
        <f>COUNTIFS(Table1[Loan size],Table1[[#This Row],[Loan size]],Table1[dpd flag],1)/COUNTIF(Table1[Loan size],Table1[[#This Row],[Loan size]])</f>
        <v>0.13934426229508196</v>
      </c>
      <c r="AO494" s="2" t="str">
        <f>IF(OR(Table1[[#This Row],[credit_score]] &lt; 600, Table1[ [#This Row],[dti_ratio] ] &gt; 0.5, Table1[[#This Row],[dpd]] &gt;=30), "high risk", " not riskY")</f>
        <v xml:space="preserve"> not riskY</v>
      </c>
      <c r="AP494" s="26">
        <f>EOMONTH(Table1[[#This Row],[origination_date]],0)</f>
        <v>45961</v>
      </c>
      <c r="AQ494" s="2">
        <f>SUMIFS(Table1[loan_amount],Table1[origination month],Table1[[#This Row],[origination month]])</f>
        <v>18211600</v>
      </c>
      <c r="AR494" s="2">
        <f>AVERAGEIFS(Table1[months_on_book],Table1[product],Table1[[#This Row],[product]])</f>
        <v>20.516129032258064</v>
      </c>
      <c r="AS494" s="2" t="str">
        <f ca="1">IF(EDATE(Table1[[#This Row],[origination_date]],6) &gt;= TODAY(), "New Loan", "Old Loan")</f>
        <v>New Loan</v>
      </c>
      <c r="AT494" s="2" t="str">
        <f>"Q"&amp;ROUNDUP(MONTH(Table1[[#This Row],[origination_date]])/3,0)&amp;YEAR(Table1[[#This Row],[origination_date]])</f>
        <v>Q42025</v>
      </c>
      <c r="AU494" s="2">
        <f>SUMIFS(Table1[loan_amount],Table1[quarter],Table1[[#This Row],[quarter]])</f>
        <v>38483800</v>
      </c>
      <c r="AV494" s="34" t="str">
        <f>_xlfn.TEXTJOIN("|",TRUE,Table1[[#This Row],[loan_id]:[loan_status]])</f>
        <v>L80054514|C3861919|45932|Home Loan|Online|East|Unemployed|36|334200|7|10319|150000|842|A|0.45|0.71|472000|2|20527|315233|0|0|0|Active</v>
      </c>
      <c r="AW494" s="42">
        <f>YEAR(Loan_Table[ [#This Row],[origination_date] ])</f>
        <v>2025</v>
      </c>
    </row>
    <row r="495" spans="2:49" ht="18" customHeight="1">
      <c r="B495" s="5" t="s">
        <v>1110</v>
      </c>
      <c r="C495" s="2" t="s">
        <v>1111</v>
      </c>
      <c r="D495" s="3">
        <v>45938</v>
      </c>
      <c r="E495" s="2" t="s">
        <v>163</v>
      </c>
      <c r="F495" s="2" t="s">
        <v>132</v>
      </c>
      <c r="G495" s="2" t="s">
        <v>170</v>
      </c>
      <c r="H495" s="2" t="s">
        <v>134</v>
      </c>
      <c r="I495" s="2">
        <v>36</v>
      </c>
      <c r="J495" s="2">
        <v>830100</v>
      </c>
      <c r="K495" s="2">
        <v>15.41</v>
      </c>
      <c r="L495" s="2">
        <v>28943</v>
      </c>
      <c r="M495" s="2">
        <v>360743</v>
      </c>
      <c r="N495" s="2">
        <v>586</v>
      </c>
      <c r="O495" s="2" t="s">
        <v>166</v>
      </c>
      <c r="P495" s="2">
        <v>0.44</v>
      </c>
      <c r="Q495" s="2">
        <v>0.65</v>
      </c>
      <c r="R495" s="2">
        <v>1283100</v>
      </c>
      <c r="S495" s="2">
        <v>2</v>
      </c>
      <c r="T495" s="2">
        <v>54571</v>
      </c>
      <c r="U495" s="2">
        <v>784057</v>
      </c>
      <c r="V495" s="2">
        <v>0</v>
      </c>
      <c r="W495" s="2">
        <v>0</v>
      </c>
      <c r="X495" s="2">
        <v>0</v>
      </c>
      <c r="Y495" s="2" t="s">
        <v>148</v>
      </c>
      <c r="Z495" s="12">
        <f>SUMIF(Table1[product],Table1[[#This Row],[product]],Table1[loan_amount])</f>
        <v>92273000</v>
      </c>
      <c r="AA495" s="15">
        <f>SUMIF(Table1[region],Table1[[#This Row],[region]],Table1[current_balance])</f>
        <v>83297251</v>
      </c>
      <c r="AB495" s="2">
        <f>COUNTIF(Table1[loan_status],Table1[[#This Row],[loan_status]])</f>
        <v>301</v>
      </c>
      <c r="AC495" s="2">
        <f>COUNTIF(Table1[default_flag],1)/ROWS(Table1[loan_id])</f>
        <v>2.5999999999999999E-2</v>
      </c>
      <c r="AD495" s="2">
        <f>COUNTIFS(Table1[region],Table1[[#This Row],[region]],Table1[default_flag],1)/COUNTIF(Table1[region],Table1[[#This Row],[region]])</f>
        <v>3.1914893617021274E-2</v>
      </c>
      <c r="AE495" s="2">
        <f>COUNTIFS(Table1[channel],Table1[[#This Row],[channel]],Table1[prepayment_flag],1)/COUNTIF(Table1[channel],Table1[[#This Row],[channel]])</f>
        <v>7.1090047393364927E-2</v>
      </c>
      <c r="AF495" s="2">
        <f>AVERAGEIFS(Table1[interest_rate_pct],Table1[product],Table1[[#This Row],[product]],Table1[risk_band],Table1[[#This Row],[risk_band]])</f>
        <v>17.744166666666668</v>
      </c>
      <c r="AG495" s="2" t="str" cm="1">
        <f t="array" ref="AG495">_xlfn.IFS(Table1[[#This Row],[dti_ratio]] &lt; 0.2, " less than 0.2", Table1[[#This Row],[dti_ratio]] &lt; 0.3, "0.2 - 0.3", Table1[[#This Row],[dti_ratio]] &lt;= 0.5, "0.35 - 0.5", Table1[[#This Row],[dti_ratio]] &gt; 0.5, "greater than 0.5")</f>
        <v>0.35 - 0.5</v>
      </c>
      <c r="AH495" s="2">
        <f>COUNTIF(Table1[DTI band],Table1[[#This Row],[DTI band]])</f>
        <v>260</v>
      </c>
      <c r="AI495" s="2" t="str" cm="1">
        <f t="array" ref="AI495">_xlfn.IFS(Table1[[#This Row],[ltv_ratio]] &lt; 0.6, "less than 0.6 -less risky", Table1[[#This Row],[ltv_ratio]]  &lt;= 0.8, "0.6 - 0.8 -medium risky",Table1[[#This Row],[ltv_ratio]] &gt; 0.8, "greater than 0.8 -highly risky")</f>
        <v>0.6 - 0.8 -medium risky</v>
      </c>
      <c r="AJ495" s="2">
        <f>COUNTIF(Table1[LTV band],Table1[[#This Row],[LTV band]])</f>
        <v>302</v>
      </c>
      <c r="AK495" s="2">
        <f>COUNTIFS(Table1[count_loan_perband],Table1[[#This Row],[count_loan_perband]],Table1[default_flag],1)/COUNTIF(Table1[count_loan_perband],Table1[[#This Row],[count_loan_perband]])</f>
        <v>3.6423841059602648E-2</v>
      </c>
      <c r="AL495" s="2" t="str" cm="1">
        <f t="array" ref="AL495">_xlfn.IFS(Table1[[#This Row],[loan_amount]] &lt; 900000, "lower size (&lt; 9L)", Table1[[#This Row],[loan_amount]] &lt;=3300000, "medium size (&lt;=33L)", Table1[[#This Row],[loan_amount]] &gt; 3300000, "larger size (&gt; 33L)")</f>
        <v>lower size (&lt; 9L)</v>
      </c>
      <c r="AM495" s="2">
        <f>IF(Table1[[#This Row],[dpd]] &gt;=30,1,0)</f>
        <v>0</v>
      </c>
      <c r="AN495" s="2">
        <f>COUNTIFS(Table1[Loan size],Table1[[#This Row],[Loan size]],Table1[dpd flag],1)/COUNTIF(Table1[Loan size],Table1[[#This Row],[Loan size]])</f>
        <v>0.13934426229508196</v>
      </c>
      <c r="AO495" s="2" t="str">
        <f>IF(OR(Table1[[#This Row],[credit_score]] &lt; 600, Table1[ [#This Row],[dti_ratio] ] &gt; 0.5, Table1[[#This Row],[dpd]] &gt;=30), "high risk", " not riskY")</f>
        <v>high risk</v>
      </c>
      <c r="AP495" s="26">
        <f>EOMONTH(Table1[[#This Row],[origination_date]],0)</f>
        <v>45961</v>
      </c>
      <c r="AQ495" s="2">
        <f>SUMIFS(Table1[loan_amount],Table1[origination month],Table1[[#This Row],[origination month]])</f>
        <v>18211600</v>
      </c>
      <c r="AR495" s="2">
        <f>AVERAGEIFS(Table1[months_on_book],Table1[product],Table1[[#This Row],[product]])</f>
        <v>20.262135922330096</v>
      </c>
      <c r="AS495" s="2" t="str">
        <f ca="1">IF(EDATE(Table1[[#This Row],[origination_date]],6) &gt;= TODAY(), "New Loan", "Old Loan")</f>
        <v>New Loan</v>
      </c>
      <c r="AT495" s="2" t="str">
        <f>"Q"&amp;ROUNDUP(MONTH(Table1[[#This Row],[origination_date]])/3,0)&amp;YEAR(Table1[[#This Row],[origination_date]])</f>
        <v>Q42025</v>
      </c>
      <c r="AU495" s="2">
        <f>SUMIFS(Table1[loan_amount],Table1[quarter],Table1[[#This Row],[quarter]])</f>
        <v>38483800</v>
      </c>
      <c r="AV495" s="34" t="str">
        <f>_xlfn.TEXTJOIN("|",TRUE,Table1[[#This Row],[loan_id]:[loan_status]])</f>
        <v>L18502000|C5858548|45938|Auto Loan|Online|East|Salaried|36|830100|15.41|28943|360743|586|E|0.44|0.65|1283100|2|54571|784057|0|0|0|Active</v>
      </c>
      <c r="AW495" s="42">
        <f>YEAR(Loan_Table[ [#This Row],[origination_date] ])</f>
        <v>2025</v>
      </c>
    </row>
    <row r="496" spans="2:49" ht="18" customHeight="1">
      <c r="B496" s="5" t="s">
        <v>1112</v>
      </c>
      <c r="C496" s="2" t="s">
        <v>1113</v>
      </c>
      <c r="D496" s="3">
        <v>45985</v>
      </c>
      <c r="E496" s="2" t="s">
        <v>163</v>
      </c>
      <c r="F496" s="2" t="s">
        <v>132</v>
      </c>
      <c r="G496" s="2" t="s">
        <v>133</v>
      </c>
      <c r="H496" s="2" t="s">
        <v>134</v>
      </c>
      <c r="I496" s="2">
        <v>18</v>
      </c>
      <c r="J496" s="2">
        <v>558000</v>
      </c>
      <c r="K496" s="2">
        <v>8.89</v>
      </c>
      <c r="L496" s="2">
        <v>33227</v>
      </c>
      <c r="M496" s="2">
        <v>1025635</v>
      </c>
      <c r="N496" s="2">
        <v>767</v>
      </c>
      <c r="O496" s="2" t="s">
        <v>160</v>
      </c>
      <c r="P496" s="2">
        <v>0.41</v>
      </c>
      <c r="Q496" s="2">
        <v>0.77</v>
      </c>
      <c r="R496" s="2">
        <v>722900</v>
      </c>
      <c r="S496" s="2">
        <v>1</v>
      </c>
      <c r="T496" s="2">
        <v>31301</v>
      </c>
      <c r="U496" s="2">
        <v>528353</v>
      </c>
      <c r="V496" s="2">
        <v>0</v>
      </c>
      <c r="W496" s="2">
        <v>0</v>
      </c>
      <c r="X496" s="2">
        <v>0</v>
      </c>
      <c r="Y496" s="2" t="s">
        <v>148</v>
      </c>
      <c r="Z496" s="12">
        <f>SUMIF(Table1[product],Table1[[#This Row],[product]],Table1[loan_amount])</f>
        <v>92273000</v>
      </c>
      <c r="AA496" s="15">
        <f>SUMIF(Table1[region],Table1[[#This Row],[region]],Table1[current_balance])</f>
        <v>94548000</v>
      </c>
      <c r="AB496" s="2">
        <f>COUNTIF(Table1[loan_status],Table1[[#This Row],[loan_status]])</f>
        <v>301</v>
      </c>
      <c r="AC496" s="2">
        <f>COUNTIF(Table1[default_flag],1)/ROWS(Table1[loan_id])</f>
        <v>2.5999999999999999E-2</v>
      </c>
      <c r="AD496" s="2">
        <f>COUNTIFS(Table1[region],Table1[[#This Row],[region]],Table1[default_flag],1)/COUNTIF(Table1[region],Table1[[#This Row],[region]])</f>
        <v>0</v>
      </c>
      <c r="AE496" s="2">
        <f>COUNTIFS(Table1[channel],Table1[[#This Row],[channel]],Table1[prepayment_flag],1)/COUNTIF(Table1[channel],Table1[[#This Row],[channel]])</f>
        <v>7.1090047393364927E-2</v>
      </c>
      <c r="AF496" s="2">
        <f>AVERAGEIFS(Table1[interest_rate_pct],Table1[product],Table1[[#This Row],[product]],Table1[risk_band],Table1[[#This Row],[risk_band]])</f>
        <v>7.9444999999999997</v>
      </c>
      <c r="AG496" s="2" t="str" cm="1">
        <f t="array" ref="AG496">_xlfn.IFS(Table1[[#This Row],[dti_ratio]] &lt; 0.2, " less than 0.2", Table1[[#This Row],[dti_ratio]] &lt; 0.3, "0.2 - 0.3", Table1[[#This Row],[dti_ratio]] &lt;= 0.5, "0.35 - 0.5", Table1[[#This Row],[dti_ratio]] &gt; 0.5, "greater than 0.5")</f>
        <v>0.35 - 0.5</v>
      </c>
      <c r="AH496" s="2">
        <f>COUNTIF(Table1[DTI band],Table1[[#This Row],[DTI band]])</f>
        <v>260</v>
      </c>
      <c r="AI496" s="2" t="str" cm="1">
        <f t="array" ref="AI496">_xlfn.IFS(Table1[[#This Row],[ltv_ratio]] &lt; 0.6, "less than 0.6 -less risky", Table1[[#This Row],[ltv_ratio]]  &lt;= 0.8, "0.6 - 0.8 -medium risky",Table1[[#This Row],[ltv_ratio]] &gt; 0.8, "greater than 0.8 -highly risky")</f>
        <v>0.6 - 0.8 -medium risky</v>
      </c>
      <c r="AJ496" s="2">
        <f>COUNTIF(Table1[LTV band],Table1[[#This Row],[LTV band]])</f>
        <v>302</v>
      </c>
      <c r="AK496" s="2">
        <f>COUNTIFS(Table1[count_loan_perband],Table1[[#This Row],[count_loan_perband]],Table1[default_flag],1)/COUNTIF(Table1[count_loan_perband],Table1[[#This Row],[count_loan_perband]])</f>
        <v>3.6423841059602648E-2</v>
      </c>
      <c r="AL496" s="2" t="str" cm="1">
        <f t="array" ref="AL496">_xlfn.IFS(Table1[[#This Row],[loan_amount]] &lt; 900000, "lower size (&lt; 9L)", Table1[[#This Row],[loan_amount]] &lt;=3300000, "medium size (&lt;=33L)", Table1[[#This Row],[loan_amount]] &gt; 3300000, "larger size (&gt; 33L)")</f>
        <v>lower size (&lt; 9L)</v>
      </c>
      <c r="AM496" s="2">
        <f>IF(Table1[[#This Row],[dpd]] &gt;=30,1,0)</f>
        <v>0</v>
      </c>
      <c r="AN496" s="2">
        <f>COUNTIFS(Table1[Loan size],Table1[[#This Row],[Loan size]],Table1[dpd flag],1)/COUNTIF(Table1[Loan size],Table1[[#This Row],[Loan size]])</f>
        <v>0.13934426229508196</v>
      </c>
      <c r="AO496" s="2" t="str">
        <f>IF(OR(Table1[[#This Row],[credit_score]] &lt; 600, Table1[ [#This Row],[dti_ratio] ] &gt; 0.5, Table1[[#This Row],[dpd]] &gt;=30), "high risk", " not riskY")</f>
        <v xml:space="preserve"> not riskY</v>
      </c>
      <c r="AP496" s="26">
        <f>EOMONTH(Table1[[#This Row],[origination_date]],0)</f>
        <v>45991</v>
      </c>
      <c r="AQ496" s="2">
        <f>SUMIFS(Table1[loan_amount],Table1[origination month],Table1[[#This Row],[origination month]])</f>
        <v>20272200</v>
      </c>
      <c r="AR496" s="2">
        <f>AVERAGEIFS(Table1[months_on_book],Table1[product],Table1[[#This Row],[product]])</f>
        <v>20.262135922330096</v>
      </c>
      <c r="AS496" s="2" t="str">
        <f ca="1">IF(EDATE(Table1[[#This Row],[origination_date]],6) &gt;= TODAY(), "New Loan", "Old Loan")</f>
        <v>New Loan</v>
      </c>
      <c r="AT496" s="2" t="str">
        <f>"Q"&amp;ROUNDUP(MONTH(Table1[[#This Row],[origination_date]])/3,0)&amp;YEAR(Table1[[#This Row],[origination_date]])</f>
        <v>Q42025</v>
      </c>
      <c r="AU496" s="2">
        <f>SUMIFS(Table1[loan_amount],Table1[quarter],Table1[[#This Row],[quarter]])</f>
        <v>38483800</v>
      </c>
      <c r="AV496" s="34" t="str">
        <f>_xlfn.TEXTJOIN("|",TRUE,Table1[[#This Row],[loan_id]:[loan_status]])</f>
        <v>L61186707|C3248188|45985|Auto Loan|Online|South|Salaried|18|558000|8.89|33227|1025635|767|A|0.41|0.77|722900|1|31301|528353|0|0|0|Active</v>
      </c>
      <c r="AW496" s="42">
        <f>YEAR(Loan_Table[ [#This Row],[origination_date] ])</f>
        <v>2025</v>
      </c>
    </row>
    <row r="497" spans="2:49" ht="18" customHeight="1">
      <c r="B497" s="5" t="s">
        <v>1114</v>
      </c>
      <c r="C497" s="2" t="s">
        <v>1115</v>
      </c>
      <c r="D497" s="3">
        <v>45939</v>
      </c>
      <c r="E497" s="2" t="s">
        <v>163</v>
      </c>
      <c r="F497" s="2" t="s">
        <v>144</v>
      </c>
      <c r="G497" s="2" t="s">
        <v>170</v>
      </c>
      <c r="H497" s="2" t="s">
        <v>134</v>
      </c>
      <c r="I497" s="2">
        <v>48</v>
      </c>
      <c r="J497" s="2">
        <v>1199600</v>
      </c>
      <c r="K497" s="2">
        <v>12.54</v>
      </c>
      <c r="L497" s="2">
        <v>31909</v>
      </c>
      <c r="M497" s="2">
        <v>610617</v>
      </c>
      <c r="N497" s="2">
        <v>681</v>
      </c>
      <c r="O497" s="2" t="s">
        <v>140</v>
      </c>
      <c r="P497" s="2">
        <v>0.41</v>
      </c>
      <c r="Q497" s="2">
        <v>0.63</v>
      </c>
      <c r="R497" s="2">
        <v>1901300</v>
      </c>
      <c r="S497" s="2">
        <v>2</v>
      </c>
      <c r="T497" s="2">
        <v>57795</v>
      </c>
      <c r="U497" s="2">
        <v>1151834</v>
      </c>
      <c r="V497" s="2">
        <v>0</v>
      </c>
      <c r="W497" s="2">
        <v>0</v>
      </c>
      <c r="X497" s="2">
        <v>0</v>
      </c>
      <c r="Y497" s="2" t="s">
        <v>148</v>
      </c>
      <c r="Z497" s="12">
        <f>SUMIF(Table1[product],Table1[[#This Row],[product]],Table1[loan_amount])</f>
        <v>92273000</v>
      </c>
      <c r="AA497" s="15">
        <f>SUMIF(Table1[region],Table1[[#This Row],[region]],Table1[current_balance])</f>
        <v>83297251</v>
      </c>
      <c r="AB497" s="2">
        <f>COUNTIF(Table1[loan_status],Table1[[#This Row],[loan_status]])</f>
        <v>301</v>
      </c>
      <c r="AC497" s="2">
        <f>COUNTIF(Table1[default_flag],1)/ROWS(Table1[loan_id])</f>
        <v>2.5999999999999999E-2</v>
      </c>
      <c r="AD497" s="2">
        <f>COUNTIFS(Table1[region],Table1[[#This Row],[region]],Table1[default_flag],1)/COUNTIF(Table1[region],Table1[[#This Row],[region]])</f>
        <v>3.1914893617021274E-2</v>
      </c>
      <c r="AE497" s="2">
        <f>COUNTIFS(Table1[channel],Table1[[#This Row],[channel]],Table1[prepayment_flag],1)/COUNTIF(Table1[channel],Table1[[#This Row],[channel]])</f>
        <v>5.8201058201058198E-2</v>
      </c>
      <c r="AF497" s="2">
        <f>AVERAGEIFS(Table1[interest_rate_pct],Table1[product],Table1[[#This Row],[product]],Table1[risk_band],Table1[[#This Row],[risk_band]])</f>
        <v>13.246500000000001</v>
      </c>
      <c r="AG497" s="2" t="str" cm="1">
        <f t="array" ref="AG497">_xlfn.IFS(Table1[[#This Row],[dti_ratio]] &lt; 0.2, " less than 0.2", Table1[[#This Row],[dti_ratio]] &lt; 0.3, "0.2 - 0.3", Table1[[#This Row],[dti_ratio]] &lt;= 0.5, "0.35 - 0.5", Table1[[#This Row],[dti_ratio]] &gt; 0.5, "greater than 0.5")</f>
        <v>0.35 - 0.5</v>
      </c>
      <c r="AH497" s="2">
        <f>COUNTIF(Table1[DTI band],Table1[[#This Row],[DTI band]])</f>
        <v>260</v>
      </c>
      <c r="AI497" s="2" t="str" cm="1">
        <f t="array" ref="AI497">_xlfn.IFS(Table1[[#This Row],[ltv_ratio]] &lt; 0.6, "less than 0.6 -less risky", Table1[[#This Row],[ltv_ratio]]  &lt;= 0.8, "0.6 - 0.8 -medium risky",Table1[[#This Row],[ltv_ratio]] &gt; 0.8, "greater than 0.8 -highly risky")</f>
        <v>0.6 - 0.8 -medium risky</v>
      </c>
      <c r="AJ497" s="2">
        <f>COUNTIF(Table1[LTV band],Table1[[#This Row],[LTV band]])</f>
        <v>302</v>
      </c>
      <c r="AK497" s="2">
        <f>COUNTIFS(Table1[count_loan_perband],Table1[[#This Row],[count_loan_perband]],Table1[default_flag],1)/COUNTIF(Table1[count_loan_perband],Table1[[#This Row],[count_loan_perband]])</f>
        <v>3.6423841059602648E-2</v>
      </c>
      <c r="AL497" s="2" t="str" cm="1">
        <f t="array" ref="AL497">_xlfn.IFS(Table1[[#This Row],[loan_amount]] &lt; 900000, "lower size (&lt; 9L)", Table1[[#This Row],[loan_amount]] &lt;=3300000, "medium size (&lt;=33L)", Table1[[#This Row],[loan_amount]] &gt; 3300000, "larger size (&gt; 33L)")</f>
        <v>medium size (&lt;=33L)</v>
      </c>
      <c r="AM497" s="2">
        <f>IF(Table1[[#This Row],[dpd]] &gt;=30,1,0)</f>
        <v>0</v>
      </c>
      <c r="AN497" s="2">
        <f>COUNTIFS(Table1[Loan size],Table1[[#This Row],[Loan size]],Table1[dpd flag],1)/COUNTIF(Table1[Loan size],Table1[[#This Row],[Loan size]])</f>
        <v>0.15909090909090909</v>
      </c>
      <c r="AO497" s="2" t="str">
        <f>IF(OR(Table1[[#This Row],[credit_score]] &lt; 600, Table1[ [#This Row],[dti_ratio] ] &gt; 0.5, Table1[[#This Row],[dpd]] &gt;=30), "high risk", " not riskY")</f>
        <v xml:space="preserve"> not riskY</v>
      </c>
      <c r="AP497" s="26">
        <f>EOMONTH(Table1[[#This Row],[origination_date]],0)</f>
        <v>45961</v>
      </c>
      <c r="AQ497" s="2">
        <f>SUMIFS(Table1[loan_amount],Table1[origination month],Table1[[#This Row],[origination month]])</f>
        <v>18211600</v>
      </c>
      <c r="AR497" s="2">
        <f>AVERAGEIFS(Table1[months_on_book],Table1[product],Table1[[#This Row],[product]])</f>
        <v>20.262135922330096</v>
      </c>
      <c r="AS497" s="2" t="str">
        <f ca="1">IF(EDATE(Table1[[#This Row],[origination_date]],6) &gt;= TODAY(), "New Loan", "Old Loan")</f>
        <v>New Loan</v>
      </c>
      <c r="AT497" s="2" t="str">
        <f>"Q"&amp;ROUNDUP(MONTH(Table1[[#This Row],[origination_date]])/3,0)&amp;YEAR(Table1[[#This Row],[origination_date]])</f>
        <v>Q42025</v>
      </c>
      <c r="AU497" s="2">
        <f>SUMIFS(Table1[loan_amount],Table1[quarter],Table1[[#This Row],[quarter]])</f>
        <v>38483800</v>
      </c>
      <c r="AV497" s="34" t="str">
        <f>_xlfn.TEXTJOIN("|",TRUE,Table1[[#This Row],[loan_id]:[loan_status]])</f>
        <v>L33717237|C5193866|45939|Auto Loan|Branch|East|Salaried|48|1199600|12.54|31909|610617|681|C|0.41|0.63|1901300|2|57795|1151834|0|0|0|Active</v>
      </c>
      <c r="AW497" s="42">
        <f>YEAR(Loan_Table[ [#This Row],[origination_date] ])</f>
        <v>2025</v>
      </c>
    </row>
    <row r="498" spans="2:49" ht="18" customHeight="1">
      <c r="B498" s="5" t="s">
        <v>1116</v>
      </c>
      <c r="C498" s="2" t="s">
        <v>1117</v>
      </c>
      <c r="D498" s="3">
        <v>45969</v>
      </c>
      <c r="E498" s="2" t="s">
        <v>163</v>
      </c>
      <c r="F498" s="2" t="s">
        <v>144</v>
      </c>
      <c r="G498" s="2" t="s">
        <v>151</v>
      </c>
      <c r="H498" s="2" t="s">
        <v>134</v>
      </c>
      <c r="I498" s="2">
        <v>12</v>
      </c>
      <c r="J498" s="2">
        <v>725600</v>
      </c>
      <c r="K498" s="2">
        <v>10.83</v>
      </c>
      <c r="L498" s="2">
        <v>64072</v>
      </c>
      <c r="M498" s="2">
        <v>703843</v>
      </c>
      <c r="N498" s="2">
        <v>716</v>
      </c>
      <c r="O498" s="2" t="s">
        <v>135</v>
      </c>
      <c r="P498" s="2">
        <v>0.4</v>
      </c>
      <c r="Q498" s="2">
        <v>0.73</v>
      </c>
      <c r="R498" s="2">
        <v>989000</v>
      </c>
      <c r="S498" s="2">
        <v>1</v>
      </c>
      <c r="T498" s="2">
        <v>64695</v>
      </c>
      <c r="U498" s="2">
        <v>663524</v>
      </c>
      <c r="V498" s="2">
        <v>0</v>
      </c>
      <c r="W498" s="2">
        <v>0</v>
      </c>
      <c r="X498" s="2">
        <v>0</v>
      </c>
      <c r="Y498" s="2" t="s">
        <v>148</v>
      </c>
      <c r="Z498" s="12">
        <f>SUMIF(Table1[product],Table1[[#This Row],[product]],Table1[loan_amount])</f>
        <v>92273000</v>
      </c>
      <c r="AA498" s="15">
        <f>SUMIF(Table1[region],Table1[[#This Row],[region]],Table1[current_balance])</f>
        <v>105779369</v>
      </c>
      <c r="AB498" s="2">
        <f>COUNTIF(Table1[loan_status],Table1[[#This Row],[loan_status]])</f>
        <v>301</v>
      </c>
      <c r="AC498" s="2">
        <f>COUNTIF(Table1[default_flag],1)/ROWS(Table1[loan_id])</f>
        <v>2.5999999999999999E-2</v>
      </c>
      <c r="AD498" s="2">
        <f>COUNTIFS(Table1[region],Table1[[#This Row],[region]],Table1[default_flag],1)/COUNTIF(Table1[region],Table1[[#This Row],[region]])</f>
        <v>2.6548672566371681E-2</v>
      </c>
      <c r="AE498" s="2">
        <f>COUNTIFS(Table1[channel],Table1[[#This Row],[channel]],Table1[prepayment_flag],1)/COUNTIF(Table1[channel],Table1[[#This Row],[channel]])</f>
        <v>5.8201058201058198E-2</v>
      </c>
      <c r="AF498" s="2">
        <f>AVERAGEIFS(Table1[interest_rate_pct],Table1[product],Table1[[#This Row],[product]],Table1[risk_band],Table1[[#This Row],[risk_band]])</f>
        <v>10.611923076923079</v>
      </c>
      <c r="AG498" s="2" t="str" cm="1">
        <f t="array" ref="AG498">_xlfn.IFS(Table1[[#This Row],[dti_ratio]] &lt; 0.2, " less than 0.2", Table1[[#This Row],[dti_ratio]] &lt; 0.3, "0.2 - 0.3", Table1[[#This Row],[dti_ratio]] &lt;= 0.5, "0.35 - 0.5", Table1[[#This Row],[dti_ratio]] &gt; 0.5, "greater than 0.5")</f>
        <v>0.35 - 0.5</v>
      </c>
      <c r="AH498" s="2">
        <f>COUNTIF(Table1[DTI band],Table1[[#This Row],[DTI band]])</f>
        <v>260</v>
      </c>
      <c r="AI498" s="2" t="str" cm="1">
        <f t="array" ref="AI498">_xlfn.IFS(Table1[[#This Row],[ltv_ratio]] &lt; 0.6, "less than 0.6 -less risky", Table1[[#This Row],[ltv_ratio]]  &lt;= 0.8, "0.6 - 0.8 -medium risky",Table1[[#This Row],[ltv_ratio]] &gt; 0.8, "greater than 0.8 -highly risky")</f>
        <v>0.6 - 0.8 -medium risky</v>
      </c>
      <c r="AJ498" s="2">
        <f>COUNTIF(Table1[LTV band],Table1[[#This Row],[LTV band]])</f>
        <v>302</v>
      </c>
      <c r="AK498" s="2">
        <f>COUNTIFS(Table1[count_loan_perband],Table1[[#This Row],[count_loan_perband]],Table1[default_flag],1)/COUNTIF(Table1[count_loan_perband],Table1[[#This Row],[count_loan_perband]])</f>
        <v>3.6423841059602648E-2</v>
      </c>
      <c r="AL498" s="2" t="str" cm="1">
        <f t="array" ref="AL498">_xlfn.IFS(Table1[[#This Row],[loan_amount]] &lt; 900000, "lower size (&lt; 9L)", Table1[[#This Row],[loan_amount]] &lt;=3300000, "medium size (&lt;=33L)", Table1[[#This Row],[loan_amount]] &gt; 3300000, "larger size (&gt; 33L)")</f>
        <v>lower size (&lt; 9L)</v>
      </c>
      <c r="AM498" s="2">
        <f>IF(Table1[[#This Row],[dpd]] &gt;=30,1,0)</f>
        <v>0</v>
      </c>
      <c r="AN498" s="2">
        <f>COUNTIFS(Table1[Loan size],Table1[[#This Row],[Loan size]],Table1[dpd flag],1)/COUNTIF(Table1[Loan size],Table1[[#This Row],[Loan size]])</f>
        <v>0.13934426229508196</v>
      </c>
      <c r="AO498" s="2" t="str">
        <f>IF(OR(Table1[[#This Row],[credit_score]] &lt; 600, Table1[ [#This Row],[dti_ratio] ] &gt; 0.5, Table1[[#This Row],[dpd]] &gt;=30), "high risk", " not riskY")</f>
        <v xml:space="preserve"> not riskY</v>
      </c>
      <c r="AP498" s="26">
        <f>EOMONTH(Table1[[#This Row],[origination_date]],0)</f>
        <v>45991</v>
      </c>
      <c r="AQ498" s="2">
        <f>SUMIFS(Table1[loan_amount],Table1[origination month],Table1[[#This Row],[origination month]])</f>
        <v>20272200</v>
      </c>
      <c r="AR498" s="2">
        <f>AVERAGEIFS(Table1[months_on_book],Table1[product],Table1[[#This Row],[product]])</f>
        <v>20.262135922330096</v>
      </c>
      <c r="AS498" s="2" t="str">
        <f ca="1">IF(EDATE(Table1[[#This Row],[origination_date]],6) &gt;= TODAY(), "New Loan", "Old Loan")</f>
        <v>New Loan</v>
      </c>
      <c r="AT498" s="2" t="str">
        <f>"Q"&amp;ROUNDUP(MONTH(Table1[[#This Row],[origination_date]])/3,0)&amp;YEAR(Table1[[#This Row],[origination_date]])</f>
        <v>Q42025</v>
      </c>
      <c r="AU498" s="2">
        <f>SUMIFS(Table1[loan_amount],Table1[quarter],Table1[[#This Row],[quarter]])</f>
        <v>38483800</v>
      </c>
      <c r="AV498" s="34" t="str">
        <f>_xlfn.TEXTJOIN("|",TRUE,Table1[[#This Row],[loan_id]:[loan_status]])</f>
        <v>L23338758|C4607055|45969|Auto Loan|Branch|North|Salaried|12|725600|10.83|64072|703843|716|B|0.4|0.73|989000|1|64695|663524|0|0|0|Active</v>
      </c>
      <c r="AW498" s="42">
        <f>YEAR(Loan_Table[ [#This Row],[origination_date] ])</f>
        <v>2025</v>
      </c>
    </row>
    <row r="499" spans="2:49" ht="18" customHeight="1">
      <c r="B499" s="5" t="s">
        <v>1118</v>
      </c>
      <c r="C499" s="2" t="s">
        <v>1119</v>
      </c>
      <c r="D499" s="3">
        <v>45969</v>
      </c>
      <c r="E499" s="2" t="s">
        <v>177</v>
      </c>
      <c r="F499" s="2" t="s">
        <v>159</v>
      </c>
      <c r="G499" s="2" t="s">
        <v>151</v>
      </c>
      <c r="H499" s="2" t="s">
        <v>134</v>
      </c>
      <c r="I499" s="2">
        <v>36</v>
      </c>
      <c r="J499" s="2">
        <v>1487900</v>
      </c>
      <c r="K499" s="2">
        <v>14.69</v>
      </c>
      <c r="L499" s="2">
        <v>51353</v>
      </c>
      <c r="M499" s="2">
        <v>1094016</v>
      </c>
      <c r="N499" s="2">
        <v>674</v>
      </c>
      <c r="O499" s="2" t="s">
        <v>140</v>
      </c>
      <c r="P499" s="2">
        <v>0.39</v>
      </c>
      <c r="Q499" s="2">
        <v>0.76</v>
      </c>
      <c r="R499" s="2">
        <v>0</v>
      </c>
      <c r="S499" s="2">
        <v>1</v>
      </c>
      <c r="T499" s="2">
        <v>51921</v>
      </c>
      <c r="U499" s="2">
        <v>1443265</v>
      </c>
      <c r="V499" s="2">
        <v>60</v>
      </c>
      <c r="W499" s="2">
        <v>0</v>
      </c>
      <c r="X499" s="2">
        <v>0</v>
      </c>
      <c r="Y499" s="2" t="s">
        <v>136</v>
      </c>
      <c r="Z499" s="12">
        <f>SUMIF(Table1[product],Table1[[#This Row],[product]],Table1[loan_amount])</f>
        <v>62765800</v>
      </c>
      <c r="AA499" s="15">
        <f>SUMIF(Table1[region],Table1[[#This Row],[region]],Table1[current_balance])</f>
        <v>105779369</v>
      </c>
      <c r="AB499" s="2">
        <f>COUNTIF(Table1[loan_status],Table1[[#This Row],[loan_status]])</f>
        <v>47</v>
      </c>
      <c r="AC499" s="2">
        <f>COUNTIF(Table1[default_flag],1)/ROWS(Table1[loan_id])</f>
        <v>2.5999999999999999E-2</v>
      </c>
      <c r="AD499" s="2">
        <f>COUNTIFS(Table1[region],Table1[[#This Row],[region]],Table1[default_flag],1)/COUNTIF(Table1[region],Table1[[#This Row],[region]])</f>
        <v>2.6548672566371681E-2</v>
      </c>
      <c r="AE499" s="2">
        <f>COUNTIFS(Table1[channel],Table1[[#This Row],[channel]],Table1[prepayment_flag],1)/COUNTIF(Table1[channel],Table1[[#This Row],[channel]])</f>
        <v>0.1</v>
      </c>
      <c r="AF499" s="2">
        <f>AVERAGEIFS(Table1[interest_rate_pct],Table1[product],Table1[[#This Row],[product]],Table1[risk_band],Table1[[#This Row],[risk_band]])</f>
        <v>13.463888888888889</v>
      </c>
      <c r="AG499" s="2" t="str" cm="1">
        <f t="array" ref="AG499">_xlfn.IFS(Table1[[#This Row],[dti_ratio]] &lt; 0.2, " less than 0.2", Table1[[#This Row],[dti_ratio]] &lt; 0.3, "0.2 - 0.3", Table1[[#This Row],[dti_ratio]] &lt;= 0.5, "0.35 - 0.5", Table1[[#This Row],[dti_ratio]] &gt; 0.5, "greater than 0.5")</f>
        <v>0.35 - 0.5</v>
      </c>
      <c r="AH499" s="2">
        <f>COUNTIF(Table1[DTI band],Table1[[#This Row],[DTI band]])</f>
        <v>260</v>
      </c>
      <c r="AI499" s="2" t="str" cm="1">
        <f t="array" ref="AI499">_xlfn.IFS(Table1[[#This Row],[ltv_ratio]] &lt; 0.6, "less than 0.6 -less risky", Table1[[#This Row],[ltv_ratio]]  &lt;= 0.8, "0.6 - 0.8 -medium risky",Table1[[#This Row],[ltv_ratio]] &gt; 0.8, "greater than 0.8 -highly risky")</f>
        <v>0.6 - 0.8 -medium risky</v>
      </c>
      <c r="AJ499" s="2">
        <f>COUNTIF(Table1[LTV band],Table1[[#This Row],[LTV band]])</f>
        <v>302</v>
      </c>
      <c r="AK499" s="2">
        <f>COUNTIFS(Table1[count_loan_perband],Table1[[#This Row],[count_loan_perband]],Table1[default_flag],1)/COUNTIF(Table1[count_loan_perband],Table1[[#This Row],[count_loan_perband]])</f>
        <v>3.6423841059602648E-2</v>
      </c>
      <c r="AL499" s="2" t="str" cm="1">
        <f t="array" ref="AL499">_xlfn.IFS(Table1[[#This Row],[loan_amount]] &lt; 900000, "lower size (&lt; 9L)", Table1[[#This Row],[loan_amount]] &lt;=3300000, "medium size (&lt;=33L)", Table1[[#This Row],[loan_amount]] &gt; 3300000, "larger size (&gt; 33L)")</f>
        <v>medium size (&lt;=33L)</v>
      </c>
      <c r="AM499" s="2">
        <f>IF(Table1[[#This Row],[dpd]] &gt;=30,1,0)</f>
        <v>1</v>
      </c>
      <c r="AN499" s="2">
        <f>COUNTIFS(Table1[Loan size],Table1[[#This Row],[Loan size]],Table1[dpd flag],1)/COUNTIF(Table1[Loan size],Table1[[#This Row],[Loan size]])</f>
        <v>0.15909090909090909</v>
      </c>
      <c r="AO499" s="2" t="str">
        <f>IF(OR(Table1[[#This Row],[credit_score]] &lt; 600, Table1[ [#This Row],[dti_ratio] ] &gt; 0.5, Table1[[#This Row],[dpd]] &gt;=30), "high risk", " not riskY")</f>
        <v>high risk</v>
      </c>
      <c r="AP499" s="26">
        <f>EOMONTH(Table1[[#This Row],[origination_date]],0)</f>
        <v>45991</v>
      </c>
      <c r="AQ499" s="2">
        <f>SUMIFS(Table1[loan_amount],Table1[origination month],Table1[[#This Row],[origination month]])</f>
        <v>20272200</v>
      </c>
      <c r="AR499" s="2">
        <f>AVERAGEIFS(Table1[months_on_book],Table1[product],Table1[[#This Row],[product]])</f>
        <v>21.962962962962962</v>
      </c>
      <c r="AS499" s="2" t="str">
        <f ca="1">IF(EDATE(Table1[[#This Row],[origination_date]],6) &gt;= TODAY(), "New Loan", "Old Loan")</f>
        <v>New Loan</v>
      </c>
      <c r="AT499" s="2" t="str">
        <f>"Q"&amp;ROUNDUP(MONTH(Table1[[#This Row],[origination_date]])/3,0)&amp;YEAR(Table1[[#This Row],[origination_date]])</f>
        <v>Q42025</v>
      </c>
      <c r="AU499" s="2">
        <f>SUMIFS(Table1[loan_amount],Table1[quarter],Table1[[#This Row],[quarter]])</f>
        <v>38483800</v>
      </c>
      <c r="AV499" s="34" t="str">
        <f>_xlfn.TEXTJOIN("|",TRUE,Table1[[#This Row],[loan_id]:[loan_status]])</f>
        <v>L43048809|C5702978|45969|Education Loan|Partner|North|Salaried|36|1487900|14.69|51353|1094016|674|C|0.39|0.76|0|1|51921|1443265|60|0|0|Delinquent</v>
      </c>
      <c r="AW499" s="42">
        <f>YEAR(Loan_Table[ [#This Row],[origination_date] ])</f>
        <v>2025</v>
      </c>
    </row>
    <row r="500" spans="2:49" ht="18" customHeight="1">
      <c r="B500" s="5" t="s">
        <v>1120</v>
      </c>
      <c r="C500" s="2" t="s">
        <v>1121</v>
      </c>
      <c r="D500" s="3">
        <v>45985</v>
      </c>
      <c r="E500" s="2" t="s">
        <v>131</v>
      </c>
      <c r="F500" s="2" t="s">
        <v>132</v>
      </c>
      <c r="G500" s="2" t="s">
        <v>133</v>
      </c>
      <c r="H500" s="2" t="s">
        <v>192</v>
      </c>
      <c r="I500" s="2">
        <v>60</v>
      </c>
      <c r="J500" s="2">
        <v>1078600</v>
      </c>
      <c r="K500" s="2">
        <v>19.43</v>
      </c>
      <c r="L500" s="2">
        <v>28235</v>
      </c>
      <c r="M500" s="2">
        <v>1331156</v>
      </c>
      <c r="N500" s="2">
        <v>668</v>
      </c>
      <c r="O500" s="2" t="s">
        <v>140</v>
      </c>
      <c r="P500" s="2">
        <v>0.39</v>
      </c>
      <c r="Q500" s="2">
        <v>0.57999999999999996</v>
      </c>
      <c r="R500" s="2">
        <v>0</v>
      </c>
      <c r="S500" s="2">
        <v>1</v>
      </c>
      <c r="T500" s="2">
        <v>28005</v>
      </c>
      <c r="U500" s="2">
        <v>1057581</v>
      </c>
      <c r="V500" s="2">
        <v>45</v>
      </c>
      <c r="W500" s="2">
        <v>0</v>
      </c>
      <c r="X500" s="2">
        <v>0</v>
      </c>
      <c r="Y500" s="2" t="s">
        <v>136</v>
      </c>
      <c r="Z500" s="12">
        <f>SUMIF(Table1[product],Table1[[#This Row],[product]],Table1[loan_amount])</f>
        <v>74897600</v>
      </c>
      <c r="AA500" s="15">
        <f>SUMIF(Table1[region],Table1[[#This Row],[region]],Table1[current_balance])</f>
        <v>94548000</v>
      </c>
      <c r="AB500" s="2">
        <f>COUNTIF(Table1[loan_status],Table1[[#This Row],[loan_status]])</f>
        <v>47</v>
      </c>
      <c r="AC500" s="2">
        <f>COUNTIF(Table1[default_flag],1)/ROWS(Table1[loan_id])</f>
        <v>2.5999999999999999E-2</v>
      </c>
      <c r="AD500" s="2">
        <f>COUNTIFS(Table1[region],Table1[[#This Row],[region]],Table1[default_flag],1)/COUNTIF(Table1[region],Table1[[#This Row],[region]])</f>
        <v>0</v>
      </c>
      <c r="AE500" s="2">
        <f>COUNTIFS(Table1[channel],Table1[[#This Row],[channel]],Table1[prepayment_flag],1)/COUNTIF(Table1[channel],Table1[[#This Row],[channel]])</f>
        <v>7.1090047393364927E-2</v>
      </c>
      <c r="AF500" s="2">
        <f>AVERAGEIFS(Table1[interest_rate_pct],Table1[product],Table1[[#This Row],[product]],Table1[risk_band],Table1[[#This Row],[risk_band]])</f>
        <v>18.603181818181817</v>
      </c>
      <c r="AG500" s="2" t="str" cm="1">
        <f t="array" ref="AG500">_xlfn.IFS(Table1[[#This Row],[dti_ratio]] &lt; 0.2, " less than 0.2", Table1[[#This Row],[dti_ratio]] &lt; 0.3, "0.2 - 0.3", Table1[[#This Row],[dti_ratio]] &lt;= 0.5, "0.35 - 0.5", Table1[[#This Row],[dti_ratio]] &gt; 0.5, "greater than 0.5")</f>
        <v>0.35 - 0.5</v>
      </c>
      <c r="AH500" s="2">
        <f>COUNTIF(Table1[DTI band],Table1[[#This Row],[DTI band]])</f>
        <v>260</v>
      </c>
      <c r="AI500" s="2" t="str" cm="1">
        <f t="array" ref="AI500">_xlfn.IFS(Table1[[#This Row],[ltv_ratio]] &lt; 0.6, "less than 0.6 -less risky", Table1[[#This Row],[ltv_ratio]]  &lt;= 0.8, "0.6 - 0.8 -medium risky",Table1[[#This Row],[ltv_ratio]] &gt; 0.8, "greater than 0.8 -highly risky")</f>
        <v>less than 0.6 -less risky</v>
      </c>
      <c r="AJ500" s="2">
        <f>COUNTIF(Table1[LTV band],Table1[[#This Row],[LTV band]])</f>
        <v>57</v>
      </c>
      <c r="AK500" s="2">
        <f>COUNTIFS(Table1[count_loan_perband],Table1[[#This Row],[count_loan_perband]],Table1[default_flag],1)/COUNTIF(Table1[count_loan_perband],Table1[[#This Row],[count_loan_perband]])</f>
        <v>0</v>
      </c>
      <c r="AL500" s="2" t="str" cm="1">
        <f t="array" ref="AL500">_xlfn.IFS(Table1[[#This Row],[loan_amount]] &lt; 900000, "lower size (&lt; 9L)", Table1[[#This Row],[loan_amount]] &lt;=3300000, "medium size (&lt;=33L)", Table1[[#This Row],[loan_amount]] &gt; 3300000, "larger size (&gt; 33L)")</f>
        <v>medium size (&lt;=33L)</v>
      </c>
      <c r="AM500" s="2">
        <f>IF(Table1[[#This Row],[dpd]] &gt;=30,1,0)</f>
        <v>1</v>
      </c>
      <c r="AN500" s="2">
        <f>COUNTIFS(Table1[Loan size],Table1[[#This Row],[Loan size]],Table1[dpd flag],1)/COUNTIF(Table1[Loan size],Table1[[#This Row],[Loan size]])</f>
        <v>0.15909090909090909</v>
      </c>
      <c r="AO500" s="2" t="str">
        <f>IF(OR(Table1[[#This Row],[credit_score]] &lt; 600, Table1[ [#This Row],[dti_ratio] ] &gt; 0.5, Table1[[#This Row],[dpd]] &gt;=30), "high risk", " not riskY")</f>
        <v>high risk</v>
      </c>
      <c r="AP500" s="26">
        <f>EOMONTH(Table1[[#This Row],[origination_date]],0)</f>
        <v>45991</v>
      </c>
      <c r="AQ500" s="2">
        <f>SUMIFS(Table1[loan_amount],Table1[origination month],Table1[[#This Row],[origination month]])</f>
        <v>20272200</v>
      </c>
      <c r="AR500" s="2">
        <f>AVERAGEIFS(Table1[months_on_book],Table1[product],Table1[[#This Row],[product]])</f>
        <v>21.092024539877301</v>
      </c>
      <c r="AS500" s="2" t="str">
        <f ca="1">IF(EDATE(Table1[[#This Row],[origination_date]],6) &gt;= TODAY(), "New Loan", "Old Loan")</f>
        <v>New Loan</v>
      </c>
      <c r="AT500" s="2" t="str">
        <f>"Q"&amp;ROUNDUP(MONTH(Table1[[#This Row],[origination_date]])/3,0)&amp;YEAR(Table1[[#This Row],[origination_date]])</f>
        <v>Q42025</v>
      </c>
      <c r="AU500" s="2">
        <f>SUMIFS(Table1[loan_amount],Table1[quarter],Table1[[#This Row],[quarter]])</f>
        <v>38483800</v>
      </c>
      <c r="AV500" s="34" t="str">
        <f>_xlfn.TEXTJOIN("|",TRUE,Table1[[#This Row],[loan_id]:[loan_status]])</f>
        <v>L27517483|C5540736|45985|Personal Loan|Online|South|Unemployed|60|1078600|19.43|28235|1331156|668|C|0.39|0.58|0|1|28005|1057581|45|0|0|Delinquent</v>
      </c>
      <c r="AW500" s="42">
        <f>YEAR(Loan_Table[ [#This Row],[origination_date] ])</f>
        <v>2025</v>
      </c>
    </row>
    <row r="501" spans="2:49" ht="18" customHeight="1">
      <c r="B501" s="5" t="s">
        <v>1122</v>
      </c>
      <c r="C501" s="2" t="s">
        <v>1123</v>
      </c>
      <c r="D501" s="3">
        <v>45969</v>
      </c>
      <c r="E501" s="2" t="s">
        <v>163</v>
      </c>
      <c r="F501" s="2" t="s">
        <v>144</v>
      </c>
      <c r="G501" s="2" t="s">
        <v>145</v>
      </c>
      <c r="H501" s="2" t="s">
        <v>152</v>
      </c>
      <c r="I501" s="2">
        <v>60</v>
      </c>
      <c r="J501" s="2">
        <v>1013600</v>
      </c>
      <c r="K501" s="2">
        <v>9.69</v>
      </c>
      <c r="L501" s="2">
        <v>21382</v>
      </c>
      <c r="M501" s="2">
        <v>1402592</v>
      </c>
      <c r="N501" s="2">
        <v>735</v>
      </c>
      <c r="O501" s="2" t="s">
        <v>135</v>
      </c>
      <c r="P501" s="2">
        <v>0.38</v>
      </c>
      <c r="Q501" s="2">
        <v>0.82</v>
      </c>
      <c r="R501" s="2">
        <v>1237700</v>
      </c>
      <c r="S501" s="2">
        <v>1</v>
      </c>
      <c r="T501" s="2">
        <v>19055</v>
      </c>
      <c r="U501" s="2">
        <v>997819</v>
      </c>
      <c r="V501" s="2">
        <v>0</v>
      </c>
      <c r="W501" s="2">
        <v>1</v>
      </c>
      <c r="X501" s="2">
        <v>0</v>
      </c>
      <c r="Y501" s="2" t="s">
        <v>141</v>
      </c>
      <c r="Z501" s="12">
        <f>SUMIF(Table1[product],Table1[[#This Row],[product]],Table1[loan_amount])</f>
        <v>92273000</v>
      </c>
      <c r="AA501" s="15">
        <f>SUMIF(Table1[region],Table1[[#This Row],[region]],Table1[current_balance])</f>
        <v>98928695</v>
      </c>
      <c r="AB501" s="2">
        <f>COUNTIF(Table1[loan_status],Table1[[#This Row],[loan_status]])</f>
        <v>139</v>
      </c>
      <c r="AC501" s="2">
        <f>COUNTIF(Table1[default_flag],1)/ROWS(Table1[loan_id])</f>
        <v>2.5999999999999999E-2</v>
      </c>
      <c r="AD501" s="2">
        <f>COUNTIFS(Table1[region],Table1[[#This Row],[region]],Table1[default_flag],1)/COUNTIF(Table1[region],Table1[[#This Row],[region]])</f>
        <v>2.8571428571428571E-2</v>
      </c>
      <c r="AE501" s="2">
        <f>COUNTIFS(Table1[channel],Table1[[#This Row],[channel]],Table1[prepayment_flag],1)/COUNTIF(Table1[channel],Table1[[#This Row],[channel]])</f>
        <v>5.8201058201058198E-2</v>
      </c>
      <c r="AF501" s="2">
        <f>AVERAGEIFS(Table1[interest_rate_pct],Table1[product],Table1[[#This Row],[product]],Table1[risk_band],Table1[[#This Row],[risk_band]])</f>
        <v>10.611923076923079</v>
      </c>
      <c r="AG501" s="2" t="str" cm="1">
        <f t="array" ref="AG501">_xlfn.IFS(Table1[[#This Row],[dti_ratio]] &lt; 0.2, " less than 0.2", Table1[[#This Row],[dti_ratio]] &lt; 0.3, "0.2 - 0.3", Table1[[#This Row],[dti_ratio]] &lt;= 0.5, "0.35 - 0.5", Table1[[#This Row],[dti_ratio]] &gt; 0.5, "greater than 0.5")</f>
        <v>0.35 - 0.5</v>
      </c>
      <c r="AH501" s="2">
        <f>COUNTIF(Table1[DTI band],Table1[[#This Row],[DTI band]])</f>
        <v>260</v>
      </c>
      <c r="AI501" s="2" t="str" cm="1">
        <f t="array" ref="AI501">_xlfn.IFS(Table1[[#This Row],[ltv_ratio]] &lt; 0.6, "less than 0.6 -less risky", Table1[[#This Row],[ltv_ratio]]  &lt;= 0.8, "0.6 - 0.8 -medium risky",Table1[[#This Row],[ltv_ratio]] &gt; 0.8, "greater than 0.8 -highly risky")</f>
        <v>greater than 0.8 -highly risky</v>
      </c>
      <c r="AJ501" s="2">
        <f>COUNTIF(Table1[LTV band],Table1[[#This Row],[LTV band]])</f>
        <v>141</v>
      </c>
      <c r="AK501" s="2">
        <f>COUNTIFS(Table1[count_loan_perband],Table1[[#This Row],[count_loan_perband]],Table1[default_flag],1)/COUNTIF(Table1[count_loan_perband],Table1[[#This Row],[count_loan_perband]])</f>
        <v>1.4184397163120567E-2</v>
      </c>
      <c r="AL501" s="2" t="str" cm="1">
        <f t="array" ref="AL501">_xlfn.IFS(Table1[[#This Row],[loan_amount]] &lt; 900000, "lower size (&lt; 9L)", Table1[[#This Row],[loan_amount]] &lt;=3300000, "medium size (&lt;=33L)", Table1[[#This Row],[loan_amount]] &gt; 3300000, "larger size (&gt; 33L)")</f>
        <v>medium size (&lt;=33L)</v>
      </c>
      <c r="AM501" s="2">
        <f>IF(Table1[[#This Row],[dpd]] &gt;=30,1,0)</f>
        <v>0</v>
      </c>
      <c r="AN501" s="2">
        <f>COUNTIFS(Table1[Loan size],Table1[[#This Row],[Loan size]],Table1[dpd flag],1)/COUNTIF(Table1[Loan size],Table1[[#This Row],[Loan size]])</f>
        <v>0.15909090909090909</v>
      </c>
      <c r="AO501" s="2" t="str">
        <f>IF(OR(Table1[[#This Row],[credit_score]] &lt; 600, Table1[ [#This Row],[dti_ratio] ] &gt; 0.5, Table1[[#This Row],[dpd]] &gt;=30), "high risk", " not riskY")</f>
        <v xml:space="preserve"> not riskY</v>
      </c>
      <c r="AP501" s="26">
        <f>EOMONTH(Table1[[#This Row],[origination_date]],0)</f>
        <v>45991</v>
      </c>
      <c r="AQ501" s="2">
        <f>SUMIFS(Table1[loan_amount],Table1[origination month],Table1[[#This Row],[origination month]])</f>
        <v>20272200</v>
      </c>
      <c r="AR501" s="2">
        <f>AVERAGEIFS(Table1[months_on_book],Table1[product],Table1[[#This Row],[product]])</f>
        <v>20.262135922330096</v>
      </c>
      <c r="AS501" s="2" t="str">
        <f ca="1">IF(EDATE(Table1[[#This Row],[origination_date]],6) &gt;= TODAY(), "New Loan", "Old Loan")</f>
        <v>New Loan</v>
      </c>
      <c r="AT501" s="2" t="str">
        <f>"Q"&amp;ROUNDUP(MONTH(Table1[[#This Row],[origination_date]])/3,0)&amp;YEAR(Table1[[#This Row],[origination_date]])</f>
        <v>Q42025</v>
      </c>
      <c r="AU501" s="2">
        <f>SUMIFS(Table1[loan_amount],Table1[quarter],Table1[[#This Row],[quarter]])</f>
        <v>38483800</v>
      </c>
      <c r="AV501" s="34" t="str">
        <f>_xlfn.TEXTJOIN("|",TRUE,Table1[[#This Row],[loan_id]:[loan_status]])</f>
        <v>L82779467|C1789381|45969|Auto Loan|Branch|Central|Self-Employed|60|1013600|9.69|21382|1402592|735|B|0.38|0.82|1237700|1|19055|997819|0|1|0|Closed</v>
      </c>
      <c r="AW501" s="42">
        <f>YEAR(Loan_Table[ [#This Row],[origination_date] ])</f>
        <v>2025</v>
      </c>
    </row>
    <row r="502" spans="2:49" ht="18" customHeight="1">
      <c r="B502" s="5" t="s">
        <v>1124</v>
      </c>
      <c r="C502" s="2" t="s">
        <v>1125</v>
      </c>
      <c r="D502" s="3">
        <v>45931</v>
      </c>
      <c r="E502" s="2" t="s">
        <v>177</v>
      </c>
      <c r="F502" s="2" t="s">
        <v>132</v>
      </c>
      <c r="G502" s="2" t="s">
        <v>151</v>
      </c>
      <c r="H502" s="2" t="s">
        <v>134</v>
      </c>
      <c r="I502" s="2">
        <v>60</v>
      </c>
      <c r="J502" s="2">
        <v>1232500</v>
      </c>
      <c r="K502" s="2">
        <v>11.2</v>
      </c>
      <c r="L502" s="2">
        <v>26921</v>
      </c>
      <c r="M502" s="2">
        <v>875495</v>
      </c>
      <c r="N502" s="2">
        <v>738</v>
      </c>
      <c r="O502" s="2" t="s">
        <v>135</v>
      </c>
      <c r="P502" s="2">
        <v>0.37</v>
      </c>
      <c r="Q502" s="2">
        <v>0.66</v>
      </c>
      <c r="R502" s="2">
        <v>0</v>
      </c>
      <c r="S502" s="2">
        <v>2</v>
      </c>
      <c r="T502" s="2">
        <v>49665</v>
      </c>
      <c r="U502" s="2">
        <v>1192038</v>
      </c>
      <c r="V502" s="2">
        <v>0</v>
      </c>
      <c r="W502" s="2">
        <v>0</v>
      </c>
      <c r="X502" s="2">
        <v>0</v>
      </c>
      <c r="Y502" s="2" t="s">
        <v>148</v>
      </c>
      <c r="Z502" s="12">
        <f>SUMIF(Table1[product],Table1[[#This Row],[product]],Table1[loan_amount])</f>
        <v>62765800</v>
      </c>
      <c r="AA502" s="15">
        <f>SUMIF(Table1[region],Table1[[#This Row],[region]],Table1[current_balance])</f>
        <v>105779369</v>
      </c>
      <c r="AB502" s="2">
        <f>COUNTIF(Table1[loan_status],Table1[[#This Row],[loan_status]])</f>
        <v>301</v>
      </c>
      <c r="AC502" s="2">
        <f>COUNTIF(Table1[default_flag],1)/ROWS(Table1[loan_id])</f>
        <v>2.5999999999999999E-2</v>
      </c>
      <c r="AD502" s="2">
        <f>COUNTIFS(Table1[region],Table1[[#This Row],[region]],Table1[default_flag],1)/COUNTIF(Table1[region],Table1[[#This Row],[region]])</f>
        <v>2.6548672566371681E-2</v>
      </c>
      <c r="AE502" s="2">
        <f>COUNTIFS(Table1[channel],Table1[[#This Row],[channel]],Table1[prepayment_flag],1)/COUNTIF(Table1[channel],Table1[[#This Row],[channel]])</f>
        <v>7.1090047393364927E-2</v>
      </c>
      <c r="AF502" s="2">
        <f>AVERAGEIFS(Table1[interest_rate_pct],Table1[product],Table1[[#This Row],[product]],Table1[risk_band],Table1[[#This Row],[risk_band]])</f>
        <v>10.832666666666663</v>
      </c>
      <c r="AG502" s="2" t="str" cm="1">
        <f t="array" ref="AG502">_xlfn.IFS(Table1[[#This Row],[dti_ratio]] &lt; 0.2, " less than 0.2", Table1[[#This Row],[dti_ratio]] &lt; 0.3, "0.2 - 0.3", Table1[[#This Row],[dti_ratio]] &lt;= 0.5, "0.35 - 0.5", Table1[[#This Row],[dti_ratio]] &gt; 0.5, "greater than 0.5")</f>
        <v>0.35 - 0.5</v>
      </c>
      <c r="AH502" s="2">
        <f>COUNTIF(Table1[DTI band],Table1[[#This Row],[DTI band]])</f>
        <v>260</v>
      </c>
      <c r="AI502" s="2" t="str" cm="1">
        <f t="array" ref="AI502">_xlfn.IFS(Table1[[#This Row],[ltv_ratio]] &lt; 0.6, "less than 0.6 -less risky", Table1[[#This Row],[ltv_ratio]]  &lt;= 0.8, "0.6 - 0.8 -medium risky",Table1[[#This Row],[ltv_ratio]] &gt; 0.8, "greater than 0.8 -highly risky")</f>
        <v>0.6 - 0.8 -medium risky</v>
      </c>
      <c r="AJ502" s="2">
        <f>COUNTIF(Table1[LTV band],Table1[[#This Row],[LTV band]])</f>
        <v>302</v>
      </c>
      <c r="AK502" s="2">
        <f>COUNTIFS(Table1[count_loan_perband],Table1[[#This Row],[count_loan_perband]],Table1[default_flag],1)/COUNTIF(Table1[count_loan_perband],Table1[[#This Row],[count_loan_perband]])</f>
        <v>3.6423841059602648E-2</v>
      </c>
      <c r="AL502" s="2" t="str" cm="1">
        <f t="array" ref="AL502">_xlfn.IFS(Table1[[#This Row],[loan_amount]] &lt; 900000, "lower size (&lt; 9L)", Table1[[#This Row],[loan_amount]] &lt;=3300000, "medium size (&lt;=33L)", Table1[[#This Row],[loan_amount]] &gt; 3300000, "larger size (&gt; 33L)")</f>
        <v>medium size (&lt;=33L)</v>
      </c>
      <c r="AM502" s="2">
        <f>IF(Table1[[#This Row],[dpd]] &gt;=30,1,0)</f>
        <v>0</v>
      </c>
      <c r="AN502" s="2">
        <f>COUNTIFS(Table1[Loan size],Table1[[#This Row],[Loan size]],Table1[dpd flag],1)/COUNTIF(Table1[Loan size],Table1[[#This Row],[Loan size]])</f>
        <v>0.15909090909090909</v>
      </c>
      <c r="AO502" s="2" t="str">
        <f>IF(OR(Table1[[#This Row],[credit_score]] &lt; 600, Table1[ [#This Row],[dti_ratio] ] &gt; 0.5, Table1[[#This Row],[dpd]] &gt;=30), "high risk", " not riskY")</f>
        <v xml:space="preserve"> not riskY</v>
      </c>
      <c r="AP502" s="26">
        <f>EOMONTH(Table1[[#This Row],[origination_date]],0)</f>
        <v>45961</v>
      </c>
      <c r="AQ502" s="2">
        <f>SUMIFS(Table1[loan_amount],Table1[origination month],Table1[[#This Row],[origination month]])</f>
        <v>18211600</v>
      </c>
      <c r="AR502" s="2">
        <f>AVERAGEIFS(Table1[months_on_book],Table1[product],Table1[[#This Row],[product]])</f>
        <v>21.962962962962962</v>
      </c>
      <c r="AS502" s="2" t="str">
        <f ca="1">IF(EDATE(Table1[[#This Row],[origination_date]],6) &gt;= TODAY(), "New Loan", "Old Loan")</f>
        <v>New Loan</v>
      </c>
      <c r="AT502" s="2" t="str">
        <f>"Q"&amp;ROUNDUP(MONTH(Table1[[#This Row],[origination_date]])/3,0)&amp;YEAR(Table1[[#This Row],[origination_date]])</f>
        <v>Q42025</v>
      </c>
      <c r="AU502" s="2">
        <f>SUMIFS(Table1[loan_amount],Table1[quarter],Table1[[#This Row],[quarter]])</f>
        <v>38483800</v>
      </c>
      <c r="AV502" s="34" t="str">
        <f>_xlfn.TEXTJOIN("|",TRUE,Table1[[#This Row],[loan_id]:[loan_status]])</f>
        <v>L49343672|C1960678|45931|Education Loan|Online|North|Salaried|60|1232500|11.2|26921|875495|738|B|0.37|0.66|0|2|49665|1192038|0|0|0|Active</v>
      </c>
      <c r="AW502" s="42">
        <f>YEAR(Loan_Table[ [#This Row],[origination_date] ])</f>
        <v>2025</v>
      </c>
    </row>
    <row r="503" spans="2:49" ht="18" customHeight="1">
      <c r="B503" s="5" t="s">
        <v>1126</v>
      </c>
      <c r="C503" s="2" t="s">
        <v>1127</v>
      </c>
      <c r="D503" s="3">
        <v>45959</v>
      </c>
      <c r="E503" s="2" t="s">
        <v>169</v>
      </c>
      <c r="F503" s="2" t="s">
        <v>132</v>
      </c>
      <c r="G503" s="2" t="s">
        <v>145</v>
      </c>
      <c r="H503" s="2" t="s">
        <v>134</v>
      </c>
      <c r="I503" s="2">
        <v>240</v>
      </c>
      <c r="J503" s="2">
        <v>4194900</v>
      </c>
      <c r="K503" s="2">
        <v>10.039999999999999</v>
      </c>
      <c r="L503" s="2">
        <v>40593</v>
      </c>
      <c r="M503" s="2">
        <v>543084</v>
      </c>
      <c r="N503" s="2">
        <v>699</v>
      </c>
      <c r="O503" s="2" t="s">
        <v>140</v>
      </c>
      <c r="P503" s="2">
        <v>0.35</v>
      </c>
      <c r="Q503" s="2">
        <v>0.79</v>
      </c>
      <c r="R503" s="2">
        <v>5325400</v>
      </c>
      <c r="S503" s="2">
        <v>2</v>
      </c>
      <c r="T503" s="2">
        <v>78658</v>
      </c>
      <c r="U503" s="2">
        <v>4144320</v>
      </c>
      <c r="V503" s="2">
        <v>0</v>
      </c>
      <c r="W503" s="2">
        <v>0</v>
      </c>
      <c r="X503" s="2">
        <v>0</v>
      </c>
      <c r="Y503" s="2" t="s">
        <v>148</v>
      </c>
      <c r="Z503" s="12">
        <f>SUMIF(Table1[product],Table1[[#This Row],[product]],Table1[loan_amount])</f>
        <v>403369500</v>
      </c>
      <c r="AA503" s="15">
        <f>SUMIF(Table1[region],Table1[[#This Row],[region]],Table1[current_balance])</f>
        <v>98928695</v>
      </c>
      <c r="AB503" s="2">
        <f>COUNTIF(Table1[loan_status],Table1[[#This Row],[loan_status]])</f>
        <v>301</v>
      </c>
      <c r="AC503" s="2">
        <f>COUNTIF(Table1[default_flag],1)/ROWS(Table1[loan_id])</f>
        <v>2.5999999999999999E-2</v>
      </c>
      <c r="AD503" s="2">
        <f>COUNTIFS(Table1[region],Table1[[#This Row],[region]],Table1[default_flag],1)/COUNTIF(Table1[region],Table1[[#This Row],[region]])</f>
        <v>2.8571428571428571E-2</v>
      </c>
      <c r="AE503" s="2">
        <f>COUNTIFS(Table1[channel],Table1[[#This Row],[channel]],Table1[prepayment_flag],1)/COUNTIF(Table1[channel],Table1[[#This Row],[channel]])</f>
        <v>7.1090047393364927E-2</v>
      </c>
      <c r="AF503" s="2">
        <f>AVERAGEIFS(Table1[interest_rate_pct],Table1[product],Table1[[#This Row],[product]],Table1[risk_band],Table1[[#This Row],[risk_band]])</f>
        <v>11.719736842105268</v>
      </c>
      <c r="AG503" s="2" t="str" cm="1">
        <f t="array" ref="AG503">_xlfn.IFS(Table1[[#This Row],[dti_ratio]] &lt; 0.2, " less than 0.2", Table1[[#This Row],[dti_ratio]] &lt; 0.3, "0.2 - 0.3", Table1[[#This Row],[dti_ratio]] &lt;= 0.5, "0.35 - 0.5", Table1[[#This Row],[dti_ratio]] &gt; 0.5, "greater than 0.5")</f>
        <v>0.35 - 0.5</v>
      </c>
      <c r="AH503" s="2">
        <f>COUNTIF(Table1[DTI band],Table1[[#This Row],[DTI band]])</f>
        <v>260</v>
      </c>
      <c r="AI503" s="2" t="str" cm="1">
        <f t="array" ref="AI503">_xlfn.IFS(Table1[[#This Row],[ltv_ratio]] &lt; 0.6, "less than 0.6 -less risky", Table1[[#This Row],[ltv_ratio]]  &lt;= 0.8, "0.6 - 0.8 -medium risky",Table1[[#This Row],[ltv_ratio]] &gt; 0.8, "greater than 0.8 -highly risky")</f>
        <v>0.6 - 0.8 -medium risky</v>
      </c>
      <c r="AJ503" s="2">
        <f>COUNTIF(Table1[LTV band],Table1[[#This Row],[LTV band]])</f>
        <v>302</v>
      </c>
      <c r="AK503" s="2">
        <f>COUNTIFS(Table1[count_loan_perband],Table1[[#This Row],[count_loan_perband]],Table1[default_flag],1)/COUNTIF(Table1[count_loan_perband],Table1[[#This Row],[count_loan_perband]])</f>
        <v>3.6423841059602648E-2</v>
      </c>
      <c r="AL503" s="2" t="str" cm="1">
        <f t="array" ref="AL503">_xlfn.IFS(Table1[[#This Row],[loan_amount]] &lt; 900000, "lower size (&lt; 9L)", Table1[[#This Row],[loan_amount]] &lt;=3300000, "medium size (&lt;=33L)", Table1[[#This Row],[loan_amount]] &gt; 3300000, "larger size (&gt; 33L)")</f>
        <v>larger size (&gt; 33L)</v>
      </c>
      <c r="AM503" s="2">
        <f>IF(Table1[[#This Row],[dpd]] &gt;=30,1,0)</f>
        <v>0</v>
      </c>
      <c r="AN503" s="2">
        <f>COUNTIFS(Table1[Loan size],Table1[[#This Row],[Loan size]],Table1[dpd flag],1)/COUNTIF(Table1[Loan size],Table1[[#This Row],[Loan size]])</f>
        <v>0.16250000000000001</v>
      </c>
      <c r="AO503" s="2" t="str">
        <f>IF(OR(Table1[[#This Row],[credit_score]] &lt; 600, Table1[ [#This Row],[dti_ratio] ] &gt; 0.5, Table1[[#This Row],[dpd]] &gt;=30), "high risk", " not riskY")</f>
        <v xml:space="preserve"> not riskY</v>
      </c>
      <c r="AP503" s="26">
        <f>EOMONTH(Table1[[#This Row],[origination_date]],0)</f>
        <v>45961</v>
      </c>
      <c r="AQ503" s="2">
        <f>SUMIFS(Table1[loan_amount],Table1[origination month],Table1[[#This Row],[origination month]])</f>
        <v>18211600</v>
      </c>
      <c r="AR503" s="2">
        <f>AVERAGEIFS(Table1[months_on_book],Table1[product],Table1[[#This Row],[product]])</f>
        <v>20.516129032258064</v>
      </c>
      <c r="AS503" s="2" t="str">
        <f ca="1">IF(EDATE(Table1[[#This Row],[origination_date]],6) &gt;= TODAY(), "New Loan", "Old Loan")</f>
        <v>New Loan</v>
      </c>
      <c r="AT503" s="2" t="str">
        <f>"Q"&amp;ROUNDUP(MONTH(Table1[[#This Row],[origination_date]])/3,0)&amp;YEAR(Table1[[#This Row],[origination_date]])</f>
        <v>Q42025</v>
      </c>
      <c r="AU503" s="2">
        <f>SUMIFS(Table1[loan_amount],Table1[quarter],Table1[[#This Row],[quarter]])</f>
        <v>38483800</v>
      </c>
      <c r="AV503" s="34" t="str">
        <f>_xlfn.TEXTJOIN("|",TRUE,Table1[[#This Row],[loan_id]:[loan_status]])</f>
        <v>L67087105|C2331320|45959|Home Loan|Online|Central|Salaried|240|4194900|10.04|40593|543084|699|C|0.35|0.79|5325400|2|78658|4144320|0|0|0|Active</v>
      </c>
      <c r="AW503" s="42" t="e">
        <f>YEAR(Loan_Table[ [#This Row],[origination_date] ])</f>
        <v>#VALUE!</v>
      </c>
    </row>
    <row r="504" spans="2:49" ht="18" customHeight="1">
      <c r="B504" s="5" t="s">
        <v>1128</v>
      </c>
      <c r="C504" s="2" t="s">
        <v>1129</v>
      </c>
      <c r="D504" s="3">
        <v>45948</v>
      </c>
      <c r="E504" s="2" t="s">
        <v>163</v>
      </c>
      <c r="F504" s="2" t="s">
        <v>132</v>
      </c>
      <c r="G504" s="2" t="s">
        <v>170</v>
      </c>
      <c r="H504" s="2" t="s">
        <v>134</v>
      </c>
      <c r="I504" s="2">
        <v>360</v>
      </c>
      <c r="J504" s="2">
        <v>1516500</v>
      </c>
      <c r="K504" s="2">
        <v>17.100000000000001</v>
      </c>
      <c r="L504" s="2">
        <v>21744</v>
      </c>
      <c r="M504" s="2">
        <v>670490</v>
      </c>
      <c r="N504" s="2">
        <v>613</v>
      </c>
      <c r="O504" s="2" t="s">
        <v>147</v>
      </c>
      <c r="P504" s="2">
        <v>0.34</v>
      </c>
      <c r="Q504" s="2">
        <v>0.81</v>
      </c>
      <c r="R504" s="2">
        <v>1882700</v>
      </c>
      <c r="S504" s="2">
        <v>2</v>
      </c>
      <c r="T504" s="2">
        <v>42821</v>
      </c>
      <c r="U504" s="2">
        <v>1490967</v>
      </c>
      <c r="V504" s="2">
        <v>10</v>
      </c>
      <c r="W504" s="2">
        <v>0</v>
      </c>
      <c r="X504" s="2">
        <v>0</v>
      </c>
      <c r="Y504" s="2" t="s">
        <v>148</v>
      </c>
      <c r="Z504" s="12">
        <f>SUMIF(Table1[product],Table1[[#This Row],[product]],Table1[loan_amount])</f>
        <v>92273000</v>
      </c>
      <c r="AA504" s="15">
        <f>SUMIF(Table1[region],Table1[[#This Row],[region]],Table1[current_balance])</f>
        <v>83297251</v>
      </c>
      <c r="AB504" s="2">
        <f>COUNTIF(Table1[loan_status],Table1[[#This Row],[loan_status]])</f>
        <v>301</v>
      </c>
      <c r="AC504" s="2">
        <f>COUNTIF(Table1[default_flag],1)/ROWS(Table1[loan_id])</f>
        <v>2.5999999999999999E-2</v>
      </c>
      <c r="AD504" s="2">
        <f>COUNTIFS(Table1[region],Table1[[#This Row],[region]],Table1[default_flag],1)/COUNTIF(Table1[region],Table1[[#This Row],[region]])</f>
        <v>3.1914893617021274E-2</v>
      </c>
      <c r="AE504" s="2">
        <f>COUNTIFS(Table1[channel],Table1[[#This Row],[channel]],Table1[prepayment_flag],1)/COUNTIF(Table1[channel],Table1[[#This Row],[channel]])</f>
        <v>7.1090047393364927E-2</v>
      </c>
      <c r="AF504" s="2">
        <f>AVERAGEIFS(Table1[interest_rate_pct],Table1[product],Table1[[#This Row],[product]],Table1[risk_band],Table1[[#This Row],[risk_band]])</f>
        <v>15.092000000000001</v>
      </c>
      <c r="AG504" s="2" t="str" cm="1">
        <f t="array" ref="AG504">_xlfn.IFS(Table1[[#This Row],[dti_ratio]] &lt; 0.2, " less than 0.2", Table1[[#This Row],[dti_ratio]] &lt; 0.3, "0.2 - 0.3", Table1[[#This Row],[dti_ratio]] &lt;= 0.5, "0.35 - 0.5", Table1[[#This Row],[dti_ratio]] &gt; 0.5, "greater than 0.5")</f>
        <v>0.35 - 0.5</v>
      </c>
      <c r="AH504" s="2">
        <f>COUNTIF(Table1[DTI band],Table1[[#This Row],[DTI band]])</f>
        <v>260</v>
      </c>
      <c r="AI504" s="2" t="str" cm="1">
        <f t="array" ref="AI504">_xlfn.IFS(Table1[[#This Row],[ltv_ratio]] &lt; 0.6, "less than 0.6 -less risky", Table1[[#This Row],[ltv_ratio]]  &lt;= 0.8, "0.6 - 0.8 -medium risky",Table1[[#This Row],[ltv_ratio]] &gt; 0.8, "greater than 0.8 -highly risky")</f>
        <v>greater than 0.8 -highly risky</v>
      </c>
      <c r="AJ504" s="2">
        <f>COUNTIF(Table1[LTV band],Table1[[#This Row],[LTV band]])</f>
        <v>141</v>
      </c>
      <c r="AK504" s="2">
        <f>COUNTIFS(Table1[count_loan_perband],Table1[[#This Row],[count_loan_perband]],Table1[default_flag],1)/COUNTIF(Table1[count_loan_perband],Table1[[#This Row],[count_loan_perband]])</f>
        <v>1.4184397163120567E-2</v>
      </c>
      <c r="AL504" s="2" t="str" cm="1">
        <f t="array" ref="AL504">_xlfn.IFS(Table1[[#This Row],[loan_amount]] &lt; 900000, "lower size (&lt; 9L)", Table1[[#This Row],[loan_amount]] &lt;=3300000, "medium size (&lt;=33L)", Table1[[#This Row],[loan_amount]] &gt; 3300000, "larger size (&gt; 33L)")</f>
        <v>medium size (&lt;=33L)</v>
      </c>
      <c r="AM504" s="2">
        <f>IF(Table1[[#This Row],[dpd]] &gt;=30,1,0)</f>
        <v>0</v>
      </c>
      <c r="AN504" s="2">
        <f>COUNTIFS(Table1[Loan size],Table1[[#This Row],[Loan size]],Table1[dpd flag],1)/COUNTIF(Table1[Loan size],Table1[[#This Row],[Loan size]])</f>
        <v>0.15909090909090909</v>
      </c>
      <c r="AO504" s="2" t="str">
        <f>IF(OR(Table1[[#This Row],[credit_score]] &lt; 600, Table1[ [#This Row],[dti_ratio] ] &gt; 0.5, Table1[[#This Row],[dpd]] &gt;=30), "high risk", " not riskY")</f>
        <v xml:space="preserve"> not riskY</v>
      </c>
      <c r="AP504" s="26">
        <f>EOMONTH(Table1[[#This Row],[origination_date]],0)</f>
        <v>45961</v>
      </c>
      <c r="AQ504" s="2">
        <f>SUMIFS(Table1[loan_amount],Table1[origination month],Table1[[#This Row],[origination month]])</f>
        <v>18211600</v>
      </c>
      <c r="AR504" s="2">
        <f>AVERAGEIFS(Table1[months_on_book],Table1[product],Table1[[#This Row],[product]])</f>
        <v>20.262135922330096</v>
      </c>
      <c r="AS504" s="2" t="str">
        <f ca="1">IF(EDATE(Table1[[#This Row],[origination_date]],6) &gt;= TODAY(), "New Loan", "Old Loan")</f>
        <v>New Loan</v>
      </c>
      <c r="AT504" s="2" t="str">
        <f>"Q"&amp;ROUNDUP(MONTH(Table1[[#This Row],[origination_date]])/3,0)&amp;YEAR(Table1[[#This Row],[origination_date]])</f>
        <v>Q42025</v>
      </c>
      <c r="AU504" s="2">
        <f>SUMIFS(Table1[loan_amount],Table1[quarter],Table1[[#This Row],[quarter]])</f>
        <v>38483800</v>
      </c>
      <c r="AV504" s="34" t="str">
        <f>_xlfn.TEXTJOIN("|",TRUE,Table1[[#This Row],[loan_id]:[loan_status]])</f>
        <v>L74945475|C2053932|45948|Auto Loan|Online|East|Salaried|360|1516500|17.1|21744|670490|613|D|0.34|0.81|1882700|2|42821|1490967|10|0|0|Active</v>
      </c>
      <c r="AW504" s="42" t="e">
        <f>YEAR(Loan_Table[ [#This Row],[origination_date] ])</f>
        <v>#VALUE!</v>
      </c>
    </row>
    <row r="505" spans="2:49" ht="18" customHeight="1">
      <c r="B505" s="5" t="s">
        <v>1130</v>
      </c>
      <c r="C505" s="2" t="s">
        <v>1131</v>
      </c>
      <c r="D505" s="3">
        <v>45936</v>
      </c>
      <c r="E505" s="2" t="s">
        <v>158</v>
      </c>
      <c r="F505" s="2" t="s">
        <v>144</v>
      </c>
      <c r="G505" s="2" t="s">
        <v>145</v>
      </c>
      <c r="H505" s="2" t="s">
        <v>134</v>
      </c>
      <c r="I505" s="2">
        <v>24</v>
      </c>
      <c r="J505" s="2">
        <v>2343200</v>
      </c>
      <c r="K505" s="2">
        <v>18.309999999999999</v>
      </c>
      <c r="L505" s="2">
        <v>117333</v>
      </c>
      <c r="M505" s="2">
        <v>760158</v>
      </c>
      <c r="N505" s="2">
        <v>633</v>
      </c>
      <c r="O505" s="2" t="s">
        <v>147</v>
      </c>
      <c r="P505" s="2">
        <v>0.32</v>
      </c>
      <c r="Q505" s="2">
        <v>0.59</v>
      </c>
      <c r="R505" s="2">
        <v>3957400</v>
      </c>
      <c r="S505" s="2">
        <v>2</v>
      </c>
      <c r="T505" s="2">
        <v>222654</v>
      </c>
      <c r="U505" s="2">
        <v>2149149</v>
      </c>
      <c r="V505" s="2">
        <v>10</v>
      </c>
      <c r="W505" s="2">
        <v>0</v>
      </c>
      <c r="X505" s="2">
        <v>0</v>
      </c>
      <c r="Y505" s="2" t="s">
        <v>148</v>
      </c>
      <c r="Z505" s="12">
        <f>SUMIF(Table1[product],Table1[[#This Row],[product]],Table1[loan_amount])</f>
        <v>201475100</v>
      </c>
      <c r="AA505" s="15">
        <f>SUMIF(Table1[region],Table1[[#This Row],[region]],Table1[current_balance])</f>
        <v>98928695</v>
      </c>
      <c r="AB505" s="2">
        <f>COUNTIF(Table1[loan_status],Table1[[#This Row],[loan_status]])</f>
        <v>301</v>
      </c>
      <c r="AC505" s="2">
        <f>COUNTIF(Table1[default_flag],1)/ROWS(Table1[loan_id])</f>
        <v>2.5999999999999999E-2</v>
      </c>
      <c r="AD505" s="2">
        <f>COUNTIFS(Table1[region],Table1[[#This Row],[region]],Table1[default_flag],1)/COUNTIF(Table1[region],Table1[[#This Row],[region]])</f>
        <v>2.8571428571428571E-2</v>
      </c>
      <c r="AE505" s="2">
        <f>COUNTIFS(Table1[channel],Table1[[#This Row],[channel]],Table1[prepayment_flag],1)/COUNTIF(Table1[channel],Table1[[#This Row],[channel]])</f>
        <v>5.8201058201058198E-2</v>
      </c>
      <c r="AF505" s="2">
        <f>AVERAGEIFS(Table1[interest_rate_pct],Table1[product],Table1[[#This Row],[product]],Table1[risk_band],Table1[[#This Row],[risk_band]])</f>
        <v>18.241249999999997</v>
      </c>
      <c r="AG505" s="2" t="str" cm="1">
        <f t="array" ref="AG505">_xlfn.IFS(Table1[[#This Row],[dti_ratio]] &lt; 0.2, " less than 0.2", Table1[[#This Row],[dti_ratio]] &lt; 0.3, "0.2 - 0.3", Table1[[#This Row],[dti_ratio]] &lt;= 0.5, "0.35 - 0.5", Table1[[#This Row],[dti_ratio]] &gt; 0.5, "greater than 0.5")</f>
        <v>0.35 - 0.5</v>
      </c>
      <c r="AH505" s="2">
        <f>COUNTIF(Table1[DTI band],Table1[[#This Row],[DTI band]])</f>
        <v>260</v>
      </c>
      <c r="AI505" s="2" t="str" cm="1">
        <f t="array" ref="AI505">_xlfn.IFS(Table1[[#This Row],[ltv_ratio]] &lt; 0.6, "less than 0.6 -less risky", Table1[[#This Row],[ltv_ratio]]  &lt;= 0.8, "0.6 - 0.8 -medium risky",Table1[[#This Row],[ltv_ratio]] &gt; 0.8, "greater than 0.8 -highly risky")</f>
        <v>less than 0.6 -less risky</v>
      </c>
      <c r="AJ505" s="2">
        <f>COUNTIF(Table1[LTV band],Table1[[#This Row],[LTV band]])</f>
        <v>57</v>
      </c>
      <c r="AK505" s="2">
        <f>COUNTIFS(Table1[count_loan_perband],Table1[[#This Row],[count_loan_perband]],Table1[default_flag],1)/COUNTIF(Table1[count_loan_perband],Table1[[#This Row],[count_loan_perband]])</f>
        <v>0</v>
      </c>
      <c r="AL505" s="2" t="str" cm="1">
        <f t="array" ref="AL505">_xlfn.IFS(Table1[[#This Row],[loan_amount]] &lt; 900000, "lower size (&lt; 9L)", Table1[[#This Row],[loan_amount]] &lt;=3300000, "medium size (&lt;=33L)", Table1[[#This Row],[loan_amount]] &gt; 3300000, "larger size (&gt; 33L)")</f>
        <v>medium size (&lt;=33L)</v>
      </c>
      <c r="AM505" s="2">
        <f>IF(Table1[[#This Row],[dpd]] &gt;=30,1,0)</f>
        <v>0</v>
      </c>
      <c r="AN505" s="2">
        <f>COUNTIFS(Table1[Loan size],Table1[[#This Row],[Loan size]],Table1[dpd flag],1)/COUNTIF(Table1[Loan size],Table1[[#This Row],[Loan size]])</f>
        <v>0.15909090909090909</v>
      </c>
      <c r="AO505" s="2" t="str">
        <f>IF(OR(Table1[[#This Row],[credit_score]] &lt; 600, Table1[ [#This Row],[dti_ratio] ] &gt; 0.5, Table1[[#This Row],[dpd]] &gt;=30), "high risk", " not riskY")</f>
        <v xml:space="preserve"> not riskY</v>
      </c>
      <c r="AP505" s="26">
        <f>EOMONTH(Table1[[#This Row],[origination_date]],0)</f>
        <v>45961</v>
      </c>
      <c r="AQ505" s="2">
        <f>SUMIFS(Table1[loan_amount],Table1[origination month],Table1[[#This Row],[origination month]])</f>
        <v>18211600</v>
      </c>
      <c r="AR505" s="2">
        <f>AVERAGEIFS(Table1[months_on_book],Table1[product],Table1[[#This Row],[product]])</f>
        <v>19.091954022988507</v>
      </c>
      <c r="AS505" s="2" t="str">
        <f ca="1">IF(EDATE(Table1[[#This Row],[origination_date]],6) &gt;= TODAY(), "New Loan", "Old Loan")</f>
        <v>New Loan</v>
      </c>
      <c r="AT505" s="2" t="str">
        <f>"Q"&amp;ROUNDUP(MONTH(Table1[[#This Row],[origination_date]])/3,0)&amp;YEAR(Table1[[#This Row],[origination_date]])</f>
        <v>Q42025</v>
      </c>
      <c r="AU505" s="2">
        <f>SUMIFS(Table1[loan_amount],Table1[quarter],Table1[[#This Row],[quarter]])</f>
        <v>38483800</v>
      </c>
      <c r="AV505" s="34" t="str">
        <f>_xlfn.TEXTJOIN("|",TRUE,Table1[[#This Row],[loan_id]:[loan_status]])</f>
        <v>L51019866|C8605398|45936|SME Loan|Branch|Central|Salaried|24|2343200|18.31|117333|760158|633|D|0.32|0.59|3957400|2|222654|2149149|10|0|0|Active</v>
      </c>
      <c r="AW505" s="42" t="e">
        <f>YEAR(Loan_Table[ [#This Row],[origination_date] ])</f>
        <v>#VALUE!</v>
      </c>
    </row>
    <row r="506" spans="2:49" ht="18" customHeight="1">
      <c r="B506" s="5" t="s">
        <v>1132</v>
      </c>
      <c r="C506" s="2" t="s">
        <v>1133</v>
      </c>
      <c r="D506" s="3">
        <v>45978</v>
      </c>
      <c r="E506" s="2" t="s">
        <v>158</v>
      </c>
      <c r="F506" s="2" t="s">
        <v>144</v>
      </c>
      <c r="G506" s="2" t="s">
        <v>133</v>
      </c>
      <c r="H506" s="2" t="s">
        <v>192</v>
      </c>
      <c r="I506" s="2">
        <v>60</v>
      </c>
      <c r="J506" s="2">
        <v>2939500</v>
      </c>
      <c r="K506" s="2">
        <v>14.33</v>
      </c>
      <c r="L506" s="2">
        <v>68901</v>
      </c>
      <c r="M506" s="2">
        <v>1089768</v>
      </c>
      <c r="N506" s="2">
        <v>727</v>
      </c>
      <c r="O506" s="2" t="s">
        <v>135</v>
      </c>
      <c r="P506" s="2">
        <v>0.3</v>
      </c>
      <c r="Q506" s="2">
        <v>0.68</v>
      </c>
      <c r="R506" s="2">
        <v>4322900</v>
      </c>
      <c r="S506" s="2">
        <v>1</v>
      </c>
      <c r="T506" s="2">
        <v>68298</v>
      </c>
      <c r="U506" s="2">
        <v>2885243</v>
      </c>
      <c r="V506" s="2">
        <v>0</v>
      </c>
      <c r="W506" s="2">
        <v>0</v>
      </c>
      <c r="X506" s="2">
        <v>0</v>
      </c>
      <c r="Y506" s="2" t="s">
        <v>148</v>
      </c>
      <c r="Z506" s="12">
        <f>SUMIF(Table1[product],Table1[[#This Row],[product]],Table1[loan_amount])</f>
        <v>201475100</v>
      </c>
      <c r="AA506" s="15">
        <f>SUMIF(Table1[region],Table1[[#This Row],[region]],Table1[current_balance])</f>
        <v>94548000</v>
      </c>
      <c r="AB506" s="2">
        <f>COUNTIF(Table1[loan_status],Table1[[#This Row],[loan_status]])</f>
        <v>301</v>
      </c>
      <c r="AC506" s="2">
        <f>COUNTIF(Table1[default_flag],1)/ROWS(Table1[loan_id])</f>
        <v>2.5999999999999999E-2</v>
      </c>
      <c r="AD506" s="2">
        <f>COUNTIFS(Table1[region],Table1[[#This Row],[region]],Table1[default_flag],1)/COUNTIF(Table1[region],Table1[[#This Row],[region]])</f>
        <v>0</v>
      </c>
      <c r="AE506" s="2">
        <f>COUNTIFS(Table1[channel],Table1[[#This Row],[channel]],Table1[prepayment_flag],1)/COUNTIF(Table1[channel],Table1[[#This Row],[channel]])</f>
        <v>5.8201058201058198E-2</v>
      </c>
      <c r="AF506" s="2">
        <f>AVERAGEIFS(Table1[interest_rate_pct],Table1[product],Table1[[#This Row],[product]],Table1[risk_band],Table1[[#This Row],[risk_band]])</f>
        <v>13.042631578947367</v>
      </c>
      <c r="AG506" s="2" t="str" cm="1">
        <f t="array" ref="AG506">_xlfn.IFS(Table1[[#This Row],[dti_ratio]] &lt; 0.2, " less than 0.2", Table1[[#This Row],[dti_ratio]] &lt; 0.3, "0.2 - 0.3", Table1[[#This Row],[dti_ratio]] &lt;= 0.5, "0.35 - 0.5", Table1[[#This Row],[dti_ratio]] &gt; 0.5, "greater than 0.5")</f>
        <v>0.35 - 0.5</v>
      </c>
      <c r="AH506" s="2">
        <f>COUNTIF(Table1[DTI band],Table1[[#This Row],[DTI band]])</f>
        <v>260</v>
      </c>
      <c r="AI506" s="2" t="str" cm="1">
        <f t="array" ref="AI506">_xlfn.IFS(Table1[[#This Row],[ltv_ratio]] &lt; 0.6, "less than 0.6 -less risky", Table1[[#This Row],[ltv_ratio]]  &lt;= 0.8, "0.6 - 0.8 -medium risky",Table1[[#This Row],[ltv_ratio]] &gt; 0.8, "greater than 0.8 -highly risky")</f>
        <v>0.6 - 0.8 -medium risky</v>
      </c>
      <c r="AJ506" s="2">
        <f>COUNTIF(Table1[LTV band],Table1[[#This Row],[LTV band]])</f>
        <v>302</v>
      </c>
      <c r="AK506" s="2">
        <f>COUNTIFS(Table1[count_loan_perband],Table1[[#This Row],[count_loan_perband]],Table1[default_flag],1)/COUNTIF(Table1[count_loan_perband],Table1[[#This Row],[count_loan_perband]])</f>
        <v>3.6423841059602648E-2</v>
      </c>
      <c r="AL506" s="2" t="str" cm="1">
        <f t="array" ref="AL506">_xlfn.IFS(Table1[[#This Row],[loan_amount]] &lt; 900000, "lower size (&lt; 9L)", Table1[[#This Row],[loan_amount]] &lt;=3300000, "medium size (&lt;=33L)", Table1[[#This Row],[loan_amount]] &gt; 3300000, "larger size (&gt; 33L)")</f>
        <v>medium size (&lt;=33L)</v>
      </c>
      <c r="AM506" s="2">
        <f>IF(Table1[[#This Row],[dpd]] &gt;=30,1,0)</f>
        <v>0</v>
      </c>
      <c r="AN506" s="2">
        <f>COUNTIFS(Table1[Loan size],Table1[[#This Row],[Loan size]],Table1[dpd flag],1)/COUNTIF(Table1[Loan size],Table1[[#This Row],[Loan size]])</f>
        <v>0.15909090909090909</v>
      </c>
      <c r="AO506" s="2" t="str">
        <f>IF(OR(Table1[[#This Row],[credit_score]] &lt; 600, Table1[ [#This Row],[dti_ratio] ] &gt; 0.5, Table1[[#This Row],[dpd]] &gt;=30), "high risk", " not riskY")</f>
        <v xml:space="preserve"> not riskY</v>
      </c>
      <c r="AP506" s="26">
        <f>EOMONTH(Table1[[#This Row],[origination_date]],0)</f>
        <v>45991</v>
      </c>
      <c r="AQ506" s="2">
        <f>SUMIFS(Table1[loan_amount],Table1[origination month],Table1[[#This Row],[origination month]])</f>
        <v>20272200</v>
      </c>
      <c r="AR506" s="2">
        <f>AVERAGEIFS(Table1[months_on_book],Table1[product],Table1[[#This Row],[product]])</f>
        <v>19.091954022988507</v>
      </c>
      <c r="AS506" s="2" t="str">
        <f ca="1">IF(EDATE(Table1[[#This Row],[origination_date]],6) &gt;= TODAY(), "New Loan", "Old Loan")</f>
        <v>New Loan</v>
      </c>
      <c r="AT506" s="2" t="str">
        <f>"Q"&amp;ROUNDUP(MONTH(Table1[[#This Row],[origination_date]])/3,0)&amp;YEAR(Table1[[#This Row],[origination_date]])</f>
        <v>Q42025</v>
      </c>
      <c r="AU506" s="2">
        <f>SUMIFS(Table1[loan_amount],Table1[quarter],Table1[[#This Row],[quarter]])</f>
        <v>38483800</v>
      </c>
      <c r="AV506" s="34" t="str">
        <f>_xlfn.TEXTJOIN("|",TRUE,Table1[[#This Row],[loan_id]:[loan_status]])</f>
        <v>L18750397|C1892018|45978|SME Loan|Branch|South|Unemployed|60|2939500|14.33|68901|1089768|727|B|0.3|0.68|4322900|1|68298|2885243|0|0|0|Active</v>
      </c>
      <c r="AW506" s="42" t="e">
        <f>YEAR(Loan_Table[ [#This Row],[origination_date] ])</f>
        <v>#VALUE!</v>
      </c>
    </row>
    <row r="507" spans="2:49" ht="18" customHeight="1">
      <c r="B507" s="5" t="s">
        <v>1134</v>
      </c>
      <c r="C507" s="2" t="s">
        <v>1135</v>
      </c>
      <c r="D507" s="3">
        <v>45933</v>
      </c>
      <c r="E507" s="2" t="s">
        <v>131</v>
      </c>
      <c r="F507" s="2" t="s">
        <v>144</v>
      </c>
      <c r="G507" s="2" t="s">
        <v>139</v>
      </c>
      <c r="H507" s="2" t="s">
        <v>152</v>
      </c>
      <c r="I507" s="2">
        <v>24</v>
      </c>
      <c r="J507" s="2">
        <v>347200</v>
      </c>
      <c r="K507" s="2">
        <v>15.31</v>
      </c>
      <c r="L507" s="2">
        <v>16886</v>
      </c>
      <c r="M507" s="2">
        <v>1195111</v>
      </c>
      <c r="N507" s="2">
        <v>740</v>
      </c>
      <c r="O507" s="2" t="s">
        <v>135</v>
      </c>
      <c r="P507" s="2">
        <v>0.28000000000000003</v>
      </c>
      <c r="Q507" s="2">
        <v>1.1299999999999999</v>
      </c>
      <c r="R507" s="2">
        <v>0</v>
      </c>
      <c r="S507" s="2">
        <v>2</v>
      </c>
      <c r="T507" s="2">
        <v>32739</v>
      </c>
      <c r="U507" s="2">
        <v>318005</v>
      </c>
      <c r="V507" s="2">
        <v>0</v>
      </c>
      <c r="W507" s="2">
        <v>0</v>
      </c>
      <c r="X507" s="2">
        <v>0</v>
      </c>
      <c r="Y507" s="2" t="s">
        <v>148</v>
      </c>
      <c r="Z507" s="12">
        <f>SUMIF(Table1[product],Table1[[#This Row],[product]],Table1[loan_amount])</f>
        <v>74897600</v>
      </c>
      <c r="AA507" s="15">
        <f>SUMIF(Table1[region],Table1[[#This Row],[region]],Table1[current_balance])</f>
        <v>83903255</v>
      </c>
      <c r="AB507" s="2">
        <f>COUNTIF(Table1[loan_status],Table1[[#This Row],[loan_status]])</f>
        <v>301</v>
      </c>
      <c r="AC507" s="2">
        <f>COUNTIF(Table1[default_flag],1)/ROWS(Table1[loan_id])</f>
        <v>2.5999999999999999E-2</v>
      </c>
      <c r="AD507" s="2">
        <f>COUNTIFS(Table1[region],Table1[[#This Row],[region]],Table1[default_flag],1)/COUNTIF(Table1[region],Table1[[#This Row],[region]])</f>
        <v>4.2553191489361701E-2</v>
      </c>
      <c r="AE507" s="2">
        <f>COUNTIFS(Table1[channel],Table1[[#This Row],[channel]],Table1[prepayment_flag],1)/COUNTIF(Table1[channel],Table1[[#This Row],[channel]])</f>
        <v>5.8201058201058198E-2</v>
      </c>
      <c r="AF507" s="2">
        <f>AVERAGEIFS(Table1[interest_rate_pct],Table1[product],Table1[[#This Row],[product]],Table1[risk_band],Table1[[#This Row],[risk_band]])</f>
        <v>16.500166666666669</v>
      </c>
      <c r="AG507" s="2" t="str" cm="1">
        <f t="array" ref="AG507">_xlfn.IFS(Table1[[#This Row],[dti_ratio]] &lt; 0.2, " less than 0.2", Table1[[#This Row],[dti_ratio]] &lt; 0.3, "0.2 - 0.3", Table1[[#This Row],[dti_ratio]] &lt;= 0.5, "0.35 - 0.5", Table1[[#This Row],[dti_ratio]] &gt; 0.5, "greater than 0.5")</f>
        <v>0.2 - 0.3</v>
      </c>
      <c r="AH507" s="2">
        <f>COUNTIF(Table1[DTI band],Table1[[#This Row],[DTI band]])</f>
        <v>122</v>
      </c>
      <c r="AI507" s="2" t="str" cm="1">
        <f t="array" ref="AI507">_xlfn.IFS(Table1[[#This Row],[ltv_ratio]] &lt; 0.6, "less than 0.6 -less risky", Table1[[#This Row],[ltv_ratio]]  &lt;= 0.8, "0.6 - 0.8 -medium risky",Table1[[#This Row],[ltv_ratio]] &gt; 0.8, "greater than 0.8 -highly risky")</f>
        <v>greater than 0.8 -highly risky</v>
      </c>
      <c r="AJ507" s="2">
        <f>COUNTIF(Table1[LTV band],Table1[[#This Row],[LTV band]])</f>
        <v>141</v>
      </c>
      <c r="AK507" s="2">
        <f>COUNTIFS(Table1[count_loan_perband],Table1[[#This Row],[count_loan_perband]],Table1[default_flag],1)/COUNTIF(Table1[count_loan_perband],Table1[[#This Row],[count_loan_perband]])</f>
        <v>1.4184397163120567E-2</v>
      </c>
      <c r="AL507" s="2" t="str" cm="1">
        <f t="array" ref="AL507">_xlfn.IFS(Table1[[#This Row],[loan_amount]] &lt; 900000, "lower size (&lt; 9L)", Table1[[#This Row],[loan_amount]] &lt;=3300000, "medium size (&lt;=33L)", Table1[[#This Row],[loan_amount]] &gt; 3300000, "larger size (&gt; 33L)")</f>
        <v>lower size (&lt; 9L)</v>
      </c>
      <c r="AM507" s="2">
        <f>IF(Table1[[#This Row],[dpd]] &gt;=30,1,0)</f>
        <v>0</v>
      </c>
      <c r="AN507" s="2">
        <f>COUNTIFS(Table1[Loan size],Table1[[#This Row],[Loan size]],Table1[dpd flag],1)/COUNTIF(Table1[Loan size],Table1[[#This Row],[Loan size]])</f>
        <v>0.13934426229508196</v>
      </c>
      <c r="AO507" s="2" t="str">
        <f>IF(OR(Table1[[#This Row],[credit_score]] &lt; 600, Table1[ [#This Row],[dti_ratio] ] &gt; 0.5, Table1[[#This Row],[dpd]] &gt;=30), "high risk", " not riskY")</f>
        <v xml:space="preserve"> not riskY</v>
      </c>
      <c r="AP507" s="26">
        <f>EOMONTH(Table1[[#This Row],[origination_date]],0)</f>
        <v>45961</v>
      </c>
      <c r="AQ507" s="2">
        <f>SUMIFS(Table1[loan_amount],Table1[origination month],Table1[[#This Row],[origination month]])</f>
        <v>18211600</v>
      </c>
      <c r="AR507" s="2">
        <f>AVERAGEIFS(Table1[months_on_book],Table1[product],Table1[[#This Row],[product]])</f>
        <v>21.092024539877301</v>
      </c>
      <c r="AS507" s="2" t="str">
        <f ca="1">IF(EDATE(Table1[[#This Row],[origination_date]],6) &gt;= TODAY(), "New Loan", "Old Loan")</f>
        <v>New Loan</v>
      </c>
      <c r="AT507" s="2" t="str">
        <f>"Q"&amp;ROUNDUP(MONTH(Table1[[#This Row],[origination_date]])/3,0)&amp;YEAR(Table1[[#This Row],[origination_date]])</f>
        <v>Q42025</v>
      </c>
      <c r="AU507" s="2">
        <f>SUMIFS(Table1[loan_amount],Table1[quarter],Table1[[#This Row],[quarter]])</f>
        <v>38483800</v>
      </c>
      <c r="AV507" s="34" t="str">
        <f>_xlfn.TEXTJOIN("|",TRUE,Table1[[#This Row],[loan_id]:[loan_status]])</f>
        <v>L89766632|C5540778|45933|Personal Loan|Branch|West|Self-Employed|24|347200|15.31|16886|1195111|740|B|0.28|1.13|0|2|32739|318005|0|0|0|Active</v>
      </c>
      <c r="AW507" s="42" t="e">
        <f>YEAR(Loan_Table[ [#This Row],[origination_date] ])</f>
        <v>#VALUE!</v>
      </c>
    </row>
    <row r="508" spans="2:49" ht="18" customHeight="1">
      <c r="B508" s="5" t="s">
        <v>1136</v>
      </c>
      <c r="C508" s="2" t="s">
        <v>1137</v>
      </c>
      <c r="D508" s="3">
        <v>45964</v>
      </c>
      <c r="E508" s="2" t="s">
        <v>131</v>
      </c>
      <c r="F508" s="2" t="s">
        <v>144</v>
      </c>
      <c r="G508" s="2" t="s">
        <v>133</v>
      </c>
      <c r="H508" s="2" t="s">
        <v>134</v>
      </c>
      <c r="I508" s="2">
        <v>72</v>
      </c>
      <c r="J508" s="2">
        <v>510700</v>
      </c>
      <c r="K508" s="2">
        <v>15.97</v>
      </c>
      <c r="L508" s="2">
        <v>11070</v>
      </c>
      <c r="M508" s="2">
        <v>903211</v>
      </c>
      <c r="N508" s="2">
        <v>749</v>
      </c>
      <c r="O508" s="2" t="s">
        <v>135</v>
      </c>
      <c r="P508" s="2">
        <v>0.28000000000000003</v>
      </c>
      <c r="Q508" s="2">
        <v>0.62</v>
      </c>
      <c r="R508" s="2">
        <v>0</v>
      </c>
      <c r="S508" s="2">
        <v>1</v>
      </c>
      <c r="T508" s="2">
        <v>11227</v>
      </c>
      <c r="U508" s="2">
        <v>502192</v>
      </c>
      <c r="V508" s="2">
        <v>0</v>
      </c>
      <c r="W508" s="2">
        <v>0</v>
      </c>
      <c r="X508" s="2">
        <v>0</v>
      </c>
      <c r="Y508" s="2" t="s">
        <v>148</v>
      </c>
      <c r="Z508" s="12">
        <f>SUMIF(Table1[product],Table1[[#This Row],[product]],Table1[loan_amount])</f>
        <v>74897600</v>
      </c>
      <c r="AA508" s="15">
        <f>SUMIF(Table1[region],Table1[[#This Row],[region]],Table1[current_balance])</f>
        <v>94548000</v>
      </c>
      <c r="AB508" s="2">
        <f>COUNTIF(Table1[loan_status],Table1[[#This Row],[loan_status]])</f>
        <v>301</v>
      </c>
      <c r="AC508" s="2">
        <f>COUNTIF(Table1[default_flag],1)/ROWS(Table1[loan_id])</f>
        <v>2.5999999999999999E-2</v>
      </c>
      <c r="AD508" s="2">
        <f>COUNTIFS(Table1[region],Table1[[#This Row],[region]],Table1[default_flag],1)/COUNTIF(Table1[region],Table1[[#This Row],[region]])</f>
        <v>0</v>
      </c>
      <c r="AE508" s="2">
        <f>COUNTIFS(Table1[channel],Table1[[#This Row],[channel]],Table1[prepayment_flag],1)/COUNTIF(Table1[channel],Table1[[#This Row],[channel]])</f>
        <v>5.8201058201058198E-2</v>
      </c>
      <c r="AF508" s="2">
        <f>AVERAGEIFS(Table1[interest_rate_pct],Table1[product],Table1[[#This Row],[product]],Table1[risk_band],Table1[[#This Row],[risk_band]])</f>
        <v>16.500166666666669</v>
      </c>
      <c r="AG508" s="2" t="str" cm="1">
        <f t="array" ref="AG508">_xlfn.IFS(Table1[[#This Row],[dti_ratio]] &lt; 0.2, " less than 0.2", Table1[[#This Row],[dti_ratio]] &lt; 0.3, "0.2 - 0.3", Table1[[#This Row],[dti_ratio]] &lt;= 0.5, "0.35 - 0.5", Table1[[#This Row],[dti_ratio]] &gt; 0.5, "greater than 0.5")</f>
        <v>0.2 - 0.3</v>
      </c>
      <c r="AH508" s="2">
        <f>COUNTIF(Table1[DTI band],Table1[[#This Row],[DTI band]])</f>
        <v>122</v>
      </c>
      <c r="AI508" s="2" t="str" cm="1">
        <f t="array" ref="AI508">_xlfn.IFS(Table1[[#This Row],[ltv_ratio]] &lt; 0.6, "less than 0.6 -less risky", Table1[[#This Row],[ltv_ratio]]  &lt;= 0.8, "0.6 - 0.8 -medium risky",Table1[[#This Row],[ltv_ratio]] &gt; 0.8, "greater than 0.8 -highly risky")</f>
        <v>0.6 - 0.8 -medium risky</v>
      </c>
      <c r="AJ508" s="2">
        <f>COUNTIF(Table1[LTV band],Table1[[#This Row],[LTV band]])</f>
        <v>302</v>
      </c>
      <c r="AK508" s="2">
        <f>COUNTIFS(Table1[count_loan_perband],Table1[[#This Row],[count_loan_perband]],Table1[default_flag],1)/COUNTIF(Table1[count_loan_perband],Table1[[#This Row],[count_loan_perband]])</f>
        <v>3.6423841059602648E-2</v>
      </c>
      <c r="AL508" s="2" t="str" cm="1">
        <f t="array" ref="AL508">_xlfn.IFS(Table1[[#This Row],[loan_amount]] &lt; 900000, "lower size (&lt; 9L)", Table1[[#This Row],[loan_amount]] &lt;=3300000, "medium size (&lt;=33L)", Table1[[#This Row],[loan_amount]] &gt; 3300000, "larger size (&gt; 33L)")</f>
        <v>lower size (&lt; 9L)</v>
      </c>
      <c r="AM508" s="2">
        <f>IF(Table1[[#This Row],[dpd]] &gt;=30,1,0)</f>
        <v>0</v>
      </c>
      <c r="AN508" s="2">
        <f>COUNTIFS(Table1[Loan size],Table1[[#This Row],[Loan size]],Table1[dpd flag],1)/COUNTIF(Table1[Loan size],Table1[[#This Row],[Loan size]])</f>
        <v>0.13934426229508196</v>
      </c>
      <c r="AO508" s="2" t="str">
        <f>IF(OR(Table1[[#This Row],[credit_score]] &lt; 600, Table1[ [#This Row],[dti_ratio] ] &gt; 0.5, Table1[[#This Row],[dpd]] &gt;=30), "high risk", " not riskY")</f>
        <v xml:space="preserve"> not riskY</v>
      </c>
      <c r="AP508" s="26">
        <f>EOMONTH(Table1[[#This Row],[origination_date]],0)</f>
        <v>45991</v>
      </c>
      <c r="AQ508" s="2">
        <f>SUMIFS(Table1[loan_amount],Table1[origination month],Table1[[#This Row],[origination month]])</f>
        <v>20272200</v>
      </c>
      <c r="AR508" s="2">
        <f>AVERAGEIFS(Table1[months_on_book],Table1[product],Table1[[#This Row],[product]])</f>
        <v>21.092024539877301</v>
      </c>
      <c r="AS508" s="2" t="str">
        <f ca="1">IF(EDATE(Table1[[#This Row],[origination_date]],6) &gt;= TODAY(), "New Loan", "Old Loan")</f>
        <v>New Loan</v>
      </c>
      <c r="AT508" s="2" t="str">
        <f>"Q"&amp;ROUNDUP(MONTH(Table1[[#This Row],[origination_date]])/3,0)&amp;YEAR(Table1[[#This Row],[origination_date]])</f>
        <v>Q42025</v>
      </c>
      <c r="AU508" s="2">
        <f>SUMIFS(Table1[loan_amount],Table1[quarter],Table1[[#This Row],[quarter]])</f>
        <v>38483800</v>
      </c>
      <c r="AV508" s="34" t="str">
        <f>_xlfn.TEXTJOIN("|",TRUE,Table1[[#This Row],[loan_id]:[loan_status]])</f>
        <v>L10477636|C1774220|45964|Personal Loan|Branch|South|Salaried|72|510700|15.97|11070|903211|749|B|0.28|0.62|0|1|11227|502192|0|0|0|Active</v>
      </c>
      <c r="AW508" s="42" t="e">
        <f>YEAR(Loan_Table[ [#This Row],[origination_date] ])</f>
        <v>#VALUE!</v>
      </c>
    </row>
    <row r="509" spans="2:49" ht="18" customHeight="1">
      <c r="B509" s="5" t="s">
        <v>1138</v>
      </c>
      <c r="C509" s="2" t="s">
        <v>1139</v>
      </c>
      <c r="D509" s="3">
        <v>45988</v>
      </c>
      <c r="E509" s="2" t="s">
        <v>163</v>
      </c>
      <c r="F509" s="2" t="s">
        <v>144</v>
      </c>
      <c r="G509" s="2" t="s">
        <v>139</v>
      </c>
      <c r="H509" s="2" t="s">
        <v>192</v>
      </c>
      <c r="I509" s="2">
        <v>24</v>
      </c>
      <c r="J509" s="2">
        <v>1420900</v>
      </c>
      <c r="K509" s="2">
        <v>16.09</v>
      </c>
      <c r="L509" s="2">
        <v>69633</v>
      </c>
      <c r="M509" s="2">
        <v>742681</v>
      </c>
      <c r="N509" s="2">
        <v>623</v>
      </c>
      <c r="O509" s="2" t="s">
        <v>147</v>
      </c>
      <c r="P509" s="2">
        <v>0.26</v>
      </c>
      <c r="Q509" s="2">
        <v>0.79</v>
      </c>
      <c r="R509" s="2">
        <v>1790000</v>
      </c>
      <c r="S509" s="2">
        <v>1</v>
      </c>
      <c r="T509" s="2">
        <v>69836</v>
      </c>
      <c r="U509" s="2">
        <v>1358685</v>
      </c>
      <c r="V509" s="2">
        <v>0</v>
      </c>
      <c r="W509" s="2">
        <v>0</v>
      </c>
      <c r="X509" s="2">
        <v>0</v>
      </c>
      <c r="Y509" s="2" t="s">
        <v>148</v>
      </c>
      <c r="Z509" s="12">
        <f>SUMIF(Table1[product],Table1[[#This Row],[product]],Table1[loan_amount])</f>
        <v>92273000</v>
      </c>
      <c r="AA509" s="15">
        <f>SUMIF(Table1[region],Table1[[#This Row],[region]],Table1[current_balance])</f>
        <v>83903255</v>
      </c>
      <c r="AB509" s="2">
        <f>COUNTIF(Table1[loan_status],Table1[[#This Row],[loan_status]])</f>
        <v>301</v>
      </c>
      <c r="AC509" s="2">
        <f>COUNTIF(Table1[default_flag],1)/ROWS(Table1[loan_id])</f>
        <v>2.5999999999999999E-2</v>
      </c>
      <c r="AD509" s="2">
        <f>COUNTIFS(Table1[region],Table1[[#This Row],[region]],Table1[default_flag],1)/COUNTIF(Table1[region],Table1[[#This Row],[region]])</f>
        <v>4.2553191489361701E-2</v>
      </c>
      <c r="AE509" s="2">
        <f>COUNTIFS(Table1[channel],Table1[[#This Row],[channel]],Table1[prepayment_flag],1)/COUNTIF(Table1[channel],Table1[[#This Row],[channel]])</f>
        <v>5.8201058201058198E-2</v>
      </c>
      <c r="AF509" s="2">
        <f>AVERAGEIFS(Table1[interest_rate_pct],Table1[product],Table1[[#This Row],[product]],Table1[risk_band],Table1[[#This Row],[risk_band]])</f>
        <v>15.092000000000001</v>
      </c>
      <c r="AG509" s="2" t="str" cm="1">
        <f t="array" ref="AG509">_xlfn.IFS(Table1[[#This Row],[dti_ratio]] &lt; 0.2, " less than 0.2", Table1[[#This Row],[dti_ratio]] &lt; 0.3, "0.2 - 0.3", Table1[[#This Row],[dti_ratio]] &lt;= 0.5, "0.35 - 0.5", Table1[[#This Row],[dti_ratio]] &gt; 0.5, "greater than 0.5")</f>
        <v>0.2 - 0.3</v>
      </c>
      <c r="AH509" s="2">
        <f>COUNTIF(Table1[DTI band],Table1[[#This Row],[DTI band]])</f>
        <v>122</v>
      </c>
      <c r="AI509" s="2" t="str" cm="1">
        <f t="array" ref="AI509">_xlfn.IFS(Table1[[#This Row],[ltv_ratio]] &lt; 0.6, "less than 0.6 -less risky", Table1[[#This Row],[ltv_ratio]]  &lt;= 0.8, "0.6 - 0.8 -medium risky",Table1[[#This Row],[ltv_ratio]] &gt; 0.8, "greater than 0.8 -highly risky")</f>
        <v>0.6 - 0.8 -medium risky</v>
      </c>
      <c r="AJ509" s="2">
        <f>COUNTIF(Table1[LTV band],Table1[[#This Row],[LTV band]])</f>
        <v>302</v>
      </c>
      <c r="AK509" s="2">
        <f>COUNTIFS(Table1[count_loan_perband],Table1[[#This Row],[count_loan_perband]],Table1[default_flag],1)/COUNTIF(Table1[count_loan_perband],Table1[[#This Row],[count_loan_perband]])</f>
        <v>3.6423841059602648E-2</v>
      </c>
      <c r="AL509" s="2" t="str" cm="1">
        <f t="array" ref="AL509">_xlfn.IFS(Table1[[#This Row],[loan_amount]] &lt; 900000, "lower size (&lt; 9L)", Table1[[#This Row],[loan_amount]] &lt;=3300000, "medium size (&lt;=33L)", Table1[[#This Row],[loan_amount]] &gt; 3300000, "larger size (&gt; 33L)")</f>
        <v>medium size (&lt;=33L)</v>
      </c>
      <c r="AM509" s="2">
        <f>IF(Table1[[#This Row],[dpd]] &gt;=30,1,0)</f>
        <v>0</v>
      </c>
      <c r="AN509" s="2">
        <f>COUNTIFS(Table1[Loan size],Table1[[#This Row],[Loan size]],Table1[dpd flag],1)/COUNTIF(Table1[Loan size],Table1[[#This Row],[Loan size]])</f>
        <v>0.15909090909090909</v>
      </c>
      <c r="AO509" s="2" t="str">
        <f>IF(OR(Table1[[#This Row],[credit_score]] &lt; 600, Table1[ [#This Row],[dti_ratio] ] &gt; 0.5, Table1[[#This Row],[dpd]] &gt;=30), "high risk", " not riskY")</f>
        <v xml:space="preserve"> not riskY</v>
      </c>
      <c r="AP509" s="26">
        <f>EOMONTH(Table1[[#This Row],[origination_date]],0)</f>
        <v>45991</v>
      </c>
      <c r="AQ509" s="2">
        <f>SUMIFS(Table1[loan_amount],Table1[origination month],Table1[[#This Row],[origination month]])</f>
        <v>20272200</v>
      </c>
      <c r="AR509" s="2">
        <f>AVERAGEIFS(Table1[months_on_book],Table1[product],Table1[[#This Row],[product]])</f>
        <v>20.262135922330096</v>
      </c>
      <c r="AS509" s="2" t="str">
        <f ca="1">IF(EDATE(Table1[[#This Row],[origination_date]],6) &gt;= TODAY(), "New Loan", "Old Loan")</f>
        <v>New Loan</v>
      </c>
      <c r="AT509" s="2" t="str">
        <f>"Q"&amp;ROUNDUP(MONTH(Table1[[#This Row],[origination_date]])/3,0)&amp;YEAR(Table1[[#This Row],[origination_date]])</f>
        <v>Q42025</v>
      </c>
      <c r="AU509" s="2">
        <f>SUMIFS(Table1[loan_amount],Table1[quarter],Table1[[#This Row],[quarter]])</f>
        <v>38483800</v>
      </c>
      <c r="AV509" s="34" t="str">
        <f>_xlfn.TEXTJOIN("|",TRUE,Table1[[#This Row],[loan_id]:[loan_status]])</f>
        <v>L91497897|C1048868|45988|Auto Loan|Branch|West|Unemployed|24|1420900|16.09|69633|742681|623|D|0.26|0.79|1790000|1|69836|1358685|0|0|0|Active</v>
      </c>
      <c r="AW509" s="42" t="e">
        <f>YEAR(Loan_Table[ [#This Row],[origination_date] ])</f>
        <v>#VALUE!</v>
      </c>
    </row>
    <row r="510" spans="2:49" ht="18" customHeight="1">
      <c r="B510" s="5" t="s">
        <v>1140</v>
      </c>
      <c r="C510" s="2" t="s">
        <v>1141</v>
      </c>
      <c r="D510" s="3">
        <v>45939</v>
      </c>
      <c r="E510" s="2" t="s">
        <v>131</v>
      </c>
      <c r="F510" s="2" t="s">
        <v>144</v>
      </c>
      <c r="G510" s="2" t="s">
        <v>145</v>
      </c>
      <c r="H510" s="2" t="s">
        <v>192</v>
      </c>
      <c r="I510" s="2">
        <v>18</v>
      </c>
      <c r="J510" s="2">
        <v>433100</v>
      </c>
      <c r="K510" s="2">
        <v>18.559999999999999</v>
      </c>
      <c r="L510" s="2">
        <v>27750</v>
      </c>
      <c r="M510" s="2">
        <v>752822</v>
      </c>
      <c r="N510" s="2">
        <v>679</v>
      </c>
      <c r="O510" s="2" t="s">
        <v>140</v>
      </c>
      <c r="P510" s="2">
        <v>0.26</v>
      </c>
      <c r="Q510" s="2">
        <v>0.75</v>
      </c>
      <c r="R510" s="2">
        <v>0</v>
      </c>
      <c r="S510" s="2">
        <v>2</v>
      </c>
      <c r="T510" s="2">
        <v>49366</v>
      </c>
      <c r="U510" s="2">
        <v>389093</v>
      </c>
      <c r="V510" s="2">
        <v>0</v>
      </c>
      <c r="W510" s="2">
        <v>1</v>
      </c>
      <c r="X510" s="2">
        <v>0</v>
      </c>
      <c r="Y510" s="2" t="s">
        <v>141</v>
      </c>
      <c r="Z510" s="12">
        <f>SUMIF(Table1[product],Table1[[#This Row],[product]],Table1[loan_amount])</f>
        <v>74897600</v>
      </c>
      <c r="AA510" s="15">
        <f>SUMIF(Table1[region],Table1[[#This Row],[region]],Table1[current_balance])</f>
        <v>98928695</v>
      </c>
      <c r="AB510" s="2">
        <f>COUNTIF(Table1[loan_status],Table1[[#This Row],[loan_status]])</f>
        <v>139</v>
      </c>
      <c r="AC510" s="2">
        <f>COUNTIF(Table1[default_flag],1)/ROWS(Table1[loan_id])</f>
        <v>2.5999999999999999E-2</v>
      </c>
      <c r="AD510" s="2">
        <f>COUNTIFS(Table1[region],Table1[[#This Row],[region]],Table1[default_flag],1)/COUNTIF(Table1[region],Table1[[#This Row],[region]])</f>
        <v>2.8571428571428571E-2</v>
      </c>
      <c r="AE510" s="2">
        <f>COUNTIFS(Table1[channel],Table1[[#This Row],[channel]],Table1[prepayment_flag],1)/COUNTIF(Table1[channel],Table1[[#This Row],[channel]])</f>
        <v>5.8201058201058198E-2</v>
      </c>
      <c r="AF510" s="2">
        <f>AVERAGEIFS(Table1[interest_rate_pct],Table1[product],Table1[[#This Row],[product]],Table1[risk_band],Table1[[#This Row],[risk_band]])</f>
        <v>18.603181818181817</v>
      </c>
      <c r="AG510" s="2" t="str" cm="1">
        <f t="array" ref="AG510">_xlfn.IFS(Table1[[#This Row],[dti_ratio]] &lt; 0.2, " less than 0.2", Table1[[#This Row],[dti_ratio]] &lt; 0.3, "0.2 - 0.3", Table1[[#This Row],[dti_ratio]] &lt;= 0.5, "0.35 - 0.5", Table1[[#This Row],[dti_ratio]] &gt; 0.5, "greater than 0.5")</f>
        <v>0.2 - 0.3</v>
      </c>
      <c r="AH510" s="2">
        <f>COUNTIF(Table1[DTI band],Table1[[#This Row],[DTI band]])</f>
        <v>122</v>
      </c>
      <c r="AI510" s="2" t="str" cm="1">
        <f t="array" ref="AI510">_xlfn.IFS(Table1[[#This Row],[ltv_ratio]] &lt; 0.6, "less than 0.6 -less risky", Table1[[#This Row],[ltv_ratio]]  &lt;= 0.8, "0.6 - 0.8 -medium risky",Table1[[#This Row],[ltv_ratio]] &gt; 0.8, "greater than 0.8 -highly risky")</f>
        <v>0.6 - 0.8 -medium risky</v>
      </c>
      <c r="AJ510" s="2">
        <f>COUNTIF(Table1[LTV band],Table1[[#This Row],[LTV band]])</f>
        <v>302</v>
      </c>
      <c r="AK510" s="2">
        <f>COUNTIFS(Table1[count_loan_perband],Table1[[#This Row],[count_loan_perband]],Table1[default_flag],1)/COUNTIF(Table1[count_loan_perband],Table1[[#This Row],[count_loan_perband]])</f>
        <v>3.6423841059602648E-2</v>
      </c>
      <c r="AL510" s="2" t="str" cm="1">
        <f t="array" ref="AL510">_xlfn.IFS(Table1[[#This Row],[loan_amount]] &lt; 900000, "lower size (&lt; 9L)", Table1[[#This Row],[loan_amount]] &lt;=3300000, "medium size (&lt;=33L)", Table1[[#This Row],[loan_amount]] &gt; 3300000, "larger size (&gt; 33L)")</f>
        <v>lower size (&lt; 9L)</v>
      </c>
      <c r="AM510" s="2">
        <f>IF(Table1[[#This Row],[dpd]] &gt;=30,1,0)</f>
        <v>0</v>
      </c>
      <c r="AN510" s="2">
        <f>COUNTIFS(Table1[Loan size],Table1[[#This Row],[Loan size]],Table1[dpd flag],1)/COUNTIF(Table1[Loan size],Table1[[#This Row],[Loan size]])</f>
        <v>0.13934426229508196</v>
      </c>
      <c r="AO510" s="2" t="str">
        <f>IF(OR(Table1[[#This Row],[credit_score]] &lt; 600, Table1[ [#This Row],[dti_ratio] ] &gt; 0.5, Table1[[#This Row],[dpd]] &gt;=30), "high risk", " not riskY")</f>
        <v xml:space="preserve"> not riskY</v>
      </c>
      <c r="AP510" s="26">
        <f>EOMONTH(Table1[[#This Row],[origination_date]],0)</f>
        <v>45961</v>
      </c>
      <c r="AQ510" s="2">
        <f>SUMIFS(Table1[loan_amount],Table1[origination month],Table1[[#This Row],[origination month]])</f>
        <v>18211600</v>
      </c>
      <c r="AR510" s="2">
        <f>AVERAGEIFS(Table1[months_on_book],Table1[product],Table1[[#This Row],[product]])</f>
        <v>21.092024539877301</v>
      </c>
      <c r="AS510" s="2" t="str">
        <f ca="1">IF(EDATE(Table1[[#This Row],[origination_date]],6) &gt;= TODAY(), "New Loan", "Old Loan")</f>
        <v>New Loan</v>
      </c>
      <c r="AT510" s="2" t="str">
        <f>"Q"&amp;ROUNDUP(MONTH(Table1[[#This Row],[origination_date]])/3,0)&amp;YEAR(Table1[[#This Row],[origination_date]])</f>
        <v>Q42025</v>
      </c>
      <c r="AU510" s="2">
        <f>SUMIFS(Table1[loan_amount],Table1[quarter],Table1[[#This Row],[quarter]])</f>
        <v>38483800</v>
      </c>
      <c r="AV510" s="34" t="str">
        <f>_xlfn.TEXTJOIN("|",TRUE,Table1[[#This Row],[loan_id]:[loan_status]])</f>
        <v>L38433614|C5018951|45939|Personal Loan|Branch|Central|Unemployed|18|433100|18.56|27750|752822|679|C|0.26|0.75|0|2|49366|389093|0|1|0|Closed</v>
      </c>
      <c r="AW510" s="42" t="e">
        <f>YEAR(Loan_Table[ [#This Row],[origination_date] ])</f>
        <v>#VALUE!</v>
      </c>
    </row>
    <row r="511" spans="2:49" ht="18" customHeight="1">
      <c r="B511" s="5" t="s">
        <v>1142</v>
      </c>
      <c r="C511" s="2" t="s">
        <v>1143</v>
      </c>
      <c r="D511" s="3">
        <v>45989</v>
      </c>
      <c r="E511" s="2" t="s">
        <v>169</v>
      </c>
      <c r="F511" s="2" t="s">
        <v>132</v>
      </c>
      <c r="G511" s="2" t="s">
        <v>139</v>
      </c>
      <c r="H511" s="2" t="s">
        <v>152</v>
      </c>
      <c r="I511" s="2">
        <v>12</v>
      </c>
      <c r="J511" s="2">
        <v>3405300</v>
      </c>
      <c r="K511" s="2">
        <v>7</v>
      </c>
      <c r="L511" s="2">
        <v>294650</v>
      </c>
      <c r="M511" s="2">
        <v>688958</v>
      </c>
      <c r="N511" s="2">
        <v>795</v>
      </c>
      <c r="O511" s="2" t="s">
        <v>160</v>
      </c>
      <c r="P511" s="2">
        <v>0.25</v>
      </c>
      <c r="Q511" s="2">
        <v>0.66</v>
      </c>
      <c r="R511" s="2">
        <v>5187500</v>
      </c>
      <c r="S511" s="2">
        <v>1</v>
      </c>
      <c r="T511" s="2">
        <v>269464</v>
      </c>
      <c r="U511" s="2">
        <v>3143782</v>
      </c>
      <c r="V511" s="2">
        <v>0</v>
      </c>
      <c r="W511" s="2">
        <v>0</v>
      </c>
      <c r="X511" s="2">
        <v>0</v>
      </c>
      <c r="Y511" s="2" t="s">
        <v>148</v>
      </c>
      <c r="Z511" s="12">
        <f>SUMIF(Table1[product],Table1[[#This Row],[product]],Table1[loan_amount])</f>
        <v>403369500</v>
      </c>
      <c r="AA511" s="15">
        <f>SUMIF(Table1[region],Table1[[#This Row],[region]],Table1[current_balance])</f>
        <v>83903255</v>
      </c>
      <c r="AB511" s="2">
        <f>COUNTIF(Table1[loan_status],Table1[[#This Row],[loan_status]])</f>
        <v>301</v>
      </c>
      <c r="AC511" s="2">
        <f>COUNTIF(Table1[default_flag],1)/ROWS(Table1[loan_id])</f>
        <v>2.5999999999999999E-2</v>
      </c>
      <c r="AD511" s="2">
        <f>COUNTIFS(Table1[region],Table1[[#This Row],[region]],Table1[default_flag],1)/COUNTIF(Table1[region],Table1[[#This Row],[region]])</f>
        <v>4.2553191489361701E-2</v>
      </c>
      <c r="AE511" s="2">
        <f>COUNTIFS(Table1[channel],Table1[[#This Row],[channel]],Table1[prepayment_flag],1)/COUNTIF(Table1[channel],Table1[[#This Row],[channel]])</f>
        <v>7.1090047393364927E-2</v>
      </c>
      <c r="AF511" s="2">
        <f>AVERAGEIFS(Table1[interest_rate_pct],Table1[product],Table1[[#This Row],[product]],Table1[risk_band],Table1[[#This Row],[risk_band]])</f>
        <v>7.1876190476190471</v>
      </c>
      <c r="AG511" s="2" t="str" cm="1">
        <f t="array" ref="AG511">_xlfn.IFS(Table1[[#This Row],[dti_ratio]] &lt; 0.2, " less than 0.2", Table1[[#This Row],[dti_ratio]] &lt; 0.3, "0.2 - 0.3", Table1[[#This Row],[dti_ratio]] &lt;= 0.5, "0.35 - 0.5", Table1[[#This Row],[dti_ratio]] &gt; 0.5, "greater than 0.5")</f>
        <v>0.2 - 0.3</v>
      </c>
      <c r="AH511" s="2">
        <f>COUNTIF(Table1[DTI band],Table1[[#This Row],[DTI band]])</f>
        <v>122</v>
      </c>
      <c r="AI511" s="2" t="str" cm="1">
        <f t="array" ref="AI511">_xlfn.IFS(Table1[[#This Row],[ltv_ratio]] &lt; 0.6, "less than 0.6 -less risky", Table1[[#This Row],[ltv_ratio]]  &lt;= 0.8, "0.6 - 0.8 -medium risky",Table1[[#This Row],[ltv_ratio]] &gt; 0.8, "greater than 0.8 -highly risky")</f>
        <v>0.6 - 0.8 -medium risky</v>
      </c>
      <c r="AJ511" s="2">
        <f>COUNTIF(Table1[LTV band],Table1[[#This Row],[LTV band]])</f>
        <v>302</v>
      </c>
      <c r="AK511" s="2">
        <f>COUNTIFS(Table1[count_loan_perband],Table1[[#This Row],[count_loan_perband]],Table1[default_flag],1)/COUNTIF(Table1[count_loan_perband],Table1[[#This Row],[count_loan_perband]])</f>
        <v>3.6423841059602648E-2</v>
      </c>
      <c r="AL511" s="2" t="str" cm="1">
        <f t="array" ref="AL511">_xlfn.IFS(Table1[[#This Row],[loan_amount]] &lt; 900000, "lower size (&lt; 9L)", Table1[[#This Row],[loan_amount]] &lt;=3300000, "medium size (&lt;=33L)", Table1[[#This Row],[loan_amount]] &gt; 3300000, "larger size (&gt; 33L)")</f>
        <v>larger size (&gt; 33L)</v>
      </c>
      <c r="AM511" s="2">
        <f>IF(Table1[[#This Row],[dpd]] &gt;=30,1,0)</f>
        <v>0</v>
      </c>
      <c r="AN511" s="2">
        <f>COUNTIFS(Table1[Loan size],Table1[[#This Row],[Loan size]],Table1[dpd flag],1)/COUNTIF(Table1[Loan size],Table1[[#This Row],[Loan size]])</f>
        <v>0.16250000000000001</v>
      </c>
      <c r="AO511" s="2" t="str">
        <f>IF(OR(Table1[[#This Row],[credit_score]] &lt; 600, Table1[ [#This Row],[dti_ratio] ] &gt; 0.5, Table1[[#This Row],[dpd]] &gt;=30), "high risk", " not riskY")</f>
        <v xml:space="preserve"> not riskY</v>
      </c>
      <c r="AP511" s="26">
        <f>EOMONTH(Table1[[#This Row],[origination_date]],0)</f>
        <v>45991</v>
      </c>
      <c r="AQ511" s="2">
        <f>SUMIFS(Table1[loan_amount],Table1[origination month],Table1[[#This Row],[origination month]])</f>
        <v>20272200</v>
      </c>
      <c r="AR511" s="2">
        <f>AVERAGEIFS(Table1[months_on_book],Table1[product],Table1[[#This Row],[product]])</f>
        <v>20.516129032258064</v>
      </c>
      <c r="AS511" s="2" t="str">
        <f ca="1">IF(EDATE(Table1[[#This Row],[origination_date]],6) &gt;= TODAY(), "New Loan", "Old Loan")</f>
        <v>New Loan</v>
      </c>
      <c r="AT511" s="2" t="str">
        <f>"Q"&amp;ROUNDUP(MONTH(Table1[[#This Row],[origination_date]])/3,0)&amp;YEAR(Table1[[#This Row],[origination_date]])</f>
        <v>Q42025</v>
      </c>
      <c r="AU511" s="2">
        <f>SUMIFS(Table1[loan_amount],Table1[quarter],Table1[[#This Row],[quarter]])</f>
        <v>38483800</v>
      </c>
      <c r="AV511" s="34" t="str">
        <f>_xlfn.TEXTJOIN("|",TRUE,Table1[[#This Row],[loan_id]:[loan_status]])</f>
        <v>L25027562|C9270460|45989|Home Loan|Online|West|Self-Employed|12|3405300|7|294650|688958|795|A|0.25|0.66|5187500|1|269464|3143782|0|0|0|Active</v>
      </c>
      <c r="AW511" s="42" t="e">
        <f>YEAR(Loan_Table[ [#This Row],[origination_date] ])</f>
        <v>#VALUE!</v>
      </c>
    </row>
    <row r="512" spans="2:49" ht="18" customHeight="1">
      <c r="B512" s="5" t="s">
        <v>1144</v>
      </c>
      <c r="C512" s="2" t="s">
        <v>1145</v>
      </c>
      <c r="D512" s="3">
        <v>45984</v>
      </c>
      <c r="E512" s="2" t="s">
        <v>158</v>
      </c>
      <c r="F512" s="2" t="s">
        <v>132</v>
      </c>
      <c r="G512" s="2" t="s">
        <v>145</v>
      </c>
      <c r="H512" s="2" t="s">
        <v>134</v>
      </c>
      <c r="I512" s="2">
        <v>12</v>
      </c>
      <c r="J512" s="2">
        <v>565900</v>
      </c>
      <c r="K512" s="2">
        <v>19.21</v>
      </c>
      <c r="L512" s="2">
        <v>52208</v>
      </c>
      <c r="M512" s="2">
        <v>459916</v>
      </c>
      <c r="N512" s="2">
        <v>607</v>
      </c>
      <c r="O512" s="2" t="s">
        <v>147</v>
      </c>
      <c r="P512" s="2">
        <v>0.19</v>
      </c>
      <c r="Q512" s="2">
        <v>0.87</v>
      </c>
      <c r="R512" s="2">
        <v>653500</v>
      </c>
      <c r="S512" s="2">
        <v>1</v>
      </c>
      <c r="T512" s="2">
        <v>51045</v>
      </c>
      <c r="U512" s="2">
        <v>518479</v>
      </c>
      <c r="V512" s="2">
        <v>0</v>
      </c>
      <c r="W512" s="2">
        <v>0</v>
      </c>
      <c r="X512" s="2">
        <v>0</v>
      </c>
      <c r="Y512" s="2" t="s">
        <v>148</v>
      </c>
      <c r="Z512" s="12">
        <f>SUMIF(Table1[product],Table1[[#This Row],[product]],Table1[loan_amount])</f>
        <v>201475100</v>
      </c>
      <c r="AA512" s="15">
        <f>SUMIF(Table1[region],Table1[[#This Row],[region]],Table1[current_balance])</f>
        <v>98928695</v>
      </c>
      <c r="AB512" s="2">
        <f>COUNTIF(Table1[loan_status],Table1[[#This Row],[loan_status]])</f>
        <v>301</v>
      </c>
      <c r="AC512" s="2">
        <f>COUNTIF(Table1[default_flag],1)/ROWS(Table1[loan_id])</f>
        <v>2.5999999999999999E-2</v>
      </c>
      <c r="AD512" s="2">
        <f>COUNTIFS(Table1[region],Table1[[#This Row],[region]],Table1[default_flag],1)/COUNTIF(Table1[region],Table1[[#This Row],[region]])</f>
        <v>2.8571428571428571E-2</v>
      </c>
      <c r="AE512" s="2">
        <f>COUNTIFS(Table1[channel],Table1[[#This Row],[channel]],Table1[prepayment_flag],1)/COUNTIF(Table1[channel],Table1[[#This Row],[channel]])</f>
        <v>7.1090047393364927E-2</v>
      </c>
      <c r="AF512" s="2">
        <f>AVERAGEIFS(Table1[interest_rate_pct],Table1[product],Table1[[#This Row],[product]],Table1[risk_band],Table1[[#This Row],[risk_band]])</f>
        <v>18.241249999999997</v>
      </c>
      <c r="AG512" s="2" t="str" cm="1">
        <f t="array" ref="AG512">_xlfn.IFS(Table1[[#This Row],[dti_ratio]] &lt; 0.2, " less than 0.2", Table1[[#This Row],[dti_ratio]] &lt; 0.3, "0.2 - 0.3", Table1[[#This Row],[dti_ratio]] &lt;= 0.5, "0.35 - 0.5", Table1[[#This Row],[dti_ratio]] &gt; 0.5, "greater than 0.5")</f>
        <v xml:space="preserve"> less than 0.2</v>
      </c>
      <c r="AH512" s="2">
        <f>COUNTIF(Table1[DTI band],Table1[[#This Row],[DTI band]])</f>
        <v>86</v>
      </c>
      <c r="AI512" s="2" t="str" cm="1">
        <f t="array" ref="AI512">_xlfn.IFS(Table1[[#This Row],[ltv_ratio]] &lt; 0.6, "less than 0.6 -less risky", Table1[[#This Row],[ltv_ratio]]  &lt;= 0.8, "0.6 - 0.8 -medium risky",Table1[[#This Row],[ltv_ratio]] &gt; 0.8, "greater than 0.8 -highly risky")</f>
        <v>greater than 0.8 -highly risky</v>
      </c>
      <c r="AJ512" s="2">
        <f>COUNTIF(Table1[LTV band],Table1[[#This Row],[LTV band]])</f>
        <v>141</v>
      </c>
      <c r="AK512" s="2">
        <f>COUNTIFS(Table1[count_loan_perband],Table1[[#This Row],[count_loan_perband]],Table1[default_flag],1)/COUNTIF(Table1[count_loan_perband],Table1[[#This Row],[count_loan_perband]])</f>
        <v>1.4184397163120567E-2</v>
      </c>
      <c r="AL512" s="2" t="str" cm="1">
        <f t="array" ref="AL512">_xlfn.IFS(Table1[[#This Row],[loan_amount]] &lt; 900000, "lower size (&lt; 9L)", Table1[[#This Row],[loan_amount]] &lt;=3300000, "medium size (&lt;=33L)", Table1[[#This Row],[loan_amount]] &gt; 3300000, "larger size (&gt; 33L)")</f>
        <v>lower size (&lt; 9L)</v>
      </c>
      <c r="AM512" s="2">
        <f>IF(Table1[[#This Row],[dpd]] &gt;=30,1,0)</f>
        <v>0</v>
      </c>
      <c r="AN512" s="2">
        <f>COUNTIFS(Table1[Loan size],Table1[[#This Row],[Loan size]],Table1[dpd flag],1)/COUNTIF(Table1[Loan size],Table1[[#This Row],[Loan size]])</f>
        <v>0.13934426229508196</v>
      </c>
      <c r="AO512" s="2" t="str">
        <f>IF(OR(Table1[[#This Row],[credit_score]] &lt; 600, Table1[ [#This Row],[dti_ratio] ] &gt; 0.5, Table1[[#This Row],[dpd]] &gt;=30), "high risk", " not riskY")</f>
        <v xml:space="preserve"> not riskY</v>
      </c>
      <c r="AP512" s="26">
        <f>EOMONTH(Table1[[#This Row],[origination_date]],0)</f>
        <v>45991</v>
      </c>
      <c r="AQ512" s="2">
        <f>SUMIFS(Table1[loan_amount],Table1[origination month],Table1[[#This Row],[origination month]])</f>
        <v>20272200</v>
      </c>
      <c r="AR512" s="2">
        <f>AVERAGEIFS(Table1[months_on_book],Table1[product],Table1[[#This Row],[product]])</f>
        <v>19.091954022988507</v>
      </c>
      <c r="AS512" s="2" t="str">
        <f ca="1">IF(EDATE(Table1[[#This Row],[origination_date]],6) &gt;= TODAY(), "New Loan", "Old Loan")</f>
        <v>New Loan</v>
      </c>
      <c r="AT512" s="2" t="str">
        <f>"Q"&amp;ROUNDUP(MONTH(Table1[[#This Row],[origination_date]])/3,0)&amp;YEAR(Table1[[#This Row],[origination_date]])</f>
        <v>Q42025</v>
      </c>
      <c r="AU512" s="2">
        <f>SUMIFS(Table1[loan_amount],Table1[quarter],Table1[[#This Row],[quarter]])</f>
        <v>38483800</v>
      </c>
      <c r="AV512" s="34" t="str">
        <f>_xlfn.TEXTJOIN("|",TRUE,Table1[[#This Row],[loan_id]:[loan_status]])</f>
        <v>L72483619|C6151718|45984|SME Loan|Online|Central|Salaried|12|565900|19.21|52208|459916|607|D|0.19|0.87|653500|1|51045|518479|0|0|0|Active</v>
      </c>
      <c r="AW512" s="42" t="e">
        <f>YEAR(Loan_Table[ [#This Row],[origination_date] ])</f>
        <v>#VALUE!</v>
      </c>
    </row>
    <row r="513" spans="2:49" ht="18" customHeight="1">
      <c r="B513" s="5" t="s">
        <v>1146</v>
      </c>
      <c r="C513" s="2" t="s">
        <v>1147</v>
      </c>
      <c r="D513" s="3">
        <v>45949</v>
      </c>
      <c r="E513" s="2" t="s">
        <v>163</v>
      </c>
      <c r="F513" s="2" t="s">
        <v>159</v>
      </c>
      <c r="G513" s="2" t="s">
        <v>139</v>
      </c>
      <c r="H513" s="2" t="s">
        <v>152</v>
      </c>
      <c r="I513" s="2">
        <v>360</v>
      </c>
      <c r="J513" s="2">
        <v>1937600</v>
      </c>
      <c r="K513" s="2">
        <v>9.51</v>
      </c>
      <c r="L513" s="2">
        <v>16307</v>
      </c>
      <c r="M513" s="2">
        <v>1448023</v>
      </c>
      <c r="N513" s="2">
        <v>746</v>
      </c>
      <c r="O513" s="2" t="s">
        <v>135</v>
      </c>
      <c r="P513" s="2">
        <v>0.19</v>
      </c>
      <c r="Q513" s="2">
        <v>0.79</v>
      </c>
      <c r="R513" s="2">
        <v>2442500</v>
      </c>
      <c r="S513" s="2">
        <v>2</v>
      </c>
      <c r="T513" s="2">
        <v>28427</v>
      </c>
      <c r="U513" s="2">
        <v>1921457</v>
      </c>
      <c r="V513" s="2">
        <v>0</v>
      </c>
      <c r="W513" s="2">
        <v>0</v>
      </c>
      <c r="X513" s="2">
        <v>0</v>
      </c>
      <c r="Y513" s="2" t="s">
        <v>148</v>
      </c>
      <c r="Z513" s="12">
        <f>SUMIF(Table1[product],Table1[[#This Row],[product]],Table1[loan_amount])</f>
        <v>92273000</v>
      </c>
      <c r="AA513" s="15">
        <f>SUMIF(Table1[region],Table1[[#This Row],[region]],Table1[current_balance])</f>
        <v>83903255</v>
      </c>
      <c r="AB513" s="2">
        <f>COUNTIF(Table1[loan_status],Table1[[#This Row],[loan_status]])</f>
        <v>301</v>
      </c>
      <c r="AC513" s="2">
        <f>COUNTIF(Table1[default_flag],1)/ROWS(Table1[loan_id])</f>
        <v>2.5999999999999999E-2</v>
      </c>
      <c r="AD513" s="2">
        <f>COUNTIFS(Table1[region],Table1[[#This Row],[region]],Table1[default_flag],1)/COUNTIF(Table1[region],Table1[[#This Row],[region]])</f>
        <v>4.2553191489361701E-2</v>
      </c>
      <c r="AE513" s="2">
        <f>COUNTIFS(Table1[channel],Table1[[#This Row],[channel]],Table1[prepayment_flag],1)/COUNTIF(Table1[channel],Table1[[#This Row],[channel]])</f>
        <v>0.1</v>
      </c>
      <c r="AF513" s="2">
        <f>AVERAGEIFS(Table1[interest_rate_pct],Table1[product],Table1[[#This Row],[product]],Table1[risk_band],Table1[[#This Row],[risk_band]])</f>
        <v>10.611923076923079</v>
      </c>
      <c r="AG513" s="2" t="str" cm="1">
        <f t="array" ref="AG513">_xlfn.IFS(Table1[[#This Row],[dti_ratio]] &lt; 0.2, " less than 0.2", Table1[[#This Row],[dti_ratio]] &lt; 0.3, "0.2 - 0.3", Table1[[#This Row],[dti_ratio]] &lt;= 0.5, "0.35 - 0.5", Table1[[#This Row],[dti_ratio]] &gt; 0.5, "greater than 0.5")</f>
        <v xml:space="preserve"> less than 0.2</v>
      </c>
      <c r="AH513" s="2">
        <f>COUNTIF(Table1[DTI band],Table1[[#This Row],[DTI band]])</f>
        <v>86</v>
      </c>
      <c r="AI513" s="2" t="str" cm="1">
        <f t="array" ref="AI513">_xlfn.IFS(Table1[[#This Row],[ltv_ratio]] &lt; 0.6, "less than 0.6 -less risky", Table1[[#This Row],[ltv_ratio]]  &lt;= 0.8, "0.6 - 0.8 -medium risky",Table1[[#This Row],[ltv_ratio]] &gt; 0.8, "greater than 0.8 -highly risky")</f>
        <v>0.6 - 0.8 -medium risky</v>
      </c>
      <c r="AJ513" s="2">
        <f>COUNTIF(Table1[LTV band],Table1[[#This Row],[LTV band]])</f>
        <v>302</v>
      </c>
      <c r="AK513" s="2">
        <f>COUNTIFS(Table1[count_loan_perband],Table1[[#This Row],[count_loan_perband]],Table1[default_flag],1)/COUNTIF(Table1[count_loan_perband],Table1[[#This Row],[count_loan_perband]])</f>
        <v>3.6423841059602648E-2</v>
      </c>
      <c r="AL513" s="2" t="str" cm="1">
        <f t="array" ref="AL513">_xlfn.IFS(Table1[[#This Row],[loan_amount]] &lt; 900000, "lower size (&lt; 9L)", Table1[[#This Row],[loan_amount]] &lt;=3300000, "medium size (&lt;=33L)", Table1[[#This Row],[loan_amount]] &gt; 3300000, "larger size (&gt; 33L)")</f>
        <v>medium size (&lt;=33L)</v>
      </c>
      <c r="AM513" s="2">
        <f>IF(Table1[[#This Row],[dpd]] &gt;=30,1,0)</f>
        <v>0</v>
      </c>
      <c r="AN513" s="2">
        <f>COUNTIFS(Table1[Loan size],Table1[[#This Row],[Loan size]],Table1[dpd flag],1)/COUNTIF(Table1[Loan size],Table1[[#This Row],[Loan size]])</f>
        <v>0.15909090909090909</v>
      </c>
      <c r="AO513" s="2" t="str">
        <f>IF(OR(Table1[[#This Row],[credit_score]] &lt; 600, Table1[ [#This Row],[dti_ratio] ] &gt; 0.5, Table1[[#This Row],[dpd]] &gt;=30), "high risk", " not riskY")</f>
        <v xml:space="preserve"> not riskY</v>
      </c>
      <c r="AP513" s="26">
        <f>EOMONTH(Table1[[#This Row],[origination_date]],0)</f>
        <v>45961</v>
      </c>
      <c r="AQ513" s="2">
        <f>SUMIFS(Table1[loan_amount],Table1[origination month],Table1[[#This Row],[origination month]])</f>
        <v>18211600</v>
      </c>
      <c r="AR513" s="2">
        <f>AVERAGEIFS(Table1[months_on_book],Table1[product],Table1[[#This Row],[product]])</f>
        <v>20.262135922330096</v>
      </c>
      <c r="AS513" s="2" t="str">
        <f ca="1">IF(EDATE(Table1[[#This Row],[origination_date]],6) &gt;= TODAY(), "New Loan", "Old Loan")</f>
        <v>New Loan</v>
      </c>
      <c r="AT513" s="2" t="str">
        <f>"Q"&amp;ROUNDUP(MONTH(Table1[[#This Row],[origination_date]])/3,0)&amp;YEAR(Table1[[#This Row],[origination_date]])</f>
        <v>Q42025</v>
      </c>
      <c r="AU513" s="2">
        <f>SUMIFS(Table1[loan_amount],Table1[quarter],Table1[[#This Row],[quarter]])</f>
        <v>38483800</v>
      </c>
      <c r="AV513" s="34" t="str">
        <f>_xlfn.TEXTJOIN("|",TRUE,Table1[[#This Row],[loan_id]:[loan_status]])</f>
        <v>L87095285|C9294611|45949|Auto Loan|Partner|West|Self-Employed|360|1937600|9.51|16307|1448023|746|B|0.19|0.79|2442500|2|28427|1921457|0|0|0|Active</v>
      </c>
      <c r="AW513" s="42" t="e">
        <f>YEAR(Loan_Table[ [#This Row],[origination_date] ])</f>
        <v>#VALUE!</v>
      </c>
    </row>
    <row r="514" spans="2:49" ht="18" customHeight="1">
      <c r="B514" s="5" t="s">
        <v>1148</v>
      </c>
      <c r="C514" s="2" t="s">
        <v>1149</v>
      </c>
      <c r="D514" s="3">
        <v>45939</v>
      </c>
      <c r="E514" s="2" t="s">
        <v>131</v>
      </c>
      <c r="F514" s="2" t="s">
        <v>144</v>
      </c>
      <c r="G514" s="2" t="s">
        <v>170</v>
      </c>
      <c r="H514" s="2" t="s">
        <v>152</v>
      </c>
      <c r="I514" s="2">
        <v>60</v>
      </c>
      <c r="J514" s="2">
        <v>421600</v>
      </c>
      <c r="K514" s="2">
        <v>20.77</v>
      </c>
      <c r="L514" s="2">
        <v>11351</v>
      </c>
      <c r="M514" s="2">
        <v>285233</v>
      </c>
      <c r="N514" s="2">
        <v>626</v>
      </c>
      <c r="O514" s="2" t="s">
        <v>147</v>
      </c>
      <c r="P514" s="2">
        <v>0.17</v>
      </c>
      <c r="Q514" s="2">
        <v>0.79</v>
      </c>
      <c r="R514" s="2">
        <v>0</v>
      </c>
      <c r="S514" s="2">
        <v>2</v>
      </c>
      <c r="T514" s="2">
        <v>20305</v>
      </c>
      <c r="U514" s="2">
        <v>407133</v>
      </c>
      <c r="V514" s="2">
        <v>0</v>
      </c>
      <c r="W514" s="2">
        <v>0</v>
      </c>
      <c r="X514" s="2">
        <v>0</v>
      </c>
      <c r="Y514" s="2" t="s">
        <v>148</v>
      </c>
      <c r="Z514" s="12">
        <f>SUMIF(Table1[product],Table1[[#This Row],[product]],Table1[loan_amount])</f>
        <v>74897600</v>
      </c>
      <c r="AA514" s="15">
        <f>SUMIF(Table1[region],Table1[[#This Row],[region]],Table1[current_balance])</f>
        <v>83297251</v>
      </c>
      <c r="AB514" s="2">
        <f>COUNTIF(Table1[loan_status],Table1[[#This Row],[loan_status]])</f>
        <v>301</v>
      </c>
      <c r="AC514" s="2">
        <f>COUNTIF(Table1[default_flag],1)/ROWS(Table1[loan_id])</f>
        <v>2.5999999999999999E-2</v>
      </c>
      <c r="AD514" s="2">
        <f>COUNTIFS(Table1[region],Table1[[#This Row],[region]],Table1[default_flag],1)/COUNTIF(Table1[region],Table1[[#This Row],[region]])</f>
        <v>3.1914893617021274E-2</v>
      </c>
      <c r="AE514" s="2">
        <f>COUNTIFS(Table1[channel],Table1[[#This Row],[channel]],Table1[prepayment_flag],1)/COUNTIF(Table1[channel],Table1[[#This Row],[channel]])</f>
        <v>5.8201058201058198E-2</v>
      </c>
      <c r="AF514" s="2">
        <f>AVERAGEIFS(Table1[interest_rate_pct],Table1[product],Table1[[#This Row],[product]],Table1[risk_band],Table1[[#This Row],[risk_band]])</f>
        <v>20.962592592592593</v>
      </c>
      <c r="AG514" s="2" t="str" cm="1">
        <f t="array" ref="AG514">_xlfn.IFS(Table1[[#This Row],[dti_ratio]] &lt; 0.2, " less than 0.2", Table1[[#This Row],[dti_ratio]] &lt; 0.3, "0.2 - 0.3", Table1[[#This Row],[dti_ratio]] &lt;= 0.5, "0.35 - 0.5", Table1[[#This Row],[dti_ratio]] &gt; 0.5, "greater than 0.5")</f>
        <v xml:space="preserve"> less than 0.2</v>
      </c>
      <c r="AH514" s="2">
        <f>COUNTIF(Table1[DTI band],Table1[[#This Row],[DTI band]])</f>
        <v>86</v>
      </c>
      <c r="AI514" s="2" t="str" cm="1">
        <f t="array" ref="AI514">_xlfn.IFS(Table1[[#This Row],[ltv_ratio]] &lt; 0.6, "less than 0.6 -less risky", Table1[[#This Row],[ltv_ratio]]  &lt;= 0.8, "0.6 - 0.8 -medium risky",Table1[[#This Row],[ltv_ratio]] &gt; 0.8, "greater than 0.8 -highly risky")</f>
        <v>0.6 - 0.8 -medium risky</v>
      </c>
      <c r="AJ514" s="2">
        <f>COUNTIF(Table1[LTV band],Table1[[#This Row],[LTV band]])</f>
        <v>302</v>
      </c>
      <c r="AK514" s="2">
        <f>COUNTIFS(Table1[count_loan_perband],Table1[[#This Row],[count_loan_perband]],Table1[default_flag],1)/COUNTIF(Table1[count_loan_perband],Table1[[#This Row],[count_loan_perband]])</f>
        <v>3.6423841059602648E-2</v>
      </c>
      <c r="AL514" s="2" t="str" cm="1">
        <f t="array" ref="AL514">_xlfn.IFS(Table1[[#This Row],[loan_amount]] &lt; 900000, "lower size (&lt; 9L)", Table1[[#This Row],[loan_amount]] &lt;=3300000, "medium size (&lt;=33L)", Table1[[#This Row],[loan_amount]] &gt; 3300000, "larger size (&gt; 33L)")</f>
        <v>lower size (&lt; 9L)</v>
      </c>
      <c r="AM514" s="2">
        <f>IF(Table1[[#This Row],[dpd]] &gt;=30,1,0)</f>
        <v>0</v>
      </c>
      <c r="AN514" s="2">
        <f>COUNTIFS(Table1[Loan size],Table1[[#This Row],[Loan size]],Table1[dpd flag],1)/COUNTIF(Table1[Loan size],Table1[[#This Row],[Loan size]])</f>
        <v>0.13934426229508196</v>
      </c>
      <c r="AO514" s="2" t="str">
        <f>IF(OR(Table1[[#This Row],[credit_score]] &lt; 600, Table1[ [#This Row],[dti_ratio] ] &gt; 0.5, Table1[[#This Row],[dpd]] &gt;=30), "high risk", " not riskY")</f>
        <v xml:space="preserve"> not riskY</v>
      </c>
      <c r="AP514" s="26">
        <f>EOMONTH(Table1[[#This Row],[origination_date]],0)</f>
        <v>45961</v>
      </c>
      <c r="AQ514" s="2">
        <f>SUMIFS(Table1[loan_amount],Table1[origination month],Table1[[#This Row],[origination month]])</f>
        <v>18211600</v>
      </c>
      <c r="AR514" s="2">
        <f>AVERAGEIFS(Table1[months_on_book],Table1[product],Table1[[#This Row],[product]])</f>
        <v>21.092024539877301</v>
      </c>
      <c r="AS514" s="2" t="str">
        <f ca="1">IF(EDATE(Table1[[#This Row],[origination_date]],6) &gt;= TODAY(), "New Loan", "Old Loan")</f>
        <v>New Loan</v>
      </c>
      <c r="AT514" s="2" t="str">
        <f>"Q"&amp;ROUNDUP(MONTH(Table1[[#This Row],[origination_date]])/3,0)&amp;YEAR(Table1[[#This Row],[origination_date]])</f>
        <v>Q42025</v>
      </c>
      <c r="AU514" s="2">
        <f>SUMIFS(Table1[loan_amount],Table1[quarter],Table1[[#This Row],[quarter]])</f>
        <v>38483800</v>
      </c>
      <c r="AV514" s="34" t="str">
        <f>_xlfn.TEXTJOIN("|",TRUE,Table1[[#This Row],[loan_id]:[loan_status]])</f>
        <v>L62568817|C6710476|45939|Personal Loan|Branch|East|Self-Employed|60|421600|20.77|11351|285233|626|D|0.17|0.79|0|2|20305|407133|0|0|0|Active</v>
      </c>
      <c r="AW514" s="42" t="e">
        <f>YEAR(Loan_Table[ [#This Row],[origination_date] ])</f>
        <v>#VALUE!</v>
      </c>
    </row>
    <row r="515" spans="2:49" ht="18" customHeight="1">
      <c r="B515" s="5" t="s">
        <v>1150</v>
      </c>
      <c r="C515" s="2" t="s">
        <v>1151</v>
      </c>
      <c r="D515" s="3">
        <v>45960</v>
      </c>
      <c r="E515" s="2" t="s">
        <v>169</v>
      </c>
      <c r="F515" s="2" t="s">
        <v>144</v>
      </c>
      <c r="G515" s="2" t="s">
        <v>133</v>
      </c>
      <c r="H515" s="2" t="s">
        <v>134</v>
      </c>
      <c r="I515" s="2">
        <v>12</v>
      </c>
      <c r="J515" s="2">
        <v>2997100</v>
      </c>
      <c r="K515" s="2">
        <v>13.87</v>
      </c>
      <c r="L515" s="2">
        <v>268918</v>
      </c>
      <c r="M515" s="2">
        <v>771999</v>
      </c>
      <c r="N515" s="2">
        <v>613</v>
      </c>
      <c r="O515" s="2" t="s">
        <v>147</v>
      </c>
      <c r="P515" s="2">
        <v>0.16</v>
      </c>
      <c r="Q515" s="2">
        <v>0.61</v>
      </c>
      <c r="R515" s="2">
        <v>4916800</v>
      </c>
      <c r="S515" s="2">
        <v>2</v>
      </c>
      <c r="T515" s="2">
        <v>543875</v>
      </c>
      <c r="U515" s="2">
        <v>2480938</v>
      </c>
      <c r="V515" s="2">
        <v>0</v>
      </c>
      <c r="W515" s="2">
        <v>0</v>
      </c>
      <c r="X515" s="2">
        <v>0</v>
      </c>
      <c r="Y515" s="2" t="s">
        <v>148</v>
      </c>
      <c r="Z515" s="12">
        <f>SUMIF(Table1[product],Table1[[#This Row],[product]],Table1[loan_amount])</f>
        <v>403369500</v>
      </c>
      <c r="AA515" s="15">
        <f>SUMIF(Table1[region],Table1[[#This Row],[region]],Table1[current_balance])</f>
        <v>94548000</v>
      </c>
      <c r="AB515" s="2">
        <f>COUNTIF(Table1[loan_status],Table1[[#This Row],[loan_status]])</f>
        <v>301</v>
      </c>
      <c r="AC515" s="2">
        <f>COUNTIF(Table1[default_flag],1)/ROWS(Table1[loan_id])</f>
        <v>2.5999999999999999E-2</v>
      </c>
      <c r="AD515" s="2">
        <f>COUNTIFS(Table1[region],Table1[[#This Row],[region]],Table1[default_flag],1)/COUNTIF(Table1[region],Table1[[#This Row],[region]])</f>
        <v>0</v>
      </c>
      <c r="AE515" s="2">
        <f>COUNTIFS(Table1[channel],Table1[[#This Row],[channel]],Table1[prepayment_flag],1)/COUNTIF(Table1[channel],Table1[[#This Row],[channel]])</f>
        <v>5.8201058201058198E-2</v>
      </c>
      <c r="AF515" s="2">
        <f>AVERAGEIFS(Table1[interest_rate_pct],Table1[product],Table1[[#This Row],[product]],Table1[risk_band],Table1[[#This Row],[risk_band]])</f>
        <v>13.406874999999999</v>
      </c>
      <c r="AG515" s="2" t="str" cm="1">
        <f t="array" ref="AG515">_xlfn.IFS(Table1[[#This Row],[dti_ratio]] &lt; 0.2, " less than 0.2", Table1[[#This Row],[dti_ratio]] &lt; 0.3, "0.2 - 0.3", Table1[[#This Row],[dti_ratio]] &lt;= 0.5, "0.35 - 0.5", Table1[[#This Row],[dti_ratio]] &gt; 0.5, "greater than 0.5")</f>
        <v xml:space="preserve"> less than 0.2</v>
      </c>
      <c r="AH515" s="2">
        <f>COUNTIF(Table1[DTI band],Table1[[#This Row],[DTI band]])</f>
        <v>86</v>
      </c>
      <c r="AI515" s="2" t="str" cm="1">
        <f t="array" ref="AI515">_xlfn.IFS(Table1[[#This Row],[ltv_ratio]] &lt; 0.6, "less than 0.6 -less risky", Table1[[#This Row],[ltv_ratio]]  &lt;= 0.8, "0.6 - 0.8 -medium risky",Table1[[#This Row],[ltv_ratio]] &gt; 0.8, "greater than 0.8 -highly risky")</f>
        <v>0.6 - 0.8 -medium risky</v>
      </c>
      <c r="AJ515" s="2">
        <f>COUNTIF(Table1[LTV band],Table1[[#This Row],[LTV band]])</f>
        <v>302</v>
      </c>
      <c r="AK515" s="2">
        <f>COUNTIFS(Table1[count_loan_perband],Table1[[#This Row],[count_loan_perband]],Table1[default_flag],1)/COUNTIF(Table1[count_loan_perband],Table1[[#This Row],[count_loan_perband]])</f>
        <v>3.6423841059602648E-2</v>
      </c>
      <c r="AL515" s="2" t="str" cm="1">
        <f t="array" ref="AL515">_xlfn.IFS(Table1[[#This Row],[loan_amount]] &lt; 900000, "lower size (&lt; 9L)", Table1[[#This Row],[loan_amount]] &lt;=3300000, "medium size (&lt;=33L)", Table1[[#This Row],[loan_amount]] &gt; 3300000, "larger size (&gt; 33L)")</f>
        <v>medium size (&lt;=33L)</v>
      </c>
      <c r="AM515" s="2">
        <f>IF(Table1[[#This Row],[dpd]] &gt;=30,1,0)</f>
        <v>0</v>
      </c>
      <c r="AN515" s="2">
        <f>COUNTIFS(Table1[Loan size],Table1[[#This Row],[Loan size]],Table1[dpd flag],1)/COUNTIF(Table1[Loan size],Table1[[#This Row],[Loan size]])</f>
        <v>0.15909090909090909</v>
      </c>
      <c r="AO515" s="2" t="str">
        <f>IF(OR(Table1[[#This Row],[credit_score]] &lt; 600, Table1[ [#This Row],[dti_ratio] ] &gt; 0.5, Table1[[#This Row],[dpd]] &gt;=30), "high risk", " not riskY")</f>
        <v xml:space="preserve"> not riskY</v>
      </c>
      <c r="AP515" s="26">
        <f>EOMONTH(Table1[[#This Row],[origination_date]],0)</f>
        <v>45961</v>
      </c>
      <c r="AQ515" s="2">
        <f>SUMIFS(Table1[loan_amount],Table1[origination month],Table1[[#This Row],[origination month]])</f>
        <v>18211600</v>
      </c>
      <c r="AR515" s="2">
        <f>AVERAGEIFS(Table1[months_on_book],Table1[product],Table1[[#This Row],[product]])</f>
        <v>20.516129032258064</v>
      </c>
      <c r="AS515" s="2" t="str">
        <f ca="1">IF(EDATE(Table1[[#This Row],[origination_date]],6) &gt;= TODAY(), "New Loan", "Old Loan")</f>
        <v>New Loan</v>
      </c>
      <c r="AT515" s="2" t="str">
        <f>"Q"&amp;ROUNDUP(MONTH(Table1[[#This Row],[origination_date]])/3,0)&amp;YEAR(Table1[[#This Row],[origination_date]])</f>
        <v>Q42025</v>
      </c>
      <c r="AU515" s="2">
        <f>SUMIFS(Table1[loan_amount],Table1[quarter],Table1[[#This Row],[quarter]])</f>
        <v>38483800</v>
      </c>
      <c r="AV515" s="34" t="str">
        <f>_xlfn.TEXTJOIN("|",TRUE,Table1[[#This Row],[loan_id]:[loan_status]])</f>
        <v>L80819781|C2418504|45960|Home Loan|Branch|South|Salaried|12|2997100|13.87|268918|771999|613|D|0.16|0.61|4916800|2|543875|2480938|0|0|0|Active</v>
      </c>
      <c r="AW515" s="42" t="e">
        <f>YEAR(Loan_Table[ [#This Row],[origination_date] ])</f>
        <v>#VALUE!</v>
      </c>
    </row>
    <row r="516" spans="2:49" ht="18" customHeight="1">
      <c r="B516" s="5" t="s">
        <v>1152</v>
      </c>
      <c r="C516" s="2" t="s">
        <v>1153</v>
      </c>
      <c r="D516" s="3">
        <v>45934</v>
      </c>
      <c r="E516" s="2" t="s">
        <v>163</v>
      </c>
      <c r="F516" s="2" t="s">
        <v>159</v>
      </c>
      <c r="G516" s="2" t="s">
        <v>170</v>
      </c>
      <c r="H516" s="2" t="s">
        <v>152</v>
      </c>
      <c r="I516" s="2">
        <v>24</v>
      </c>
      <c r="J516" s="2">
        <v>424000</v>
      </c>
      <c r="K516" s="2">
        <v>17.52</v>
      </c>
      <c r="L516" s="2">
        <v>21070</v>
      </c>
      <c r="M516" s="2">
        <v>1047566</v>
      </c>
      <c r="N516" s="2">
        <v>578</v>
      </c>
      <c r="O516" s="2" t="s">
        <v>166</v>
      </c>
      <c r="P516" s="2">
        <v>0.15</v>
      </c>
      <c r="Q516" s="2">
        <v>0.91</v>
      </c>
      <c r="R516" s="2">
        <v>467700</v>
      </c>
      <c r="S516" s="2">
        <v>2</v>
      </c>
      <c r="T516" s="2">
        <v>37556</v>
      </c>
      <c r="U516" s="2">
        <v>391396</v>
      </c>
      <c r="V516" s="2">
        <v>0</v>
      </c>
      <c r="W516" s="2">
        <v>0</v>
      </c>
      <c r="X516" s="2">
        <v>0</v>
      </c>
      <c r="Y516" s="2" t="s">
        <v>148</v>
      </c>
      <c r="Z516" s="12">
        <f>SUMIF(Table1[product],Table1[[#This Row],[product]],Table1[loan_amount])</f>
        <v>92273000</v>
      </c>
      <c r="AA516" s="15">
        <f>SUMIF(Table1[region],Table1[[#This Row],[region]],Table1[current_balance])</f>
        <v>83297251</v>
      </c>
      <c r="AB516" s="2">
        <f>COUNTIF(Table1[loan_status],Table1[[#This Row],[loan_status]])</f>
        <v>301</v>
      </c>
      <c r="AC516" s="2">
        <f>COUNTIF(Table1[default_flag],1)/ROWS(Table1[loan_id])</f>
        <v>2.5999999999999999E-2</v>
      </c>
      <c r="AD516" s="2">
        <f>COUNTIFS(Table1[region],Table1[[#This Row],[region]],Table1[default_flag],1)/COUNTIF(Table1[region],Table1[[#This Row],[region]])</f>
        <v>3.1914893617021274E-2</v>
      </c>
      <c r="AE516" s="2">
        <f>COUNTIFS(Table1[channel],Table1[[#This Row],[channel]],Table1[prepayment_flag],1)/COUNTIF(Table1[channel],Table1[[#This Row],[channel]])</f>
        <v>0.1</v>
      </c>
      <c r="AF516" s="2">
        <f>AVERAGEIFS(Table1[interest_rate_pct],Table1[product],Table1[[#This Row],[product]],Table1[risk_band],Table1[[#This Row],[risk_band]])</f>
        <v>17.744166666666668</v>
      </c>
      <c r="AG516" s="2" t="str" cm="1">
        <f t="array" ref="AG516">_xlfn.IFS(Table1[[#This Row],[dti_ratio]] &lt; 0.2, " less than 0.2", Table1[[#This Row],[dti_ratio]] &lt; 0.3, "0.2 - 0.3", Table1[[#This Row],[dti_ratio]] &lt;= 0.5, "0.35 - 0.5", Table1[[#This Row],[dti_ratio]] &gt; 0.5, "greater than 0.5")</f>
        <v xml:space="preserve"> less than 0.2</v>
      </c>
      <c r="AH516" s="2">
        <f>COUNTIF(Table1[DTI band],Table1[[#This Row],[DTI band]])</f>
        <v>86</v>
      </c>
      <c r="AI516" s="2" t="str" cm="1">
        <f t="array" ref="AI516">_xlfn.IFS(Table1[[#This Row],[ltv_ratio]] &lt; 0.6, "less than 0.6 -less risky", Table1[[#This Row],[ltv_ratio]]  &lt;= 0.8, "0.6 - 0.8 -medium risky",Table1[[#This Row],[ltv_ratio]] &gt; 0.8, "greater than 0.8 -highly risky")</f>
        <v>greater than 0.8 -highly risky</v>
      </c>
      <c r="AJ516" s="2">
        <f>COUNTIF(Table1[LTV band],Table1[[#This Row],[LTV band]])</f>
        <v>141</v>
      </c>
      <c r="AK516" s="2">
        <f>COUNTIFS(Table1[count_loan_perband],Table1[[#This Row],[count_loan_perband]],Table1[default_flag],1)/COUNTIF(Table1[count_loan_perband],Table1[[#This Row],[count_loan_perband]])</f>
        <v>1.4184397163120567E-2</v>
      </c>
      <c r="AL516" s="2" t="str" cm="1">
        <f t="array" ref="AL516">_xlfn.IFS(Table1[[#This Row],[loan_amount]] &lt; 900000, "lower size (&lt; 9L)", Table1[[#This Row],[loan_amount]] &lt;=3300000, "medium size (&lt;=33L)", Table1[[#This Row],[loan_amount]] &gt; 3300000, "larger size (&gt; 33L)")</f>
        <v>lower size (&lt; 9L)</v>
      </c>
      <c r="AM516" s="2">
        <f>IF(Table1[[#This Row],[dpd]] &gt;=30,1,0)</f>
        <v>0</v>
      </c>
      <c r="AN516" s="2">
        <f>COUNTIFS(Table1[Loan size],Table1[[#This Row],[Loan size]],Table1[dpd flag],1)/COUNTIF(Table1[Loan size],Table1[[#This Row],[Loan size]])</f>
        <v>0.13934426229508196</v>
      </c>
      <c r="AO516" s="2" t="str">
        <f>IF(OR(Table1[[#This Row],[credit_score]] &lt; 600, Table1[ [#This Row],[dti_ratio] ] &gt; 0.5, Table1[[#This Row],[dpd]] &gt;=30), "high risk", " not riskY")</f>
        <v>high risk</v>
      </c>
      <c r="AP516" s="26">
        <f>EOMONTH(Table1[[#This Row],[origination_date]],0)</f>
        <v>45961</v>
      </c>
      <c r="AQ516" s="2">
        <f>SUMIFS(Table1[loan_amount],Table1[origination month],Table1[[#This Row],[origination month]])</f>
        <v>18211600</v>
      </c>
      <c r="AR516" s="2">
        <f>AVERAGEIFS(Table1[months_on_book],Table1[product],Table1[[#This Row],[product]])</f>
        <v>20.262135922330096</v>
      </c>
      <c r="AS516" s="2" t="str">
        <f ca="1">IF(EDATE(Table1[[#This Row],[origination_date]],6) &gt;= TODAY(), "New Loan", "Old Loan")</f>
        <v>New Loan</v>
      </c>
      <c r="AT516" s="2" t="str">
        <f>"Q"&amp;ROUNDUP(MONTH(Table1[[#This Row],[origination_date]])/3,0)&amp;YEAR(Table1[[#This Row],[origination_date]])</f>
        <v>Q42025</v>
      </c>
      <c r="AU516" s="2">
        <f>SUMIFS(Table1[loan_amount],Table1[quarter],Table1[[#This Row],[quarter]])</f>
        <v>38483800</v>
      </c>
      <c r="AV516" s="34" t="str">
        <f>_xlfn.TEXTJOIN("|",TRUE,Table1[[#This Row],[loan_id]:[loan_status]])</f>
        <v>L96006093|C2206851|45934|Auto Loan|Partner|East|Self-Employed|24|424000|17.52|21070|1047566|578|E|0.15|0.91|467700|2|37556|391396|0|0|0|Active</v>
      </c>
      <c r="AW516" s="42" t="e">
        <f>YEAR(Loan_Table[ [#This Row],[origination_date] ])</f>
        <v>#VALUE!</v>
      </c>
    </row>
    <row r="517" spans="2:49" ht="18" customHeight="1">
      <c r="B517" s="9" t="s">
        <v>1154</v>
      </c>
      <c r="C517" s="10" t="s">
        <v>1155</v>
      </c>
      <c r="D517" s="11">
        <v>45990</v>
      </c>
      <c r="E517" s="10" t="s">
        <v>131</v>
      </c>
      <c r="F517" s="10" t="s">
        <v>144</v>
      </c>
      <c r="G517" s="10" t="s">
        <v>170</v>
      </c>
      <c r="H517" s="10" t="s">
        <v>134</v>
      </c>
      <c r="I517" s="10">
        <v>180</v>
      </c>
      <c r="J517" s="10">
        <v>665400</v>
      </c>
      <c r="K517" s="10">
        <v>20.11</v>
      </c>
      <c r="L517" s="10">
        <v>11741</v>
      </c>
      <c r="M517" s="10">
        <v>546196</v>
      </c>
      <c r="N517" s="10">
        <v>664</v>
      </c>
      <c r="O517" s="10" t="s">
        <v>140</v>
      </c>
      <c r="P517" s="10">
        <v>0.09</v>
      </c>
      <c r="Q517" s="10">
        <v>0.62</v>
      </c>
      <c r="R517" s="10">
        <v>0</v>
      </c>
      <c r="S517" s="10">
        <v>1</v>
      </c>
      <c r="T517" s="10">
        <v>11605</v>
      </c>
      <c r="U517" s="10">
        <v>658255</v>
      </c>
      <c r="V517" s="10">
        <v>0</v>
      </c>
      <c r="W517" s="10">
        <v>0</v>
      </c>
      <c r="X517" s="10">
        <v>0</v>
      </c>
      <c r="Y517" s="10" t="s">
        <v>148</v>
      </c>
      <c r="Z517" s="13">
        <f>SUMIF(Table1[product],Table1[[#This Row],[product]],Table1[loan_amount])</f>
        <v>74897600</v>
      </c>
      <c r="AA517" s="16">
        <f>SUMIF(Table1[region],Table1[[#This Row],[region]],Table1[current_balance])</f>
        <v>83297251</v>
      </c>
      <c r="AB517" s="2">
        <f>COUNTIF(Table1[loan_status],Table1[[#This Row],[loan_status]])</f>
        <v>301</v>
      </c>
      <c r="AC517" s="2">
        <f>COUNTIF(Table1[default_flag],1)/ROWS(Table1[loan_id])</f>
        <v>2.5999999999999999E-2</v>
      </c>
      <c r="AD517" s="2">
        <f>COUNTIFS(Table1[region],Table1[[#This Row],[region]],Table1[default_flag],1)/COUNTIF(Table1[region],Table1[[#This Row],[region]])</f>
        <v>3.1914893617021274E-2</v>
      </c>
      <c r="AE517" s="2">
        <f>COUNTIFS(Table1[channel],Table1[[#This Row],[channel]],Table1[prepayment_flag],1)/COUNTIF(Table1[channel],Table1[[#This Row],[channel]])</f>
        <v>5.8201058201058198E-2</v>
      </c>
      <c r="AF517" s="2">
        <f>AVERAGEIFS(Table1[interest_rate_pct],Table1[product],Table1[[#This Row],[product]],Table1[risk_band],Table1[[#This Row],[risk_band]])</f>
        <v>18.603181818181817</v>
      </c>
      <c r="AG517" s="10" t="str" cm="1">
        <f t="array" ref="AG517">_xlfn.IFS(Table1[[#This Row],[dti_ratio]] &lt; 0.2, " less than 0.2", Table1[[#This Row],[dti_ratio]] &lt; 0.3, "0.2 - 0.3", Table1[[#This Row],[dti_ratio]] &lt;= 0.5, "0.35 - 0.5", Table1[[#This Row],[dti_ratio]] &gt; 0.5, "greater than 0.5")</f>
        <v xml:space="preserve"> less than 0.2</v>
      </c>
      <c r="AH517" s="10">
        <f>COUNTIF(Table1[DTI band],Table1[[#This Row],[DTI band]])</f>
        <v>86</v>
      </c>
      <c r="AI517" s="10" t="str" cm="1">
        <f t="array" ref="AI517">_xlfn.IFS(Table1[[#This Row],[ltv_ratio]] &lt; 0.6, "less than 0.6 -less risky", Table1[[#This Row],[ltv_ratio]]  &lt;= 0.8, "0.6 - 0.8 -medium risky",Table1[[#This Row],[ltv_ratio]] &gt; 0.8, "greater than 0.8 -highly risky")</f>
        <v>0.6 - 0.8 -medium risky</v>
      </c>
      <c r="AJ517" s="10">
        <f>COUNTIF(Table1[LTV band],Table1[[#This Row],[LTV band]])</f>
        <v>302</v>
      </c>
      <c r="AK517" s="10">
        <f>COUNTIFS(Table1[count_loan_perband],Table1[[#This Row],[count_loan_perband]],Table1[default_flag],1)/COUNTIF(Table1[count_loan_perband],Table1[[#This Row],[count_loan_perband]])</f>
        <v>3.6423841059602648E-2</v>
      </c>
      <c r="AL517" s="10" t="str" cm="1">
        <f t="array" ref="AL517">_xlfn.IFS(Table1[[#This Row],[loan_amount]] &lt; 900000, "lower size (&lt; 9L)", Table1[[#This Row],[loan_amount]] &lt;=3300000, "medium size (&lt;=33L)", Table1[[#This Row],[loan_amount]] &gt; 3300000, "larger size (&gt; 33L)")</f>
        <v>lower size (&lt; 9L)</v>
      </c>
      <c r="AM517" s="10">
        <f>IF(Table1[[#This Row],[dpd]] &gt;=30,1,0)</f>
        <v>0</v>
      </c>
      <c r="AN517" s="10">
        <f>COUNTIFS(Table1[Loan size],Table1[[#This Row],[Loan size]],Table1[dpd flag],1)/COUNTIF(Table1[Loan size],Table1[[#This Row],[Loan size]])</f>
        <v>0.13934426229508196</v>
      </c>
      <c r="AO517" s="10" t="str">
        <f>IF(OR(Table1[[#This Row],[credit_score]] &lt; 600, Table1[ [#This Row],[dti_ratio] ] &gt; 0.5, Table1[[#This Row],[dpd]] &gt;=30), "high risk", " not riskY")</f>
        <v xml:space="preserve"> not riskY</v>
      </c>
      <c r="AP517" s="27">
        <f>EOMONTH(Table1[[#This Row],[origination_date]],0)</f>
        <v>45991</v>
      </c>
      <c r="AQ517" s="10">
        <f>SUMIFS(Table1[loan_amount],Table1[origination month],Table1[[#This Row],[origination month]])</f>
        <v>20272200</v>
      </c>
      <c r="AR517" s="10">
        <f>AVERAGEIFS(Table1[months_on_book],Table1[product],Table1[[#This Row],[product]])</f>
        <v>21.092024539877301</v>
      </c>
      <c r="AS517" s="10" t="str">
        <f ca="1">IF(EDATE(Table1[[#This Row],[origination_date]],6) &gt;= TODAY(), "New Loan", "Old Loan")</f>
        <v>New Loan</v>
      </c>
      <c r="AT517" s="10" t="str">
        <f>"Q"&amp;ROUNDUP(MONTH(Table1[[#This Row],[origination_date]])/3,0)&amp;YEAR(Table1[[#This Row],[origination_date]])</f>
        <v>Q42025</v>
      </c>
      <c r="AU517" s="10">
        <f>SUMIFS(Table1[loan_amount],Table1[quarter],Table1[[#This Row],[quarter]])</f>
        <v>38483800</v>
      </c>
      <c r="AV517" s="35" t="str">
        <f>_xlfn.TEXTJOIN("|",TRUE,Table1[[#This Row],[loan_id]:[loan_status]])</f>
        <v>L51403053|C7990911|45990|Personal Loan|Branch|East|Salaried|180|665400|20.11|11741|546196|664|C|0.09|0.62|0|1|11605|658255|0|0|0|Active</v>
      </c>
      <c r="AW517" s="44" t="e">
        <f>YEAR(Loan_Table[ [#This Row],[origination_date] ])</f>
        <v>#VALUE!</v>
      </c>
    </row>
  </sheetData>
  <mergeCells count="1">
    <mergeCell ref="Z16:AU16"/>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8913A-DEAA-6941-8127-5BB8CFC52E03}">
  <dimension ref="B3:O239"/>
  <sheetViews>
    <sheetView showGridLines="0" tabSelected="1" topLeftCell="A85" workbookViewId="0">
      <selection activeCell="E99" sqref="E99"/>
    </sheetView>
  </sheetViews>
  <sheetFormatPr defaultColWidth="11.42578125" defaultRowHeight="15"/>
  <cols>
    <col min="3" max="3" width="14.28515625" customWidth="1"/>
    <col min="4" max="4" width="18.28515625" customWidth="1"/>
    <col min="5" max="5" width="15.5703125" bestFit="1" customWidth="1"/>
    <col min="6" max="6" width="21" customWidth="1"/>
    <col min="7" max="7" width="14" bestFit="1" customWidth="1"/>
    <col min="8" max="8" width="18.28515625" bestFit="1" customWidth="1"/>
    <col min="9" max="10" width="15.5703125" bestFit="1" customWidth="1"/>
    <col min="11" max="11" width="13.42578125" bestFit="1" customWidth="1"/>
    <col min="12" max="12" width="19.5703125" bestFit="1" customWidth="1"/>
    <col min="13" max="13" width="22.140625" bestFit="1" customWidth="1"/>
    <col min="14" max="14" width="23.140625" bestFit="1" customWidth="1"/>
  </cols>
  <sheetData>
    <row r="3" spans="2:9" ht="21">
      <c r="B3" s="38" t="s">
        <v>1239</v>
      </c>
    </row>
    <row r="5" spans="2:9" ht="18.75" customHeight="1">
      <c r="C5" s="47" t="s">
        <v>1240</v>
      </c>
      <c r="D5" s="48" t="s">
        <v>1241</v>
      </c>
      <c r="I5" s="39"/>
    </row>
    <row r="6" spans="2:9" ht="16.5" customHeight="1">
      <c r="C6" s="49" t="s">
        <v>1242</v>
      </c>
      <c r="D6" s="50">
        <f>SUM(Loan_Table[loan_amount])</f>
        <v>834781000</v>
      </c>
      <c r="E6" s="22">
        <f>D6/500</f>
        <v>1669562</v>
      </c>
      <c r="I6" s="39"/>
    </row>
    <row r="7" spans="2:9" ht="16.5" customHeight="1">
      <c r="C7" s="49" t="s">
        <v>1243</v>
      </c>
      <c r="D7" s="50">
        <f>SUM(Loan_Table[current_balance])</f>
        <v>466456570</v>
      </c>
      <c r="E7" s="22">
        <f>D7/500</f>
        <v>932913.14</v>
      </c>
    </row>
    <row r="8" spans="2:9" ht="16.5" customHeight="1">
      <c r="C8" s="49" t="s">
        <v>1244</v>
      </c>
      <c r="D8" s="51">
        <f>COUNTA(Loan_Table[loan_id])</f>
        <v>500</v>
      </c>
      <c r="E8">
        <f>D11*D7</f>
        <v>6698624206.5361929</v>
      </c>
      <c r="F8" t="s">
        <v>1245</v>
      </c>
    </row>
    <row r="9" spans="2:9" ht="16.5" customHeight="1">
      <c r="C9" s="49" t="s">
        <v>1246</v>
      </c>
      <c r="D9" s="52">
        <f>COUNTIF(Loan_Table[default_flag],1)/ROWS(Loan_Table[])</f>
        <v>2.5999999999999999E-2</v>
      </c>
    </row>
    <row r="10" spans="2:9" ht="16.5" customHeight="1">
      <c r="C10" s="49" t="s">
        <v>1247</v>
      </c>
      <c r="D10" s="53">
        <f>COUNTIF(Loan_Table[dpd], "&gt;=30")/COUNTA(Loan_Table[loan_id])</f>
        <v>0.15</v>
      </c>
    </row>
    <row r="11" spans="2:9" ht="16.5" customHeight="1">
      <c r="C11" s="54" t="s">
        <v>1248</v>
      </c>
      <c r="D11" s="55">
        <f>AVERAGE(Loan_Table[interest_rate_pct])</f>
        <v>14.360659999999985</v>
      </c>
      <c r="F11">
        <f>D7/D6</f>
        <v>0.55877717628935009</v>
      </c>
    </row>
    <row r="12" spans="2:9">
      <c r="F12" s="57">
        <f>D6/500</f>
        <v>1669562</v>
      </c>
    </row>
    <row r="15" spans="2:9" ht="21">
      <c r="B15" s="38" t="s">
        <v>1249</v>
      </c>
    </row>
    <row r="17" spans="3:15">
      <c r="C17" s="58" t="s">
        <v>1250</v>
      </c>
    </row>
    <row r="18" spans="3:15">
      <c r="C18" s="36" t="s">
        <v>1251</v>
      </c>
      <c r="D18" t="s">
        <v>1252</v>
      </c>
      <c r="E18" t="s">
        <v>1253</v>
      </c>
      <c r="G18" s="4" t="s">
        <v>1254</v>
      </c>
    </row>
    <row r="19" spans="3:15">
      <c r="C19" s="37" t="s">
        <v>169</v>
      </c>
      <c r="D19" s="21">
        <v>240224285</v>
      </c>
      <c r="E19" s="60">
        <v>0.51499818085958138</v>
      </c>
      <c r="G19" s="36" t="s">
        <v>1255</v>
      </c>
      <c r="H19" t="s">
        <v>1252</v>
      </c>
      <c r="I19" t="s">
        <v>1253</v>
      </c>
      <c r="K19" s="36" t="s">
        <v>1255</v>
      </c>
      <c r="L19" t="s">
        <v>1256</v>
      </c>
      <c r="M19" t="s">
        <v>1252</v>
      </c>
      <c r="N19" t="s">
        <v>1253</v>
      </c>
    </row>
    <row r="20" spans="3:15">
      <c r="C20" s="37" t="s">
        <v>158</v>
      </c>
      <c r="D20" s="21">
        <v>99137033</v>
      </c>
      <c r="E20" s="60">
        <v>0.21253218279249447</v>
      </c>
      <c r="G20" s="37" t="s">
        <v>151</v>
      </c>
      <c r="H20" s="21">
        <v>105779369</v>
      </c>
      <c r="I20" s="60">
        <v>0.22677217087970269</v>
      </c>
      <c r="K20" s="37" t="s">
        <v>134</v>
      </c>
      <c r="L20" s="21">
        <v>485316000</v>
      </c>
      <c r="M20" s="21">
        <v>273127321</v>
      </c>
      <c r="N20" s="60">
        <v>0.58553644340350919</v>
      </c>
      <c r="O20">
        <f>M20/L20</f>
        <v>0.56278243659801042</v>
      </c>
    </row>
    <row r="21" spans="3:15">
      <c r="C21" s="37" t="s">
        <v>163</v>
      </c>
      <c r="D21" s="21">
        <v>52985540</v>
      </c>
      <c r="E21" s="60">
        <v>0.11359158259899738</v>
      </c>
      <c r="G21" s="37" t="s">
        <v>145</v>
      </c>
      <c r="H21" s="21">
        <v>98928695</v>
      </c>
      <c r="I21" s="60">
        <v>0.21208554314070441</v>
      </c>
      <c r="K21" s="37" t="s">
        <v>152</v>
      </c>
      <c r="L21" s="21">
        <v>195615400</v>
      </c>
      <c r="M21" s="21">
        <v>114269683</v>
      </c>
      <c r="N21" s="60">
        <v>0.24497389542610579</v>
      </c>
      <c r="O21">
        <f t="shared" ref="O21:O23" si="0">M21/L21</f>
        <v>0.58415484159222641</v>
      </c>
    </row>
    <row r="22" spans="3:15">
      <c r="C22" s="37" t="s">
        <v>177</v>
      </c>
      <c r="D22" s="21">
        <v>37711937</v>
      </c>
      <c r="E22" s="60">
        <v>8.0847691779751332E-2</v>
      </c>
      <c r="G22" s="37" t="s">
        <v>133</v>
      </c>
      <c r="H22" s="21">
        <v>94548000</v>
      </c>
      <c r="I22" s="60">
        <v>0.20269411147966038</v>
      </c>
      <c r="K22" s="37" t="s">
        <v>146</v>
      </c>
      <c r="L22" s="21">
        <v>116140000</v>
      </c>
      <c r="M22" s="21">
        <v>59836888</v>
      </c>
      <c r="N22" s="60">
        <v>0.12827965527423058</v>
      </c>
      <c r="O22">
        <f t="shared" si="0"/>
        <v>0.51521343206474945</v>
      </c>
    </row>
    <row r="23" spans="3:15">
      <c r="C23" s="37" t="s">
        <v>131</v>
      </c>
      <c r="D23" s="21">
        <v>36397775</v>
      </c>
      <c r="E23" s="60">
        <v>7.8030361969175399E-2</v>
      </c>
      <c r="G23" s="37" t="s">
        <v>139</v>
      </c>
      <c r="H23" s="21">
        <v>83903255</v>
      </c>
      <c r="I23" s="60">
        <v>0.17987366969662363</v>
      </c>
      <c r="K23" s="37" t="s">
        <v>192</v>
      </c>
      <c r="L23" s="21">
        <v>37709600</v>
      </c>
      <c r="M23" s="21">
        <v>19222678</v>
      </c>
      <c r="N23" s="60">
        <v>4.1210005896154492E-2</v>
      </c>
      <c r="O23">
        <f t="shared" si="0"/>
        <v>0.50975555296264086</v>
      </c>
    </row>
    <row r="24" spans="3:15">
      <c r="C24" s="37" t="s">
        <v>1257</v>
      </c>
      <c r="D24" s="21">
        <v>466456570</v>
      </c>
      <c r="E24" s="60">
        <v>1</v>
      </c>
      <c r="G24" s="37" t="s">
        <v>170</v>
      </c>
      <c r="H24" s="21">
        <v>83297251</v>
      </c>
      <c r="I24" s="60">
        <v>0.17857450480330891</v>
      </c>
      <c r="K24" s="37" t="s">
        <v>1257</v>
      </c>
      <c r="L24" s="21">
        <v>834781000</v>
      </c>
      <c r="M24" s="21">
        <v>466456570</v>
      </c>
      <c r="N24" s="60">
        <v>1</v>
      </c>
    </row>
    <row r="25" spans="3:15">
      <c r="G25" s="37" t="s">
        <v>1257</v>
      </c>
      <c r="H25" s="21">
        <v>466456570</v>
      </c>
      <c r="I25" s="60">
        <v>1</v>
      </c>
    </row>
    <row r="51" spans="3:7">
      <c r="F51" s="37"/>
      <c r="G51" s="21"/>
    </row>
    <row r="52" spans="3:7">
      <c r="F52" s="37"/>
      <c r="G52" s="21"/>
    </row>
    <row r="53" spans="3:7">
      <c r="F53" s="37"/>
      <c r="G53" s="21"/>
    </row>
    <row r="54" spans="3:7">
      <c r="F54" s="37"/>
      <c r="G54" s="21"/>
    </row>
    <row r="55" spans="3:7">
      <c r="F55" s="37"/>
      <c r="G55" s="21"/>
    </row>
    <row r="56" spans="3:7">
      <c r="F56" s="37"/>
      <c r="G56" s="21"/>
    </row>
    <row r="57" spans="3:7">
      <c r="F57" s="37"/>
      <c r="G57" s="21"/>
    </row>
    <row r="58" spans="3:7">
      <c r="F58" s="37"/>
      <c r="G58" s="21"/>
    </row>
    <row r="59" spans="3:7">
      <c r="F59" s="37"/>
      <c r="G59" s="21"/>
    </row>
    <row r="60" spans="3:7">
      <c r="F60" s="37"/>
      <c r="G60" s="21"/>
    </row>
    <row r="61" spans="3:7">
      <c r="C61" s="37"/>
      <c r="D61" s="21"/>
      <c r="F61" s="37"/>
      <c r="G61" s="21"/>
    </row>
    <row r="62" spans="3:7">
      <c r="C62" s="37"/>
      <c r="D62" s="21"/>
      <c r="F62" s="37"/>
      <c r="G62" s="21"/>
    </row>
    <row r="65" spans="2:6" ht="21">
      <c r="B65" s="38" t="s">
        <v>1258</v>
      </c>
    </row>
    <row r="67" spans="2:6">
      <c r="C67" t="s">
        <v>1259</v>
      </c>
    </row>
    <row r="68" spans="2:6">
      <c r="C68" s="36" t="s">
        <v>1260</v>
      </c>
      <c r="D68" t="s">
        <v>1261</v>
      </c>
      <c r="E68" t="s">
        <v>1256</v>
      </c>
      <c r="F68" t="s">
        <v>1252</v>
      </c>
    </row>
    <row r="69" spans="2:6">
      <c r="C69" s="37" t="s">
        <v>148</v>
      </c>
      <c r="D69" s="21">
        <v>301</v>
      </c>
      <c r="E69" s="21">
        <v>506649200</v>
      </c>
      <c r="F69" s="21">
        <v>349400815</v>
      </c>
    </row>
    <row r="70" spans="2:6">
      <c r="C70" s="37" t="s">
        <v>141</v>
      </c>
      <c r="D70" s="21">
        <v>139</v>
      </c>
      <c r="E70" s="21">
        <v>213320000</v>
      </c>
      <c r="F70" s="40">
        <v>43418937</v>
      </c>
    </row>
    <row r="71" spans="2:6">
      <c r="C71" s="37" t="s">
        <v>136</v>
      </c>
      <c r="D71" s="21">
        <v>47</v>
      </c>
      <c r="E71" s="21">
        <v>87712300</v>
      </c>
      <c r="F71" s="21">
        <v>55530726</v>
      </c>
    </row>
    <row r="72" spans="2:6">
      <c r="C72" s="37" t="s">
        <v>153</v>
      </c>
      <c r="D72" s="21">
        <v>13</v>
      </c>
      <c r="E72" s="21">
        <v>27099500</v>
      </c>
      <c r="F72" s="21">
        <v>18106092</v>
      </c>
    </row>
    <row r="73" spans="2:6">
      <c r="C73" s="37" t="s">
        <v>1257</v>
      </c>
      <c r="D73" s="21">
        <v>500</v>
      </c>
      <c r="E73" s="21">
        <v>834781000</v>
      </c>
      <c r="F73" s="21">
        <v>466456570</v>
      </c>
    </row>
    <row r="77" spans="2:6">
      <c r="C77" t="s">
        <v>1262</v>
      </c>
    </row>
    <row r="78" spans="2:6">
      <c r="C78" s="36" t="s">
        <v>1260</v>
      </c>
      <c r="D78" t="s">
        <v>1261</v>
      </c>
      <c r="E78" t="s">
        <v>1256</v>
      </c>
      <c r="F78" t="s">
        <v>1252</v>
      </c>
    </row>
    <row r="79" spans="2:6">
      <c r="C79" s="37" t="s">
        <v>1263</v>
      </c>
      <c r="D79" s="21">
        <v>86</v>
      </c>
      <c r="E79" s="41">
        <v>0.16249627147718981</v>
      </c>
      <c r="F79" s="41">
        <v>0.13006808758208721</v>
      </c>
    </row>
    <row r="80" spans="2:6">
      <c r="C80" s="37" t="s">
        <v>1264</v>
      </c>
      <c r="D80" s="21">
        <v>122</v>
      </c>
      <c r="E80" s="41">
        <v>0.25300072713681793</v>
      </c>
      <c r="F80" s="41">
        <v>0.24273002093206664</v>
      </c>
    </row>
    <row r="81" spans="3:10">
      <c r="C81" s="37" t="s">
        <v>1265</v>
      </c>
      <c r="D81" s="21">
        <v>260</v>
      </c>
      <c r="E81" s="41">
        <v>0.52791474650237602</v>
      </c>
      <c r="F81" s="41">
        <v>0.55983071049894317</v>
      </c>
    </row>
    <row r="82" spans="3:10">
      <c r="C82" s="37" t="s">
        <v>1266</v>
      </c>
      <c r="D82" s="21">
        <v>32</v>
      </c>
      <c r="E82" s="41">
        <v>5.6588254883616185E-2</v>
      </c>
      <c r="F82" s="41">
        <v>6.737118098690302E-2</v>
      </c>
    </row>
    <row r="83" spans="3:10">
      <c r="C83" s="37" t="s">
        <v>1257</v>
      </c>
      <c r="D83" s="21">
        <v>500</v>
      </c>
      <c r="E83" s="21">
        <v>1</v>
      </c>
      <c r="F83" s="41">
        <v>1</v>
      </c>
    </row>
    <row r="86" spans="3:10">
      <c r="C86" t="s">
        <v>1267</v>
      </c>
    </row>
    <row r="87" spans="3:10">
      <c r="C87" s="36" t="s">
        <v>1260</v>
      </c>
      <c r="D87" t="s">
        <v>1268</v>
      </c>
      <c r="E87" t="s">
        <v>1269</v>
      </c>
      <c r="G87" s="36" t="s">
        <v>1260</v>
      </c>
      <c r="H87" t="s">
        <v>1268</v>
      </c>
      <c r="I87" t="s">
        <v>1269</v>
      </c>
    </row>
    <row r="88" spans="3:10">
      <c r="C88" s="37" t="s">
        <v>131</v>
      </c>
      <c r="D88" s="21">
        <v>5</v>
      </c>
      <c r="E88" s="21">
        <v>163</v>
      </c>
      <c r="F88" s="41">
        <f>D88/E88</f>
        <v>3.0674846625766871E-2</v>
      </c>
      <c r="G88" s="37" t="s">
        <v>140</v>
      </c>
      <c r="H88" s="21">
        <v>7</v>
      </c>
      <c r="I88" s="21">
        <v>149</v>
      </c>
      <c r="J88" s="41">
        <f>H88/I88</f>
        <v>4.6979865771812082E-2</v>
      </c>
    </row>
    <row r="89" spans="3:10">
      <c r="C89" s="37" t="s">
        <v>169</v>
      </c>
      <c r="D89" s="21">
        <v>4</v>
      </c>
      <c r="E89" s="21">
        <v>93</v>
      </c>
      <c r="F89" s="41">
        <f t="shared" ref="F89:F92" si="1">D89/E89</f>
        <v>4.3010752688172046E-2</v>
      </c>
      <c r="G89" s="37" t="s">
        <v>135</v>
      </c>
      <c r="H89" s="21">
        <v>3</v>
      </c>
      <c r="I89" s="21">
        <v>134</v>
      </c>
      <c r="J89" s="41">
        <f t="shared" ref="J89:J92" si="2">H89/I89</f>
        <v>2.2388059701492536E-2</v>
      </c>
    </row>
    <row r="90" spans="3:10">
      <c r="C90" s="37" t="s">
        <v>158</v>
      </c>
      <c r="D90" s="21">
        <v>3</v>
      </c>
      <c r="E90" s="21">
        <v>87</v>
      </c>
      <c r="F90" s="41">
        <f t="shared" si="1"/>
        <v>3.4482758620689655E-2</v>
      </c>
      <c r="G90" s="37" t="s">
        <v>160</v>
      </c>
      <c r="H90" s="21">
        <v>2</v>
      </c>
      <c r="I90" s="21">
        <v>88</v>
      </c>
      <c r="J90" s="41">
        <f t="shared" si="2"/>
        <v>2.2727272727272728E-2</v>
      </c>
    </row>
    <row r="91" spans="3:10">
      <c r="C91" s="37" t="s">
        <v>177</v>
      </c>
      <c r="D91" s="21">
        <v>1</v>
      </c>
      <c r="E91" s="21">
        <v>54</v>
      </c>
      <c r="F91" s="41">
        <f t="shared" si="1"/>
        <v>1.8518518518518517E-2</v>
      </c>
      <c r="G91" s="37" t="s">
        <v>147</v>
      </c>
      <c r="H91" s="21">
        <v>1</v>
      </c>
      <c r="I91" s="21">
        <v>95</v>
      </c>
      <c r="J91" s="41">
        <f t="shared" si="2"/>
        <v>1.0526315789473684E-2</v>
      </c>
    </row>
    <row r="92" spans="3:10">
      <c r="C92" s="37" t="s">
        <v>163</v>
      </c>
      <c r="D92" s="21">
        <v>0</v>
      </c>
      <c r="E92" s="21">
        <v>103</v>
      </c>
      <c r="F92" s="41">
        <f t="shared" si="1"/>
        <v>0</v>
      </c>
      <c r="G92" s="37" t="s">
        <v>166</v>
      </c>
      <c r="H92" s="21">
        <v>0</v>
      </c>
      <c r="I92" s="21">
        <v>34</v>
      </c>
      <c r="J92" s="41">
        <f t="shared" si="2"/>
        <v>0</v>
      </c>
    </row>
    <row r="93" spans="3:10">
      <c r="C93" s="37" t="s">
        <v>1257</v>
      </c>
      <c r="D93" s="21">
        <v>13</v>
      </c>
      <c r="E93" s="21">
        <v>500</v>
      </c>
      <c r="G93" s="37" t="s">
        <v>1257</v>
      </c>
      <c r="H93" s="21">
        <v>13</v>
      </c>
      <c r="I93" s="21">
        <v>500</v>
      </c>
    </row>
    <row r="94" spans="3:10">
      <c r="C94" s="37"/>
      <c r="D94" s="21"/>
      <c r="G94" s="37"/>
      <c r="H94" s="21"/>
    </row>
    <row r="95" spans="3:10">
      <c r="C95" s="37"/>
      <c r="D95" s="21"/>
      <c r="G95" s="37"/>
      <c r="H95" s="21"/>
    </row>
    <row r="96" spans="3:10">
      <c r="C96" s="62" t="s">
        <v>1251</v>
      </c>
      <c r="D96" s="63" t="s">
        <v>1270</v>
      </c>
      <c r="G96" s="62" t="s">
        <v>1271</v>
      </c>
      <c r="H96" s="63" t="s">
        <v>1270</v>
      </c>
    </row>
    <row r="97" spans="3:10">
      <c r="C97" s="62" t="s">
        <v>169</v>
      </c>
      <c r="D97" s="64">
        <v>4.3010752688172046E-2</v>
      </c>
      <c r="G97" s="62" t="s">
        <v>140</v>
      </c>
      <c r="H97" s="64">
        <v>4.6979865771812082E-2</v>
      </c>
    </row>
    <row r="98" spans="3:10">
      <c r="C98" s="62" t="s">
        <v>158</v>
      </c>
      <c r="D98" s="64">
        <v>3.4482758620689655E-2</v>
      </c>
      <c r="G98" s="62" t="s">
        <v>135</v>
      </c>
      <c r="H98" s="64">
        <v>2.2388059701492536E-2</v>
      </c>
    </row>
    <row r="99" spans="3:10">
      <c r="C99" s="62" t="s">
        <v>131</v>
      </c>
      <c r="D99" s="64">
        <v>3.0674846625766871E-2</v>
      </c>
      <c r="G99" s="62" t="s">
        <v>160</v>
      </c>
      <c r="H99" s="64">
        <v>2.2727272727272728E-2</v>
      </c>
    </row>
    <row r="100" spans="3:10" ht="15" customHeight="1">
      <c r="C100" s="62" t="s">
        <v>177</v>
      </c>
      <c r="D100" s="64">
        <v>1.8518518518518517E-2</v>
      </c>
      <c r="G100" s="62" t="s">
        <v>147</v>
      </c>
      <c r="H100" s="64">
        <v>1.0526315789473684E-2</v>
      </c>
      <c r="J100" s="61"/>
    </row>
    <row r="101" spans="3:10">
      <c r="C101" s="62" t="s">
        <v>163</v>
      </c>
      <c r="D101" s="64">
        <v>0</v>
      </c>
      <c r="G101" s="62" t="s">
        <v>166</v>
      </c>
      <c r="H101" s="64">
        <v>0</v>
      </c>
    </row>
    <row r="102" spans="3:10">
      <c r="C102" s="37"/>
      <c r="D102" s="21"/>
      <c r="G102" s="37"/>
      <c r="H102" s="21"/>
    </row>
    <row r="103" spans="3:10">
      <c r="C103" s="37"/>
      <c r="D103" s="21"/>
      <c r="G103" s="37"/>
      <c r="H103" s="21"/>
    </row>
    <row r="104" spans="3:10">
      <c r="C104" s="37"/>
      <c r="D104" s="21"/>
      <c r="G104" s="37"/>
      <c r="H104" s="21"/>
    </row>
    <row r="105" spans="3:10">
      <c r="C105" s="37"/>
      <c r="D105" s="21"/>
      <c r="G105" s="37"/>
      <c r="H105" s="21"/>
    </row>
    <row r="106" spans="3:10">
      <c r="C106" s="37"/>
      <c r="D106" s="21"/>
      <c r="G106" s="37"/>
      <c r="H106" s="21"/>
    </row>
    <row r="107" spans="3:10">
      <c r="C107" s="37"/>
      <c r="D107" s="21"/>
      <c r="G107" s="37"/>
      <c r="H107" s="21"/>
    </row>
    <row r="108" spans="3:10">
      <c r="C108" s="37"/>
      <c r="D108" s="21"/>
      <c r="G108" s="37"/>
      <c r="H108" s="21"/>
    </row>
    <row r="109" spans="3:10">
      <c r="C109" s="37"/>
      <c r="D109" s="21"/>
      <c r="G109" s="37"/>
      <c r="H109" s="21"/>
    </row>
    <row r="110" spans="3:10">
      <c r="C110" s="37"/>
      <c r="D110" s="21"/>
      <c r="G110" s="37"/>
      <c r="H110" s="21"/>
    </row>
    <row r="111" spans="3:10">
      <c r="C111" s="37"/>
      <c r="D111" s="21"/>
      <c r="G111" s="37"/>
      <c r="H111" s="21"/>
    </row>
    <row r="112" spans="3:10">
      <c r="C112" s="37"/>
      <c r="D112" s="21"/>
      <c r="G112" s="37"/>
      <c r="H112" s="21"/>
    </row>
    <row r="113" spans="2:8">
      <c r="C113" s="37"/>
      <c r="D113" s="21"/>
      <c r="G113" s="37"/>
      <c r="H113" s="21"/>
    </row>
    <row r="119" spans="2:8" ht="21">
      <c r="B119" s="38" t="s">
        <v>1272</v>
      </c>
    </row>
    <row r="121" spans="2:8">
      <c r="C121" t="s">
        <v>1273</v>
      </c>
    </row>
    <row r="122" spans="2:8">
      <c r="C122" s="36" t="s">
        <v>1260</v>
      </c>
      <c r="D122" t="s">
        <v>1269</v>
      </c>
      <c r="E122" t="s">
        <v>1268</v>
      </c>
    </row>
    <row r="123" spans="2:8">
      <c r="C123" s="37" t="s">
        <v>140</v>
      </c>
      <c r="D123" s="21">
        <v>149</v>
      </c>
      <c r="E123" s="21">
        <v>7</v>
      </c>
    </row>
    <row r="124" spans="2:8">
      <c r="C124" s="37" t="s">
        <v>135</v>
      </c>
      <c r="D124" s="21">
        <v>134</v>
      </c>
      <c r="E124" s="21">
        <v>3</v>
      </c>
    </row>
    <row r="125" spans="2:8">
      <c r="C125" s="37" t="s">
        <v>147</v>
      </c>
      <c r="D125" s="21">
        <v>95</v>
      </c>
      <c r="E125" s="21">
        <v>1</v>
      </c>
    </row>
    <row r="126" spans="2:8">
      <c r="C126" s="37" t="s">
        <v>160</v>
      </c>
      <c r="D126" s="21">
        <v>88</v>
      </c>
      <c r="E126" s="21">
        <v>2</v>
      </c>
    </row>
    <row r="127" spans="2:8">
      <c r="C127" s="37" t="s">
        <v>166</v>
      </c>
      <c r="D127" s="21">
        <v>34</v>
      </c>
      <c r="E127" s="21">
        <v>0</v>
      </c>
    </row>
    <row r="128" spans="2:8">
      <c r="C128" s="37" t="s">
        <v>1257</v>
      </c>
      <c r="D128" s="21">
        <v>500</v>
      </c>
      <c r="E128" s="21">
        <v>13</v>
      </c>
    </row>
    <row r="132" spans="3:5">
      <c r="C132" t="s">
        <v>1274</v>
      </c>
    </row>
    <row r="133" spans="3:5">
      <c r="C133" s="36" t="s">
        <v>1260</v>
      </c>
      <c r="D133" t="s">
        <v>1269</v>
      </c>
      <c r="E133" t="s">
        <v>1268</v>
      </c>
    </row>
    <row r="134" spans="3:5">
      <c r="C134" s="37" t="s">
        <v>1265</v>
      </c>
      <c r="D134" s="21">
        <v>260</v>
      </c>
      <c r="E134" s="21">
        <v>8</v>
      </c>
    </row>
    <row r="135" spans="3:5">
      <c r="C135" s="37" t="s">
        <v>1264</v>
      </c>
      <c r="D135" s="21">
        <v>122</v>
      </c>
      <c r="E135" s="21">
        <v>4</v>
      </c>
    </row>
    <row r="136" spans="3:5">
      <c r="C136" s="37" t="s">
        <v>1263</v>
      </c>
      <c r="D136" s="21">
        <v>86</v>
      </c>
      <c r="E136" s="21">
        <v>0</v>
      </c>
    </row>
    <row r="137" spans="3:5">
      <c r="C137" s="37" t="s">
        <v>1266</v>
      </c>
      <c r="D137" s="21">
        <v>32</v>
      </c>
      <c r="E137" s="21">
        <v>1</v>
      </c>
    </row>
    <row r="138" spans="3:5">
      <c r="C138" s="37" t="s">
        <v>1257</v>
      </c>
      <c r="D138" s="21">
        <v>500</v>
      </c>
      <c r="E138" s="21">
        <v>13</v>
      </c>
    </row>
    <row r="141" spans="3:5">
      <c r="C141" t="s">
        <v>1275</v>
      </c>
    </row>
    <row r="142" spans="3:5">
      <c r="C142" s="36" t="s">
        <v>1260</v>
      </c>
      <c r="D142" t="s">
        <v>1269</v>
      </c>
      <c r="E142" t="s">
        <v>1268</v>
      </c>
    </row>
    <row r="143" spans="3:5">
      <c r="C143" s="37" t="s">
        <v>1276</v>
      </c>
      <c r="D143" s="21">
        <v>302</v>
      </c>
      <c r="E143" s="21">
        <v>11</v>
      </c>
    </row>
    <row r="144" spans="3:5">
      <c r="C144" s="37" t="s">
        <v>1277</v>
      </c>
      <c r="D144" s="21">
        <v>141</v>
      </c>
      <c r="E144" s="21">
        <v>2</v>
      </c>
    </row>
    <row r="145" spans="2:5">
      <c r="C145" s="37" t="s">
        <v>1278</v>
      </c>
      <c r="D145" s="21">
        <v>57</v>
      </c>
      <c r="E145" s="21">
        <v>0</v>
      </c>
    </row>
    <row r="146" spans="2:5">
      <c r="C146" s="37" t="s">
        <v>1257</v>
      </c>
      <c r="D146" s="21">
        <v>500</v>
      </c>
      <c r="E146" s="21">
        <v>13</v>
      </c>
    </row>
    <row r="151" spans="2:5">
      <c r="C151" t="s">
        <v>1279</v>
      </c>
    </row>
    <row r="152" spans="2:5">
      <c r="C152" t="s">
        <v>1269</v>
      </c>
      <c r="D152" t="s">
        <v>1268</v>
      </c>
    </row>
    <row r="153" spans="2:5">
      <c r="C153" s="21">
        <v>500</v>
      </c>
      <c r="D153" s="21">
        <v>13</v>
      </c>
    </row>
    <row r="157" spans="2:5" ht="21">
      <c r="B157" s="38" t="s">
        <v>1280</v>
      </c>
    </row>
    <row r="159" spans="2:5">
      <c r="C159" t="s">
        <v>1281</v>
      </c>
    </row>
    <row r="160" spans="2:5">
      <c r="C160" s="36" t="s">
        <v>1260</v>
      </c>
      <c r="D160" t="s">
        <v>1282</v>
      </c>
    </row>
    <row r="161" spans="3:4">
      <c r="C161" s="37" t="s">
        <v>160</v>
      </c>
      <c r="D161" s="21">
        <v>9.7482954545454579</v>
      </c>
    </row>
    <row r="162" spans="3:4">
      <c r="C162" s="37" t="s">
        <v>135</v>
      </c>
      <c r="D162" s="21">
        <v>13.434328358208955</v>
      </c>
    </row>
    <row r="163" spans="3:4">
      <c r="C163" s="37" t="s">
        <v>140</v>
      </c>
      <c r="D163" s="21">
        <v>14.970268456375837</v>
      </c>
    </row>
    <row r="164" spans="3:4">
      <c r="C164" s="37" t="s">
        <v>147</v>
      </c>
      <c r="D164" s="21">
        <v>17.090210526315776</v>
      </c>
    </row>
    <row r="165" spans="3:4">
      <c r="C165" s="37" t="s">
        <v>166</v>
      </c>
      <c r="D165" s="21">
        <v>19.651176470588233</v>
      </c>
    </row>
    <row r="166" spans="3:4">
      <c r="C166" s="37" t="s">
        <v>1257</v>
      </c>
      <c r="D166" s="21">
        <v>14.360660000000001</v>
      </c>
    </row>
    <row r="171" spans="3:4">
      <c r="C171" t="s">
        <v>1283</v>
      </c>
    </row>
    <row r="172" spans="3:4">
      <c r="C172" s="36" t="s">
        <v>1260</v>
      </c>
      <c r="D172" t="s">
        <v>1282</v>
      </c>
    </row>
    <row r="173" spans="3:4">
      <c r="C173" s="37" t="s">
        <v>163</v>
      </c>
      <c r="D173" s="21">
        <v>12.523883495145631</v>
      </c>
    </row>
    <row r="174" spans="3:4">
      <c r="C174" s="37" t="s">
        <v>177</v>
      </c>
      <c r="D174" s="21">
        <v>12.920555555555556</v>
      </c>
    </row>
    <row r="175" spans="3:4">
      <c r="C175" s="37" t="s">
        <v>169</v>
      </c>
      <c r="D175" s="21">
        <v>10.714946236559138</v>
      </c>
    </row>
    <row r="176" spans="3:4">
      <c r="C176" s="37" t="s">
        <v>131</v>
      </c>
      <c r="D176" s="21">
        <v>17.698466257668709</v>
      </c>
    </row>
    <row r="177" spans="2:5">
      <c r="C177" s="37" t="s">
        <v>158</v>
      </c>
      <c r="D177" s="21">
        <v>15.072643678160921</v>
      </c>
    </row>
    <row r="178" spans="2:5">
      <c r="C178" s="37" t="s">
        <v>1257</v>
      </c>
      <c r="D178" s="21">
        <v>14.360659999999994</v>
      </c>
    </row>
    <row r="183" spans="2:5">
      <c r="B183" t="s">
        <v>1284</v>
      </c>
    </row>
    <row r="185" spans="2:5">
      <c r="C185" t="s">
        <v>1285</v>
      </c>
    </row>
    <row r="186" spans="2:5">
      <c r="C186" s="36" t="s">
        <v>1260</v>
      </c>
      <c r="D186" t="s">
        <v>1269</v>
      </c>
      <c r="E186" t="s">
        <v>1256</v>
      </c>
    </row>
    <row r="187" spans="2:5">
      <c r="C187" s="37">
        <v>2022</v>
      </c>
      <c r="D187" s="21">
        <v>102</v>
      </c>
      <c r="E187" s="21">
        <v>180065300</v>
      </c>
    </row>
    <row r="188" spans="2:5">
      <c r="C188" s="37">
        <v>2023</v>
      </c>
      <c r="D188" s="21">
        <v>142</v>
      </c>
      <c r="E188" s="21">
        <v>221075200</v>
      </c>
    </row>
    <row r="189" spans="2:5">
      <c r="C189" s="37">
        <v>2024</v>
      </c>
      <c r="D189" s="21">
        <v>119</v>
      </c>
      <c r="E189" s="21">
        <v>212294000</v>
      </c>
    </row>
    <row r="190" spans="2:5">
      <c r="C190" s="37">
        <v>2025</v>
      </c>
      <c r="D190" s="21">
        <v>122</v>
      </c>
      <c r="E190" s="21">
        <v>197223600</v>
      </c>
    </row>
    <row r="191" spans="2:5">
      <c r="C191" s="37" t="s">
        <v>1286</v>
      </c>
      <c r="D191" s="21">
        <v>15</v>
      </c>
      <c r="E191" s="21">
        <v>24122900</v>
      </c>
    </row>
    <row r="192" spans="2:5">
      <c r="C192" s="37" t="s">
        <v>1257</v>
      </c>
      <c r="D192" s="21">
        <v>500</v>
      </c>
      <c r="E192" s="21">
        <v>834781000</v>
      </c>
    </row>
    <row r="201" ht="27.75" customHeight="1"/>
    <row r="202" collapsed="1"/>
    <row r="229" spans="8:10">
      <c r="H229" t="s">
        <v>1287</v>
      </c>
    </row>
    <row r="230" spans="8:10">
      <c r="H230" s="36" t="s">
        <v>1260</v>
      </c>
      <c r="I230" t="s">
        <v>1288</v>
      </c>
      <c r="J230" t="s">
        <v>1269</v>
      </c>
    </row>
    <row r="231" spans="8:10">
      <c r="H231" s="37" t="s">
        <v>144</v>
      </c>
      <c r="I231" s="21">
        <v>11</v>
      </c>
      <c r="J231" s="21">
        <v>189</v>
      </c>
    </row>
    <row r="232" spans="8:10">
      <c r="H232" s="37" t="s">
        <v>213</v>
      </c>
      <c r="I232" s="21">
        <v>6</v>
      </c>
      <c r="J232" s="21">
        <v>50</v>
      </c>
    </row>
    <row r="233" spans="8:10">
      <c r="H233" s="37" t="s">
        <v>132</v>
      </c>
      <c r="I233" s="21">
        <v>15</v>
      </c>
      <c r="J233" s="21">
        <v>211</v>
      </c>
    </row>
    <row r="234" spans="8:10">
      <c r="H234" s="37" t="s">
        <v>159</v>
      </c>
      <c r="I234" s="21">
        <v>5</v>
      </c>
      <c r="J234" s="21">
        <v>50</v>
      </c>
    </row>
    <row r="235" spans="8:10">
      <c r="H235" s="37" t="s">
        <v>1257</v>
      </c>
      <c r="I235" s="21">
        <v>37</v>
      </c>
      <c r="J235" s="21">
        <v>500</v>
      </c>
    </row>
    <row r="239" spans="8:10">
      <c r="H239" t="s">
        <v>1289</v>
      </c>
    </row>
  </sheetData>
  <pageMargins left="0.7" right="0.7" top="0.75" bottom="0.75" header="0.3" footer="0.3"/>
  <drawing r:id="rId1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0CD83-EB5B-6E47-869E-5E61BA7A91C8}">
  <dimension ref="A1"/>
  <sheetViews>
    <sheetView workbookViewId="0"/>
  </sheetViews>
  <sheetFormatPr defaultColWidth="11.42578125"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BA28E-3557-CC41-A283-C9461C3862AC}">
  <dimension ref="B4:C15"/>
  <sheetViews>
    <sheetView workbookViewId="0">
      <selection activeCell="H15" sqref="H15"/>
    </sheetView>
  </sheetViews>
  <sheetFormatPr defaultColWidth="11.42578125" defaultRowHeight="15"/>
  <sheetData>
    <row r="4" spans="2:3">
      <c r="B4" t="s">
        <v>1290</v>
      </c>
      <c r="C4" t="s">
        <v>1291</v>
      </c>
    </row>
    <row r="6" spans="2:3">
      <c r="B6" t="s">
        <v>1292</v>
      </c>
    </row>
    <row r="8" spans="2:3">
      <c r="B8" t="s">
        <v>1229</v>
      </c>
    </row>
    <row r="9" spans="2:3">
      <c r="B9" t="s">
        <v>1293</v>
      </c>
    </row>
    <row r="10" spans="2:3">
      <c r="B10" t="s">
        <v>1294</v>
      </c>
    </row>
    <row r="11" spans="2:3">
      <c r="B11" t="s">
        <v>1295</v>
      </c>
    </row>
    <row r="12" spans="2:3">
      <c r="B12" t="s">
        <v>1296</v>
      </c>
    </row>
    <row r="13" spans="2:3">
      <c r="B13" t="s">
        <v>1297</v>
      </c>
    </row>
    <row r="14" spans="2:3">
      <c r="B14" t="s">
        <v>1298</v>
      </c>
    </row>
    <row r="15" spans="2:3">
      <c r="B15" t="s">
        <v>1299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04A9-1EAA-4084-B921-D908F461C92A}">
  <dimension ref="B2:K61"/>
  <sheetViews>
    <sheetView showGridLines="0" topLeftCell="A14" zoomScale="130" zoomScaleNormal="130" workbookViewId="0">
      <selection activeCell="H9" sqref="H9"/>
    </sheetView>
  </sheetViews>
  <sheetFormatPr defaultColWidth="8.85546875" defaultRowHeight="15"/>
  <cols>
    <col min="1" max="1" width="12.7109375" customWidth="1"/>
    <col min="2" max="2" width="72.85546875" customWidth="1"/>
    <col min="3" max="3" width="9.140625" bestFit="1" customWidth="1"/>
  </cols>
  <sheetData>
    <row r="2" spans="2:11">
      <c r="B2" s="4" t="s">
        <v>1300</v>
      </c>
    </row>
    <row r="3" spans="2:11">
      <c r="B3" s="4"/>
    </row>
    <row r="4" spans="2:11">
      <c r="B4" s="4" t="s">
        <v>1301</v>
      </c>
    </row>
    <row r="5" spans="2:11">
      <c r="B5" t="s">
        <v>1302</v>
      </c>
      <c r="C5" t="s">
        <v>1303</v>
      </c>
      <c r="D5" s="18" t="b">
        <v>1</v>
      </c>
    </row>
    <row r="6" spans="2:11">
      <c r="B6" t="s">
        <v>1304</v>
      </c>
      <c r="C6" t="s">
        <v>1303</v>
      </c>
      <c r="D6" s="18" t="b">
        <v>1</v>
      </c>
    </row>
    <row r="7" spans="2:11">
      <c r="B7" t="s">
        <v>1305</v>
      </c>
      <c r="C7" t="s">
        <v>1303</v>
      </c>
      <c r="D7" s="18" t="b">
        <v>1</v>
      </c>
      <c r="K7">
        <f>MAX(Table1[dti_ratio])</f>
        <v>0.66</v>
      </c>
    </row>
    <row r="8" spans="2:11">
      <c r="B8" t="s">
        <v>1306</v>
      </c>
      <c r="C8" t="s">
        <v>1303</v>
      </c>
      <c r="D8" s="18" t="b">
        <v>1</v>
      </c>
      <c r="K8">
        <f>MIN(Table1[dti_ratio])</f>
        <v>0.05</v>
      </c>
    </row>
    <row r="9" spans="2:11">
      <c r="B9" t="s">
        <v>1307</v>
      </c>
      <c r="C9" t="s">
        <v>1303</v>
      </c>
      <c r="D9" s="18" t="b">
        <v>1</v>
      </c>
      <c r="H9" t="str">
        <f>TEXT("31/03/2024","mmyyyy")</f>
        <v>032024</v>
      </c>
      <c r="K9">
        <f>SUM(Table1[dti_ratio])/ROWS(Table1[dti_ratio])</f>
        <v>0.3212600000000001</v>
      </c>
    </row>
    <row r="10" spans="2:11">
      <c r="B10" t="s">
        <v>1308</v>
      </c>
      <c r="C10" t="s">
        <v>1303</v>
      </c>
      <c r="D10" s="18" t="b">
        <v>1</v>
      </c>
      <c r="K10">
        <f>ROWS(Table1[loan_id])</f>
        <v>500</v>
      </c>
    </row>
    <row r="11" spans="2:11">
      <c r="B11" t="s">
        <v>1309</v>
      </c>
      <c r="K11">
        <f>INDEX(Table1[dti_ratio],266)</f>
        <v>0.39</v>
      </c>
    </row>
    <row r="13" spans="2:11">
      <c r="B13" s="4" t="s">
        <v>1310</v>
      </c>
    </row>
    <row r="14" spans="2:11">
      <c r="B14" t="s">
        <v>1311</v>
      </c>
    </row>
    <row r="15" spans="2:11">
      <c r="B15" t="s">
        <v>1312</v>
      </c>
    </row>
    <row r="16" spans="2:11">
      <c r="B16" t="s">
        <v>1313</v>
      </c>
    </row>
    <row r="17" spans="2:5">
      <c r="B17" t="s">
        <v>1163</v>
      </c>
    </row>
    <row r="18" spans="2:5" ht="16.5" customHeight="1"/>
    <row r="19" spans="2:5">
      <c r="B19" s="4" t="s">
        <v>1314</v>
      </c>
    </row>
    <row r="20" spans="2:5">
      <c r="B20" t="s">
        <v>1315</v>
      </c>
      <c r="C20">
        <f>COUNTIF(Table1[dpd],"&gt;=30")</f>
        <v>75</v>
      </c>
      <c r="D20">
        <f>COUNTIF(Table1[dpd],"&gt;=60")</f>
        <v>23</v>
      </c>
      <c r="E20">
        <f>COUNTIF(Table1[dpd],"&gt;=90")</f>
        <v>13</v>
      </c>
    </row>
    <row r="21" spans="2:5">
      <c r="B21" t="s">
        <v>1316</v>
      </c>
      <c r="C21">
        <f>IFERROR(SUMIF(Table1[dpd],"&gt;=30",Table1[current_balance]),0)</f>
        <v>77374917</v>
      </c>
    </row>
    <row r="22" spans="2:5">
      <c r="B22" t="s">
        <v>1317</v>
      </c>
    </row>
    <row r="23" spans="2:5">
      <c r="B23" t="s">
        <v>1318</v>
      </c>
      <c r="C23">
        <f>COUNTIFS(Table1[loan_status],"Active",Table1[dpd], "&gt;=30")</f>
        <v>0</v>
      </c>
    </row>
    <row r="26" spans="2:5">
      <c r="B26" s="4" t="s">
        <v>1319</v>
      </c>
    </row>
    <row r="27" spans="2:5">
      <c r="B27" t="s">
        <v>1320</v>
      </c>
    </row>
    <row r="28" spans="2:5">
      <c r="B28" t="s">
        <v>1321</v>
      </c>
    </row>
    <row r="29" spans="2:5">
      <c r="B29" t="s">
        <v>1322</v>
      </c>
    </row>
    <row r="30" spans="2:5">
      <c r="B30" t="s">
        <v>1323</v>
      </c>
    </row>
    <row r="31" spans="2:5">
      <c r="B31" t="s">
        <v>1324</v>
      </c>
    </row>
    <row r="32" spans="2:5">
      <c r="B32" s="4" t="s">
        <v>1325</v>
      </c>
    </row>
    <row r="33" spans="2:2">
      <c r="B33" t="s">
        <v>1326</v>
      </c>
    </row>
    <row r="34" spans="2:2">
      <c r="B34" t="s">
        <v>1327</v>
      </c>
    </row>
    <row r="35" spans="2:2">
      <c r="B35" t="s">
        <v>1328</v>
      </c>
    </row>
    <row r="37" spans="2:2">
      <c r="B37" s="4" t="s">
        <v>1329</v>
      </c>
    </row>
    <row r="38" spans="2:2">
      <c r="B38" t="s">
        <v>1330</v>
      </c>
    </row>
    <row r="39" spans="2:2">
      <c r="B39" t="s">
        <v>1331</v>
      </c>
    </row>
    <row r="40" spans="2:2">
      <c r="B40" t="s">
        <v>1332</v>
      </c>
    </row>
    <row r="42" spans="2:2">
      <c r="B42" s="4" t="s">
        <v>1333</v>
      </c>
    </row>
    <row r="43" spans="2:2">
      <c r="B43" t="s">
        <v>1334</v>
      </c>
    </row>
    <row r="44" spans="2:2">
      <c r="B44" t="s">
        <v>1335</v>
      </c>
    </row>
    <row r="45" spans="2:2">
      <c r="B45" t="s">
        <v>1336</v>
      </c>
    </row>
    <row r="46" spans="2:2">
      <c r="B46" t="s">
        <v>1337</v>
      </c>
    </row>
    <row r="48" spans="2:2">
      <c r="B48" s="4" t="s">
        <v>1338</v>
      </c>
    </row>
    <row r="49" spans="2:2">
      <c r="B49" t="s">
        <v>1339</v>
      </c>
    </row>
    <row r="50" spans="2:2">
      <c r="B50" t="s">
        <v>1340</v>
      </c>
    </row>
    <row r="51" spans="2:2">
      <c r="B51" t="s">
        <v>1341</v>
      </c>
    </row>
    <row r="52" spans="2:2">
      <c r="B52" t="s">
        <v>1342</v>
      </c>
    </row>
    <row r="53" spans="2:2">
      <c r="B53" t="s">
        <v>1343</v>
      </c>
    </row>
    <row r="54" spans="2:2">
      <c r="B54" t="s">
        <v>1344</v>
      </c>
    </row>
    <row r="55" spans="2:2">
      <c r="B55" t="s">
        <v>1345</v>
      </c>
    </row>
    <row r="56" spans="2:2">
      <c r="B56" t="s">
        <v>1346</v>
      </c>
    </row>
    <row r="58" spans="2:2">
      <c r="B58" s="4" t="s">
        <v>1347</v>
      </c>
    </row>
    <row r="59" spans="2:2">
      <c r="B59" t="s">
        <v>1348</v>
      </c>
    </row>
    <row r="60" spans="2:2">
      <c r="B60" t="s">
        <v>1349</v>
      </c>
    </row>
    <row r="61" spans="2:2">
      <c r="B61" t="s">
        <v>1350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ria maitra</cp:lastModifiedBy>
  <cp:revision/>
  <dcterms:created xsi:type="dcterms:W3CDTF">2025-12-23T14:28:25Z</dcterms:created>
  <dcterms:modified xsi:type="dcterms:W3CDTF">2026-02-28T10:59:29Z</dcterms:modified>
  <cp:category/>
  <cp:contentStatus/>
</cp:coreProperties>
</file>