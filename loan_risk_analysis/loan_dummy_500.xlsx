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19209813a8b631b/Career/01. Excel/"/>
    </mc:Choice>
  </mc:AlternateContent>
  <xr:revisionPtr revIDLastSave="421" documentId="11_BE863FC86241E9264E246FFB0D1DD01F502A38F3" xr6:coauthVersionLast="47" xr6:coauthVersionMax="47" xr10:uidLastSave="{E2C95B31-7926-4043-872B-858BE457190C}"/>
  <bookViews>
    <workbookView xWindow="0" yWindow="740" windowWidth="29400" windowHeight="18380" xr2:uid="{00000000-000D-0000-FFFF-FFFF00000000}"/>
  </bookViews>
  <sheets>
    <sheet name="Raw - Data" sheetId="1" r:id="rId1"/>
    <sheet name="summary" sheetId="3" r:id="rId2"/>
    <sheet name="Business Questions" sheetId="2" r:id="rId3"/>
  </sheets>
  <definedNames>
    <definedName name="_xlchart.v1.0" hidden="1">'Raw - Data'!$J$17</definedName>
    <definedName name="_xlchart.v1.1" hidden="1">'Raw - Data'!$J$18:$J$517</definedName>
    <definedName name="_xlchart.v1.2" hidden="1">'Raw - Data'!$J$17</definedName>
    <definedName name="_xlchart.v1.3" hidden="1">'Raw - Data'!$J$18:$J$517</definedName>
    <definedName name="_xlchart.v1.4" hidden="1">'Raw - Data'!$J$14</definedName>
    <definedName name="_xlchart.v1.5" hidden="1">'Raw - Data'!$J$15:$J$514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2" l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33" i="1"/>
  <c r="AU34" i="1"/>
  <c r="AU35" i="1"/>
  <c r="AU36" i="1"/>
  <c r="AU37" i="1"/>
  <c r="AU38" i="1"/>
  <c r="AU39" i="1"/>
  <c r="AU40" i="1"/>
  <c r="AU41" i="1"/>
  <c r="AU42" i="1"/>
  <c r="AU43" i="1"/>
  <c r="AU44" i="1"/>
  <c r="AU45" i="1"/>
  <c r="AU46" i="1"/>
  <c r="AU47" i="1"/>
  <c r="AU48" i="1"/>
  <c r="AU49" i="1"/>
  <c r="AU50" i="1"/>
  <c r="AU51" i="1"/>
  <c r="AU52" i="1"/>
  <c r="AU53" i="1"/>
  <c r="AU54" i="1"/>
  <c r="AU55" i="1"/>
  <c r="AU56" i="1"/>
  <c r="AU57" i="1"/>
  <c r="AU58" i="1"/>
  <c r="AU59" i="1"/>
  <c r="AU60" i="1"/>
  <c r="AU61" i="1"/>
  <c r="AU62" i="1"/>
  <c r="AU63" i="1"/>
  <c r="AU64" i="1"/>
  <c r="AU65" i="1"/>
  <c r="AU66" i="1"/>
  <c r="AU67" i="1"/>
  <c r="AU68" i="1"/>
  <c r="AU69" i="1"/>
  <c r="AU70" i="1"/>
  <c r="AU71" i="1"/>
  <c r="AU72" i="1"/>
  <c r="AU73" i="1"/>
  <c r="AU74" i="1"/>
  <c r="AU75" i="1"/>
  <c r="AU76" i="1"/>
  <c r="AU77" i="1"/>
  <c r="AU78" i="1"/>
  <c r="AU79" i="1"/>
  <c r="AU80" i="1"/>
  <c r="AU81" i="1"/>
  <c r="AU82" i="1"/>
  <c r="AU83" i="1"/>
  <c r="AU84" i="1"/>
  <c r="AU85" i="1"/>
  <c r="AU86" i="1"/>
  <c r="AU87" i="1"/>
  <c r="AU88" i="1"/>
  <c r="AU89" i="1"/>
  <c r="AU90" i="1"/>
  <c r="AU91" i="1"/>
  <c r="AU92" i="1"/>
  <c r="AU93" i="1"/>
  <c r="AU94" i="1"/>
  <c r="AU95" i="1"/>
  <c r="AU96" i="1"/>
  <c r="AU97" i="1"/>
  <c r="AU98" i="1"/>
  <c r="AU99" i="1"/>
  <c r="AU100" i="1"/>
  <c r="AU101" i="1"/>
  <c r="AU102" i="1"/>
  <c r="AU103" i="1"/>
  <c r="AU104" i="1"/>
  <c r="AU105" i="1"/>
  <c r="AU106" i="1"/>
  <c r="AU107" i="1"/>
  <c r="AU108" i="1"/>
  <c r="AU109" i="1"/>
  <c r="AU110" i="1"/>
  <c r="AU111" i="1"/>
  <c r="AU112" i="1"/>
  <c r="AU113" i="1"/>
  <c r="AU114" i="1"/>
  <c r="AU115" i="1"/>
  <c r="AU116" i="1"/>
  <c r="AU117" i="1"/>
  <c r="AU118" i="1"/>
  <c r="AU119" i="1"/>
  <c r="AU120" i="1"/>
  <c r="AU121" i="1"/>
  <c r="AU122" i="1"/>
  <c r="AU123" i="1"/>
  <c r="AU124" i="1"/>
  <c r="AU125" i="1"/>
  <c r="AU126" i="1"/>
  <c r="AU127" i="1"/>
  <c r="AU128" i="1"/>
  <c r="AU129" i="1"/>
  <c r="AU130" i="1"/>
  <c r="AU131" i="1"/>
  <c r="AU132" i="1"/>
  <c r="AU133" i="1"/>
  <c r="AU134" i="1"/>
  <c r="AU135" i="1"/>
  <c r="AU136" i="1"/>
  <c r="AU137" i="1"/>
  <c r="AU138" i="1"/>
  <c r="AU139" i="1"/>
  <c r="AU140" i="1"/>
  <c r="AU141" i="1"/>
  <c r="AU142" i="1"/>
  <c r="AU143" i="1"/>
  <c r="AU144" i="1"/>
  <c r="AU145" i="1"/>
  <c r="AU146" i="1"/>
  <c r="AU147" i="1"/>
  <c r="AU148" i="1"/>
  <c r="AU149" i="1"/>
  <c r="AU150" i="1"/>
  <c r="AU151" i="1"/>
  <c r="AU152" i="1"/>
  <c r="AU153" i="1"/>
  <c r="AU154" i="1"/>
  <c r="AU155" i="1"/>
  <c r="AU156" i="1"/>
  <c r="AU157" i="1"/>
  <c r="AU158" i="1"/>
  <c r="AU159" i="1"/>
  <c r="AU160" i="1"/>
  <c r="AU161" i="1"/>
  <c r="AU162" i="1"/>
  <c r="AU163" i="1"/>
  <c r="AU164" i="1"/>
  <c r="AU165" i="1"/>
  <c r="AU166" i="1"/>
  <c r="AU167" i="1"/>
  <c r="AU168" i="1"/>
  <c r="AU169" i="1"/>
  <c r="AU170" i="1"/>
  <c r="AU171" i="1"/>
  <c r="AU172" i="1"/>
  <c r="AU173" i="1"/>
  <c r="AU174" i="1"/>
  <c r="AU175" i="1"/>
  <c r="AU176" i="1"/>
  <c r="AU177" i="1"/>
  <c r="AU178" i="1"/>
  <c r="AU179" i="1"/>
  <c r="AU180" i="1"/>
  <c r="AU181" i="1"/>
  <c r="AU182" i="1"/>
  <c r="AU183" i="1"/>
  <c r="AU184" i="1"/>
  <c r="AU185" i="1"/>
  <c r="AU186" i="1"/>
  <c r="AU187" i="1"/>
  <c r="AU188" i="1"/>
  <c r="AU189" i="1"/>
  <c r="AU190" i="1"/>
  <c r="AU191" i="1"/>
  <c r="AU192" i="1"/>
  <c r="AU193" i="1"/>
  <c r="AU194" i="1"/>
  <c r="AU195" i="1"/>
  <c r="AU196" i="1"/>
  <c r="AU197" i="1"/>
  <c r="AU198" i="1"/>
  <c r="AU199" i="1"/>
  <c r="AU200" i="1"/>
  <c r="AU201" i="1"/>
  <c r="AU202" i="1"/>
  <c r="AU203" i="1"/>
  <c r="AU204" i="1"/>
  <c r="AU205" i="1"/>
  <c r="AU206" i="1"/>
  <c r="AU207" i="1"/>
  <c r="AU208" i="1"/>
  <c r="AU209" i="1"/>
  <c r="AU210" i="1"/>
  <c r="AU211" i="1"/>
  <c r="AU212" i="1"/>
  <c r="AU213" i="1"/>
  <c r="AU214" i="1"/>
  <c r="AU215" i="1"/>
  <c r="AU216" i="1"/>
  <c r="AU217" i="1"/>
  <c r="AU218" i="1"/>
  <c r="AU219" i="1"/>
  <c r="AU220" i="1"/>
  <c r="AU221" i="1"/>
  <c r="AU222" i="1"/>
  <c r="AU223" i="1"/>
  <c r="AU224" i="1"/>
  <c r="AU225" i="1"/>
  <c r="AU226" i="1"/>
  <c r="AU227" i="1"/>
  <c r="AU228" i="1"/>
  <c r="AU229" i="1"/>
  <c r="AU230" i="1"/>
  <c r="AU231" i="1"/>
  <c r="AU232" i="1"/>
  <c r="AU233" i="1"/>
  <c r="AU234" i="1"/>
  <c r="AU235" i="1"/>
  <c r="AU236" i="1"/>
  <c r="AU237" i="1"/>
  <c r="AU238" i="1"/>
  <c r="AU239" i="1"/>
  <c r="AU240" i="1"/>
  <c r="AU241" i="1"/>
  <c r="AU242" i="1"/>
  <c r="AU243" i="1"/>
  <c r="AU244" i="1"/>
  <c r="AU245" i="1"/>
  <c r="AU246" i="1"/>
  <c r="AU247" i="1"/>
  <c r="AU248" i="1"/>
  <c r="AU249" i="1"/>
  <c r="AU250" i="1"/>
  <c r="AU251" i="1"/>
  <c r="AU252" i="1"/>
  <c r="AU253" i="1"/>
  <c r="AU254" i="1"/>
  <c r="AU255" i="1"/>
  <c r="AU256" i="1"/>
  <c r="AU257" i="1"/>
  <c r="AU258" i="1"/>
  <c r="AU259" i="1"/>
  <c r="AU260" i="1"/>
  <c r="AU261" i="1"/>
  <c r="AU262" i="1"/>
  <c r="AU263" i="1"/>
  <c r="AU264" i="1"/>
  <c r="AU265" i="1"/>
  <c r="AU266" i="1"/>
  <c r="AU267" i="1"/>
  <c r="AU268" i="1"/>
  <c r="AU269" i="1"/>
  <c r="AU270" i="1"/>
  <c r="AU271" i="1"/>
  <c r="AU272" i="1"/>
  <c r="AU273" i="1"/>
  <c r="AU274" i="1"/>
  <c r="AU275" i="1"/>
  <c r="AU276" i="1"/>
  <c r="AU277" i="1"/>
  <c r="AU278" i="1"/>
  <c r="AU279" i="1"/>
  <c r="AU280" i="1"/>
  <c r="AU281" i="1"/>
  <c r="AU282" i="1"/>
  <c r="AU283" i="1"/>
  <c r="AU284" i="1"/>
  <c r="AU285" i="1"/>
  <c r="AU286" i="1"/>
  <c r="AU287" i="1"/>
  <c r="AU288" i="1"/>
  <c r="AU289" i="1"/>
  <c r="AU290" i="1"/>
  <c r="AU291" i="1"/>
  <c r="AU292" i="1"/>
  <c r="AU293" i="1"/>
  <c r="AU294" i="1"/>
  <c r="AU295" i="1"/>
  <c r="AU296" i="1"/>
  <c r="AU297" i="1"/>
  <c r="AU298" i="1"/>
  <c r="AU299" i="1"/>
  <c r="AU300" i="1"/>
  <c r="AU301" i="1"/>
  <c r="AU302" i="1"/>
  <c r="AU303" i="1"/>
  <c r="AU304" i="1"/>
  <c r="AU305" i="1"/>
  <c r="AU306" i="1"/>
  <c r="AU307" i="1"/>
  <c r="AU308" i="1"/>
  <c r="AU309" i="1"/>
  <c r="AU310" i="1"/>
  <c r="AU311" i="1"/>
  <c r="AU312" i="1"/>
  <c r="AU313" i="1"/>
  <c r="AU314" i="1"/>
  <c r="AU315" i="1"/>
  <c r="AU316" i="1"/>
  <c r="AU317" i="1"/>
  <c r="AU318" i="1"/>
  <c r="AU319" i="1"/>
  <c r="AU320" i="1"/>
  <c r="AU321" i="1"/>
  <c r="AU322" i="1"/>
  <c r="AU323" i="1"/>
  <c r="AU324" i="1"/>
  <c r="AU325" i="1"/>
  <c r="AU326" i="1"/>
  <c r="AU327" i="1"/>
  <c r="AU328" i="1"/>
  <c r="AU329" i="1"/>
  <c r="AU330" i="1"/>
  <c r="AU331" i="1"/>
  <c r="AU332" i="1"/>
  <c r="AU333" i="1"/>
  <c r="AU334" i="1"/>
  <c r="AU335" i="1"/>
  <c r="AU336" i="1"/>
  <c r="AU337" i="1"/>
  <c r="AU338" i="1"/>
  <c r="AU339" i="1"/>
  <c r="AU340" i="1"/>
  <c r="AU341" i="1"/>
  <c r="AU342" i="1"/>
  <c r="AU343" i="1"/>
  <c r="AU344" i="1"/>
  <c r="AU345" i="1"/>
  <c r="AU346" i="1"/>
  <c r="AU347" i="1"/>
  <c r="AU348" i="1"/>
  <c r="AU349" i="1"/>
  <c r="AU350" i="1"/>
  <c r="AU351" i="1"/>
  <c r="AU352" i="1"/>
  <c r="AU353" i="1"/>
  <c r="AU354" i="1"/>
  <c r="AU355" i="1"/>
  <c r="AU356" i="1"/>
  <c r="AU357" i="1"/>
  <c r="AU358" i="1"/>
  <c r="AU359" i="1"/>
  <c r="AU360" i="1"/>
  <c r="AU361" i="1"/>
  <c r="AU362" i="1"/>
  <c r="AU363" i="1"/>
  <c r="AU364" i="1"/>
  <c r="AU365" i="1"/>
  <c r="AU366" i="1"/>
  <c r="AU367" i="1"/>
  <c r="AU368" i="1"/>
  <c r="AU369" i="1"/>
  <c r="AU370" i="1"/>
  <c r="AU371" i="1"/>
  <c r="AU372" i="1"/>
  <c r="AU373" i="1"/>
  <c r="AU374" i="1"/>
  <c r="AU375" i="1"/>
  <c r="AU376" i="1"/>
  <c r="AU377" i="1"/>
  <c r="AU378" i="1"/>
  <c r="AU379" i="1"/>
  <c r="AU380" i="1"/>
  <c r="AU381" i="1"/>
  <c r="AU382" i="1"/>
  <c r="AU383" i="1"/>
  <c r="AU384" i="1"/>
  <c r="AU385" i="1"/>
  <c r="AU386" i="1"/>
  <c r="AU387" i="1"/>
  <c r="AU388" i="1"/>
  <c r="AU389" i="1"/>
  <c r="AU390" i="1"/>
  <c r="AU391" i="1"/>
  <c r="AU392" i="1"/>
  <c r="AU393" i="1"/>
  <c r="AU394" i="1"/>
  <c r="AU395" i="1"/>
  <c r="AU396" i="1"/>
  <c r="AU397" i="1"/>
  <c r="AU398" i="1"/>
  <c r="AU399" i="1"/>
  <c r="AU400" i="1"/>
  <c r="AU401" i="1"/>
  <c r="AU402" i="1"/>
  <c r="AU403" i="1"/>
  <c r="AU404" i="1"/>
  <c r="AU405" i="1"/>
  <c r="AU406" i="1"/>
  <c r="AU407" i="1"/>
  <c r="AU408" i="1"/>
  <c r="AU409" i="1"/>
  <c r="AU410" i="1"/>
  <c r="AU411" i="1"/>
  <c r="AU412" i="1"/>
  <c r="AU413" i="1"/>
  <c r="AU414" i="1"/>
  <c r="AU415" i="1"/>
  <c r="AU416" i="1"/>
  <c r="AU417" i="1"/>
  <c r="AU418" i="1"/>
  <c r="AU419" i="1"/>
  <c r="AU420" i="1"/>
  <c r="AU421" i="1"/>
  <c r="AU422" i="1"/>
  <c r="AU423" i="1"/>
  <c r="AU424" i="1"/>
  <c r="AU425" i="1"/>
  <c r="AU426" i="1"/>
  <c r="AU427" i="1"/>
  <c r="AU428" i="1"/>
  <c r="AU429" i="1"/>
  <c r="AU430" i="1"/>
  <c r="AU431" i="1"/>
  <c r="AU432" i="1"/>
  <c r="AU433" i="1"/>
  <c r="AU434" i="1"/>
  <c r="AU435" i="1"/>
  <c r="AU436" i="1"/>
  <c r="AU437" i="1"/>
  <c r="AU438" i="1"/>
  <c r="AU439" i="1"/>
  <c r="AU440" i="1"/>
  <c r="AU441" i="1"/>
  <c r="AU442" i="1"/>
  <c r="AU443" i="1"/>
  <c r="AU444" i="1"/>
  <c r="AU445" i="1"/>
  <c r="AU446" i="1"/>
  <c r="AU447" i="1"/>
  <c r="AU448" i="1"/>
  <c r="AU449" i="1"/>
  <c r="AU450" i="1"/>
  <c r="AU451" i="1"/>
  <c r="AU452" i="1"/>
  <c r="AU453" i="1"/>
  <c r="AU454" i="1"/>
  <c r="AU455" i="1"/>
  <c r="AU456" i="1"/>
  <c r="AU457" i="1"/>
  <c r="AU458" i="1"/>
  <c r="AU459" i="1"/>
  <c r="AU460" i="1"/>
  <c r="AU461" i="1"/>
  <c r="AU462" i="1"/>
  <c r="AU463" i="1"/>
  <c r="AU464" i="1"/>
  <c r="AU465" i="1"/>
  <c r="AU466" i="1"/>
  <c r="AU467" i="1"/>
  <c r="AU468" i="1"/>
  <c r="AU469" i="1"/>
  <c r="AU470" i="1"/>
  <c r="AU471" i="1"/>
  <c r="AU472" i="1"/>
  <c r="AU473" i="1"/>
  <c r="AU474" i="1"/>
  <c r="AU475" i="1"/>
  <c r="AU476" i="1"/>
  <c r="AU477" i="1"/>
  <c r="AU478" i="1"/>
  <c r="AU479" i="1"/>
  <c r="AU480" i="1"/>
  <c r="AU481" i="1"/>
  <c r="AU482" i="1"/>
  <c r="AU483" i="1"/>
  <c r="AU484" i="1"/>
  <c r="AU485" i="1"/>
  <c r="AU486" i="1"/>
  <c r="AU487" i="1"/>
  <c r="AU488" i="1"/>
  <c r="AU489" i="1"/>
  <c r="AU490" i="1"/>
  <c r="AU491" i="1"/>
  <c r="AU492" i="1"/>
  <c r="AU493" i="1"/>
  <c r="AU494" i="1"/>
  <c r="AU495" i="1"/>
  <c r="AU496" i="1"/>
  <c r="AU497" i="1"/>
  <c r="AU498" i="1"/>
  <c r="AU499" i="1"/>
  <c r="AU500" i="1"/>
  <c r="AU501" i="1"/>
  <c r="AU502" i="1"/>
  <c r="AU503" i="1"/>
  <c r="AU504" i="1"/>
  <c r="AU505" i="1"/>
  <c r="AU506" i="1"/>
  <c r="AU507" i="1"/>
  <c r="AU508" i="1"/>
  <c r="AU509" i="1"/>
  <c r="AU510" i="1"/>
  <c r="AU511" i="1"/>
  <c r="AU512" i="1"/>
  <c r="AU513" i="1"/>
  <c r="AU514" i="1"/>
  <c r="AU515" i="1"/>
  <c r="AU516" i="1"/>
  <c r="AU517" i="1"/>
  <c r="BC13" i="1"/>
  <c r="BC12" i="1"/>
  <c r="AX13" i="1"/>
  <c r="AT458" i="1"/>
  <c r="AT152" i="1"/>
  <c r="AT182" i="1"/>
  <c r="AT238" i="1"/>
  <c r="AT420" i="1"/>
  <c r="AT239" i="1"/>
  <c r="AT299" i="1"/>
  <c r="AT54" i="1"/>
  <c r="AT183" i="1"/>
  <c r="AT153" i="1"/>
  <c r="AT184" i="1"/>
  <c r="AT185" i="1"/>
  <c r="AT459" i="1"/>
  <c r="AT365" i="1"/>
  <c r="AT240" i="1"/>
  <c r="AT460" i="1"/>
  <c r="AT90" i="1"/>
  <c r="AT338" i="1"/>
  <c r="AT55" i="1"/>
  <c r="AT393" i="1"/>
  <c r="AT275" i="1"/>
  <c r="AT421" i="1"/>
  <c r="AT490" i="1"/>
  <c r="AT154" i="1"/>
  <c r="AT339" i="1"/>
  <c r="AT340" i="1"/>
  <c r="AT491" i="1"/>
  <c r="AT123" i="1"/>
  <c r="AT18" i="1"/>
  <c r="AT241" i="1"/>
  <c r="AT366" i="1"/>
  <c r="AT341" i="1"/>
  <c r="AT300" i="1"/>
  <c r="AT56" i="1"/>
  <c r="AT91" i="1"/>
  <c r="AT186" i="1"/>
  <c r="AT422" i="1"/>
  <c r="AT461" i="1"/>
  <c r="AT342" i="1"/>
  <c r="AT19" i="1"/>
  <c r="AT492" i="1"/>
  <c r="AT92" i="1"/>
  <c r="AT57" i="1"/>
  <c r="AT211" i="1"/>
  <c r="AT124" i="1"/>
  <c r="AT343" i="1"/>
  <c r="AT242" i="1"/>
  <c r="AT344" i="1"/>
  <c r="AT301" i="1"/>
  <c r="AT212" i="1"/>
  <c r="AT125" i="1"/>
  <c r="AT126" i="1"/>
  <c r="AT394" i="1"/>
  <c r="AT345" i="1"/>
  <c r="AT127" i="1"/>
  <c r="AT493" i="1"/>
  <c r="AT462" i="1"/>
  <c r="AT302" i="1"/>
  <c r="AT463" i="1"/>
  <c r="AT395" i="1"/>
  <c r="AT93" i="1"/>
  <c r="AT367" i="1"/>
  <c r="AT155" i="1"/>
  <c r="AT58" i="1"/>
  <c r="AT303" i="1"/>
  <c r="AT213" i="1"/>
  <c r="AT20" i="1"/>
  <c r="AT243" i="1"/>
  <c r="AT423" i="1"/>
  <c r="AT94" i="1"/>
  <c r="AT244" i="1"/>
  <c r="AT21" i="1"/>
  <c r="AT22" i="1"/>
  <c r="AT424" i="1"/>
  <c r="AT494" i="1"/>
  <c r="AT276" i="1"/>
  <c r="AT368" i="1"/>
  <c r="AT156" i="1"/>
  <c r="AT157" i="1"/>
  <c r="AT304" i="1"/>
  <c r="AT425" i="1"/>
  <c r="AT495" i="1"/>
  <c r="AT23" i="1"/>
  <c r="AT24" i="1"/>
  <c r="AT245" i="1"/>
  <c r="AT95" i="1"/>
  <c r="AT246" i="1"/>
  <c r="AT369" i="1"/>
  <c r="AT25" i="1"/>
  <c r="AT247" i="1"/>
  <c r="AT26" i="1"/>
  <c r="AT214" i="1"/>
  <c r="AT59" i="1"/>
  <c r="AT187" i="1"/>
  <c r="AT426" i="1"/>
  <c r="AT277" i="1"/>
  <c r="AT464" i="1"/>
  <c r="AT215" i="1"/>
  <c r="AT188" i="1"/>
  <c r="AT396" i="1"/>
  <c r="AT248" i="1"/>
  <c r="AT249" i="1"/>
  <c r="AT278" i="1"/>
  <c r="AT27" i="1"/>
  <c r="AT370" i="1"/>
  <c r="AT279" i="1"/>
  <c r="AT96" i="1"/>
  <c r="AT60" i="1"/>
  <c r="AT61" i="1"/>
  <c r="AT305" i="1"/>
  <c r="AT216" i="1"/>
  <c r="AT250" i="1"/>
  <c r="AT251" i="1"/>
  <c r="AT496" i="1"/>
  <c r="AT252" i="1"/>
  <c r="AT497" i="1"/>
  <c r="AT217" i="1"/>
  <c r="AT218" i="1"/>
  <c r="AT97" i="1"/>
  <c r="AT306" i="1"/>
  <c r="AT253" i="1"/>
  <c r="AT307" i="1"/>
  <c r="AT465" i="1"/>
  <c r="AT427" i="1"/>
  <c r="AT428" i="1"/>
  <c r="AT62" i="1"/>
  <c r="AT498" i="1"/>
  <c r="AT397" i="1"/>
  <c r="AT63" i="1"/>
  <c r="AT28" i="1"/>
  <c r="AT128" i="1"/>
  <c r="AT29" i="1"/>
  <c r="AT189" i="1"/>
  <c r="AT129" i="1"/>
  <c r="AT308" i="1"/>
  <c r="AT280" i="1"/>
  <c r="AT499" i="1"/>
  <c r="AT281" i="1"/>
  <c r="AT466" i="1"/>
  <c r="AT190" i="1"/>
  <c r="AT467" i="1"/>
  <c r="AT398" i="1"/>
  <c r="AT158" i="1"/>
  <c r="AT282" i="1"/>
  <c r="AT191" i="1"/>
  <c r="AT192" i="1"/>
  <c r="AT500" i="1"/>
  <c r="AT130" i="1"/>
  <c r="AT219" i="1"/>
  <c r="AT283" i="1"/>
  <c r="AT131" i="1"/>
  <c r="AT309" i="1"/>
  <c r="AT220" i="1"/>
  <c r="AT30" i="1"/>
  <c r="AT429" i="1"/>
  <c r="AT132" i="1"/>
  <c r="AT159" i="1"/>
  <c r="AT31" i="1"/>
  <c r="AT193" i="1"/>
  <c r="AT501" i="1"/>
  <c r="AT254" i="1"/>
  <c r="AT64" i="1"/>
  <c r="AT371" i="1"/>
  <c r="AT32" i="1"/>
  <c r="AT468" i="1"/>
  <c r="AT502" i="1"/>
  <c r="AT346" i="1"/>
  <c r="AT347" i="1"/>
  <c r="AT65" i="1"/>
  <c r="AT66" i="1"/>
  <c r="AT255" i="1"/>
  <c r="AT372" i="1"/>
  <c r="AT469" i="1"/>
  <c r="AT430" i="1"/>
  <c r="AT221" i="1"/>
  <c r="AT133" i="1"/>
  <c r="AT310" i="1"/>
  <c r="AT470" i="1"/>
  <c r="AT67" i="1"/>
  <c r="AT348" i="1"/>
  <c r="AT284" i="1"/>
  <c r="AT256" i="1"/>
  <c r="AT471" i="1"/>
  <c r="AT33" i="1"/>
  <c r="AT98" i="1"/>
  <c r="AT472" i="1"/>
  <c r="AT160" i="1"/>
  <c r="AT68" i="1"/>
  <c r="AT431" i="1"/>
  <c r="AT161" i="1"/>
  <c r="AT349" i="1"/>
  <c r="AT432" i="1"/>
  <c r="AT69" i="1"/>
  <c r="AT194" i="1"/>
  <c r="AT257" i="1"/>
  <c r="AT285" i="1"/>
  <c r="AT34" i="1"/>
  <c r="AT162" i="1"/>
  <c r="AT99" i="1"/>
  <c r="AT311" i="1"/>
  <c r="AT134" i="1"/>
  <c r="AT195" i="1"/>
  <c r="AT135" i="1"/>
  <c r="AT312" i="1"/>
  <c r="AT196" i="1"/>
  <c r="AT313" i="1"/>
  <c r="AT70" i="1"/>
  <c r="AT35" i="1"/>
  <c r="AT136" i="1"/>
  <c r="AT473" i="1"/>
  <c r="AT503" i="1"/>
  <c r="AT474" i="1"/>
  <c r="AT163" i="1"/>
  <c r="AT314" i="1"/>
  <c r="AT433" i="1"/>
  <c r="AT399" i="1"/>
  <c r="AT373" i="1"/>
  <c r="AT100" i="1"/>
  <c r="AT101" i="1"/>
  <c r="AT137" i="1"/>
  <c r="AT315" i="1"/>
  <c r="AT258" i="1"/>
  <c r="AT71" i="1"/>
  <c r="AT259" i="1"/>
  <c r="AT475" i="1"/>
  <c r="AT504" i="1"/>
  <c r="AT400" i="1"/>
  <c r="AT36" i="1"/>
  <c r="AT316" i="1"/>
  <c r="AT197" i="1"/>
  <c r="AT222" i="1"/>
  <c r="AT37" i="1"/>
  <c r="AT102" i="1"/>
  <c r="AT350" i="1"/>
  <c r="AT401" i="1"/>
  <c r="AT260" i="1"/>
  <c r="AT317" i="1"/>
  <c r="AT351" i="1"/>
  <c r="AT223" i="1"/>
  <c r="AT476" i="1"/>
  <c r="AT374" i="1"/>
  <c r="AT224" i="1"/>
  <c r="AT103" i="1"/>
  <c r="AT477" i="1"/>
  <c r="AT286" i="1"/>
  <c r="AT164" i="1"/>
  <c r="AT138" i="1"/>
  <c r="AT434" i="1"/>
  <c r="AT478" i="1"/>
  <c r="AT505" i="1"/>
  <c r="AT352" i="1"/>
  <c r="AT287" i="1"/>
  <c r="AT435" i="1"/>
  <c r="AT165" i="1"/>
  <c r="AT375" i="1"/>
  <c r="AT436" i="1"/>
  <c r="AT139" i="1"/>
  <c r="AT166" i="1"/>
  <c r="AT72" i="1"/>
  <c r="AT104" i="1"/>
  <c r="AT225" i="1"/>
  <c r="AT105" i="1"/>
  <c r="AT353" i="1"/>
  <c r="AT261" i="1"/>
  <c r="AT437" i="1"/>
  <c r="AT438" i="1"/>
  <c r="AT354" i="1"/>
  <c r="AT106" i="1"/>
  <c r="AT73" i="1"/>
  <c r="AT198" i="1"/>
  <c r="AT107" i="1"/>
  <c r="AT439" i="1"/>
  <c r="AT402" i="1"/>
  <c r="AT479" i="1"/>
  <c r="AT108" i="1"/>
  <c r="AT262" i="1"/>
  <c r="AT38" i="1"/>
  <c r="AT226" i="1"/>
  <c r="AT318" i="1"/>
  <c r="AT319" i="1"/>
  <c r="AT140" i="1"/>
  <c r="AT39" i="1"/>
  <c r="AT506" i="1"/>
  <c r="AT320" i="1"/>
  <c r="AT440" i="1"/>
  <c r="AT321" i="1"/>
  <c r="AT403" i="1"/>
  <c r="AT355" i="1"/>
  <c r="AT480" i="1"/>
  <c r="AT376" i="1"/>
  <c r="AT288" i="1"/>
  <c r="AT141" i="1"/>
  <c r="AT74" i="1"/>
  <c r="AT289" i="1"/>
  <c r="AT109" i="1"/>
  <c r="AT441" i="1"/>
  <c r="AT40" i="1"/>
  <c r="AT75" i="1"/>
  <c r="AT404" i="1"/>
  <c r="AT227" i="1"/>
  <c r="AT110" i="1"/>
  <c r="AT356" i="1"/>
  <c r="AT167" i="1"/>
  <c r="AT263" i="1"/>
  <c r="AT111" i="1"/>
  <c r="AT442" i="1"/>
  <c r="AT405" i="1"/>
  <c r="AT406" i="1"/>
  <c r="AT357" i="1"/>
  <c r="AT290" i="1"/>
  <c r="AT199" i="1"/>
  <c r="AT443" i="1"/>
  <c r="AT112" i="1"/>
  <c r="AT168" i="1"/>
  <c r="AT377" i="1"/>
  <c r="AT291" i="1"/>
  <c r="AT507" i="1"/>
  <c r="AT200" i="1"/>
  <c r="AT76" i="1"/>
  <c r="AT77" i="1"/>
  <c r="AT407" i="1"/>
  <c r="AT408" i="1"/>
  <c r="AT142" i="1"/>
  <c r="AT322" i="1"/>
  <c r="AT323" i="1"/>
  <c r="AT169" i="1"/>
  <c r="AT324" i="1"/>
  <c r="AT508" i="1"/>
  <c r="AT228" i="1"/>
  <c r="AT444" i="1"/>
  <c r="AT325" i="1"/>
  <c r="AT445" i="1"/>
  <c r="AT481" i="1"/>
  <c r="AT229" i="1"/>
  <c r="AT326" i="1"/>
  <c r="AT482" i="1"/>
  <c r="AT358" i="1"/>
  <c r="AT483" i="1"/>
  <c r="AT327" i="1"/>
  <c r="AT201" i="1"/>
  <c r="AT264" i="1"/>
  <c r="AT41" i="1"/>
  <c r="AT143" i="1"/>
  <c r="AT292" i="1"/>
  <c r="AT509" i="1"/>
  <c r="AT144" i="1"/>
  <c r="AT378" i="1"/>
  <c r="AT510" i="1"/>
  <c r="AT113" i="1"/>
  <c r="AT202" i="1"/>
  <c r="AT328" i="1"/>
  <c r="AT265" i="1"/>
  <c r="AT379" i="1"/>
  <c r="AT78" i="1"/>
  <c r="AT329" i="1"/>
  <c r="AT330" i="1"/>
  <c r="AT446" i="1"/>
  <c r="AT511" i="1"/>
  <c r="AT380" i="1"/>
  <c r="AT114" i="1"/>
  <c r="AT409" i="1"/>
  <c r="AT381" i="1"/>
  <c r="AT230" i="1"/>
  <c r="AT170" i="1"/>
  <c r="AT115" i="1"/>
  <c r="AT410" i="1"/>
  <c r="AT447" i="1"/>
  <c r="AT42" i="1"/>
  <c r="AT231" i="1"/>
  <c r="AT203" i="1"/>
  <c r="AT411" i="1"/>
  <c r="AT293" i="1"/>
  <c r="AT484" i="1"/>
  <c r="AT331" i="1"/>
  <c r="AT204" i="1"/>
  <c r="AT205" i="1"/>
  <c r="AT332" i="1"/>
  <c r="AT145" i="1"/>
  <c r="AT294" i="1"/>
  <c r="AT146" i="1"/>
  <c r="AT266" i="1"/>
  <c r="AT382" i="1"/>
  <c r="AT116" i="1"/>
  <c r="AT79" i="1"/>
  <c r="AT232" i="1"/>
  <c r="AT267" i="1"/>
  <c r="AT43" i="1"/>
  <c r="AT383" i="1"/>
  <c r="AT359" i="1"/>
  <c r="AT412" i="1"/>
  <c r="AT448" i="1"/>
  <c r="AT206" i="1"/>
  <c r="AT147" i="1"/>
  <c r="AT207" i="1"/>
  <c r="AT449" i="1"/>
  <c r="AT171" i="1"/>
  <c r="AT295" i="1"/>
  <c r="AT172" i="1"/>
  <c r="AT80" i="1"/>
  <c r="AT384" i="1"/>
  <c r="AT148" i="1"/>
  <c r="AT117" i="1"/>
  <c r="AT173" i="1"/>
  <c r="AT450" i="1"/>
  <c r="AT485" i="1"/>
  <c r="AT233" i="1"/>
  <c r="AT333" i="1"/>
  <c r="AT81" i="1"/>
  <c r="AT385" i="1"/>
  <c r="AT386" i="1"/>
  <c r="AT118" i="1"/>
  <c r="AT268" i="1"/>
  <c r="AT334" i="1"/>
  <c r="AT387" i="1"/>
  <c r="AT512" i="1"/>
  <c r="AT296" i="1"/>
  <c r="AT513" i="1"/>
  <c r="AT360" i="1"/>
  <c r="AT413" i="1"/>
  <c r="AT361" i="1"/>
  <c r="AT388" i="1"/>
  <c r="AT451" i="1"/>
  <c r="AT297" i="1"/>
  <c r="AT174" i="1"/>
  <c r="AT44" i="1"/>
  <c r="AT414" i="1"/>
  <c r="AT82" i="1"/>
  <c r="AT269" i="1"/>
  <c r="AT415" i="1"/>
  <c r="AT416" i="1"/>
  <c r="AT389" i="1"/>
  <c r="AT514" i="1"/>
  <c r="AT417" i="1"/>
  <c r="AT452" i="1"/>
  <c r="AT486" i="1"/>
  <c r="AT390" i="1"/>
  <c r="AT234" i="1"/>
  <c r="AT149" i="1"/>
  <c r="AT298" i="1"/>
  <c r="AT175" i="1"/>
  <c r="AT270" i="1"/>
  <c r="AT83" i="1"/>
  <c r="AT45" i="1"/>
  <c r="AT176" i="1"/>
  <c r="AT119" i="1"/>
  <c r="AT46" i="1"/>
  <c r="AT453" i="1"/>
  <c r="AT47" i="1"/>
  <c r="AT515" i="1"/>
  <c r="AT48" i="1"/>
  <c r="AT150" i="1"/>
  <c r="AT49" i="1"/>
  <c r="AT208" i="1"/>
  <c r="AT235" i="1"/>
  <c r="AT454" i="1"/>
  <c r="AT362" i="1"/>
  <c r="AT335" i="1"/>
  <c r="AT177" i="1"/>
  <c r="AT178" i="1"/>
  <c r="AT236" i="1"/>
  <c r="AT455" i="1"/>
  <c r="AT336" i="1"/>
  <c r="AT516" i="1"/>
  <c r="AT179" i="1"/>
  <c r="AT84" i="1"/>
  <c r="AT50" i="1"/>
  <c r="AT456" i="1"/>
  <c r="AT418" i="1"/>
  <c r="AT271" i="1"/>
  <c r="AT180" i="1"/>
  <c r="AT272" i="1"/>
  <c r="AT487" i="1"/>
  <c r="AT51" i="1"/>
  <c r="AT85" i="1"/>
  <c r="AT120" i="1"/>
  <c r="AT151" i="1"/>
  <c r="AT52" i="1"/>
  <c r="AT273" i="1"/>
  <c r="AT363" i="1"/>
  <c r="AT53" i="1"/>
  <c r="AT457" i="1"/>
  <c r="AT337" i="1"/>
  <c r="AT86" i="1"/>
  <c r="AT391" i="1"/>
  <c r="AT121" i="1"/>
  <c r="AT87" i="1"/>
  <c r="AT88" i="1"/>
  <c r="AT122" i="1"/>
  <c r="AT237" i="1"/>
  <c r="AT274" i="1"/>
  <c r="AT517" i="1"/>
  <c r="AT89" i="1"/>
  <c r="AT209" i="1"/>
  <c r="AT364" i="1"/>
  <c r="AT210" i="1"/>
  <c r="AT488" i="1"/>
  <c r="AT181" i="1"/>
  <c r="AT489" i="1"/>
  <c r="AT419" i="1"/>
  <c r="AT392" i="1"/>
  <c r="AS458" i="1"/>
  <c r="AS152" i="1"/>
  <c r="AS182" i="1"/>
  <c r="AS238" i="1"/>
  <c r="AS420" i="1"/>
  <c r="AS239" i="1"/>
  <c r="AS299" i="1"/>
  <c r="AS54" i="1"/>
  <c r="AS183" i="1"/>
  <c r="AS153" i="1"/>
  <c r="AS184" i="1"/>
  <c r="AS185" i="1"/>
  <c r="AS459" i="1"/>
  <c r="AS365" i="1"/>
  <c r="AS240" i="1"/>
  <c r="AS460" i="1"/>
  <c r="AS90" i="1"/>
  <c r="AS338" i="1"/>
  <c r="AS55" i="1"/>
  <c r="AS393" i="1"/>
  <c r="AS275" i="1"/>
  <c r="AS421" i="1"/>
  <c r="AS490" i="1"/>
  <c r="AS154" i="1"/>
  <c r="AS339" i="1"/>
  <c r="AS340" i="1"/>
  <c r="AS491" i="1"/>
  <c r="AS123" i="1"/>
  <c r="AS18" i="1"/>
  <c r="AS241" i="1"/>
  <c r="AS366" i="1"/>
  <c r="AS341" i="1"/>
  <c r="AS300" i="1"/>
  <c r="AS56" i="1"/>
  <c r="AS91" i="1"/>
  <c r="AS186" i="1"/>
  <c r="AS422" i="1"/>
  <c r="AS461" i="1"/>
  <c r="AS342" i="1"/>
  <c r="AS19" i="1"/>
  <c r="AS492" i="1"/>
  <c r="AS92" i="1"/>
  <c r="AS57" i="1"/>
  <c r="AS211" i="1"/>
  <c r="AS124" i="1"/>
  <c r="AS343" i="1"/>
  <c r="AS242" i="1"/>
  <c r="AS344" i="1"/>
  <c r="AS301" i="1"/>
  <c r="AS212" i="1"/>
  <c r="AS125" i="1"/>
  <c r="AS126" i="1"/>
  <c r="AS394" i="1"/>
  <c r="AS345" i="1"/>
  <c r="AS127" i="1"/>
  <c r="AS493" i="1"/>
  <c r="AS462" i="1"/>
  <c r="AS302" i="1"/>
  <c r="AS463" i="1"/>
  <c r="AS395" i="1"/>
  <c r="AS93" i="1"/>
  <c r="AS367" i="1"/>
  <c r="AS155" i="1"/>
  <c r="AS58" i="1"/>
  <c r="AS303" i="1"/>
  <c r="AS213" i="1"/>
  <c r="AS20" i="1"/>
  <c r="AS243" i="1"/>
  <c r="AS423" i="1"/>
  <c r="AS94" i="1"/>
  <c r="AS244" i="1"/>
  <c r="AS21" i="1"/>
  <c r="AS22" i="1"/>
  <c r="AS424" i="1"/>
  <c r="AS494" i="1"/>
  <c r="AS276" i="1"/>
  <c r="AS368" i="1"/>
  <c r="AS156" i="1"/>
  <c r="AS157" i="1"/>
  <c r="AS304" i="1"/>
  <c r="AS425" i="1"/>
  <c r="AS495" i="1"/>
  <c r="AS23" i="1"/>
  <c r="AS24" i="1"/>
  <c r="AS245" i="1"/>
  <c r="AS95" i="1"/>
  <c r="AS246" i="1"/>
  <c r="AS369" i="1"/>
  <c r="AS25" i="1"/>
  <c r="AS247" i="1"/>
  <c r="AS26" i="1"/>
  <c r="AS214" i="1"/>
  <c r="AS59" i="1"/>
  <c r="AS187" i="1"/>
  <c r="AS426" i="1"/>
  <c r="AS277" i="1"/>
  <c r="AS464" i="1"/>
  <c r="AS215" i="1"/>
  <c r="AS188" i="1"/>
  <c r="AS396" i="1"/>
  <c r="AS248" i="1"/>
  <c r="AS249" i="1"/>
  <c r="AS278" i="1"/>
  <c r="AS27" i="1"/>
  <c r="AS370" i="1"/>
  <c r="AS279" i="1"/>
  <c r="AS96" i="1"/>
  <c r="AS60" i="1"/>
  <c r="AS61" i="1"/>
  <c r="AS305" i="1"/>
  <c r="AS216" i="1"/>
  <c r="AS250" i="1"/>
  <c r="AS251" i="1"/>
  <c r="AS496" i="1"/>
  <c r="AS252" i="1"/>
  <c r="AS497" i="1"/>
  <c r="AS217" i="1"/>
  <c r="AS218" i="1"/>
  <c r="AS97" i="1"/>
  <c r="AS306" i="1"/>
  <c r="AS253" i="1"/>
  <c r="AS307" i="1"/>
  <c r="AS465" i="1"/>
  <c r="AS427" i="1"/>
  <c r="AS428" i="1"/>
  <c r="AS62" i="1"/>
  <c r="AS498" i="1"/>
  <c r="AS397" i="1"/>
  <c r="AS63" i="1"/>
  <c r="AS28" i="1"/>
  <c r="AS128" i="1"/>
  <c r="AS29" i="1"/>
  <c r="AS189" i="1"/>
  <c r="AS129" i="1"/>
  <c r="AS308" i="1"/>
  <c r="AS280" i="1"/>
  <c r="AS499" i="1"/>
  <c r="AS281" i="1"/>
  <c r="AS466" i="1"/>
  <c r="AS190" i="1"/>
  <c r="AS467" i="1"/>
  <c r="AS398" i="1"/>
  <c r="AS158" i="1"/>
  <c r="AS282" i="1"/>
  <c r="AS191" i="1"/>
  <c r="AS192" i="1"/>
  <c r="AS500" i="1"/>
  <c r="AS130" i="1"/>
  <c r="AS219" i="1"/>
  <c r="AS283" i="1"/>
  <c r="AS131" i="1"/>
  <c r="AS309" i="1"/>
  <c r="AS220" i="1"/>
  <c r="AS30" i="1"/>
  <c r="AS429" i="1"/>
  <c r="AS132" i="1"/>
  <c r="AS159" i="1"/>
  <c r="AS31" i="1"/>
  <c r="AS193" i="1"/>
  <c r="AS501" i="1"/>
  <c r="AS254" i="1"/>
  <c r="AS64" i="1"/>
  <c r="AS371" i="1"/>
  <c r="AS32" i="1"/>
  <c r="AS468" i="1"/>
  <c r="AS502" i="1"/>
  <c r="AS346" i="1"/>
  <c r="AS347" i="1"/>
  <c r="AS65" i="1"/>
  <c r="AS66" i="1"/>
  <c r="AS255" i="1"/>
  <c r="AS372" i="1"/>
  <c r="AS469" i="1"/>
  <c r="AS430" i="1"/>
  <c r="AS221" i="1"/>
  <c r="AS133" i="1"/>
  <c r="AS310" i="1"/>
  <c r="AS470" i="1"/>
  <c r="AS67" i="1"/>
  <c r="AS348" i="1"/>
  <c r="AS284" i="1"/>
  <c r="AS256" i="1"/>
  <c r="AS471" i="1"/>
  <c r="AS33" i="1"/>
  <c r="AS98" i="1"/>
  <c r="AS472" i="1"/>
  <c r="AS160" i="1"/>
  <c r="AS68" i="1"/>
  <c r="AS431" i="1"/>
  <c r="AS161" i="1"/>
  <c r="AS349" i="1"/>
  <c r="AS432" i="1"/>
  <c r="AS69" i="1"/>
  <c r="AS194" i="1"/>
  <c r="AS257" i="1"/>
  <c r="AS285" i="1"/>
  <c r="AS34" i="1"/>
  <c r="AS162" i="1"/>
  <c r="AS99" i="1"/>
  <c r="AS311" i="1"/>
  <c r="AS134" i="1"/>
  <c r="AS195" i="1"/>
  <c r="AS135" i="1"/>
  <c r="AS312" i="1"/>
  <c r="AS196" i="1"/>
  <c r="AS313" i="1"/>
  <c r="AS70" i="1"/>
  <c r="AS35" i="1"/>
  <c r="AS136" i="1"/>
  <c r="AS473" i="1"/>
  <c r="AS503" i="1"/>
  <c r="AS474" i="1"/>
  <c r="AS163" i="1"/>
  <c r="AS314" i="1"/>
  <c r="AS433" i="1"/>
  <c r="AS399" i="1"/>
  <c r="AS373" i="1"/>
  <c r="AS100" i="1"/>
  <c r="AS101" i="1"/>
  <c r="AS137" i="1"/>
  <c r="AS315" i="1"/>
  <c r="AS258" i="1"/>
  <c r="AS71" i="1"/>
  <c r="AS259" i="1"/>
  <c r="AS475" i="1"/>
  <c r="AS504" i="1"/>
  <c r="AS400" i="1"/>
  <c r="AS36" i="1"/>
  <c r="AS316" i="1"/>
  <c r="AS197" i="1"/>
  <c r="AS222" i="1"/>
  <c r="AS37" i="1"/>
  <c r="AS102" i="1"/>
  <c r="AS350" i="1"/>
  <c r="AS401" i="1"/>
  <c r="AS260" i="1"/>
  <c r="AS317" i="1"/>
  <c r="AS351" i="1"/>
  <c r="AS223" i="1"/>
  <c r="AS476" i="1"/>
  <c r="AS374" i="1"/>
  <c r="AS224" i="1"/>
  <c r="AS103" i="1"/>
  <c r="AS477" i="1"/>
  <c r="AS286" i="1"/>
  <c r="AS164" i="1"/>
  <c r="AS138" i="1"/>
  <c r="AS434" i="1"/>
  <c r="AS478" i="1"/>
  <c r="AS505" i="1"/>
  <c r="AS352" i="1"/>
  <c r="AS287" i="1"/>
  <c r="AS435" i="1"/>
  <c r="AS165" i="1"/>
  <c r="AS375" i="1"/>
  <c r="AS436" i="1"/>
  <c r="AS139" i="1"/>
  <c r="AS166" i="1"/>
  <c r="AS72" i="1"/>
  <c r="AS104" i="1"/>
  <c r="AS225" i="1"/>
  <c r="AS105" i="1"/>
  <c r="AS353" i="1"/>
  <c r="AS261" i="1"/>
  <c r="AS437" i="1"/>
  <c r="AS438" i="1"/>
  <c r="AS354" i="1"/>
  <c r="AS106" i="1"/>
  <c r="AS73" i="1"/>
  <c r="AS198" i="1"/>
  <c r="AS107" i="1"/>
  <c r="AS439" i="1"/>
  <c r="AS402" i="1"/>
  <c r="AS479" i="1"/>
  <c r="AS108" i="1"/>
  <c r="AS262" i="1"/>
  <c r="AS38" i="1"/>
  <c r="AS226" i="1"/>
  <c r="AS318" i="1"/>
  <c r="AS319" i="1"/>
  <c r="AS140" i="1"/>
  <c r="AS39" i="1"/>
  <c r="AS506" i="1"/>
  <c r="AS320" i="1"/>
  <c r="AS440" i="1"/>
  <c r="AS321" i="1"/>
  <c r="AS403" i="1"/>
  <c r="AS355" i="1"/>
  <c r="AS480" i="1"/>
  <c r="AS376" i="1"/>
  <c r="AS288" i="1"/>
  <c r="AS141" i="1"/>
  <c r="AS74" i="1"/>
  <c r="AS289" i="1"/>
  <c r="AS109" i="1"/>
  <c r="AS441" i="1"/>
  <c r="AS40" i="1"/>
  <c r="AS75" i="1"/>
  <c r="AS404" i="1"/>
  <c r="AS227" i="1"/>
  <c r="AS110" i="1"/>
  <c r="AS356" i="1"/>
  <c r="AS167" i="1"/>
  <c r="AS263" i="1"/>
  <c r="AS111" i="1"/>
  <c r="AS442" i="1"/>
  <c r="AS405" i="1"/>
  <c r="AS406" i="1"/>
  <c r="AS357" i="1"/>
  <c r="AS290" i="1"/>
  <c r="AS199" i="1"/>
  <c r="AS443" i="1"/>
  <c r="AS112" i="1"/>
  <c r="AS168" i="1"/>
  <c r="AS377" i="1"/>
  <c r="AS291" i="1"/>
  <c r="AS507" i="1"/>
  <c r="AS200" i="1"/>
  <c r="AS76" i="1"/>
  <c r="AS77" i="1"/>
  <c r="AS407" i="1"/>
  <c r="AS408" i="1"/>
  <c r="AS142" i="1"/>
  <c r="AS322" i="1"/>
  <c r="AS323" i="1"/>
  <c r="AS169" i="1"/>
  <c r="AS324" i="1"/>
  <c r="AS508" i="1"/>
  <c r="AS228" i="1"/>
  <c r="AS444" i="1"/>
  <c r="AS325" i="1"/>
  <c r="AS445" i="1"/>
  <c r="AS481" i="1"/>
  <c r="AS229" i="1"/>
  <c r="AS326" i="1"/>
  <c r="AS482" i="1"/>
  <c r="AS358" i="1"/>
  <c r="AS483" i="1"/>
  <c r="AS327" i="1"/>
  <c r="AS201" i="1"/>
  <c r="AS264" i="1"/>
  <c r="AS41" i="1"/>
  <c r="AS143" i="1"/>
  <c r="AS292" i="1"/>
  <c r="AS509" i="1"/>
  <c r="AS144" i="1"/>
  <c r="AS378" i="1"/>
  <c r="AS510" i="1"/>
  <c r="AS113" i="1"/>
  <c r="AS202" i="1"/>
  <c r="AS328" i="1"/>
  <c r="AS265" i="1"/>
  <c r="AS379" i="1"/>
  <c r="AS78" i="1"/>
  <c r="AS329" i="1"/>
  <c r="AS330" i="1"/>
  <c r="AS446" i="1"/>
  <c r="AS511" i="1"/>
  <c r="AS380" i="1"/>
  <c r="AS114" i="1"/>
  <c r="AS409" i="1"/>
  <c r="AS381" i="1"/>
  <c r="AS230" i="1"/>
  <c r="AS170" i="1"/>
  <c r="AS115" i="1"/>
  <c r="AS410" i="1"/>
  <c r="AS447" i="1"/>
  <c r="AS42" i="1"/>
  <c r="AS231" i="1"/>
  <c r="AS203" i="1"/>
  <c r="AS411" i="1"/>
  <c r="AS293" i="1"/>
  <c r="AS484" i="1"/>
  <c r="AS331" i="1"/>
  <c r="AS204" i="1"/>
  <c r="AS205" i="1"/>
  <c r="AS332" i="1"/>
  <c r="AS145" i="1"/>
  <c r="AS294" i="1"/>
  <c r="AS146" i="1"/>
  <c r="AS266" i="1"/>
  <c r="AS382" i="1"/>
  <c r="AS116" i="1"/>
  <c r="AS79" i="1"/>
  <c r="AS232" i="1"/>
  <c r="AS267" i="1"/>
  <c r="AS43" i="1"/>
  <c r="AS383" i="1"/>
  <c r="AS359" i="1"/>
  <c r="AS412" i="1"/>
  <c r="AS448" i="1"/>
  <c r="AS206" i="1"/>
  <c r="AS147" i="1"/>
  <c r="AS207" i="1"/>
  <c r="AS449" i="1"/>
  <c r="AS171" i="1"/>
  <c r="AS295" i="1"/>
  <c r="AS172" i="1"/>
  <c r="AS80" i="1"/>
  <c r="AS384" i="1"/>
  <c r="AS148" i="1"/>
  <c r="AS117" i="1"/>
  <c r="AS173" i="1"/>
  <c r="AS450" i="1"/>
  <c r="AS485" i="1"/>
  <c r="AS233" i="1"/>
  <c r="AS333" i="1"/>
  <c r="AS81" i="1"/>
  <c r="AS385" i="1"/>
  <c r="AS386" i="1"/>
  <c r="AS118" i="1"/>
  <c r="AS268" i="1"/>
  <c r="AS334" i="1"/>
  <c r="AS387" i="1"/>
  <c r="AS512" i="1"/>
  <c r="AS296" i="1"/>
  <c r="AS513" i="1"/>
  <c r="AS360" i="1"/>
  <c r="AS413" i="1"/>
  <c r="AS361" i="1"/>
  <c r="AS388" i="1"/>
  <c r="AS451" i="1"/>
  <c r="AS297" i="1"/>
  <c r="AS174" i="1"/>
  <c r="AS44" i="1"/>
  <c r="AS414" i="1"/>
  <c r="AS82" i="1"/>
  <c r="AS269" i="1"/>
  <c r="AS415" i="1"/>
  <c r="AS416" i="1"/>
  <c r="AS389" i="1"/>
  <c r="AS514" i="1"/>
  <c r="AS417" i="1"/>
  <c r="AS452" i="1"/>
  <c r="AS486" i="1"/>
  <c r="AS390" i="1"/>
  <c r="AS234" i="1"/>
  <c r="AS149" i="1"/>
  <c r="AS298" i="1"/>
  <c r="AS175" i="1"/>
  <c r="AS270" i="1"/>
  <c r="AS83" i="1"/>
  <c r="AS45" i="1"/>
  <c r="AS176" i="1"/>
  <c r="AS119" i="1"/>
  <c r="AS46" i="1"/>
  <c r="AS453" i="1"/>
  <c r="AS47" i="1"/>
  <c r="AS515" i="1"/>
  <c r="AS48" i="1"/>
  <c r="AS150" i="1"/>
  <c r="AS49" i="1"/>
  <c r="AS208" i="1"/>
  <c r="AS235" i="1"/>
  <c r="AS454" i="1"/>
  <c r="AS362" i="1"/>
  <c r="AS335" i="1"/>
  <c r="AS177" i="1"/>
  <c r="AS178" i="1"/>
  <c r="AS236" i="1"/>
  <c r="AS455" i="1"/>
  <c r="AS336" i="1"/>
  <c r="AS516" i="1"/>
  <c r="AS179" i="1"/>
  <c r="AS84" i="1"/>
  <c r="AS50" i="1"/>
  <c r="AS456" i="1"/>
  <c r="AS418" i="1"/>
  <c r="AS271" i="1"/>
  <c r="AS180" i="1"/>
  <c r="AS272" i="1"/>
  <c r="AS487" i="1"/>
  <c r="AS51" i="1"/>
  <c r="AS85" i="1"/>
  <c r="AS120" i="1"/>
  <c r="AS151" i="1"/>
  <c r="AS52" i="1"/>
  <c r="AS273" i="1"/>
  <c r="AS363" i="1"/>
  <c r="AS53" i="1"/>
  <c r="AS457" i="1"/>
  <c r="AS337" i="1"/>
  <c r="AS86" i="1"/>
  <c r="AS391" i="1"/>
  <c r="AS121" i="1"/>
  <c r="AS87" i="1"/>
  <c r="AS88" i="1"/>
  <c r="AS122" i="1"/>
  <c r="AS237" i="1"/>
  <c r="AS274" i="1"/>
  <c r="AS517" i="1"/>
  <c r="AS89" i="1"/>
  <c r="AS209" i="1"/>
  <c r="AS364" i="1"/>
  <c r="AS210" i="1"/>
  <c r="AS488" i="1"/>
  <c r="AS181" i="1"/>
  <c r="AS489" i="1"/>
  <c r="AS419" i="1"/>
  <c r="AS392" i="1"/>
  <c r="AR458" i="1"/>
  <c r="AR152" i="1"/>
  <c r="AR182" i="1"/>
  <c r="AR238" i="1"/>
  <c r="AR420" i="1"/>
  <c r="AR239" i="1"/>
  <c r="AR299" i="1"/>
  <c r="AR54" i="1"/>
  <c r="AR183" i="1"/>
  <c r="AR153" i="1"/>
  <c r="AR184" i="1"/>
  <c r="AR185" i="1"/>
  <c r="AR459" i="1"/>
  <c r="AR365" i="1"/>
  <c r="AR240" i="1"/>
  <c r="AR460" i="1"/>
  <c r="AR90" i="1"/>
  <c r="AR338" i="1"/>
  <c r="AR55" i="1"/>
  <c r="AR393" i="1"/>
  <c r="AR275" i="1"/>
  <c r="AR421" i="1"/>
  <c r="AR490" i="1"/>
  <c r="AR154" i="1"/>
  <c r="AR339" i="1"/>
  <c r="AR340" i="1"/>
  <c r="AR491" i="1"/>
  <c r="AR123" i="1"/>
  <c r="AR18" i="1"/>
  <c r="AR241" i="1"/>
  <c r="AR366" i="1"/>
  <c r="AR341" i="1"/>
  <c r="AR300" i="1"/>
  <c r="AR56" i="1"/>
  <c r="AR91" i="1"/>
  <c r="AR186" i="1"/>
  <c r="AR422" i="1"/>
  <c r="AR461" i="1"/>
  <c r="AR342" i="1"/>
  <c r="AR19" i="1"/>
  <c r="AR492" i="1"/>
  <c r="AR92" i="1"/>
  <c r="AR57" i="1"/>
  <c r="AR211" i="1"/>
  <c r="AR124" i="1"/>
  <c r="AR343" i="1"/>
  <c r="AR242" i="1"/>
  <c r="AR344" i="1"/>
  <c r="AR301" i="1"/>
  <c r="AR212" i="1"/>
  <c r="AR125" i="1"/>
  <c r="AR126" i="1"/>
  <c r="AR394" i="1"/>
  <c r="AR345" i="1"/>
  <c r="AR127" i="1"/>
  <c r="AR493" i="1"/>
  <c r="AR462" i="1"/>
  <c r="AR302" i="1"/>
  <c r="AR463" i="1"/>
  <c r="AR395" i="1"/>
  <c r="AR93" i="1"/>
  <c r="AR367" i="1"/>
  <c r="AR155" i="1"/>
  <c r="AR58" i="1"/>
  <c r="AR303" i="1"/>
  <c r="AR213" i="1"/>
  <c r="AR20" i="1"/>
  <c r="AR243" i="1"/>
  <c r="AR423" i="1"/>
  <c r="AR94" i="1"/>
  <c r="AR244" i="1"/>
  <c r="AR21" i="1"/>
  <c r="AR22" i="1"/>
  <c r="AR424" i="1"/>
  <c r="AR494" i="1"/>
  <c r="AR276" i="1"/>
  <c r="AR368" i="1"/>
  <c r="AR156" i="1"/>
  <c r="AR157" i="1"/>
  <c r="AR304" i="1"/>
  <c r="AR425" i="1"/>
  <c r="AR495" i="1"/>
  <c r="AR23" i="1"/>
  <c r="AR24" i="1"/>
  <c r="AR245" i="1"/>
  <c r="AR95" i="1"/>
  <c r="AR246" i="1"/>
  <c r="AR369" i="1"/>
  <c r="AR25" i="1"/>
  <c r="AR247" i="1"/>
  <c r="AR26" i="1"/>
  <c r="AR214" i="1"/>
  <c r="AR59" i="1"/>
  <c r="AR187" i="1"/>
  <c r="AR426" i="1"/>
  <c r="AR277" i="1"/>
  <c r="AR464" i="1"/>
  <c r="AR215" i="1"/>
  <c r="AR188" i="1"/>
  <c r="AR396" i="1"/>
  <c r="AR248" i="1"/>
  <c r="AR249" i="1"/>
  <c r="AR278" i="1"/>
  <c r="AR27" i="1"/>
  <c r="AR370" i="1"/>
  <c r="AR279" i="1"/>
  <c r="AR96" i="1"/>
  <c r="AR60" i="1"/>
  <c r="AR61" i="1"/>
  <c r="AR305" i="1"/>
  <c r="AR216" i="1"/>
  <c r="AR250" i="1"/>
  <c r="AR251" i="1"/>
  <c r="AR496" i="1"/>
  <c r="AR252" i="1"/>
  <c r="AR497" i="1"/>
  <c r="AR217" i="1"/>
  <c r="AR218" i="1"/>
  <c r="AR97" i="1"/>
  <c r="AR306" i="1"/>
  <c r="AR253" i="1"/>
  <c r="AR307" i="1"/>
  <c r="AR465" i="1"/>
  <c r="AR427" i="1"/>
  <c r="AR428" i="1"/>
  <c r="AR62" i="1"/>
  <c r="AR498" i="1"/>
  <c r="AR397" i="1"/>
  <c r="AR63" i="1"/>
  <c r="AR28" i="1"/>
  <c r="AR128" i="1"/>
  <c r="AR29" i="1"/>
  <c r="AR189" i="1"/>
  <c r="AR129" i="1"/>
  <c r="AR308" i="1"/>
  <c r="AR280" i="1"/>
  <c r="AR499" i="1"/>
  <c r="AR281" i="1"/>
  <c r="AR466" i="1"/>
  <c r="AR190" i="1"/>
  <c r="AR467" i="1"/>
  <c r="AR398" i="1"/>
  <c r="AR158" i="1"/>
  <c r="AR282" i="1"/>
  <c r="AR191" i="1"/>
  <c r="AR192" i="1"/>
  <c r="AR500" i="1"/>
  <c r="AR130" i="1"/>
  <c r="AR219" i="1"/>
  <c r="AR283" i="1"/>
  <c r="AR131" i="1"/>
  <c r="AR309" i="1"/>
  <c r="AR220" i="1"/>
  <c r="AR30" i="1"/>
  <c r="AR429" i="1"/>
  <c r="AR132" i="1"/>
  <c r="AR159" i="1"/>
  <c r="AR31" i="1"/>
  <c r="AR193" i="1"/>
  <c r="AR501" i="1"/>
  <c r="AR254" i="1"/>
  <c r="AR64" i="1"/>
  <c r="AR371" i="1"/>
  <c r="AR32" i="1"/>
  <c r="AR468" i="1"/>
  <c r="AR502" i="1"/>
  <c r="AR346" i="1"/>
  <c r="AR347" i="1"/>
  <c r="AR65" i="1"/>
  <c r="AR66" i="1"/>
  <c r="AR255" i="1"/>
  <c r="AR372" i="1"/>
  <c r="AR469" i="1"/>
  <c r="AR430" i="1"/>
  <c r="AR221" i="1"/>
  <c r="AR133" i="1"/>
  <c r="AR310" i="1"/>
  <c r="AR470" i="1"/>
  <c r="AR67" i="1"/>
  <c r="AR348" i="1"/>
  <c r="AR284" i="1"/>
  <c r="AR256" i="1"/>
  <c r="AR471" i="1"/>
  <c r="AR33" i="1"/>
  <c r="AR98" i="1"/>
  <c r="AR472" i="1"/>
  <c r="AR160" i="1"/>
  <c r="AR68" i="1"/>
  <c r="AR431" i="1"/>
  <c r="AR161" i="1"/>
  <c r="AR349" i="1"/>
  <c r="AR432" i="1"/>
  <c r="AR69" i="1"/>
  <c r="AR194" i="1"/>
  <c r="AR257" i="1"/>
  <c r="AR285" i="1"/>
  <c r="AR34" i="1"/>
  <c r="AR162" i="1"/>
  <c r="AR99" i="1"/>
  <c r="AR311" i="1"/>
  <c r="AR134" i="1"/>
  <c r="AR195" i="1"/>
  <c r="AR135" i="1"/>
  <c r="AR312" i="1"/>
  <c r="AR196" i="1"/>
  <c r="AR313" i="1"/>
  <c r="AR70" i="1"/>
  <c r="AR35" i="1"/>
  <c r="AR136" i="1"/>
  <c r="AR473" i="1"/>
  <c r="AR503" i="1"/>
  <c r="AR474" i="1"/>
  <c r="AR163" i="1"/>
  <c r="AR314" i="1"/>
  <c r="AR433" i="1"/>
  <c r="AR399" i="1"/>
  <c r="AR373" i="1"/>
  <c r="AR100" i="1"/>
  <c r="AR101" i="1"/>
  <c r="AR137" i="1"/>
  <c r="AR315" i="1"/>
  <c r="AR258" i="1"/>
  <c r="AR71" i="1"/>
  <c r="AR259" i="1"/>
  <c r="AR475" i="1"/>
  <c r="AR504" i="1"/>
  <c r="AR400" i="1"/>
  <c r="AR36" i="1"/>
  <c r="AR316" i="1"/>
  <c r="AR197" i="1"/>
  <c r="AR222" i="1"/>
  <c r="AR37" i="1"/>
  <c r="AR102" i="1"/>
  <c r="AR350" i="1"/>
  <c r="AR401" i="1"/>
  <c r="AR260" i="1"/>
  <c r="AR317" i="1"/>
  <c r="AR351" i="1"/>
  <c r="AR223" i="1"/>
  <c r="AR476" i="1"/>
  <c r="AR374" i="1"/>
  <c r="AR224" i="1"/>
  <c r="AR103" i="1"/>
  <c r="AR477" i="1"/>
  <c r="AR286" i="1"/>
  <c r="AR164" i="1"/>
  <c r="AR138" i="1"/>
  <c r="AR434" i="1"/>
  <c r="AR478" i="1"/>
  <c r="AR505" i="1"/>
  <c r="AR352" i="1"/>
  <c r="AR287" i="1"/>
  <c r="AR435" i="1"/>
  <c r="AR165" i="1"/>
  <c r="AR375" i="1"/>
  <c r="AR436" i="1"/>
  <c r="AR139" i="1"/>
  <c r="AR166" i="1"/>
  <c r="AR72" i="1"/>
  <c r="AR104" i="1"/>
  <c r="AR225" i="1"/>
  <c r="AR105" i="1"/>
  <c r="AR353" i="1"/>
  <c r="AR261" i="1"/>
  <c r="AR437" i="1"/>
  <c r="AR438" i="1"/>
  <c r="AR354" i="1"/>
  <c r="AR106" i="1"/>
  <c r="AR73" i="1"/>
  <c r="AR198" i="1"/>
  <c r="AR107" i="1"/>
  <c r="AR439" i="1"/>
  <c r="AR402" i="1"/>
  <c r="AR479" i="1"/>
  <c r="AR108" i="1"/>
  <c r="AR262" i="1"/>
  <c r="AR38" i="1"/>
  <c r="AR226" i="1"/>
  <c r="AR318" i="1"/>
  <c r="AR319" i="1"/>
  <c r="AR140" i="1"/>
  <c r="AR39" i="1"/>
  <c r="AR506" i="1"/>
  <c r="AR320" i="1"/>
  <c r="AR440" i="1"/>
  <c r="AR321" i="1"/>
  <c r="AR403" i="1"/>
  <c r="AR355" i="1"/>
  <c r="AR480" i="1"/>
  <c r="AR376" i="1"/>
  <c r="AR288" i="1"/>
  <c r="AR141" i="1"/>
  <c r="AR74" i="1"/>
  <c r="AR289" i="1"/>
  <c r="AR109" i="1"/>
  <c r="AR441" i="1"/>
  <c r="AR40" i="1"/>
  <c r="AR75" i="1"/>
  <c r="AR404" i="1"/>
  <c r="AR227" i="1"/>
  <c r="AR110" i="1"/>
  <c r="AR356" i="1"/>
  <c r="AR167" i="1"/>
  <c r="AR263" i="1"/>
  <c r="AR111" i="1"/>
  <c r="AR442" i="1"/>
  <c r="AR405" i="1"/>
  <c r="AR406" i="1"/>
  <c r="AR357" i="1"/>
  <c r="AR290" i="1"/>
  <c r="AR199" i="1"/>
  <c r="AR443" i="1"/>
  <c r="AR112" i="1"/>
  <c r="AR168" i="1"/>
  <c r="AR377" i="1"/>
  <c r="AR291" i="1"/>
  <c r="AR507" i="1"/>
  <c r="AR200" i="1"/>
  <c r="AR76" i="1"/>
  <c r="AR77" i="1"/>
  <c r="AR407" i="1"/>
  <c r="AR408" i="1"/>
  <c r="AR142" i="1"/>
  <c r="AR322" i="1"/>
  <c r="AR323" i="1"/>
  <c r="AR169" i="1"/>
  <c r="AR324" i="1"/>
  <c r="AR508" i="1"/>
  <c r="AR228" i="1"/>
  <c r="AR444" i="1"/>
  <c r="AR325" i="1"/>
  <c r="AR445" i="1"/>
  <c r="AR481" i="1"/>
  <c r="AR229" i="1"/>
  <c r="AR326" i="1"/>
  <c r="AR482" i="1"/>
  <c r="AR358" i="1"/>
  <c r="AR483" i="1"/>
  <c r="AR327" i="1"/>
  <c r="AR201" i="1"/>
  <c r="AR264" i="1"/>
  <c r="AR41" i="1"/>
  <c r="AR143" i="1"/>
  <c r="AR292" i="1"/>
  <c r="AR509" i="1"/>
  <c r="AR144" i="1"/>
  <c r="AR378" i="1"/>
  <c r="AR510" i="1"/>
  <c r="AR113" i="1"/>
  <c r="AR202" i="1"/>
  <c r="AR328" i="1"/>
  <c r="AR265" i="1"/>
  <c r="AR379" i="1"/>
  <c r="AR78" i="1"/>
  <c r="AR329" i="1"/>
  <c r="AR330" i="1"/>
  <c r="AR446" i="1"/>
  <c r="AR511" i="1"/>
  <c r="AR380" i="1"/>
  <c r="AR114" i="1"/>
  <c r="AR409" i="1"/>
  <c r="AR381" i="1"/>
  <c r="AR230" i="1"/>
  <c r="AR170" i="1"/>
  <c r="AR115" i="1"/>
  <c r="AR410" i="1"/>
  <c r="AR447" i="1"/>
  <c r="AR42" i="1"/>
  <c r="AR231" i="1"/>
  <c r="AR203" i="1"/>
  <c r="AR411" i="1"/>
  <c r="AR293" i="1"/>
  <c r="AR484" i="1"/>
  <c r="AR331" i="1"/>
  <c r="AR204" i="1"/>
  <c r="AR205" i="1"/>
  <c r="AR332" i="1"/>
  <c r="AR145" i="1"/>
  <c r="AR294" i="1"/>
  <c r="AR146" i="1"/>
  <c r="AR266" i="1"/>
  <c r="AR382" i="1"/>
  <c r="AR116" i="1"/>
  <c r="AR79" i="1"/>
  <c r="AR232" i="1"/>
  <c r="AR267" i="1"/>
  <c r="AR43" i="1"/>
  <c r="AR383" i="1"/>
  <c r="AR359" i="1"/>
  <c r="AR412" i="1"/>
  <c r="AR448" i="1"/>
  <c r="AR206" i="1"/>
  <c r="AR147" i="1"/>
  <c r="AR207" i="1"/>
  <c r="AR449" i="1"/>
  <c r="AR171" i="1"/>
  <c r="AR295" i="1"/>
  <c r="AR172" i="1"/>
  <c r="AR80" i="1"/>
  <c r="AR384" i="1"/>
  <c r="AR148" i="1"/>
  <c r="AR117" i="1"/>
  <c r="AR173" i="1"/>
  <c r="AR450" i="1"/>
  <c r="AR485" i="1"/>
  <c r="AR233" i="1"/>
  <c r="AR333" i="1"/>
  <c r="AR81" i="1"/>
  <c r="AR385" i="1"/>
  <c r="AR386" i="1"/>
  <c r="AR118" i="1"/>
  <c r="AR268" i="1"/>
  <c r="AR334" i="1"/>
  <c r="AR387" i="1"/>
  <c r="AR512" i="1"/>
  <c r="AR296" i="1"/>
  <c r="AR513" i="1"/>
  <c r="AR360" i="1"/>
  <c r="AR413" i="1"/>
  <c r="AR361" i="1"/>
  <c r="AR388" i="1"/>
  <c r="AR451" i="1"/>
  <c r="AR297" i="1"/>
  <c r="AR174" i="1"/>
  <c r="AR44" i="1"/>
  <c r="AR414" i="1"/>
  <c r="AR82" i="1"/>
  <c r="AR269" i="1"/>
  <c r="AR415" i="1"/>
  <c r="AR416" i="1"/>
  <c r="AR389" i="1"/>
  <c r="AR514" i="1"/>
  <c r="AR417" i="1"/>
  <c r="AR452" i="1"/>
  <c r="AR486" i="1"/>
  <c r="AR390" i="1"/>
  <c r="AR234" i="1"/>
  <c r="AR149" i="1"/>
  <c r="AR298" i="1"/>
  <c r="AR175" i="1"/>
  <c r="AR270" i="1"/>
  <c r="AR83" i="1"/>
  <c r="AR45" i="1"/>
  <c r="AR176" i="1"/>
  <c r="AR119" i="1"/>
  <c r="AR46" i="1"/>
  <c r="AR453" i="1"/>
  <c r="AR47" i="1"/>
  <c r="AR515" i="1"/>
  <c r="AR48" i="1"/>
  <c r="AR150" i="1"/>
  <c r="AR49" i="1"/>
  <c r="AR208" i="1"/>
  <c r="AR235" i="1"/>
  <c r="AR454" i="1"/>
  <c r="AR362" i="1"/>
  <c r="AR335" i="1"/>
  <c r="AR177" i="1"/>
  <c r="AR178" i="1"/>
  <c r="AR236" i="1"/>
  <c r="AR455" i="1"/>
  <c r="AR336" i="1"/>
  <c r="AR516" i="1"/>
  <c r="AR179" i="1"/>
  <c r="AR84" i="1"/>
  <c r="AR50" i="1"/>
  <c r="AR456" i="1"/>
  <c r="AR418" i="1"/>
  <c r="AR271" i="1"/>
  <c r="AR180" i="1"/>
  <c r="AR272" i="1"/>
  <c r="AR487" i="1"/>
  <c r="AR51" i="1"/>
  <c r="AR85" i="1"/>
  <c r="AR120" i="1"/>
  <c r="AR151" i="1"/>
  <c r="AR52" i="1"/>
  <c r="AR273" i="1"/>
  <c r="AR363" i="1"/>
  <c r="AR53" i="1"/>
  <c r="AR457" i="1"/>
  <c r="AR337" i="1"/>
  <c r="AR86" i="1"/>
  <c r="AR391" i="1"/>
  <c r="AR121" i="1"/>
  <c r="AR87" i="1"/>
  <c r="AR88" i="1"/>
  <c r="AR122" i="1"/>
  <c r="AR237" i="1"/>
  <c r="AR274" i="1"/>
  <c r="AR517" i="1"/>
  <c r="AR89" i="1"/>
  <c r="AR209" i="1"/>
  <c r="AR364" i="1"/>
  <c r="AR210" i="1"/>
  <c r="AR488" i="1"/>
  <c r="AR181" i="1"/>
  <c r="AR489" i="1"/>
  <c r="AR419" i="1"/>
  <c r="AR392" i="1"/>
  <c r="AP458" i="1"/>
  <c r="AP152" i="1"/>
  <c r="AP182" i="1"/>
  <c r="AP238" i="1"/>
  <c r="AP420" i="1"/>
  <c r="AP239" i="1"/>
  <c r="AP299" i="1"/>
  <c r="AP54" i="1"/>
  <c r="AP183" i="1"/>
  <c r="AP153" i="1"/>
  <c r="AP184" i="1"/>
  <c r="AP185" i="1"/>
  <c r="AP459" i="1"/>
  <c r="AP365" i="1"/>
  <c r="AP240" i="1"/>
  <c r="AP460" i="1"/>
  <c r="AP90" i="1"/>
  <c r="AP338" i="1"/>
  <c r="AP55" i="1"/>
  <c r="AP393" i="1"/>
  <c r="AP275" i="1"/>
  <c r="AP421" i="1"/>
  <c r="AP490" i="1"/>
  <c r="AP154" i="1"/>
  <c r="AP339" i="1"/>
  <c r="AP340" i="1"/>
  <c r="AP491" i="1"/>
  <c r="AP123" i="1"/>
  <c r="AP18" i="1"/>
  <c r="AP241" i="1"/>
  <c r="AP366" i="1"/>
  <c r="AP341" i="1"/>
  <c r="AP300" i="1"/>
  <c r="AP56" i="1"/>
  <c r="AP91" i="1"/>
  <c r="AP186" i="1"/>
  <c r="AP422" i="1"/>
  <c r="AP461" i="1"/>
  <c r="AP342" i="1"/>
  <c r="AP19" i="1"/>
  <c r="AP492" i="1"/>
  <c r="AP92" i="1"/>
  <c r="AP57" i="1"/>
  <c r="AP211" i="1"/>
  <c r="AP124" i="1"/>
  <c r="AP343" i="1"/>
  <c r="AP242" i="1"/>
  <c r="AP344" i="1"/>
  <c r="AP301" i="1"/>
  <c r="AP212" i="1"/>
  <c r="AP125" i="1"/>
  <c r="AP126" i="1"/>
  <c r="AP394" i="1"/>
  <c r="AP345" i="1"/>
  <c r="AP127" i="1"/>
  <c r="AP493" i="1"/>
  <c r="AP462" i="1"/>
  <c r="AP302" i="1"/>
  <c r="AP463" i="1"/>
  <c r="AP395" i="1"/>
  <c r="AP93" i="1"/>
  <c r="AP367" i="1"/>
  <c r="AP155" i="1"/>
  <c r="AP58" i="1"/>
  <c r="AP303" i="1"/>
  <c r="AP213" i="1"/>
  <c r="AP20" i="1"/>
  <c r="AP243" i="1"/>
  <c r="AP423" i="1"/>
  <c r="AP94" i="1"/>
  <c r="AP244" i="1"/>
  <c r="AP21" i="1"/>
  <c r="AP22" i="1"/>
  <c r="AP424" i="1"/>
  <c r="AP494" i="1"/>
  <c r="AP276" i="1"/>
  <c r="AP368" i="1"/>
  <c r="AP156" i="1"/>
  <c r="AP157" i="1"/>
  <c r="AP304" i="1"/>
  <c r="AP425" i="1"/>
  <c r="AP495" i="1"/>
  <c r="AP23" i="1"/>
  <c r="AP24" i="1"/>
  <c r="AP245" i="1"/>
  <c r="AP95" i="1"/>
  <c r="AP246" i="1"/>
  <c r="AP369" i="1"/>
  <c r="AP25" i="1"/>
  <c r="AP247" i="1"/>
  <c r="AP26" i="1"/>
  <c r="AP214" i="1"/>
  <c r="AP59" i="1"/>
  <c r="AP187" i="1"/>
  <c r="AP426" i="1"/>
  <c r="AP277" i="1"/>
  <c r="AP464" i="1"/>
  <c r="AP215" i="1"/>
  <c r="AP188" i="1"/>
  <c r="AP396" i="1"/>
  <c r="AP248" i="1"/>
  <c r="AP249" i="1"/>
  <c r="AP278" i="1"/>
  <c r="AP27" i="1"/>
  <c r="AP370" i="1"/>
  <c r="AP279" i="1"/>
  <c r="AP96" i="1"/>
  <c r="AP60" i="1"/>
  <c r="AP61" i="1"/>
  <c r="AP305" i="1"/>
  <c r="AP216" i="1"/>
  <c r="AP250" i="1"/>
  <c r="AP251" i="1"/>
  <c r="AP496" i="1"/>
  <c r="AP252" i="1"/>
  <c r="AP497" i="1"/>
  <c r="AP217" i="1"/>
  <c r="AP218" i="1"/>
  <c r="AP97" i="1"/>
  <c r="AP306" i="1"/>
  <c r="AP253" i="1"/>
  <c r="AP307" i="1"/>
  <c r="AP465" i="1"/>
  <c r="AP427" i="1"/>
  <c r="AP428" i="1"/>
  <c r="AP62" i="1"/>
  <c r="AP498" i="1"/>
  <c r="AP397" i="1"/>
  <c r="AP63" i="1"/>
  <c r="AP28" i="1"/>
  <c r="AP128" i="1"/>
  <c r="AP29" i="1"/>
  <c r="AP189" i="1"/>
  <c r="AP129" i="1"/>
  <c r="AP308" i="1"/>
  <c r="AP280" i="1"/>
  <c r="AP499" i="1"/>
  <c r="AP281" i="1"/>
  <c r="AP466" i="1"/>
  <c r="AP190" i="1"/>
  <c r="AP467" i="1"/>
  <c r="AP398" i="1"/>
  <c r="AP158" i="1"/>
  <c r="AP282" i="1"/>
  <c r="AP191" i="1"/>
  <c r="AP192" i="1"/>
  <c r="AP500" i="1"/>
  <c r="AP130" i="1"/>
  <c r="AP219" i="1"/>
  <c r="AP283" i="1"/>
  <c r="AP131" i="1"/>
  <c r="AP309" i="1"/>
  <c r="AP220" i="1"/>
  <c r="AP30" i="1"/>
  <c r="AP429" i="1"/>
  <c r="AP132" i="1"/>
  <c r="AP159" i="1"/>
  <c r="AP31" i="1"/>
  <c r="AP193" i="1"/>
  <c r="AP501" i="1"/>
  <c r="AP254" i="1"/>
  <c r="AP64" i="1"/>
  <c r="AP371" i="1"/>
  <c r="AP32" i="1"/>
  <c r="AP468" i="1"/>
  <c r="AP502" i="1"/>
  <c r="AP346" i="1"/>
  <c r="AP347" i="1"/>
  <c r="AP65" i="1"/>
  <c r="AP66" i="1"/>
  <c r="AP255" i="1"/>
  <c r="AP372" i="1"/>
  <c r="AP469" i="1"/>
  <c r="AP430" i="1"/>
  <c r="AP221" i="1"/>
  <c r="AP133" i="1"/>
  <c r="AP310" i="1"/>
  <c r="AP470" i="1"/>
  <c r="AP67" i="1"/>
  <c r="AP348" i="1"/>
  <c r="AP284" i="1"/>
  <c r="AP256" i="1"/>
  <c r="AP471" i="1"/>
  <c r="AP33" i="1"/>
  <c r="AP98" i="1"/>
  <c r="AP472" i="1"/>
  <c r="AP160" i="1"/>
  <c r="AP68" i="1"/>
  <c r="AP431" i="1"/>
  <c r="AP161" i="1"/>
  <c r="AP349" i="1"/>
  <c r="AP432" i="1"/>
  <c r="AP69" i="1"/>
  <c r="AP194" i="1"/>
  <c r="AP257" i="1"/>
  <c r="AP285" i="1"/>
  <c r="AP34" i="1"/>
  <c r="AP162" i="1"/>
  <c r="AP99" i="1"/>
  <c r="AP311" i="1"/>
  <c r="AP134" i="1"/>
  <c r="AP195" i="1"/>
  <c r="AP135" i="1"/>
  <c r="AP312" i="1"/>
  <c r="AP196" i="1"/>
  <c r="AP313" i="1"/>
  <c r="AP70" i="1"/>
  <c r="AP35" i="1"/>
  <c r="AP136" i="1"/>
  <c r="AP473" i="1"/>
  <c r="AP503" i="1"/>
  <c r="AP474" i="1"/>
  <c r="AP163" i="1"/>
  <c r="AP314" i="1"/>
  <c r="AP433" i="1"/>
  <c r="AP399" i="1"/>
  <c r="AP373" i="1"/>
  <c r="AP100" i="1"/>
  <c r="AP101" i="1"/>
  <c r="AP137" i="1"/>
  <c r="AP315" i="1"/>
  <c r="AP258" i="1"/>
  <c r="AP71" i="1"/>
  <c r="AP259" i="1"/>
  <c r="AP475" i="1"/>
  <c r="AP504" i="1"/>
  <c r="AP400" i="1"/>
  <c r="AP36" i="1"/>
  <c r="AP316" i="1"/>
  <c r="AP197" i="1"/>
  <c r="AP222" i="1"/>
  <c r="AP37" i="1"/>
  <c r="AP102" i="1"/>
  <c r="AP350" i="1"/>
  <c r="AP401" i="1"/>
  <c r="AP260" i="1"/>
  <c r="AP317" i="1"/>
  <c r="AP351" i="1"/>
  <c r="AP223" i="1"/>
  <c r="AP476" i="1"/>
  <c r="AP374" i="1"/>
  <c r="AP224" i="1"/>
  <c r="AP103" i="1"/>
  <c r="AP477" i="1"/>
  <c r="AP286" i="1"/>
  <c r="AP164" i="1"/>
  <c r="AP138" i="1"/>
  <c r="AP434" i="1"/>
  <c r="AP478" i="1"/>
  <c r="AP505" i="1"/>
  <c r="AP352" i="1"/>
  <c r="AP287" i="1"/>
  <c r="AP435" i="1"/>
  <c r="AP165" i="1"/>
  <c r="AP375" i="1"/>
  <c r="AP436" i="1"/>
  <c r="AP139" i="1"/>
  <c r="AP166" i="1"/>
  <c r="AP72" i="1"/>
  <c r="AP104" i="1"/>
  <c r="AP225" i="1"/>
  <c r="AP105" i="1"/>
  <c r="AP353" i="1"/>
  <c r="AP261" i="1"/>
  <c r="AP437" i="1"/>
  <c r="AP438" i="1"/>
  <c r="AP354" i="1"/>
  <c r="AP106" i="1"/>
  <c r="AP73" i="1"/>
  <c r="AP198" i="1"/>
  <c r="AP107" i="1"/>
  <c r="AP439" i="1"/>
  <c r="AP402" i="1"/>
  <c r="AP479" i="1"/>
  <c r="AP108" i="1"/>
  <c r="AP262" i="1"/>
  <c r="AP38" i="1"/>
  <c r="AP226" i="1"/>
  <c r="AP318" i="1"/>
  <c r="AP319" i="1"/>
  <c r="AP140" i="1"/>
  <c r="AP39" i="1"/>
  <c r="AP506" i="1"/>
  <c r="AP320" i="1"/>
  <c r="AP440" i="1"/>
  <c r="AP321" i="1"/>
  <c r="AP403" i="1"/>
  <c r="AP355" i="1"/>
  <c r="AP480" i="1"/>
  <c r="AP376" i="1"/>
  <c r="AP288" i="1"/>
  <c r="AP141" i="1"/>
  <c r="AP74" i="1"/>
  <c r="AP289" i="1"/>
  <c r="AP109" i="1"/>
  <c r="AP441" i="1"/>
  <c r="AP40" i="1"/>
  <c r="AP75" i="1"/>
  <c r="AP404" i="1"/>
  <c r="AP227" i="1"/>
  <c r="AP110" i="1"/>
  <c r="AP356" i="1"/>
  <c r="AP167" i="1"/>
  <c r="AP263" i="1"/>
  <c r="AP111" i="1"/>
  <c r="AP442" i="1"/>
  <c r="AP405" i="1"/>
  <c r="AP406" i="1"/>
  <c r="AP357" i="1"/>
  <c r="AP290" i="1"/>
  <c r="AP199" i="1"/>
  <c r="AP443" i="1"/>
  <c r="AP112" i="1"/>
  <c r="AP168" i="1"/>
  <c r="AP377" i="1"/>
  <c r="AP291" i="1"/>
  <c r="AP507" i="1"/>
  <c r="AP200" i="1"/>
  <c r="AP76" i="1"/>
  <c r="AP77" i="1"/>
  <c r="AP407" i="1"/>
  <c r="AP408" i="1"/>
  <c r="AP142" i="1"/>
  <c r="AP322" i="1"/>
  <c r="AP323" i="1"/>
  <c r="AP169" i="1"/>
  <c r="AP324" i="1"/>
  <c r="AP508" i="1"/>
  <c r="AP228" i="1"/>
  <c r="AP444" i="1"/>
  <c r="AP325" i="1"/>
  <c r="AP445" i="1"/>
  <c r="AP481" i="1"/>
  <c r="AP229" i="1"/>
  <c r="AP326" i="1"/>
  <c r="AP482" i="1"/>
  <c r="AP358" i="1"/>
  <c r="AP483" i="1"/>
  <c r="AP327" i="1"/>
  <c r="AP201" i="1"/>
  <c r="AP264" i="1"/>
  <c r="AP41" i="1"/>
  <c r="AP143" i="1"/>
  <c r="AP292" i="1"/>
  <c r="AP509" i="1"/>
  <c r="AP144" i="1"/>
  <c r="AP378" i="1"/>
  <c r="AP510" i="1"/>
  <c r="AP113" i="1"/>
  <c r="AP202" i="1"/>
  <c r="AP328" i="1"/>
  <c r="AP265" i="1"/>
  <c r="AP379" i="1"/>
  <c r="AP78" i="1"/>
  <c r="AP329" i="1"/>
  <c r="AP330" i="1"/>
  <c r="AP446" i="1"/>
  <c r="AP511" i="1"/>
  <c r="AP380" i="1"/>
  <c r="AP114" i="1"/>
  <c r="AP409" i="1"/>
  <c r="AP381" i="1"/>
  <c r="AP230" i="1"/>
  <c r="AP170" i="1"/>
  <c r="AP115" i="1"/>
  <c r="AP410" i="1"/>
  <c r="AP447" i="1"/>
  <c r="AP42" i="1"/>
  <c r="AP231" i="1"/>
  <c r="AP203" i="1"/>
  <c r="AP411" i="1"/>
  <c r="AP293" i="1"/>
  <c r="AP484" i="1"/>
  <c r="AP331" i="1"/>
  <c r="AP204" i="1"/>
  <c r="AP205" i="1"/>
  <c r="AP332" i="1"/>
  <c r="AP145" i="1"/>
  <c r="AP294" i="1"/>
  <c r="AP146" i="1"/>
  <c r="AP266" i="1"/>
  <c r="AP382" i="1"/>
  <c r="AP116" i="1"/>
  <c r="AP79" i="1"/>
  <c r="AP232" i="1"/>
  <c r="AP267" i="1"/>
  <c r="AP43" i="1"/>
  <c r="AP383" i="1"/>
  <c r="AP359" i="1"/>
  <c r="AP412" i="1"/>
  <c r="AP448" i="1"/>
  <c r="AP206" i="1"/>
  <c r="AP147" i="1"/>
  <c r="AP207" i="1"/>
  <c r="AP449" i="1"/>
  <c r="AP171" i="1"/>
  <c r="AP295" i="1"/>
  <c r="AP172" i="1"/>
  <c r="AP80" i="1"/>
  <c r="AP384" i="1"/>
  <c r="AP148" i="1"/>
  <c r="AP117" i="1"/>
  <c r="AP173" i="1"/>
  <c r="AP450" i="1"/>
  <c r="AP485" i="1"/>
  <c r="AP233" i="1"/>
  <c r="AP333" i="1"/>
  <c r="AP81" i="1"/>
  <c r="AP385" i="1"/>
  <c r="AP386" i="1"/>
  <c r="AP118" i="1"/>
  <c r="AP268" i="1"/>
  <c r="AP334" i="1"/>
  <c r="AP387" i="1"/>
  <c r="AP512" i="1"/>
  <c r="AP296" i="1"/>
  <c r="AP513" i="1"/>
  <c r="AP360" i="1"/>
  <c r="AP413" i="1"/>
  <c r="AP361" i="1"/>
  <c r="AP388" i="1"/>
  <c r="AP451" i="1"/>
  <c r="AP297" i="1"/>
  <c r="AP174" i="1"/>
  <c r="AP44" i="1"/>
  <c r="AP414" i="1"/>
  <c r="AP82" i="1"/>
  <c r="AP269" i="1"/>
  <c r="AP415" i="1"/>
  <c r="AP416" i="1"/>
  <c r="AP389" i="1"/>
  <c r="AP514" i="1"/>
  <c r="AP417" i="1"/>
  <c r="AP452" i="1"/>
  <c r="AP486" i="1"/>
  <c r="AP390" i="1"/>
  <c r="AP234" i="1"/>
  <c r="AP149" i="1"/>
  <c r="AP298" i="1"/>
  <c r="AP175" i="1"/>
  <c r="AP270" i="1"/>
  <c r="AP83" i="1"/>
  <c r="AP45" i="1"/>
  <c r="AP176" i="1"/>
  <c r="AP119" i="1"/>
  <c r="AP46" i="1"/>
  <c r="AP453" i="1"/>
  <c r="AP47" i="1"/>
  <c r="AP515" i="1"/>
  <c r="AP48" i="1"/>
  <c r="AP150" i="1"/>
  <c r="AP49" i="1"/>
  <c r="AP208" i="1"/>
  <c r="AP235" i="1"/>
  <c r="AP454" i="1"/>
  <c r="AP362" i="1"/>
  <c r="AP335" i="1"/>
  <c r="AP177" i="1"/>
  <c r="AP178" i="1"/>
  <c r="AP236" i="1"/>
  <c r="AP455" i="1"/>
  <c r="AP336" i="1"/>
  <c r="AP516" i="1"/>
  <c r="AP179" i="1"/>
  <c r="AP84" i="1"/>
  <c r="AP50" i="1"/>
  <c r="AP456" i="1"/>
  <c r="AP418" i="1"/>
  <c r="AP271" i="1"/>
  <c r="AP180" i="1"/>
  <c r="AP272" i="1"/>
  <c r="AP487" i="1"/>
  <c r="AP51" i="1"/>
  <c r="AP85" i="1"/>
  <c r="AP120" i="1"/>
  <c r="AP151" i="1"/>
  <c r="AP52" i="1"/>
  <c r="AP273" i="1"/>
  <c r="AP363" i="1"/>
  <c r="AP53" i="1"/>
  <c r="AP457" i="1"/>
  <c r="AP337" i="1"/>
  <c r="AP86" i="1"/>
  <c r="AP391" i="1"/>
  <c r="AP121" i="1"/>
  <c r="AP87" i="1"/>
  <c r="AP88" i="1"/>
  <c r="AP122" i="1"/>
  <c r="AP237" i="1"/>
  <c r="AP274" i="1"/>
  <c r="AP517" i="1"/>
  <c r="AP89" i="1"/>
  <c r="AP209" i="1"/>
  <c r="AP364" i="1"/>
  <c r="AP210" i="1"/>
  <c r="AP488" i="1"/>
  <c r="AP181" i="1"/>
  <c r="AP489" i="1"/>
  <c r="AP419" i="1"/>
  <c r="AP392" i="1"/>
  <c r="C23" i="2"/>
  <c r="C21" i="2"/>
  <c r="E20" i="2"/>
  <c r="D20" i="2"/>
  <c r="C20" i="2"/>
  <c r="AO458" i="1"/>
  <c r="AO152" i="1"/>
  <c r="AO182" i="1"/>
  <c r="AO238" i="1"/>
  <c r="AO420" i="1"/>
  <c r="AO239" i="1"/>
  <c r="AO299" i="1"/>
  <c r="AO54" i="1"/>
  <c r="AO183" i="1"/>
  <c r="AO153" i="1"/>
  <c r="AO184" i="1"/>
  <c r="AO185" i="1"/>
  <c r="AO459" i="1"/>
  <c r="AO365" i="1"/>
  <c r="AO240" i="1"/>
  <c r="AO460" i="1"/>
  <c r="AO90" i="1"/>
  <c r="AO338" i="1"/>
  <c r="AO55" i="1"/>
  <c r="AO393" i="1"/>
  <c r="AO275" i="1"/>
  <c r="AO421" i="1"/>
  <c r="AO490" i="1"/>
  <c r="AO154" i="1"/>
  <c r="AO339" i="1"/>
  <c r="AO340" i="1"/>
  <c r="AO491" i="1"/>
  <c r="AO123" i="1"/>
  <c r="AO18" i="1"/>
  <c r="AO241" i="1"/>
  <c r="AO366" i="1"/>
  <c r="AO341" i="1"/>
  <c r="AO300" i="1"/>
  <c r="AO56" i="1"/>
  <c r="AO91" i="1"/>
  <c r="AO186" i="1"/>
  <c r="AO422" i="1"/>
  <c r="AO461" i="1"/>
  <c r="AO342" i="1"/>
  <c r="AO19" i="1"/>
  <c r="AO492" i="1"/>
  <c r="AO92" i="1"/>
  <c r="AO57" i="1"/>
  <c r="AO211" i="1"/>
  <c r="AO124" i="1"/>
  <c r="AO343" i="1"/>
  <c r="AO242" i="1"/>
  <c r="AO344" i="1"/>
  <c r="AO301" i="1"/>
  <c r="AO212" i="1"/>
  <c r="AO125" i="1"/>
  <c r="AO126" i="1"/>
  <c r="AO394" i="1"/>
  <c r="AO345" i="1"/>
  <c r="AO127" i="1"/>
  <c r="AO493" i="1"/>
  <c r="AO462" i="1"/>
  <c r="AO302" i="1"/>
  <c r="AO463" i="1"/>
  <c r="AO395" i="1"/>
  <c r="AO93" i="1"/>
  <c r="AO367" i="1"/>
  <c r="AO155" i="1"/>
  <c r="AO58" i="1"/>
  <c r="AO303" i="1"/>
  <c r="AO213" i="1"/>
  <c r="AO20" i="1"/>
  <c r="AO243" i="1"/>
  <c r="AO423" i="1"/>
  <c r="AO94" i="1"/>
  <c r="AO244" i="1"/>
  <c r="AO21" i="1"/>
  <c r="AO22" i="1"/>
  <c r="AO424" i="1"/>
  <c r="AO494" i="1"/>
  <c r="AO276" i="1"/>
  <c r="AO368" i="1"/>
  <c r="AO156" i="1"/>
  <c r="AO157" i="1"/>
  <c r="AO304" i="1"/>
  <c r="AO425" i="1"/>
  <c r="AO495" i="1"/>
  <c r="AO23" i="1"/>
  <c r="AO24" i="1"/>
  <c r="AO245" i="1"/>
  <c r="AO95" i="1"/>
  <c r="AO246" i="1"/>
  <c r="AO369" i="1"/>
  <c r="AO25" i="1"/>
  <c r="AO247" i="1"/>
  <c r="AO26" i="1"/>
  <c r="AO214" i="1"/>
  <c r="AO59" i="1"/>
  <c r="AO187" i="1"/>
  <c r="AO426" i="1"/>
  <c r="AO277" i="1"/>
  <c r="AO464" i="1"/>
  <c r="AO215" i="1"/>
  <c r="AO188" i="1"/>
  <c r="AO396" i="1"/>
  <c r="AO248" i="1"/>
  <c r="AO249" i="1"/>
  <c r="AO278" i="1"/>
  <c r="AO27" i="1"/>
  <c r="AO370" i="1"/>
  <c r="AO279" i="1"/>
  <c r="AO96" i="1"/>
  <c r="AO60" i="1"/>
  <c r="AO61" i="1"/>
  <c r="AO305" i="1"/>
  <c r="AO216" i="1"/>
  <c r="AO250" i="1"/>
  <c r="AO251" i="1"/>
  <c r="AO496" i="1"/>
  <c r="AO252" i="1"/>
  <c r="AO497" i="1"/>
  <c r="AO217" i="1"/>
  <c r="AO218" i="1"/>
  <c r="AO97" i="1"/>
  <c r="AO306" i="1"/>
  <c r="AO253" i="1"/>
  <c r="AO307" i="1"/>
  <c r="AO465" i="1"/>
  <c r="AO427" i="1"/>
  <c r="AO428" i="1"/>
  <c r="AO62" i="1"/>
  <c r="AO498" i="1"/>
  <c r="AO397" i="1"/>
  <c r="AO63" i="1"/>
  <c r="AO28" i="1"/>
  <c r="AO128" i="1"/>
  <c r="AO29" i="1"/>
  <c r="AO189" i="1"/>
  <c r="AO129" i="1"/>
  <c r="AO308" i="1"/>
  <c r="AO280" i="1"/>
  <c r="AO499" i="1"/>
  <c r="AO281" i="1"/>
  <c r="AO466" i="1"/>
  <c r="AO190" i="1"/>
  <c r="AO467" i="1"/>
  <c r="AO398" i="1"/>
  <c r="AO158" i="1"/>
  <c r="AO282" i="1"/>
  <c r="AO191" i="1"/>
  <c r="AO192" i="1"/>
  <c r="AO500" i="1"/>
  <c r="AO130" i="1"/>
  <c r="AO219" i="1"/>
  <c r="AO283" i="1"/>
  <c r="AO131" i="1"/>
  <c r="AO309" i="1"/>
  <c r="AO220" i="1"/>
  <c r="AO30" i="1"/>
  <c r="AO429" i="1"/>
  <c r="AO132" i="1"/>
  <c r="AO159" i="1"/>
  <c r="AO31" i="1"/>
  <c r="AO193" i="1"/>
  <c r="AO501" i="1"/>
  <c r="AO254" i="1"/>
  <c r="AO64" i="1"/>
  <c r="AO371" i="1"/>
  <c r="AO32" i="1"/>
  <c r="AO468" i="1"/>
  <c r="AO502" i="1"/>
  <c r="AO346" i="1"/>
  <c r="AO347" i="1"/>
  <c r="AO65" i="1"/>
  <c r="AO66" i="1"/>
  <c r="AO255" i="1"/>
  <c r="AO372" i="1"/>
  <c r="AO469" i="1"/>
  <c r="AO430" i="1"/>
  <c r="AO221" i="1"/>
  <c r="AO133" i="1"/>
  <c r="AO310" i="1"/>
  <c r="AO470" i="1"/>
  <c r="AO67" i="1"/>
  <c r="AO348" i="1"/>
  <c r="AO284" i="1"/>
  <c r="AO256" i="1"/>
  <c r="AO471" i="1"/>
  <c r="AO33" i="1"/>
  <c r="AO98" i="1"/>
  <c r="AO472" i="1"/>
  <c r="AO160" i="1"/>
  <c r="AO68" i="1"/>
  <c r="AO431" i="1"/>
  <c r="AO161" i="1"/>
  <c r="AO349" i="1"/>
  <c r="AO432" i="1"/>
  <c r="AO69" i="1"/>
  <c r="AO194" i="1"/>
  <c r="AO257" i="1"/>
  <c r="AO285" i="1"/>
  <c r="AO34" i="1"/>
  <c r="AO162" i="1"/>
  <c r="AO99" i="1"/>
  <c r="AO311" i="1"/>
  <c r="AO134" i="1"/>
  <c r="AO195" i="1"/>
  <c r="AO135" i="1"/>
  <c r="AO312" i="1"/>
  <c r="AO196" i="1"/>
  <c r="AO313" i="1"/>
  <c r="AO70" i="1"/>
  <c r="AO35" i="1"/>
  <c r="AO136" i="1"/>
  <c r="AO473" i="1"/>
  <c r="AO503" i="1"/>
  <c r="AO474" i="1"/>
  <c r="AO163" i="1"/>
  <c r="AO314" i="1"/>
  <c r="AO433" i="1"/>
  <c r="AO399" i="1"/>
  <c r="AO373" i="1"/>
  <c r="AO100" i="1"/>
  <c r="AO101" i="1"/>
  <c r="AO137" i="1"/>
  <c r="AO315" i="1"/>
  <c r="AO258" i="1"/>
  <c r="AO71" i="1"/>
  <c r="AO259" i="1"/>
  <c r="AO475" i="1"/>
  <c r="AO504" i="1"/>
  <c r="AO400" i="1"/>
  <c r="AO36" i="1"/>
  <c r="AO316" i="1"/>
  <c r="AO197" i="1"/>
  <c r="AO222" i="1"/>
  <c r="AO37" i="1"/>
  <c r="AO102" i="1"/>
  <c r="AO350" i="1"/>
  <c r="AO401" i="1"/>
  <c r="AO260" i="1"/>
  <c r="AO317" i="1"/>
  <c r="AO351" i="1"/>
  <c r="AO223" i="1"/>
  <c r="AO476" i="1"/>
  <c r="AO374" i="1"/>
  <c r="AO224" i="1"/>
  <c r="AO103" i="1"/>
  <c r="AO477" i="1"/>
  <c r="AO286" i="1"/>
  <c r="AO164" i="1"/>
  <c r="AO138" i="1"/>
  <c r="AO434" i="1"/>
  <c r="AO478" i="1"/>
  <c r="AO505" i="1"/>
  <c r="AO352" i="1"/>
  <c r="AO287" i="1"/>
  <c r="AO435" i="1"/>
  <c r="AO165" i="1"/>
  <c r="AO375" i="1"/>
  <c r="AO436" i="1"/>
  <c r="AO139" i="1"/>
  <c r="AO166" i="1"/>
  <c r="AO72" i="1"/>
  <c r="AO104" i="1"/>
  <c r="AO225" i="1"/>
  <c r="AO105" i="1"/>
  <c r="AO353" i="1"/>
  <c r="AO261" i="1"/>
  <c r="AO437" i="1"/>
  <c r="AO438" i="1"/>
  <c r="AO354" i="1"/>
  <c r="AO106" i="1"/>
  <c r="AO73" i="1"/>
  <c r="AO198" i="1"/>
  <c r="AO107" i="1"/>
  <c r="AO439" i="1"/>
  <c r="AO402" i="1"/>
  <c r="AO479" i="1"/>
  <c r="AO108" i="1"/>
  <c r="AO262" i="1"/>
  <c r="AO38" i="1"/>
  <c r="AO226" i="1"/>
  <c r="AO318" i="1"/>
  <c r="AO319" i="1"/>
  <c r="AO140" i="1"/>
  <c r="AO39" i="1"/>
  <c r="AO506" i="1"/>
  <c r="AO320" i="1"/>
  <c r="AO440" i="1"/>
  <c r="AO321" i="1"/>
  <c r="AO403" i="1"/>
  <c r="AO355" i="1"/>
  <c r="AO480" i="1"/>
  <c r="AO376" i="1"/>
  <c r="AO288" i="1"/>
  <c r="AO141" i="1"/>
  <c r="AO74" i="1"/>
  <c r="AO289" i="1"/>
  <c r="AO109" i="1"/>
  <c r="AO441" i="1"/>
  <c r="AO40" i="1"/>
  <c r="AO75" i="1"/>
  <c r="AO404" i="1"/>
  <c r="AO227" i="1"/>
  <c r="AO110" i="1"/>
  <c r="AO356" i="1"/>
  <c r="AO167" i="1"/>
  <c r="AO263" i="1"/>
  <c r="AO111" i="1"/>
  <c r="AO442" i="1"/>
  <c r="AO405" i="1"/>
  <c r="AO406" i="1"/>
  <c r="AO357" i="1"/>
  <c r="AO290" i="1"/>
  <c r="AO199" i="1"/>
  <c r="AO443" i="1"/>
  <c r="AO112" i="1"/>
  <c r="AO168" i="1"/>
  <c r="AO377" i="1"/>
  <c r="AO291" i="1"/>
  <c r="AO507" i="1"/>
  <c r="AO200" i="1"/>
  <c r="AO76" i="1"/>
  <c r="AO77" i="1"/>
  <c r="AO407" i="1"/>
  <c r="AO408" i="1"/>
  <c r="AO142" i="1"/>
  <c r="AO322" i="1"/>
  <c r="AO323" i="1"/>
  <c r="AO169" i="1"/>
  <c r="AO324" i="1"/>
  <c r="AO508" i="1"/>
  <c r="AO228" i="1"/>
  <c r="AO444" i="1"/>
  <c r="AO325" i="1"/>
  <c r="AO445" i="1"/>
  <c r="AO481" i="1"/>
  <c r="AO229" i="1"/>
  <c r="AO326" i="1"/>
  <c r="AO482" i="1"/>
  <c r="AO358" i="1"/>
  <c r="AO483" i="1"/>
  <c r="AO327" i="1"/>
  <c r="AO201" i="1"/>
  <c r="AO264" i="1"/>
  <c r="AO41" i="1"/>
  <c r="AO143" i="1"/>
  <c r="AO292" i="1"/>
  <c r="AO509" i="1"/>
  <c r="AO144" i="1"/>
  <c r="AO378" i="1"/>
  <c r="AO510" i="1"/>
  <c r="AO113" i="1"/>
  <c r="AO202" i="1"/>
  <c r="AO328" i="1"/>
  <c r="AO265" i="1"/>
  <c r="AO379" i="1"/>
  <c r="AO78" i="1"/>
  <c r="AO329" i="1"/>
  <c r="AO330" i="1"/>
  <c r="AO446" i="1"/>
  <c r="AO511" i="1"/>
  <c r="AO380" i="1"/>
  <c r="AO114" i="1"/>
  <c r="AO409" i="1"/>
  <c r="AO381" i="1"/>
  <c r="AO230" i="1"/>
  <c r="AO170" i="1"/>
  <c r="AO115" i="1"/>
  <c r="AO410" i="1"/>
  <c r="AO447" i="1"/>
  <c r="AO42" i="1"/>
  <c r="AO231" i="1"/>
  <c r="AO203" i="1"/>
  <c r="AO411" i="1"/>
  <c r="AO293" i="1"/>
  <c r="AO484" i="1"/>
  <c r="AO331" i="1"/>
  <c r="AO204" i="1"/>
  <c r="AO205" i="1"/>
  <c r="AO332" i="1"/>
  <c r="AO145" i="1"/>
  <c r="AO294" i="1"/>
  <c r="AO146" i="1"/>
  <c r="AO266" i="1"/>
  <c r="AO382" i="1"/>
  <c r="AO116" i="1"/>
  <c r="AO79" i="1"/>
  <c r="AO232" i="1"/>
  <c r="AO267" i="1"/>
  <c r="AO43" i="1"/>
  <c r="AO383" i="1"/>
  <c r="AO359" i="1"/>
  <c r="AO412" i="1"/>
  <c r="AO448" i="1"/>
  <c r="AO206" i="1"/>
  <c r="AO147" i="1"/>
  <c r="AO207" i="1"/>
  <c r="AO449" i="1"/>
  <c r="AO171" i="1"/>
  <c r="AO295" i="1"/>
  <c r="AO172" i="1"/>
  <c r="AO80" i="1"/>
  <c r="AO384" i="1"/>
  <c r="AO148" i="1"/>
  <c r="AO117" i="1"/>
  <c r="AO173" i="1"/>
  <c r="AO450" i="1"/>
  <c r="AO485" i="1"/>
  <c r="AO233" i="1"/>
  <c r="AO333" i="1"/>
  <c r="AO81" i="1"/>
  <c r="AO385" i="1"/>
  <c r="AO386" i="1"/>
  <c r="AO118" i="1"/>
  <c r="AO268" i="1"/>
  <c r="AO334" i="1"/>
  <c r="AO387" i="1"/>
  <c r="AO512" i="1"/>
  <c r="AO296" i="1"/>
  <c r="AO513" i="1"/>
  <c r="AO360" i="1"/>
  <c r="AO413" i="1"/>
  <c r="AO361" i="1"/>
  <c r="AO388" i="1"/>
  <c r="AO451" i="1"/>
  <c r="AO297" i="1"/>
  <c r="AO174" i="1"/>
  <c r="AO44" i="1"/>
  <c r="AO414" i="1"/>
  <c r="AO82" i="1"/>
  <c r="AO269" i="1"/>
  <c r="AO415" i="1"/>
  <c r="AO416" i="1"/>
  <c r="AO389" i="1"/>
  <c r="AO514" i="1"/>
  <c r="AO417" i="1"/>
  <c r="AO452" i="1"/>
  <c r="AO486" i="1"/>
  <c r="AO390" i="1"/>
  <c r="AO234" i="1"/>
  <c r="AO149" i="1"/>
  <c r="AO298" i="1"/>
  <c r="AO175" i="1"/>
  <c r="AO270" i="1"/>
  <c r="AO83" i="1"/>
  <c r="AO45" i="1"/>
  <c r="AO176" i="1"/>
  <c r="AO119" i="1"/>
  <c r="AO46" i="1"/>
  <c r="AO453" i="1"/>
  <c r="AO47" i="1"/>
  <c r="AO515" i="1"/>
  <c r="AO48" i="1"/>
  <c r="AO150" i="1"/>
  <c r="AO49" i="1"/>
  <c r="AO208" i="1"/>
  <c r="AO235" i="1"/>
  <c r="AO454" i="1"/>
  <c r="AO362" i="1"/>
  <c r="AO335" i="1"/>
  <c r="AO177" i="1"/>
  <c r="AO178" i="1"/>
  <c r="AO236" i="1"/>
  <c r="AO455" i="1"/>
  <c r="AO336" i="1"/>
  <c r="AO516" i="1"/>
  <c r="AO179" i="1"/>
  <c r="AO84" i="1"/>
  <c r="AO50" i="1"/>
  <c r="AO456" i="1"/>
  <c r="AO418" i="1"/>
  <c r="AO271" i="1"/>
  <c r="AO180" i="1"/>
  <c r="AO272" i="1"/>
  <c r="AO487" i="1"/>
  <c r="AO51" i="1"/>
  <c r="AO85" i="1"/>
  <c r="AO120" i="1"/>
  <c r="AO151" i="1"/>
  <c r="AO52" i="1"/>
  <c r="AO273" i="1"/>
  <c r="AO363" i="1"/>
  <c r="AO53" i="1"/>
  <c r="AO457" i="1"/>
  <c r="AO337" i="1"/>
  <c r="AO86" i="1"/>
  <c r="AO391" i="1"/>
  <c r="AO121" i="1"/>
  <c r="AO87" i="1"/>
  <c r="AO88" i="1"/>
  <c r="AO122" i="1"/>
  <c r="AO237" i="1"/>
  <c r="AO274" i="1"/>
  <c r="AO517" i="1"/>
  <c r="AO89" i="1"/>
  <c r="AO209" i="1"/>
  <c r="AO364" i="1"/>
  <c r="AO210" i="1"/>
  <c r="AO488" i="1"/>
  <c r="AO181" i="1"/>
  <c r="AO489" i="1"/>
  <c r="AO419" i="1"/>
  <c r="AO392" i="1"/>
  <c r="AM458" i="1"/>
  <c r="AM152" i="1"/>
  <c r="AM182" i="1"/>
  <c r="AM238" i="1"/>
  <c r="AM420" i="1"/>
  <c r="AM239" i="1"/>
  <c r="AM299" i="1"/>
  <c r="AM54" i="1"/>
  <c r="AM183" i="1"/>
  <c r="AM153" i="1"/>
  <c r="AM184" i="1"/>
  <c r="AM185" i="1"/>
  <c r="AM459" i="1"/>
  <c r="AM365" i="1"/>
  <c r="AM240" i="1"/>
  <c r="AM460" i="1"/>
  <c r="AM90" i="1"/>
  <c r="AM338" i="1"/>
  <c r="AM55" i="1"/>
  <c r="AM393" i="1"/>
  <c r="AM275" i="1"/>
  <c r="AM421" i="1"/>
  <c r="AM490" i="1"/>
  <c r="AM154" i="1"/>
  <c r="AM339" i="1"/>
  <c r="AM340" i="1"/>
  <c r="AM491" i="1"/>
  <c r="AM123" i="1"/>
  <c r="AM18" i="1"/>
  <c r="AM241" i="1"/>
  <c r="AM366" i="1"/>
  <c r="AM341" i="1"/>
  <c r="AM300" i="1"/>
  <c r="AM56" i="1"/>
  <c r="AM91" i="1"/>
  <c r="AM186" i="1"/>
  <c r="AM422" i="1"/>
  <c r="AM461" i="1"/>
  <c r="AM342" i="1"/>
  <c r="AM19" i="1"/>
  <c r="AM492" i="1"/>
  <c r="AM92" i="1"/>
  <c r="AM57" i="1"/>
  <c r="AM211" i="1"/>
  <c r="AM124" i="1"/>
  <c r="AM343" i="1"/>
  <c r="AM242" i="1"/>
  <c r="AM344" i="1"/>
  <c r="AM301" i="1"/>
  <c r="AM212" i="1"/>
  <c r="AM125" i="1"/>
  <c r="AM126" i="1"/>
  <c r="AM394" i="1"/>
  <c r="AM345" i="1"/>
  <c r="AM127" i="1"/>
  <c r="AM493" i="1"/>
  <c r="AM462" i="1"/>
  <c r="AM302" i="1"/>
  <c r="AM463" i="1"/>
  <c r="AM395" i="1"/>
  <c r="AM93" i="1"/>
  <c r="AM367" i="1"/>
  <c r="AM155" i="1"/>
  <c r="AM58" i="1"/>
  <c r="AM303" i="1"/>
  <c r="AM213" i="1"/>
  <c r="AM20" i="1"/>
  <c r="AM243" i="1"/>
  <c r="AM423" i="1"/>
  <c r="AM94" i="1"/>
  <c r="AM244" i="1"/>
  <c r="AM21" i="1"/>
  <c r="AM22" i="1"/>
  <c r="AM424" i="1"/>
  <c r="AM494" i="1"/>
  <c r="AM276" i="1"/>
  <c r="AM368" i="1"/>
  <c r="AM156" i="1"/>
  <c r="AM157" i="1"/>
  <c r="AM304" i="1"/>
  <c r="AM425" i="1"/>
  <c r="AM495" i="1"/>
  <c r="AM23" i="1"/>
  <c r="AM24" i="1"/>
  <c r="AM245" i="1"/>
  <c r="AM95" i="1"/>
  <c r="AM246" i="1"/>
  <c r="AM369" i="1"/>
  <c r="AM25" i="1"/>
  <c r="AM247" i="1"/>
  <c r="AM26" i="1"/>
  <c r="AM214" i="1"/>
  <c r="AM59" i="1"/>
  <c r="AM187" i="1"/>
  <c r="AM426" i="1"/>
  <c r="AM277" i="1"/>
  <c r="AM464" i="1"/>
  <c r="AM215" i="1"/>
  <c r="AM188" i="1"/>
  <c r="AM396" i="1"/>
  <c r="AM248" i="1"/>
  <c r="AM249" i="1"/>
  <c r="AM278" i="1"/>
  <c r="AM27" i="1"/>
  <c r="AM370" i="1"/>
  <c r="AM279" i="1"/>
  <c r="AM96" i="1"/>
  <c r="AM60" i="1"/>
  <c r="AM61" i="1"/>
  <c r="AM305" i="1"/>
  <c r="AM216" i="1"/>
  <c r="AM250" i="1"/>
  <c r="AM251" i="1"/>
  <c r="AM496" i="1"/>
  <c r="AM252" i="1"/>
  <c r="AM497" i="1"/>
  <c r="AM217" i="1"/>
  <c r="AM218" i="1"/>
  <c r="AM97" i="1"/>
  <c r="AM306" i="1"/>
  <c r="AM253" i="1"/>
  <c r="AM307" i="1"/>
  <c r="AM465" i="1"/>
  <c r="AM427" i="1"/>
  <c r="AM428" i="1"/>
  <c r="AM62" i="1"/>
  <c r="AM498" i="1"/>
  <c r="AM397" i="1"/>
  <c r="AM63" i="1"/>
  <c r="AM28" i="1"/>
  <c r="AM128" i="1"/>
  <c r="AM29" i="1"/>
  <c r="AM189" i="1"/>
  <c r="AM129" i="1"/>
  <c r="AM308" i="1"/>
  <c r="AM280" i="1"/>
  <c r="AM499" i="1"/>
  <c r="AM281" i="1"/>
  <c r="AM466" i="1"/>
  <c r="AM190" i="1"/>
  <c r="AM467" i="1"/>
  <c r="AM398" i="1"/>
  <c r="AM158" i="1"/>
  <c r="AM282" i="1"/>
  <c r="AM191" i="1"/>
  <c r="AM192" i="1"/>
  <c r="AM500" i="1"/>
  <c r="AM130" i="1"/>
  <c r="AM219" i="1"/>
  <c r="AM283" i="1"/>
  <c r="AM131" i="1"/>
  <c r="AM309" i="1"/>
  <c r="AM220" i="1"/>
  <c r="AM30" i="1"/>
  <c r="AM429" i="1"/>
  <c r="AM132" i="1"/>
  <c r="AM159" i="1"/>
  <c r="AM31" i="1"/>
  <c r="AM193" i="1"/>
  <c r="AM501" i="1"/>
  <c r="AM254" i="1"/>
  <c r="AM64" i="1"/>
  <c r="AM371" i="1"/>
  <c r="AM32" i="1"/>
  <c r="AM468" i="1"/>
  <c r="AM502" i="1"/>
  <c r="AM346" i="1"/>
  <c r="AM347" i="1"/>
  <c r="AM65" i="1"/>
  <c r="AM66" i="1"/>
  <c r="AM255" i="1"/>
  <c r="AM372" i="1"/>
  <c r="AM469" i="1"/>
  <c r="AM430" i="1"/>
  <c r="AM221" i="1"/>
  <c r="AM133" i="1"/>
  <c r="AM310" i="1"/>
  <c r="AM470" i="1"/>
  <c r="AM67" i="1"/>
  <c r="AM348" i="1"/>
  <c r="AM284" i="1"/>
  <c r="AM256" i="1"/>
  <c r="AM471" i="1"/>
  <c r="AM33" i="1"/>
  <c r="AM98" i="1"/>
  <c r="AM472" i="1"/>
  <c r="AM160" i="1"/>
  <c r="AM68" i="1"/>
  <c r="AM431" i="1"/>
  <c r="AM161" i="1"/>
  <c r="AM349" i="1"/>
  <c r="AM432" i="1"/>
  <c r="AM69" i="1"/>
  <c r="AM194" i="1"/>
  <c r="AM257" i="1"/>
  <c r="AM285" i="1"/>
  <c r="AM34" i="1"/>
  <c r="AM162" i="1"/>
  <c r="AM99" i="1"/>
  <c r="AM311" i="1"/>
  <c r="AM134" i="1"/>
  <c r="AM195" i="1"/>
  <c r="AM135" i="1"/>
  <c r="AM312" i="1"/>
  <c r="AM196" i="1"/>
  <c r="AM313" i="1"/>
  <c r="AM70" i="1"/>
  <c r="AM35" i="1"/>
  <c r="AM136" i="1"/>
  <c r="AM473" i="1"/>
  <c r="AM503" i="1"/>
  <c r="AM474" i="1"/>
  <c r="AM163" i="1"/>
  <c r="AM314" i="1"/>
  <c r="AM433" i="1"/>
  <c r="AM399" i="1"/>
  <c r="AM373" i="1"/>
  <c r="AM100" i="1"/>
  <c r="AM101" i="1"/>
  <c r="AM137" i="1"/>
  <c r="AM315" i="1"/>
  <c r="AM258" i="1"/>
  <c r="AM71" i="1"/>
  <c r="AM259" i="1"/>
  <c r="AM475" i="1"/>
  <c r="AM504" i="1"/>
  <c r="AM400" i="1"/>
  <c r="AM36" i="1"/>
  <c r="AM316" i="1"/>
  <c r="AM197" i="1"/>
  <c r="AM222" i="1"/>
  <c r="AM37" i="1"/>
  <c r="AM102" i="1"/>
  <c r="AM350" i="1"/>
  <c r="AM401" i="1"/>
  <c r="AM260" i="1"/>
  <c r="AM317" i="1"/>
  <c r="AM351" i="1"/>
  <c r="AM223" i="1"/>
  <c r="AM476" i="1"/>
  <c r="AM374" i="1"/>
  <c r="AM224" i="1"/>
  <c r="AM103" i="1"/>
  <c r="AM477" i="1"/>
  <c r="AM286" i="1"/>
  <c r="AM164" i="1"/>
  <c r="AM138" i="1"/>
  <c r="AM434" i="1"/>
  <c r="AM478" i="1"/>
  <c r="AM505" i="1"/>
  <c r="AM352" i="1"/>
  <c r="AM287" i="1"/>
  <c r="AM435" i="1"/>
  <c r="AM165" i="1"/>
  <c r="AM375" i="1"/>
  <c r="AM436" i="1"/>
  <c r="AM139" i="1"/>
  <c r="AM166" i="1"/>
  <c r="AM72" i="1"/>
  <c r="AM104" i="1"/>
  <c r="AM225" i="1"/>
  <c r="AM105" i="1"/>
  <c r="AM353" i="1"/>
  <c r="AM261" i="1"/>
  <c r="AM437" i="1"/>
  <c r="AM438" i="1"/>
  <c r="AM354" i="1"/>
  <c r="AM106" i="1"/>
  <c r="AM73" i="1"/>
  <c r="AM198" i="1"/>
  <c r="AM107" i="1"/>
  <c r="AM439" i="1"/>
  <c r="AM402" i="1"/>
  <c r="AM479" i="1"/>
  <c r="AM108" i="1"/>
  <c r="AM262" i="1"/>
  <c r="AM38" i="1"/>
  <c r="AM226" i="1"/>
  <c r="AM318" i="1"/>
  <c r="AM319" i="1"/>
  <c r="AM140" i="1"/>
  <c r="AM39" i="1"/>
  <c r="AM506" i="1"/>
  <c r="AM320" i="1"/>
  <c r="AM440" i="1"/>
  <c r="AM321" i="1"/>
  <c r="AM403" i="1"/>
  <c r="AM355" i="1"/>
  <c r="AM480" i="1"/>
  <c r="AM376" i="1"/>
  <c r="AM288" i="1"/>
  <c r="AM141" i="1"/>
  <c r="AM74" i="1"/>
  <c r="AM289" i="1"/>
  <c r="AM109" i="1"/>
  <c r="AM441" i="1"/>
  <c r="AM40" i="1"/>
  <c r="AM75" i="1"/>
  <c r="AM404" i="1"/>
  <c r="AM227" i="1"/>
  <c r="AM110" i="1"/>
  <c r="AM356" i="1"/>
  <c r="AM167" i="1"/>
  <c r="AM263" i="1"/>
  <c r="AM111" i="1"/>
  <c r="AM442" i="1"/>
  <c r="AM405" i="1"/>
  <c r="AM406" i="1"/>
  <c r="AM357" i="1"/>
  <c r="AM290" i="1"/>
  <c r="AM199" i="1"/>
  <c r="AM443" i="1"/>
  <c r="AM112" i="1"/>
  <c r="AM168" i="1"/>
  <c r="AM377" i="1"/>
  <c r="AM291" i="1"/>
  <c r="AM507" i="1"/>
  <c r="AM200" i="1"/>
  <c r="AM76" i="1"/>
  <c r="AM77" i="1"/>
  <c r="AM407" i="1"/>
  <c r="AM408" i="1"/>
  <c r="AM142" i="1"/>
  <c r="AM322" i="1"/>
  <c r="AM323" i="1"/>
  <c r="AM169" i="1"/>
  <c r="AM324" i="1"/>
  <c r="AM508" i="1"/>
  <c r="AM228" i="1"/>
  <c r="AM444" i="1"/>
  <c r="AM325" i="1"/>
  <c r="AM445" i="1"/>
  <c r="AM481" i="1"/>
  <c r="AM229" i="1"/>
  <c r="AM326" i="1"/>
  <c r="AM482" i="1"/>
  <c r="AM358" i="1"/>
  <c r="AM483" i="1"/>
  <c r="AM327" i="1"/>
  <c r="AM201" i="1"/>
  <c r="AM264" i="1"/>
  <c r="AM41" i="1"/>
  <c r="AM143" i="1"/>
  <c r="AM292" i="1"/>
  <c r="AM509" i="1"/>
  <c r="AM144" i="1"/>
  <c r="AM378" i="1"/>
  <c r="AM510" i="1"/>
  <c r="AM113" i="1"/>
  <c r="AM202" i="1"/>
  <c r="AM328" i="1"/>
  <c r="AM265" i="1"/>
  <c r="AM379" i="1"/>
  <c r="AM78" i="1"/>
  <c r="AM329" i="1"/>
  <c r="AM330" i="1"/>
  <c r="AM446" i="1"/>
  <c r="AM511" i="1"/>
  <c r="AM380" i="1"/>
  <c r="AM114" i="1"/>
  <c r="AM409" i="1"/>
  <c r="AM381" i="1"/>
  <c r="AM230" i="1"/>
  <c r="AM170" i="1"/>
  <c r="AM115" i="1"/>
  <c r="AM410" i="1"/>
  <c r="AM447" i="1"/>
  <c r="AM42" i="1"/>
  <c r="AM231" i="1"/>
  <c r="AM203" i="1"/>
  <c r="AM411" i="1"/>
  <c r="AM293" i="1"/>
  <c r="AM484" i="1"/>
  <c r="AM331" i="1"/>
  <c r="AM204" i="1"/>
  <c r="AM205" i="1"/>
  <c r="AM332" i="1"/>
  <c r="AM145" i="1"/>
  <c r="AM294" i="1"/>
  <c r="AM146" i="1"/>
  <c r="AM266" i="1"/>
  <c r="AM382" i="1"/>
  <c r="AM116" i="1"/>
  <c r="AM79" i="1"/>
  <c r="AM232" i="1"/>
  <c r="AM267" i="1"/>
  <c r="AM43" i="1"/>
  <c r="AM383" i="1"/>
  <c r="AM359" i="1"/>
  <c r="AM412" i="1"/>
  <c r="AM448" i="1"/>
  <c r="AM206" i="1"/>
  <c r="AM147" i="1"/>
  <c r="AM207" i="1"/>
  <c r="AM449" i="1"/>
  <c r="AM171" i="1"/>
  <c r="AM295" i="1"/>
  <c r="AM172" i="1"/>
  <c r="AM80" i="1"/>
  <c r="AM384" i="1"/>
  <c r="AM148" i="1"/>
  <c r="AM117" i="1"/>
  <c r="AM173" i="1"/>
  <c r="AM450" i="1"/>
  <c r="AM485" i="1"/>
  <c r="AM233" i="1"/>
  <c r="AM333" i="1"/>
  <c r="AM81" i="1"/>
  <c r="AM385" i="1"/>
  <c r="AM386" i="1"/>
  <c r="AM118" i="1"/>
  <c r="AM268" i="1"/>
  <c r="AM334" i="1"/>
  <c r="AM387" i="1"/>
  <c r="AM512" i="1"/>
  <c r="AM296" i="1"/>
  <c r="AM513" i="1"/>
  <c r="AM360" i="1"/>
  <c r="AM413" i="1"/>
  <c r="AM361" i="1"/>
  <c r="AM388" i="1"/>
  <c r="AM451" i="1"/>
  <c r="AM297" i="1"/>
  <c r="AM174" i="1"/>
  <c r="AM44" i="1"/>
  <c r="AM414" i="1"/>
  <c r="AM82" i="1"/>
  <c r="AM269" i="1"/>
  <c r="AM415" i="1"/>
  <c r="AM416" i="1"/>
  <c r="AM389" i="1"/>
  <c r="AM514" i="1"/>
  <c r="AM417" i="1"/>
  <c r="AM452" i="1"/>
  <c r="AM486" i="1"/>
  <c r="AM390" i="1"/>
  <c r="AM234" i="1"/>
  <c r="AM149" i="1"/>
  <c r="AM298" i="1"/>
  <c r="AM175" i="1"/>
  <c r="AM270" i="1"/>
  <c r="AM83" i="1"/>
  <c r="AM45" i="1"/>
  <c r="AM176" i="1"/>
  <c r="AM119" i="1"/>
  <c r="AM46" i="1"/>
  <c r="AM453" i="1"/>
  <c r="AM47" i="1"/>
  <c r="AM515" i="1"/>
  <c r="AM48" i="1"/>
  <c r="AM150" i="1"/>
  <c r="AM49" i="1"/>
  <c r="AM208" i="1"/>
  <c r="AM235" i="1"/>
  <c r="AM454" i="1"/>
  <c r="AM362" i="1"/>
  <c r="AM335" i="1"/>
  <c r="AM177" i="1"/>
  <c r="AM178" i="1"/>
  <c r="AM236" i="1"/>
  <c r="AM455" i="1"/>
  <c r="AM336" i="1"/>
  <c r="AM516" i="1"/>
  <c r="AM179" i="1"/>
  <c r="AM84" i="1"/>
  <c r="AM50" i="1"/>
  <c r="AM456" i="1"/>
  <c r="AM418" i="1"/>
  <c r="AM271" i="1"/>
  <c r="AM180" i="1"/>
  <c r="AM272" i="1"/>
  <c r="AM487" i="1"/>
  <c r="AM51" i="1"/>
  <c r="AM85" i="1"/>
  <c r="AM120" i="1"/>
  <c r="AM151" i="1"/>
  <c r="AM52" i="1"/>
  <c r="AM273" i="1"/>
  <c r="AM363" i="1"/>
  <c r="AM53" i="1"/>
  <c r="AM457" i="1"/>
  <c r="AM337" i="1"/>
  <c r="AM86" i="1"/>
  <c r="AM391" i="1"/>
  <c r="AM121" i="1"/>
  <c r="AM87" i="1"/>
  <c r="AM88" i="1"/>
  <c r="AM122" i="1"/>
  <c r="AM237" i="1"/>
  <c r="AM274" i="1"/>
  <c r="AM517" i="1"/>
  <c r="AM89" i="1"/>
  <c r="AM209" i="1"/>
  <c r="AM364" i="1"/>
  <c r="AM210" i="1"/>
  <c r="AM488" i="1"/>
  <c r="AM181" i="1"/>
  <c r="AM489" i="1"/>
  <c r="AM419" i="1"/>
  <c r="AM392" i="1"/>
  <c r="AL458" i="1" a="1"/>
  <c r="AL458" i="1" s="1"/>
  <c r="AL152" i="1" a="1"/>
  <c r="AL152" i="1"/>
  <c r="AL182" i="1" a="1"/>
  <c r="AL182" i="1" s="1"/>
  <c r="AL238" i="1" a="1"/>
  <c r="AL238" i="1" s="1"/>
  <c r="AL420" i="1" a="1"/>
  <c r="AL420" i="1" s="1"/>
  <c r="AL239" i="1" a="1"/>
  <c r="AL239" i="1"/>
  <c r="AL299" i="1" a="1"/>
  <c r="AL299" i="1" s="1"/>
  <c r="AL54" i="1" a="1"/>
  <c r="AL54" i="1" s="1"/>
  <c r="AL183" i="1" a="1"/>
  <c r="AL183" i="1" s="1"/>
  <c r="AL153" i="1" a="1"/>
  <c r="AL153" i="1" s="1"/>
  <c r="AL184" i="1" a="1"/>
  <c r="AL184" i="1" s="1"/>
  <c r="AL185" i="1" a="1"/>
  <c r="AL185" i="1" s="1"/>
  <c r="AL459" i="1" a="1"/>
  <c r="AL459" i="1"/>
  <c r="AL365" i="1" a="1"/>
  <c r="AL365" i="1" s="1"/>
  <c r="AL240" i="1" a="1"/>
  <c r="AL240" i="1" s="1"/>
  <c r="AL460" i="1" a="1"/>
  <c r="AL460" i="1" s="1"/>
  <c r="AL90" i="1" a="1"/>
  <c r="AL90" i="1" s="1"/>
  <c r="AL338" i="1" a="1"/>
  <c r="AL338" i="1" s="1"/>
  <c r="AL55" i="1" a="1"/>
  <c r="AL55" i="1" s="1"/>
  <c r="AL393" i="1" a="1"/>
  <c r="AL393" i="1" s="1"/>
  <c r="AL275" i="1" a="1"/>
  <c r="AL275" i="1" s="1"/>
  <c r="AL421" i="1" a="1"/>
  <c r="AL421" i="1" s="1"/>
  <c r="AL490" i="1" a="1"/>
  <c r="AL490" i="1" s="1"/>
  <c r="AL154" i="1" a="1"/>
  <c r="AL154" i="1" s="1"/>
  <c r="AL339" i="1" a="1"/>
  <c r="AL339" i="1" s="1"/>
  <c r="AL340" i="1" a="1"/>
  <c r="AL340" i="1" s="1"/>
  <c r="AL491" i="1" a="1"/>
  <c r="AL491" i="1" s="1"/>
  <c r="AL123" i="1" a="1"/>
  <c r="AL123" i="1" s="1"/>
  <c r="AL18" i="1" a="1"/>
  <c r="AL18" i="1" s="1"/>
  <c r="AL241" i="1" a="1"/>
  <c r="AL241" i="1" s="1"/>
  <c r="AL366" i="1" a="1"/>
  <c r="AL366" i="1" s="1"/>
  <c r="AL341" i="1" a="1"/>
  <c r="AL341" i="1" s="1"/>
  <c r="AL300" i="1" a="1"/>
  <c r="AL300" i="1" s="1"/>
  <c r="AL56" i="1" a="1"/>
  <c r="AL56" i="1" s="1"/>
  <c r="AL91" i="1" a="1"/>
  <c r="AL91" i="1" s="1"/>
  <c r="AL186" i="1" a="1"/>
  <c r="AL186" i="1" s="1"/>
  <c r="AL422" i="1" a="1"/>
  <c r="AL422" i="1" s="1"/>
  <c r="AL461" i="1" a="1"/>
  <c r="AL461" i="1" s="1"/>
  <c r="AL342" i="1" a="1"/>
  <c r="AL342" i="1" s="1"/>
  <c r="AL19" i="1" a="1"/>
  <c r="AL19" i="1" s="1"/>
  <c r="AL492" i="1" a="1"/>
  <c r="AL492" i="1" s="1"/>
  <c r="AL92" i="1" a="1"/>
  <c r="AL92" i="1" s="1"/>
  <c r="AL57" i="1" a="1"/>
  <c r="AL57" i="1" s="1"/>
  <c r="AL211" i="1" a="1"/>
  <c r="AL211" i="1" s="1"/>
  <c r="AL124" i="1" a="1"/>
  <c r="AL124" i="1" s="1"/>
  <c r="AL343" i="1" a="1"/>
  <c r="AL343" i="1" s="1"/>
  <c r="AL242" i="1" a="1"/>
  <c r="AL242" i="1" s="1"/>
  <c r="AL344" i="1" a="1"/>
  <c r="AL344" i="1" s="1"/>
  <c r="AL301" i="1" a="1"/>
  <c r="AL301" i="1" s="1"/>
  <c r="AL212" i="1" a="1"/>
  <c r="AL212" i="1" s="1"/>
  <c r="AL125" i="1" a="1"/>
  <c r="AL125" i="1" s="1"/>
  <c r="AL126" i="1" a="1"/>
  <c r="AL126" i="1" s="1"/>
  <c r="AL394" i="1" a="1"/>
  <c r="AL394" i="1" s="1"/>
  <c r="AL345" i="1" a="1"/>
  <c r="AL345" i="1"/>
  <c r="AL127" i="1" a="1"/>
  <c r="AL127" i="1" s="1"/>
  <c r="AL493" i="1" a="1"/>
  <c r="AL493" i="1" s="1"/>
  <c r="AL462" i="1" a="1"/>
  <c r="AL462" i="1" s="1"/>
  <c r="AL302" i="1" a="1"/>
  <c r="AL302" i="1" s="1"/>
  <c r="AL463" i="1" a="1"/>
  <c r="AL463" i="1" s="1"/>
  <c r="AL395" i="1" a="1"/>
  <c r="AL395" i="1" s="1"/>
  <c r="AL93" i="1" a="1"/>
  <c r="AL93" i="1" s="1"/>
  <c r="AL367" i="1" a="1"/>
  <c r="AL367" i="1" s="1"/>
  <c r="AL155" i="1" a="1"/>
  <c r="AL155" i="1" s="1"/>
  <c r="AL58" i="1" a="1"/>
  <c r="AL58" i="1" s="1"/>
  <c r="AL303" i="1" a="1"/>
  <c r="AL303" i="1" s="1"/>
  <c r="AL213" i="1" a="1"/>
  <c r="AL213" i="1" s="1"/>
  <c r="AL20" i="1" a="1"/>
  <c r="AL20" i="1" s="1"/>
  <c r="AL243" i="1" a="1"/>
  <c r="AL243" i="1" s="1"/>
  <c r="AL423" i="1" a="1"/>
  <c r="AL423" i="1" s="1"/>
  <c r="AL94" i="1" a="1"/>
  <c r="AL94" i="1" s="1"/>
  <c r="AL244" i="1" a="1"/>
  <c r="AL244" i="1" s="1"/>
  <c r="AL21" i="1" a="1"/>
  <c r="AL21" i="1" s="1"/>
  <c r="AL22" i="1" a="1"/>
  <c r="AL22" i="1" s="1"/>
  <c r="AL424" i="1" a="1"/>
  <c r="AL424" i="1" s="1"/>
  <c r="AL494" i="1" a="1"/>
  <c r="AL494" i="1" s="1"/>
  <c r="AL276" i="1" a="1"/>
  <c r="AL276" i="1" s="1"/>
  <c r="AL368" i="1" a="1"/>
  <c r="AL368" i="1" s="1"/>
  <c r="AL156" i="1" a="1"/>
  <c r="AL156" i="1" s="1"/>
  <c r="AL157" i="1" a="1"/>
  <c r="AL157" i="1" s="1"/>
  <c r="AL304" i="1" a="1"/>
  <c r="AL304" i="1" s="1"/>
  <c r="AL425" i="1" a="1"/>
  <c r="AL425" i="1" s="1"/>
  <c r="AL495" i="1" a="1"/>
  <c r="AL495" i="1" s="1"/>
  <c r="AL23" i="1" a="1"/>
  <c r="AL23" i="1" s="1"/>
  <c r="AL24" i="1" a="1"/>
  <c r="AL24" i="1" s="1"/>
  <c r="AL245" i="1" a="1"/>
  <c r="AL245" i="1" s="1"/>
  <c r="AL95" i="1" a="1"/>
  <c r="AL95" i="1" s="1"/>
  <c r="AL246" i="1" a="1"/>
  <c r="AL246" i="1" s="1"/>
  <c r="AL369" i="1" a="1"/>
  <c r="AL369" i="1" s="1"/>
  <c r="AL25" i="1" a="1"/>
  <c r="AL25" i="1" s="1"/>
  <c r="AL247" i="1" a="1"/>
  <c r="AL247" i="1" s="1"/>
  <c r="AL26" i="1" a="1"/>
  <c r="AL26" i="1" s="1"/>
  <c r="AL214" i="1" a="1"/>
  <c r="AL214" i="1" s="1"/>
  <c r="AL59" i="1" a="1"/>
  <c r="AL59" i="1" s="1"/>
  <c r="AL187" i="1" a="1"/>
  <c r="AL187" i="1" s="1"/>
  <c r="AL426" i="1" a="1"/>
  <c r="AL426" i="1" s="1"/>
  <c r="AL277" i="1" a="1"/>
  <c r="AL277" i="1" s="1"/>
  <c r="AL464" i="1" a="1"/>
  <c r="AL464" i="1" s="1"/>
  <c r="AL215" i="1" a="1"/>
  <c r="AL215" i="1" s="1"/>
  <c r="AL188" i="1" a="1"/>
  <c r="AL188" i="1" s="1"/>
  <c r="AL396" i="1" a="1"/>
  <c r="AL396" i="1" s="1"/>
  <c r="AL248" i="1" a="1"/>
  <c r="AL248" i="1" s="1"/>
  <c r="AL249" i="1" a="1"/>
  <c r="AL249" i="1" s="1"/>
  <c r="AL278" i="1" a="1"/>
  <c r="AL278" i="1" s="1"/>
  <c r="AL27" i="1" a="1"/>
  <c r="AL27" i="1" s="1"/>
  <c r="AL370" i="1" a="1"/>
  <c r="AL370" i="1" s="1"/>
  <c r="AL279" i="1" a="1"/>
  <c r="AL279" i="1" s="1"/>
  <c r="AL96" i="1" a="1"/>
  <c r="AL96" i="1" s="1"/>
  <c r="AL60" i="1" a="1"/>
  <c r="AL60" i="1" s="1"/>
  <c r="AL61" i="1" a="1"/>
  <c r="AL61" i="1" s="1"/>
  <c r="AL305" i="1" a="1"/>
  <c r="AL305" i="1" s="1"/>
  <c r="AL216" i="1" a="1"/>
  <c r="AL216" i="1" s="1"/>
  <c r="AL250" i="1" a="1"/>
  <c r="AL250" i="1" s="1"/>
  <c r="AL251" i="1" a="1"/>
  <c r="AL251" i="1" s="1"/>
  <c r="AL496" i="1" a="1"/>
  <c r="AL496" i="1" s="1"/>
  <c r="AL252" i="1" a="1"/>
  <c r="AL252" i="1" s="1"/>
  <c r="AL497" i="1" a="1"/>
  <c r="AL497" i="1"/>
  <c r="AL217" i="1" a="1"/>
  <c r="AL217" i="1" s="1"/>
  <c r="AL218" i="1" a="1"/>
  <c r="AL218" i="1" s="1"/>
  <c r="AL97" i="1" a="1"/>
  <c r="AL97" i="1" s="1"/>
  <c r="AL306" i="1" a="1"/>
  <c r="AL306" i="1" s="1"/>
  <c r="AL253" i="1" a="1"/>
  <c r="AL253" i="1" s="1"/>
  <c r="AL307" i="1" a="1"/>
  <c r="AL307" i="1" s="1"/>
  <c r="AL465" i="1" a="1"/>
  <c r="AL465" i="1" s="1"/>
  <c r="AL427" i="1" a="1"/>
  <c r="AL427" i="1" s="1"/>
  <c r="AL428" i="1" a="1"/>
  <c r="AL428" i="1" s="1"/>
  <c r="AL62" i="1" a="1"/>
  <c r="AL62" i="1"/>
  <c r="AL498" i="1" a="1"/>
  <c r="AL498" i="1" s="1"/>
  <c r="AL397" i="1" a="1"/>
  <c r="AL397" i="1" s="1"/>
  <c r="AL63" i="1" a="1"/>
  <c r="AL63" i="1" s="1"/>
  <c r="AL28" i="1" a="1"/>
  <c r="AL28" i="1" s="1"/>
  <c r="AL128" i="1" a="1"/>
  <c r="AL128" i="1" s="1"/>
  <c r="AL29" i="1" a="1"/>
  <c r="AL29" i="1" s="1"/>
  <c r="AL189" i="1" a="1"/>
  <c r="AL189" i="1" s="1"/>
  <c r="AL129" i="1" a="1"/>
  <c r="AL129" i="1" s="1"/>
  <c r="AL308" i="1" a="1"/>
  <c r="AL308" i="1" s="1"/>
  <c r="AL280" i="1" a="1"/>
  <c r="AL280" i="1" s="1"/>
  <c r="AL499" i="1" a="1"/>
  <c r="AL499" i="1" s="1"/>
  <c r="AL281" i="1" a="1"/>
  <c r="AL281" i="1" s="1"/>
  <c r="AL466" i="1" a="1"/>
  <c r="AL466" i="1" s="1"/>
  <c r="AL190" i="1" a="1"/>
  <c r="AL190" i="1" s="1"/>
  <c r="AL467" i="1" a="1"/>
  <c r="AL467" i="1" s="1"/>
  <c r="AL398" i="1" a="1"/>
  <c r="AL398" i="1" s="1"/>
  <c r="AL158" i="1" a="1"/>
  <c r="AL158" i="1" s="1"/>
  <c r="AL282" i="1" a="1"/>
  <c r="AL282" i="1" s="1"/>
  <c r="AL191" i="1" a="1"/>
  <c r="AL191" i="1" s="1"/>
  <c r="AL192" i="1" a="1"/>
  <c r="AL192" i="1" s="1"/>
  <c r="AL500" i="1" a="1"/>
  <c r="AL500" i="1" s="1"/>
  <c r="AL130" i="1" a="1"/>
  <c r="AL130" i="1" s="1"/>
  <c r="AL219" i="1" a="1"/>
  <c r="AL219" i="1" s="1"/>
  <c r="AL283" i="1" a="1"/>
  <c r="AL283" i="1"/>
  <c r="AL131" i="1" a="1"/>
  <c r="AL131" i="1" s="1"/>
  <c r="AL309" i="1" a="1"/>
  <c r="AL309" i="1" s="1"/>
  <c r="AL220" i="1" a="1"/>
  <c r="AL220" i="1" s="1"/>
  <c r="AL30" i="1" a="1"/>
  <c r="AL30" i="1" s="1"/>
  <c r="AL429" i="1" a="1"/>
  <c r="AL429" i="1" s="1"/>
  <c r="AL132" i="1" a="1"/>
  <c r="AL132" i="1" s="1"/>
  <c r="AL159" i="1" a="1"/>
  <c r="AL159" i="1" s="1"/>
  <c r="AL31" i="1" a="1"/>
  <c r="AL31" i="1" s="1"/>
  <c r="AL193" i="1" a="1"/>
  <c r="AL193" i="1" s="1"/>
  <c r="AL501" i="1" a="1"/>
  <c r="AL501" i="1" s="1"/>
  <c r="AL254" i="1" a="1"/>
  <c r="AL254" i="1" s="1"/>
  <c r="AL64" i="1" a="1"/>
  <c r="AL64" i="1" s="1"/>
  <c r="AL371" i="1" a="1"/>
  <c r="AL371" i="1" s="1"/>
  <c r="AL32" i="1" a="1"/>
  <c r="AL32" i="1" s="1"/>
  <c r="AL468" i="1" a="1"/>
  <c r="AL468" i="1" s="1"/>
  <c r="AL502" i="1" a="1"/>
  <c r="AL502" i="1" s="1"/>
  <c r="AL346" i="1" a="1"/>
  <c r="AL346" i="1" s="1"/>
  <c r="AL347" i="1" a="1"/>
  <c r="AL347" i="1" s="1"/>
  <c r="AL65" i="1" a="1"/>
  <c r="AL65" i="1" s="1"/>
  <c r="AL66" i="1" a="1"/>
  <c r="AL66" i="1" s="1"/>
  <c r="AL255" i="1" a="1"/>
  <c r="AL255" i="1" s="1"/>
  <c r="AL372" i="1" a="1"/>
  <c r="AL372" i="1" s="1"/>
  <c r="AL469" i="1" a="1"/>
  <c r="AL469" i="1" s="1"/>
  <c r="AL430" i="1" a="1"/>
  <c r="AL430" i="1" s="1"/>
  <c r="AL221" i="1" a="1"/>
  <c r="AL221" i="1" s="1"/>
  <c r="AL133" i="1" a="1"/>
  <c r="AL133" i="1" s="1"/>
  <c r="AL310" i="1" a="1"/>
  <c r="AL310" i="1" s="1"/>
  <c r="AL470" i="1" a="1"/>
  <c r="AL470" i="1" s="1"/>
  <c r="AL67" i="1" a="1"/>
  <c r="AL67" i="1" s="1"/>
  <c r="AL348" i="1" a="1"/>
  <c r="AL348" i="1" s="1"/>
  <c r="AL284" i="1" a="1"/>
  <c r="AL284" i="1" s="1"/>
  <c r="AL256" i="1" a="1"/>
  <c r="AL256" i="1" s="1"/>
  <c r="AL471" i="1" a="1"/>
  <c r="AL471" i="1" s="1"/>
  <c r="AL33" i="1" a="1"/>
  <c r="AL33" i="1" s="1"/>
  <c r="AL98" i="1" a="1"/>
  <c r="AL98" i="1" s="1"/>
  <c r="AL472" i="1" a="1"/>
  <c r="AL472" i="1" s="1"/>
  <c r="AL160" i="1" a="1"/>
  <c r="AL160" i="1" s="1"/>
  <c r="AL68" i="1" a="1"/>
  <c r="AL68" i="1" s="1"/>
  <c r="AL431" i="1" a="1"/>
  <c r="AL431" i="1" s="1"/>
  <c r="AL161" i="1" a="1"/>
  <c r="AL161" i="1" s="1"/>
  <c r="AL349" i="1" a="1"/>
  <c r="AL349" i="1" s="1"/>
  <c r="AL432" i="1" a="1"/>
  <c r="AL432" i="1" s="1"/>
  <c r="AL69" i="1" a="1"/>
  <c r="AL69" i="1" s="1"/>
  <c r="AL194" i="1" a="1"/>
  <c r="AL194" i="1" s="1"/>
  <c r="AL257" i="1" a="1"/>
  <c r="AL257" i="1" s="1"/>
  <c r="AL285" i="1" a="1"/>
  <c r="AL285" i="1" s="1"/>
  <c r="AL34" i="1" a="1"/>
  <c r="AL34" i="1" s="1"/>
  <c r="AL162" i="1" a="1"/>
  <c r="AL162" i="1" s="1"/>
  <c r="AL99" i="1" a="1"/>
  <c r="AL99" i="1" s="1"/>
  <c r="AL311" i="1" a="1"/>
  <c r="AL311" i="1" s="1"/>
  <c r="AL134" i="1" a="1"/>
  <c r="AL134" i="1" s="1"/>
  <c r="AL195" i="1" a="1"/>
  <c r="AL195" i="1" s="1"/>
  <c r="AL135" i="1" a="1"/>
  <c r="AL135" i="1" s="1"/>
  <c r="AL312" i="1" a="1"/>
  <c r="AL312" i="1" s="1"/>
  <c r="AL196" i="1" a="1"/>
  <c r="AL196" i="1" s="1"/>
  <c r="AL313" i="1" a="1"/>
  <c r="AL313" i="1" s="1"/>
  <c r="AL70" i="1" a="1"/>
  <c r="AL70" i="1" s="1"/>
  <c r="AL35" i="1" a="1"/>
  <c r="AL35" i="1" s="1"/>
  <c r="AL136" i="1" a="1"/>
  <c r="AL136" i="1" s="1"/>
  <c r="AL473" i="1" a="1"/>
  <c r="AL473" i="1" s="1"/>
  <c r="AL503" i="1" a="1"/>
  <c r="AL503" i="1" s="1"/>
  <c r="AL474" i="1" a="1"/>
  <c r="AL474" i="1" s="1"/>
  <c r="AL163" i="1" a="1"/>
  <c r="AL163" i="1" s="1"/>
  <c r="AL314" i="1" a="1"/>
  <c r="AL314" i="1" s="1"/>
  <c r="AL433" i="1" a="1"/>
  <c r="AL433" i="1" s="1"/>
  <c r="AL399" i="1" a="1"/>
  <c r="AL399" i="1" s="1"/>
  <c r="AL373" i="1" a="1"/>
  <c r="AL373" i="1" s="1"/>
  <c r="AL100" i="1" a="1"/>
  <c r="AL100" i="1" s="1"/>
  <c r="AL101" i="1" a="1"/>
  <c r="AL101" i="1" s="1"/>
  <c r="AL137" i="1" a="1"/>
  <c r="AL137" i="1" s="1"/>
  <c r="AL315" i="1" a="1"/>
  <c r="AL315" i="1" s="1"/>
  <c r="AL258" i="1" a="1"/>
  <c r="AL258" i="1" s="1"/>
  <c r="AL71" i="1" a="1"/>
  <c r="AL71" i="1" s="1"/>
  <c r="AL259" i="1" a="1"/>
  <c r="AL259" i="1" s="1"/>
  <c r="AL475" i="1" a="1"/>
  <c r="AL475" i="1" s="1"/>
  <c r="AL504" i="1" a="1"/>
  <c r="AL504" i="1" s="1"/>
  <c r="AL400" i="1" a="1"/>
  <c r="AL400" i="1" s="1"/>
  <c r="AL36" i="1" a="1"/>
  <c r="AL36" i="1" s="1"/>
  <c r="AL316" i="1" a="1"/>
  <c r="AL316" i="1" s="1"/>
  <c r="AL197" i="1" a="1"/>
  <c r="AL197" i="1" s="1"/>
  <c r="AL222" i="1" a="1"/>
  <c r="AL222" i="1" s="1"/>
  <c r="AL37" i="1" a="1"/>
  <c r="AL37" i="1" s="1"/>
  <c r="AL102" i="1" a="1"/>
  <c r="AL102" i="1" s="1"/>
  <c r="AL350" i="1" a="1"/>
  <c r="AL350" i="1" s="1"/>
  <c r="AL401" i="1" a="1"/>
  <c r="AL401" i="1" s="1"/>
  <c r="AL260" i="1" a="1"/>
  <c r="AL260" i="1" s="1"/>
  <c r="AL317" i="1" a="1"/>
  <c r="AL317" i="1" s="1"/>
  <c r="AL351" i="1" a="1"/>
  <c r="AL351" i="1" s="1"/>
  <c r="AL223" i="1" a="1"/>
  <c r="AL223" i="1" s="1"/>
  <c r="AL476" i="1" a="1"/>
  <c r="AL476" i="1" s="1"/>
  <c r="AL374" i="1" a="1"/>
  <c r="AL374" i="1" s="1"/>
  <c r="AL224" i="1" a="1"/>
  <c r="AL224" i="1" s="1"/>
  <c r="AL103" i="1" a="1"/>
  <c r="AL103" i="1" s="1"/>
  <c r="AL477" i="1" a="1"/>
  <c r="AL477" i="1" s="1"/>
  <c r="AL286" i="1" a="1"/>
  <c r="AL286" i="1" s="1"/>
  <c r="AL164" i="1" a="1"/>
  <c r="AL164" i="1" s="1"/>
  <c r="AL138" i="1" a="1"/>
  <c r="AL138" i="1" s="1"/>
  <c r="AL434" i="1" a="1"/>
  <c r="AL434" i="1" s="1"/>
  <c r="AL478" i="1" a="1"/>
  <c r="AL478" i="1" s="1"/>
  <c r="AL505" i="1" a="1"/>
  <c r="AL505" i="1" s="1"/>
  <c r="AL352" i="1" a="1"/>
  <c r="AL352" i="1" s="1"/>
  <c r="AL287" i="1" a="1"/>
  <c r="AL287" i="1" s="1"/>
  <c r="AL435" i="1" a="1"/>
  <c r="AL435" i="1" s="1"/>
  <c r="AL165" i="1" a="1"/>
  <c r="AL165" i="1" s="1"/>
  <c r="AL375" i="1" a="1"/>
  <c r="AL375" i="1" s="1"/>
  <c r="AL436" i="1" a="1"/>
  <c r="AL436" i="1" s="1"/>
  <c r="AL139" i="1" a="1"/>
  <c r="AL139" i="1" s="1"/>
  <c r="AL166" i="1" a="1"/>
  <c r="AL166" i="1" s="1"/>
  <c r="AL72" i="1" a="1"/>
  <c r="AL72" i="1" s="1"/>
  <c r="AL104" i="1" a="1"/>
  <c r="AL104" i="1" s="1"/>
  <c r="AL225" i="1" a="1"/>
  <c r="AL225" i="1" s="1"/>
  <c r="AL105" i="1" a="1"/>
  <c r="AL105" i="1" s="1"/>
  <c r="AL353" i="1" a="1"/>
  <c r="AL353" i="1" s="1"/>
  <c r="AL261" i="1" a="1"/>
  <c r="AL261" i="1" s="1"/>
  <c r="AL437" i="1" a="1"/>
  <c r="AL437" i="1" s="1"/>
  <c r="AL438" i="1" a="1"/>
  <c r="AL438" i="1" s="1"/>
  <c r="AL354" i="1" a="1"/>
  <c r="AL354" i="1" s="1"/>
  <c r="AL106" i="1" a="1"/>
  <c r="AL106" i="1" s="1"/>
  <c r="AL73" i="1" a="1"/>
  <c r="AL73" i="1" s="1"/>
  <c r="AL198" i="1" a="1"/>
  <c r="AL198" i="1" s="1"/>
  <c r="AL107" i="1" a="1"/>
  <c r="AL107" i="1" s="1"/>
  <c r="AL439" i="1" a="1"/>
  <c r="AL439" i="1" s="1"/>
  <c r="AL402" i="1" a="1"/>
  <c r="AL402" i="1" s="1"/>
  <c r="AL479" i="1" a="1"/>
  <c r="AL479" i="1" s="1"/>
  <c r="AL108" i="1" a="1"/>
  <c r="AL108" i="1" s="1"/>
  <c r="AL262" i="1" a="1"/>
  <c r="AL262" i="1" s="1"/>
  <c r="AL38" i="1" a="1"/>
  <c r="AL38" i="1" s="1"/>
  <c r="AL226" i="1" a="1"/>
  <c r="AL226" i="1" s="1"/>
  <c r="AL318" i="1" a="1"/>
  <c r="AL318" i="1" s="1"/>
  <c r="AL319" i="1" a="1"/>
  <c r="AL319" i="1" s="1"/>
  <c r="AL140" i="1" a="1"/>
  <c r="AL140" i="1" s="1"/>
  <c r="AL39" i="1" a="1"/>
  <c r="AL39" i="1" s="1"/>
  <c r="AL506" i="1" a="1"/>
  <c r="AL506" i="1" s="1"/>
  <c r="AL320" i="1" a="1"/>
  <c r="AL320" i="1" s="1"/>
  <c r="AL440" i="1" a="1"/>
  <c r="AL440" i="1" s="1"/>
  <c r="AL321" i="1" a="1"/>
  <c r="AL321" i="1" s="1"/>
  <c r="AL403" i="1" a="1"/>
  <c r="AL403" i="1" s="1"/>
  <c r="AL355" i="1" a="1"/>
  <c r="AL355" i="1" s="1"/>
  <c r="AL480" i="1" a="1"/>
  <c r="AL480" i="1" s="1"/>
  <c r="AL376" i="1" a="1"/>
  <c r="AL376" i="1" s="1"/>
  <c r="AL288" i="1" a="1"/>
  <c r="AL288" i="1" s="1"/>
  <c r="AL141" i="1" a="1"/>
  <c r="AL141" i="1" s="1"/>
  <c r="AL74" i="1" a="1"/>
  <c r="AL74" i="1" s="1"/>
  <c r="AL289" i="1" a="1"/>
  <c r="AL289" i="1" s="1"/>
  <c r="AL109" i="1" a="1"/>
  <c r="AL109" i="1" s="1"/>
  <c r="AL441" i="1" a="1"/>
  <c r="AL441" i="1" s="1"/>
  <c r="AL40" i="1" a="1"/>
  <c r="AL40" i="1" s="1"/>
  <c r="AL75" i="1" a="1"/>
  <c r="AL75" i="1" s="1"/>
  <c r="AL404" i="1" a="1"/>
  <c r="AL404" i="1" s="1"/>
  <c r="AL227" i="1" a="1"/>
  <c r="AL227" i="1" s="1"/>
  <c r="AL110" i="1" a="1"/>
  <c r="AL110" i="1" s="1"/>
  <c r="AL356" i="1" a="1"/>
  <c r="AL356" i="1" s="1"/>
  <c r="AL167" i="1" a="1"/>
  <c r="AL167" i="1" s="1"/>
  <c r="AL263" i="1" a="1"/>
  <c r="AL263" i="1" s="1"/>
  <c r="AL111" i="1" a="1"/>
  <c r="AL111" i="1" s="1"/>
  <c r="AL442" i="1" a="1"/>
  <c r="AL442" i="1" s="1"/>
  <c r="AL405" i="1" a="1"/>
  <c r="AL405" i="1" s="1"/>
  <c r="AL406" i="1" a="1"/>
  <c r="AL406" i="1" s="1"/>
  <c r="AL357" i="1" a="1"/>
  <c r="AL357" i="1" s="1"/>
  <c r="AL290" i="1" a="1"/>
  <c r="AL290" i="1" s="1"/>
  <c r="AL199" i="1" a="1"/>
  <c r="AL199" i="1" s="1"/>
  <c r="AL443" i="1" a="1"/>
  <c r="AL443" i="1" s="1"/>
  <c r="AL112" i="1" a="1"/>
  <c r="AL112" i="1" s="1"/>
  <c r="AL168" i="1" a="1"/>
  <c r="AL168" i="1" s="1"/>
  <c r="AL377" i="1" a="1"/>
  <c r="AL377" i="1" s="1"/>
  <c r="AL291" i="1" a="1"/>
  <c r="AL291" i="1" s="1"/>
  <c r="AL507" i="1" a="1"/>
  <c r="AL507" i="1" s="1"/>
  <c r="AL200" i="1" a="1"/>
  <c r="AL200" i="1" s="1"/>
  <c r="AL76" i="1" a="1"/>
  <c r="AL76" i="1" s="1"/>
  <c r="AL77" i="1" a="1"/>
  <c r="AL77" i="1" s="1"/>
  <c r="AL407" i="1" a="1"/>
  <c r="AL407" i="1" s="1"/>
  <c r="AL408" i="1" a="1"/>
  <c r="AL408" i="1" s="1"/>
  <c r="AL142" i="1" a="1"/>
  <c r="AL142" i="1" s="1"/>
  <c r="AL322" i="1" a="1"/>
  <c r="AL322" i="1" s="1"/>
  <c r="AL323" i="1" a="1"/>
  <c r="AL323" i="1" s="1"/>
  <c r="AL169" i="1" a="1"/>
  <c r="AL169" i="1" s="1"/>
  <c r="AL324" i="1" a="1"/>
  <c r="AL324" i="1" s="1"/>
  <c r="AL508" i="1" a="1"/>
  <c r="AL508" i="1" s="1"/>
  <c r="AL228" i="1" a="1"/>
  <c r="AL228" i="1" s="1"/>
  <c r="AL444" i="1" a="1"/>
  <c r="AL444" i="1" s="1"/>
  <c r="AL325" i="1" a="1"/>
  <c r="AL325" i="1" s="1"/>
  <c r="AL445" i="1" a="1"/>
  <c r="AL445" i="1" s="1"/>
  <c r="AL481" i="1" a="1"/>
  <c r="AL481" i="1" s="1"/>
  <c r="AL229" i="1" a="1"/>
  <c r="AL229" i="1" s="1"/>
  <c r="AL326" i="1" a="1"/>
  <c r="AL326" i="1" s="1"/>
  <c r="AL482" i="1" a="1"/>
  <c r="AL482" i="1" s="1"/>
  <c r="AL358" i="1" a="1"/>
  <c r="AL358" i="1" s="1"/>
  <c r="AL483" i="1" a="1"/>
  <c r="AL483" i="1" s="1"/>
  <c r="AL327" i="1" a="1"/>
  <c r="AL327" i="1" s="1"/>
  <c r="AL201" i="1" a="1"/>
  <c r="AL201" i="1" s="1"/>
  <c r="AL264" i="1" a="1"/>
  <c r="AL264" i="1" s="1"/>
  <c r="AL41" i="1" a="1"/>
  <c r="AL41" i="1" s="1"/>
  <c r="AL143" i="1" a="1"/>
  <c r="AL143" i="1" s="1"/>
  <c r="AL292" i="1" a="1"/>
  <c r="AL292" i="1" s="1"/>
  <c r="AL509" i="1" a="1"/>
  <c r="AL509" i="1" s="1"/>
  <c r="AL144" i="1" a="1"/>
  <c r="AL144" i="1" s="1"/>
  <c r="AL378" i="1" a="1"/>
  <c r="AL378" i="1" s="1"/>
  <c r="AL510" i="1" a="1"/>
  <c r="AL510" i="1" s="1"/>
  <c r="AL113" i="1" a="1"/>
  <c r="AL113" i="1" s="1"/>
  <c r="AL202" i="1" a="1"/>
  <c r="AL202" i="1" s="1"/>
  <c r="AL328" i="1" a="1"/>
  <c r="AL328" i="1" s="1"/>
  <c r="AL265" i="1" a="1"/>
  <c r="AL265" i="1" s="1"/>
  <c r="AL379" i="1" a="1"/>
  <c r="AL379" i="1" s="1"/>
  <c r="AL78" i="1" a="1"/>
  <c r="AL78" i="1" s="1"/>
  <c r="AL329" i="1" a="1"/>
  <c r="AL329" i="1" s="1"/>
  <c r="AL330" i="1" a="1"/>
  <c r="AL330" i="1" s="1"/>
  <c r="AL446" i="1" a="1"/>
  <c r="AL446" i="1" s="1"/>
  <c r="AL511" i="1" a="1"/>
  <c r="AL511" i="1" s="1"/>
  <c r="AL380" i="1" a="1"/>
  <c r="AL380" i="1" s="1"/>
  <c r="AL114" i="1" a="1"/>
  <c r="AL114" i="1" s="1"/>
  <c r="AL409" i="1" a="1"/>
  <c r="AL409" i="1" s="1"/>
  <c r="AL381" i="1" a="1"/>
  <c r="AL381" i="1" s="1"/>
  <c r="AL230" i="1" a="1"/>
  <c r="AL230" i="1" s="1"/>
  <c r="AL170" i="1" a="1"/>
  <c r="AL170" i="1" s="1"/>
  <c r="AL115" i="1" a="1"/>
  <c r="AL115" i="1" s="1"/>
  <c r="AL410" i="1" a="1"/>
  <c r="AL410" i="1" s="1"/>
  <c r="AL447" i="1" a="1"/>
  <c r="AL447" i="1" s="1"/>
  <c r="AL42" i="1" a="1"/>
  <c r="AL42" i="1" s="1"/>
  <c r="AL231" i="1" a="1"/>
  <c r="AL231" i="1" s="1"/>
  <c r="AL203" i="1" a="1"/>
  <c r="AL203" i="1" s="1"/>
  <c r="AL411" i="1" a="1"/>
  <c r="AL411" i="1" s="1"/>
  <c r="AL293" i="1" a="1"/>
  <c r="AL293" i="1" s="1"/>
  <c r="AL484" i="1" a="1"/>
  <c r="AL484" i="1" s="1"/>
  <c r="AL331" i="1" a="1"/>
  <c r="AL331" i="1" s="1"/>
  <c r="AL204" i="1" a="1"/>
  <c r="AL204" i="1" s="1"/>
  <c r="AL205" i="1" a="1"/>
  <c r="AL205" i="1" s="1"/>
  <c r="AL332" i="1" a="1"/>
  <c r="AL332" i="1" s="1"/>
  <c r="AL145" i="1" a="1"/>
  <c r="AL145" i="1" s="1"/>
  <c r="AL294" i="1" a="1"/>
  <c r="AL294" i="1" s="1"/>
  <c r="AL146" i="1" a="1"/>
  <c r="AL146" i="1" s="1"/>
  <c r="AL266" i="1" a="1"/>
  <c r="AL266" i="1" s="1"/>
  <c r="AL382" i="1" a="1"/>
  <c r="AL382" i="1" s="1"/>
  <c r="AL116" i="1" a="1"/>
  <c r="AL116" i="1" s="1"/>
  <c r="AL79" i="1" a="1"/>
  <c r="AL79" i="1" s="1"/>
  <c r="AL232" i="1" a="1"/>
  <c r="AL232" i="1" s="1"/>
  <c r="AL267" i="1" a="1"/>
  <c r="AL267" i="1" s="1"/>
  <c r="AL43" i="1" a="1"/>
  <c r="AL43" i="1" s="1"/>
  <c r="AL383" i="1" a="1"/>
  <c r="AL383" i="1" s="1"/>
  <c r="AL359" i="1" a="1"/>
  <c r="AL359" i="1" s="1"/>
  <c r="AL412" i="1" a="1"/>
  <c r="AL412" i="1" s="1"/>
  <c r="AL448" i="1" a="1"/>
  <c r="AL448" i="1" s="1"/>
  <c r="AL206" i="1" a="1"/>
  <c r="AL206" i="1" s="1"/>
  <c r="AL147" i="1" a="1"/>
  <c r="AL147" i="1" s="1"/>
  <c r="AL207" i="1" a="1"/>
  <c r="AL207" i="1" s="1"/>
  <c r="AL449" i="1" a="1"/>
  <c r="AL449" i="1" s="1"/>
  <c r="AL171" i="1" a="1"/>
  <c r="AL171" i="1" s="1"/>
  <c r="AL295" i="1" a="1"/>
  <c r="AL295" i="1" s="1"/>
  <c r="AL172" i="1" a="1"/>
  <c r="AL172" i="1" s="1"/>
  <c r="AL80" i="1" a="1"/>
  <c r="AL80" i="1" s="1"/>
  <c r="AL384" i="1" a="1"/>
  <c r="AL384" i="1" s="1"/>
  <c r="AL148" i="1" a="1"/>
  <c r="AL148" i="1" s="1"/>
  <c r="AL117" i="1" a="1"/>
  <c r="AL117" i="1" s="1"/>
  <c r="AL173" i="1" a="1"/>
  <c r="AL173" i="1" s="1"/>
  <c r="AL450" i="1" a="1"/>
  <c r="AL450" i="1" s="1"/>
  <c r="AL485" i="1" a="1"/>
  <c r="AL485" i="1" s="1"/>
  <c r="AL233" i="1" a="1"/>
  <c r="AL233" i="1" s="1"/>
  <c r="AL333" i="1" a="1"/>
  <c r="AL333" i="1" s="1"/>
  <c r="AL81" i="1" a="1"/>
  <c r="AL81" i="1" s="1"/>
  <c r="AL385" i="1" a="1"/>
  <c r="AL385" i="1" s="1"/>
  <c r="AL386" i="1" a="1"/>
  <c r="AL386" i="1" s="1"/>
  <c r="AL118" i="1" a="1"/>
  <c r="AL118" i="1" s="1"/>
  <c r="AL268" i="1" a="1"/>
  <c r="AL268" i="1" s="1"/>
  <c r="AL334" i="1" a="1"/>
  <c r="AL334" i="1" s="1"/>
  <c r="AL387" i="1" a="1"/>
  <c r="AL387" i="1" s="1"/>
  <c r="AL512" i="1" a="1"/>
  <c r="AL512" i="1" s="1"/>
  <c r="AL296" i="1" a="1"/>
  <c r="AL296" i="1" s="1"/>
  <c r="AL513" i="1" a="1"/>
  <c r="AL513" i="1" s="1"/>
  <c r="AL360" i="1" a="1"/>
  <c r="AL360" i="1" s="1"/>
  <c r="AL413" i="1" a="1"/>
  <c r="AL413" i="1" s="1"/>
  <c r="AL361" i="1" a="1"/>
  <c r="AL361" i="1" s="1"/>
  <c r="AL388" i="1" a="1"/>
  <c r="AL388" i="1" s="1"/>
  <c r="AL451" i="1" a="1"/>
  <c r="AL451" i="1" s="1"/>
  <c r="AL297" i="1" a="1"/>
  <c r="AL297" i="1" s="1"/>
  <c r="AL174" i="1" a="1"/>
  <c r="AL174" i="1" s="1"/>
  <c r="AL44" i="1" a="1"/>
  <c r="AL44" i="1" s="1"/>
  <c r="AL414" i="1" a="1"/>
  <c r="AL414" i="1" s="1"/>
  <c r="AL82" i="1" a="1"/>
  <c r="AL82" i="1" s="1"/>
  <c r="AL269" i="1" a="1"/>
  <c r="AL269" i="1" s="1"/>
  <c r="AL415" i="1" a="1"/>
  <c r="AL415" i="1" s="1"/>
  <c r="AL416" i="1" a="1"/>
  <c r="AL416" i="1" s="1"/>
  <c r="AL389" i="1" a="1"/>
  <c r="AL389" i="1" s="1"/>
  <c r="AL514" i="1" a="1"/>
  <c r="AL514" i="1" s="1"/>
  <c r="AL417" i="1" a="1"/>
  <c r="AL417" i="1" s="1"/>
  <c r="AL452" i="1" a="1"/>
  <c r="AL452" i="1" s="1"/>
  <c r="AL486" i="1" a="1"/>
  <c r="AL486" i="1" s="1"/>
  <c r="AL390" i="1" a="1"/>
  <c r="AL390" i="1" s="1"/>
  <c r="AL234" i="1" a="1"/>
  <c r="AL234" i="1" s="1"/>
  <c r="AL149" i="1" a="1"/>
  <c r="AL149" i="1" s="1"/>
  <c r="AL298" i="1" a="1"/>
  <c r="AL298" i="1" s="1"/>
  <c r="AL175" i="1" a="1"/>
  <c r="AL175" i="1" s="1"/>
  <c r="AL270" i="1" a="1"/>
  <c r="AL270" i="1" s="1"/>
  <c r="AL83" i="1" a="1"/>
  <c r="AL83" i="1" s="1"/>
  <c r="AL45" i="1" a="1"/>
  <c r="AL45" i="1" s="1"/>
  <c r="AL176" i="1" a="1"/>
  <c r="AL176" i="1" s="1"/>
  <c r="AL119" i="1" a="1"/>
  <c r="AL119" i="1" s="1"/>
  <c r="AL46" i="1" a="1"/>
  <c r="AL46" i="1" s="1"/>
  <c r="AL453" i="1" a="1"/>
  <c r="AL453" i="1" s="1"/>
  <c r="AL47" i="1" a="1"/>
  <c r="AL47" i="1" s="1"/>
  <c r="AL515" i="1" a="1"/>
  <c r="AL515" i="1" s="1"/>
  <c r="AL48" i="1" a="1"/>
  <c r="AL48" i="1" s="1"/>
  <c r="AL150" i="1" a="1"/>
  <c r="AL150" i="1" s="1"/>
  <c r="AL49" i="1" a="1"/>
  <c r="AL49" i="1" s="1"/>
  <c r="AL208" i="1" a="1"/>
  <c r="AL208" i="1" s="1"/>
  <c r="AL235" i="1" a="1"/>
  <c r="AL235" i="1" s="1"/>
  <c r="AL454" i="1" a="1"/>
  <c r="AL454" i="1" s="1"/>
  <c r="AL362" i="1" a="1"/>
  <c r="AL362" i="1" s="1"/>
  <c r="AL335" i="1" a="1"/>
  <c r="AL335" i="1" s="1"/>
  <c r="AL177" i="1" a="1"/>
  <c r="AL177" i="1" s="1"/>
  <c r="AL178" i="1" a="1"/>
  <c r="AL178" i="1" s="1"/>
  <c r="AL236" i="1" a="1"/>
  <c r="AL236" i="1" s="1"/>
  <c r="AL455" i="1" a="1"/>
  <c r="AL455" i="1" s="1"/>
  <c r="AL336" i="1" a="1"/>
  <c r="AL336" i="1" s="1"/>
  <c r="AL516" i="1" a="1"/>
  <c r="AL516" i="1" s="1"/>
  <c r="AL179" i="1" a="1"/>
  <c r="AL179" i="1" s="1"/>
  <c r="AL84" i="1" a="1"/>
  <c r="AL84" i="1" s="1"/>
  <c r="AL50" i="1" a="1"/>
  <c r="AL50" i="1" s="1"/>
  <c r="AL456" i="1" a="1"/>
  <c r="AL456" i="1" s="1"/>
  <c r="AL418" i="1" a="1"/>
  <c r="AL418" i="1" s="1"/>
  <c r="AL271" i="1" a="1"/>
  <c r="AL271" i="1" s="1"/>
  <c r="AL180" i="1" a="1"/>
  <c r="AL180" i="1" s="1"/>
  <c r="AL272" i="1" a="1"/>
  <c r="AL272" i="1" s="1"/>
  <c r="AL487" i="1" a="1"/>
  <c r="AL487" i="1" s="1"/>
  <c r="AL51" i="1" a="1"/>
  <c r="AL51" i="1" s="1"/>
  <c r="AL85" i="1" a="1"/>
  <c r="AL85" i="1" s="1"/>
  <c r="AL120" i="1" a="1"/>
  <c r="AL120" i="1" s="1"/>
  <c r="AL151" i="1" a="1"/>
  <c r="AL151" i="1" s="1"/>
  <c r="AL52" i="1" a="1"/>
  <c r="AL52" i="1" s="1"/>
  <c r="AL273" i="1" a="1"/>
  <c r="AL273" i="1" s="1"/>
  <c r="AL363" i="1" a="1"/>
  <c r="AL363" i="1" s="1"/>
  <c r="AL53" i="1" a="1"/>
  <c r="AL53" i="1" s="1"/>
  <c r="AL457" i="1" a="1"/>
  <c r="AL457" i="1" s="1"/>
  <c r="AL337" i="1" a="1"/>
  <c r="AL337" i="1" s="1"/>
  <c r="AL86" i="1" a="1"/>
  <c r="AL86" i="1" s="1"/>
  <c r="AL391" i="1" a="1"/>
  <c r="AL391" i="1" s="1"/>
  <c r="AL121" i="1" a="1"/>
  <c r="AL121" i="1" s="1"/>
  <c r="AL87" i="1" a="1"/>
  <c r="AL87" i="1" s="1"/>
  <c r="AL88" i="1" a="1"/>
  <c r="AL88" i="1" s="1"/>
  <c r="AL122" i="1" a="1"/>
  <c r="AL122" i="1" s="1"/>
  <c r="AL237" i="1" a="1"/>
  <c r="AL237" i="1" s="1"/>
  <c r="AL274" i="1" a="1"/>
  <c r="AL274" i="1" s="1"/>
  <c r="AL517" i="1" a="1"/>
  <c r="AL517" i="1" s="1"/>
  <c r="AL89" i="1" a="1"/>
  <c r="AL89" i="1" s="1"/>
  <c r="AL209" i="1" a="1"/>
  <c r="AL209" i="1" s="1"/>
  <c r="AL364" i="1" a="1"/>
  <c r="AL364" i="1" s="1"/>
  <c r="AL210" i="1" a="1"/>
  <c r="AL210" i="1" s="1"/>
  <c r="AL488" i="1" a="1"/>
  <c r="AL488" i="1" s="1"/>
  <c r="AL181" i="1" a="1"/>
  <c r="AL181" i="1" s="1"/>
  <c r="AL489" i="1" a="1"/>
  <c r="AL489" i="1" s="1"/>
  <c r="AL419" i="1" a="1"/>
  <c r="AL419" i="1" s="1"/>
  <c r="AL392" i="1" a="1"/>
  <c r="AL392" i="1" s="1"/>
  <c r="J11" i="1"/>
  <c r="J10" i="1"/>
  <c r="J9" i="1"/>
  <c r="J8" i="1"/>
  <c r="J7" i="1"/>
  <c r="J6" i="1"/>
  <c r="J5" i="1"/>
  <c r="J3" i="1"/>
  <c r="J4" i="1"/>
  <c r="J2" i="1"/>
  <c r="AI458" i="1" a="1"/>
  <c r="AI458" i="1" s="1"/>
  <c r="AI152" i="1" a="1"/>
  <c r="AI152" i="1" s="1"/>
  <c r="AI182" i="1" a="1"/>
  <c r="AI182" i="1" s="1"/>
  <c r="AI238" i="1" a="1"/>
  <c r="AI238" i="1" s="1"/>
  <c r="AI420" i="1" a="1"/>
  <c r="AI420" i="1" s="1"/>
  <c r="AI239" i="1" a="1"/>
  <c r="AI239" i="1" s="1"/>
  <c r="AI299" i="1" a="1"/>
  <c r="AI299" i="1" s="1"/>
  <c r="AI54" i="1" a="1"/>
  <c r="AI54" i="1" s="1"/>
  <c r="AI183" i="1" a="1"/>
  <c r="AI183" i="1" s="1"/>
  <c r="AI153" i="1" a="1"/>
  <c r="AI153" i="1" s="1"/>
  <c r="AI184" i="1" a="1"/>
  <c r="AI184" i="1" s="1"/>
  <c r="AI185" i="1" a="1"/>
  <c r="AI185" i="1" s="1"/>
  <c r="AI459" i="1" a="1"/>
  <c r="AI459" i="1" s="1"/>
  <c r="AI365" i="1" a="1"/>
  <c r="AI365" i="1" s="1"/>
  <c r="AI240" i="1" a="1"/>
  <c r="AI240" i="1" s="1"/>
  <c r="AI460" i="1" a="1"/>
  <c r="AI460" i="1" s="1"/>
  <c r="AI90" i="1" a="1"/>
  <c r="AI90" i="1" s="1"/>
  <c r="AI338" i="1" a="1"/>
  <c r="AI338" i="1" s="1"/>
  <c r="AI55" i="1" a="1"/>
  <c r="AI55" i="1" s="1"/>
  <c r="AI393" i="1" a="1"/>
  <c r="AI393" i="1" s="1"/>
  <c r="AI275" i="1" a="1"/>
  <c r="AI275" i="1" s="1"/>
  <c r="AI421" i="1" a="1"/>
  <c r="AI421" i="1" s="1"/>
  <c r="AI490" i="1" a="1"/>
  <c r="AI490" i="1" s="1"/>
  <c r="AI154" i="1" a="1"/>
  <c r="AI154" i="1" s="1"/>
  <c r="AI339" i="1" a="1"/>
  <c r="AI339" i="1" s="1"/>
  <c r="AI340" i="1" a="1"/>
  <c r="AI340" i="1" s="1"/>
  <c r="AI491" i="1" a="1"/>
  <c r="AI491" i="1" s="1"/>
  <c r="AI123" i="1" a="1"/>
  <c r="AI123" i="1" s="1"/>
  <c r="AI18" i="1" a="1"/>
  <c r="AI18" i="1" s="1"/>
  <c r="AI241" i="1" a="1"/>
  <c r="AI241" i="1" s="1"/>
  <c r="AI366" i="1" a="1"/>
  <c r="AI366" i="1" s="1"/>
  <c r="AI341" i="1" a="1"/>
  <c r="AI341" i="1" s="1"/>
  <c r="AI300" i="1" a="1"/>
  <c r="AI300" i="1" s="1"/>
  <c r="AI56" i="1" a="1"/>
  <c r="AI56" i="1" s="1"/>
  <c r="AI91" i="1" a="1"/>
  <c r="AI91" i="1" s="1"/>
  <c r="AI186" i="1" a="1"/>
  <c r="AI186" i="1" s="1"/>
  <c r="AI422" i="1" a="1"/>
  <c r="AI422" i="1" s="1"/>
  <c r="AI461" i="1" a="1"/>
  <c r="AI461" i="1" s="1"/>
  <c r="AI342" i="1" a="1"/>
  <c r="AI342" i="1" s="1"/>
  <c r="AI19" i="1" a="1"/>
  <c r="AI19" i="1" s="1"/>
  <c r="AI492" i="1" a="1"/>
  <c r="AI492" i="1" s="1"/>
  <c r="AI92" i="1" a="1"/>
  <c r="AI92" i="1" s="1"/>
  <c r="AI57" i="1" a="1"/>
  <c r="AI57" i="1" s="1"/>
  <c r="AI211" i="1" a="1"/>
  <c r="AI211" i="1" s="1"/>
  <c r="AI124" i="1" a="1"/>
  <c r="AI124" i="1" s="1"/>
  <c r="AI343" i="1" a="1"/>
  <c r="AI343" i="1" s="1"/>
  <c r="AI242" i="1" a="1"/>
  <c r="AI242" i="1" s="1"/>
  <c r="AI344" i="1" a="1"/>
  <c r="AI344" i="1" s="1"/>
  <c r="AI301" i="1" a="1"/>
  <c r="AI301" i="1" s="1"/>
  <c r="AI212" i="1" a="1"/>
  <c r="AI212" i="1" s="1"/>
  <c r="AI125" i="1" a="1"/>
  <c r="AI125" i="1" s="1"/>
  <c r="AI126" i="1" a="1"/>
  <c r="AI126" i="1" s="1"/>
  <c r="AI394" i="1" a="1"/>
  <c r="AI394" i="1" s="1"/>
  <c r="AI345" i="1" a="1"/>
  <c r="AI345" i="1" s="1"/>
  <c r="AI127" i="1" a="1"/>
  <c r="AI127" i="1" s="1"/>
  <c r="AI493" i="1" a="1"/>
  <c r="AI493" i="1" s="1"/>
  <c r="AI462" i="1" a="1"/>
  <c r="AI462" i="1" s="1"/>
  <c r="AI302" i="1" a="1"/>
  <c r="AI302" i="1" s="1"/>
  <c r="AI463" i="1" a="1"/>
  <c r="AI463" i="1" s="1"/>
  <c r="AI395" i="1" a="1"/>
  <c r="AI395" i="1" s="1"/>
  <c r="AI93" i="1" a="1"/>
  <c r="AI93" i="1" s="1"/>
  <c r="AI367" i="1" a="1"/>
  <c r="AI367" i="1" s="1"/>
  <c r="AI155" i="1" a="1"/>
  <c r="AI155" i="1" s="1"/>
  <c r="AI58" i="1" a="1"/>
  <c r="AI58" i="1" s="1"/>
  <c r="AI303" i="1" a="1"/>
  <c r="AI303" i="1" s="1"/>
  <c r="AI213" i="1" a="1"/>
  <c r="AI213" i="1" s="1"/>
  <c r="AI20" i="1" a="1"/>
  <c r="AI20" i="1" s="1"/>
  <c r="AI243" i="1" a="1"/>
  <c r="AI243" i="1" s="1"/>
  <c r="AI423" i="1" a="1"/>
  <c r="AI423" i="1" s="1"/>
  <c r="AI94" i="1" a="1"/>
  <c r="AI94" i="1" s="1"/>
  <c r="AI244" i="1" a="1"/>
  <c r="AI244" i="1" s="1"/>
  <c r="AI21" i="1" a="1"/>
  <c r="AI21" i="1" s="1"/>
  <c r="AI22" i="1" a="1"/>
  <c r="AI22" i="1" s="1"/>
  <c r="AI424" i="1" a="1"/>
  <c r="AI424" i="1" s="1"/>
  <c r="AI494" i="1" a="1"/>
  <c r="AI494" i="1" s="1"/>
  <c r="AI276" i="1" a="1"/>
  <c r="AI276" i="1" s="1"/>
  <c r="AI368" i="1" a="1"/>
  <c r="AI368" i="1" s="1"/>
  <c r="AI156" i="1" a="1"/>
  <c r="AI156" i="1" s="1"/>
  <c r="AI157" i="1" a="1"/>
  <c r="AI157" i="1" s="1"/>
  <c r="AI304" i="1" a="1"/>
  <c r="AI304" i="1" s="1"/>
  <c r="AI425" i="1" a="1"/>
  <c r="AI425" i="1" s="1"/>
  <c r="AI495" i="1" a="1"/>
  <c r="AI495" i="1" s="1"/>
  <c r="AI23" i="1" a="1"/>
  <c r="AI23" i="1" s="1"/>
  <c r="AI24" i="1" a="1"/>
  <c r="AI24" i="1" s="1"/>
  <c r="AI245" i="1" a="1"/>
  <c r="AI245" i="1" s="1"/>
  <c r="AI95" i="1" a="1"/>
  <c r="AI95" i="1" s="1"/>
  <c r="AI246" i="1" a="1"/>
  <c r="AI246" i="1" s="1"/>
  <c r="AI369" i="1" a="1"/>
  <c r="AI369" i="1" s="1"/>
  <c r="AI25" i="1" a="1"/>
  <c r="AI25" i="1" s="1"/>
  <c r="AI247" i="1" a="1"/>
  <c r="AI247" i="1" s="1"/>
  <c r="AI26" i="1" a="1"/>
  <c r="AI26" i="1" s="1"/>
  <c r="AI214" i="1" a="1"/>
  <c r="AI214" i="1" s="1"/>
  <c r="AI59" i="1" a="1"/>
  <c r="AI59" i="1" s="1"/>
  <c r="AI187" i="1" a="1"/>
  <c r="AI187" i="1" s="1"/>
  <c r="AI426" i="1" a="1"/>
  <c r="AI426" i="1" s="1"/>
  <c r="AI277" i="1" a="1"/>
  <c r="AI277" i="1" s="1"/>
  <c r="AI464" i="1" a="1"/>
  <c r="AI464" i="1" s="1"/>
  <c r="AI215" i="1" a="1"/>
  <c r="AI215" i="1" s="1"/>
  <c r="AI188" i="1" a="1"/>
  <c r="AI188" i="1" s="1"/>
  <c r="AI396" i="1" a="1"/>
  <c r="AI396" i="1" s="1"/>
  <c r="AI248" i="1" a="1"/>
  <c r="AI248" i="1" s="1"/>
  <c r="AI249" i="1" a="1"/>
  <c r="AI249" i="1" s="1"/>
  <c r="AI278" i="1" a="1"/>
  <c r="AI278" i="1" s="1"/>
  <c r="AI27" i="1" a="1"/>
  <c r="AI27" i="1" s="1"/>
  <c r="AI370" i="1" a="1"/>
  <c r="AI370" i="1" s="1"/>
  <c r="AI279" i="1" a="1"/>
  <c r="AI279" i="1" s="1"/>
  <c r="AI96" i="1" a="1"/>
  <c r="AI96" i="1" s="1"/>
  <c r="AI60" i="1" a="1"/>
  <c r="AI60" i="1" s="1"/>
  <c r="AI61" i="1" a="1"/>
  <c r="AI61" i="1" s="1"/>
  <c r="AI305" i="1" a="1"/>
  <c r="AI305" i="1" s="1"/>
  <c r="AI216" i="1" a="1"/>
  <c r="AI216" i="1" s="1"/>
  <c r="AI250" i="1" a="1"/>
  <c r="AI250" i="1" s="1"/>
  <c r="AI251" i="1" a="1"/>
  <c r="AI496" i="1" a="1"/>
  <c r="AI496" i="1" s="1"/>
  <c r="AI252" i="1" a="1"/>
  <c r="AI252" i="1" s="1"/>
  <c r="AI497" i="1" a="1"/>
  <c r="AI497" i="1" s="1"/>
  <c r="AI217" i="1" a="1"/>
  <c r="AI217" i="1" s="1"/>
  <c r="AI218" i="1" a="1"/>
  <c r="AI218" i="1" s="1"/>
  <c r="AI97" i="1" a="1"/>
  <c r="AI97" i="1" s="1"/>
  <c r="AI306" i="1" a="1"/>
  <c r="AI306" i="1" s="1"/>
  <c r="AI253" i="1" a="1"/>
  <c r="AI253" i="1" s="1"/>
  <c r="AI307" i="1" a="1"/>
  <c r="AI307" i="1" s="1"/>
  <c r="AI465" i="1" a="1"/>
  <c r="AI465" i="1" s="1"/>
  <c r="AI427" i="1" a="1"/>
  <c r="AI427" i="1" s="1"/>
  <c r="AI428" i="1" a="1"/>
  <c r="AI428" i="1" s="1"/>
  <c r="AI62" i="1" a="1"/>
  <c r="AI62" i="1" s="1"/>
  <c r="AI498" i="1" a="1"/>
  <c r="AI498" i="1" s="1"/>
  <c r="AI397" i="1" a="1"/>
  <c r="AI397" i="1" s="1"/>
  <c r="AI63" i="1" a="1"/>
  <c r="AI63" i="1" s="1"/>
  <c r="AI28" i="1" a="1"/>
  <c r="AI28" i="1" s="1"/>
  <c r="AI128" i="1" a="1"/>
  <c r="AI128" i="1" s="1"/>
  <c r="AI29" i="1" a="1"/>
  <c r="AI29" i="1" s="1"/>
  <c r="AI189" i="1" a="1"/>
  <c r="AI189" i="1" s="1"/>
  <c r="AI129" i="1" a="1"/>
  <c r="AI129" i="1" s="1"/>
  <c r="AI308" i="1" a="1"/>
  <c r="AI308" i="1" s="1"/>
  <c r="AI280" i="1" a="1"/>
  <c r="AI280" i="1" s="1"/>
  <c r="AI499" i="1" a="1"/>
  <c r="AI499" i="1" s="1"/>
  <c r="AI281" i="1" a="1"/>
  <c r="AI281" i="1" s="1"/>
  <c r="AI466" i="1" a="1"/>
  <c r="AI466" i="1" s="1"/>
  <c r="AI190" i="1" a="1"/>
  <c r="AI190" i="1" s="1"/>
  <c r="AI467" i="1" a="1"/>
  <c r="AI467" i="1" s="1"/>
  <c r="AI398" i="1" a="1"/>
  <c r="AI398" i="1" s="1"/>
  <c r="AI158" i="1" a="1"/>
  <c r="AI158" i="1" s="1"/>
  <c r="AI282" i="1" a="1"/>
  <c r="AI282" i="1" s="1"/>
  <c r="AI191" i="1" a="1"/>
  <c r="AI191" i="1" s="1"/>
  <c r="AI192" i="1" a="1"/>
  <c r="AI192" i="1" s="1"/>
  <c r="AI500" i="1" a="1"/>
  <c r="AI500" i="1" s="1"/>
  <c r="AI130" i="1" a="1"/>
  <c r="AI130" i="1" s="1"/>
  <c r="AI219" i="1" a="1"/>
  <c r="AI219" i="1" s="1"/>
  <c r="AI283" i="1" a="1"/>
  <c r="AI283" i="1" s="1"/>
  <c r="AI131" i="1" a="1"/>
  <c r="AI131" i="1" s="1"/>
  <c r="AI309" i="1" a="1"/>
  <c r="AI309" i="1" s="1"/>
  <c r="AI220" i="1" a="1"/>
  <c r="AI220" i="1" s="1"/>
  <c r="AI30" i="1" a="1"/>
  <c r="AI30" i="1" s="1"/>
  <c r="AI429" i="1" a="1"/>
  <c r="AI429" i="1" s="1"/>
  <c r="AI132" i="1" a="1"/>
  <c r="AI132" i="1" s="1"/>
  <c r="AI159" i="1" a="1"/>
  <c r="AI159" i="1" s="1"/>
  <c r="AI31" i="1" a="1"/>
  <c r="AI31" i="1" s="1"/>
  <c r="AI193" i="1" a="1"/>
  <c r="AI193" i="1" s="1"/>
  <c r="AI501" i="1" a="1"/>
  <c r="AI501" i="1" s="1"/>
  <c r="AI254" i="1" a="1"/>
  <c r="AI254" i="1" s="1"/>
  <c r="AI64" i="1" a="1"/>
  <c r="AI64" i="1" s="1"/>
  <c r="AI371" i="1" a="1"/>
  <c r="AI371" i="1" s="1"/>
  <c r="AI32" i="1" a="1"/>
  <c r="AI32" i="1" s="1"/>
  <c r="AI468" i="1" a="1"/>
  <c r="AI468" i="1" s="1"/>
  <c r="AI502" i="1" a="1"/>
  <c r="AI502" i="1" s="1"/>
  <c r="AI346" i="1" a="1"/>
  <c r="AI346" i="1" s="1"/>
  <c r="AI347" i="1" a="1"/>
  <c r="AI347" i="1" s="1"/>
  <c r="AI65" i="1" a="1"/>
  <c r="AI65" i="1" s="1"/>
  <c r="AI66" i="1" a="1"/>
  <c r="AI66" i="1" s="1"/>
  <c r="AI255" i="1" a="1"/>
  <c r="AI255" i="1" s="1"/>
  <c r="AI372" i="1" a="1"/>
  <c r="AI372" i="1" s="1"/>
  <c r="AI469" i="1" a="1"/>
  <c r="AI469" i="1" s="1"/>
  <c r="AI430" i="1" a="1"/>
  <c r="AI430" i="1" s="1"/>
  <c r="AI221" i="1" a="1"/>
  <c r="AI221" i="1" s="1"/>
  <c r="AI133" i="1" a="1"/>
  <c r="AI133" i="1" s="1"/>
  <c r="AI310" i="1" a="1"/>
  <c r="AI310" i="1" s="1"/>
  <c r="AI470" i="1" a="1"/>
  <c r="AI470" i="1" s="1"/>
  <c r="AI67" i="1" a="1"/>
  <c r="AI67" i="1" s="1"/>
  <c r="AI348" i="1" a="1"/>
  <c r="AI348" i="1" s="1"/>
  <c r="AI284" i="1" a="1"/>
  <c r="AI284" i="1" s="1"/>
  <c r="AI256" i="1" a="1"/>
  <c r="AI256" i="1" s="1"/>
  <c r="AI471" i="1" a="1"/>
  <c r="AI471" i="1" s="1"/>
  <c r="AI33" i="1" a="1"/>
  <c r="AI33" i="1" s="1"/>
  <c r="AI98" i="1" a="1"/>
  <c r="AI98" i="1" s="1"/>
  <c r="AI472" i="1" a="1"/>
  <c r="AI472" i="1" s="1"/>
  <c r="AI160" i="1" a="1"/>
  <c r="AI160" i="1" s="1"/>
  <c r="AI68" i="1" a="1"/>
  <c r="AI68" i="1" s="1"/>
  <c r="AI431" i="1" a="1"/>
  <c r="AI431" i="1" s="1"/>
  <c r="AI161" i="1" a="1"/>
  <c r="AI161" i="1" s="1"/>
  <c r="AI349" i="1" a="1"/>
  <c r="AI349" i="1" s="1"/>
  <c r="AI432" i="1" a="1"/>
  <c r="AI432" i="1" s="1"/>
  <c r="AI69" i="1" a="1"/>
  <c r="AI69" i="1" s="1"/>
  <c r="AI194" i="1" a="1"/>
  <c r="AI194" i="1" s="1"/>
  <c r="AI257" i="1" a="1"/>
  <c r="AI257" i="1" s="1"/>
  <c r="AI285" i="1" a="1"/>
  <c r="AI285" i="1" s="1"/>
  <c r="AI34" i="1" a="1"/>
  <c r="AI34" i="1" s="1"/>
  <c r="AI162" i="1" a="1"/>
  <c r="AI162" i="1" s="1"/>
  <c r="AI99" i="1" a="1"/>
  <c r="AI99" i="1" s="1"/>
  <c r="AI311" i="1" a="1"/>
  <c r="AI311" i="1" s="1"/>
  <c r="AI134" i="1" a="1"/>
  <c r="AI134" i="1" s="1"/>
  <c r="AI195" i="1" a="1"/>
  <c r="AI195" i="1" s="1"/>
  <c r="AI135" i="1" a="1"/>
  <c r="AI135" i="1" s="1"/>
  <c r="AI312" i="1" a="1"/>
  <c r="AI312" i="1" s="1"/>
  <c r="AI196" i="1" a="1"/>
  <c r="AI196" i="1" s="1"/>
  <c r="AI313" i="1" a="1"/>
  <c r="AI313" i="1" s="1"/>
  <c r="AI70" i="1" a="1"/>
  <c r="AI70" i="1" s="1"/>
  <c r="AI35" i="1" a="1"/>
  <c r="AI35" i="1" s="1"/>
  <c r="AI136" i="1" a="1"/>
  <c r="AI136" i="1" s="1"/>
  <c r="AI473" i="1" a="1"/>
  <c r="AI473" i="1" s="1"/>
  <c r="AI503" i="1" a="1"/>
  <c r="AI503" i="1" s="1"/>
  <c r="AI474" i="1" a="1"/>
  <c r="AI474" i="1" s="1"/>
  <c r="AI163" i="1" a="1"/>
  <c r="AI163" i="1" s="1"/>
  <c r="AI314" i="1" a="1"/>
  <c r="AI314" i="1" s="1"/>
  <c r="AI433" i="1" a="1"/>
  <c r="AI433" i="1" s="1"/>
  <c r="AI399" i="1" a="1"/>
  <c r="AI399" i="1" s="1"/>
  <c r="AI373" i="1" a="1"/>
  <c r="AI373" i="1" s="1"/>
  <c r="AI100" i="1" a="1"/>
  <c r="AI100" i="1" s="1"/>
  <c r="AI101" i="1" a="1"/>
  <c r="AI101" i="1" s="1"/>
  <c r="AI137" i="1" a="1"/>
  <c r="AI137" i="1" s="1"/>
  <c r="AI315" i="1" a="1"/>
  <c r="AI315" i="1" s="1"/>
  <c r="AI258" i="1" a="1"/>
  <c r="AI258" i="1" s="1"/>
  <c r="AI71" i="1" a="1"/>
  <c r="AI71" i="1" s="1"/>
  <c r="AI259" i="1" a="1"/>
  <c r="AI259" i="1" s="1"/>
  <c r="AI475" i="1" a="1"/>
  <c r="AI475" i="1" s="1"/>
  <c r="AI504" i="1" a="1"/>
  <c r="AI504" i="1" s="1"/>
  <c r="AI400" i="1" a="1"/>
  <c r="AI400" i="1" s="1"/>
  <c r="AI36" i="1" a="1"/>
  <c r="AI36" i="1" s="1"/>
  <c r="AI316" i="1" a="1"/>
  <c r="AI316" i="1" s="1"/>
  <c r="AI197" i="1" a="1"/>
  <c r="AI197" i="1" s="1"/>
  <c r="AI222" i="1" a="1"/>
  <c r="AI222" i="1" s="1"/>
  <c r="AI37" i="1" a="1"/>
  <c r="AI37" i="1" s="1"/>
  <c r="AI102" i="1" a="1"/>
  <c r="AI102" i="1" s="1"/>
  <c r="AI350" i="1" a="1"/>
  <c r="AI350" i="1" s="1"/>
  <c r="AI401" i="1" a="1"/>
  <c r="AI401" i="1" s="1"/>
  <c r="AI260" i="1" a="1"/>
  <c r="AI260" i="1" s="1"/>
  <c r="AI317" i="1" a="1"/>
  <c r="AI317" i="1" s="1"/>
  <c r="AI351" i="1" a="1"/>
  <c r="AI351" i="1" s="1"/>
  <c r="AI223" i="1" a="1"/>
  <c r="AI223" i="1" s="1"/>
  <c r="AI476" i="1" a="1"/>
  <c r="AI476" i="1" s="1"/>
  <c r="AI374" i="1" a="1"/>
  <c r="AI374" i="1" s="1"/>
  <c r="AI224" i="1" a="1"/>
  <c r="AI224" i="1" s="1"/>
  <c r="AI103" i="1" a="1"/>
  <c r="AI103" i="1" s="1"/>
  <c r="AI477" i="1" a="1"/>
  <c r="AI477" i="1" s="1"/>
  <c r="AI286" i="1" a="1"/>
  <c r="AI286" i="1" s="1"/>
  <c r="AI164" i="1" a="1"/>
  <c r="AI164" i="1" s="1"/>
  <c r="AI138" i="1" a="1"/>
  <c r="AI138" i="1" s="1"/>
  <c r="AI434" i="1" a="1"/>
  <c r="AI434" i="1" s="1"/>
  <c r="AI478" i="1" a="1"/>
  <c r="AI478" i="1" s="1"/>
  <c r="AI505" i="1" a="1"/>
  <c r="AI505" i="1" s="1"/>
  <c r="AI352" i="1" a="1"/>
  <c r="AI352" i="1" s="1"/>
  <c r="AI287" i="1" a="1"/>
  <c r="AI287" i="1" s="1"/>
  <c r="AI435" i="1" a="1"/>
  <c r="AI435" i="1" s="1"/>
  <c r="AI165" i="1" a="1"/>
  <c r="AI165" i="1" s="1"/>
  <c r="AI375" i="1" a="1"/>
  <c r="AI375" i="1" s="1"/>
  <c r="AI436" i="1" a="1"/>
  <c r="AI436" i="1" s="1"/>
  <c r="AI139" i="1" a="1"/>
  <c r="AI139" i="1" s="1"/>
  <c r="AI166" i="1" a="1"/>
  <c r="AI166" i="1" s="1"/>
  <c r="AI72" i="1" a="1"/>
  <c r="AI72" i="1" s="1"/>
  <c r="AI104" i="1" a="1"/>
  <c r="AI104" i="1" s="1"/>
  <c r="AI225" i="1" a="1"/>
  <c r="AI225" i="1" s="1"/>
  <c r="AI105" i="1" a="1"/>
  <c r="AI105" i="1" s="1"/>
  <c r="AI353" i="1" a="1"/>
  <c r="AI353" i="1" s="1"/>
  <c r="AI261" i="1" a="1"/>
  <c r="AI261" i="1" s="1"/>
  <c r="AI437" i="1" a="1"/>
  <c r="AI437" i="1" s="1"/>
  <c r="AI438" i="1" a="1"/>
  <c r="AI438" i="1" s="1"/>
  <c r="AI354" i="1" a="1"/>
  <c r="AI354" i="1" s="1"/>
  <c r="AI106" i="1" a="1"/>
  <c r="AI106" i="1" s="1"/>
  <c r="AI73" i="1" a="1"/>
  <c r="AI73" i="1" s="1"/>
  <c r="AI198" i="1" a="1"/>
  <c r="AI198" i="1" s="1"/>
  <c r="AI107" i="1" a="1"/>
  <c r="AI107" i="1" s="1"/>
  <c r="AI439" i="1" a="1"/>
  <c r="AI439" i="1" s="1"/>
  <c r="AI402" i="1" a="1"/>
  <c r="AI402" i="1" s="1"/>
  <c r="AI479" i="1" a="1"/>
  <c r="AI479" i="1" s="1"/>
  <c r="AI108" i="1" a="1"/>
  <c r="AI108" i="1" s="1"/>
  <c r="AI262" i="1" a="1"/>
  <c r="AI262" i="1" s="1"/>
  <c r="AI38" i="1" a="1"/>
  <c r="AI38" i="1" s="1"/>
  <c r="AI226" i="1" a="1"/>
  <c r="AI226" i="1" s="1"/>
  <c r="AI318" i="1" a="1"/>
  <c r="AI318" i="1" s="1"/>
  <c r="AI319" i="1" a="1"/>
  <c r="AI319" i="1" s="1"/>
  <c r="AI140" i="1" a="1"/>
  <c r="AI140" i="1" s="1"/>
  <c r="AI39" i="1" a="1"/>
  <c r="AI39" i="1" s="1"/>
  <c r="AI506" i="1" a="1"/>
  <c r="AI506" i="1" s="1"/>
  <c r="AI320" i="1" a="1"/>
  <c r="AI320" i="1" s="1"/>
  <c r="AI440" i="1" a="1"/>
  <c r="AI440" i="1" s="1"/>
  <c r="AI321" i="1" a="1"/>
  <c r="AI321" i="1" s="1"/>
  <c r="AI403" i="1" a="1"/>
  <c r="AI403" i="1" s="1"/>
  <c r="AI355" i="1" a="1"/>
  <c r="AI355" i="1" s="1"/>
  <c r="AI480" i="1" a="1"/>
  <c r="AI480" i="1" s="1"/>
  <c r="AI376" i="1" a="1"/>
  <c r="AI376" i="1" s="1"/>
  <c r="AI288" i="1" a="1"/>
  <c r="AI288" i="1" s="1"/>
  <c r="AI141" i="1" a="1"/>
  <c r="AI141" i="1" s="1"/>
  <c r="AI74" i="1" a="1"/>
  <c r="AI74" i="1" s="1"/>
  <c r="AI289" i="1" a="1"/>
  <c r="AI289" i="1" s="1"/>
  <c r="AI109" i="1" a="1"/>
  <c r="AI109" i="1" s="1"/>
  <c r="AI441" i="1" a="1"/>
  <c r="AI441" i="1" s="1"/>
  <c r="AI40" i="1" a="1"/>
  <c r="AI40" i="1" s="1"/>
  <c r="AI75" i="1" a="1"/>
  <c r="AI75" i="1" s="1"/>
  <c r="AI404" i="1" a="1"/>
  <c r="AI404" i="1" s="1"/>
  <c r="AI227" i="1" a="1"/>
  <c r="AI227" i="1" s="1"/>
  <c r="AI110" i="1" a="1"/>
  <c r="AI110" i="1" s="1"/>
  <c r="AI356" i="1" a="1"/>
  <c r="AI356" i="1" s="1"/>
  <c r="AI167" i="1" a="1"/>
  <c r="AI167" i="1" s="1"/>
  <c r="AI263" i="1" a="1"/>
  <c r="AI263" i="1" s="1"/>
  <c r="AI111" i="1" a="1"/>
  <c r="AI111" i="1" s="1"/>
  <c r="AI442" i="1" a="1"/>
  <c r="AI442" i="1" s="1"/>
  <c r="AI405" i="1" a="1"/>
  <c r="AI405" i="1" s="1"/>
  <c r="AI406" i="1" a="1"/>
  <c r="AI406" i="1" s="1"/>
  <c r="AI357" i="1" a="1"/>
  <c r="AI357" i="1" s="1"/>
  <c r="AI290" i="1" a="1"/>
  <c r="AI290" i="1" s="1"/>
  <c r="AI199" i="1" a="1"/>
  <c r="AI199" i="1" s="1"/>
  <c r="AI443" i="1" a="1"/>
  <c r="AI443" i="1" s="1"/>
  <c r="AI112" i="1" a="1"/>
  <c r="AI112" i="1" s="1"/>
  <c r="AI168" i="1" a="1"/>
  <c r="AI168" i="1" s="1"/>
  <c r="AI377" i="1" a="1"/>
  <c r="AI377" i="1" s="1"/>
  <c r="AI291" i="1" a="1"/>
  <c r="AI291" i="1" s="1"/>
  <c r="AI507" i="1" a="1"/>
  <c r="AI507" i="1" s="1"/>
  <c r="AI200" i="1" a="1"/>
  <c r="AI200" i="1" s="1"/>
  <c r="AI76" i="1" a="1"/>
  <c r="AI76" i="1" s="1"/>
  <c r="AI77" i="1" a="1"/>
  <c r="AI77" i="1" s="1"/>
  <c r="AI407" i="1" a="1"/>
  <c r="AI407" i="1" s="1"/>
  <c r="AI408" i="1" a="1"/>
  <c r="AI408" i="1" s="1"/>
  <c r="AI142" i="1" a="1"/>
  <c r="AI142" i="1" s="1"/>
  <c r="AI322" i="1" a="1"/>
  <c r="AI322" i="1" s="1"/>
  <c r="AI323" i="1" a="1"/>
  <c r="AI323" i="1" s="1"/>
  <c r="AI169" i="1" a="1"/>
  <c r="AI169" i="1" s="1"/>
  <c r="AI324" i="1" a="1"/>
  <c r="AI324" i="1" s="1"/>
  <c r="AI508" i="1" a="1"/>
  <c r="AI508" i="1" s="1"/>
  <c r="AI228" i="1" a="1"/>
  <c r="AI228" i="1" s="1"/>
  <c r="AI444" i="1" a="1"/>
  <c r="AI444" i="1" s="1"/>
  <c r="AI325" i="1" a="1"/>
  <c r="AI325" i="1" s="1"/>
  <c r="AI445" i="1" a="1"/>
  <c r="AI445" i="1" s="1"/>
  <c r="AI481" i="1" a="1"/>
  <c r="AI481" i="1" s="1"/>
  <c r="AI229" i="1" a="1"/>
  <c r="AI229" i="1" s="1"/>
  <c r="AI326" i="1" a="1"/>
  <c r="AI326" i="1" s="1"/>
  <c r="AI482" i="1" a="1"/>
  <c r="AI482" i="1" s="1"/>
  <c r="AI358" i="1" a="1"/>
  <c r="AI358" i="1" s="1"/>
  <c r="AI483" i="1" a="1"/>
  <c r="AI483" i="1" s="1"/>
  <c r="AI327" i="1" a="1"/>
  <c r="AI327" i="1" s="1"/>
  <c r="AI201" i="1" a="1"/>
  <c r="AI201" i="1" s="1"/>
  <c r="AI264" i="1" a="1"/>
  <c r="AI264" i="1" s="1"/>
  <c r="AI41" i="1" a="1"/>
  <c r="AI41" i="1" s="1"/>
  <c r="AI143" i="1" a="1"/>
  <c r="AI143" i="1" s="1"/>
  <c r="AI292" i="1" a="1"/>
  <c r="AI292" i="1" s="1"/>
  <c r="AI509" i="1" a="1"/>
  <c r="AI509" i="1" s="1"/>
  <c r="AI144" i="1" a="1"/>
  <c r="AI144" i="1" s="1"/>
  <c r="AI378" i="1" a="1"/>
  <c r="AI378" i="1" s="1"/>
  <c r="AI510" i="1" a="1"/>
  <c r="AI510" i="1" s="1"/>
  <c r="AI113" i="1" a="1"/>
  <c r="AI113" i="1" s="1"/>
  <c r="AI202" i="1" a="1"/>
  <c r="AI202" i="1" s="1"/>
  <c r="AI328" i="1" a="1"/>
  <c r="AI328" i="1" s="1"/>
  <c r="AI265" i="1" a="1"/>
  <c r="AI265" i="1" s="1"/>
  <c r="AI379" i="1" a="1"/>
  <c r="AI379" i="1" s="1"/>
  <c r="AI78" i="1" a="1"/>
  <c r="AI78" i="1" s="1"/>
  <c r="AI329" i="1" a="1"/>
  <c r="AI329" i="1" s="1"/>
  <c r="AI330" i="1" a="1"/>
  <c r="AI330" i="1" s="1"/>
  <c r="AI446" i="1" a="1"/>
  <c r="AI446" i="1" s="1"/>
  <c r="AI511" i="1" a="1"/>
  <c r="AI511" i="1" s="1"/>
  <c r="AI380" i="1" a="1"/>
  <c r="AI380" i="1" s="1"/>
  <c r="AI114" i="1" a="1"/>
  <c r="AI114" i="1" s="1"/>
  <c r="AI409" i="1" a="1"/>
  <c r="AI409" i="1" s="1"/>
  <c r="AI381" i="1" a="1"/>
  <c r="AI381" i="1" s="1"/>
  <c r="AI230" i="1" a="1"/>
  <c r="AI230" i="1" s="1"/>
  <c r="AI170" i="1" a="1"/>
  <c r="AI170" i="1" s="1"/>
  <c r="AI115" i="1" a="1"/>
  <c r="AI115" i="1" s="1"/>
  <c r="AI410" i="1" a="1"/>
  <c r="AI410" i="1" s="1"/>
  <c r="AI447" i="1" a="1"/>
  <c r="AI447" i="1" s="1"/>
  <c r="AI42" i="1" a="1"/>
  <c r="AI42" i="1" s="1"/>
  <c r="AI231" i="1" a="1"/>
  <c r="AI231" i="1" s="1"/>
  <c r="AI203" i="1" a="1"/>
  <c r="AI203" i="1" s="1"/>
  <c r="AI411" i="1" a="1"/>
  <c r="AI411" i="1" s="1"/>
  <c r="AI293" i="1" a="1"/>
  <c r="AI293" i="1" s="1"/>
  <c r="AI484" i="1" a="1"/>
  <c r="AI484" i="1" s="1"/>
  <c r="AI331" i="1" a="1"/>
  <c r="AI331" i="1" s="1"/>
  <c r="AI204" i="1" a="1"/>
  <c r="AI204" i="1" s="1"/>
  <c r="AI205" i="1" a="1"/>
  <c r="AI205" i="1" s="1"/>
  <c r="AI332" i="1" a="1"/>
  <c r="AI332" i="1" s="1"/>
  <c r="AI145" i="1" a="1"/>
  <c r="AI145" i="1" s="1"/>
  <c r="AI294" i="1" a="1"/>
  <c r="AI294" i="1" s="1"/>
  <c r="AI146" i="1" a="1"/>
  <c r="AI146" i="1" s="1"/>
  <c r="AI266" i="1" a="1"/>
  <c r="AI266" i="1" s="1"/>
  <c r="AI382" i="1" a="1"/>
  <c r="AI382" i="1" s="1"/>
  <c r="AI116" i="1" a="1"/>
  <c r="AI116" i="1" s="1"/>
  <c r="AI79" i="1" a="1"/>
  <c r="AI79" i="1" s="1"/>
  <c r="AI232" i="1" a="1"/>
  <c r="AI232" i="1" s="1"/>
  <c r="AI267" i="1" a="1"/>
  <c r="AI267" i="1" s="1"/>
  <c r="AI43" i="1" a="1"/>
  <c r="AI43" i="1" s="1"/>
  <c r="AI383" i="1" a="1"/>
  <c r="AI383" i="1" s="1"/>
  <c r="AI359" i="1" a="1"/>
  <c r="AI359" i="1" s="1"/>
  <c r="AI412" i="1" a="1"/>
  <c r="AI412" i="1" s="1"/>
  <c r="AI448" i="1" a="1"/>
  <c r="AI448" i="1" s="1"/>
  <c r="AI206" i="1" a="1"/>
  <c r="AI206" i="1" s="1"/>
  <c r="AI147" i="1" a="1"/>
  <c r="AI147" i="1" s="1"/>
  <c r="AI207" i="1" a="1"/>
  <c r="AI207" i="1" s="1"/>
  <c r="AI449" i="1" a="1"/>
  <c r="AI449" i="1" s="1"/>
  <c r="AI171" i="1" a="1"/>
  <c r="AI171" i="1" s="1"/>
  <c r="AI295" i="1" a="1"/>
  <c r="AI295" i="1" s="1"/>
  <c r="AI172" i="1" a="1"/>
  <c r="AI172" i="1" s="1"/>
  <c r="AI80" i="1" a="1"/>
  <c r="AI80" i="1" s="1"/>
  <c r="AI384" i="1" a="1"/>
  <c r="AI384" i="1" s="1"/>
  <c r="AI148" i="1" a="1"/>
  <c r="AI148" i="1" s="1"/>
  <c r="AI117" i="1" a="1"/>
  <c r="AI117" i="1" s="1"/>
  <c r="AI173" i="1" a="1"/>
  <c r="AI173" i="1" s="1"/>
  <c r="AI450" i="1" a="1"/>
  <c r="AI450" i="1" s="1"/>
  <c r="AI485" i="1" a="1"/>
  <c r="AI485" i="1" s="1"/>
  <c r="AI233" i="1" a="1"/>
  <c r="AI233" i="1" s="1"/>
  <c r="AI333" i="1" a="1"/>
  <c r="AI333" i="1" s="1"/>
  <c r="AI81" i="1" a="1"/>
  <c r="AI81" i="1" s="1"/>
  <c r="AI385" i="1" a="1"/>
  <c r="AI385" i="1" s="1"/>
  <c r="AI386" i="1" a="1"/>
  <c r="AI386" i="1" s="1"/>
  <c r="AI118" i="1" a="1"/>
  <c r="AI118" i="1" s="1"/>
  <c r="AI268" i="1" a="1"/>
  <c r="AI268" i="1" s="1"/>
  <c r="AI334" i="1" a="1"/>
  <c r="AI334" i="1" s="1"/>
  <c r="AI387" i="1" a="1"/>
  <c r="AI387" i="1" s="1"/>
  <c r="AI512" i="1" a="1"/>
  <c r="AI512" i="1" s="1"/>
  <c r="AI296" i="1" a="1"/>
  <c r="AI296" i="1" s="1"/>
  <c r="AI513" i="1" a="1"/>
  <c r="AI513" i="1" s="1"/>
  <c r="AI360" i="1" a="1"/>
  <c r="AI360" i="1" s="1"/>
  <c r="AI413" i="1" a="1"/>
  <c r="AI413" i="1" s="1"/>
  <c r="AI361" i="1" a="1"/>
  <c r="AI361" i="1" s="1"/>
  <c r="AI388" i="1" a="1"/>
  <c r="AI388" i="1" s="1"/>
  <c r="AI451" i="1" a="1"/>
  <c r="AI451" i="1" s="1"/>
  <c r="AI297" i="1" a="1"/>
  <c r="AI297" i="1" s="1"/>
  <c r="AI174" i="1" a="1"/>
  <c r="AI174" i="1" s="1"/>
  <c r="AI44" i="1" a="1"/>
  <c r="AI44" i="1" s="1"/>
  <c r="AI414" i="1" a="1"/>
  <c r="AI414" i="1" s="1"/>
  <c r="AI82" i="1" a="1"/>
  <c r="AI82" i="1" s="1"/>
  <c r="AI269" i="1" a="1"/>
  <c r="AI269" i="1" s="1"/>
  <c r="AI415" i="1" a="1"/>
  <c r="AI415" i="1" s="1"/>
  <c r="AI416" i="1" a="1"/>
  <c r="AI416" i="1" s="1"/>
  <c r="AI389" i="1" a="1"/>
  <c r="AI389" i="1" s="1"/>
  <c r="AI514" i="1" a="1"/>
  <c r="AI514" i="1" s="1"/>
  <c r="AI417" i="1" a="1"/>
  <c r="AI417" i="1" s="1"/>
  <c r="AI452" i="1" a="1"/>
  <c r="AI452" i="1" s="1"/>
  <c r="AI486" i="1" a="1"/>
  <c r="AI486" i="1" s="1"/>
  <c r="AI390" i="1" a="1"/>
  <c r="AI390" i="1" s="1"/>
  <c r="AI234" i="1" a="1"/>
  <c r="AI234" i="1" s="1"/>
  <c r="AI149" i="1" a="1"/>
  <c r="AI149" i="1" s="1"/>
  <c r="AI298" i="1" a="1"/>
  <c r="AI298" i="1" s="1"/>
  <c r="AI175" i="1" a="1"/>
  <c r="AI175" i="1" s="1"/>
  <c r="AI270" i="1" a="1"/>
  <c r="AI270" i="1" s="1"/>
  <c r="AI83" i="1" a="1"/>
  <c r="AI83" i="1" s="1"/>
  <c r="AI45" i="1" a="1"/>
  <c r="AI45" i="1" s="1"/>
  <c r="AI176" i="1" a="1"/>
  <c r="AI176" i="1" s="1"/>
  <c r="AI119" i="1" a="1"/>
  <c r="AI119" i="1" s="1"/>
  <c r="AI46" i="1" a="1"/>
  <c r="AI46" i="1" s="1"/>
  <c r="AI453" i="1" a="1"/>
  <c r="AI453" i="1" s="1"/>
  <c r="AI47" i="1" a="1"/>
  <c r="AI47" i="1" s="1"/>
  <c r="AI515" i="1" a="1"/>
  <c r="AI515" i="1" s="1"/>
  <c r="AI48" i="1" a="1"/>
  <c r="AI48" i="1" s="1"/>
  <c r="AI150" i="1" a="1"/>
  <c r="AI150" i="1" s="1"/>
  <c r="AI49" i="1" a="1"/>
  <c r="AI49" i="1" s="1"/>
  <c r="AI208" i="1" a="1"/>
  <c r="AI208" i="1" s="1"/>
  <c r="AI235" i="1" a="1"/>
  <c r="AI235" i="1" s="1"/>
  <c r="AI454" i="1" a="1"/>
  <c r="AI454" i="1" s="1"/>
  <c r="AI362" i="1" a="1"/>
  <c r="AI362" i="1" s="1"/>
  <c r="AI335" i="1" a="1"/>
  <c r="AI335" i="1" s="1"/>
  <c r="AI177" i="1" a="1"/>
  <c r="AI177" i="1" s="1"/>
  <c r="AI178" i="1" a="1"/>
  <c r="AI178" i="1" s="1"/>
  <c r="AI236" i="1" a="1"/>
  <c r="AI236" i="1" s="1"/>
  <c r="AI455" i="1" a="1"/>
  <c r="AI455" i="1" s="1"/>
  <c r="AI336" i="1" a="1"/>
  <c r="AI336" i="1" s="1"/>
  <c r="AI516" i="1" a="1"/>
  <c r="AI516" i="1" s="1"/>
  <c r="AI179" i="1" a="1"/>
  <c r="AI179" i="1" s="1"/>
  <c r="AI84" i="1" a="1"/>
  <c r="AI84" i="1" s="1"/>
  <c r="AI50" i="1" a="1"/>
  <c r="AI50" i="1" s="1"/>
  <c r="AI456" i="1" a="1"/>
  <c r="AI456" i="1" s="1"/>
  <c r="AI418" i="1" a="1"/>
  <c r="AI418" i="1" s="1"/>
  <c r="AI271" i="1" a="1"/>
  <c r="AI271" i="1" s="1"/>
  <c r="AI180" i="1" a="1"/>
  <c r="AI180" i="1" s="1"/>
  <c r="AI272" i="1" a="1"/>
  <c r="AI272" i="1" s="1"/>
  <c r="AI487" i="1" a="1"/>
  <c r="AI487" i="1" s="1"/>
  <c r="AI51" i="1" a="1"/>
  <c r="AI51" i="1" s="1"/>
  <c r="AI85" i="1" a="1"/>
  <c r="AI85" i="1" s="1"/>
  <c r="AI120" i="1" a="1"/>
  <c r="AI120" i="1" s="1"/>
  <c r="AI151" i="1" a="1"/>
  <c r="AI151" i="1" s="1"/>
  <c r="AI52" i="1" a="1"/>
  <c r="AI52" i="1" s="1"/>
  <c r="AI273" i="1" a="1"/>
  <c r="AI273" i="1" s="1"/>
  <c r="AI363" i="1" a="1"/>
  <c r="AI363" i="1" s="1"/>
  <c r="AI53" i="1" a="1"/>
  <c r="AI53" i="1" s="1"/>
  <c r="AI457" i="1" a="1"/>
  <c r="AI457" i="1" s="1"/>
  <c r="AI337" i="1" a="1"/>
  <c r="AI337" i="1" s="1"/>
  <c r="AI86" i="1" a="1"/>
  <c r="AI86" i="1" s="1"/>
  <c r="AI391" i="1" a="1"/>
  <c r="AI391" i="1" s="1"/>
  <c r="AI121" i="1" a="1"/>
  <c r="AI121" i="1" s="1"/>
  <c r="AI87" i="1" a="1"/>
  <c r="AI87" i="1" s="1"/>
  <c r="AI88" i="1" a="1"/>
  <c r="AI88" i="1" s="1"/>
  <c r="AI122" i="1" a="1"/>
  <c r="AI122" i="1" s="1"/>
  <c r="AI237" i="1" a="1"/>
  <c r="AI237" i="1" s="1"/>
  <c r="AI274" i="1" a="1"/>
  <c r="AI274" i="1" s="1"/>
  <c r="AI517" i="1" a="1"/>
  <c r="AI517" i="1" s="1"/>
  <c r="AI89" i="1" a="1"/>
  <c r="AI89" i="1" s="1"/>
  <c r="AI209" i="1" a="1"/>
  <c r="AI209" i="1" s="1"/>
  <c r="AI364" i="1" a="1"/>
  <c r="AI364" i="1" s="1"/>
  <c r="AI210" i="1" a="1"/>
  <c r="AI210" i="1" s="1"/>
  <c r="AI488" i="1" a="1"/>
  <c r="AI488" i="1" s="1"/>
  <c r="AI181" i="1" a="1"/>
  <c r="AI181" i="1" s="1"/>
  <c r="AI489" i="1" a="1"/>
  <c r="AI489" i="1" s="1"/>
  <c r="AI419" i="1" a="1"/>
  <c r="AI419" i="1" s="1"/>
  <c r="AI392" i="1" a="1"/>
  <c r="AI392" i="1" s="1"/>
  <c r="Q10" i="1"/>
  <c r="Q9" i="1"/>
  <c r="Q8" i="1"/>
  <c r="Q7" i="1"/>
  <c r="Q4" i="1"/>
  <c r="Q3" i="1"/>
  <c r="Q11" i="1"/>
  <c r="Q6" i="1"/>
  <c r="Q5" i="1"/>
  <c r="Q2" i="1"/>
  <c r="AA182" i="1"/>
  <c r="Y16" i="1"/>
  <c r="X16" i="1"/>
  <c r="W16" i="1"/>
  <c r="T16" i="1"/>
  <c r="U16" i="1"/>
  <c r="V16" i="1"/>
  <c r="N16" i="1"/>
  <c r="O16" i="1"/>
  <c r="P16" i="1"/>
  <c r="Q16" i="1"/>
  <c r="R16" i="1"/>
  <c r="S16" i="1"/>
  <c r="M16" i="1"/>
  <c r="L16" i="1"/>
  <c r="K16" i="1"/>
  <c r="J16" i="1"/>
  <c r="E16" i="1"/>
  <c r="D16" i="1"/>
  <c r="I16" i="1"/>
  <c r="F16" i="1"/>
  <c r="G16" i="1"/>
  <c r="H16" i="1"/>
  <c r="C16" i="1"/>
  <c r="B16" i="1"/>
  <c r="AG458" i="1" a="1"/>
  <c r="AG458" i="1" s="1"/>
  <c r="AG152" i="1" a="1"/>
  <c r="AG152" i="1" s="1"/>
  <c r="AG182" i="1" a="1"/>
  <c r="AG182" i="1" s="1"/>
  <c r="AG238" i="1" a="1"/>
  <c r="AG238" i="1" s="1"/>
  <c r="AG420" i="1" a="1"/>
  <c r="AG420" i="1" s="1"/>
  <c r="AG239" i="1" a="1"/>
  <c r="AG239" i="1" s="1"/>
  <c r="AG299" i="1" a="1"/>
  <c r="AG299" i="1" s="1"/>
  <c r="AG54" i="1" a="1"/>
  <c r="AG54" i="1" s="1"/>
  <c r="AG183" i="1" a="1"/>
  <c r="AG183" i="1" s="1"/>
  <c r="AG153" i="1" a="1"/>
  <c r="AG153" i="1" s="1"/>
  <c r="AG184" i="1" a="1"/>
  <c r="AG184" i="1" s="1"/>
  <c r="AG185" i="1" a="1"/>
  <c r="AG185" i="1" s="1"/>
  <c r="AG459" i="1" a="1"/>
  <c r="AG459" i="1" s="1"/>
  <c r="AG365" i="1" a="1"/>
  <c r="AG365" i="1" s="1"/>
  <c r="AG240" i="1" a="1"/>
  <c r="AG240" i="1" s="1"/>
  <c r="AG460" i="1" a="1"/>
  <c r="AG460" i="1" s="1"/>
  <c r="AG90" i="1" a="1"/>
  <c r="AG90" i="1" s="1"/>
  <c r="AG338" i="1" a="1"/>
  <c r="AG338" i="1" s="1"/>
  <c r="AG55" i="1" a="1"/>
  <c r="AG55" i="1" s="1"/>
  <c r="AG393" i="1" a="1"/>
  <c r="AG393" i="1" s="1"/>
  <c r="AG275" i="1" a="1"/>
  <c r="AG275" i="1" s="1"/>
  <c r="AG421" i="1" a="1"/>
  <c r="AG421" i="1" s="1"/>
  <c r="AG490" i="1" a="1"/>
  <c r="AG490" i="1" s="1"/>
  <c r="AG154" i="1" a="1"/>
  <c r="AG154" i="1" s="1"/>
  <c r="AG339" i="1" a="1"/>
  <c r="AG339" i="1" s="1"/>
  <c r="AG340" i="1" a="1"/>
  <c r="AG340" i="1" s="1"/>
  <c r="AG491" i="1" a="1"/>
  <c r="AG491" i="1" s="1"/>
  <c r="AG123" i="1" a="1"/>
  <c r="AG123" i="1" s="1"/>
  <c r="AG18" i="1" a="1"/>
  <c r="AG18" i="1" s="1"/>
  <c r="AG241" i="1" a="1"/>
  <c r="AG241" i="1" s="1"/>
  <c r="AG366" i="1" a="1"/>
  <c r="AG366" i="1" s="1"/>
  <c r="AG341" i="1" a="1"/>
  <c r="AG341" i="1" s="1"/>
  <c r="AG300" i="1" a="1"/>
  <c r="AG300" i="1" s="1"/>
  <c r="AG56" i="1" a="1"/>
  <c r="AG56" i="1" s="1"/>
  <c r="AG91" i="1" a="1"/>
  <c r="AG91" i="1" s="1"/>
  <c r="AG186" i="1" a="1"/>
  <c r="AG186" i="1" s="1"/>
  <c r="AG422" i="1" a="1"/>
  <c r="AG422" i="1" s="1"/>
  <c r="AG461" i="1" a="1"/>
  <c r="AG461" i="1" s="1"/>
  <c r="AG342" i="1" a="1"/>
  <c r="AG342" i="1" s="1"/>
  <c r="AG19" i="1" a="1"/>
  <c r="AG19" i="1" s="1"/>
  <c r="AG492" i="1" a="1"/>
  <c r="AG492" i="1" s="1"/>
  <c r="AG92" i="1" a="1"/>
  <c r="AG92" i="1" s="1"/>
  <c r="AG57" i="1" a="1"/>
  <c r="AG57" i="1" s="1"/>
  <c r="AG211" i="1" a="1"/>
  <c r="AG211" i="1" s="1"/>
  <c r="AG124" i="1" a="1"/>
  <c r="AG124" i="1" s="1"/>
  <c r="AG343" i="1" a="1"/>
  <c r="AG343" i="1" s="1"/>
  <c r="AG242" i="1" a="1"/>
  <c r="AG242" i="1" s="1"/>
  <c r="AG344" i="1" a="1"/>
  <c r="AG344" i="1" s="1"/>
  <c r="AG301" i="1" a="1"/>
  <c r="AG301" i="1" s="1"/>
  <c r="AG212" i="1" a="1"/>
  <c r="AG212" i="1" s="1"/>
  <c r="AG125" i="1" a="1"/>
  <c r="AG125" i="1" s="1"/>
  <c r="AG126" i="1" a="1"/>
  <c r="AG126" i="1" s="1"/>
  <c r="AG394" i="1" a="1"/>
  <c r="AG394" i="1" s="1"/>
  <c r="AG345" i="1" a="1"/>
  <c r="AG345" i="1" s="1"/>
  <c r="AG127" i="1" a="1"/>
  <c r="AG127" i="1" s="1"/>
  <c r="AG493" i="1" a="1"/>
  <c r="AG493" i="1" s="1"/>
  <c r="AG462" i="1" a="1"/>
  <c r="AG462" i="1" s="1"/>
  <c r="AG302" i="1" a="1"/>
  <c r="AG302" i="1" s="1"/>
  <c r="AG463" i="1" a="1"/>
  <c r="AG463" i="1" s="1"/>
  <c r="AG395" i="1" a="1"/>
  <c r="AG395" i="1" s="1"/>
  <c r="AG93" i="1" a="1"/>
  <c r="AG93" i="1" s="1"/>
  <c r="AG367" i="1" a="1"/>
  <c r="AG367" i="1" s="1"/>
  <c r="AG155" i="1" a="1"/>
  <c r="AG155" i="1" s="1"/>
  <c r="AG58" i="1" a="1"/>
  <c r="AG58" i="1" s="1"/>
  <c r="AG303" i="1" a="1"/>
  <c r="AG303" i="1" s="1"/>
  <c r="AG213" i="1" a="1"/>
  <c r="AG213" i="1" s="1"/>
  <c r="AG20" i="1" a="1"/>
  <c r="AG20" i="1" s="1"/>
  <c r="AG243" i="1" a="1"/>
  <c r="AG243" i="1" s="1"/>
  <c r="AG423" i="1" a="1"/>
  <c r="AG423" i="1" s="1"/>
  <c r="AG94" i="1" a="1"/>
  <c r="AG94" i="1" s="1"/>
  <c r="AG244" i="1" a="1"/>
  <c r="AG244" i="1" s="1"/>
  <c r="AG21" i="1" a="1"/>
  <c r="AG21" i="1" s="1"/>
  <c r="AG22" i="1" a="1"/>
  <c r="AG22" i="1" s="1"/>
  <c r="AG424" i="1" a="1"/>
  <c r="AG424" i="1" s="1"/>
  <c r="AG494" i="1" a="1"/>
  <c r="AG494" i="1" s="1"/>
  <c r="AG276" i="1" a="1"/>
  <c r="AG276" i="1" s="1"/>
  <c r="AG368" i="1" a="1"/>
  <c r="AG368" i="1" s="1"/>
  <c r="AG156" i="1" a="1"/>
  <c r="AG156" i="1" s="1"/>
  <c r="AG157" i="1" a="1"/>
  <c r="AG157" i="1" s="1"/>
  <c r="AG304" i="1" a="1"/>
  <c r="AG304" i="1" s="1"/>
  <c r="AG425" i="1" a="1"/>
  <c r="AG425" i="1" s="1"/>
  <c r="AG495" i="1" a="1"/>
  <c r="AG495" i="1" s="1"/>
  <c r="AG23" i="1" a="1"/>
  <c r="AG23" i="1" s="1"/>
  <c r="AG24" i="1" a="1"/>
  <c r="AG24" i="1" s="1"/>
  <c r="AG245" i="1" a="1"/>
  <c r="AG245" i="1" s="1"/>
  <c r="AG95" i="1" a="1"/>
  <c r="AG95" i="1" s="1"/>
  <c r="AG246" i="1" a="1"/>
  <c r="AG246" i="1" s="1"/>
  <c r="AG369" i="1" a="1"/>
  <c r="AG369" i="1" s="1"/>
  <c r="AG25" i="1" a="1"/>
  <c r="AG25" i="1" s="1"/>
  <c r="AG247" i="1" a="1"/>
  <c r="AG247" i="1" s="1"/>
  <c r="AG26" i="1" a="1"/>
  <c r="AG26" i="1" s="1"/>
  <c r="AG214" i="1" a="1"/>
  <c r="AG214" i="1" s="1"/>
  <c r="AG59" i="1" a="1"/>
  <c r="AG59" i="1" s="1"/>
  <c r="AG187" i="1" a="1"/>
  <c r="AG187" i="1" s="1"/>
  <c r="AG426" i="1" a="1"/>
  <c r="AG426" i="1" s="1"/>
  <c r="AG277" i="1" a="1"/>
  <c r="AG277" i="1" s="1"/>
  <c r="AG464" i="1" a="1"/>
  <c r="AG464" i="1" s="1"/>
  <c r="AG215" i="1" a="1"/>
  <c r="AG215" i="1" s="1"/>
  <c r="AG188" i="1" a="1"/>
  <c r="AG188" i="1" s="1"/>
  <c r="AG396" i="1" a="1"/>
  <c r="AG396" i="1" s="1"/>
  <c r="AG248" i="1" a="1"/>
  <c r="AG248" i="1" s="1"/>
  <c r="AG249" i="1" a="1"/>
  <c r="AG249" i="1" s="1"/>
  <c r="AG278" i="1" a="1"/>
  <c r="AG278" i="1" s="1"/>
  <c r="AG27" i="1" a="1"/>
  <c r="AG27" i="1" s="1"/>
  <c r="AG370" i="1" a="1"/>
  <c r="AG370" i="1" s="1"/>
  <c r="AG279" i="1" a="1"/>
  <c r="AG279" i="1" s="1"/>
  <c r="AG96" i="1" a="1"/>
  <c r="AG96" i="1" s="1"/>
  <c r="AG60" i="1" a="1"/>
  <c r="AG60" i="1" s="1"/>
  <c r="AG61" i="1" a="1"/>
  <c r="AG61" i="1" s="1"/>
  <c r="AG305" i="1" a="1"/>
  <c r="AG305" i="1" s="1"/>
  <c r="AG216" i="1" a="1"/>
  <c r="AG216" i="1" s="1"/>
  <c r="AG250" i="1" a="1"/>
  <c r="AG250" i="1" s="1"/>
  <c r="AG251" i="1" a="1"/>
  <c r="AG251" i="1" s="1"/>
  <c r="AG496" i="1" a="1"/>
  <c r="AG496" i="1" s="1"/>
  <c r="AG252" i="1" a="1"/>
  <c r="AG252" i="1" s="1"/>
  <c r="AG497" i="1" a="1"/>
  <c r="AG497" i="1" s="1"/>
  <c r="AG217" i="1" a="1"/>
  <c r="AG217" i="1" s="1"/>
  <c r="AG218" i="1" a="1"/>
  <c r="AG218" i="1" s="1"/>
  <c r="AG97" i="1" a="1"/>
  <c r="AG97" i="1" s="1"/>
  <c r="AG306" i="1" a="1"/>
  <c r="AG306" i="1" s="1"/>
  <c r="AG253" i="1" a="1"/>
  <c r="AG253" i="1" s="1"/>
  <c r="AG307" i="1" a="1"/>
  <c r="AG307" i="1" s="1"/>
  <c r="AG465" i="1" a="1"/>
  <c r="AG465" i="1" s="1"/>
  <c r="AG427" i="1" a="1"/>
  <c r="AG427" i="1" s="1"/>
  <c r="AG428" i="1" a="1"/>
  <c r="AG428" i="1" s="1"/>
  <c r="AG62" i="1" a="1"/>
  <c r="AG62" i="1" s="1"/>
  <c r="AG498" i="1" a="1"/>
  <c r="AG498" i="1" s="1"/>
  <c r="AG397" i="1" a="1"/>
  <c r="AG397" i="1" s="1"/>
  <c r="AG63" i="1" a="1"/>
  <c r="AG63" i="1" s="1"/>
  <c r="AG28" i="1" a="1"/>
  <c r="AG28" i="1" s="1"/>
  <c r="AG128" i="1" a="1"/>
  <c r="AG128" i="1" s="1"/>
  <c r="AG29" i="1" a="1"/>
  <c r="AG29" i="1" s="1"/>
  <c r="AG189" i="1" a="1"/>
  <c r="AG189" i="1" s="1"/>
  <c r="AG129" i="1" a="1"/>
  <c r="AG129" i="1" s="1"/>
  <c r="AG308" i="1" a="1"/>
  <c r="AG308" i="1" s="1"/>
  <c r="AG280" i="1" a="1"/>
  <c r="AG280" i="1" s="1"/>
  <c r="AG499" i="1" a="1"/>
  <c r="AG499" i="1" s="1"/>
  <c r="AG281" i="1" a="1"/>
  <c r="AG281" i="1" s="1"/>
  <c r="AG466" i="1" a="1"/>
  <c r="AG466" i="1" s="1"/>
  <c r="AG190" i="1" a="1"/>
  <c r="AG190" i="1" s="1"/>
  <c r="AG467" i="1" a="1"/>
  <c r="AG467" i="1" s="1"/>
  <c r="AG398" i="1" a="1"/>
  <c r="AG398" i="1" s="1"/>
  <c r="AG158" i="1" a="1"/>
  <c r="AG158" i="1" s="1"/>
  <c r="AG282" i="1" a="1"/>
  <c r="AG282" i="1" s="1"/>
  <c r="AG191" i="1" a="1"/>
  <c r="AG191" i="1" s="1"/>
  <c r="AG192" i="1" a="1"/>
  <c r="AG192" i="1" s="1"/>
  <c r="AG500" i="1" a="1"/>
  <c r="AG500" i="1" s="1"/>
  <c r="AG130" i="1" a="1"/>
  <c r="AG130" i="1" s="1"/>
  <c r="AG219" i="1" a="1"/>
  <c r="AG219" i="1" s="1"/>
  <c r="AG283" i="1" a="1"/>
  <c r="AG283" i="1" s="1"/>
  <c r="AG131" i="1" a="1"/>
  <c r="AG131" i="1" s="1"/>
  <c r="AG309" i="1" a="1"/>
  <c r="AG309" i="1" s="1"/>
  <c r="AG220" i="1" a="1"/>
  <c r="AG220" i="1" s="1"/>
  <c r="AG30" i="1" a="1"/>
  <c r="AG30" i="1" s="1"/>
  <c r="AG429" i="1" a="1"/>
  <c r="AG429" i="1" s="1"/>
  <c r="AG132" i="1" a="1"/>
  <c r="AG132" i="1" s="1"/>
  <c r="AG159" i="1" a="1"/>
  <c r="AG159" i="1" s="1"/>
  <c r="AG31" i="1" a="1"/>
  <c r="AG31" i="1" s="1"/>
  <c r="AG193" i="1" a="1"/>
  <c r="AG193" i="1" s="1"/>
  <c r="AG501" i="1" a="1"/>
  <c r="AG501" i="1" s="1"/>
  <c r="AG254" i="1" a="1"/>
  <c r="AG254" i="1" s="1"/>
  <c r="AG64" i="1" a="1"/>
  <c r="AG64" i="1" s="1"/>
  <c r="AG371" i="1" a="1"/>
  <c r="AG371" i="1" s="1"/>
  <c r="AG32" i="1" a="1"/>
  <c r="AG32" i="1" s="1"/>
  <c r="AG468" i="1" a="1"/>
  <c r="AG468" i="1" s="1"/>
  <c r="AG502" i="1" a="1"/>
  <c r="AG502" i="1" s="1"/>
  <c r="AG346" i="1" a="1"/>
  <c r="AG346" i="1" s="1"/>
  <c r="AG347" i="1" a="1"/>
  <c r="AG347" i="1" s="1"/>
  <c r="AG65" i="1" a="1"/>
  <c r="AG65" i="1" s="1"/>
  <c r="AG66" i="1" a="1"/>
  <c r="AG66" i="1" s="1"/>
  <c r="AG255" i="1" a="1"/>
  <c r="AG255" i="1" s="1"/>
  <c r="AG372" i="1" a="1"/>
  <c r="AG372" i="1" s="1"/>
  <c r="AG469" i="1" a="1"/>
  <c r="AG469" i="1" s="1"/>
  <c r="AG430" i="1" a="1"/>
  <c r="AG430" i="1" s="1"/>
  <c r="AG221" i="1" a="1"/>
  <c r="AG221" i="1" s="1"/>
  <c r="AG133" i="1" a="1"/>
  <c r="AG133" i="1" s="1"/>
  <c r="AG310" i="1" a="1"/>
  <c r="AG310" i="1" s="1"/>
  <c r="AG470" i="1" a="1"/>
  <c r="AG470" i="1" s="1"/>
  <c r="AG67" i="1" a="1"/>
  <c r="AG67" i="1" s="1"/>
  <c r="AG348" i="1" a="1"/>
  <c r="AG348" i="1" s="1"/>
  <c r="AG284" i="1" a="1"/>
  <c r="AG284" i="1" s="1"/>
  <c r="AG256" i="1" a="1"/>
  <c r="AG256" i="1" s="1"/>
  <c r="AG471" i="1" a="1"/>
  <c r="AG471" i="1" s="1"/>
  <c r="AG33" i="1" a="1"/>
  <c r="AG33" i="1" s="1"/>
  <c r="AG98" i="1" a="1"/>
  <c r="AG98" i="1" s="1"/>
  <c r="AG472" i="1" a="1"/>
  <c r="AG472" i="1" s="1"/>
  <c r="AG160" i="1" a="1"/>
  <c r="AG160" i="1" s="1"/>
  <c r="AG68" i="1" a="1"/>
  <c r="AG68" i="1" s="1"/>
  <c r="AG431" i="1" a="1"/>
  <c r="AG431" i="1" s="1"/>
  <c r="AG161" i="1" a="1"/>
  <c r="AG161" i="1" s="1"/>
  <c r="AG349" i="1" a="1"/>
  <c r="AG349" i="1" s="1"/>
  <c r="AG432" i="1" a="1"/>
  <c r="AG432" i="1" s="1"/>
  <c r="AG69" i="1" a="1"/>
  <c r="AG69" i="1" s="1"/>
  <c r="AG194" i="1" a="1"/>
  <c r="AG194" i="1" s="1"/>
  <c r="AG257" i="1" a="1"/>
  <c r="AG257" i="1" s="1"/>
  <c r="AG285" i="1" a="1"/>
  <c r="AG285" i="1" s="1"/>
  <c r="AG34" i="1" a="1"/>
  <c r="AG34" i="1" s="1"/>
  <c r="AG162" i="1" a="1"/>
  <c r="AG162" i="1" s="1"/>
  <c r="AG99" i="1" a="1"/>
  <c r="AG99" i="1" s="1"/>
  <c r="AG311" i="1" a="1"/>
  <c r="AG311" i="1" s="1"/>
  <c r="AG134" i="1" a="1"/>
  <c r="AG134" i="1" s="1"/>
  <c r="AG195" i="1" a="1"/>
  <c r="AG195" i="1" s="1"/>
  <c r="AG135" i="1" a="1"/>
  <c r="AG135" i="1" s="1"/>
  <c r="AG312" i="1" a="1"/>
  <c r="AG312" i="1" s="1"/>
  <c r="AG196" i="1" a="1"/>
  <c r="AG196" i="1" s="1"/>
  <c r="AG313" i="1" a="1"/>
  <c r="AG313" i="1" s="1"/>
  <c r="AG70" i="1" a="1"/>
  <c r="AG70" i="1" s="1"/>
  <c r="AG35" i="1" a="1"/>
  <c r="AG35" i="1" s="1"/>
  <c r="AG136" i="1" a="1"/>
  <c r="AG136" i="1" s="1"/>
  <c r="AG473" i="1" a="1"/>
  <c r="AG473" i="1" s="1"/>
  <c r="AG503" i="1" a="1"/>
  <c r="AG503" i="1" s="1"/>
  <c r="AG474" i="1" a="1"/>
  <c r="AG474" i="1" s="1"/>
  <c r="AG163" i="1" a="1"/>
  <c r="AG163" i="1" s="1"/>
  <c r="AG314" i="1" a="1"/>
  <c r="AG314" i="1" s="1"/>
  <c r="AG433" i="1" a="1"/>
  <c r="AG433" i="1" s="1"/>
  <c r="AG399" i="1" a="1"/>
  <c r="AG399" i="1" s="1"/>
  <c r="AG373" i="1" a="1"/>
  <c r="AG373" i="1" s="1"/>
  <c r="AG100" i="1" a="1"/>
  <c r="AG100" i="1" s="1"/>
  <c r="AG101" i="1" a="1"/>
  <c r="AG101" i="1" s="1"/>
  <c r="AG137" i="1" a="1"/>
  <c r="AG137" i="1" s="1"/>
  <c r="AG315" i="1" a="1"/>
  <c r="AG315" i="1" s="1"/>
  <c r="AG258" i="1" a="1"/>
  <c r="AG258" i="1" s="1"/>
  <c r="AG71" i="1" a="1"/>
  <c r="AG71" i="1" s="1"/>
  <c r="AG259" i="1" a="1"/>
  <c r="AG259" i="1" s="1"/>
  <c r="AG475" i="1" a="1"/>
  <c r="AG475" i="1" s="1"/>
  <c r="AG504" i="1" a="1"/>
  <c r="AG504" i="1" s="1"/>
  <c r="AG400" i="1" a="1"/>
  <c r="AG400" i="1" s="1"/>
  <c r="AG36" i="1" a="1"/>
  <c r="AG36" i="1" s="1"/>
  <c r="AG316" i="1" a="1"/>
  <c r="AG316" i="1" s="1"/>
  <c r="AG197" i="1" a="1"/>
  <c r="AG197" i="1" s="1"/>
  <c r="AG222" i="1" a="1"/>
  <c r="AG222" i="1" s="1"/>
  <c r="AG37" i="1" a="1"/>
  <c r="AG37" i="1" s="1"/>
  <c r="AG102" i="1" a="1"/>
  <c r="AG102" i="1" s="1"/>
  <c r="AG350" i="1" a="1"/>
  <c r="AG350" i="1" s="1"/>
  <c r="AG401" i="1" a="1"/>
  <c r="AG401" i="1" s="1"/>
  <c r="AG260" i="1" a="1"/>
  <c r="AG260" i="1" s="1"/>
  <c r="AG317" i="1" a="1"/>
  <c r="AG317" i="1" s="1"/>
  <c r="AG351" i="1" a="1"/>
  <c r="AG351" i="1" s="1"/>
  <c r="AG223" i="1" a="1"/>
  <c r="AG223" i="1" s="1"/>
  <c r="AG476" i="1" a="1"/>
  <c r="AG476" i="1" s="1"/>
  <c r="AG374" i="1" a="1"/>
  <c r="AG374" i="1" s="1"/>
  <c r="AG224" i="1" a="1"/>
  <c r="AG224" i="1" s="1"/>
  <c r="AG103" i="1" a="1"/>
  <c r="AG103" i="1" s="1"/>
  <c r="AG477" i="1" a="1"/>
  <c r="AG477" i="1" s="1"/>
  <c r="AG286" i="1" a="1"/>
  <c r="AG286" i="1" s="1"/>
  <c r="AG164" i="1" a="1"/>
  <c r="AG164" i="1" s="1"/>
  <c r="AG138" i="1" a="1"/>
  <c r="AG138" i="1" s="1"/>
  <c r="AG434" i="1" a="1"/>
  <c r="AG434" i="1" s="1"/>
  <c r="AG478" i="1" a="1"/>
  <c r="AG478" i="1" s="1"/>
  <c r="AG505" i="1" a="1"/>
  <c r="AG505" i="1" s="1"/>
  <c r="AG352" i="1" a="1"/>
  <c r="AG352" i="1" s="1"/>
  <c r="AG287" i="1" a="1"/>
  <c r="AG287" i="1" s="1"/>
  <c r="AG435" i="1" a="1"/>
  <c r="AG435" i="1" s="1"/>
  <c r="AG165" i="1" a="1"/>
  <c r="AG165" i="1" s="1"/>
  <c r="AG375" i="1" a="1"/>
  <c r="AG375" i="1" s="1"/>
  <c r="AG436" i="1" a="1"/>
  <c r="AG436" i="1" s="1"/>
  <c r="AG139" i="1" a="1"/>
  <c r="AG139" i="1" s="1"/>
  <c r="AG166" i="1" a="1"/>
  <c r="AG166" i="1" s="1"/>
  <c r="AG72" i="1" a="1"/>
  <c r="AG72" i="1" s="1"/>
  <c r="AG104" i="1" a="1"/>
  <c r="AG104" i="1" s="1"/>
  <c r="AG225" i="1" a="1"/>
  <c r="AG225" i="1" s="1"/>
  <c r="AG105" i="1" a="1"/>
  <c r="AG105" i="1" s="1"/>
  <c r="AG353" i="1" a="1"/>
  <c r="AG353" i="1" s="1"/>
  <c r="AG261" i="1" a="1"/>
  <c r="AG261" i="1" s="1"/>
  <c r="AG437" i="1" a="1"/>
  <c r="AG437" i="1" s="1"/>
  <c r="AG438" i="1" a="1"/>
  <c r="AG438" i="1" s="1"/>
  <c r="AG354" i="1" a="1"/>
  <c r="AG354" i="1" s="1"/>
  <c r="AG106" i="1" a="1"/>
  <c r="AG106" i="1" s="1"/>
  <c r="AG73" i="1" a="1"/>
  <c r="AG73" i="1" s="1"/>
  <c r="AG198" i="1" a="1"/>
  <c r="AG198" i="1" s="1"/>
  <c r="AG107" i="1" a="1"/>
  <c r="AG107" i="1" s="1"/>
  <c r="AG439" i="1" a="1"/>
  <c r="AG439" i="1" s="1"/>
  <c r="AG402" i="1" a="1"/>
  <c r="AG402" i="1" s="1"/>
  <c r="AG479" i="1" a="1"/>
  <c r="AG479" i="1" s="1"/>
  <c r="AG108" i="1" a="1"/>
  <c r="AG108" i="1" s="1"/>
  <c r="AG262" i="1" a="1"/>
  <c r="AG262" i="1" s="1"/>
  <c r="AG38" i="1" a="1"/>
  <c r="AG38" i="1" s="1"/>
  <c r="AG226" i="1" a="1"/>
  <c r="AG226" i="1" s="1"/>
  <c r="AG318" i="1" a="1"/>
  <c r="AG318" i="1" s="1"/>
  <c r="AG319" i="1" a="1"/>
  <c r="AG319" i="1" s="1"/>
  <c r="AG140" i="1" a="1"/>
  <c r="AG140" i="1" s="1"/>
  <c r="AG39" i="1" a="1"/>
  <c r="AG39" i="1" s="1"/>
  <c r="AG506" i="1" a="1"/>
  <c r="AG506" i="1" s="1"/>
  <c r="AG320" i="1" a="1"/>
  <c r="AG320" i="1" s="1"/>
  <c r="AG440" i="1" a="1"/>
  <c r="AG440" i="1" s="1"/>
  <c r="AG321" i="1" a="1"/>
  <c r="AG321" i="1" s="1"/>
  <c r="AG403" i="1" a="1"/>
  <c r="AG403" i="1" s="1"/>
  <c r="AG355" i="1" a="1"/>
  <c r="AG355" i="1" s="1"/>
  <c r="AG480" i="1" a="1"/>
  <c r="AG480" i="1" s="1"/>
  <c r="AG376" i="1" a="1"/>
  <c r="AG376" i="1" s="1"/>
  <c r="AG288" i="1" a="1"/>
  <c r="AG288" i="1" s="1"/>
  <c r="AG141" i="1" a="1"/>
  <c r="AG141" i="1" s="1"/>
  <c r="AG74" i="1" a="1"/>
  <c r="AG74" i="1" s="1"/>
  <c r="AG289" i="1" a="1"/>
  <c r="AG289" i="1" s="1"/>
  <c r="AG109" i="1" a="1"/>
  <c r="AG109" i="1" s="1"/>
  <c r="AG441" i="1" a="1"/>
  <c r="AG441" i="1" s="1"/>
  <c r="AG40" i="1" a="1"/>
  <c r="AG40" i="1" s="1"/>
  <c r="AG75" i="1" a="1"/>
  <c r="AG75" i="1" s="1"/>
  <c r="AG404" i="1" a="1"/>
  <c r="AG404" i="1" s="1"/>
  <c r="AG227" i="1" a="1"/>
  <c r="AG227" i="1" s="1"/>
  <c r="AG110" i="1" a="1"/>
  <c r="AG110" i="1" s="1"/>
  <c r="AG356" i="1" a="1"/>
  <c r="AG356" i="1" s="1"/>
  <c r="AG167" i="1" a="1"/>
  <c r="AG167" i="1" s="1"/>
  <c r="AG263" i="1" a="1"/>
  <c r="AG263" i="1" s="1"/>
  <c r="AG111" i="1" a="1"/>
  <c r="AG111" i="1" s="1"/>
  <c r="AG442" i="1" a="1"/>
  <c r="AG442" i="1" s="1"/>
  <c r="AG405" i="1" a="1"/>
  <c r="AG405" i="1" s="1"/>
  <c r="AG406" i="1" a="1"/>
  <c r="AG406" i="1" s="1"/>
  <c r="AG357" i="1" a="1"/>
  <c r="AG357" i="1" s="1"/>
  <c r="AG290" i="1" a="1"/>
  <c r="AG290" i="1" s="1"/>
  <c r="AG199" i="1" a="1"/>
  <c r="AG199" i="1" s="1"/>
  <c r="AG443" i="1" a="1"/>
  <c r="AG443" i="1" s="1"/>
  <c r="AG112" i="1" a="1"/>
  <c r="AG112" i="1" s="1"/>
  <c r="AG168" i="1" a="1"/>
  <c r="AG168" i="1" s="1"/>
  <c r="AG377" i="1" a="1"/>
  <c r="AG377" i="1" s="1"/>
  <c r="AG291" i="1" a="1"/>
  <c r="AG291" i="1" s="1"/>
  <c r="AG507" i="1" a="1"/>
  <c r="AG507" i="1" s="1"/>
  <c r="AG200" i="1" a="1"/>
  <c r="AG200" i="1" s="1"/>
  <c r="AG76" i="1" a="1"/>
  <c r="AG76" i="1" s="1"/>
  <c r="AG77" i="1" a="1"/>
  <c r="AG77" i="1" s="1"/>
  <c r="AG407" i="1" a="1"/>
  <c r="AG407" i="1" s="1"/>
  <c r="AG408" i="1" a="1"/>
  <c r="AG408" i="1" s="1"/>
  <c r="AG142" i="1" a="1"/>
  <c r="AG142" i="1" s="1"/>
  <c r="AG322" i="1" a="1"/>
  <c r="AG322" i="1" s="1"/>
  <c r="AG323" i="1" a="1"/>
  <c r="AG323" i="1" s="1"/>
  <c r="AG169" i="1" a="1"/>
  <c r="AG169" i="1" s="1"/>
  <c r="AG324" i="1" a="1"/>
  <c r="AG324" i="1" s="1"/>
  <c r="AG508" i="1" a="1"/>
  <c r="AG508" i="1" s="1"/>
  <c r="AG228" i="1" a="1"/>
  <c r="AG228" i="1" s="1"/>
  <c r="AG444" i="1" a="1"/>
  <c r="AG444" i="1" s="1"/>
  <c r="AG325" i="1" a="1"/>
  <c r="AG325" i="1" s="1"/>
  <c r="AG445" i="1" a="1"/>
  <c r="AG445" i="1" s="1"/>
  <c r="AG481" i="1" a="1"/>
  <c r="AG481" i="1" s="1"/>
  <c r="AG229" i="1" a="1"/>
  <c r="AG229" i="1" s="1"/>
  <c r="AG326" i="1" a="1"/>
  <c r="AG326" i="1" s="1"/>
  <c r="AG482" i="1" a="1"/>
  <c r="AG482" i="1" s="1"/>
  <c r="AG358" i="1" a="1"/>
  <c r="AG358" i="1" s="1"/>
  <c r="AG483" i="1" a="1"/>
  <c r="AG483" i="1" s="1"/>
  <c r="AG327" i="1" a="1"/>
  <c r="AG327" i="1" s="1"/>
  <c r="AG201" i="1" a="1"/>
  <c r="AG201" i="1" s="1"/>
  <c r="AG264" i="1" a="1"/>
  <c r="AG264" i="1" s="1"/>
  <c r="AG41" i="1" a="1"/>
  <c r="AG41" i="1" s="1"/>
  <c r="AG143" i="1" a="1"/>
  <c r="AG143" i="1" s="1"/>
  <c r="AG292" i="1" a="1"/>
  <c r="AG292" i="1" s="1"/>
  <c r="AG509" i="1" a="1"/>
  <c r="AG509" i="1" s="1"/>
  <c r="AG144" i="1" a="1"/>
  <c r="AG144" i="1" s="1"/>
  <c r="AG378" i="1" a="1"/>
  <c r="AG378" i="1" s="1"/>
  <c r="AG510" i="1" a="1"/>
  <c r="AG510" i="1" s="1"/>
  <c r="AG113" i="1" a="1"/>
  <c r="AG113" i="1" s="1"/>
  <c r="AG202" i="1" a="1"/>
  <c r="AG202" i="1" s="1"/>
  <c r="AG328" i="1" a="1"/>
  <c r="AG328" i="1" s="1"/>
  <c r="AG265" i="1" a="1"/>
  <c r="AG265" i="1" s="1"/>
  <c r="AG379" i="1" a="1"/>
  <c r="AG379" i="1" s="1"/>
  <c r="AG78" i="1" a="1"/>
  <c r="AG78" i="1" s="1"/>
  <c r="AG329" i="1" a="1"/>
  <c r="AG329" i="1" s="1"/>
  <c r="AG330" i="1" a="1"/>
  <c r="AG330" i="1" s="1"/>
  <c r="AG446" i="1" a="1"/>
  <c r="AG446" i="1" s="1"/>
  <c r="AG511" i="1" a="1"/>
  <c r="AG511" i="1" s="1"/>
  <c r="AG380" i="1" a="1"/>
  <c r="AG380" i="1" s="1"/>
  <c r="AG114" i="1" a="1"/>
  <c r="AG114" i="1" s="1"/>
  <c r="AG409" i="1" a="1"/>
  <c r="AG409" i="1" s="1"/>
  <c r="AG381" i="1" a="1"/>
  <c r="AG381" i="1" s="1"/>
  <c r="AG230" i="1" a="1"/>
  <c r="AG230" i="1" s="1"/>
  <c r="AG170" i="1" a="1"/>
  <c r="AG170" i="1" s="1"/>
  <c r="AG115" i="1" a="1"/>
  <c r="AG115" i="1" s="1"/>
  <c r="AG410" i="1" a="1"/>
  <c r="AG410" i="1" s="1"/>
  <c r="AG447" i="1" a="1"/>
  <c r="AG447" i="1" s="1"/>
  <c r="AG42" i="1" a="1"/>
  <c r="AG42" i="1" s="1"/>
  <c r="AG231" i="1" a="1"/>
  <c r="AG231" i="1" s="1"/>
  <c r="AG203" i="1" a="1"/>
  <c r="AG203" i="1" s="1"/>
  <c r="AG411" i="1" a="1"/>
  <c r="AG411" i="1" s="1"/>
  <c r="AG293" i="1" a="1"/>
  <c r="AG293" i="1" s="1"/>
  <c r="AG484" i="1" a="1"/>
  <c r="AG484" i="1" s="1"/>
  <c r="AG331" i="1" a="1"/>
  <c r="AG331" i="1" s="1"/>
  <c r="AG204" i="1" a="1"/>
  <c r="AG204" i="1" s="1"/>
  <c r="AG205" i="1" a="1"/>
  <c r="AG205" i="1" s="1"/>
  <c r="AG332" i="1" a="1"/>
  <c r="AG332" i="1" s="1"/>
  <c r="AG145" i="1" a="1"/>
  <c r="AG145" i="1" s="1"/>
  <c r="AG294" i="1" a="1"/>
  <c r="AG294" i="1" s="1"/>
  <c r="AG146" i="1" a="1"/>
  <c r="AG146" i="1" s="1"/>
  <c r="AG266" i="1" a="1"/>
  <c r="AG266" i="1" s="1"/>
  <c r="AG382" i="1" a="1"/>
  <c r="AG382" i="1" s="1"/>
  <c r="AG116" i="1" a="1"/>
  <c r="AG116" i="1" s="1"/>
  <c r="AG79" i="1" a="1"/>
  <c r="AG79" i="1" s="1"/>
  <c r="AG232" i="1" a="1"/>
  <c r="AG232" i="1" s="1"/>
  <c r="AG267" i="1" a="1"/>
  <c r="AG267" i="1" s="1"/>
  <c r="AG43" i="1" a="1"/>
  <c r="AG43" i="1" s="1"/>
  <c r="AG383" i="1" a="1"/>
  <c r="AG383" i="1" s="1"/>
  <c r="AG359" i="1" a="1"/>
  <c r="AG359" i="1" s="1"/>
  <c r="AG412" i="1" a="1"/>
  <c r="AG412" i="1" s="1"/>
  <c r="AG448" i="1" a="1"/>
  <c r="AG448" i="1" s="1"/>
  <c r="AG206" i="1" a="1"/>
  <c r="AG206" i="1" s="1"/>
  <c r="AG147" i="1" a="1"/>
  <c r="AG147" i="1" s="1"/>
  <c r="AG207" i="1" a="1"/>
  <c r="AG207" i="1" s="1"/>
  <c r="AG449" i="1" a="1"/>
  <c r="AG449" i="1" s="1"/>
  <c r="AG171" i="1" a="1"/>
  <c r="AG171" i="1" s="1"/>
  <c r="AG295" i="1" a="1"/>
  <c r="AG295" i="1" s="1"/>
  <c r="AG172" i="1" a="1"/>
  <c r="AG172" i="1" s="1"/>
  <c r="AG80" i="1" a="1"/>
  <c r="AG80" i="1" s="1"/>
  <c r="AG384" i="1" a="1"/>
  <c r="AG384" i="1" s="1"/>
  <c r="AG148" i="1" a="1"/>
  <c r="AG148" i="1" s="1"/>
  <c r="AG117" i="1" a="1"/>
  <c r="AG117" i="1" s="1"/>
  <c r="AG173" i="1" a="1"/>
  <c r="AG173" i="1" s="1"/>
  <c r="AG450" i="1" a="1"/>
  <c r="AG450" i="1" s="1"/>
  <c r="AG485" i="1" a="1"/>
  <c r="AG485" i="1" s="1"/>
  <c r="AG233" i="1" a="1"/>
  <c r="AG233" i="1" s="1"/>
  <c r="AG333" i="1" a="1"/>
  <c r="AG333" i="1" s="1"/>
  <c r="AG81" i="1" a="1"/>
  <c r="AG81" i="1" s="1"/>
  <c r="AG385" i="1" a="1"/>
  <c r="AG385" i="1" s="1"/>
  <c r="AG386" i="1" a="1"/>
  <c r="AG386" i="1" s="1"/>
  <c r="AG118" i="1" a="1"/>
  <c r="AG118" i="1" s="1"/>
  <c r="AG268" i="1" a="1"/>
  <c r="AG268" i="1" s="1"/>
  <c r="AG334" i="1" a="1"/>
  <c r="AG334" i="1" s="1"/>
  <c r="AG387" i="1" a="1"/>
  <c r="AG387" i="1" s="1"/>
  <c r="AG512" i="1" a="1"/>
  <c r="AG512" i="1" s="1"/>
  <c r="AG296" i="1" a="1"/>
  <c r="AG296" i="1" s="1"/>
  <c r="AG513" i="1" a="1"/>
  <c r="AG513" i="1" s="1"/>
  <c r="AG360" i="1" a="1"/>
  <c r="AG360" i="1" s="1"/>
  <c r="AG413" i="1" a="1"/>
  <c r="AG413" i="1" s="1"/>
  <c r="AG361" i="1" a="1"/>
  <c r="AG361" i="1" s="1"/>
  <c r="AG388" i="1" a="1"/>
  <c r="AG388" i="1" s="1"/>
  <c r="AG451" i="1" a="1"/>
  <c r="AG451" i="1" s="1"/>
  <c r="AG297" i="1" a="1"/>
  <c r="AG297" i="1" s="1"/>
  <c r="AG174" i="1" a="1"/>
  <c r="AG174" i="1" s="1"/>
  <c r="AG44" i="1" a="1"/>
  <c r="AG44" i="1" s="1"/>
  <c r="AG414" i="1" a="1"/>
  <c r="AG414" i="1" s="1"/>
  <c r="AG82" i="1" a="1"/>
  <c r="AG82" i="1" s="1"/>
  <c r="AG269" i="1" a="1"/>
  <c r="AG269" i="1" s="1"/>
  <c r="AG415" i="1" a="1"/>
  <c r="AG415" i="1" s="1"/>
  <c r="AG416" i="1" a="1"/>
  <c r="AG416" i="1" s="1"/>
  <c r="AG389" i="1" a="1"/>
  <c r="AG389" i="1" s="1"/>
  <c r="AG514" i="1" a="1"/>
  <c r="AG514" i="1" s="1"/>
  <c r="AG417" i="1" a="1"/>
  <c r="AG417" i="1" s="1"/>
  <c r="AG452" i="1" a="1"/>
  <c r="AG452" i="1" s="1"/>
  <c r="AG486" i="1" a="1"/>
  <c r="AG486" i="1" s="1"/>
  <c r="AG390" i="1" a="1"/>
  <c r="AG390" i="1" s="1"/>
  <c r="AG234" i="1" a="1"/>
  <c r="AG234" i="1" s="1"/>
  <c r="AG149" i="1" a="1"/>
  <c r="AG149" i="1" s="1"/>
  <c r="AG298" i="1" a="1"/>
  <c r="AG298" i="1" s="1"/>
  <c r="AG175" i="1" a="1"/>
  <c r="AG175" i="1" s="1"/>
  <c r="AG270" i="1" a="1"/>
  <c r="AG270" i="1" s="1"/>
  <c r="AG83" i="1" a="1"/>
  <c r="AG83" i="1" s="1"/>
  <c r="AG45" i="1" a="1"/>
  <c r="AG45" i="1" s="1"/>
  <c r="AG176" i="1" a="1"/>
  <c r="AG176" i="1" s="1"/>
  <c r="AG119" i="1" a="1"/>
  <c r="AG119" i="1" s="1"/>
  <c r="AG46" i="1" a="1"/>
  <c r="AG46" i="1" s="1"/>
  <c r="AG453" i="1" a="1"/>
  <c r="AG453" i="1" s="1"/>
  <c r="AG47" i="1" a="1"/>
  <c r="AG47" i="1" s="1"/>
  <c r="AG515" i="1" a="1"/>
  <c r="AG515" i="1" s="1"/>
  <c r="AG48" i="1" a="1"/>
  <c r="AG48" i="1" s="1"/>
  <c r="AG150" i="1" a="1"/>
  <c r="AG150" i="1" s="1"/>
  <c r="AG49" i="1" a="1"/>
  <c r="AG49" i="1" s="1"/>
  <c r="AG208" i="1" a="1"/>
  <c r="AG208" i="1" s="1"/>
  <c r="AG235" i="1" a="1"/>
  <c r="AG235" i="1" s="1"/>
  <c r="AG454" i="1" a="1"/>
  <c r="AG454" i="1" s="1"/>
  <c r="AG362" i="1" a="1"/>
  <c r="AG362" i="1" s="1"/>
  <c r="AG335" i="1" a="1"/>
  <c r="AG335" i="1" s="1"/>
  <c r="AG177" i="1" a="1"/>
  <c r="AG177" i="1" s="1"/>
  <c r="AG178" i="1" a="1"/>
  <c r="AG178" i="1" s="1"/>
  <c r="AG236" i="1" a="1"/>
  <c r="AG236" i="1" s="1"/>
  <c r="AG455" i="1" a="1"/>
  <c r="AG455" i="1" s="1"/>
  <c r="AG336" i="1" a="1"/>
  <c r="AG336" i="1" s="1"/>
  <c r="AG516" i="1" a="1"/>
  <c r="AG516" i="1" s="1"/>
  <c r="AG179" i="1" a="1"/>
  <c r="AG179" i="1" s="1"/>
  <c r="AG84" i="1" a="1"/>
  <c r="AG84" i="1" s="1"/>
  <c r="AG50" i="1" a="1"/>
  <c r="AG50" i="1" s="1"/>
  <c r="AG456" i="1" a="1"/>
  <c r="AG456" i="1" s="1"/>
  <c r="AG418" i="1" a="1"/>
  <c r="AG418" i="1" s="1"/>
  <c r="AG271" i="1" a="1"/>
  <c r="AG271" i="1" s="1"/>
  <c r="AG180" i="1" a="1"/>
  <c r="AG180" i="1" s="1"/>
  <c r="AG272" i="1" a="1"/>
  <c r="AG272" i="1" s="1"/>
  <c r="AG487" i="1" a="1"/>
  <c r="AG487" i="1" s="1"/>
  <c r="AG51" i="1" a="1"/>
  <c r="AG51" i="1" s="1"/>
  <c r="AG85" i="1" a="1"/>
  <c r="AG85" i="1" s="1"/>
  <c r="AG120" i="1" a="1"/>
  <c r="AG120" i="1" s="1"/>
  <c r="AG151" i="1" a="1"/>
  <c r="AG151" i="1" s="1"/>
  <c r="AG52" i="1" a="1"/>
  <c r="AG52" i="1" s="1"/>
  <c r="AG273" i="1" a="1"/>
  <c r="AG273" i="1" s="1"/>
  <c r="AG363" i="1" a="1"/>
  <c r="AG363" i="1" s="1"/>
  <c r="AG53" i="1" a="1"/>
  <c r="AG53" i="1" s="1"/>
  <c r="AG457" i="1" a="1"/>
  <c r="AG457" i="1" s="1"/>
  <c r="AG337" i="1" a="1"/>
  <c r="AG337" i="1" s="1"/>
  <c r="AG86" i="1" a="1"/>
  <c r="AG86" i="1" s="1"/>
  <c r="AG391" i="1" a="1"/>
  <c r="AG391" i="1" s="1"/>
  <c r="AG121" i="1" a="1"/>
  <c r="AG121" i="1" s="1"/>
  <c r="AG87" i="1" a="1"/>
  <c r="AG87" i="1" s="1"/>
  <c r="AG88" i="1" a="1"/>
  <c r="AG88" i="1" s="1"/>
  <c r="AG122" i="1" a="1"/>
  <c r="AG122" i="1" s="1"/>
  <c r="AG237" i="1" a="1"/>
  <c r="AG237" i="1" s="1"/>
  <c r="AG274" i="1" a="1"/>
  <c r="AG274" i="1" s="1"/>
  <c r="AG517" i="1" a="1"/>
  <c r="AG517" i="1" s="1"/>
  <c r="AG89" i="1" a="1"/>
  <c r="AG89" i="1" s="1"/>
  <c r="AG209" i="1" a="1"/>
  <c r="AG209" i="1" s="1"/>
  <c r="AG364" i="1" a="1"/>
  <c r="AG364" i="1" s="1"/>
  <c r="AG210" i="1" a="1"/>
  <c r="AG210" i="1" s="1"/>
  <c r="AG488" i="1" a="1"/>
  <c r="AG488" i="1" s="1"/>
  <c r="AG181" i="1" a="1"/>
  <c r="AG181" i="1" s="1"/>
  <c r="AG489" i="1" a="1"/>
  <c r="AG489" i="1" s="1"/>
  <c r="AG419" i="1" a="1"/>
  <c r="AG419" i="1" s="1"/>
  <c r="AG392" i="1" a="1"/>
  <c r="AG392" i="1" s="1"/>
  <c r="K11" i="2"/>
  <c r="K10" i="2"/>
  <c r="K9" i="2"/>
  <c r="K8" i="2"/>
  <c r="K7" i="2"/>
  <c r="AF32" i="1"/>
  <c r="AF286" i="1"/>
  <c r="AF436" i="1"/>
  <c r="AF186" i="1"/>
  <c r="AF368" i="1"/>
  <c r="AF33" i="1"/>
  <c r="AF74" i="1"/>
  <c r="AF98" i="1"/>
  <c r="AF468" i="1"/>
  <c r="AF114" i="1"/>
  <c r="AF80" i="1"/>
  <c r="AF139" i="1"/>
  <c r="AF36" i="1"/>
  <c r="AF343" i="1"/>
  <c r="AF507" i="1"/>
  <c r="AF499" i="1"/>
  <c r="AF253" i="1"/>
  <c r="AF155" i="1"/>
  <c r="AF166" i="1"/>
  <c r="AF414" i="1"/>
  <c r="AF316" i="1"/>
  <c r="AF300" i="1"/>
  <c r="AF312" i="1"/>
  <c r="AF156" i="1"/>
  <c r="AF384" i="1"/>
  <c r="AF179" i="1"/>
  <c r="AF72" i="1"/>
  <c r="AF164" i="1"/>
  <c r="AF281" i="1"/>
  <c r="AF148" i="1"/>
  <c r="AF307" i="1"/>
  <c r="AF90" i="1"/>
  <c r="AF289" i="1"/>
  <c r="AF409" i="1"/>
  <c r="AF271" i="1"/>
  <c r="AF88" i="1"/>
  <c r="AF138" i="1"/>
  <c r="AF434" i="1"/>
  <c r="AF240" i="1"/>
  <c r="AF362" i="1"/>
  <c r="AF262" i="1"/>
  <c r="AF472" i="1"/>
  <c r="AF423" i="1"/>
  <c r="AF38" i="1"/>
  <c r="AF23" i="1"/>
  <c r="AF491" i="1"/>
  <c r="AF292" i="1"/>
  <c r="AF249" i="1"/>
  <c r="AF421" i="1"/>
  <c r="AF180" i="1"/>
  <c r="AF484" i="1"/>
  <c r="AF278" i="1"/>
  <c r="AF45" i="1"/>
  <c r="AF229" i="1"/>
  <c r="AF490" i="1"/>
  <c r="AF82" i="1"/>
  <c r="AF326" i="1"/>
  <c r="AF242" i="1"/>
  <c r="AF59" i="1"/>
  <c r="AF502" i="1"/>
  <c r="AF448" i="1"/>
  <c r="AF30" i="1"/>
  <c r="AF176" i="1"/>
  <c r="AF27" i="1"/>
  <c r="AF119" i="1"/>
  <c r="AF196" i="1"/>
  <c r="AF160" i="1"/>
  <c r="AF422" i="1"/>
  <c r="AF514" i="1"/>
  <c r="AF226" i="1"/>
  <c r="AF200" i="1"/>
  <c r="AF509" i="1"/>
  <c r="AF461" i="1"/>
  <c r="AF381" i="1"/>
  <c r="AF58" i="1"/>
  <c r="AF318" i="1"/>
  <c r="AF370" i="1"/>
  <c r="AF104" i="1"/>
  <c r="AF109" i="1"/>
  <c r="AF46" i="1"/>
  <c r="AF335" i="1"/>
  <c r="AF123" i="1"/>
  <c r="AF24" i="1"/>
  <c r="AF68" i="1"/>
  <c r="AF279" i="1"/>
  <c r="AF187" i="1"/>
  <c r="AF302" i="1"/>
  <c r="AF269" i="1"/>
  <c r="AF482" i="1"/>
  <c r="AF313" i="1"/>
  <c r="AF415" i="1"/>
  <c r="AF431" i="1"/>
  <c r="AF70" i="1"/>
  <c r="AF346" i="1"/>
  <c r="AF161" i="1"/>
  <c r="AF319" i="1"/>
  <c r="AF429" i="1"/>
  <c r="AF272" i="1"/>
  <c r="AF385" i="1"/>
  <c r="AF177" i="1"/>
  <c r="AF140" i="1"/>
  <c r="AF342" i="1"/>
  <c r="AF274" i="1"/>
  <c r="AF358" i="1"/>
  <c r="AF347" i="1"/>
  <c r="AF137" i="1"/>
  <c r="AF344" i="1"/>
  <c r="AF466" i="1"/>
  <c r="AF517" i="1"/>
  <c r="AF465" i="1"/>
  <c r="AF185" i="1"/>
  <c r="AF386" i="1"/>
  <c r="AF301" i="1"/>
  <c r="AF190" i="1"/>
  <c r="AF144" i="1"/>
  <c r="AF35" i="1"/>
  <c r="AF331" i="1"/>
  <c r="AF136" i="1"/>
  <c r="AF154" i="1"/>
  <c r="AF417" i="1"/>
  <c r="AF337" i="1"/>
  <c r="AF225" i="1"/>
  <c r="AF245" i="1"/>
  <c r="AF239" i="1"/>
  <c r="AF197" i="1"/>
  <c r="AF459" i="1"/>
  <c r="AF512" i="1"/>
  <c r="AF473" i="1"/>
  <c r="AF330" i="1"/>
  <c r="AF132" i="1"/>
  <c r="AF478" i="1"/>
  <c r="AF222" i="1"/>
  <c r="AF503" i="1"/>
  <c r="AF474" i="1"/>
  <c r="AF206" i="1"/>
  <c r="AF339" i="1"/>
  <c r="AF487" i="1"/>
  <c r="AF94" i="1"/>
  <c r="AF153" i="1"/>
  <c r="AF37" i="1"/>
  <c r="AF349" i="1"/>
  <c r="AF441" i="1"/>
  <c r="AF178" i="1"/>
  <c r="AF39" i="1"/>
  <c r="AF117" i="1"/>
  <c r="AF204" i="1"/>
  <c r="AF76" i="1"/>
  <c r="AF159" i="1"/>
  <c r="AF40" i="1"/>
  <c r="AF452" i="1"/>
  <c r="AF96" i="1"/>
  <c r="AF19" i="1"/>
  <c r="AF163" i="1"/>
  <c r="AF31" i="1"/>
  <c r="AF212" i="1"/>
  <c r="AF181" i="1"/>
  <c r="AF427" i="1"/>
  <c r="AF505" i="1"/>
  <c r="AF77" i="1"/>
  <c r="AF467" i="1"/>
  <c r="AF398" i="1"/>
  <c r="AF95" i="1"/>
  <c r="AF296" i="1"/>
  <c r="AF75" i="1"/>
  <c r="AF102" i="1"/>
  <c r="AF65" i="1"/>
  <c r="AF453" i="1"/>
  <c r="AF147" i="1"/>
  <c r="AF428" i="1"/>
  <c r="AF404" i="1"/>
  <c r="AF244" i="1"/>
  <c r="AF426" i="1"/>
  <c r="AF193" i="1"/>
  <c r="AF60" i="1"/>
  <c r="AF486" i="1"/>
  <c r="AF21" i="1"/>
  <c r="AF463" i="1"/>
  <c r="AF62" i="1"/>
  <c r="AF338" i="1"/>
  <c r="AF315" i="1"/>
  <c r="AF407" i="1"/>
  <c r="AF230" i="1"/>
  <c r="AF47" i="1"/>
  <c r="AF246" i="1"/>
  <c r="AF84" i="1"/>
  <c r="AF446" i="1"/>
  <c r="AF227" i="1"/>
  <c r="AF408" i="1"/>
  <c r="AF173" i="1"/>
  <c r="AF303" i="1"/>
  <c r="AF142" i="1"/>
  <c r="AF110" i="1"/>
  <c r="AF277" i="1"/>
  <c r="AF350" i="1"/>
  <c r="AF66" i="1"/>
  <c r="AF170" i="1"/>
  <c r="AF255" i="1"/>
  <c r="AF258" i="1"/>
  <c r="AF157" i="1"/>
  <c r="AF205" i="1"/>
  <c r="AF356" i="1"/>
  <c r="AF506" i="1"/>
  <c r="AF515" i="1"/>
  <c r="AF378" i="1"/>
  <c r="AF332" i="1"/>
  <c r="AF483" i="1"/>
  <c r="AF513" i="1"/>
  <c r="AF322" i="1"/>
  <c r="AF61" i="1"/>
  <c r="AF207" i="1"/>
  <c r="AF360" i="1"/>
  <c r="AF416" i="1"/>
  <c r="AF372" i="1"/>
  <c r="AF369" i="1"/>
  <c r="AF145" i="1"/>
  <c r="AF167" i="1"/>
  <c r="AF182" i="1"/>
  <c r="AF89" i="1"/>
  <c r="AF294" i="1"/>
  <c r="AF71" i="1"/>
  <c r="AF118" i="1"/>
  <c r="AF25" i="1"/>
  <c r="AF464" i="1"/>
  <c r="AF263" i="1"/>
  <c r="AF259" i="1"/>
  <c r="AF510" i="1"/>
  <c r="AF209" i="1"/>
  <c r="AF327" i="1"/>
  <c r="AF401" i="1"/>
  <c r="AF469" i="1"/>
  <c r="AF449" i="1"/>
  <c r="AF323" i="1"/>
  <c r="AF146" i="1"/>
  <c r="AF56" i="1"/>
  <c r="AF105" i="1"/>
  <c r="AF50" i="1"/>
  <c r="AF169" i="1"/>
  <c r="AF273" i="1"/>
  <c r="AF86" i="1"/>
  <c r="AF365" i="1"/>
  <c r="AF353" i="1"/>
  <c r="AF115" i="1"/>
  <c r="AF393" i="1"/>
  <c r="AF111" i="1"/>
  <c r="AF314" i="1"/>
  <c r="AF389" i="1"/>
  <c r="AF261" i="1"/>
  <c r="AF305" i="1"/>
  <c r="AF432" i="1"/>
  <c r="AF215" i="1"/>
  <c r="AF410" i="1"/>
  <c r="AF458" i="1"/>
  <c r="AF413" i="1"/>
  <c r="AF492" i="1"/>
  <c r="AF324" i="1"/>
  <c r="AF391" i="1"/>
  <c r="AF201" i="1"/>
  <c r="AF236" i="1"/>
  <c r="AF420" i="1"/>
  <c r="AF51" i="1"/>
  <c r="AF264" i="1"/>
  <c r="AF216" i="1"/>
  <c r="AF437" i="1"/>
  <c r="AF442" i="1"/>
  <c r="AF125" i="1"/>
  <c r="AF430" i="1"/>
  <c r="AF390" i="1"/>
  <c r="AF447" i="1"/>
  <c r="AF122" i="1"/>
  <c r="AF250" i="1"/>
  <c r="AF213" i="1"/>
  <c r="AF92" i="1"/>
  <c r="AF395" i="1"/>
  <c r="AF251" i="1"/>
  <c r="AF363" i="1"/>
  <c r="AF438" i="1"/>
  <c r="AF57" i="1"/>
  <c r="AF55" i="1"/>
  <c r="AF152" i="1"/>
  <c r="AF354" i="1"/>
  <c r="AF405" i="1"/>
  <c r="AF501" i="1"/>
  <c r="AF221" i="1"/>
  <c r="AF361" i="1"/>
  <c r="AF475" i="1"/>
  <c r="AF69" i="1"/>
  <c r="AF18" i="1"/>
  <c r="AF489" i="1"/>
  <c r="AF508" i="1"/>
  <c r="AF113" i="1"/>
  <c r="AF194" i="1"/>
  <c r="AF121" i="1"/>
  <c r="AF260" i="1"/>
  <c r="AF275" i="1"/>
  <c r="AF496" i="1"/>
  <c r="AF450" i="1"/>
  <c r="AF202" i="1"/>
  <c r="AF328" i="1"/>
  <c r="AF433" i="1"/>
  <c r="AF266" i="1"/>
  <c r="AF352" i="1"/>
  <c r="AF158" i="1"/>
  <c r="AF87" i="1"/>
  <c r="AF511" i="1"/>
  <c r="AF257" i="1"/>
  <c r="AF456" i="1"/>
  <c r="AF320" i="1"/>
  <c r="AF42" i="1"/>
  <c r="AF440" i="1"/>
  <c r="AF254" i="1"/>
  <c r="AF388" i="1"/>
  <c r="AF282" i="1"/>
  <c r="AF191" i="1"/>
  <c r="AF419" i="1"/>
  <c r="AF364" i="1"/>
  <c r="AF228" i="1"/>
  <c r="AF133" i="1"/>
  <c r="AF406" i="1"/>
  <c r="AF241" i="1"/>
  <c r="AF192" i="1"/>
  <c r="AF184" i="1"/>
  <c r="AF498" i="1"/>
  <c r="AF357" i="1"/>
  <c r="AF268" i="1"/>
  <c r="AF22" i="1"/>
  <c r="AF397" i="1"/>
  <c r="AF285" i="1"/>
  <c r="AF252" i="1"/>
  <c r="AF321" i="1"/>
  <c r="AF183" i="1"/>
  <c r="AF91" i="1"/>
  <c r="AF317" i="1"/>
  <c r="AF126" i="1"/>
  <c r="AF488" i="1"/>
  <c r="AF34" i="1"/>
  <c r="AF106" i="1"/>
  <c r="AF73" i="1"/>
  <c r="AF265" i="1"/>
  <c r="AF504" i="1"/>
  <c r="AF310" i="1"/>
  <c r="AF500" i="1"/>
  <c r="AF238" i="1"/>
  <c r="AF162" i="1"/>
  <c r="AF188" i="1"/>
  <c r="AF351" i="1"/>
  <c r="AF290" i="1"/>
  <c r="AF394" i="1"/>
  <c r="AF130" i="1"/>
  <c r="AF219" i="1"/>
  <c r="AF382" i="1"/>
  <c r="AF116" i="1"/>
  <c r="AF234" i="1"/>
  <c r="AF460" i="1"/>
  <c r="AF64" i="1"/>
  <c r="AF48" i="1"/>
  <c r="AF79" i="1"/>
  <c r="AF150" i="1"/>
  <c r="AF99" i="1"/>
  <c r="AF470" i="1"/>
  <c r="AF199" i="1"/>
  <c r="AF366" i="1"/>
  <c r="AF85" i="1"/>
  <c r="AF311" i="1"/>
  <c r="AF334" i="1"/>
  <c r="AF198" i="1"/>
  <c r="AF379" i="1"/>
  <c r="AF171" i="1"/>
  <c r="AF485" i="1"/>
  <c r="AF345" i="1"/>
  <c r="AF63" i="1"/>
  <c r="AF283" i="1"/>
  <c r="AF78" i="1"/>
  <c r="AF231" i="1"/>
  <c r="AF403" i="1"/>
  <c r="AF329" i="1"/>
  <c r="AF28" i="1"/>
  <c r="AF149" i="1"/>
  <c r="AF387" i="1"/>
  <c r="AF371" i="1"/>
  <c r="AF107" i="1"/>
  <c r="AF134" i="1"/>
  <c r="AF287" i="1"/>
  <c r="AF399" i="1"/>
  <c r="AF424" i="1"/>
  <c r="AF299" i="1"/>
  <c r="AF203" i="1"/>
  <c r="AF232" i="1"/>
  <c r="AF49" i="1"/>
  <c r="AF223" i="1"/>
  <c r="AF476" i="1"/>
  <c r="AF373" i="1"/>
  <c r="AF444" i="1"/>
  <c r="AF267" i="1"/>
  <c r="AF355" i="1"/>
  <c r="AF128" i="1"/>
  <c r="AF195" i="1"/>
  <c r="AF208" i="1"/>
  <c r="AF298" i="1"/>
  <c r="AF451" i="1"/>
  <c r="AF135" i="1"/>
  <c r="AF435" i="1"/>
  <c r="AF29" i="1"/>
  <c r="AF54" i="1"/>
  <c r="AF175" i="1"/>
  <c r="AF20" i="1"/>
  <c r="AF67" i="1"/>
  <c r="AF411" i="1"/>
  <c r="AF396" i="1"/>
  <c r="AF348" i="1"/>
  <c r="AF374" i="1"/>
  <c r="AF165" i="1"/>
  <c r="AF233" i="1"/>
  <c r="AF120" i="1"/>
  <c r="AF295" i="1"/>
  <c r="AF100" i="1"/>
  <c r="AF270" i="1"/>
  <c r="AF131" i="1"/>
  <c r="AF53" i="1"/>
  <c r="AF127" i="1"/>
  <c r="AF480" i="1"/>
  <c r="AF375" i="1"/>
  <c r="AF43" i="1"/>
  <c r="AF297" i="1"/>
  <c r="AF494" i="1"/>
  <c r="AF340" i="1"/>
  <c r="AF418" i="1"/>
  <c r="AF497" i="1"/>
  <c r="AF304" i="1"/>
  <c r="AF189" i="1"/>
  <c r="AF284" i="1"/>
  <c r="AF243" i="1"/>
  <c r="AF172" i="1"/>
  <c r="AF224" i="1"/>
  <c r="AF325" i="1"/>
  <c r="AF443" i="1"/>
  <c r="AF217" i="1"/>
  <c r="AF376" i="1"/>
  <c r="AF493" i="1"/>
  <c r="AF455" i="1"/>
  <c r="AF309" i="1"/>
  <c r="AF247" i="1"/>
  <c r="AF101" i="1"/>
  <c r="AF129" i="1"/>
  <c r="AF237" i="1"/>
  <c r="AF333" i="1"/>
  <c r="AF103" i="1"/>
  <c r="AF477" i="1"/>
  <c r="AF112" i="1"/>
  <c r="AF336" i="1"/>
  <c r="AF256" i="1"/>
  <c r="AF439" i="1"/>
  <c r="AF308" i="1"/>
  <c r="AF445" i="1"/>
  <c r="AF168" i="1"/>
  <c r="AF151" i="1"/>
  <c r="AF81" i="1"/>
  <c r="AF174" i="1"/>
  <c r="AF462" i="1"/>
  <c r="AF93" i="1"/>
  <c r="AF83" i="1"/>
  <c r="AF293" i="1"/>
  <c r="AF288" i="1"/>
  <c r="AF425" i="1"/>
  <c r="AF481" i="1"/>
  <c r="AF41" i="1"/>
  <c r="AF402" i="1"/>
  <c r="AF26" i="1"/>
  <c r="AF218" i="1"/>
  <c r="AF44" i="1"/>
  <c r="AF97" i="1"/>
  <c r="AF479" i="1"/>
  <c r="AF516" i="1"/>
  <c r="AF235" i="1"/>
  <c r="AF383" i="1"/>
  <c r="AF359" i="1"/>
  <c r="AF306" i="1"/>
  <c r="AF341" i="1"/>
  <c r="AF377" i="1"/>
  <c r="AF141" i="1"/>
  <c r="AF380" i="1"/>
  <c r="AF220" i="1"/>
  <c r="AF211" i="1"/>
  <c r="AF400" i="1"/>
  <c r="AF276" i="1"/>
  <c r="AF495" i="1"/>
  <c r="AF454" i="1"/>
  <c r="AF52" i="1"/>
  <c r="AF108" i="1"/>
  <c r="AF143" i="1"/>
  <c r="AF392" i="1"/>
  <c r="AF248" i="1"/>
  <c r="AF210" i="1"/>
  <c r="AF124" i="1"/>
  <c r="AF291" i="1"/>
  <c r="AF280" i="1"/>
  <c r="AF214" i="1"/>
  <c r="AF471" i="1"/>
  <c r="AF457" i="1"/>
  <c r="AF367" i="1"/>
  <c r="AF412" i="1"/>
  <c r="AE32" i="1"/>
  <c r="AE286" i="1"/>
  <c r="AE436" i="1"/>
  <c r="AE186" i="1"/>
  <c r="AE368" i="1"/>
  <c r="AE33" i="1"/>
  <c r="AE74" i="1"/>
  <c r="AE98" i="1"/>
  <c r="AE468" i="1"/>
  <c r="AE114" i="1"/>
  <c r="AE80" i="1"/>
  <c r="AE139" i="1"/>
  <c r="AE36" i="1"/>
  <c r="AE343" i="1"/>
  <c r="AE507" i="1"/>
  <c r="AE499" i="1"/>
  <c r="AE253" i="1"/>
  <c r="AE155" i="1"/>
  <c r="AE166" i="1"/>
  <c r="AE414" i="1"/>
  <c r="AE316" i="1"/>
  <c r="AE300" i="1"/>
  <c r="AE312" i="1"/>
  <c r="AE156" i="1"/>
  <c r="AE384" i="1"/>
  <c r="AE179" i="1"/>
  <c r="AE72" i="1"/>
  <c r="AE164" i="1"/>
  <c r="AE281" i="1"/>
  <c r="AE148" i="1"/>
  <c r="AE307" i="1"/>
  <c r="AE90" i="1"/>
  <c r="AE289" i="1"/>
  <c r="AE409" i="1"/>
  <c r="AE271" i="1"/>
  <c r="AE88" i="1"/>
  <c r="AE138" i="1"/>
  <c r="AE434" i="1"/>
  <c r="AE240" i="1"/>
  <c r="AE362" i="1"/>
  <c r="AE262" i="1"/>
  <c r="AE472" i="1"/>
  <c r="AE423" i="1"/>
  <c r="AE38" i="1"/>
  <c r="AE23" i="1"/>
  <c r="AE491" i="1"/>
  <c r="AE292" i="1"/>
  <c r="AE249" i="1"/>
  <c r="AE421" i="1"/>
  <c r="AE180" i="1"/>
  <c r="AE484" i="1"/>
  <c r="AE278" i="1"/>
  <c r="AE45" i="1"/>
  <c r="AE229" i="1"/>
  <c r="AE490" i="1"/>
  <c r="AE82" i="1"/>
  <c r="AE326" i="1"/>
  <c r="AE242" i="1"/>
  <c r="AE59" i="1"/>
  <c r="AE502" i="1"/>
  <c r="AE448" i="1"/>
  <c r="AE30" i="1"/>
  <c r="AE176" i="1"/>
  <c r="AE27" i="1"/>
  <c r="AE119" i="1"/>
  <c r="AE196" i="1"/>
  <c r="AE160" i="1"/>
  <c r="AE422" i="1"/>
  <c r="AE514" i="1"/>
  <c r="AE226" i="1"/>
  <c r="AE200" i="1"/>
  <c r="AE509" i="1"/>
  <c r="AE461" i="1"/>
  <c r="AE381" i="1"/>
  <c r="AE58" i="1"/>
  <c r="AE318" i="1"/>
  <c r="AE370" i="1"/>
  <c r="AE104" i="1"/>
  <c r="AE109" i="1"/>
  <c r="AE46" i="1"/>
  <c r="AE335" i="1"/>
  <c r="AE123" i="1"/>
  <c r="AE24" i="1"/>
  <c r="AE68" i="1"/>
  <c r="AE279" i="1"/>
  <c r="AE187" i="1"/>
  <c r="AE302" i="1"/>
  <c r="AE269" i="1"/>
  <c r="AE482" i="1"/>
  <c r="AE313" i="1"/>
  <c r="AE415" i="1"/>
  <c r="AE431" i="1"/>
  <c r="AE70" i="1"/>
  <c r="AE346" i="1"/>
  <c r="AE161" i="1"/>
  <c r="AE319" i="1"/>
  <c r="AE429" i="1"/>
  <c r="AE272" i="1"/>
  <c r="AE385" i="1"/>
  <c r="AE177" i="1"/>
  <c r="AE140" i="1"/>
  <c r="AE342" i="1"/>
  <c r="AE274" i="1"/>
  <c r="AE358" i="1"/>
  <c r="AE347" i="1"/>
  <c r="AE137" i="1"/>
  <c r="AE344" i="1"/>
  <c r="AE466" i="1"/>
  <c r="AE517" i="1"/>
  <c r="AE465" i="1"/>
  <c r="AE185" i="1"/>
  <c r="AE386" i="1"/>
  <c r="AE301" i="1"/>
  <c r="AE190" i="1"/>
  <c r="AE144" i="1"/>
  <c r="AE35" i="1"/>
  <c r="AE331" i="1"/>
  <c r="AE136" i="1"/>
  <c r="AE154" i="1"/>
  <c r="AE417" i="1"/>
  <c r="AE337" i="1"/>
  <c r="AE225" i="1"/>
  <c r="AE245" i="1"/>
  <c r="AE239" i="1"/>
  <c r="AE197" i="1"/>
  <c r="AE459" i="1"/>
  <c r="AE512" i="1"/>
  <c r="AE473" i="1"/>
  <c r="AE330" i="1"/>
  <c r="AE132" i="1"/>
  <c r="AE478" i="1"/>
  <c r="AE222" i="1"/>
  <c r="AE503" i="1"/>
  <c r="AE474" i="1"/>
  <c r="AE206" i="1"/>
  <c r="AE339" i="1"/>
  <c r="AE487" i="1"/>
  <c r="AE94" i="1"/>
  <c r="AE153" i="1"/>
  <c r="AE37" i="1"/>
  <c r="AE349" i="1"/>
  <c r="AE441" i="1"/>
  <c r="AE178" i="1"/>
  <c r="AE39" i="1"/>
  <c r="AE117" i="1"/>
  <c r="AE204" i="1"/>
  <c r="AE76" i="1"/>
  <c r="AE159" i="1"/>
  <c r="AE40" i="1"/>
  <c r="AE452" i="1"/>
  <c r="AE96" i="1"/>
  <c r="AE19" i="1"/>
  <c r="AE163" i="1"/>
  <c r="AE31" i="1"/>
  <c r="AE212" i="1"/>
  <c r="AE181" i="1"/>
  <c r="AE427" i="1"/>
  <c r="AE505" i="1"/>
  <c r="AE77" i="1"/>
  <c r="AE467" i="1"/>
  <c r="AE398" i="1"/>
  <c r="AE95" i="1"/>
  <c r="AE296" i="1"/>
  <c r="AE75" i="1"/>
  <c r="AE102" i="1"/>
  <c r="AE65" i="1"/>
  <c r="AE453" i="1"/>
  <c r="AE147" i="1"/>
  <c r="AE428" i="1"/>
  <c r="AE404" i="1"/>
  <c r="AE244" i="1"/>
  <c r="AE426" i="1"/>
  <c r="AE193" i="1"/>
  <c r="AE60" i="1"/>
  <c r="AE486" i="1"/>
  <c r="AE21" i="1"/>
  <c r="AE463" i="1"/>
  <c r="AE62" i="1"/>
  <c r="AE338" i="1"/>
  <c r="AE315" i="1"/>
  <c r="AE407" i="1"/>
  <c r="AE230" i="1"/>
  <c r="AE47" i="1"/>
  <c r="AE246" i="1"/>
  <c r="AE84" i="1"/>
  <c r="AE446" i="1"/>
  <c r="AE227" i="1"/>
  <c r="AE408" i="1"/>
  <c r="AE173" i="1"/>
  <c r="AE303" i="1"/>
  <c r="AE142" i="1"/>
  <c r="AE110" i="1"/>
  <c r="AE277" i="1"/>
  <c r="AE350" i="1"/>
  <c r="AE66" i="1"/>
  <c r="AE170" i="1"/>
  <c r="AE255" i="1"/>
  <c r="AE258" i="1"/>
  <c r="AE157" i="1"/>
  <c r="AE205" i="1"/>
  <c r="AE356" i="1"/>
  <c r="AE506" i="1"/>
  <c r="AE515" i="1"/>
  <c r="AE378" i="1"/>
  <c r="AE332" i="1"/>
  <c r="AE483" i="1"/>
  <c r="AE513" i="1"/>
  <c r="AE322" i="1"/>
  <c r="AE61" i="1"/>
  <c r="AE207" i="1"/>
  <c r="AE360" i="1"/>
  <c r="AE416" i="1"/>
  <c r="AE372" i="1"/>
  <c r="AE369" i="1"/>
  <c r="AE145" i="1"/>
  <c r="AE167" i="1"/>
  <c r="AE182" i="1"/>
  <c r="AE89" i="1"/>
  <c r="AE294" i="1"/>
  <c r="AE71" i="1"/>
  <c r="AE118" i="1"/>
  <c r="AE25" i="1"/>
  <c r="AE464" i="1"/>
  <c r="AE263" i="1"/>
  <c r="AE259" i="1"/>
  <c r="AE510" i="1"/>
  <c r="AE209" i="1"/>
  <c r="AE327" i="1"/>
  <c r="AE401" i="1"/>
  <c r="AE469" i="1"/>
  <c r="AE449" i="1"/>
  <c r="AE323" i="1"/>
  <c r="AE146" i="1"/>
  <c r="AE56" i="1"/>
  <c r="AE105" i="1"/>
  <c r="AE50" i="1"/>
  <c r="AE169" i="1"/>
  <c r="AE273" i="1"/>
  <c r="AE86" i="1"/>
  <c r="AE365" i="1"/>
  <c r="AE353" i="1"/>
  <c r="AE115" i="1"/>
  <c r="AE393" i="1"/>
  <c r="AE111" i="1"/>
  <c r="AE314" i="1"/>
  <c r="AE389" i="1"/>
  <c r="AE261" i="1"/>
  <c r="AE305" i="1"/>
  <c r="AE432" i="1"/>
  <c r="AE215" i="1"/>
  <c r="AE410" i="1"/>
  <c r="AE458" i="1"/>
  <c r="AE413" i="1"/>
  <c r="AE492" i="1"/>
  <c r="AE324" i="1"/>
  <c r="AE391" i="1"/>
  <c r="AE201" i="1"/>
  <c r="AE236" i="1"/>
  <c r="AE420" i="1"/>
  <c r="AE51" i="1"/>
  <c r="AE264" i="1"/>
  <c r="AE216" i="1"/>
  <c r="AE437" i="1"/>
  <c r="AE442" i="1"/>
  <c r="AE125" i="1"/>
  <c r="AE430" i="1"/>
  <c r="AE390" i="1"/>
  <c r="AE447" i="1"/>
  <c r="AE122" i="1"/>
  <c r="AE250" i="1"/>
  <c r="AE213" i="1"/>
  <c r="AE92" i="1"/>
  <c r="AE395" i="1"/>
  <c r="AE251" i="1"/>
  <c r="AE363" i="1"/>
  <c r="AE438" i="1"/>
  <c r="AE57" i="1"/>
  <c r="AE55" i="1"/>
  <c r="AE152" i="1"/>
  <c r="AE354" i="1"/>
  <c r="AE405" i="1"/>
  <c r="AE501" i="1"/>
  <c r="AE221" i="1"/>
  <c r="AE361" i="1"/>
  <c r="AE475" i="1"/>
  <c r="AE69" i="1"/>
  <c r="AE18" i="1"/>
  <c r="AE489" i="1"/>
  <c r="AE508" i="1"/>
  <c r="AE113" i="1"/>
  <c r="AE194" i="1"/>
  <c r="AE121" i="1"/>
  <c r="AE260" i="1"/>
  <c r="AE275" i="1"/>
  <c r="AE496" i="1"/>
  <c r="AE450" i="1"/>
  <c r="AE202" i="1"/>
  <c r="AE328" i="1"/>
  <c r="AE433" i="1"/>
  <c r="AE266" i="1"/>
  <c r="AE352" i="1"/>
  <c r="AE158" i="1"/>
  <c r="AE87" i="1"/>
  <c r="AE511" i="1"/>
  <c r="AE257" i="1"/>
  <c r="AE456" i="1"/>
  <c r="AE320" i="1"/>
  <c r="AE42" i="1"/>
  <c r="AE440" i="1"/>
  <c r="AE254" i="1"/>
  <c r="AE388" i="1"/>
  <c r="AE282" i="1"/>
  <c r="AE191" i="1"/>
  <c r="AE419" i="1"/>
  <c r="AE364" i="1"/>
  <c r="AE228" i="1"/>
  <c r="AE133" i="1"/>
  <c r="AE406" i="1"/>
  <c r="AE241" i="1"/>
  <c r="AE192" i="1"/>
  <c r="AE184" i="1"/>
  <c r="AE498" i="1"/>
  <c r="AE357" i="1"/>
  <c r="AE268" i="1"/>
  <c r="AE22" i="1"/>
  <c r="AE397" i="1"/>
  <c r="AE285" i="1"/>
  <c r="AE252" i="1"/>
  <c r="AE321" i="1"/>
  <c r="AE183" i="1"/>
  <c r="AE91" i="1"/>
  <c r="AE317" i="1"/>
  <c r="AE126" i="1"/>
  <c r="AE488" i="1"/>
  <c r="AE34" i="1"/>
  <c r="AE106" i="1"/>
  <c r="AE73" i="1"/>
  <c r="AE265" i="1"/>
  <c r="AE504" i="1"/>
  <c r="AE310" i="1"/>
  <c r="AE500" i="1"/>
  <c r="AE238" i="1"/>
  <c r="AE162" i="1"/>
  <c r="AE188" i="1"/>
  <c r="AE351" i="1"/>
  <c r="AE290" i="1"/>
  <c r="AE394" i="1"/>
  <c r="AE130" i="1"/>
  <c r="AE219" i="1"/>
  <c r="AE382" i="1"/>
  <c r="AE116" i="1"/>
  <c r="AE234" i="1"/>
  <c r="AE460" i="1"/>
  <c r="AE64" i="1"/>
  <c r="AE48" i="1"/>
  <c r="AE79" i="1"/>
  <c r="AE150" i="1"/>
  <c r="AE99" i="1"/>
  <c r="AE470" i="1"/>
  <c r="AE199" i="1"/>
  <c r="AE366" i="1"/>
  <c r="AE85" i="1"/>
  <c r="AE311" i="1"/>
  <c r="AE334" i="1"/>
  <c r="AE198" i="1"/>
  <c r="AE379" i="1"/>
  <c r="AE171" i="1"/>
  <c r="AE485" i="1"/>
  <c r="AE345" i="1"/>
  <c r="AE63" i="1"/>
  <c r="AE283" i="1"/>
  <c r="AE78" i="1"/>
  <c r="AE231" i="1"/>
  <c r="AE403" i="1"/>
  <c r="AE329" i="1"/>
  <c r="AE28" i="1"/>
  <c r="AE149" i="1"/>
  <c r="AE387" i="1"/>
  <c r="AE371" i="1"/>
  <c r="AE107" i="1"/>
  <c r="AE134" i="1"/>
  <c r="AE287" i="1"/>
  <c r="AE399" i="1"/>
  <c r="AE424" i="1"/>
  <c r="AE299" i="1"/>
  <c r="AE203" i="1"/>
  <c r="AE232" i="1"/>
  <c r="AE49" i="1"/>
  <c r="AE223" i="1"/>
  <c r="AE476" i="1"/>
  <c r="AE373" i="1"/>
  <c r="AE444" i="1"/>
  <c r="AE267" i="1"/>
  <c r="AE355" i="1"/>
  <c r="AE128" i="1"/>
  <c r="AE195" i="1"/>
  <c r="AE208" i="1"/>
  <c r="AE298" i="1"/>
  <c r="AE451" i="1"/>
  <c r="AE135" i="1"/>
  <c r="AE435" i="1"/>
  <c r="AE29" i="1"/>
  <c r="AE54" i="1"/>
  <c r="AE175" i="1"/>
  <c r="AE20" i="1"/>
  <c r="AE67" i="1"/>
  <c r="AE411" i="1"/>
  <c r="AE396" i="1"/>
  <c r="AE348" i="1"/>
  <c r="AE374" i="1"/>
  <c r="AE165" i="1"/>
  <c r="AE233" i="1"/>
  <c r="AE120" i="1"/>
  <c r="AE295" i="1"/>
  <c r="AE100" i="1"/>
  <c r="AE270" i="1"/>
  <c r="AE131" i="1"/>
  <c r="AE53" i="1"/>
  <c r="AE127" i="1"/>
  <c r="AE480" i="1"/>
  <c r="AE375" i="1"/>
  <c r="AE43" i="1"/>
  <c r="AE297" i="1"/>
  <c r="AE494" i="1"/>
  <c r="AE340" i="1"/>
  <c r="AE418" i="1"/>
  <c r="AE497" i="1"/>
  <c r="AE304" i="1"/>
  <c r="AE189" i="1"/>
  <c r="AE284" i="1"/>
  <c r="AE243" i="1"/>
  <c r="AE172" i="1"/>
  <c r="AE224" i="1"/>
  <c r="AE325" i="1"/>
  <c r="AE443" i="1"/>
  <c r="AE217" i="1"/>
  <c r="AE376" i="1"/>
  <c r="AE493" i="1"/>
  <c r="AE455" i="1"/>
  <c r="AE309" i="1"/>
  <c r="AE247" i="1"/>
  <c r="AE101" i="1"/>
  <c r="AE129" i="1"/>
  <c r="AE237" i="1"/>
  <c r="AE333" i="1"/>
  <c r="AE103" i="1"/>
  <c r="AE477" i="1"/>
  <c r="AE112" i="1"/>
  <c r="AE336" i="1"/>
  <c r="AE256" i="1"/>
  <c r="AE439" i="1"/>
  <c r="AE308" i="1"/>
  <c r="AE445" i="1"/>
  <c r="AE168" i="1"/>
  <c r="AE151" i="1"/>
  <c r="AE81" i="1"/>
  <c r="AE174" i="1"/>
  <c r="AE462" i="1"/>
  <c r="AE93" i="1"/>
  <c r="AE83" i="1"/>
  <c r="AE293" i="1"/>
  <c r="AE288" i="1"/>
  <c r="AE425" i="1"/>
  <c r="AE481" i="1"/>
  <c r="AE41" i="1"/>
  <c r="AE402" i="1"/>
  <c r="AE26" i="1"/>
  <c r="AE218" i="1"/>
  <c r="AE44" i="1"/>
  <c r="AE97" i="1"/>
  <c r="AE479" i="1"/>
  <c r="AE516" i="1"/>
  <c r="AE235" i="1"/>
  <c r="AE383" i="1"/>
  <c r="AE359" i="1"/>
  <c r="AE306" i="1"/>
  <c r="AE341" i="1"/>
  <c r="AE377" i="1"/>
  <c r="AE141" i="1"/>
  <c r="AE380" i="1"/>
  <c r="AE220" i="1"/>
  <c r="AE211" i="1"/>
  <c r="AE400" i="1"/>
  <c r="AE276" i="1"/>
  <c r="AE495" i="1"/>
  <c r="AE454" i="1"/>
  <c r="AE52" i="1"/>
  <c r="AE108" i="1"/>
  <c r="AE143" i="1"/>
  <c r="AE392" i="1"/>
  <c r="AE248" i="1"/>
  <c r="AE210" i="1"/>
  <c r="AE124" i="1"/>
  <c r="AE291" i="1"/>
  <c r="AE280" i="1"/>
  <c r="AE214" i="1"/>
  <c r="AE471" i="1"/>
  <c r="AE457" i="1"/>
  <c r="AE367" i="1"/>
  <c r="AE412" i="1"/>
  <c r="AD286" i="1"/>
  <c r="AD32" i="1"/>
  <c r="AD436" i="1"/>
  <c r="AD186" i="1"/>
  <c r="AD368" i="1"/>
  <c r="AD33" i="1"/>
  <c r="AD74" i="1"/>
  <c r="AD98" i="1"/>
  <c r="AD468" i="1"/>
  <c r="AD114" i="1"/>
  <c r="AD80" i="1"/>
  <c r="AD139" i="1"/>
  <c r="AD36" i="1"/>
  <c r="AD343" i="1"/>
  <c r="AD507" i="1"/>
  <c r="AD499" i="1"/>
  <c r="AD253" i="1"/>
  <c r="AD155" i="1"/>
  <c r="AD166" i="1"/>
  <c r="AD414" i="1"/>
  <c r="AD316" i="1"/>
  <c r="AD300" i="1"/>
  <c r="AD312" i="1"/>
  <c r="AD156" i="1"/>
  <c r="AD384" i="1"/>
  <c r="AD179" i="1"/>
  <c r="AD72" i="1"/>
  <c r="AD164" i="1"/>
  <c r="AD281" i="1"/>
  <c r="AD148" i="1"/>
  <c r="AD307" i="1"/>
  <c r="AD90" i="1"/>
  <c r="AD289" i="1"/>
  <c r="AD409" i="1"/>
  <c r="AD271" i="1"/>
  <c r="AD88" i="1"/>
  <c r="AD138" i="1"/>
  <c r="AD434" i="1"/>
  <c r="AD240" i="1"/>
  <c r="AD362" i="1"/>
  <c r="AD262" i="1"/>
  <c r="AD472" i="1"/>
  <c r="AD423" i="1"/>
  <c r="AD38" i="1"/>
  <c r="AD23" i="1"/>
  <c r="AD491" i="1"/>
  <c r="AD292" i="1"/>
  <c r="AD249" i="1"/>
  <c r="AD421" i="1"/>
  <c r="AD180" i="1"/>
  <c r="AD484" i="1"/>
  <c r="AD278" i="1"/>
  <c r="AD45" i="1"/>
  <c r="AD229" i="1"/>
  <c r="AD490" i="1"/>
  <c r="AD82" i="1"/>
  <c r="AD326" i="1"/>
  <c r="AD242" i="1"/>
  <c r="AD59" i="1"/>
  <c r="AD502" i="1"/>
  <c r="AD448" i="1"/>
  <c r="AD30" i="1"/>
  <c r="AD176" i="1"/>
  <c r="AD27" i="1"/>
  <c r="AD119" i="1"/>
  <c r="AD196" i="1"/>
  <c r="AD160" i="1"/>
  <c r="AD422" i="1"/>
  <c r="AD514" i="1"/>
  <c r="AD226" i="1"/>
  <c r="AD200" i="1"/>
  <c r="AD509" i="1"/>
  <c r="AD461" i="1"/>
  <c r="AD381" i="1"/>
  <c r="AD58" i="1"/>
  <c r="AD318" i="1"/>
  <c r="AD370" i="1"/>
  <c r="AD104" i="1"/>
  <c r="AD109" i="1"/>
  <c r="AD46" i="1"/>
  <c r="AD335" i="1"/>
  <c r="AD123" i="1"/>
  <c r="AD24" i="1"/>
  <c r="AD68" i="1"/>
  <c r="AD279" i="1"/>
  <c r="AD187" i="1"/>
  <c r="AD302" i="1"/>
  <c r="AD269" i="1"/>
  <c r="AD482" i="1"/>
  <c r="AD313" i="1"/>
  <c r="AD415" i="1"/>
  <c r="AD431" i="1"/>
  <c r="AD70" i="1"/>
  <c r="AD346" i="1"/>
  <c r="AD161" i="1"/>
  <c r="AD319" i="1"/>
  <c r="AD429" i="1"/>
  <c r="AD272" i="1"/>
  <c r="AD385" i="1"/>
  <c r="AD177" i="1"/>
  <c r="AD140" i="1"/>
  <c r="AD342" i="1"/>
  <c r="AD274" i="1"/>
  <c r="AD358" i="1"/>
  <c r="AD347" i="1"/>
  <c r="AD137" i="1"/>
  <c r="AD344" i="1"/>
  <c r="AD466" i="1"/>
  <c r="AD517" i="1"/>
  <c r="AD465" i="1"/>
  <c r="AD185" i="1"/>
  <c r="AD386" i="1"/>
  <c r="AD301" i="1"/>
  <c r="AD190" i="1"/>
  <c r="AD144" i="1"/>
  <c r="AD35" i="1"/>
  <c r="AD331" i="1"/>
  <c r="AD136" i="1"/>
  <c r="AD154" i="1"/>
  <c r="AD417" i="1"/>
  <c r="AD337" i="1"/>
  <c r="AD225" i="1"/>
  <c r="AD245" i="1"/>
  <c r="AD239" i="1"/>
  <c r="AD197" i="1"/>
  <c r="AD459" i="1"/>
  <c r="AD512" i="1"/>
  <c r="AD473" i="1"/>
  <c r="AD330" i="1"/>
  <c r="AD132" i="1"/>
  <c r="AD478" i="1"/>
  <c r="AD222" i="1"/>
  <c r="AD503" i="1"/>
  <c r="AD474" i="1"/>
  <c r="AD206" i="1"/>
  <c r="AD339" i="1"/>
  <c r="AD487" i="1"/>
  <c r="AD94" i="1"/>
  <c r="AD153" i="1"/>
  <c r="AD37" i="1"/>
  <c r="AD349" i="1"/>
  <c r="AD441" i="1"/>
  <c r="AD178" i="1"/>
  <c r="AD39" i="1"/>
  <c r="AD117" i="1"/>
  <c r="AD204" i="1"/>
  <c r="AD76" i="1"/>
  <c r="AD159" i="1"/>
  <c r="AD40" i="1"/>
  <c r="AD452" i="1"/>
  <c r="AD96" i="1"/>
  <c r="AD19" i="1"/>
  <c r="AD163" i="1"/>
  <c r="AD31" i="1"/>
  <c r="AD212" i="1"/>
  <c r="AD181" i="1"/>
  <c r="AD427" i="1"/>
  <c r="AD505" i="1"/>
  <c r="AD77" i="1"/>
  <c r="AD467" i="1"/>
  <c r="AD398" i="1"/>
  <c r="AD95" i="1"/>
  <c r="AD296" i="1"/>
  <c r="AD75" i="1"/>
  <c r="AD102" i="1"/>
  <c r="AD65" i="1"/>
  <c r="AD453" i="1"/>
  <c r="AD147" i="1"/>
  <c r="AD428" i="1"/>
  <c r="AD404" i="1"/>
  <c r="AD244" i="1"/>
  <c r="AD426" i="1"/>
  <c r="AD193" i="1"/>
  <c r="AD60" i="1"/>
  <c r="AD486" i="1"/>
  <c r="AD21" i="1"/>
  <c r="AD463" i="1"/>
  <c r="AD62" i="1"/>
  <c r="AD338" i="1"/>
  <c r="AD315" i="1"/>
  <c r="AD407" i="1"/>
  <c r="AD230" i="1"/>
  <c r="AD47" i="1"/>
  <c r="AD246" i="1"/>
  <c r="AD84" i="1"/>
  <c r="AD446" i="1"/>
  <c r="AD227" i="1"/>
  <c r="AD408" i="1"/>
  <c r="AD173" i="1"/>
  <c r="AD303" i="1"/>
  <c r="AD142" i="1"/>
  <c r="AD110" i="1"/>
  <c r="AD277" i="1"/>
  <c r="AD350" i="1"/>
  <c r="AD66" i="1"/>
  <c r="AD170" i="1"/>
  <c r="AD255" i="1"/>
  <c r="AD258" i="1"/>
  <c r="AD157" i="1"/>
  <c r="AD205" i="1"/>
  <c r="AD356" i="1"/>
  <c r="AD506" i="1"/>
  <c r="AD515" i="1"/>
  <c r="AD378" i="1"/>
  <c r="AD332" i="1"/>
  <c r="AD483" i="1"/>
  <c r="AD513" i="1"/>
  <c r="AD322" i="1"/>
  <c r="AD61" i="1"/>
  <c r="AD207" i="1"/>
  <c r="AD360" i="1"/>
  <c r="AD416" i="1"/>
  <c r="AD372" i="1"/>
  <c r="AD369" i="1"/>
  <c r="AD145" i="1"/>
  <c r="AD167" i="1"/>
  <c r="AD182" i="1"/>
  <c r="AD89" i="1"/>
  <c r="AD294" i="1"/>
  <c r="AD71" i="1"/>
  <c r="AD118" i="1"/>
  <c r="AD25" i="1"/>
  <c r="AD464" i="1"/>
  <c r="AD263" i="1"/>
  <c r="AD259" i="1"/>
  <c r="AD510" i="1"/>
  <c r="AD209" i="1"/>
  <c r="AD327" i="1"/>
  <c r="AD401" i="1"/>
  <c r="AD469" i="1"/>
  <c r="AD449" i="1"/>
  <c r="AD323" i="1"/>
  <c r="AD146" i="1"/>
  <c r="AD56" i="1"/>
  <c r="AD105" i="1"/>
  <c r="AD50" i="1"/>
  <c r="AD169" i="1"/>
  <c r="AD273" i="1"/>
  <c r="AD86" i="1"/>
  <c r="AD365" i="1"/>
  <c r="AD353" i="1"/>
  <c r="AD115" i="1"/>
  <c r="AD393" i="1"/>
  <c r="AD111" i="1"/>
  <c r="AD314" i="1"/>
  <c r="AD389" i="1"/>
  <c r="AD261" i="1"/>
  <c r="AD305" i="1"/>
  <c r="AD432" i="1"/>
  <c r="AD215" i="1"/>
  <c r="AD410" i="1"/>
  <c r="AD458" i="1"/>
  <c r="AD413" i="1"/>
  <c r="AD492" i="1"/>
  <c r="AD324" i="1"/>
  <c r="AD391" i="1"/>
  <c r="AD201" i="1"/>
  <c r="AD236" i="1"/>
  <c r="AD420" i="1"/>
  <c r="AD51" i="1"/>
  <c r="AD264" i="1"/>
  <c r="AD216" i="1"/>
  <c r="AD437" i="1"/>
  <c r="AD442" i="1"/>
  <c r="AD125" i="1"/>
  <c r="AD430" i="1"/>
  <c r="AD390" i="1"/>
  <c r="AD447" i="1"/>
  <c r="AD122" i="1"/>
  <c r="AD250" i="1"/>
  <c r="AD213" i="1"/>
  <c r="AD92" i="1"/>
  <c r="AD395" i="1"/>
  <c r="AD251" i="1"/>
  <c r="AD363" i="1"/>
  <c r="AD438" i="1"/>
  <c r="AD57" i="1"/>
  <c r="AD55" i="1"/>
  <c r="AD152" i="1"/>
  <c r="AD354" i="1"/>
  <c r="AD405" i="1"/>
  <c r="AD501" i="1"/>
  <c r="AD221" i="1"/>
  <c r="AD361" i="1"/>
  <c r="AD475" i="1"/>
  <c r="AD69" i="1"/>
  <c r="AD18" i="1"/>
  <c r="AD489" i="1"/>
  <c r="AD508" i="1"/>
  <c r="AD113" i="1"/>
  <c r="AD194" i="1"/>
  <c r="AD121" i="1"/>
  <c r="AD260" i="1"/>
  <c r="AD275" i="1"/>
  <c r="AD496" i="1"/>
  <c r="AD450" i="1"/>
  <c r="AD202" i="1"/>
  <c r="AD328" i="1"/>
  <c r="AD433" i="1"/>
  <c r="AD266" i="1"/>
  <c r="AD352" i="1"/>
  <c r="AD158" i="1"/>
  <c r="AD87" i="1"/>
  <c r="AD511" i="1"/>
  <c r="AD257" i="1"/>
  <c r="AD456" i="1"/>
  <c r="AD320" i="1"/>
  <c r="AD42" i="1"/>
  <c r="AD440" i="1"/>
  <c r="AD254" i="1"/>
  <c r="AD388" i="1"/>
  <c r="AD282" i="1"/>
  <c r="AD191" i="1"/>
  <c r="AD419" i="1"/>
  <c r="AD364" i="1"/>
  <c r="AD228" i="1"/>
  <c r="AD133" i="1"/>
  <c r="AD406" i="1"/>
  <c r="AD241" i="1"/>
  <c r="AD192" i="1"/>
  <c r="AD184" i="1"/>
  <c r="AD498" i="1"/>
  <c r="AD357" i="1"/>
  <c r="AD268" i="1"/>
  <c r="AD22" i="1"/>
  <c r="AD397" i="1"/>
  <c r="AD285" i="1"/>
  <c r="AD252" i="1"/>
  <c r="AD321" i="1"/>
  <c r="AD183" i="1"/>
  <c r="AD91" i="1"/>
  <c r="AD317" i="1"/>
  <c r="AD126" i="1"/>
  <c r="AD488" i="1"/>
  <c r="AD34" i="1"/>
  <c r="AD106" i="1"/>
  <c r="AD73" i="1"/>
  <c r="AD265" i="1"/>
  <c r="AD504" i="1"/>
  <c r="AD310" i="1"/>
  <c r="AD500" i="1"/>
  <c r="AD238" i="1"/>
  <c r="AD162" i="1"/>
  <c r="AD188" i="1"/>
  <c r="AD351" i="1"/>
  <c r="AD290" i="1"/>
  <c r="AD394" i="1"/>
  <c r="AD130" i="1"/>
  <c r="AD219" i="1"/>
  <c r="AD382" i="1"/>
  <c r="AD116" i="1"/>
  <c r="AD234" i="1"/>
  <c r="AD460" i="1"/>
  <c r="AD64" i="1"/>
  <c r="AD48" i="1"/>
  <c r="AD79" i="1"/>
  <c r="AD150" i="1"/>
  <c r="AD99" i="1"/>
  <c r="AD470" i="1"/>
  <c r="AD199" i="1"/>
  <c r="AD366" i="1"/>
  <c r="AD85" i="1"/>
  <c r="AD311" i="1"/>
  <c r="AD334" i="1"/>
  <c r="AD198" i="1"/>
  <c r="AD379" i="1"/>
  <c r="AD171" i="1"/>
  <c r="AD485" i="1"/>
  <c r="AD345" i="1"/>
  <c r="AD63" i="1"/>
  <c r="AD283" i="1"/>
  <c r="AD78" i="1"/>
  <c r="AD231" i="1"/>
  <c r="AD403" i="1"/>
  <c r="AD329" i="1"/>
  <c r="AD28" i="1"/>
  <c r="AD149" i="1"/>
  <c r="AD387" i="1"/>
  <c r="AD371" i="1"/>
  <c r="AD107" i="1"/>
  <c r="AD134" i="1"/>
  <c r="AD287" i="1"/>
  <c r="AD399" i="1"/>
  <c r="AD424" i="1"/>
  <c r="AD299" i="1"/>
  <c r="AD203" i="1"/>
  <c r="AD232" i="1"/>
  <c r="AD49" i="1"/>
  <c r="AD223" i="1"/>
  <c r="AD476" i="1"/>
  <c r="AD373" i="1"/>
  <c r="AD444" i="1"/>
  <c r="AD267" i="1"/>
  <c r="AD355" i="1"/>
  <c r="AD128" i="1"/>
  <c r="AD195" i="1"/>
  <c r="AD208" i="1"/>
  <c r="AD298" i="1"/>
  <c r="AD451" i="1"/>
  <c r="AD135" i="1"/>
  <c r="AD435" i="1"/>
  <c r="AD29" i="1"/>
  <c r="AD54" i="1"/>
  <c r="AD175" i="1"/>
  <c r="AD20" i="1"/>
  <c r="AD67" i="1"/>
  <c r="AD411" i="1"/>
  <c r="AD396" i="1"/>
  <c r="AD348" i="1"/>
  <c r="AD374" i="1"/>
  <c r="AD165" i="1"/>
  <c r="AD233" i="1"/>
  <c r="AD120" i="1"/>
  <c r="AD295" i="1"/>
  <c r="AD100" i="1"/>
  <c r="AD270" i="1"/>
  <c r="AD131" i="1"/>
  <c r="AD53" i="1"/>
  <c r="AD127" i="1"/>
  <c r="AD480" i="1"/>
  <c r="AD375" i="1"/>
  <c r="AD43" i="1"/>
  <c r="AD297" i="1"/>
  <c r="AD494" i="1"/>
  <c r="AD340" i="1"/>
  <c r="AD418" i="1"/>
  <c r="AD497" i="1"/>
  <c r="AD304" i="1"/>
  <c r="AD189" i="1"/>
  <c r="AD284" i="1"/>
  <c r="AD243" i="1"/>
  <c r="AD172" i="1"/>
  <c r="AD224" i="1"/>
  <c r="AD325" i="1"/>
  <c r="AD443" i="1"/>
  <c r="AD217" i="1"/>
  <c r="AD376" i="1"/>
  <c r="AD493" i="1"/>
  <c r="AD455" i="1"/>
  <c r="AD309" i="1"/>
  <c r="AD247" i="1"/>
  <c r="AD101" i="1"/>
  <c r="AD129" i="1"/>
  <c r="AD237" i="1"/>
  <c r="AD333" i="1"/>
  <c r="AD103" i="1"/>
  <c r="AD477" i="1"/>
  <c r="AD112" i="1"/>
  <c r="AD336" i="1"/>
  <c r="AD256" i="1"/>
  <c r="AD439" i="1"/>
  <c r="AD308" i="1"/>
  <c r="AD445" i="1"/>
  <c r="AD168" i="1"/>
  <c r="AD151" i="1"/>
  <c r="AD81" i="1"/>
  <c r="AD174" i="1"/>
  <c r="AD462" i="1"/>
  <c r="AD93" i="1"/>
  <c r="AD83" i="1"/>
  <c r="AD293" i="1"/>
  <c r="AD288" i="1"/>
  <c r="AD425" i="1"/>
  <c r="AD481" i="1"/>
  <c r="AD41" i="1"/>
  <c r="AD402" i="1"/>
  <c r="AD26" i="1"/>
  <c r="AD218" i="1"/>
  <c r="AD44" i="1"/>
  <c r="AD97" i="1"/>
  <c r="AD479" i="1"/>
  <c r="AD516" i="1"/>
  <c r="AD235" i="1"/>
  <c r="AD383" i="1"/>
  <c r="AD359" i="1"/>
  <c r="AD306" i="1"/>
  <c r="AD341" i="1"/>
  <c r="AD377" i="1"/>
  <c r="AD141" i="1"/>
  <c r="AD380" i="1"/>
  <c r="AD220" i="1"/>
  <c r="AD211" i="1"/>
  <c r="AD400" i="1"/>
  <c r="AD276" i="1"/>
  <c r="AD495" i="1"/>
  <c r="AD454" i="1"/>
  <c r="AD52" i="1"/>
  <c r="AD108" i="1"/>
  <c r="AD143" i="1"/>
  <c r="AD392" i="1"/>
  <c r="AD248" i="1"/>
  <c r="AD210" i="1"/>
  <c r="AD124" i="1"/>
  <c r="AD291" i="1"/>
  <c r="AD280" i="1"/>
  <c r="AD214" i="1"/>
  <c r="AD471" i="1"/>
  <c r="AD457" i="1"/>
  <c r="AD367" i="1"/>
  <c r="AD412" i="1"/>
  <c r="AC32" i="1"/>
  <c r="AC286" i="1"/>
  <c r="AC436" i="1"/>
  <c r="AC186" i="1"/>
  <c r="AC368" i="1"/>
  <c r="AC33" i="1"/>
  <c r="AC74" i="1"/>
  <c r="AC98" i="1"/>
  <c r="AC468" i="1"/>
  <c r="AC114" i="1"/>
  <c r="AC80" i="1"/>
  <c r="AC139" i="1"/>
  <c r="AC36" i="1"/>
  <c r="AC343" i="1"/>
  <c r="AC507" i="1"/>
  <c r="AC499" i="1"/>
  <c r="AC253" i="1"/>
  <c r="AC155" i="1"/>
  <c r="AC166" i="1"/>
  <c r="AC414" i="1"/>
  <c r="AC316" i="1"/>
  <c r="AC300" i="1"/>
  <c r="AC312" i="1"/>
  <c r="AC156" i="1"/>
  <c r="AC384" i="1"/>
  <c r="AC179" i="1"/>
  <c r="AC72" i="1"/>
  <c r="AC164" i="1"/>
  <c r="AC281" i="1"/>
  <c r="AC148" i="1"/>
  <c r="AC307" i="1"/>
  <c r="AC90" i="1"/>
  <c r="AC289" i="1"/>
  <c r="AC409" i="1"/>
  <c r="AC271" i="1"/>
  <c r="AC88" i="1"/>
  <c r="AC138" i="1"/>
  <c r="AC434" i="1"/>
  <c r="AC240" i="1"/>
  <c r="AC362" i="1"/>
  <c r="AC262" i="1"/>
  <c r="AC472" i="1"/>
  <c r="AC423" i="1"/>
  <c r="AC38" i="1"/>
  <c r="AC23" i="1"/>
  <c r="AC491" i="1"/>
  <c r="AC292" i="1"/>
  <c r="AC249" i="1"/>
  <c r="AC421" i="1"/>
  <c r="AC180" i="1"/>
  <c r="AC484" i="1"/>
  <c r="AC278" i="1"/>
  <c r="AC45" i="1"/>
  <c r="AC229" i="1"/>
  <c r="AC490" i="1"/>
  <c r="AC82" i="1"/>
  <c r="AC326" i="1"/>
  <c r="AC242" i="1"/>
  <c r="AC59" i="1"/>
  <c r="AC502" i="1"/>
  <c r="AC448" i="1"/>
  <c r="AC30" i="1"/>
  <c r="AC176" i="1"/>
  <c r="AC27" i="1"/>
  <c r="AC119" i="1"/>
  <c r="AC196" i="1"/>
  <c r="AC160" i="1"/>
  <c r="AC422" i="1"/>
  <c r="AC514" i="1"/>
  <c r="AC226" i="1"/>
  <c r="AC200" i="1"/>
  <c r="AC509" i="1"/>
  <c r="AC461" i="1"/>
  <c r="AC381" i="1"/>
  <c r="AC58" i="1"/>
  <c r="AC318" i="1"/>
  <c r="AC370" i="1"/>
  <c r="AC104" i="1"/>
  <c r="AC109" i="1"/>
  <c r="AC46" i="1"/>
  <c r="AC335" i="1"/>
  <c r="AC123" i="1"/>
  <c r="AC24" i="1"/>
  <c r="AC68" i="1"/>
  <c r="AC279" i="1"/>
  <c r="AC187" i="1"/>
  <c r="AC302" i="1"/>
  <c r="AC269" i="1"/>
  <c r="AC482" i="1"/>
  <c r="AC313" i="1"/>
  <c r="AC415" i="1"/>
  <c r="AC431" i="1"/>
  <c r="AC70" i="1"/>
  <c r="AC346" i="1"/>
  <c r="AC161" i="1"/>
  <c r="AC319" i="1"/>
  <c r="AC429" i="1"/>
  <c r="AC272" i="1"/>
  <c r="AC385" i="1"/>
  <c r="AC177" i="1"/>
  <c r="AC140" i="1"/>
  <c r="AC342" i="1"/>
  <c r="AC274" i="1"/>
  <c r="AC358" i="1"/>
  <c r="AC347" i="1"/>
  <c r="AC137" i="1"/>
  <c r="AC344" i="1"/>
  <c r="AC466" i="1"/>
  <c r="AC517" i="1"/>
  <c r="AC465" i="1"/>
  <c r="AC185" i="1"/>
  <c r="AC386" i="1"/>
  <c r="AC301" i="1"/>
  <c r="AC190" i="1"/>
  <c r="AC144" i="1"/>
  <c r="AC35" i="1"/>
  <c r="AC331" i="1"/>
  <c r="AC136" i="1"/>
  <c r="AC154" i="1"/>
  <c r="AC417" i="1"/>
  <c r="AC337" i="1"/>
  <c r="AC225" i="1"/>
  <c r="AC245" i="1"/>
  <c r="AC239" i="1"/>
  <c r="AC197" i="1"/>
  <c r="AC459" i="1"/>
  <c r="AC512" i="1"/>
  <c r="AC473" i="1"/>
  <c r="AC330" i="1"/>
  <c r="AC132" i="1"/>
  <c r="AC478" i="1"/>
  <c r="AC222" i="1"/>
  <c r="AC503" i="1"/>
  <c r="AC474" i="1"/>
  <c r="AC206" i="1"/>
  <c r="AC339" i="1"/>
  <c r="AC487" i="1"/>
  <c r="AC94" i="1"/>
  <c r="AC153" i="1"/>
  <c r="AC37" i="1"/>
  <c r="AC349" i="1"/>
  <c r="AC441" i="1"/>
  <c r="AC178" i="1"/>
  <c r="AC39" i="1"/>
  <c r="AC117" i="1"/>
  <c r="AC204" i="1"/>
  <c r="AC76" i="1"/>
  <c r="AC159" i="1"/>
  <c r="AC40" i="1"/>
  <c r="AC452" i="1"/>
  <c r="AC96" i="1"/>
  <c r="AC19" i="1"/>
  <c r="AC163" i="1"/>
  <c r="AC31" i="1"/>
  <c r="AC212" i="1"/>
  <c r="AC181" i="1"/>
  <c r="AC427" i="1"/>
  <c r="AC505" i="1"/>
  <c r="AC77" i="1"/>
  <c r="AC467" i="1"/>
  <c r="AC398" i="1"/>
  <c r="AC95" i="1"/>
  <c r="AC296" i="1"/>
  <c r="AC75" i="1"/>
  <c r="AC102" i="1"/>
  <c r="AC65" i="1"/>
  <c r="AC453" i="1"/>
  <c r="AC147" i="1"/>
  <c r="AC428" i="1"/>
  <c r="AC404" i="1"/>
  <c r="AC244" i="1"/>
  <c r="AC426" i="1"/>
  <c r="AC193" i="1"/>
  <c r="AC60" i="1"/>
  <c r="AC486" i="1"/>
  <c r="AC21" i="1"/>
  <c r="AC463" i="1"/>
  <c r="AC62" i="1"/>
  <c r="AC338" i="1"/>
  <c r="AC315" i="1"/>
  <c r="AC407" i="1"/>
  <c r="AC230" i="1"/>
  <c r="AC47" i="1"/>
  <c r="AC246" i="1"/>
  <c r="AC84" i="1"/>
  <c r="AC446" i="1"/>
  <c r="AC227" i="1"/>
  <c r="AC408" i="1"/>
  <c r="AC173" i="1"/>
  <c r="AC303" i="1"/>
  <c r="AC142" i="1"/>
  <c r="AC110" i="1"/>
  <c r="AC277" i="1"/>
  <c r="AC350" i="1"/>
  <c r="AC66" i="1"/>
  <c r="AC170" i="1"/>
  <c r="AC255" i="1"/>
  <c r="AC258" i="1"/>
  <c r="AC157" i="1"/>
  <c r="AC205" i="1"/>
  <c r="AC356" i="1"/>
  <c r="AC506" i="1"/>
  <c r="AC515" i="1"/>
  <c r="AC378" i="1"/>
  <c r="AC332" i="1"/>
  <c r="AC483" i="1"/>
  <c r="AC513" i="1"/>
  <c r="AC322" i="1"/>
  <c r="AC61" i="1"/>
  <c r="AC207" i="1"/>
  <c r="AC360" i="1"/>
  <c r="AC416" i="1"/>
  <c r="AC372" i="1"/>
  <c r="AC369" i="1"/>
  <c r="AC145" i="1"/>
  <c r="AC167" i="1"/>
  <c r="AC182" i="1"/>
  <c r="AC89" i="1"/>
  <c r="AC294" i="1"/>
  <c r="AC71" i="1"/>
  <c r="AC118" i="1"/>
  <c r="AC25" i="1"/>
  <c r="AC464" i="1"/>
  <c r="AC263" i="1"/>
  <c r="AC259" i="1"/>
  <c r="AC510" i="1"/>
  <c r="AC209" i="1"/>
  <c r="AC327" i="1"/>
  <c r="AC401" i="1"/>
  <c r="AC469" i="1"/>
  <c r="AC449" i="1"/>
  <c r="AC323" i="1"/>
  <c r="AC146" i="1"/>
  <c r="AC56" i="1"/>
  <c r="AC105" i="1"/>
  <c r="AC50" i="1"/>
  <c r="AC169" i="1"/>
  <c r="AC273" i="1"/>
  <c r="AC86" i="1"/>
  <c r="AC365" i="1"/>
  <c r="AC353" i="1"/>
  <c r="AC115" i="1"/>
  <c r="AC393" i="1"/>
  <c r="AC111" i="1"/>
  <c r="AC314" i="1"/>
  <c r="AC389" i="1"/>
  <c r="AC261" i="1"/>
  <c r="AC305" i="1"/>
  <c r="AC432" i="1"/>
  <c r="AC215" i="1"/>
  <c r="AC410" i="1"/>
  <c r="AC458" i="1"/>
  <c r="AC413" i="1"/>
  <c r="AC492" i="1"/>
  <c r="AC324" i="1"/>
  <c r="AC391" i="1"/>
  <c r="AC201" i="1"/>
  <c r="AC236" i="1"/>
  <c r="AC420" i="1"/>
  <c r="AC51" i="1"/>
  <c r="AC264" i="1"/>
  <c r="AC216" i="1"/>
  <c r="AC437" i="1"/>
  <c r="AC442" i="1"/>
  <c r="AC125" i="1"/>
  <c r="AC430" i="1"/>
  <c r="AC390" i="1"/>
  <c r="AC447" i="1"/>
  <c r="AC122" i="1"/>
  <c r="AC250" i="1"/>
  <c r="AC213" i="1"/>
  <c r="AC92" i="1"/>
  <c r="AC395" i="1"/>
  <c r="AC251" i="1"/>
  <c r="AC363" i="1"/>
  <c r="AC438" i="1"/>
  <c r="AC57" i="1"/>
  <c r="AC55" i="1"/>
  <c r="AC152" i="1"/>
  <c r="AC354" i="1"/>
  <c r="AC405" i="1"/>
  <c r="AC501" i="1"/>
  <c r="AC221" i="1"/>
  <c r="AC361" i="1"/>
  <c r="AC475" i="1"/>
  <c r="AC69" i="1"/>
  <c r="AC18" i="1"/>
  <c r="AC489" i="1"/>
  <c r="AC508" i="1"/>
  <c r="AC113" i="1"/>
  <c r="AC194" i="1"/>
  <c r="AC121" i="1"/>
  <c r="AC260" i="1"/>
  <c r="AC275" i="1"/>
  <c r="AC496" i="1"/>
  <c r="AC450" i="1"/>
  <c r="AC202" i="1"/>
  <c r="AC328" i="1"/>
  <c r="AC433" i="1"/>
  <c r="AC266" i="1"/>
  <c r="AC352" i="1"/>
  <c r="AC158" i="1"/>
  <c r="AC87" i="1"/>
  <c r="AC511" i="1"/>
  <c r="AC257" i="1"/>
  <c r="AC456" i="1"/>
  <c r="AC320" i="1"/>
  <c r="AC42" i="1"/>
  <c r="AC440" i="1"/>
  <c r="AC254" i="1"/>
  <c r="AC388" i="1"/>
  <c r="AC282" i="1"/>
  <c r="AC191" i="1"/>
  <c r="AC419" i="1"/>
  <c r="AC364" i="1"/>
  <c r="AC228" i="1"/>
  <c r="AC133" i="1"/>
  <c r="AC406" i="1"/>
  <c r="AC241" i="1"/>
  <c r="AC192" i="1"/>
  <c r="AC184" i="1"/>
  <c r="AC498" i="1"/>
  <c r="AC357" i="1"/>
  <c r="AC268" i="1"/>
  <c r="AC22" i="1"/>
  <c r="AC397" i="1"/>
  <c r="AC285" i="1"/>
  <c r="AC252" i="1"/>
  <c r="AC321" i="1"/>
  <c r="AC183" i="1"/>
  <c r="AC91" i="1"/>
  <c r="AC317" i="1"/>
  <c r="AC126" i="1"/>
  <c r="AC488" i="1"/>
  <c r="AC34" i="1"/>
  <c r="AC106" i="1"/>
  <c r="AC73" i="1"/>
  <c r="AC265" i="1"/>
  <c r="AC504" i="1"/>
  <c r="AC310" i="1"/>
  <c r="AC500" i="1"/>
  <c r="AC238" i="1"/>
  <c r="AC162" i="1"/>
  <c r="AC188" i="1"/>
  <c r="AC351" i="1"/>
  <c r="AC290" i="1"/>
  <c r="AC394" i="1"/>
  <c r="AC130" i="1"/>
  <c r="AC219" i="1"/>
  <c r="AC382" i="1"/>
  <c r="AC116" i="1"/>
  <c r="AC234" i="1"/>
  <c r="AC460" i="1"/>
  <c r="AC64" i="1"/>
  <c r="AC48" i="1"/>
  <c r="AC79" i="1"/>
  <c r="AC150" i="1"/>
  <c r="AC99" i="1"/>
  <c r="AC470" i="1"/>
  <c r="AC199" i="1"/>
  <c r="AC366" i="1"/>
  <c r="AC85" i="1"/>
  <c r="AC311" i="1"/>
  <c r="AC334" i="1"/>
  <c r="AC198" i="1"/>
  <c r="AC379" i="1"/>
  <c r="AC171" i="1"/>
  <c r="AC485" i="1"/>
  <c r="AC345" i="1"/>
  <c r="AC63" i="1"/>
  <c r="AC283" i="1"/>
  <c r="AC78" i="1"/>
  <c r="AC231" i="1"/>
  <c r="AC403" i="1"/>
  <c r="AC329" i="1"/>
  <c r="AC28" i="1"/>
  <c r="AC149" i="1"/>
  <c r="AC387" i="1"/>
  <c r="AC371" i="1"/>
  <c r="AC107" i="1"/>
  <c r="AC134" i="1"/>
  <c r="AC287" i="1"/>
  <c r="AC399" i="1"/>
  <c r="AC424" i="1"/>
  <c r="AC299" i="1"/>
  <c r="AC203" i="1"/>
  <c r="AC232" i="1"/>
  <c r="AC49" i="1"/>
  <c r="AC223" i="1"/>
  <c r="AC476" i="1"/>
  <c r="AC373" i="1"/>
  <c r="AC444" i="1"/>
  <c r="AC267" i="1"/>
  <c r="AC355" i="1"/>
  <c r="AC128" i="1"/>
  <c r="AC195" i="1"/>
  <c r="AC208" i="1"/>
  <c r="AC298" i="1"/>
  <c r="AC451" i="1"/>
  <c r="AC135" i="1"/>
  <c r="AC435" i="1"/>
  <c r="AC29" i="1"/>
  <c r="AC54" i="1"/>
  <c r="AC175" i="1"/>
  <c r="AC20" i="1"/>
  <c r="AC67" i="1"/>
  <c r="AC411" i="1"/>
  <c r="AC396" i="1"/>
  <c r="AC348" i="1"/>
  <c r="AC374" i="1"/>
  <c r="AC165" i="1"/>
  <c r="AC233" i="1"/>
  <c r="AC120" i="1"/>
  <c r="AC295" i="1"/>
  <c r="AC100" i="1"/>
  <c r="AC270" i="1"/>
  <c r="AC131" i="1"/>
  <c r="AC53" i="1"/>
  <c r="AC127" i="1"/>
  <c r="AC480" i="1"/>
  <c r="AC375" i="1"/>
  <c r="AC43" i="1"/>
  <c r="AC297" i="1"/>
  <c r="AC494" i="1"/>
  <c r="AC340" i="1"/>
  <c r="AC418" i="1"/>
  <c r="AC497" i="1"/>
  <c r="AC304" i="1"/>
  <c r="AC189" i="1"/>
  <c r="AC284" i="1"/>
  <c r="AC243" i="1"/>
  <c r="AC172" i="1"/>
  <c r="AC224" i="1"/>
  <c r="AC325" i="1"/>
  <c r="AC443" i="1"/>
  <c r="AC217" i="1"/>
  <c r="AC376" i="1"/>
  <c r="AC493" i="1"/>
  <c r="AC455" i="1"/>
  <c r="AC309" i="1"/>
  <c r="AC247" i="1"/>
  <c r="AC101" i="1"/>
  <c r="AC129" i="1"/>
  <c r="AC237" i="1"/>
  <c r="AC333" i="1"/>
  <c r="AC103" i="1"/>
  <c r="AC477" i="1"/>
  <c r="AC112" i="1"/>
  <c r="AC336" i="1"/>
  <c r="AC256" i="1"/>
  <c r="AC439" i="1"/>
  <c r="AC308" i="1"/>
  <c r="AC445" i="1"/>
  <c r="AC168" i="1"/>
  <c r="AC151" i="1"/>
  <c r="AC81" i="1"/>
  <c r="AC174" i="1"/>
  <c r="AC462" i="1"/>
  <c r="AC93" i="1"/>
  <c r="AC83" i="1"/>
  <c r="AC293" i="1"/>
  <c r="AC288" i="1"/>
  <c r="AC425" i="1"/>
  <c r="AC481" i="1"/>
  <c r="AC41" i="1"/>
  <c r="AC402" i="1"/>
  <c r="AC26" i="1"/>
  <c r="AC218" i="1"/>
  <c r="AC44" i="1"/>
  <c r="AC97" i="1"/>
  <c r="AC479" i="1"/>
  <c r="AC516" i="1"/>
  <c r="AC235" i="1"/>
  <c r="AC383" i="1"/>
  <c r="AC359" i="1"/>
  <c r="AC306" i="1"/>
  <c r="AC341" i="1"/>
  <c r="AC377" i="1"/>
  <c r="AC141" i="1"/>
  <c r="AC380" i="1"/>
  <c r="AC220" i="1"/>
  <c r="AC211" i="1"/>
  <c r="AC400" i="1"/>
  <c r="AC276" i="1"/>
  <c r="AC495" i="1"/>
  <c r="AC454" i="1"/>
  <c r="AC52" i="1"/>
  <c r="AC108" i="1"/>
  <c r="AC143" i="1"/>
  <c r="AC392" i="1"/>
  <c r="AC248" i="1"/>
  <c r="AC210" i="1"/>
  <c r="AC124" i="1"/>
  <c r="AC291" i="1"/>
  <c r="AC280" i="1"/>
  <c r="AC214" i="1"/>
  <c r="AC471" i="1"/>
  <c r="AC457" i="1"/>
  <c r="AC367" i="1"/>
  <c r="AC412" i="1"/>
  <c r="AB32" i="1"/>
  <c r="AB286" i="1"/>
  <c r="AB436" i="1"/>
  <c r="AB186" i="1"/>
  <c r="AB368" i="1"/>
  <c r="AB33" i="1"/>
  <c r="AB74" i="1"/>
  <c r="AB98" i="1"/>
  <c r="AB468" i="1"/>
  <c r="AB114" i="1"/>
  <c r="AB80" i="1"/>
  <c r="AB139" i="1"/>
  <c r="AB36" i="1"/>
  <c r="AB343" i="1"/>
  <c r="AB507" i="1"/>
  <c r="AB499" i="1"/>
  <c r="AB253" i="1"/>
  <c r="AB155" i="1"/>
  <c r="AB166" i="1"/>
  <c r="AB414" i="1"/>
  <c r="AB316" i="1"/>
  <c r="AB300" i="1"/>
  <c r="AB312" i="1"/>
  <c r="AB156" i="1"/>
  <c r="AB384" i="1"/>
  <c r="AB179" i="1"/>
  <c r="AB72" i="1"/>
  <c r="AB164" i="1"/>
  <c r="AB281" i="1"/>
  <c r="AB148" i="1"/>
  <c r="AB307" i="1"/>
  <c r="AB90" i="1"/>
  <c r="AB289" i="1"/>
  <c r="AB409" i="1"/>
  <c r="AB271" i="1"/>
  <c r="AB88" i="1"/>
  <c r="AB138" i="1"/>
  <c r="AB434" i="1"/>
  <c r="AB240" i="1"/>
  <c r="AB362" i="1"/>
  <c r="AB262" i="1"/>
  <c r="AB472" i="1"/>
  <c r="AB423" i="1"/>
  <c r="AB38" i="1"/>
  <c r="AB23" i="1"/>
  <c r="AB491" i="1"/>
  <c r="AB292" i="1"/>
  <c r="AB249" i="1"/>
  <c r="AB421" i="1"/>
  <c r="AB180" i="1"/>
  <c r="AB484" i="1"/>
  <c r="AB278" i="1"/>
  <c r="AB45" i="1"/>
  <c r="AB229" i="1"/>
  <c r="AB490" i="1"/>
  <c r="AB82" i="1"/>
  <c r="AB326" i="1"/>
  <c r="AB242" i="1"/>
  <c r="AB59" i="1"/>
  <c r="AB502" i="1"/>
  <c r="AB448" i="1"/>
  <c r="AB30" i="1"/>
  <c r="AB176" i="1"/>
  <c r="AB27" i="1"/>
  <c r="AB119" i="1"/>
  <c r="AB196" i="1"/>
  <c r="AB160" i="1"/>
  <c r="AB422" i="1"/>
  <c r="AB514" i="1"/>
  <c r="AB226" i="1"/>
  <c r="AB200" i="1"/>
  <c r="AB509" i="1"/>
  <c r="AB461" i="1"/>
  <c r="AB381" i="1"/>
  <c r="AB58" i="1"/>
  <c r="AB318" i="1"/>
  <c r="AB370" i="1"/>
  <c r="AB104" i="1"/>
  <c r="AB109" i="1"/>
  <c r="AB46" i="1"/>
  <c r="AB335" i="1"/>
  <c r="AB123" i="1"/>
  <c r="AB24" i="1"/>
  <c r="AB68" i="1"/>
  <c r="AB279" i="1"/>
  <c r="AB187" i="1"/>
  <c r="AB302" i="1"/>
  <c r="AB269" i="1"/>
  <c r="AB482" i="1"/>
  <c r="AB313" i="1"/>
  <c r="AB415" i="1"/>
  <c r="AB431" i="1"/>
  <c r="AB70" i="1"/>
  <c r="AB346" i="1"/>
  <c r="AB161" i="1"/>
  <c r="AB319" i="1"/>
  <c r="AB429" i="1"/>
  <c r="AB272" i="1"/>
  <c r="AB385" i="1"/>
  <c r="AB177" i="1"/>
  <c r="AB140" i="1"/>
  <c r="AB342" i="1"/>
  <c r="AB274" i="1"/>
  <c r="AB358" i="1"/>
  <c r="AB347" i="1"/>
  <c r="AB137" i="1"/>
  <c r="AB344" i="1"/>
  <c r="AB466" i="1"/>
  <c r="AB517" i="1"/>
  <c r="AB465" i="1"/>
  <c r="AB185" i="1"/>
  <c r="AB386" i="1"/>
  <c r="AB301" i="1"/>
  <c r="AB190" i="1"/>
  <c r="AB144" i="1"/>
  <c r="AB35" i="1"/>
  <c r="AB331" i="1"/>
  <c r="AB136" i="1"/>
  <c r="AB154" i="1"/>
  <c r="AB417" i="1"/>
  <c r="AB337" i="1"/>
  <c r="AB225" i="1"/>
  <c r="AB245" i="1"/>
  <c r="AB239" i="1"/>
  <c r="AB197" i="1"/>
  <c r="AB459" i="1"/>
  <c r="AB512" i="1"/>
  <c r="AB473" i="1"/>
  <c r="AB330" i="1"/>
  <c r="AB132" i="1"/>
  <c r="AB478" i="1"/>
  <c r="AB222" i="1"/>
  <c r="AB503" i="1"/>
  <c r="AB474" i="1"/>
  <c r="AB206" i="1"/>
  <c r="AB339" i="1"/>
  <c r="AB487" i="1"/>
  <c r="AB94" i="1"/>
  <c r="AB153" i="1"/>
  <c r="AB37" i="1"/>
  <c r="AB349" i="1"/>
  <c r="AB441" i="1"/>
  <c r="AB178" i="1"/>
  <c r="AB39" i="1"/>
  <c r="AB117" i="1"/>
  <c r="AB204" i="1"/>
  <c r="AB76" i="1"/>
  <c r="AB159" i="1"/>
  <c r="AB40" i="1"/>
  <c r="AB452" i="1"/>
  <c r="AB96" i="1"/>
  <c r="AB19" i="1"/>
  <c r="AB163" i="1"/>
  <c r="AB31" i="1"/>
  <c r="AB212" i="1"/>
  <c r="AB181" i="1"/>
  <c r="AB427" i="1"/>
  <c r="AB505" i="1"/>
  <c r="AB77" i="1"/>
  <c r="AB467" i="1"/>
  <c r="AB398" i="1"/>
  <c r="AB95" i="1"/>
  <c r="AB296" i="1"/>
  <c r="AB75" i="1"/>
  <c r="AB102" i="1"/>
  <c r="AB65" i="1"/>
  <c r="AB453" i="1"/>
  <c r="AB147" i="1"/>
  <c r="AB428" i="1"/>
  <c r="AB404" i="1"/>
  <c r="AB244" i="1"/>
  <c r="AB426" i="1"/>
  <c r="AB193" i="1"/>
  <c r="AB60" i="1"/>
  <c r="AB486" i="1"/>
  <c r="AB21" i="1"/>
  <c r="AB463" i="1"/>
  <c r="AB62" i="1"/>
  <c r="AB338" i="1"/>
  <c r="AB315" i="1"/>
  <c r="AB407" i="1"/>
  <c r="AB230" i="1"/>
  <c r="AB47" i="1"/>
  <c r="AB246" i="1"/>
  <c r="AB84" i="1"/>
  <c r="AB446" i="1"/>
  <c r="AB227" i="1"/>
  <c r="AB408" i="1"/>
  <c r="AB173" i="1"/>
  <c r="AB303" i="1"/>
  <c r="AB142" i="1"/>
  <c r="AB110" i="1"/>
  <c r="AB277" i="1"/>
  <c r="AB350" i="1"/>
  <c r="AB66" i="1"/>
  <c r="AB170" i="1"/>
  <c r="AB255" i="1"/>
  <c r="AB258" i="1"/>
  <c r="AB157" i="1"/>
  <c r="AB205" i="1"/>
  <c r="AB356" i="1"/>
  <c r="AB506" i="1"/>
  <c r="AB515" i="1"/>
  <c r="AB378" i="1"/>
  <c r="AB332" i="1"/>
  <c r="AB483" i="1"/>
  <c r="AB513" i="1"/>
  <c r="AB322" i="1"/>
  <c r="AB61" i="1"/>
  <c r="AB207" i="1"/>
  <c r="AB360" i="1"/>
  <c r="AB416" i="1"/>
  <c r="AB372" i="1"/>
  <c r="AB369" i="1"/>
  <c r="AB145" i="1"/>
  <c r="AB167" i="1"/>
  <c r="AB182" i="1"/>
  <c r="AB89" i="1"/>
  <c r="AB294" i="1"/>
  <c r="AB71" i="1"/>
  <c r="AB118" i="1"/>
  <c r="AB25" i="1"/>
  <c r="AB464" i="1"/>
  <c r="AB263" i="1"/>
  <c r="AB259" i="1"/>
  <c r="AB510" i="1"/>
  <c r="AB209" i="1"/>
  <c r="AB327" i="1"/>
  <c r="AB401" i="1"/>
  <c r="AB469" i="1"/>
  <c r="AB449" i="1"/>
  <c r="AB323" i="1"/>
  <c r="AB146" i="1"/>
  <c r="AB56" i="1"/>
  <c r="AB105" i="1"/>
  <c r="AB50" i="1"/>
  <c r="AB169" i="1"/>
  <c r="AB273" i="1"/>
  <c r="AB86" i="1"/>
  <c r="AB365" i="1"/>
  <c r="AB353" i="1"/>
  <c r="AB115" i="1"/>
  <c r="AB393" i="1"/>
  <c r="AB111" i="1"/>
  <c r="AB314" i="1"/>
  <c r="AB389" i="1"/>
  <c r="AB261" i="1"/>
  <c r="AB305" i="1"/>
  <c r="AB432" i="1"/>
  <c r="AB215" i="1"/>
  <c r="AB410" i="1"/>
  <c r="AB458" i="1"/>
  <c r="AB413" i="1"/>
  <c r="AB492" i="1"/>
  <c r="AB324" i="1"/>
  <c r="AB391" i="1"/>
  <c r="AB201" i="1"/>
  <c r="AB236" i="1"/>
  <c r="AB420" i="1"/>
  <c r="AB51" i="1"/>
  <c r="AB264" i="1"/>
  <c r="AB216" i="1"/>
  <c r="AB437" i="1"/>
  <c r="AB442" i="1"/>
  <c r="AB125" i="1"/>
  <c r="AB430" i="1"/>
  <c r="AB390" i="1"/>
  <c r="AB447" i="1"/>
  <c r="AB122" i="1"/>
  <c r="AB250" i="1"/>
  <c r="AB213" i="1"/>
  <c r="AB92" i="1"/>
  <c r="AB395" i="1"/>
  <c r="AB251" i="1"/>
  <c r="AB363" i="1"/>
  <c r="AB438" i="1"/>
  <c r="AB57" i="1"/>
  <c r="AB55" i="1"/>
  <c r="AB152" i="1"/>
  <c r="AB354" i="1"/>
  <c r="AB405" i="1"/>
  <c r="AB501" i="1"/>
  <c r="AB221" i="1"/>
  <c r="AB361" i="1"/>
  <c r="AB475" i="1"/>
  <c r="AB69" i="1"/>
  <c r="AB18" i="1"/>
  <c r="AB489" i="1"/>
  <c r="AB508" i="1"/>
  <c r="AB113" i="1"/>
  <c r="AB194" i="1"/>
  <c r="AB121" i="1"/>
  <c r="AB260" i="1"/>
  <c r="AB275" i="1"/>
  <c r="AB496" i="1"/>
  <c r="AB450" i="1"/>
  <c r="AB202" i="1"/>
  <c r="AB328" i="1"/>
  <c r="AB433" i="1"/>
  <c r="AB266" i="1"/>
  <c r="AB352" i="1"/>
  <c r="AB158" i="1"/>
  <c r="AB87" i="1"/>
  <c r="AB511" i="1"/>
  <c r="AB257" i="1"/>
  <c r="AB456" i="1"/>
  <c r="AB320" i="1"/>
  <c r="AB42" i="1"/>
  <c r="AB440" i="1"/>
  <c r="AB254" i="1"/>
  <c r="AB388" i="1"/>
  <c r="AB282" i="1"/>
  <c r="AB191" i="1"/>
  <c r="AB419" i="1"/>
  <c r="AB364" i="1"/>
  <c r="AB228" i="1"/>
  <c r="AB133" i="1"/>
  <c r="AB406" i="1"/>
  <c r="AB241" i="1"/>
  <c r="AB192" i="1"/>
  <c r="AB184" i="1"/>
  <c r="AB498" i="1"/>
  <c r="AB357" i="1"/>
  <c r="AB268" i="1"/>
  <c r="AB22" i="1"/>
  <c r="AB397" i="1"/>
  <c r="AB285" i="1"/>
  <c r="AB252" i="1"/>
  <c r="AB321" i="1"/>
  <c r="AB183" i="1"/>
  <c r="AB91" i="1"/>
  <c r="AB317" i="1"/>
  <c r="AB126" i="1"/>
  <c r="AB488" i="1"/>
  <c r="AB34" i="1"/>
  <c r="AB106" i="1"/>
  <c r="AB73" i="1"/>
  <c r="AB265" i="1"/>
  <c r="AB504" i="1"/>
  <c r="AB310" i="1"/>
  <c r="AB500" i="1"/>
  <c r="AB238" i="1"/>
  <c r="AB162" i="1"/>
  <c r="AB188" i="1"/>
  <c r="AB351" i="1"/>
  <c r="AB290" i="1"/>
  <c r="AB394" i="1"/>
  <c r="AB130" i="1"/>
  <c r="AB219" i="1"/>
  <c r="AB382" i="1"/>
  <c r="AB116" i="1"/>
  <c r="AB234" i="1"/>
  <c r="AB460" i="1"/>
  <c r="AB64" i="1"/>
  <c r="AB48" i="1"/>
  <c r="AB79" i="1"/>
  <c r="AB150" i="1"/>
  <c r="AB99" i="1"/>
  <c r="AB470" i="1"/>
  <c r="AB199" i="1"/>
  <c r="AB366" i="1"/>
  <c r="AB85" i="1"/>
  <c r="AB311" i="1"/>
  <c r="AB334" i="1"/>
  <c r="AB198" i="1"/>
  <c r="AB379" i="1"/>
  <c r="AB171" i="1"/>
  <c r="AB485" i="1"/>
  <c r="AB345" i="1"/>
  <c r="AB63" i="1"/>
  <c r="AB283" i="1"/>
  <c r="AB78" i="1"/>
  <c r="AB231" i="1"/>
  <c r="AB403" i="1"/>
  <c r="AB329" i="1"/>
  <c r="AB28" i="1"/>
  <c r="AB149" i="1"/>
  <c r="AB387" i="1"/>
  <c r="AB371" i="1"/>
  <c r="AB107" i="1"/>
  <c r="AB134" i="1"/>
  <c r="AB287" i="1"/>
  <c r="AB399" i="1"/>
  <c r="AB424" i="1"/>
  <c r="AB299" i="1"/>
  <c r="AB203" i="1"/>
  <c r="AB232" i="1"/>
  <c r="AB49" i="1"/>
  <c r="AB223" i="1"/>
  <c r="AB476" i="1"/>
  <c r="AB373" i="1"/>
  <c r="AB444" i="1"/>
  <c r="AB267" i="1"/>
  <c r="AB355" i="1"/>
  <c r="AB128" i="1"/>
  <c r="AB195" i="1"/>
  <c r="AB208" i="1"/>
  <c r="AB298" i="1"/>
  <c r="AB451" i="1"/>
  <c r="AB135" i="1"/>
  <c r="AB435" i="1"/>
  <c r="AB29" i="1"/>
  <c r="AB54" i="1"/>
  <c r="AB175" i="1"/>
  <c r="AB20" i="1"/>
  <c r="AB67" i="1"/>
  <c r="AB411" i="1"/>
  <c r="AB396" i="1"/>
  <c r="AB348" i="1"/>
  <c r="AB374" i="1"/>
  <c r="AB165" i="1"/>
  <c r="AB233" i="1"/>
  <c r="AB120" i="1"/>
  <c r="AB295" i="1"/>
  <c r="AB100" i="1"/>
  <c r="AB270" i="1"/>
  <c r="AB131" i="1"/>
  <c r="AB53" i="1"/>
  <c r="AB127" i="1"/>
  <c r="AB480" i="1"/>
  <c r="AB375" i="1"/>
  <c r="AB43" i="1"/>
  <c r="AB297" i="1"/>
  <c r="AB494" i="1"/>
  <c r="AB340" i="1"/>
  <c r="AB418" i="1"/>
  <c r="AB497" i="1"/>
  <c r="AB304" i="1"/>
  <c r="AB189" i="1"/>
  <c r="AB284" i="1"/>
  <c r="AB243" i="1"/>
  <c r="AB172" i="1"/>
  <c r="AB224" i="1"/>
  <c r="AB325" i="1"/>
  <c r="AB443" i="1"/>
  <c r="AB217" i="1"/>
  <c r="AB376" i="1"/>
  <c r="AB493" i="1"/>
  <c r="AB455" i="1"/>
  <c r="AB309" i="1"/>
  <c r="AB247" i="1"/>
  <c r="AB101" i="1"/>
  <c r="AB129" i="1"/>
  <c r="AB237" i="1"/>
  <c r="AB333" i="1"/>
  <c r="AB103" i="1"/>
  <c r="AB477" i="1"/>
  <c r="AB112" i="1"/>
  <c r="AB336" i="1"/>
  <c r="AB256" i="1"/>
  <c r="AB439" i="1"/>
  <c r="AB308" i="1"/>
  <c r="AB445" i="1"/>
  <c r="AB168" i="1"/>
  <c r="AB151" i="1"/>
  <c r="AB81" i="1"/>
  <c r="AB174" i="1"/>
  <c r="AB462" i="1"/>
  <c r="AB93" i="1"/>
  <c r="AB83" i="1"/>
  <c r="AB293" i="1"/>
  <c r="AB288" i="1"/>
  <c r="AB425" i="1"/>
  <c r="AB481" i="1"/>
  <c r="AB41" i="1"/>
  <c r="AB402" i="1"/>
  <c r="AB26" i="1"/>
  <c r="AB218" i="1"/>
  <c r="AB44" i="1"/>
  <c r="AB97" i="1"/>
  <c r="AB479" i="1"/>
  <c r="AB516" i="1"/>
  <c r="AB235" i="1"/>
  <c r="AB383" i="1"/>
  <c r="AB359" i="1"/>
  <c r="AB306" i="1"/>
  <c r="AB341" i="1"/>
  <c r="AB377" i="1"/>
  <c r="AB141" i="1"/>
  <c r="AB380" i="1"/>
  <c r="AB220" i="1"/>
  <c r="AB211" i="1"/>
  <c r="AB400" i="1"/>
  <c r="AB276" i="1"/>
  <c r="AB495" i="1"/>
  <c r="AB454" i="1"/>
  <c r="AB52" i="1"/>
  <c r="AB108" i="1"/>
  <c r="AB143" i="1"/>
  <c r="AB392" i="1"/>
  <c r="AB248" i="1"/>
  <c r="AB210" i="1"/>
  <c r="AB124" i="1"/>
  <c r="AB291" i="1"/>
  <c r="AB280" i="1"/>
  <c r="AB214" i="1"/>
  <c r="AB471" i="1"/>
  <c r="AB457" i="1"/>
  <c r="AB367" i="1"/>
  <c r="AB412" i="1"/>
  <c r="AA32" i="1"/>
  <c r="AA286" i="1"/>
  <c r="AA436" i="1"/>
  <c r="AA186" i="1"/>
  <c r="AA368" i="1"/>
  <c r="AA33" i="1"/>
  <c r="AA74" i="1"/>
  <c r="AA98" i="1"/>
  <c r="AA468" i="1"/>
  <c r="AA114" i="1"/>
  <c r="AA80" i="1"/>
  <c r="AA139" i="1"/>
  <c r="AA36" i="1"/>
  <c r="AA343" i="1"/>
  <c r="AA507" i="1"/>
  <c r="AA499" i="1"/>
  <c r="AA253" i="1"/>
  <c r="AA155" i="1"/>
  <c r="AA166" i="1"/>
  <c r="AA414" i="1"/>
  <c r="AA316" i="1"/>
  <c r="AA300" i="1"/>
  <c r="AA312" i="1"/>
  <c r="AA156" i="1"/>
  <c r="AA384" i="1"/>
  <c r="AA179" i="1"/>
  <c r="AA72" i="1"/>
  <c r="AA164" i="1"/>
  <c r="AA281" i="1"/>
  <c r="AA148" i="1"/>
  <c r="AA307" i="1"/>
  <c r="AA90" i="1"/>
  <c r="AA289" i="1"/>
  <c r="AA409" i="1"/>
  <c r="AA271" i="1"/>
  <c r="AA88" i="1"/>
  <c r="AA138" i="1"/>
  <c r="AA434" i="1"/>
  <c r="AA240" i="1"/>
  <c r="AA362" i="1"/>
  <c r="AA262" i="1"/>
  <c r="AA472" i="1"/>
  <c r="AA423" i="1"/>
  <c r="AA38" i="1"/>
  <c r="AA23" i="1"/>
  <c r="AA491" i="1"/>
  <c r="AA292" i="1"/>
  <c r="AA249" i="1"/>
  <c r="AA421" i="1"/>
  <c r="AA180" i="1"/>
  <c r="AA484" i="1"/>
  <c r="AA278" i="1"/>
  <c r="AA45" i="1"/>
  <c r="AA229" i="1"/>
  <c r="AA490" i="1"/>
  <c r="AA82" i="1"/>
  <c r="AA326" i="1"/>
  <c r="AA242" i="1"/>
  <c r="AA59" i="1"/>
  <c r="AA502" i="1"/>
  <c r="AA448" i="1"/>
  <c r="AA30" i="1"/>
  <c r="AA176" i="1"/>
  <c r="AA27" i="1"/>
  <c r="AA119" i="1"/>
  <c r="AA196" i="1"/>
  <c r="AA160" i="1"/>
  <c r="AA422" i="1"/>
  <c r="AA514" i="1"/>
  <c r="AA226" i="1"/>
  <c r="AA200" i="1"/>
  <c r="AA509" i="1"/>
  <c r="AA461" i="1"/>
  <c r="AA381" i="1"/>
  <c r="AA58" i="1"/>
  <c r="AA318" i="1"/>
  <c r="AA370" i="1"/>
  <c r="AA104" i="1"/>
  <c r="AA109" i="1"/>
  <c r="AA46" i="1"/>
  <c r="AA335" i="1"/>
  <c r="AA123" i="1"/>
  <c r="AA24" i="1"/>
  <c r="AA68" i="1"/>
  <c r="AA279" i="1"/>
  <c r="AA187" i="1"/>
  <c r="AA302" i="1"/>
  <c r="AA269" i="1"/>
  <c r="AA482" i="1"/>
  <c r="AA313" i="1"/>
  <c r="AA415" i="1"/>
  <c r="AA431" i="1"/>
  <c r="AA70" i="1"/>
  <c r="AA346" i="1"/>
  <c r="AA161" i="1"/>
  <c r="AA319" i="1"/>
  <c r="AA429" i="1"/>
  <c r="AA272" i="1"/>
  <c r="AA385" i="1"/>
  <c r="AA177" i="1"/>
  <c r="AA140" i="1"/>
  <c r="AA342" i="1"/>
  <c r="AA274" i="1"/>
  <c r="AA358" i="1"/>
  <c r="AA347" i="1"/>
  <c r="AA137" i="1"/>
  <c r="AA344" i="1"/>
  <c r="AA466" i="1"/>
  <c r="AA517" i="1"/>
  <c r="AA465" i="1"/>
  <c r="AA185" i="1"/>
  <c r="AA386" i="1"/>
  <c r="AA301" i="1"/>
  <c r="AA190" i="1"/>
  <c r="AA144" i="1"/>
  <c r="AA35" i="1"/>
  <c r="AA331" i="1"/>
  <c r="AA136" i="1"/>
  <c r="AA154" i="1"/>
  <c r="AA417" i="1"/>
  <c r="AA337" i="1"/>
  <c r="AA225" i="1"/>
  <c r="AA245" i="1"/>
  <c r="AA239" i="1"/>
  <c r="AA197" i="1"/>
  <c r="AA459" i="1"/>
  <c r="AA512" i="1"/>
  <c r="AA473" i="1"/>
  <c r="AA330" i="1"/>
  <c r="AA132" i="1"/>
  <c r="AA478" i="1"/>
  <c r="AA222" i="1"/>
  <c r="AA503" i="1"/>
  <c r="AA474" i="1"/>
  <c r="AA206" i="1"/>
  <c r="AA339" i="1"/>
  <c r="AA487" i="1"/>
  <c r="AA94" i="1"/>
  <c r="AA153" i="1"/>
  <c r="AA37" i="1"/>
  <c r="AA349" i="1"/>
  <c r="AA441" i="1"/>
  <c r="AA178" i="1"/>
  <c r="AA39" i="1"/>
  <c r="AA117" i="1"/>
  <c r="AA204" i="1"/>
  <c r="AA76" i="1"/>
  <c r="AA159" i="1"/>
  <c r="AA40" i="1"/>
  <c r="AA452" i="1"/>
  <c r="AA96" i="1"/>
  <c r="AA19" i="1"/>
  <c r="AA163" i="1"/>
  <c r="AA31" i="1"/>
  <c r="AA212" i="1"/>
  <c r="AA181" i="1"/>
  <c r="AA427" i="1"/>
  <c r="AA505" i="1"/>
  <c r="AA77" i="1"/>
  <c r="AA467" i="1"/>
  <c r="AA398" i="1"/>
  <c r="AA95" i="1"/>
  <c r="AA296" i="1"/>
  <c r="AA75" i="1"/>
  <c r="AA102" i="1"/>
  <c r="AA65" i="1"/>
  <c r="AA453" i="1"/>
  <c r="AA147" i="1"/>
  <c r="AA428" i="1"/>
  <c r="AA404" i="1"/>
  <c r="AA244" i="1"/>
  <c r="AA426" i="1"/>
  <c r="AA193" i="1"/>
  <c r="AA60" i="1"/>
  <c r="AA486" i="1"/>
  <c r="AA21" i="1"/>
  <c r="AA463" i="1"/>
  <c r="AA62" i="1"/>
  <c r="AA338" i="1"/>
  <c r="AA315" i="1"/>
  <c r="AA407" i="1"/>
  <c r="AA230" i="1"/>
  <c r="AA47" i="1"/>
  <c r="AA246" i="1"/>
  <c r="AA84" i="1"/>
  <c r="AA446" i="1"/>
  <c r="AA227" i="1"/>
  <c r="AA408" i="1"/>
  <c r="AA173" i="1"/>
  <c r="AA303" i="1"/>
  <c r="AA142" i="1"/>
  <c r="AA110" i="1"/>
  <c r="AA277" i="1"/>
  <c r="AA350" i="1"/>
  <c r="AA66" i="1"/>
  <c r="AA170" i="1"/>
  <c r="AA255" i="1"/>
  <c r="AA258" i="1"/>
  <c r="AA157" i="1"/>
  <c r="AA205" i="1"/>
  <c r="AA356" i="1"/>
  <c r="AA506" i="1"/>
  <c r="AA515" i="1"/>
  <c r="AA378" i="1"/>
  <c r="AA332" i="1"/>
  <c r="AA483" i="1"/>
  <c r="AA513" i="1"/>
  <c r="AA322" i="1"/>
  <c r="AA61" i="1"/>
  <c r="AA207" i="1"/>
  <c r="AA360" i="1"/>
  <c r="AA416" i="1"/>
  <c r="AA372" i="1"/>
  <c r="AA369" i="1"/>
  <c r="AA145" i="1"/>
  <c r="AA167" i="1"/>
  <c r="AA89" i="1"/>
  <c r="AA294" i="1"/>
  <c r="AA71" i="1"/>
  <c r="AA118" i="1"/>
  <c r="AA25" i="1"/>
  <c r="AA464" i="1"/>
  <c r="AA263" i="1"/>
  <c r="AA259" i="1"/>
  <c r="AA510" i="1"/>
  <c r="AA209" i="1"/>
  <c r="AA327" i="1"/>
  <c r="AA401" i="1"/>
  <c r="AA469" i="1"/>
  <c r="AA449" i="1"/>
  <c r="AA323" i="1"/>
  <c r="AA146" i="1"/>
  <c r="AA56" i="1"/>
  <c r="AA105" i="1"/>
  <c r="AA50" i="1"/>
  <c r="AA169" i="1"/>
  <c r="AA273" i="1"/>
  <c r="AA86" i="1"/>
  <c r="AA365" i="1"/>
  <c r="AA353" i="1"/>
  <c r="AA115" i="1"/>
  <c r="AA393" i="1"/>
  <c r="AA111" i="1"/>
  <c r="AA314" i="1"/>
  <c r="AA389" i="1"/>
  <c r="AA261" i="1"/>
  <c r="AA305" i="1"/>
  <c r="AA432" i="1"/>
  <c r="AA215" i="1"/>
  <c r="AA410" i="1"/>
  <c r="AA458" i="1"/>
  <c r="AA413" i="1"/>
  <c r="AA492" i="1"/>
  <c r="AA324" i="1"/>
  <c r="AA391" i="1"/>
  <c r="AA201" i="1"/>
  <c r="AA236" i="1"/>
  <c r="AA420" i="1"/>
  <c r="AA51" i="1"/>
  <c r="AA264" i="1"/>
  <c r="AA216" i="1"/>
  <c r="AA437" i="1"/>
  <c r="AA442" i="1"/>
  <c r="AA125" i="1"/>
  <c r="AA430" i="1"/>
  <c r="AA390" i="1"/>
  <c r="AA447" i="1"/>
  <c r="AA122" i="1"/>
  <c r="AA250" i="1"/>
  <c r="AA213" i="1"/>
  <c r="AA92" i="1"/>
  <c r="AA395" i="1"/>
  <c r="AA251" i="1"/>
  <c r="AA363" i="1"/>
  <c r="AA438" i="1"/>
  <c r="AA57" i="1"/>
  <c r="AA55" i="1"/>
  <c r="AA152" i="1"/>
  <c r="AA354" i="1"/>
  <c r="AA405" i="1"/>
  <c r="AA501" i="1"/>
  <c r="AA221" i="1"/>
  <c r="AA361" i="1"/>
  <c r="AA475" i="1"/>
  <c r="AA69" i="1"/>
  <c r="AA18" i="1"/>
  <c r="AA489" i="1"/>
  <c r="AA508" i="1"/>
  <c r="AA113" i="1"/>
  <c r="AA194" i="1"/>
  <c r="AA121" i="1"/>
  <c r="AA260" i="1"/>
  <c r="AA275" i="1"/>
  <c r="AA496" i="1"/>
  <c r="AA450" i="1"/>
  <c r="AA202" i="1"/>
  <c r="AA328" i="1"/>
  <c r="AA433" i="1"/>
  <c r="AA266" i="1"/>
  <c r="AA352" i="1"/>
  <c r="AA158" i="1"/>
  <c r="AA87" i="1"/>
  <c r="AA511" i="1"/>
  <c r="AA257" i="1"/>
  <c r="AA456" i="1"/>
  <c r="AA320" i="1"/>
  <c r="AA42" i="1"/>
  <c r="AA440" i="1"/>
  <c r="AA254" i="1"/>
  <c r="AA388" i="1"/>
  <c r="AA282" i="1"/>
  <c r="AA191" i="1"/>
  <c r="AA419" i="1"/>
  <c r="AA364" i="1"/>
  <c r="AA228" i="1"/>
  <c r="AA133" i="1"/>
  <c r="AA406" i="1"/>
  <c r="AA241" i="1"/>
  <c r="AA192" i="1"/>
  <c r="AA184" i="1"/>
  <c r="AA498" i="1"/>
  <c r="AA357" i="1"/>
  <c r="AA268" i="1"/>
  <c r="AA22" i="1"/>
  <c r="AA397" i="1"/>
  <c r="AA285" i="1"/>
  <c r="AA252" i="1"/>
  <c r="AA321" i="1"/>
  <c r="AA183" i="1"/>
  <c r="AA91" i="1"/>
  <c r="AA317" i="1"/>
  <c r="AA126" i="1"/>
  <c r="AA488" i="1"/>
  <c r="AA34" i="1"/>
  <c r="AA106" i="1"/>
  <c r="AA73" i="1"/>
  <c r="AA265" i="1"/>
  <c r="AA504" i="1"/>
  <c r="AA310" i="1"/>
  <c r="AA500" i="1"/>
  <c r="AA238" i="1"/>
  <c r="AA162" i="1"/>
  <c r="AA188" i="1"/>
  <c r="AA351" i="1"/>
  <c r="AA290" i="1"/>
  <c r="AA394" i="1"/>
  <c r="AA130" i="1"/>
  <c r="AA219" i="1"/>
  <c r="AA382" i="1"/>
  <c r="AA116" i="1"/>
  <c r="AA234" i="1"/>
  <c r="AA460" i="1"/>
  <c r="AA64" i="1"/>
  <c r="AA48" i="1"/>
  <c r="AA79" i="1"/>
  <c r="AA150" i="1"/>
  <c r="AA99" i="1"/>
  <c r="AA470" i="1"/>
  <c r="AA199" i="1"/>
  <c r="AA366" i="1"/>
  <c r="AA85" i="1"/>
  <c r="AA311" i="1"/>
  <c r="AA334" i="1"/>
  <c r="AA198" i="1"/>
  <c r="AA379" i="1"/>
  <c r="AA171" i="1"/>
  <c r="AA485" i="1"/>
  <c r="AA345" i="1"/>
  <c r="AA63" i="1"/>
  <c r="AA283" i="1"/>
  <c r="AA78" i="1"/>
  <c r="AA231" i="1"/>
  <c r="AA403" i="1"/>
  <c r="AA329" i="1"/>
  <c r="AA28" i="1"/>
  <c r="AA149" i="1"/>
  <c r="AA387" i="1"/>
  <c r="AA371" i="1"/>
  <c r="AA107" i="1"/>
  <c r="AA134" i="1"/>
  <c r="AA287" i="1"/>
  <c r="AA399" i="1"/>
  <c r="AA424" i="1"/>
  <c r="AA299" i="1"/>
  <c r="AA203" i="1"/>
  <c r="AA232" i="1"/>
  <c r="AA49" i="1"/>
  <c r="AA223" i="1"/>
  <c r="AA476" i="1"/>
  <c r="AA373" i="1"/>
  <c r="AA444" i="1"/>
  <c r="AA267" i="1"/>
  <c r="AA355" i="1"/>
  <c r="AA128" i="1"/>
  <c r="AA195" i="1"/>
  <c r="AA208" i="1"/>
  <c r="AA298" i="1"/>
  <c r="AA451" i="1"/>
  <c r="AA135" i="1"/>
  <c r="AA435" i="1"/>
  <c r="AA29" i="1"/>
  <c r="AA54" i="1"/>
  <c r="AA175" i="1"/>
  <c r="AA20" i="1"/>
  <c r="AA67" i="1"/>
  <c r="AA411" i="1"/>
  <c r="AA396" i="1"/>
  <c r="AA348" i="1"/>
  <c r="AA374" i="1"/>
  <c r="AA165" i="1"/>
  <c r="AA233" i="1"/>
  <c r="AA120" i="1"/>
  <c r="AA295" i="1"/>
  <c r="AA100" i="1"/>
  <c r="AA270" i="1"/>
  <c r="AA131" i="1"/>
  <c r="AA53" i="1"/>
  <c r="AA127" i="1"/>
  <c r="AA480" i="1"/>
  <c r="AA375" i="1"/>
  <c r="AA43" i="1"/>
  <c r="AA297" i="1"/>
  <c r="AA494" i="1"/>
  <c r="AA340" i="1"/>
  <c r="AA418" i="1"/>
  <c r="AA497" i="1"/>
  <c r="AA304" i="1"/>
  <c r="AA189" i="1"/>
  <c r="AA284" i="1"/>
  <c r="AA243" i="1"/>
  <c r="AA172" i="1"/>
  <c r="AA224" i="1"/>
  <c r="AA325" i="1"/>
  <c r="AA443" i="1"/>
  <c r="AA217" i="1"/>
  <c r="AA376" i="1"/>
  <c r="AA493" i="1"/>
  <c r="AA455" i="1"/>
  <c r="AA309" i="1"/>
  <c r="AA247" i="1"/>
  <c r="AA101" i="1"/>
  <c r="AA129" i="1"/>
  <c r="AA237" i="1"/>
  <c r="AA333" i="1"/>
  <c r="AA103" i="1"/>
  <c r="AA477" i="1"/>
  <c r="AA112" i="1"/>
  <c r="AA336" i="1"/>
  <c r="AA256" i="1"/>
  <c r="AA439" i="1"/>
  <c r="AA308" i="1"/>
  <c r="AA445" i="1"/>
  <c r="AA168" i="1"/>
  <c r="AA151" i="1"/>
  <c r="AA81" i="1"/>
  <c r="AA174" i="1"/>
  <c r="AA462" i="1"/>
  <c r="AA93" i="1"/>
  <c r="AA83" i="1"/>
  <c r="AA293" i="1"/>
  <c r="AA288" i="1"/>
  <c r="AA425" i="1"/>
  <c r="AA481" i="1"/>
  <c r="AA41" i="1"/>
  <c r="AA402" i="1"/>
  <c r="AA26" i="1"/>
  <c r="AA218" i="1"/>
  <c r="AA44" i="1"/>
  <c r="AA97" i="1"/>
  <c r="AA479" i="1"/>
  <c r="AA516" i="1"/>
  <c r="AA235" i="1"/>
  <c r="AA383" i="1"/>
  <c r="AA359" i="1"/>
  <c r="AA306" i="1"/>
  <c r="AA341" i="1"/>
  <c r="AA377" i="1"/>
  <c r="AA141" i="1"/>
  <c r="AA380" i="1"/>
  <c r="AA220" i="1"/>
  <c r="AA211" i="1"/>
  <c r="AA400" i="1"/>
  <c r="AA276" i="1"/>
  <c r="AA495" i="1"/>
  <c r="AA454" i="1"/>
  <c r="AA52" i="1"/>
  <c r="AA108" i="1"/>
  <c r="AA143" i="1"/>
  <c r="AA392" i="1"/>
  <c r="AA248" i="1"/>
  <c r="AA210" i="1"/>
  <c r="AA124" i="1"/>
  <c r="AA291" i="1"/>
  <c r="AA280" i="1"/>
  <c r="AA214" i="1"/>
  <c r="AA471" i="1"/>
  <c r="AA457" i="1"/>
  <c r="AA367" i="1"/>
  <c r="AA412" i="1"/>
  <c r="Z32" i="1"/>
  <c r="Z286" i="1"/>
  <c r="Z436" i="1"/>
  <c r="Z186" i="1"/>
  <c r="Z368" i="1"/>
  <c r="Z33" i="1"/>
  <c r="Z74" i="1"/>
  <c r="Z98" i="1"/>
  <c r="Z468" i="1"/>
  <c r="Z114" i="1"/>
  <c r="Z80" i="1"/>
  <c r="Z139" i="1"/>
  <c r="Z36" i="1"/>
  <c r="Z343" i="1"/>
  <c r="Z507" i="1"/>
  <c r="Z499" i="1"/>
  <c r="Z253" i="1"/>
  <c r="Z155" i="1"/>
  <c r="Z166" i="1"/>
  <c r="Z414" i="1"/>
  <c r="Z316" i="1"/>
  <c r="Z300" i="1"/>
  <c r="Z312" i="1"/>
  <c r="Z156" i="1"/>
  <c r="Z384" i="1"/>
  <c r="Z179" i="1"/>
  <c r="Z72" i="1"/>
  <c r="Z164" i="1"/>
  <c r="Z281" i="1"/>
  <c r="Z148" i="1"/>
  <c r="Z307" i="1"/>
  <c r="Z90" i="1"/>
  <c r="Z289" i="1"/>
  <c r="Z409" i="1"/>
  <c r="Z271" i="1"/>
  <c r="Z88" i="1"/>
  <c r="Z138" i="1"/>
  <c r="Z434" i="1"/>
  <c r="Z240" i="1"/>
  <c r="Z362" i="1"/>
  <c r="Z262" i="1"/>
  <c r="Z472" i="1"/>
  <c r="Z423" i="1"/>
  <c r="Z38" i="1"/>
  <c r="Z23" i="1"/>
  <c r="Z491" i="1"/>
  <c r="Z292" i="1"/>
  <c r="Z249" i="1"/>
  <c r="Z421" i="1"/>
  <c r="Z180" i="1"/>
  <c r="Z484" i="1"/>
  <c r="Z278" i="1"/>
  <c r="Z45" i="1"/>
  <c r="Z229" i="1"/>
  <c r="Z490" i="1"/>
  <c r="Z82" i="1"/>
  <c r="Z326" i="1"/>
  <c r="Z242" i="1"/>
  <c r="Z59" i="1"/>
  <c r="Z502" i="1"/>
  <c r="Z448" i="1"/>
  <c r="Z30" i="1"/>
  <c r="Z176" i="1"/>
  <c r="Z27" i="1"/>
  <c r="Z119" i="1"/>
  <c r="Z196" i="1"/>
  <c r="Z160" i="1"/>
  <c r="Z422" i="1"/>
  <c r="Z514" i="1"/>
  <c r="Z226" i="1"/>
  <c r="Z200" i="1"/>
  <c r="Z509" i="1"/>
  <c r="Z461" i="1"/>
  <c r="Z381" i="1"/>
  <c r="Z58" i="1"/>
  <c r="Z318" i="1"/>
  <c r="Z370" i="1"/>
  <c r="Z104" i="1"/>
  <c r="Z109" i="1"/>
  <c r="Z46" i="1"/>
  <c r="Z335" i="1"/>
  <c r="Z123" i="1"/>
  <c r="Z24" i="1"/>
  <c r="Z68" i="1"/>
  <c r="Z279" i="1"/>
  <c r="Z187" i="1"/>
  <c r="Z302" i="1"/>
  <c r="Z269" i="1"/>
  <c r="Z482" i="1"/>
  <c r="Z313" i="1"/>
  <c r="Z415" i="1"/>
  <c r="Z431" i="1"/>
  <c r="Z70" i="1"/>
  <c r="Z346" i="1"/>
  <c r="Z161" i="1"/>
  <c r="Z319" i="1"/>
  <c r="Z429" i="1"/>
  <c r="Z272" i="1"/>
  <c r="Z385" i="1"/>
  <c r="Z177" i="1"/>
  <c r="Z140" i="1"/>
  <c r="Z342" i="1"/>
  <c r="Z274" i="1"/>
  <c r="Z358" i="1"/>
  <c r="Z347" i="1"/>
  <c r="Z137" i="1"/>
  <c r="Z344" i="1"/>
  <c r="Z466" i="1"/>
  <c r="Z517" i="1"/>
  <c r="Z465" i="1"/>
  <c r="Z185" i="1"/>
  <c r="Z386" i="1"/>
  <c r="Z301" i="1"/>
  <c r="Z190" i="1"/>
  <c r="Z144" i="1"/>
  <c r="Z35" i="1"/>
  <c r="Z331" i="1"/>
  <c r="Z136" i="1"/>
  <c r="Z154" i="1"/>
  <c r="Z417" i="1"/>
  <c r="Z337" i="1"/>
  <c r="Z225" i="1"/>
  <c r="Z245" i="1"/>
  <c r="Z239" i="1"/>
  <c r="Z197" i="1"/>
  <c r="Z459" i="1"/>
  <c r="Z512" i="1"/>
  <c r="Z473" i="1"/>
  <c r="Z330" i="1"/>
  <c r="Z132" i="1"/>
  <c r="Z478" i="1"/>
  <c r="Z222" i="1"/>
  <c r="Z503" i="1"/>
  <c r="Z474" i="1"/>
  <c r="Z206" i="1"/>
  <c r="Z339" i="1"/>
  <c r="Z487" i="1"/>
  <c r="Z94" i="1"/>
  <c r="Z153" i="1"/>
  <c r="Z37" i="1"/>
  <c r="Z349" i="1"/>
  <c r="Z441" i="1"/>
  <c r="Z178" i="1"/>
  <c r="Z39" i="1"/>
  <c r="Z117" i="1"/>
  <c r="Z204" i="1"/>
  <c r="Z76" i="1"/>
  <c r="Z159" i="1"/>
  <c r="Z40" i="1"/>
  <c r="Z452" i="1"/>
  <c r="Z96" i="1"/>
  <c r="Z19" i="1"/>
  <c r="Z163" i="1"/>
  <c r="Z31" i="1"/>
  <c r="Z212" i="1"/>
  <c r="Z181" i="1"/>
  <c r="Z427" i="1"/>
  <c r="Z505" i="1"/>
  <c r="Z77" i="1"/>
  <c r="Z467" i="1"/>
  <c r="Z398" i="1"/>
  <c r="Z95" i="1"/>
  <c r="Z296" i="1"/>
  <c r="Z75" i="1"/>
  <c r="Z102" i="1"/>
  <c r="Z65" i="1"/>
  <c r="Z453" i="1"/>
  <c r="Z147" i="1"/>
  <c r="Z428" i="1"/>
  <c r="Z404" i="1"/>
  <c r="Z244" i="1"/>
  <c r="Z426" i="1"/>
  <c r="Z193" i="1"/>
  <c r="Z60" i="1"/>
  <c r="Z486" i="1"/>
  <c r="Z21" i="1"/>
  <c r="Z463" i="1"/>
  <c r="Z62" i="1"/>
  <c r="Z338" i="1"/>
  <c r="Z315" i="1"/>
  <c r="Z407" i="1"/>
  <c r="Z230" i="1"/>
  <c r="Z47" i="1"/>
  <c r="Z246" i="1"/>
  <c r="Z84" i="1"/>
  <c r="Z446" i="1"/>
  <c r="Z227" i="1"/>
  <c r="Z408" i="1"/>
  <c r="Z173" i="1"/>
  <c r="Z303" i="1"/>
  <c r="Z142" i="1"/>
  <c r="Z110" i="1"/>
  <c r="Z277" i="1"/>
  <c r="Z350" i="1"/>
  <c r="Z66" i="1"/>
  <c r="Z170" i="1"/>
  <c r="Z255" i="1"/>
  <c r="Z258" i="1"/>
  <c r="Z157" i="1"/>
  <c r="Z205" i="1"/>
  <c r="Z356" i="1"/>
  <c r="Z506" i="1"/>
  <c r="Z515" i="1"/>
  <c r="Z378" i="1"/>
  <c r="Z332" i="1"/>
  <c r="Z483" i="1"/>
  <c r="Z513" i="1"/>
  <c r="Z322" i="1"/>
  <c r="Z61" i="1"/>
  <c r="Z207" i="1"/>
  <c r="Z360" i="1"/>
  <c r="Z416" i="1"/>
  <c r="Z372" i="1"/>
  <c r="Z369" i="1"/>
  <c r="Z145" i="1"/>
  <c r="Z167" i="1"/>
  <c r="Z182" i="1"/>
  <c r="Z89" i="1"/>
  <c r="Z294" i="1"/>
  <c r="Z71" i="1"/>
  <c r="Z118" i="1"/>
  <c r="Z25" i="1"/>
  <c r="Z464" i="1"/>
  <c r="Z263" i="1"/>
  <c r="Z259" i="1"/>
  <c r="Z510" i="1"/>
  <c r="Z209" i="1"/>
  <c r="Z327" i="1"/>
  <c r="Z401" i="1"/>
  <c r="Z469" i="1"/>
  <c r="Z449" i="1"/>
  <c r="Z323" i="1"/>
  <c r="Z146" i="1"/>
  <c r="Z56" i="1"/>
  <c r="Z105" i="1"/>
  <c r="Z50" i="1"/>
  <c r="Z169" i="1"/>
  <c r="Z273" i="1"/>
  <c r="Z86" i="1"/>
  <c r="Z365" i="1"/>
  <c r="Z353" i="1"/>
  <c r="Z115" i="1"/>
  <c r="Z393" i="1"/>
  <c r="Z111" i="1"/>
  <c r="Z314" i="1"/>
  <c r="Z389" i="1"/>
  <c r="Z261" i="1"/>
  <c r="Z305" i="1"/>
  <c r="Z432" i="1"/>
  <c r="Z215" i="1"/>
  <c r="Z410" i="1"/>
  <c r="Z458" i="1"/>
  <c r="Z413" i="1"/>
  <c r="Z492" i="1"/>
  <c r="Z324" i="1"/>
  <c r="Z391" i="1"/>
  <c r="Z201" i="1"/>
  <c r="Z236" i="1"/>
  <c r="Z420" i="1"/>
  <c r="Z51" i="1"/>
  <c r="Z264" i="1"/>
  <c r="Z216" i="1"/>
  <c r="Z437" i="1"/>
  <c r="Z442" i="1"/>
  <c r="Z125" i="1"/>
  <c r="Z430" i="1"/>
  <c r="Z390" i="1"/>
  <c r="Z447" i="1"/>
  <c r="Z122" i="1"/>
  <c r="Z250" i="1"/>
  <c r="Z213" i="1"/>
  <c r="Z92" i="1"/>
  <c r="Z395" i="1"/>
  <c r="Z251" i="1"/>
  <c r="Z363" i="1"/>
  <c r="Z438" i="1"/>
  <c r="Z57" i="1"/>
  <c r="Z55" i="1"/>
  <c r="Z152" i="1"/>
  <c r="Z354" i="1"/>
  <c r="Z405" i="1"/>
  <c r="Z501" i="1"/>
  <c r="Z221" i="1"/>
  <c r="Z361" i="1"/>
  <c r="Z475" i="1"/>
  <c r="Z69" i="1"/>
  <c r="Z18" i="1"/>
  <c r="Z489" i="1"/>
  <c r="Z508" i="1"/>
  <c r="Z113" i="1"/>
  <c r="Z194" i="1"/>
  <c r="Z121" i="1"/>
  <c r="Z260" i="1"/>
  <c r="Z275" i="1"/>
  <c r="Z496" i="1"/>
  <c r="Z450" i="1"/>
  <c r="Z202" i="1"/>
  <c r="Z328" i="1"/>
  <c r="Z433" i="1"/>
  <c r="Z266" i="1"/>
  <c r="Z352" i="1"/>
  <c r="Z158" i="1"/>
  <c r="Z87" i="1"/>
  <c r="Z511" i="1"/>
  <c r="Z257" i="1"/>
  <c r="Z456" i="1"/>
  <c r="Z320" i="1"/>
  <c r="Z42" i="1"/>
  <c r="Z440" i="1"/>
  <c r="Z254" i="1"/>
  <c r="Z388" i="1"/>
  <c r="Z282" i="1"/>
  <c r="Z191" i="1"/>
  <c r="Z419" i="1"/>
  <c r="Z364" i="1"/>
  <c r="Z228" i="1"/>
  <c r="Z133" i="1"/>
  <c r="Z406" i="1"/>
  <c r="Z241" i="1"/>
  <c r="Z192" i="1"/>
  <c r="Z184" i="1"/>
  <c r="Z498" i="1"/>
  <c r="Z357" i="1"/>
  <c r="Z268" i="1"/>
  <c r="Z22" i="1"/>
  <c r="Z397" i="1"/>
  <c r="Z285" i="1"/>
  <c r="Z252" i="1"/>
  <c r="Z321" i="1"/>
  <c r="Z183" i="1"/>
  <c r="Z91" i="1"/>
  <c r="Z317" i="1"/>
  <c r="Z126" i="1"/>
  <c r="Z488" i="1"/>
  <c r="Z34" i="1"/>
  <c r="Z106" i="1"/>
  <c r="Z73" i="1"/>
  <c r="Z265" i="1"/>
  <c r="Z504" i="1"/>
  <c r="Z310" i="1"/>
  <c r="Z500" i="1"/>
  <c r="Z238" i="1"/>
  <c r="Z162" i="1"/>
  <c r="Z188" i="1"/>
  <c r="Z351" i="1"/>
  <c r="Z290" i="1"/>
  <c r="Z394" i="1"/>
  <c r="Z130" i="1"/>
  <c r="Z219" i="1"/>
  <c r="Z382" i="1"/>
  <c r="Z116" i="1"/>
  <c r="Z234" i="1"/>
  <c r="Z460" i="1"/>
  <c r="Z64" i="1"/>
  <c r="Z48" i="1"/>
  <c r="Z79" i="1"/>
  <c r="Z150" i="1"/>
  <c r="Z99" i="1"/>
  <c r="Z470" i="1"/>
  <c r="Z199" i="1"/>
  <c r="Z366" i="1"/>
  <c r="Z85" i="1"/>
  <c r="Z311" i="1"/>
  <c r="Z334" i="1"/>
  <c r="Z198" i="1"/>
  <c r="Z379" i="1"/>
  <c r="Z171" i="1"/>
  <c r="Z485" i="1"/>
  <c r="Z345" i="1"/>
  <c r="Z63" i="1"/>
  <c r="Z283" i="1"/>
  <c r="Z78" i="1"/>
  <c r="Z231" i="1"/>
  <c r="Z403" i="1"/>
  <c r="Z329" i="1"/>
  <c r="Z28" i="1"/>
  <c r="Z149" i="1"/>
  <c r="Z387" i="1"/>
  <c r="Z371" i="1"/>
  <c r="Z107" i="1"/>
  <c r="Z134" i="1"/>
  <c r="Z287" i="1"/>
  <c r="Z399" i="1"/>
  <c r="Z424" i="1"/>
  <c r="Z299" i="1"/>
  <c r="Z203" i="1"/>
  <c r="Z232" i="1"/>
  <c r="Z49" i="1"/>
  <c r="Z223" i="1"/>
  <c r="Z476" i="1"/>
  <c r="Z373" i="1"/>
  <c r="Z444" i="1"/>
  <c r="Z267" i="1"/>
  <c r="Z355" i="1"/>
  <c r="Z128" i="1"/>
  <c r="Z195" i="1"/>
  <c r="Z208" i="1"/>
  <c r="Z298" i="1"/>
  <c r="Z451" i="1"/>
  <c r="Z135" i="1"/>
  <c r="Z435" i="1"/>
  <c r="Z29" i="1"/>
  <c r="Z54" i="1"/>
  <c r="Z175" i="1"/>
  <c r="Z20" i="1"/>
  <c r="Z67" i="1"/>
  <c r="Z411" i="1"/>
  <c r="Z396" i="1"/>
  <c r="Z348" i="1"/>
  <c r="Z374" i="1"/>
  <c r="Z165" i="1"/>
  <c r="Z233" i="1"/>
  <c r="Z120" i="1"/>
  <c r="Z295" i="1"/>
  <c r="Z100" i="1"/>
  <c r="Z270" i="1"/>
  <c r="Z131" i="1"/>
  <c r="Z53" i="1"/>
  <c r="Z127" i="1"/>
  <c r="Z480" i="1"/>
  <c r="Z375" i="1"/>
  <c r="Z43" i="1"/>
  <c r="Z297" i="1"/>
  <c r="Z494" i="1"/>
  <c r="Z340" i="1"/>
  <c r="Z418" i="1"/>
  <c r="Z497" i="1"/>
  <c r="Z304" i="1"/>
  <c r="Z189" i="1"/>
  <c r="Z284" i="1"/>
  <c r="Z243" i="1"/>
  <c r="Z172" i="1"/>
  <c r="Z224" i="1"/>
  <c r="Z325" i="1"/>
  <c r="Z443" i="1"/>
  <c r="Z217" i="1"/>
  <c r="Z376" i="1"/>
  <c r="Z493" i="1"/>
  <c r="Z455" i="1"/>
  <c r="Z309" i="1"/>
  <c r="Z247" i="1"/>
  <c r="Z101" i="1"/>
  <c r="Z129" i="1"/>
  <c r="Z237" i="1"/>
  <c r="Z333" i="1"/>
  <c r="Z103" i="1"/>
  <c r="Z477" i="1"/>
  <c r="Z112" i="1"/>
  <c r="Z336" i="1"/>
  <c r="Z256" i="1"/>
  <c r="Z439" i="1"/>
  <c r="Z308" i="1"/>
  <c r="Z445" i="1"/>
  <c r="Z168" i="1"/>
  <c r="Z151" i="1"/>
  <c r="Z81" i="1"/>
  <c r="Z174" i="1"/>
  <c r="Z462" i="1"/>
  <c r="Z93" i="1"/>
  <c r="Z83" i="1"/>
  <c r="Z293" i="1"/>
  <c r="Z288" i="1"/>
  <c r="Z425" i="1"/>
  <c r="Z481" i="1"/>
  <c r="Z41" i="1"/>
  <c r="Z402" i="1"/>
  <c r="Z26" i="1"/>
  <c r="Z218" i="1"/>
  <c r="Z44" i="1"/>
  <c r="Z97" i="1"/>
  <c r="Z479" i="1"/>
  <c r="Z516" i="1"/>
  <c r="Z235" i="1"/>
  <c r="Z383" i="1"/>
  <c r="Z359" i="1"/>
  <c r="Z306" i="1"/>
  <c r="Z341" i="1"/>
  <c r="Z377" i="1"/>
  <c r="Z141" i="1"/>
  <c r="Z380" i="1"/>
  <c r="Z220" i="1"/>
  <c r="Z211" i="1"/>
  <c r="Z400" i="1"/>
  <c r="Z276" i="1"/>
  <c r="Z495" i="1"/>
  <c r="Z454" i="1"/>
  <c r="Z52" i="1"/>
  <c r="Z108" i="1"/>
  <c r="Z143" i="1"/>
  <c r="Z392" i="1"/>
  <c r="Z248" i="1"/>
  <c r="Z210" i="1"/>
  <c r="Z124" i="1"/>
  <c r="Z291" i="1"/>
  <c r="Z280" i="1"/>
  <c r="Z214" i="1"/>
  <c r="Z471" i="1"/>
  <c r="Z457" i="1"/>
  <c r="Z367" i="1"/>
  <c r="Z412" i="1"/>
  <c r="AQ285" i="1" l="1"/>
  <c r="AQ152" i="1"/>
  <c r="AQ182" i="1"/>
  <c r="AQ238" i="1"/>
  <c r="AQ420" i="1"/>
  <c r="AQ239" i="1"/>
  <c r="AQ299" i="1"/>
  <c r="AQ54" i="1"/>
  <c r="AQ183" i="1"/>
  <c r="AQ153" i="1"/>
  <c r="AQ184" i="1"/>
  <c r="AQ185" i="1"/>
  <c r="AQ459" i="1"/>
  <c r="AQ365" i="1"/>
  <c r="AQ240" i="1"/>
  <c r="AQ460" i="1"/>
  <c r="AQ90" i="1"/>
  <c r="AQ338" i="1"/>
  <c r="AQ55" i="1"/>
  <c r="AQ393" i="1"/>
  <c r="AQ275" i="1"/>
  <c r="AQ421" i="1"/>
  <c r="AQ490" i="1"/>
  <c r="AQ154" i="1"/>
  <c r="AQ339" i="1"/>
  <c r="AQ340" i="1"/>
  <c r="AQ491" i="1"/>
  <c r="AQ123" i="1"/>
  <c r="AQ18" i="1"/>
  <c r="AQ241" i="1"/>
  <c r="AQ366" i="1"/>
  <c r="AQ341" i="1"/>
  <c r="AQ300" i="1"/>
  <c r="AQ56" i="1"/>
  <c r="AQ91" i="1"/>
  <c r="AQ186" i="1"/>
  <c r="AQ422" i="1"/>
  <c r="AQ461" i="1"/>
  <c r="AQ342" i="1"/>
  <c r="AQ19" i="1"/>
  <c r="AQ492" i="1"/>
  <c r="AQ92" i="1"/>
  <c r="AQ57" i="1"/>
  <c r="AQ211" i="1"/>
  <c r="AQ124" i="1"/>
  <c r="AQ343" i="1"/>
  <c r="AQ242" i="1"/>
  <c r="AQ344" i="1"/>
  <c r="AQ301" i="1"/>
  <c r="AQ212" i="1"/>
  <c r="AQ125" i="1"/>
  <c r="AQ126" i="1"/>
  <c r="AQ394" i="1"/>
  <c r="AQ345" i="1"/>
  <c r="AQ127" i="1"/>
  <c r="AQ493" i="1"/>
  <c r="AQ462" i="1"/>
  <c r="AQ302" i="1"/>
  <c r="AQ463" i="1"/>
  <c r="AQ395" i="1"/>
  <c r="AQ93" i="1"/>
  <c r="AQ367" i="1"/>
  <c r="AQ155" i="1"/>
  <c r="AQ58" i="1"/>
  <c r="AQ303" i="1"/>
  <c r="AQ213" i="1"/>
  <c r="AQ20" i="1"/>
  <c r="AQ243" i="1"/>
  <c r="AQ423" i="1"/>
  <c r="AQ94" i="1"/>
  <c r="AQ244" i="1"/>
  <c r="AQ21" i="1"/>
  <c r="AQ22" i="1"/>
  <c r="AQ424" i="1"/>
  <c r="AQ494" i="1"/>
  <c r="AQ276" i="1"/>
  <c r="AQ368" i="1"/>
  <c r="AQ156" i="1"/>
  <c r="AQ157" i="1"/>
  <c r="AQ304" i="1"/>
  <c r="AQ425" i="1"/>
  <c r="AQ495" i="1"/>
  <c r="AQ23" i="1"/>
  <c r="AQ24" i="1"/>
  <c r="AQ245" i="1"/>
  <c r="AQ95" i="1"/>
  <c r="AQ246" i="1"/>
  <c r="AQ369" i="1"/>
  <c r="AQ25" i="1"/>
  <c r="AQ247" i="1"/>
  <c r="AQ26" i="1"/>
  <c r="AQ214" i="1"/>
  <c r="AQ59" i="1"/>
  <c r="AQ187" i="1"/>
  <c r="AQ426" i="1"/>
  <c r="AQ277" i="1"/>
  <c r="AQ464" i="1"/>
  <c r="AQ215" i="1"/>
  <c r="AQ188" i="1"/>
  <c r="AQ396" i="1"/>
  <c r="AQ248" i="1"/>
  <c r="AQ249" i="1"/>
  <c r="AQ278" i="1"/>
  <c r="AQ27" i="1"/>
  <c r="AQ370" i="1"/>
  <c r="AQ279" i="1"/>
  <c r="AQ96" i="1"/>
  <c r="AQ60" i="1"/>
  <c r="AQ61" i="1"/>
  <c r="AQ305" i="1"/>
  <c r="AQ216" i="1"/>
  <c r="AQ250" i="1"/>
  <c r="AQ251" i="1"/>
  <c r="AQ496" i="1"/>
  <c r="AQ252" i="1"/>
  <c r="AQ497" i="1"/>
  <c r="AQ217" i="1"/>
  <c r="AQ218" i="1"/>
  <c r="AQ97" i="1"/>
  <c r="AQ306" i="1"/>
  <c r="AQ253" i="1"/>
  <c r="AQ307" i="1"/>
  <c r="AQ465" i="1"/>
  <c r="AQ427" i="1"/>
  <c r="AQ428" i="1"/>
  <c r="AQ62" i="1"/>
  <c r="AQ498" i="1"/>
  <c r="AQ397" i="1"/>
  <c r="AQ63" i="1"/>
  <c r="AQ28" i="1"/>
  <c r="AQ128" i="1"/>
  <c r="AQ29" i="1"/>
  <c r="AQ189" i="1"/>
  <c r="AQ129" i="1"/>
  <c r="AQ308" i="1"/>
  <c r="AQ280" i="1"/>
  <c r="AQ499" i="1"/>
  <c r="AQ281" i="1"/>
  <c r="AQ466" i="1"/>
  <c r="AQ190" i="1"/>
  <c r="AQ467" i="1"/>
  <c r="AQ398" i="1"/>
  <c r="AQ158" i="1"/>
  <c r="AQ282" i="1"/>
  <c r="AQ191" i="1"/>
  <c r="AQ192" i="1"/>
  <c r="AQ500" i="1"/>
  <c r="AQ130" i="1"/>
  <c r="AQ219" i="1"/>
  <c r="AQ283" i="1"/>
  <c r="AQ131" i="1"/>
  <c r="AQ309" i="1"/>
  <c r="AQ220" i="1"/>
  <c r="AQ30" i="1"/>
  <c r="AQ429" i="1"/>
  <c r="AQ132" i="1"/>
  <c r="AQ159" i="1"/>
  <c r="AQ31" i="1"/>
  <c r="AQ193" i="1"/>
  <c r="AQ501" i="1"/>
  <c r="AQ254" i="1"/>
  <c r="AQ64" i="1"/>
  <c r="AQ371" i="1"/>
  <c r="AQ32" i="1"/>
  <c r="AQ468" i="1"/>
  <c r="AQ502" i="1"/>
  <c r="AQ346" i="1"/>
  <c r="AQ347" i="1"/>
  <c r="AQ65" i="1"/>
  <c r="AQ66" i="1"/>
  <c r="AQ255" i="1"/>
  <c r="AQ372" i="1"/>
  <c r="AQ469" i="1"/>
  <c r="AQ430" i="1"/>
  <c r="AQ221" i="1"/>
  <c r="AQ133" i="1"/>
  <c r="AQ310" i="1"/>
  <c r="AQ470" i="1"/>
  <c r="AQ67" i="1"/>
  <c r="AQ348" i="1"/>
  <c r="AQ284" i="1"/>
  <c r="AQ256" i="1"/>
  <c r="AQ471" i="1"/>
  <c r="AQ33" i="1"/>
  <c r="AQ98" i="1"/>
  <c r="AQ472" i="1"/>
  <c r="AQ160" i="1"/>
  <c r="AQ68" i="1"/>
  <c r="AQ431" i="1"/>
  <c r="AQ161" i="1"/>
  <c r="AQ349" i="1"/>
  <c r="AQ432" i="1"/>
  <c r="AQ69" i="1"/>
  <c r="AQ194" i="1"/>
  <c r="AQ257" i="1"/>
  <c r="AQ34" i="1"/>
  <c r="AQ162" i="1"/>
  <c r="AQ99" i="1"/>
  <c r="AQ311" i="1"/>
  <c r="AQ134" i="1"/>
  <c r="AQ195" i="1"/>
  <c r="AQ135" i="1"/>
  <c r="AQ312" i="1"/>
  <c r="AQ196" i="1"/>
  <c r="AQ313" i="1"/>
  <c r="AQ70" i="1"/>
  <c r="AQ35" i="1"/>
  <c r="AQ136" i="1"/>
  <c r="AQ473" i="1"/>
  <c r="AQ503" i="1"/>
  <c r="AQ474" i="1"/>
  <c r="AQ163" i="1"/>
  <c r="AQ314" i="1"/>
  <c r="AQ433" i="1"/>
  <c r="AQ399" i="1"/>
  <c r="AQ373" i="1"/>
  <c r="AQ100" i="1"/>
  <c r="AQ101" i="1"/>
  <c r="AQ137" i="1"/>
  <c r="AQ315" i="1"/>
  <c r="AQ258" i="1"/>
  <c r="AQ71" i="1"/>
  <c r="AQ259" i="1"/>
  <c r="AQ475" i="1"/>
  <c r="AQ504" i="1"/>
  <c r="AQ400" i="1"/>
  <c r="AQ36" i="1"/>
  <c r="AQ316" i="1"/>
  <c r="AQ197" i="1"/>
  <c r="AQ222" i="1"/>
  <c r="AQ37" i="1"/>
  <c r="AQ102" i="1"/>
  <c r="AQ350" i="1"/>
  <c r="AQ401" i="1"/>
  <c r="AQ260" i="1"/>
  <c r="AQ317" i="1"/>
  <c r="AQ351" i="1"/>
  <c r="AQ223" i="1"/>
  <c r="AQ476" i="1"/>
  <c r="AQ374" i="1"/>
  <c r="AQ224" i="1"/>
  <c r="AQ103" i="1"/>
  <c r="AQ477" i="1"/>
  <c r="AQ286" i="1"/>
  <c r="AQ164" i="1"/>
  <c r="AQ138" i="1"/>
  <c r="AQ434" i="1"/>
  <c r="AQ478" i="1"/>
  <c r="AQ505" i="1"/>
  <c r="AQ352" i="1"/>
  <c r="AQ287" i="1"/>
  <c r="AQ435" i="1"/>
  <c r="AQ165" i="1"/>
  <c r="AQ375" i="1"/>
  <c r="AQ436" i="1"/>
  <c r="AQ139" i="1"/>
  <c r="AQ166" i="1"/>
  <c r="AQ72" i="1"/>
  <c r="AQ104" i="1"/>
  <c r="AQ225" i="1"/>
  <c r="AQ105" i="1"/>
  <c r="AQ353" i="1"/>
  <c r="AQ261" i="1"/>
  <c r="AQ437" i="1"/>
  <c r="AQ438" i="1"/>
  <c r="AQ354" i="1"/>
  <c r="AQ106" i="1"/>
  <c r="AQ73" i="1"/>
  <c r="AQ198" i="1"/>
  <c r="AQ107" i="1"/>
  <c r="AQ439" i="1"/>
  <c r="AQ402" i="1"/>
  <c r="AQ479" i="1"/>
  <c r="AQ108" i="1"/>
  <c r="AQ262" i="1"/>
  <c r="AQ38" i="1"/>
  <c r="AQ226" i="1"/>
  <c r="AQ318" i="1"/>
  <c r="AQ319" i="1"/>
  <c r="AQ140" i="1"/>
  <c r="AQ39" i="1"/>
  <c r="AQ506" i="1"/>
  <c r="AQ320" i="1"/>
  <c r="AQ440" i="1"/>
  <c r="AQ321" i="1"/>
  <c r="AQ403" i="1"/>
  <c r="AQ355" i="1"/>
  <c r="AQ480" i="1"/>
  <c r="AQ376" i="1"/>
  <c r="AQ288" i="1"/>
  <c r="AQ141" i="1"/>
  <c r="AQ74" i="1"/>
  <c r="AQ289" i="1"/>
  <c r="AQ109" i="1"/>
  <c r="AQ441" i="1"/>
  <c r="AQ40" i="1"/>
  <c r="AQ75" i="1"/>
  <c r="AQ404" i="1"/>
  <c r="AQ227" i="1"/>
  <c r="AQ110" i="1"/>
  <c r="AQ356" i="1"/>
  <c r="AQ167" i="1"/>
  <c r="AQ263" i="1"/>
  <c r="AQ111" i="1"/>
  <c r="AQ442" i="1"/>
  <c r="AQ405" i="1"/>
  <c r="AQ406" i="1"/>
  <c r="AQ357" i="1"/>
  <c r="AQ290" i="1"/>
  <c r="AQ199" i="1"/>
  <c r="AQ443" i="1"/>
  <c r="AQ112" i="1"/>
  <c r="AQ168" i="1"/>
  <c r="AQ377" i="1"/>
  <c r="AQ291" i="1"/>
  <c r="AQ507" i="1"/>
  <c r="AQ200" i="1"/>
  <c r="AQ76" i="1"/>
  <c r="AQ77" i="1"/>
  <c r="AQ407" i="1"/>
  <c r="AQ408" i="1"/>
  <c r="AQ142" i="1"/>
  <c r="AQ322" i="1"/>
  <c r="AQ323" i="1"/>
  <c r="AQ169" i="1"/>
  <c r="AQ324" i="1"/>
  <c r="AQ508" i="1"/>
  <c r="AQ228" i="1"/>
  <c r="AQ444" i="1"/>
  <c r="AQ325" i="1"/>
  <c r="AQ445" i="1"/>
  <c r="AQ481" i="1"/>
  <c r="AQ229" i="1"/>
  <c r="AQ326" i="1"/>
  <c r="AQ482" i="1"/>
  <c r="AQ358" i="1"/>
  <c r="AQ483" i="1"/>
  <c r="AQ327" i="1"/>
  <c r="AQ201" i="1"/>
  <c r="AQ264" i="1"/>
  <c r="AQ41" i="1"/>
  <c r="AQ143" i="1"/>
  <c r="AQ292" i="1"/>
  <c r="AQ509" i="1"/>
  <c r="AQ144" i="1"/>
  <c r="AQ378" i="1"/>
  <c r="AQ510" i="1"/>
  <c r="AQ113" i="1"/>
  <c r="AQ202" i="1"/>
  <c r="AQ328" i="1"/>
  <c r="AQ265" i="1"/>
  <c r="AQ379" i="1"/>
  <c r="AQ78" i="1"/>
  <c r="AQ329" i="1"/>
  <c r="AQ82" i="1"/>
  <c r="AQ419" i="1"/>
  <c r="AQ489" i="1"/>
  <c r="AQ181" i="1"/>
  <c r="AQ488" i="1"/>
  <c r="AQ210" i="1"/>
  <c r="AQ364" i="1"/>
  <c r="AQ209" i="1"/>
  <c r="AQ89" i="1"/>
  <c r="AQ517" i="1"/>
  <c r="AQ274" i="1"/>
  <c r="AQ237" i="1"/>
  <c r="AQ122" i="1"/>
  <c r="AQ88" i="1"/>
  <c r="AQ87" i="1"/>
  <c r="AQ121" i="1"/>
  <c r="AQ391" i="1"/>
  <c r="AQ86" i="1"/>
  <c r="AQ337" i="1"/>
  <c r="AQ457" i="1"/>
  <c r="AQ53" i="1"/>
  <c r="AQ363" i="1"/>
  <c r="AQ273" i="1"/>
  <c r="AQ52" i="1"/>
  <c r="AQ151" i="1"/>
  <c r="AQ120" i="1"/>
  <c r="AQ85" i="1"/>
  <c r="AQ51" i="1"/>
  <c r="AQ487" i="1"/>
  <c r="AQ272" i="1"/>
  <c r="AQ180" i="1"/>
  <c r="AQ271" i="1"/>
  <c r="AQ418" i="1"/>
  <c r="AQ456" i="1"/>
  <c r="AQ50" i="1"/>
  <c r="AQ84" i="1"/>
  <c r="AQ179" i="1"/>
  <c r="AQ516" i="1"/>
  <c r="AQ336" i="1"/>
  <c r="AQ455" i="1"/>
  <c r="AQ236" i="1"/>
  <c r="AQ178" i="1"/>
  <c r="AQ177" i="1"/>
  <c r="AQ335" i="1"/>
  <c r="AQ362" i="1"/>
  <c r="AQ454" i="1"/>
  <c r="AQ235" i="1"/>
  <c r="AQ208" i="1"/>
  <c r="AQ49" i="1"/>
  <c r="AQ150" i="1"/>
  <c r="AQ48" i="1"/>
  <c r="AQ515" i="1"/>
  <c r="AQ47" i="1"/>
  <c r="AQ453" i="1"/>
  <c r="AQ46" i="1"/>
  <c r="AQ119" i="1"/>
  <c r="AQ176" i="1"/>
  <c r="AQ45" i="1"/>
  <c r="AQ83" i="1"/>
  <c r="AQ270" i="1"/>
  <c r="AQ175" i="1"/>
  <c r="AQ298" i="1"/>
  <c r="AQ149" i="1"/>
  <c r="AQ234" i="1"/>
  <c r="AQ390" i="1"/>
  <c r="AQ486" i="1"/>
  <c r="AQ452" i="1"/>
  <c r="AQ417" i="1"/>
  <c r="AQ514" i="1"/>
  <c r="AQ389" i="1"/>
  <c r="AQ416" i="1"/>
  <c r="AQ415" i="1"/>
  <c r="AQ269" i="1"/>
  <c r="AQ392" i="1"/>
  <c r="AQ414" i="1"/>
  <c r="AQ44" i="1"/>
  <c r="AQ174" i="1"/>
  <c r="AQ297" i="1"/>
  <c r="AQ451" i="1"/>
  <c r="AQ388" i="1"/>
  <c r="AQ361" i="1"/>
  <c r="AQ413" i="1"/>
  <c r="AQ360" i="1"/>
  <c r="AQ513" i="1"/>
  <c r="AQ296" i="1"/>
  <c r="AQ512" i="1"/>
  <c r="AQ387" i="1"/>
  <c r="AQ334" i="1"/>
  <c r="AQ268" i="1"/>
  <c r="AQ118" i="1"/>
  <c r="AQ386" i="1"/>
  <c r="AQ385" i="1"/>
  <c r="AQ81" i="1"/>
  <c r="AQ333" i="1"/>
  <c r="AQ233" i="1"/>
  <c r="AQ485" i="1"/>
  <c r="AQ450" i="1"/>
  <c r="AQ173" i="1"/>
  <c r="AQ117" i="1"/>
  <c r="AQ148" i="1"/>
  <c r="AQ384" i="1"/>
  <c r="AQ80" i="1"/>
  <c r="AQ172" i="1"/>
  <c r="AQ295" i="1"/>
  <c r="AQ171" i="1"/>
  <c r="AQ449" i="1"/>
  <c r="AQ207" i="1"/>
  <c r="AQ147" i="1"/>
  <c r="AQ206" i="1"/>
  <c r="AQ448" i="1"/>
  <c r="AQ412" i="1"/>
  <c r="AQ359" i="1"/>
  <c r="AQ383" i="1"/>
  <c r="AQ43" i="1"/>
  <c r="AQ267" i="1"/>
  <c r="AQ232" i="1"/>
  <c r="AQ79" i="1"/>
  <c r="AQ116" i="1"/>
  <c r="AQ382" i="1"/>
  <c r="AQ266" i="1"/>
  <c r="AQ146" i="1"/>
  <c r="AQ294" i="1"/>
  <c r="AQ145" i="1"/>
  <c r="AQ332" i="1"/>
  <c r="AQ205" i="1"/>
  <c r="AQ204" i="1"/>
  <c r="AQ331" i="1"/>
  <c r="AQ484" i="1"/>
  <c r="AQ293" i="1"/>
  <c r="AQ411" i="1"/>
  <c r="AQ203" i="1"/>
  <c r="AQ231" i="1"/>
  <c r="AQ42" i="1"/>
  <c r="AQ447" i="1"/>
  <c r="AQ410" i="1"/>
  <c r="AQ115" i="1"/>
  <c r="AQ170" i="1"/>
  <c r="AQ230" i="1"/>
  <c r="AQ381" i="1"/>
  <c r="AQ409" i="1"/>
  <c r="AQ114" i="1"/>
  <c r="AQ380" i="1"/>
  <c r="AQ511" i="1"/>
  <c r="AQ446" i="1"/>
  <c r="AQ330" i="1"/>
  <c r="AQ458" i="1"/>
  <c r="AN458" i="1"/>
  <c r="AN152" i="1"/>
  <c r="AN182" i="1"/>
  <c r="AN238" i="1"/>
  <c r="AN420" i="1"/>
  <c r="AN239" i="1"/>
  <c r="AN299" i="1"/>
  <c r="AN54" i="1"/>
  <c r="AN183" i="1"/>
  <c r="AN153" i="1"/>
  <c r="AN184" i="1"/>
  <c r="AN185" i="1"/>
  <c r="AN459" i="1"/>
  <c r="AN365" i="1"/>
  <c r="AN240" i="1"/>
  <c r="AN460" i="1"/>
  <c r="AN90" i="1"/>
  <c r="AN338" i="1"/>
  <c r="AN55" i="1"/>
  <c r="AN393" i="1"/>
  <c r="AN275" i="1"/>
  <c r="AN421" i="1"/>
  <c r="AN490" i="1"/>
  <c r="AN154" i="1"/>
  <c r="AN339" i="1"/>
  <c r="AN340" i="1"/>
  <c r="AN491" i="1"/>
  <c r="AN123" i="1"/>
  <c r="AN18" i="1"/>
  <c r="AN241" i="1"/>
  <c r="AN366" i="1"/>
  <c r="AN341" i="1"/>
  <c r="AN300" i="1"/>
  <c r="AN56" i="1"/>
  <c r="AN91" i="1"/>
  <c r="AN186" i="1"/>
  <c r="AN422" i="1"/>
  <c r="AN461" i="1"/>
  <c r="AN342" i="1"/>
  <c r="AN19" i="1"/>
  <c r="AN492" i="1"/>
  <c r="AN92" i="1"/>
  <c r="AN57" i="1"/>
  <c r="AN211" i="1"/>
  <c r="AN124" i="1"/>
  <c r="AN343" i="1"/>
  <c r="AN242" i="1"/>
  <c r="AN344" i="1"/>
  <c r="AN301" i="1"/>
  <c r="AN212" i="1"/>
  <c r="AN125" i="1"/>
  <c r="AN126" i="1"/>
  <c r="AN394" i="1"/>
  <c r="AN345" i="1"/>
  <c r="AN127" i="1"/>
  <c r="AN493" i="1"/>
  <c r="AN462" i="1"/>
  <c r="AN302" i="1"/>
  <c r="AN463" i="1"/>
  <c r="AN395" i="1"/>
  <c r="AN93" i="1"/>
  <c r="AN367" i="1"/>
  <c r="AN155" i="1"/>
  <c r="AN58" i="1"/>
  <c r="AN303" i="1"/>
  <c r="AN213" i="1"/>
  <c r="AN20" i="1"/>
  <c r="AN243" i="1"/>
  <c r="AN423" i="1"/>
  <c r="AN94" i="1"/>
  <c r="AN244" i="1"/>
  <c r="AN21" i="1"/>
  <c r="AN22" i="1"/>
  <c r="AN424" i="1"/>
  <c r="AN494" i="1"/>
  <c r="AN276" i="1"/>
  <c r="AN368" i="1"/>
  <c r="AN156" i="1"/>
  <c r="AN157" i="1"/>
  <c r="AN304" i="1"/>
  <c r="AN425" i="1"/>
  <c r="AN495" i="1"/>
  <c r="AN23" i="1"/>
  <c r="AN24" i="1"/>
  <c r="AN245" i="1"/>
  <c r="AN95" i="1"/>
  <c r="AN246" i="1"/>
  <c r="AN369" i="1"/>
  <c r="AN25" i="1"/>
  <c r="AN247" i="1"/>
  <c r="AN26" i="1"/>
  <c r="AN214" i="1"/>
  <c r="AN59" i="1"/>
  <c r="AN187" i="1"/>
  <c r="AN426" i="1"/>
  <c r="AN277" i="1"/>
  <c r="AN464" i="1"/>
  <c r="AN215" i="1"/>
  <c r="AN188" i="1"/>
  <c r="AN396" i="1"/>
  <c r="AN248" i="1"/>
  <c r="AN249" i="1"/>
  <c r="AN278" i="1"/>
  <c r="AN27" i="1"/>
  <c r="AN370" i="1"/>
  <c r="AN279" i="1"/>
  <c r="AN96" i="1"/>
  <c r="AN60" i="1"/>
  <c r="AN61" i="1"/>
  <c r="AN305" i="1"/>
  <c r="AN216" i="1"/>
  <c r="AN250" i="1"/>
  <c r="AN251" i="1"/>
  <c r="AN496" i="1"/>
  <c r="AN252" i="1"/>
  <c r="AN497" i="1"/>
  <c r="AN217" i="1"/>
  <c r="AN218" i="1"/>
  <c r="AN97" i="1"/>
  <c r="AN306" i="1"/>
  <c r="AN253" i="1"/>
  <c r="AN307" i="1"/>
  <c r="AN465" i="1"/>
  <c r="AN427" i="1"/>
  <c r="AN428" i="1"/>
  <c r="AN62" i="1"/>
  <c r="AN498" i="1"/>
  <c r="AN397" i="1"/>
  <c r="AN63" i="1"/>
  <c r="AN28" i="1"/>
  <c r="AN128" i="1"/>
  <c r="AN29" i="1"/>
  <c r="AN189" i="1"/>
  <c r="AN129" i="1"/>
  <c r="AN308" i="1"/>
  <c r="AN280" i="1"/>
  <c r="AN499" i="1"/>
  <c r="AN281" i="1"/>
  <c r="AN466" i="1"/>
  <c r="AN190" i="1"/>
  <c r="AN467" i="1"/>
  <c r="AN398" i="1"/>
  <c r="AN158" i="1"/>
  <c r="AN282" i="1"/>
  <c r="AN191" i="1"/>
  <c r="AN192" i="1"/>
  <c r="AN500" i="1"/>
  <c r="AN130" i="1"/>
  <c r="AN219" i="1"/>
  <c r="AN283" i="1"/>
  <c r="AN131" i="1"/>
  <c r="AN309" i="1"/>
  <c r="AN220" i="1"/>
  <c r="AN30" i="1"/>
  <c r="AN429" i="1"/>
  <c r="AN132" i="1"/>
  <c r="AN159" i="1"/>
  <c r="AN31" i="1"/>
  <c r="AN193" i="1"/>
  <c r="AN501" i="1"/>
  <c r="AN254" i="1"/>
  <c r="AN64" i="1"/>
  <c r="AN371" i="1"/>
  <c r="AN32" i="1"/>
  <c r="AN468" i="1"/>
  <c r="AN502" i="1"/>
  <c r="AN346" i="1"/>
  <c r="AN347" i="1"/>
  <c r="AN65" i="1"/>
  <c r="AN66" i="1"/>
  <c r="AN255" i="1"/>
  <c r="AN372" i="1"/>
  <c r="AN469" i="1"/>
  <c r="AN430" i="1"/>
  <c r="AN221" i="1"/>
  <c r="AN133" i="1"/>
  <c r="AN310" i="1"/>
  <c r="AN470" i="1"/>
  <c r="AN67" i="1"/>
  <c r="AN348" i="1"/>
  <c r="AN284" i="1"/>
  <c r="AN256" i="1"/>
  <c r="AN471" i="1"/>
  <c r="AN33" i="1"/>
  <c r="AN98" i="1"/>
  <c r="AN472" i="1"/>
  <c r="AN160" i="1"/>
  <c r="AN68" i="1"/>
  <c r="AN431" i="1"/>
  <c r="AN161" i="1"/>
  <c r="AN349" i="1"/>
  <c r="AN432" i="1"/>
  <c r="AN69" i="1"/>
  <c r="AN194" i="1"/>
  <c r="AN257" i="1"/>
  <c r="AN285" i="1"/>
  <c r="AN34" i="1"/>
  <c r="AN162" i="1"/>
  <c r="AN99" i="1"/>
  <c r="AN311" i="1"/>
  <c r="AN134" i="1"/>
  <c r="AN195" i="1"/>
  <c r="AN135" i="1"/>
  <c r="AN312" i="1"/>
  <c r="AN196" i="1"/>
  <c r="AN313" i="1"/>
  <c r="AN70" i="1"/>
  <c r="AN35" i="1"/>
  <c r="AN136" i="1"/>
  <c r="AN473" i="1"/>
  <c r="AN503" i="1"/>
  <c r="AN474" i="1"/>
  <c r="AN163" i="1"/>
  <c r="AN314" i="1"/>
  <c r="AN433" i="1"/>
  <c r="AN399" i="1"/>
  <c r="AN373" i="1"/>
  <c r="AN100" i="1"/>
  <c r="AN101" i="1"/>
  <c r="AN137" i="1"/>
  <c r="AN315" i="1"/>
  <c r="AN258" i="1"/>
  <c r="AN71" i="1"/>
  <c r="AN259" i="1"/>
  <c r="AN475" i="1"/>
  <c r="AN504" i="1"/>
  <c r="AN400" i="1"/>
  <c r="AN36" i="1"/>
  <c r="AN316" i="1"/>
  <c r="AN197" i="1"/>
  <c r="AN222" i="1"/>
  <c r="AN37" i="1"/>
  <c r="AN102" i="1"/>
  <c r="AN350" i="1"/>
  <c r="AN401" i="1"/>
  <c r="AN260" i="1"/>
  <c r="AN317" i="1"/>
  <c r="AN351" i="1"/>
  <c r="AN223" i="1"/>
  <c r="AN476" i="1"/>
  <c r="AN374" i="1"/>
  <c r="AN224" i="1"/>
  <c r="AN103" i="1"/>
  <c r="AN477" i="1"/>
  <c r="AN286" i="1"/>
  <c r="AN164" i="1"/>
  <c r="AN138" i="1"/>
  <c r="AN434" i="1"/>
  <c r="AN478" i="1"/>
  <c r="AN505" i="1"/>
  <c r="AN352" i="1"/>
  <c r="AN287" i="1"/>
  <c r="AN435" i="1"/>
  <c r="AN165" i="1"/>
  <c r="AN375" i="1"/>
  <c r="AN72" i="1"/>
  <c r="AN436" i="1"/>
  <c r="AN145" i="1"/>
  <c r="AN294" i="1"/>
  <c r="AN266" i="1"/>
  <c r="AN210" i="1"/>
  <c r="AN517" i="1"/>
  <c r="AN274" i="1"/>
  <c r="AN122" i="1"/>
  <c r="AN88" i="1"/>
  <c r="AN87" i="1"/>
  <c r="AN121" i="1"/>
  <c r="AN391" i="1"/>
  <c r="AN337" i="1"/>
  <c r="AN53" i="1"/>
  <c r="AN363" i="1"/>
  <c r="AN120" i="1"/>
  <c r="AN487" i="1"/>
  <c r="AN180" i="1"/>
  <c r="AN271" i="1"/>
  <c r="AN456" i="1"/>
  <c r="AN50" i="1"/>
  <c r="AN84" i="1"/>
  <c r="AN516" i="1"/>
  <c r="AN104" i="1"/>
  <c r="AN437" i="1"/>
  <c r="AN438" i="1"/>
  <c r="AN73" i="1"/>
  <c r="AN107" i="1"/>
  <c r="AN479" i="1"/>
  <c r="AN108" i="1"/>
  <c r="AN38" i="1"/>
  <c r="AN226" i="1"/>
  <c r="AN320" i="1"/>
  <c r="AN440" i="1"/>
  <c r="AN480" i="1"/>
  <c r="AN376" i="1"/>
  <c r="AN288" i="1"/>
  <c r="AN289" i="1"/>
  <c r="AN109" i="1"/>
  <c r="AN441" i="1"/>
  <c r="AN110" i="1"/>
  <c r="AN455" i="1"/>
  <c r="AN236" i="1"/>
  <c r="AN178" i="1"/>
  <c r="AN356" i="1"/>
  <c r="AN111" i="1"/>
  <c r="AN442" i="1"/>
  <c r="AN454" i="1"/>
  <c r="AN235" i="1"/>
  <c r="AN405" i="1"/>
  <c r="AN49" i="1"/>
  <c r="AN406" i="1"/>
  <c r="AN357" i="1"/>
  <c r="AN290" i="1"/>
  <c r="AN47" i="1"/>
  <c r="AN291" i="1"/>
  <c r="AN507" i="1"/>
  <c r="AN119" i="1"/>
  <c r="AN200" i="1"/>
  <c r="AN76" i="1"/>
  <c r="AN83" i="1"/>
  <c r="AN322" i="1"/>
  <c r="AN175" i="1"/>
  <c r="AN298" i="1"/>
  <c r="AN149" i="1"/>
  <c r="AN169" i="1"/>
  <c r="AN324" i="1"/>
  <c r="AN486" i="1"/>
  <c r="AN508" i="1"/>
  <c r="AN417" i="1"/>
  <c r="AN514" i="1"/>
  <c r="AN389" i="1"/>
  <c r="AN228" i="1"/>
  <c r="AN444" i="1"/>
  <c r="AN325" i="1"/>
  <c r="AN445" i="1"/>
  <c r="AN414" i="1"/>
  <c r="AN481" i="1"/>
  <c r="AN482" i="1"/>
  <c r="AN358" i="1"/>
  <c r="AN264" i="1"/>
  <c r="AN388" i="1"/>
  <c r="AN361" i="1"/>
  <c r="AN413" i="1"/>
  <c r="AN360" i="1"/>
  <c r="AN292" i="1"/>
  <c r="AN144" i="1"/>
  <c r="AN512" i="1"/>
  <c r="AN510" i="1"/>
  <c r="AN334" i="1"/>
  <c r="AN113" i="1"/>
  <c r="AN328" i="1"/>
  <c r="AN446" i="1"/>
  <c r="AN380" i="1"/>
  <c r="AN81" i="1"/>
  <c r="AN114" i="1"/>
  <c r="AN233" i="1"/>
  <c r="AN409" i="1"/>
  <c r="AN381" i="1"/>
  <c r="AN173" i="1"/>
  <c r="AN117" i="1"/>
  <c r="AN148" i="1"/>
  <c r="AN384" i="1"/>
  <c r="AN80" i="1"/>
  <c r="AN115" i="1"/>
  <c r="AN295" i="1"/>
  <c r="AN171" i="1"/>
  <c r="AN449" i="1"/>
  <c r="AN207" i="1"/>
  <c r="AN410" i="1"/>
  <c r="AN206" i="1"/>
  <c r="AN447" i="1"/>
  <c r="AN484" i="1"/>
  <c r="AN359" i="1"/>
  <c r="AN204" i="1"/>
  <c r="AN205" i="1"/>
  <c r="AN488" i="1"/>
  <c r="AN232" i="1"/>
  <c r="AN79" i="1"/>
  <c r="AN489" i="1"/>
  <c r="AN382" i="1"/>
  <c r="AN166" i="1"/>
  <c r="AN139" i="1"/>
  <c r="AN74" i="1"/>
  <c r="AN267" i="1"/>
  <c r="AN332" i="1"/>
  <c r="AN106" i="1"/>
  <c r="AN383" i="1"/>
  <c r="AN198" i="1"/>
  <c r="AN412" i="1"/>
  <c r="AN293" i="1"/>
  <c r="AN411" i="1"/>
  <c r="AN419" i="1"/>
  <c r="AN231" i="1"/>
  <c r="AN225" i="1"/>
  <c r="AN105" i="1"/>
  <c r="AN147" i="1"/>
  <c r="AN353" i="1"/>
  <c r="AN261" i="1"/>
  <c r="AN181" i="1"/>
  <c r="AN364" i="1"/>
  <c r="AN485" i="1"/>
  <c r="AN333" i="1"/>
  <c r="AN385" i="1"/>
  <c r="AN354" i="1"/>
  <c r="AN209" i="1"/>
  <c r="AN89" i="1"/>
  <c r="AN329" i="1"/>
  <c r="AN78" i="1"/>
  <c r="AN402" i="1"/>
  <c r="AN265" i="1"/>
  <c r="AN118" i="1"/>
  <c r="AN202" i="1"/>
  <c r="AN268" i="1"/>
  <c r="AN387" i="1"/>
  <c r="AN378" i="1"/>
  <c r="AN237" i="1"/>
  <c r="AN509" i="1"/>
  <c r="AN513" i="1"/>
  <c r="AN143" i="1"/>
  <c r="AN41" i="1"/>
  <c r="AN451" i="1"/>
  <c r="AN86" i="1"/>
  <c r="AN262" i="1"/>
  <c r="AN483" i="1"/>
  <c r="AN297" i="1"/>
  <c r="AN174" i="1"/>
  <c r="AN326" i="1"/>
  <c r="AN229" i="1"/>
  <c r="AN44" i="1"/>
  <c r="AN273" i="1"/>
  <c r="AN269" i="1"/>
  <c r="AN415" i="1"/>
  <c r="AN416" i="1"/>
  <c r="AN452" i="1"/>
  <c r="AN52" i="1"/>
  <c r="AN234" i="1"/>
  <c r="AN323" i="1"/>
  <c r="AN318" i="1"/>
  <c r="AN319" i="1"/>
  <c r="AN408" i="1"/>
  <c r="AN407" i="1"/>
  <c r="AN77" i="1"/>
  <c r="AN140" i="1"/>
  <c r="AN176" i="1"/>
  <c r="AN46" i="1"/>
  <c r="AN453" i="1"/>
  <c r="AN39" i="1"/>
  <c r="AN168" i="1"/>
  <c r="AN506" i="1"/>
  <c r="AN443" i="1"/>
  <c r="AN199" i="1"/>
  <c r="AN515" i="1"/>
  <c r="AN48" i="1"/>
  <c r="AN150" i="1"/>
  <c r="AN85" i="1"/>
  <c r="AN272" i="1"/>
  <c r="AN335" i="1"/>
  <c r="AN321" i="1"/>
  <c r="AN167" i="1"/>
  <c r="AN177" i="1"/>
  <c r="AN403" i="1"/>
  <c r="AN141" i="1"/>
  <c r="AN404" i="1"/>
  <c r="AN75" i="1"/>
  <c r="AN116" i="1"/>
  <c r="AN179" i="1"/>
  <c r="AN43" i="1"/>
  <c r="AN51" i="1"/>
  <c r="AN40" i="1"/>
  <c r="AN227" i="1"/>
  <c r="AN151" i="1"/>
  <c r="AN457" i="1"/>
  <c r="AN392" i="1"/>
  <c r="AN355" i="1"/>
  <c r="AN336" i="1"/>
  <c r="AN263" i="1"/>
  <c r="AN362" i="1"/>
  <c r="AN208" i="1"/>
  <c r="AN112" i="1"/>
  <c r="AN377" i="1"/>
  <c r="AN45" i="1"/>
  <c r="AN142" i="1"/>
  <c r="AN270" i="1"/>
  <c r="AN390" i="1"/>
  <c r="AN82" i="1"/>
  <c r="AN327" i="1"/>
  <c r="AN201" i="1"/>
  <c r="AN296" i="1"/>
  <c r="AN379" i="1"/>
  <c r="AN439" i="1"/>
  <c r="AN330" i="1"/>
  <c r="AN386" i="1"/>
  <c r="AN511" i="1"/>
  <c r="AN450" i="1"/>
  <c r="AN230" i="1"/>
  <c r="AN170" i="1"/>
  <c r="AN172" i="1"/>
  <c r="AN448" i="1"/>
  <c r="AN42" i="1"/>
  <c r="AN203" i="1"/>
  <c r="AN146" i="1"/>
  <c r="AN331" i="1"/>
  <c r="AN418" i="1"/>
  <c r="J12" i="1"/>
  <c r="J13" i="1"/>
  <c r="AI251" i="1"/>
  <c r="Q12" i="1"/>
  <c r="AG16" i="1"/>
  <c r="AF16" i="1"/>
  <c r="AE16" i="1"/>
  <c r="AD16" i="1"/>
  <c r="AC16" i="1"/>
  <c r="AB16" i="1"/>
  <c r="AA16" i="1"/>
  <c r="Z16" i="1"/>
  <c r="AH458" i="1"/>
  <c r="AH488" i="1"/>
  <c r="AH122" i="1"/>
  <c r="AH391" i="1"/>
  <c r="AH273" i="1"/>
  <c r="AH51" i="1"/>
  <c r="AH418" i="1"/>
  <c r="AH336" i="1"/>
  <c r="AH453" i="1"/>
  <c r="AH270" i="1"/>
  <c r="AH486" i="1"/>
  <c r="AH414" i="1"/>
  <c r="AH334" i="1"/>
  <c r="AH173" i="1"/>
  <c r="AH147" i="1"/>
  <c r="AH116" i="1"/>
  <c r="AH204" i="1"/>
  <c r="AH115" i="1"/>
  <c r="AH78" i="1"/>
  <c r="AH510" i="1"/>
  <c r="AH264" i="1"/>
  <c r="AH325" i="1"/>
  <c r="AH408" i="1"/>
  <c r="AH443" i="1"/>
  <c r="AH167" i="1"/>
  <c r="AH109" i="1"/>
  <c r="AH321" i="1"/>
  <c r="AH262" i="1"/>
  <c r="AH354" i="1"/>
  <c r="AH225" i="1"/>
  <c r="AH352" i="1"/>
  <c r="AH374" i="1"/>
  <c r="AH197" i="1"/>
  <c r="AH258" i="1"/>
  <c r="AH474" i="1"/>
  <c r="AH195" i="1"/>
  <c r="AH69" i="1"/>
  <c r="AH471" i="1"/>
  <c r="AH469" i="1"/>
  <c r="AH254" i="1"/>
  <c r="AH309" i="1"/>
  <c r="AH158" i="1"/>
  <c r="AH129" i="1"/>
  <c r="AH428" i="1"/>
  <c r="AH252" i="1"/>
  <c r="AH279" i="1"/>
  <c r="AH277" i="1"/>
  <c r="AH245" i="1"/>
  <c r="AH424" i="1"/>
  <c r="AH58" i="1"/>
  <c r="AH461" i="1"/>
  <c r="AH364" i="1"/>
  <c r="AH274" i="1"/>
  <c r="AH87" i="1"/>
  <c r="AH337" i="1"/>
  <c r="AH85" i="1"/>
  <c r="AH50" i="1"/>
  <c r="AH455" i="1"/>
  <c r="AH49" i="1"/>
  <c r="AH46" i="1"/>
  <c r="AH149" i="1"/>
  <c r="AH389" i="1"/>
  <c r="AH297" i="1"/>
  <c r="AH512" i="1"/>
  <c r="AH333" i="1"/>
  <c r="AH295" i="1"/>
  <c r="AH383" i="1"/>
  <c r="AH145" i="1"/>
  <c r="AH42" i="1"/>
  <c r="AH511" i="1"/>
  <c r="AH509" i="1"/>
  <c r="AH482" i="1"/>
  <c r="AH508" i="1"/>
  <c r="AH200" i="1"/>
  <c r="AH357" i="1"/>
  <c r="AH110" i="1"/>
  <c r="AH141" i="1"/>
  <c r="AH39" i="1"/>
  <c r="AH439" i="1"/>
  <c r="AH105" i="1"/>
  <c r="AH287" i="1"/>
  <c r="AH103" i="1"/>
  <c r="AH350" i="1"/>
  <c r="AH259" i="1"/>
  <c r="AH433" i="1"/>
  <c r="AH70" i="1"/>
  <c r="AH162" i="1"/>
  <c r="AH68" i="1"/>
  <c r="AH67" i="1"/>
  <c r="AH66" i="1"/>
  <c r="AH64" i="1"/>
  <c r="AH131" i="1"/>
  <c r="AH467" i="1"/>
  <c r="AH128" i="1"/>
  <c r="AH253" i="1"/>
  <c r="AH216" i="1"/>
  <c r="AH27" i="1"/>
  <c r="AH59" i="1"/>
  <c r="AH495" i="1"/>
  <c r="AH21" i="1"/>
  <c r="AH93" i="1"/>
  <c r="AH422" i="1"/>
  <c r="AH392" i="1"/>
  <c r="AH419" i="1"/>
  <c r="AH517" i="1"/>
  <c r="AH363" i="1"/>
  <c r="AH487" i="1"/>
  <c r="AH456" i="1"/>
  <c r="AH178" i="1"/>
  <c r="AH150" i="1"/>
  <c r="AH176" i="1"/>
  <c r="AH452" i="1"/>
  <c r="AH44" i="1"/>
  <c r="AH360" i="1"/>
  <c r="AH81" i="1"/>
  <c r="AH172" i="1"/>
  <c r="AH359" i="1"/>
  <c r="AH294" i="1"/>
  <c r="AH411" i="1"/>
  <c r="AH409" i="1"/>
  <c r="AH328" i="1"/>
  <c r="AH41" i="1"/>
  <c r="AH445" i="1"/>
  <c r="AH77" i="1"/>
  <c r="AH290" i="1"/>
  <c r="AH227" i="1"/>
  <c r="AH288" i="1"/>
  <c r="AH319" i="1"/>
  <c r="AH107" i="1"/>
  <c r="AH104" i="1"/>
  <c r="AH505" i="1"/>
  <c r="AH476" i="1"/>
  <c r="AH222" i="1"/>
  <c r="AH315" i="1"/>
  <c r="AH503" i="1"/>
  <c r="AH134" i="1"/>
  <c r="AH349" i="1"/>
  <c r="AH33" i="1"/>
  <c r="AH430" i="1"/>
  <c r="AH346" i="1"/>
  <c r="AH132" i="1"/>
  <c r="AH191" i="1"/>
  <c r="AH280" i="1"/>
  <c r="AH498" i="1"/>
  <c r="AH497" i="1"/>
  <c r="AH278" i="1"/>
  <c r="AH214" i="1"/>
  <c r="AH24" i="1"/>
  <c r="AH494" i="1"/>
  <c r="AH395" i="1"/>
  <c r="AH92" i="1"/>
  <c r="AH183" i="1"/>
  <c r="AH210" i="1"/>
  <c r="AH88" i="1"/>
  <c r="AH457" i="1"/>
  <c r="AH120" i="1"/>
  <c r="AH271" i="1"/>
  <c r="AH516" i="1"/>
  <c r="AH177" i="1"/>
  <c r="AH208" i="1"/>
  <c r="AH175" i="1"/>
  <c r="AH269" i="1"/>
  <c r="AH513" i="1"/>
  <c r="AH268" i="1"/>
  <c r="AH117" i="1"/>
  <c r="AH448" i="1"/>
  <c r="AH266" i="1"/>
  <c r="AH293" i="1"/>
  <c r="AH381" i="1"/>
  <c r="AH202" i="1"/>
  <c r="AH201" i="1"/>
  <c r="AH228" i="1"/>
  <c r="AH76" i="1"/>
  <c r="AH406" i="1"/>
  <c r="AH404" i="1"/>
  <c r="AH480" i="1"/>
  <c r="AH140" i="1"/>
  <c r="AH198" i="1"/>
  <c r="AH72" i="1"/>
  <c r="AH478" i="1"/>
  <c r="AH223" i="1"/>
  <c r="AH316" i="1"/>
  <c r="AH101" i="1"/>
  <c r="AH313" i="1"/>
  <c r="AH285" i="1"/>
  <c r="AH472" i="1"/>
  <c r="AH133" i="1"/>
  <c r="AH502" i="1"/>
  <c r="AH159" i="1"/>
  <c r="AH500" i="1"/>
  <c r="AH499" i="1"/>
  <c r="AH427" i="1"/>
  <c r="AH496" i="1"/>
  <c r="AH96" i="1"/>
  <c r="AH464" i="1"/>
  <c r="AH246" i="1"/>
  <c r="AH368" i="1"/>
  <c r="AH367" i="1"/>
  <c r="AH492" i="1"/>
  <c r="AH54" i="1"/>
  <c r="AH362" i="1"/>
  <c r="AH298" i="1"/>
  <c r="AH416" i="1"/>
  <c r="AH361" i="1"/>
  <c r="AH385" i="1"/>
  <c r="AH80" i="1"/>
  <c r="AH43" i="1"/>
  <c r="AH332" i="1"/>
  <c r="AH447" i="1"/>
  <c r="AH446" i="1"/>
  <c r="AH292" i="1"/>
  <c r="AH326" i="1"/>
  <c r="AH323" i="1"/>
  <c r="AH377" i="1"/>
  <c r="AH356" i="1"/>
  <c r="AH376" i="1"/>
  <c r="AH318" i="1"/>
  <c r="AH73" i="1"/>
  <c r="AH139" i="1"/>
  <c r="AH138" i="1"/>
  <c r="AH317" i="1"/>
  <c r="AH400" i="1"/>
  <c r="AH399" i="1"/>
  <c r="AH312" i="1"/>
  <c r="AH432" i="1"/>
  <c r="AH256" i="1"/>
  <c r="AH372" i="1"/>
  <c r="AH501" i="1"/>
  <c r="AH283" i="1"/>
  <c r="AH190" i="1"/>
  <c r="AH397" i="1"/>
  <c r="AH97" i="1"/>
  <c r="AH61" i="1"/>
  <c r="AH188" i="1"/>
  <c r="AH25" i="1"/>
  <c r="AH157" i="1"/>
  <c r="AH423" i="1"/>
  <c r="AH213" i="1"/>
  <c r="AH493" i="1"/>
  <c r="AH126" i="1"/>
  <c r="AH344" i="1"/>
  <c r="AH124" i="1"/>
  <c r="AH91" i="1"/>
  <c r="AH241" i="1"/>
  <c r="AH491" i="1"/>
  <c r="AH90" i="1"/>
  <c r="AH239" i="1"/>
  <c r="AH181" i="1"/>
  <c r="AH119" i="1"/>
  <c r="AH234" i="1"/>
  <c r="AH451" i="1"/>
  <c r="AH233" i="1"/>
  <c r="AH171" i="1"/>
  <c r="AH267" i="1"/>
  <c r="AH205" i="1"/>
  <c r="AH410" i="1"/>
  <c r="AH330" i="1"/>
  <c r="AH144" i="1"/>
  <c r="AH229" i="1"/>
  <c r="AH142" i="1"/>
  <c r="AH199" i="1"/>
  <c r="AH75" i="1"/>
  <c r="AH355" i="1"/>
  <c r="AH226" i="1"/>
  <c r="AH106" i="1"/>
  <c r="AH166" i="1"/>
  <c r="AH434" i="1"/>
  <c r="AH351" i="1"/>
  <c r="AH36" i="1"/>
  <c r="AH100" i="1"/>
  <c r="AH136" i="1"/>
  <c r="AH34" i="1"/>
  <c r="AH160" i="1"/>
  <c r="AH470" i="1"/>
  <c r="AH347" i="1"/>
  <c r="AH31" i="1"/>
  <c r="AH130" i="1"/>
  <c r="AH281" i="1"/>
  <c r="AH28" i="1"/>
  <c r="AH306" i="1"/>
  <c r="AH305" i="1"/>
  <c r="AH396" i="1"/>
  <c r="AH26" i="1"/>
  <c r="AH425" i="1"/>
  <c r="AH244" i="1"/>
  <c r="AH20" i="1"/>
  <c r="AH462" i="1"/>
  <c r="AH394" i="1"/>
  <c r="AH301" i="1"/>
  <c r="AH211" i="1"/>
  <c r="AH56" i="1"/>
  <c r="AH366" i="1"/>
  <c r="AH123" i="1"/>
  <c r="AH339" i="1"/>
  <c r="AH275" i="1"/>
  <c r="AH55" i="1"/>
  <c r="AH460" i="1"/>
  <c r="AH185" i="1"/>
  <c r="AH420" i="1"/>
  <c r="AH209" i="1"/>
  <c r="AH454" i="1"/>
  <c r="AH48" i="1"/>
  <c r="AH83" i="1"/>
  <c r="AH417" i="1"/>
  <c r="AH388" i="1"/>
  <c r="AH485" i="1"/>
  <c r="AH449" i="1"/>
  <c r="AH232" i="1"/>
  <c r="AH231" i="1"/>
  <c r="AH380" i="1"/>
  <c r="AH113" i="1"/>
  <c r="AH358" i="1"/>
  <c r="AH169" i="1"/>
  <c r="AH291" i="1"/>
  <c r="AH442" i="1"/>
  <c r="AH40" i="1"/>
  <c r="AH403" i="1"/>
  <c r="AH38" i="1"/>
  <c r="AH438" i="1"/>
  <c r="AH436" i="1"/>
  <c r="AH286" i="1"/>
  <c r="AH37" i="1"/>
  <c r="AH137" i="1"/>
  <c r="AH473" i="1"/>
  <c r="AH311" i="1"/>
  <c r="AH161" i="1"/>
  <c r="AH310" i="1"/>
  <c r="AH65" i="1"/>
  <c r="AH193" i="1"/>
  <c r="AH219" i="1"/>
  <c r="AH466" i="1"/>
  <c r="AH63" i="1"/>
  <c r="AH218" i="1"/>
  <c r="AH60" i="1"/>
  <c r="AH215" i="1"/>
  <c r="AH369" i="1"/>
  <c r="AH156" i="1"/>
  <c r="AH243" i="1"/>
  <c r="AH302" i="1"/>
  <c r="AH345" i="1"/>
  <c r="AH212" i="1"/>
  <c r="AH343" i="1"/>
  <c r="AH300" i="1"/>
  <c r="AH238" i="1"/>
  <c r="AH489" i="1"/>
  <c r="AH47" i="1"/>
  <c r="AH415" i="1"/>
  <c r="AH413" i="1"/>
  <c r="AH386" i="1"/>
  <c r="AH384" i="1"/>
  <c r="AH412" i="1"/>
  <c r="AH146" i="1"/>
  <c r="AH203" i="1"/>
  <c r="AH114" i="1"/>
  <c r="AH265" i="1"/>
  <c r="AH483" i="1"/>
  <c r="AH324" i="1"/>
  <c r="AH507" i="1"/>
  <c r="AH405" i="1"/>
  <c r="AH441" i="1"/>
  <c r="AH440" i="1"/>
  <c r="AH108" i="1"/>
  <c r="AH437" i="1"/>
  <c r="AH165" i="1"/>
  <c r="AH224" i="1"/>
  <c r="AH102" i="1"/>
  <c r="AH71" i="1"/>
  <c r="AH163" i="1"/>
  <c r="AH135" i="1"/>
  <c r="AH194" i="1"/>
  <c r="AH284" i="1"/>
  <c r="AH32" i="1"/>
  <c r="AH30" i="1"/>
  <c r="AH282" i="1"/>
  <c r="AH189" i="1"/>
  <c r="AH307" i="1"/>
  <c r="AH250" i="1"/>
  <c r="AH248" i="1"/>
  <c r="AH247" i="1"/>
  <c r="AH304" i="1"/>
  <c r="AH94" i="1"/>
  <c r="AH303" i="1"/>
  <c r="AH127" i="1"/>
  <c r="AH125" i="1"/>
  <c r="AH242" i="1"/>
  <c r="AH57" i="1"/>
  <c r="AH186" i="1"/>
  <c r="AH341" i="1"/>
  <c r="AH18" i="1"/>
  <c r="AH340" i="1"/>
  <c r="AH154" i="1"/>
  <c r="AH490" i="1"/>
  <c r="AH421" i="1"/>
  <c r="AH393" i="1"/>
  <c r="AH338" i="1"/>
  <c r="AH240" i="1"/>
  <c r="AH365" i="1"/>
  <c r="AH459" i="1"/>
  <c r="AH184" i="1"/>
  <c r="AH153" i="1"/>
  <c r="AH182" i="1"/>
  <c r="AH89" i="1"/>
  <c r="AH86" i="1"/>
  <c r="AH52" i="1"/>
  <c r="AH272" i="1"/>
  <c r="AH84" i="1"/>
  <c r="AH236" i="1"/>
  <c r="AH235" i="1"/>
  <c r="AH45" i="1"/>
  <c r="AH390" i="1"/>
  <c r="AH82" i="1"/>
  <c r="AH387" i="1"/>
  <c r="AH450" i="1"/>
  <c r="AH207" i="1"/>
  <c r="AH79" i="1"/>
  <c r="AH484" i="1"/>
  <c r="AH230" i="1"/>
  <c r="AH379" i="1"/>
  <c r="AH143" i="1"/>
  <c r="AH481" i="1"/>
  <c r="AH322" i="1"/>
  <c r="AH168" i="1"/>
  <c r="AH263" i="1"/>
  <c r="AH74" i="1"/>
  <c r="AH506" i="1"/>
  <c r="AH402" i="1"/>
  <c r="AH353" i="1"/>
  <c r="AH435" i="1"/>
  <c r="AH477" i="1"/>
  <c r="AH401" i="1"/>
  <c r="AH475" i="1"/>
  <c r="AH314" i="1"/>
  <c r="AH196" i="1"/>
  <c r="AH257" i="1"/>
  <c r="AH98" i="1"/>
  <c r="AH221" i="1"/>
  <c r="AH468" i="1"/>
  <c r="AH429" i="1"/>
  <c r="AH192" i="1"/>
  <c r="AH308" i="1"/>
  <c r="AH62" i="1"/>
  <c r="AH217" i="1"/>
  <c r="AH249" i="1"/>
  <c r="AH187" i="1"/>
  <c r="AH23" i="1"/>
  <c r="AH22" i="1"/>
  <c r="AH463" i="1"/>
  <c r="AH19" i="1"/>
  <c r="AH299" i="1"/>
  <c r="AH237" i="1"/>
  <c r="AH121" i="1"/>
  <c r="AH53" i="1"/>
  <c r="AH151" i="1"/>
  <c r="AH180" i="1"/>
  <c r="AH179" i="1"/>
  <c r="AH335" i="1"/>
  <c r="AH515" i="1"/>
  <c r="AH514" i="1"/>
  <c r="AH174" i="1"/>
  <c r="AH296" i="1"/>
  <c r="AH118" i="1"/>
  <c r="AH148" i="1"/>
  <c r="AH206" i="1"/>
  <c r="AH382" i="1"/>
  <c r="AH331" i="1"/>
  <c r="AH170" i="1"/>
  <c r="AH329" i="1"/>
  <c r="AH378" i="1"/>
  <c r="AH327" i="1"/>
  <c r="AH444" i="1"/>
  <c r="AH407" i="1"/>
  <c r="AH112" i="1"/>
  <c r="AH111" i="1"/>
  <c r="AH289" i="1"/>
  <c r="AH320" i="1"/>
  <c r="AH479" i="1"/>
  <c r="AH261" i="1"/>
  <c r="AH375" i="1"/>
  <c r="AH164" i="1"/>
  <c r="AH260" i="1"/>
  <c r="AH504" i="1"/>
  <c r="AH373" i="1"/>
  <c r="AH35" i="1"/>
  <c r="AH99" i="1"/>
  <c r="AH431" i="1"/>
  <c r="AH348" i="1"/>
  <c r="AH255" i="1"/>
  <c r="AH371" i="1"/>
  <c r="AH220" i="1"/>
  <c r="AH398" i="1"/>
  <c r="AH29" i="1"/>
  <c r="AH465" i="1"/>
  <c r="AH251" i="1"/>
  <c r="AH370" i="1"/>
  <c r="AH426" i="1"/>
  <c r="AH95" i="1"/>
  <c r="AH276" i="1"/>
  <c r="AH155" i="1"/>
  <c r="AH342" i="1"/>
  <c r="AH152" i="1"/>
  <c r="J15" i="1" l="1"/>
  <c r="J14" i="1"/>
  <c r="AJ198" i="1"/>
  <c r="AJ63" i="1"/>
  <c r="AJ439" i="1"/>
  <c r="AJ479" i="1"/>
  <c r="AJ28" i="1"/>
  <c r="AJ262" i="1"/>
  <c r="AJ487" i="1"/>
  <c r="AJ226" i="1"/>
  <c r="AJ128" i="1"/>
  <c r="AJ319" i="1"/>
  <c r="AJ465" i="1"/>
  <c r="AJ39" i="1"/>
  <c r="AJ29" i="1"/>
  <c r="AJ320" i="1"/>
  <c r="AJ425" i="1"/>
  <c r="AJ321" i="1"/>
  <c r="AJ189" i="1"/>
  <c r="AJ355" i="1"/>
  <c r="AJ151" i="1"/>
  <c r="AJ376" i="1"/>
  <c r="AJ129" i="1"/>
  <c r="AJ141" i="1"/>
  <c r="AJ53" i="1"/>
  <c r="AJ289" i="1"/>
  <c r="AJ308" i="1"/>
  <c r="AJ441" i="1"/>
  <c r="AJ478" i="1"/>
  <c r="AJ161" i="1"/>
  <c r="AJ170" i="1"/>
  <c r="AJ220" i="1"/>
  <c r="AJ410" i="1"/>
  <c r="AJ432" i="1"/>
  <c r="AJ42" i="1"/>
  <c r="AJ276" i="1"/>
  <c r="AJ203" i="1"/>
  <c r="AJ194" i="1"/>
  <c r="AJ293" i="1"/>
  <c r="AJ429" i="1"/>
  <c r="AJ331" i="1"/>
  <c r="AJ309" i="1"/>
  <c r="AJ230" i="1"/>
  <c r="AJ349" i="1"/>
  <c r="AJ447" i="1"/>
  <c r="AJ246" i="1"/>
  <c r="AJ411" i="1"/>
  <c r="AJ257" i="1"/>
  <c r="AJ204" i="1"/>
  <c r="AJ132" i="1"/>
  <c r="AJ294" i="1"/>
  <c r="AJ99" i="1"/>
  <c r="AJ116" i="1"/>
  <c r="AJ498" i="1"/>
  <c r="AJ261" i="1"/>
  <c r="AJ179" i="1"/>
  <c r="AJ438" i="1"/>
  <c r="AJ397" i="1"/>
  <c r="AJ106" i="1"/>
  <c r="AJ304" i="1"/>
  <c r="AJ285" i="1"/>
  <c r="AJ205" i="1"/>
  <c r="AJ305" i="1"/>
  <c r="AJ145" i="1"/>
  <c r="AJ162" i="1"/>
  <c r="AJ146" i="1"/>
  <c r="AJ159" i="1"/>
  <c r="AJ382" i="1"/>
  <c r="AJ311" i="1"/>
  <c r="AJ79" i="1"/>
  <c r="AJ369" i="1"/>
  <c r="AJ267" i="1"/>
  <c r="AJ195" i="1"/>
  <c r="AJ383" i="1"/>
  <c r="AJ193" i="1"/>
  <c r="AJ412" i="1"/>
  <c r="AJ312" i="1"/>
  <c r="AJ206" i="1"/>
  <c r="AJ250" i="1"/>
  <c r="AJ306" i="1"/>
  <c r="AJ489" i="1"/>
  <c r="AJ505" i="1"/>
  <c r="AJ435" i="1"/>
  <c r="AJ394" i="1"/>
  <c r="AJ165" i="1"/>
  <c r="AJ127" i="1"/>
  <c r="AJ375" i="1"/>
  <c r="AJ462" i="1"/>
  <c r="AJ436" i="1"/>
  <c r="AJ463" i="1"/>
  <c r="AJ139" i="1"/>
  <c r="AJ93" i="1"/>
  <c r="AJ166" i="1"/>
  <c r="AJ155" i="1"/>
  <c r="AJ72" i="1"/>
  <c r="AJ148" i="1"/>
  <c r="AJ358" i="1"/>
  <c r="AJ136" i="1"/>
  <c r="AJ84" i="1"/>
  <c r="AJ111" i="1"/>
  <c r="AJ94" i="1"/>
  <c r="AJ231" i="1"/>
  <c r="AJ64" i="1"/>
  <c r="AJ417" i="1"/>
  <c r="AJ374" i="1"/>
  <c r="AJ336" i="1"/>
  <c r="AJ480" i="1"/>
  <c r="AJ287" i="1"/>
  <c r="AJ407" i="1"/>
  <c r="AJ20" i="1"/>
  <c r="AJ379" i="1"/>
  <c r="AJ69" i="1"/>
  <c r="AJ232" i="1"/>
  <c r="AJ496" i="1"/>
  <c r="AJ513" i="1"/>
  <c r="AJ475" i="1"/>
  <c r="AJ515" i="1"/>
  <c r="AJ470" i="1"/>
  <c r="AJ457" i="1"/>
  <c r="AJ236" i="1"/>
  <c r="AJ437" i="1"/>
  <c r="AJ140" i="1"/>
  <c r="AJ434" i="1"/>
  <c r="AJ40" i="1"/>
  <c r="AJ87" i="1"/>
  <c r="AJ112" i="1"/>
  <c r="AJ395" i="1"/>
  <c r="AJ228" i="1"/>
  <c r="AJ213" i="1"/>
  <c r="AJ509" i="1"/>
  <c r="AJ98" i="1"/>
  <c r="AJ409" i="1"/>
  <c r="AJ30" i="1"/>
  <c r="AJ332" i="1"/>
  <c r="AJ134" i="1"/>
  <c r="AJ147" i="1"/>
  <c r="AJ25" i="1"/>
  <c r="AJ385" i="1"/>
  <c r="AJ373" i="1"/>
  <c r="AJ44" i="1"/>
  <c r="AJ66" i="1"/>
  <c r="AJ270" i="1"/>
  <c r="AJ102" i="1"/>
  <c r="AJ335" i="1"/>
  <c r="AJ307" i="1"/>
  <c r="AJ51" i="1"/>
  <c r="AJ177" i="1"/>
  <c r="AJ237" i="1"/>
  <c r="AJ351" i="1"/>
  <c r="AJ225" i="1"/>
  <c r="AJ21" i="1"/>
  <c r="AJ73" i="1"/>
  <c r="AJ38" i="1"/>
  <c r="AJ164" i="1"/>
  <c r="AJ440" i="1"/>
  <c r="AJ273" i="1"/>
  <c r="AJ74" i="1"/>
  <c r="AJ22" i="1"/>
  <c r="AJ110" i="1"/>
  <c r="AJ427" i="1"/>
  <c r="AJ357" i="1"/>
  <c r="AJ493" i="1"/>
  <c r="AJ507" i="1"/>
  <c r="AJ364" i="1"/>
  <c r="AJ323" i="1"/>
  <c r="AJ424" i="1"/>
  <c r="AJ481" i="1"/>
  <c r="AJ392" i="1"/>
  <c r="AJ264" i="1"/>
  <c r="AJ130" i="1"/>
  <c r="AJ113" i="1"/>
  <c r="AJ283" i="1"/>
  <c r="AJ446" i="1"/>
  <c r="AJ431" i="1"/>
  <c r="AJ167" i="1"/>
  <c r="AJ391" i="1"/>
  <c r="AJ248" i="1"/>
  <c r="AJ274" i="1"/>
  <c r="AJ377" i="1"/>
  <c r="AJ76" i="1"/>
  <c r="AJ428" i="1"/>
  <c r="AJ278" i="1"/>
  <c r="AJ324" i="1"/>
  <c r="AJ325" i="1"/>
  <c r="AJ326" i="1"/>
  <c r="AJ58" i="1"/>
  <c r="AJ370" i="1"/>
  <c r="AJ143" i="1"/>
  <c r="AJ378" i="1"/>
  <c r="AJ471" i="1"/>
  <c r="AJ96" i="1"/>
  <c r="AJ329" i="1"/>
  <c r="AJ380" i="1"/>
  <c r="AJ115" i="1"/>
  <c r="AJ61" i="1"/>
  <c r="AJ484" i="1"/>
  <c r="AJ34" i="1"/>
  <c r="AJ266" i="1"/>
  <c r="AJ31" i="1"/>
  <c r="AJ359" i="1"/>
  <c r="AJ196" i="1"/>
  <c r="AJ295" i="1"/>
  <c r="AJ368" i="1"/>
  <c r="AJ485" i="1"/>
  <c r="AJ163" i="1"/>
  <c r="AJ334" i="1"/>
  <c r="AJ502" i="1"/>
  <c r="AJ388" i="1"/>
  <c r="AJ315" i="1"/>
  <c r="AJ415" i="1"/>
  <c r="AJ218" i="1"/>
  <c r="AJ234" i="1"/>
  <c r="AJ316" i="1"/>
  <c r="AJ119" i="1"/>
  <c r="AJ430" i="1"/>
  <c r="AJ208" i="1"/>
  <c r="AJ317" i="1"/>
  <c r="AJ455" i="1"/>
  <c r="AJ260" i="1"/>
  <c r="AJ271" i="1"/>
  <c r="AJ286" i="1"/>
  <c r="AJ52" i="1"/>
  <c r="AJ253" i="1"/>
  <c r="AJ121" i="1"/>
  <c r="AJ345" i="1"/>
  <c r="AJ209" i="1"/>
  <c r="AJ235" i="1"/>
  <c r="AJ303" i="1"/>
  <c r="AJ426" i="1"/>
  <c r="AJ353" i="1"/>
  <c r="AJ243" i="1"/>
  <c r="AJ354" i="1"/>
  <c r="AJ277" i="1"/>
  <c r="AJ107" i="1"/>
  <c r="AJ108" i="1"/>
  <c r="AJ464" i="1"/>
  <c r="AJ318" i="1"/>
  <c r="AJ85" i="1"/>
  <c r="AJ506" i="1"/>
  <c r="AJ215" i="1"/>
  <c r="AJ403" i="1"/>
  <c r="AJ284" i="1"/>
  <c r="AJ288" i="1"/>
  <c r="AJ188" i="1"/>
  <c r="AJ109" i="1"/>
  <c r="AJ337" i="1"/>
  <c r="AJ404" i="1"/>
  <c r="AJ396" i="1"/>
  <c r="AJ405" i="1"/>
  <c r="AJ199" i="1"/>
  <c r="AJ249" i="1"/>
  <c r="AJ142" i="1"/>
  <c r="AJ423" i="1"/>
  <c r="AJ27" i="1"/>
  <c r="AJ327" i="1"/>
  <c r="AJ279" i="1"/>
  <c r="AJ328" i="1"/>
  <c r="AJ160" i="1"/>
  <c r="AJ216" i="1"/>
  <c r="AJ43" i="1"/>
  <c r="AJ135" i="1"/>
  <c r="AJ448" i="1"/>
  <c r="AJ501" i="1"/>
  <c r="AJ449" i="1"/>
  <c r="AJ70" i="1"/>
  <c r="AJ80" i="1"/>
  <c r="AJ244" i="1"/>
  <c r="AJ173" i="1"/>
  <c r="AJ503" i="1"/>
  <c r="AJ333" i="1"/>
  <c r="AJ32" i="1"/>
  <c r="AJ118" i="1"/>
  <c r="AJ433" i="1"/>
  <c r="AJ512" i="1"/>
  <c r="AJ497" i="1"/>
  <c r="AJ413" i="1"/>
  <c r="AJ101" i="1"/>
  <c r="AJ297" i="1"/>
  <c r="AJ347" i="1"/>
  <c r="AJ82" i="1"/>
  <c r="AJ71" i="1"/>
  <c r="AJ389" i="1"/>
  <c r="AJ26" i="1"/>
  <c r="AJ486" i="1"/>
  <c r="AJ400" i="1"/>
  <c r="AJ298" i="1"/>
  <c r="AJ372" i="1"/>
  <c r="AJ45" i="1"/>
  <c r="AJ222" i="1"/>
  <c r="AJ453" i="1"/>
  <c r="AJ352" i="1"/>
  <c r="AJ150" i="1"/>
  <c r="AJ401" i="1"/>
  <c r="AJ454" i="1"/>
  <c r="AJ133" i="1"/>
  <c r="AJ178" i="1"/>
  <c r="AJ223" i="1"/>
  <c r="AJ516" i="1"/>
  <c r="AJ49" i="1"/>
  <c r="AJ456" i="1"/>
  <c r="AJ103" i="1"/>
  <c r="AJ272" i="1"/>
  <c r="AJ348" i="1"/>
  <c r="AJ120" i="1"/>
  <c r="AJ138" i="1"/>
  <c r="AJ363" i="1"/>
  <c r="AJ362" i="1"/>
  <c r="AJ86" i="1"/>
  <c r="AJ458" i="1"/>
  <c r="AJ88" i="1"/>
  <c r="AJ187" i="1"/>
  <c r="AJ517" i="1"/>
  <c r="AJ302" i="1"/>
  <c r="AJ210" i="1"/>
  <c r="AJ221" i="1"/>
  <c r="AJ310" i="1"/>
  <c r="AJ62" i="1"/>
  <c r="AJ104" i="1"/>
  <c r="AJ476" i="1"/>
  <c r="AJ105" i="1"/>
  <c r="AJ75" i="1"/>
  <c r="AJ280" i="1"/>
  <c r="AJ227" i="1"/>
  <c r="AJ495" i="1"/>
  <c r="AJ356" i="1"/>
  <c r="AJ499" i="1"/>
  <c r="AJ263" i="1"/>
  <c r="AJ419" i="1"/>
  <c r="AJ442" i="1"/>
  <c r="AJ281" i="1"/>
  <c r="AJ406" i="1"/>
  <c r="AJ122" i="1"/>
  <c r="AJ290" i="1"/>
  <c r="AJ466" i="1"/>
  <c r="AJ443" i="1"/>
  <c r="AJ157" i="1"/>
  <c r="AJ168" i="1"/>
  <c r="AJ190" i="1"/>
  <c r="AJ291" i="1"/>
  <c r="AJ23" i="1"/>
  <c r="AJ200" i="1"/>
  <c r="AJ467" i="1"/>
  <c r="AJ77" i="1"/>
  <c r="AJ89" i="1"/>
  <c r="AJ408" i="1"/>
  <c r="AJ398" i="1"/>
  <c r="AJ322" i="1"/>
  <c r="AJ488" i="1"/>
  <c r="AJ169" i="1"/>
  <c r="AJ158" i="1"/>
  <c r="AJ508" i="1"/>
  <c r="AJ181" i="1"/>
  <c r="AJ444" i="1"/>
  <c r="AJ282" i="1"/>
  <c r="AJ445" i="1"/>
  <c r="AJ24" i="1"/>
  <c r="AJ229" i="1"/>
  <c r="AJ191" i="1"/>
  <c r="AJ482" i="1"/>
  <c r="AJ367" i="1"/>
  <c r="AJ483" i="1"/>
  <c r="AJ192" i="1"/>
  <c r="AJ201" i="1"/>
  <c r="AJ494" i="1"/>
  <c r="AJ41" i="1"/>
  <c r="AJ500" i="1"/>
  <c r="AJ292" i="1"/>
  <c r="AJ245" i="1"/>
  <c r="AJ144" i="1"/>
  <c r="AJ256" i="1"/>
  <c r="AJ510" i="1"/>
  <c r="AJ219" i="1"/>
  <c r="AJ202" i="1"/>
  <c r="AJ33" i="1"/>
  <c r="AJ265" i="1"/>
  <c r="AJ95" i="1"/>
  <c r="AJ78" i="1"/>
  <c r="AJ472" i="1"/>
  <c r="AJ330" i="1"/>
  <c r="AJ131" i="1"/>
  <c r="AJ511" i="1"/>
  <c r="AJ68" i="1"/>
  <c r="AJ114" i="1"/>
  <c r="AJ60" i="1"/>
  <c r="AJ381" i="1"/>
  <c r="AJ207" i="1"/>
  <c r="AJ313" i="1"/>
  <c r="AJ171" i="1"/>
  <c r="AJ254" i="1"/>
  <c r="AJ172" i="1"/>
  <c r="AJ35" i="1"/>
  <c r="AJ384" i="1"/>
  <c r="AJ350" i="1"/>
  <c r="AJ117" i="1"/>
  <c r="AJ473" i="1"/>
  <c r="AJ450" i="1"/>
  <c r="AJ371" i="1"/>
  <c r="AJ233" i="1"/>
  <c r="AJ474" i="1"/>
  <c r="AJ81" i="1"/>
  <c r="AJ252" i="1"/>
  <c r="AJ386" i="1"/>
  <c r="AJ314" i="1"/>
  <c r="AJ268" i="1"/>
  <c r="AJ468" i="1"/>
  <c r="AJ387" i="1"/>
  <c r="AJ399" i="1"/>
  <c r="AJ296" i="1"/>
  <c r="AJ247" i="1"/>
  <c r="AJ360" i="1"/>
  <c r="AJ100" i="1"/>
  <c r="AJ361" i="1"/>
  <c r="AJ346" i="1"/>
  <c r="AJ451" i="1"/>
  <c r="AJ137" i="1"/>
  <c r="AJ174" i="1"/>
  <c r="AJ217" i="1"/>
  <c r="AJ414" i="1"/>
  <c r="AJ258" i="1"/>
  <c r="AJ269" i="1"/>
  <c r="AJ65" i="1"/>
  <c r="AJ416" i="1"/>
  <c r="AJ259" i="1"/>
  <c r="AJ514" i="1"/>
  <c r="AJ156" i="1"/>
  <c r="AJ452" i="1"/>
  <c r="AJ504" i="1"/>
  <c r="AJ390" i="1"/>
  <c r="AJ255" i="1"/>
  <c r="AJ149" i="1"/>
  <c r="AJ36" i="1"/>
  <c r="AJ175" i="1"/>
  <c r="AJ97" i="1"/>
  <c r="AJ83" i="1"/>
  <c r="AJ197" i="1"/>
  <c r="AJ176" i="1"/>
  <c r="AJ469" i="1"/>
  <c r="AJ46" i="1"/>
  <c r="AJ37" i="1"/>
  <c r="AJ47" i="1"/>
  <c r="AJ214" i="1"/>
  <c r="AJ48" i="1"/>
  <c r="AJ59" i="1"/>
  <c r="AJ50" i="1"/>
  <c r="AJ224" i="1"/>
  <c r="AJ418" i="1"/>
  <c r="AJ67" i="1"/>
  <c r="AJ180" i="1"/>
  <c r="AJ477" i="1"/>
  <c r="AJ402" i="1"/>
  <c r="AJ251" i="1"/>
  <c r="AJ182" i="1"/>
  <c r="AJ240" i="1"/>
  <c r="AJ55" i="1"/>
  <c r="AJ18" i="1"/>
  <c r="AJ300" i="1"/>
  <c r="AJ492" i="1"/>
  <c r="AJ242" i="1"/>
  <c r="AJ54" i="1"/>
  <c r="AJ340" i="1"/>
  <c r="AJ461" i="1"/>
  <c r="AJ301" i="1"/>
  <c r="AJ299" i="1"/>
  <c r="AJ339" i="1"/>
  <c r="AJ422" i="1"/>
  <c r="AJ126" i="1"/>
  <c r="AJ153" i="1"/>
  <c r="AJ154" i="1"/>
  <c r="AJ186" i="1"/>
  <c r="AJ125" i="1"/>
  <c r="AJ420" i="1"/>
  <c r="AJ365" i="1"/>
  <c r="AJ338" i="1"/>
  <c r="AJ421" i="1"/>
  <c r="AJ341" i="1"/>
  <c r="AJ19" i="1"/>
  <c r="AJ343" i="1"/>
  <c r="AJ184" i="1"/>
  <c r="AJ123" i="1"/>
  <c r="AJ92" i="1"/>
  <c r="AJ239" i="1"/>
  <c r="AJ490" i="1"/>
  <c r="AJ57" i="1"/>
  <c r="AJ183" i="1"/>
  <c r="AJ491" i="1"/>
  <c r="AJ342" i="1"/>
  <c r="AJ212" i="1"/>
  <c r="AJ238" i="1"/>
  <c r="AJ459" i="1"/>
  <c r="AJ90" i="1"/>
  <c r="AJ275" i="1"/>
  <c r="AJ366" i="1"/>
  <c r="AJ91" i="1"/>
  <c r="AJ124" i="1"/>
  <c r="AJ152" i="1"/>
  <c r="AJ185" i="1"/>
  <c r="AJ460" i="1"/>
  <c r="AJ393" i="1"/>
  <c r="AJ241" i="1"/>
  <c r="AJ56" i="1"/>
  <c r="AJ211" i="1"/>
  <c r="AJ344" i="1"/>
  <c r="AH16" i="1"/>
  <c r="AK204" i="1" l="1"/>
  <c r="AK132" i="1"/>
  <c r="AK198" i="1"/>
  <c r="AK63" i="1"/>
  <c r="AK439" i="1"/>
  <c r="AK479" i="1"/>
  <c r="AK28" i="1"/>
  <c r="AK262" i="1"/>
  <c r="AK487" i="1"/>
  <c r="AK226" i="1"/>
  <c r="AK128" i="1"/>
  <c r="AK319" i="1"/>
  <c r="AK465" i="1"/>
  <c r="AK39" i="1"/>
  <c r="AK29" i="1"/>
  <c r="AK320" i="1"/>
  <c r="AK425" i="1"/>
  <c r="AK321" i="1"/>
  <c r="AK189" i="1"/>
  <c r="AK355" i="1"/>
  <c r="AK151" i="1"/>
  <c r="AK376" i="1"/>
  <c r="AK129" i="1"/>
  <c r="AK141" i="1"/>
  <c r="AK53" i="1"/>
  <c r="AK289" i="1"/>
  <c r="AK308" i="1"/>
  <c r="AK441" i="1"/>
  <c r="AK478" i="1"/>
  <c r="AK161" i="1"/>
  <c r="AK170" i="1"/>
  <c r="AK220" i="1"/>
  <c r="AK410" i="1"/>
  <c r="AK432" i="1"/>
  <c r="AK42" i="1"/>
  <c r="AK276" i="1"/>
  <c r="AK203" i="1"/>
  <c r="AK194" i="1"/>
  <c r="AK293" i="1"/>
  <c r="AK429" i="1"/>
  <c r="AK331" i="1"/>
  <c r="AK309" i="1"/>
  <c r="AK230" i="1"/>
  <c r="AK116" i="1"/>
  <c r="AK498" i="1"/>
  <c r="AK261" i="1"/>
  <c r="AK179" i="1"/>
  <c r="AK438" i="1"/>
  <c r="AK397" i="1"/>
  <c r="AK106" i="1"/>
  <c r="AK304" i="1"/>
  <c r="AK285" i="1"/>
  <c r="AK205" i="1"/>
  <c r="AK305" i="1"/>
  <c r="AK145" i="1"/>
  <c r="AK162" i="1"/>
  <c r="AK146" i="1"/>
  <c r="AK159" i="1"/>
  <c r="AK382" i="1"/>
  <c r="AK311" i="1"/>
  <c r="AK79" i="1"/>
  <c r="AK369" i="1"/>
  <c r="AK267" i="1"/>
  <c r="AK195" i="1"/>
  <c r="AK383" i="1"/>
  <c r="AK193" i="1"/>
  <c r="AK412" i="1"/>
  <c r="AK312" i="1"/>
  <c r="AK206" i="1"/>
  <c r="AK250" i="1"/>
  <c r="AK306" i="1"/>
  <c r="AK489" i="1"/>
  <c r="AK505" i="1"/>
  <c r="AK435" i="1"/>
  <c r="AK394" i="1"/>
  <c r="AK165" i="1"/>
  <c r="AK127" i="1"/>
  <c r="AK375" i="1"/>
  <c r="AK462" i="1"/>
  <c r="AK436" i="1"/>
  <c r="AK463" i="1"/>
  <c r="AK139" i="1"/>
  <c r="AK93" i="1"/>
  <c r="AK166" i="1"/>
  <c r="AK155" i="1"/>
  <c r="AK72" i="1"/>
  <c r="AK148" i="1"/>
  <c r="AK358" i="1"/>
  <c r="AK136" i="1"/>
  <c r="AK84" i="1"/>
  <c r="AK111" i="1"/>
  <c r="AK94" i="1"/>
  <c r="AK231" i="1"/>
  <c r="AK58" i="1"/>
  <c r="AK143" i="1"/>
  <c r="AK96" i="1"/>
  <c r="AK115" i="1"/>
  <c r="AK484" i="1"/>
  <c r="AK31" i="1"/>
  <c r="AK196" i="1"/>
  <c r="AK223" i="1"/>
  <c r="AK456" i="1"/>
  <c r="AK398" i="1"/>
  <c r="AK158" i="1"/>
  <c r="AK460" i="1"/>
  <c r="AK447" i="1"/>
  <c r="AK99" i="1"/>
  <c r="AK64" i="1"/>
  <c r="AK417" i="1"/>
  <c r="AK374" i="1"/>
  <c r="AK336" i="1"/>
  <c r="AK480" i="1"/>
  <c r="AK287" i="1"/>
  <c r="AK407" i="1"/>
  <c r="AK20" i="1"/>
  <c r="AK379" i="1"/>
  <c r="AK69" i="1"/>
  <c r="AK232" i="1"/>
  <c r="AK496" i="1"/>
  <c r="AK513" i="1"/>
  <c r="AK475" i="1"/>
  <c r="AK515" i="1"/>
  <c r="AK470" i="1"/>
  <c r="AK457" i="1"/>
  <c r="AK236" i="1"/>
  <c r="AK437" i="1"/>
  <c r="AK140" i="1"/>
  <c r="AK434" i="1"/>
  <c r="AK40" i="1"/>
  <c r="AK87" i="1"/>
  <c r="AK112" i="1"/>
  <c r="AK395" i="1"/>
  <c r="AK228" i="1"/>
  <c r="AK213" i="1"/>
  <c r="AK509" i="1"/>
  <c r="AK98" i="1"/>
  <c r="AK409" i="1"/>
  <c r="AK30" i="1"/>
  <c r="AK332" i="1"/>
  <c r="AK134" i="1"/>
  <c r="AK147" i="1"/>
  <c r="AK25" i="1"/>
  <c r="AK385" i="1"/>
  <c r="AK373" i="1"/>
  <c r="AK44" i="1"/>
  <c r="AK66" i="1"/>
  <c r="AK270" i="1"/>
  <c r="AK102" i="1"/>
  <c r="AK335" i="1"/>
  <c r="AK307" i="1"/>
  <c r="AK51" i="1"/>
  <c r="AK177" i="1"/>
  <c r="AK237" i="1"/>
  <c r="AK351" i="1"/>
  <c r="AK225" i="1"/>
  <c r="AK21" i="1"/>
  <c r="AK73" i="1"/>
  <c r="AK370" i="1"/>
  <c r="AK471" i="1"/>
  <c r="AK329" i="1"/>
  <c r="AK61" i="1"/>
  <c r="AK34" i="1"/>
  <c r="AK359" i="1"/>
  <c r="AK454" i="1"/>
  <c r="AK516" i="1"/>
  <c r="AK77" i="1"/>
  <c r="AK488" i="1"/>
  <c r="AK124" i="1"/>
  <c r="AK246" i="1"/>
  <c r="AK38" i="1"/>
  <c r="AK164" i="1"/>
  <c r="AK440" i="1"/>
  <c r="AK273" i="1"/>
  <c r="AK74" i="1"/>
  <c r="AK22" i="1"/>
  <c r="AK110" i="1"/>
  <c r="AK427" i="1"/>
  <c r="AK357" i="1"/>
  <c r="AK493" i="1"/>
  <c r="AK507" i="1"/>
  <c r="AK364" i="1"/>
  <c r="AK323" i="1"/>
  <c r="AK424" i="1"/>
  <c r="AK481" i="1"/>
  <c r="AK392" i="1"/>
  <c r="AK264" i="1"/>
  <c r="AK130" i="1"/>
  <c r="AK113" i="1"/>
  <c r="AK283" i="1"/>
  <c r="AK446" i="1"/>
  <c r="AK431" i="1"/>
  <c r="AK167" i="1"/>
  <c r="AK391" i="1"/>
  <c r="AK248" i="1"/>
  <c r="AK274" i="1"/>
  <c r="AK377" i="1"/>
  <c r="AK76" i="1"/>
  <c r="AK428" i="1"/>
  <c r="AK278" i="1"/>
  <c r="AK324" i="1"/>
  <c r="AK325" i="1"/>
  <c r="AK326" i="1"/>
  <c r="AK378" i="1"/>
  <c r="AK380" i="1"/>
  <c r="AK266" i="1"/>
  <c r="AK295" i="1"/>
  <c r="AK103" i="1"/>
  <c r="AK322" i="1"/>
  <c r="AK393" i="1"/>
  <c r="AK368" i="1"/>
  <c r="AK485" i="1"/>
  <c r="AK163" i="1"/>
  <c r="AK334" i="1"/>
  <c r="AK502" i="1"/>
  <c r="AK388" i="1"/>
  <c r="AK315" i="1"/>
  <c r="AK415" i="1"/>
  <c r="AK218" i="1"/>
  <c r="AK234" i="1"/>
  <c r="AK316" i="1"/>
  <c r="AK119" i="1"/>
  <c r="AK430" i="1"/>
  <c r="AK208" i="1"/>
  <c r="AK317" i="1"/>
  <c r="AK455" i="1"/>
  <c r="AK260" i="1"/>
  <c r="AK271" i="1"/>
  <c r="AK286" i="1"/>
  <c r="AK52" i="1"/>
  <c r="AK253" i="1"/>
  <c r="AK121" i="1"/>
  <c r="AK345" i="1"/>
  <c r="AK209" i="1"/>
  <c r="AK235" i="1"/>
  <c r="AK303" i="1"/>
  <c r="AK426" i="1"/>
  <c r="AK353" i="1"/>
  <c r="AK243" i="1"/>
  <c r="AK354" i="1"/>
  <c r="AK277" i="1"/>
  <c r="AK107" i="1"/>
  <c r="AK108" i="1"/>
  <c r="AK464" i="1"/>
  <c r="AK318" i="1"/>
  <c r="AK85" i="1"/>
  <c r="AK506" i="1"/>
  <c r="AK215" i="1"/>
  <c r="AK403" i="1"/>
  <c r="AK284" i="1"/>
  <c r="AK288" i="1"/>
  <c r="AK188" i="1"/>
  <c r="AK109" i="1"/>
  <c r="AK337" i="1"/>
  <c r="AK404" i="1"/>
  <c r="AK396" i="1"/>
  <c r="AK405" i="1"/>
  <c r="AK199" i="1"/>
  <c r="AK249" i="1"/>
  <c r="AK142" i="1"/>
  <c r="AK298" i="1"/>
  <c r="AK372" i="1"/>
  <c r="AK222" i="1"/>
  <c r="AK352" i="1"/>
  <c r="AK401" i="1"/>
  <c r="AK178" i="1"/>
  <c r="AK49" i="1"/>
  <c r="AK408" i="1"/>
  <c r="AK169" i="1"/>
  <c r="AK152" i="1"/>
  <c r="AK349" i="1"/>
  <c r="AK294" i="1"/>
  <c r="AK423" i="1"/>
  <c r="AK27" i="1"/>
  <c r="AK327" i="1"/>
  <c r="AK279" i="1"/>
  <c r="AK328" i="1"/>
  <c r="AK160" i="1"/>
  <c r="AK216" i="1"/>
  <c r="AK43" i="1"/>
  <c r="AK135" i="1"/>
  <c r="AK448" i="1"/>
  <c r="AK501" i="1"/>
  <c r="AK449" i="1"/>
  <c r="AK70" i="1"/>
  <c r="AK80" i="1"/>
  <c r="AK244" i="1"/>
  <c r="AK173" i="1"/>
  <c r="AK503" i="1"/>
  <c r="AK333" i="1"/>
  <c r="AK32" i="1"/>
  <c r="AK118" i="1"/>
  <c r="AK433" i="1"/>
  <c r="AK512" i="1"/>
  <c r="AK497" i="1"/>
  <c r="AK413" i="1"/>
  <c r="AK101" i="1"/>
  <c r="AK297" i="1"/>
  <c r="AK347" i="1"/>
  <c r="AK82" i="1"/>
  <c r="AK71" i="1"/>
  <c r="AK389" i="1"/>
  <c r="AK26" i="1"/>
  <c r="AK486" i="1"/>
  <c r="AK400" i="1"/>
  <c r="AK45" i="1"/>
  <c r="AK453" i="1"/>
  <c r="AK150" i="1"/>
  <c r="AK133" i="1"/>
  <c r="AK272" i="1"/>
  <c r="AK181" i="1"/>
  <c r="AK344" i="1"/>
  <c r="AK348" i="1"/>
  <c r="AK120" i="1"/>
  <c r="AK138" i="1"/>
  <c r="AK363" i="1"/>
  <c r="AK362" i="1"/>
  <c r="AK86" i="1"/>
  <c r="AK458" i="1"/>
  <c r="AK88" i="1"/>
  <c r="AK187" i="1"/>
  <c r="AK517" i="1"/>
  <c r="AK302" i="1"/>
  <c r="AK210" i="1"/>
  <c r="AK221" i="1"/>
  <c r="AK310" i="1"/>
  <c r="AK62" i="1"/>
  <c r="AK104" i="1"/>
  <c r="AK476" i="1"/>
  <c r="AK105" i="1"/>
  <c r="AK75" i="1"/>
  <c r="AK280" i="1"/>
  <c r="AK227" i="1"/>
  <c r="AK495" i="1"/>
  <c r="AK356" i="1"/>
  <c r="AK499" i="1"/>
  <c r="AK263" i="1"/>
  <c r="AK419" i="1"/>
  <c r="AK442" i="1"/>
  <c r="AK281" i="1"/>
  <c r="AK406" i="1"/>
  <c r="AK122" i="1"/>
  <c r="AK290" i="1"/>
  <c r="AK466" i="1"/>
  <c r="AK443" i="1"/>
  <c r="AK157" i="1"/>
  <c r="AK168" i="1"/>
  <c r="AK190" i="1"/>
  <c r="AK291" i="1"/>
  <c r="AK23" i="1"/>
  <c r="AK200" i="1"/>
  <c r="AK467" i="1"/>
  <c r="AK89" i="1"/>
  <c r="AK508" i="1"/>
  <c r="AK56" i="1"/>
  <c r="AK444" i="1"/>
  <c r="AK282" i="1"/>
  <c r="AK445" i="1"/>
  <c r="AK24" i="1"/>
  <c r="AK229" i="1"/>
  <c r="AK191" i="1"/>
  <c r="AK482" i="1"/>
  <c r="AK367" i="1"/>
  <c r="AK483" i="1"/>
  <c r="AK192" i="1"/>
  <c r="AK201" i="1"/>
  <c r="AK494" i="1"/>
  <c r="AK41" i="1"/>
  <c r="AK500" i="1"/>
  <c r="AK292" i="1"/>
  <c r="AK245" i="1"/>
  <c r="AK144" i="1"/>
  <c r="AK256" i="1"/>
  <c r="AK510" i="1"/>
  <c r="AK219" i="1"/>
  <c r="AK202" i="1"/>
  <c r="AK33" i="1"/>
  <c r="AK265" i="1"/>
  <c r="AK95" i="1"/>
  <c r="AK78" i="1"/>
  <c r="AK472" i="1"/>
  <c r="AK330" i="1"/>
  <c r="AK131" i="1"/>
  <c r="AK511" i="1"/>
  <c r="AK68" i="1"/>
  <c r="AK114" i="1"/>
  <c r="AK60" i="1"/>
  <c r="AK381" i="1"/>
  <c r="AK207" i="1"/>
  <c r="AK313" i="1"/>
  <c r="AK171" i="1"/>
  <c r="AK254" i="1"/>
  <c r="AK172" i="1"/>
  <c r="AK35" i="1"/>
  <c r="AK384" i="1"/>
  <c r="AK350" i="1"/>
  <c r="AK117" i="1"/>
  <c r="AK473" i="1"/>
  <c r="AK450" i="1"/>
  <c r="AK371" i="1"/>
  <c r="AK233" i="1"/>
  <c r="AK474" i="1"/>
  <c r="AK81" i="1"/>
  <c r="AK252" i="1"/>
  <c r="AK386" i="1"/>
  <c r="AK469" i="1"/>
  <c r="AK37" i="1"/>
  <c r="AK47" i="1"/>
  <c r="AK48" i="1"/>
  <c r="AK50" i="1"/>
  <c r="AK224" i="1"/>
  <c r="AK67" i="1"/>
  <c r="AK477" i="1"/>
  <c r="AK402" i="1"/>
  <c r="AK182" i="1"/>
  <c r="AK211" i="1"/>
  <c r="AK257" i="1"/>
  <c r="AK314" i="1"/>
  <c r="AK268" i="1"/>
  <c r="AK468" i="1"/>
  <c r="AK387" i="1"/>
  <c r="AK399" i="1"/>
  <c r="AK296" i="1"/>
  <c r="AK247" i="1"/>
  <c r="AK360" i="1"/>
  <c r="AK100" i="1"/>
  <c r="AK361" i="1"/>
  <c r="AK346" i="1"/>
  <c r="AK451" i="1"/>
  <c r="AK137" i="1"/>
  <c r="AK174" i="1"/>
  <c r="AK217" i="1"/>
  <c r="AK414" i="1"/>
  <c r="AK258" i="1"/>
  <c r="AK269" i="1"/>
  <c r="AK65" i="1"/>
  <c r="AK416" i="1"/>
  <c r="AK259" i="1"/>
  <c r="AK514" i="1"/>
  <c r="AK156" i="1"/>
  <c r="AK452" i="1"/>
  <c r="AK504" i="1"/>
  <c r="AK390" i="1"/>
  <c r="AK255" i="1"/>
  <c r="AK149" i="1"/>
  <c r="AK36" i="1"/>
  <c r="AK175" i="1"/>
  <c r="AK97" i="1"/>
  <c r="AK83" i="1"/>
  <c r="AK197" i="1"/>
  <c r="AK176" i="1"/>
  <c r="AK46" i="1"/>
  <c r="AK214" i="1"/>
  <c r="AK59" i="1"/>
  <c r="AK418" i="1"/>
  <c r="AK180" i="1"/>
  <c r="AK251" i="1"/>
  <c r="AK241" i="1"/>
  <c r="AK240" i="1"/>
  <c r="AK55" i="1"/>
  <c r="AK18" i="1"/>
  <c r="AK300" i="1"/>
  <c r="AK492" i="1"/>
  <c r="AK242" i="1"/>
  <c r="AK54" i="1"/>
  <c r="AK340" i="1"/>
  <c r="AK461" i="1"/>
  <c r="AK301" i="1"/>
  <c r="AK299" i="1"/>
  <c r="AK339" i="1"/>
  <c r="AK422" i="1"/>
  <c r="AK126" i="1"/>
  <c r="AK153" i="1"/>
  <c r="AK154" i="1"/>
  <c r="AK186" i="1"/>
  <c r="AK125" i="1"/>
  <c r="AK420" i="1"/>
  <c r="AK365" i="1"/>
  <c r="AK338" i="1"/>
  <c r="AK421" i="1"/>
  <c r="AK341" i="1"/>
  <c r="AK19" i="1"/>
  <c r="AK343" i="1"/>
  <c r="AK184" i="1"/>
  <c r="AK123" i="1"/>
  <c r="AK92" i="1"/>
  <c r="AK239" i="1"/>
  <c r="AK490" i="1"/>
  <c r="AK57" i="1"/>
  <c r="AK183" i="1"/>
  <c r="AK491" i="1"/>
  <c r="AK342" i="1"/>
  <c r="AK212" i="1"/>
  <c r="AK238" i="1"/>
  <c r="AK459" i="1"/>
  <c r="AK90" i="1"/>
  <c r="AK275" i="1"/>
  <c r="AK366" i="1"/>
  <c r="AK91" i="1"/>
  <c r="AK185" i="1"/>
  <c r="AK41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<sst xmlns="http://schemas.openxmlformats.org/spreadsheetml/2006/main" count="4130" uniqueCount="1151">
  <si>
    <t>loan_id</t>
  </si>
  <si>
    <t>customer_id</t>
  </si>
  <si>
    <t>origination_date</t>
  </si>
  <si>
    <t>product</t>
  </si>
  <si>
    <t>channel</t>
  </si>
  <si>
    <t>region</t>
  </si>
  <si>
    <t>employment_type</t>
  </si>
  <si>
    <t>term_months</t>
  </si>
  <si>
    <t>loan_amount</t>
  </si>
  <si>
    <t>interest_rate_pct</t>
  </si>
  <si>
    <t>emi</t>
  </si>
  <si>
    <t>annual_income</t>
  </si>
  <si>
    <t>credit_score</t>
  </si>
  <si>
    <t>risk_band</t>
  </si>
  <si>
    <t>dti_ratio</t>
  </si>
  <si>
    <t>ltv_ratio</t>
  </si>
  <si>
    <t>collateral_value</t>
  </si>
  <si>
    <t>months_on_book</t>
  </si>
  <si>
    <t>paid_amount_to_date</t>
  </si>
  <si>
    <t>current_balance</t>
  </si>
  <si>
    <t>dpd</t>
  </si>
  <si>
    <t>prepayment_flag</t>
  </si>
  <si>
    <t>default_flag</t>
  </si>
  <si>
    <t>loan_status</t>
  </si>
  <si>
    <t>L20438281</t>
  </si>
  <si>
    <t>L52813443</t>
  </si>
  <si>
    <t>L44199230</t>
  </si>
  <si>
    <t>L55451394</t>
  </si>
  <si>
    <t>L69836577</t>
  </si>
  <si>
    <t>L35245775</t>
  </si>
  <si>
    <t>L94313183</t>
  </si>
  <si>
    <t>L78849897</t>
  </si>
  <si>
    <t>L81611197</t>
  </si>
  <si>
    <t>L63724249</t>
  </si>
  <si>
    <t>L18475961</t>
  </si>
  <si>
    <t>L20620531</t>
  </si>
  <si>
    <t>L25685067</t>
  </si>
  <si>
    <t>L38112997</t>
  </si>
  <si>
    <t>L89766632</t>
  </si>
  <si>
    <t>L43048809</t>
  </si>
  <si>
    <t>L48329387</t>
  </si>
  <si>
    <t>L50541359</t>
  </si>
  <si>
    <t>L79178274</t>
  </si>
  <si>
    <t>L35136775</t>
  </si>
  <si>
    <t>L36087023</t>
  </si>
  <si>
    <t>L47131441</t>
  </si>
  <si>
    <t>L54163629</t>
  </si>
  <si>
    <t>L77374721</t>
  </si>
  <si>
    <t>L70283259</t>
  </si>
  <si>
    <t>L96960872</t>
  </si>
  <si>
    <t>L68673792</t>
  </si>
  <si>
    <t>L76322763</t>
  </si>
  <si>
    <t>L81715832</t>
  </si>
  <si>
    <t>L38542500</t>
  </si>
  <si>
    <t>L19822959</t>
  </si>
  <si>
    <t>L95760945</t>
  </si>
  <si>
    <t>L55753532</t>
  </si>
  <si>
    <t>L74535266</t>
  </si>
  <si>
    <t>L68911436</t>
  </si>
  <si>
    <t>L96689068</t>
  </si>
  <si>
    <t>L21863999</t>
  </si>
  <si>
    <t>L51664651</t>
  </si>
  <si>
    <t>L81010590</t>
  </si>
  <si>
    <t>L46976531</t>
  </si>
  <si>
    <t>L90272030</t>
  </si>
  <si>
    <t>L31560200</t>
  </si>
  <si>
    <t>L64541423</t>
  </si>
  <si>
    <t>L31488963</t>
  </si>
  <si>
    <t>L59912630</t>
  </si>
  <si>
    <t>L94627548</t>
  </si>
  <si>
    <t>L18032585</t>
  </si>
  <si>
    <t>L97806011</t>
  </si>
  <si>
    <t>L55569693</t>
  </si>
  <si>
    <t>L26429467</t>
  </si>
  <si>
    <t>L71783038</t>
  </si>
  <si>
    <t>L50154064</t>
  </si>
  <si>
    <t>L81542135</t>
  </si>
  <si>
    <t>L11616527</t>
  </si>
  <si>
    <t>L40833169</t>
  </si>
  <si>
    <t>L13942338</t>
  </si>
  <si>
    <t>L35324550</t>
  </si>
  <si>
    <t>L85577340</t>
  </si>
  <si>
    <t>L97225873</t>
  </si>
  <si>
    <t>L49343672</t>
  </si>
  <si>
    <t>L93382501</t>
  </si>
  <si>
    <t>L62295502</t>
  </si>
  <si>
    <t>L31280989</t>
  </si>
  <si>
    <t>L57769263</t>
  </si>
  <si>
    <t>L24461934</t>
  </si>
  <si>
    <t>L66849795</t>
  </si>
  <si>
    <t>L59967823</t>
  </si>
  <si>
    <t>L50111873</t>
  </si>
  <si>
    <t>L62568817</t>
  </si>
  <si>
    <t>L88710583</t>
  </si>
  <si>
    <t>L99313800</t>
  </si>
  <si>
    <t>L91497897</t>
  </si>
  <si>
    <t>L34826252</t>
  </si>
  <si>
    <t>L39841209</t>
  </si>
  <si>
    <t>L38861149</t>
  </si>
  <si>
    <t>L59863252</t>
  </si>
  <si>
    <t>L12052348</t>
  </si>
  <si>
    <t>L27052422</t>
  </si>
  <si>
    <t>L19530766</t>
  </si>
  <si>
    <t>L93972089</t>
  </si>
  <si>
    <t>L60132893</t>
  </si>
  <si>
    <t>L73023859</t>
  </si>
  <si>
    <t>L84648575</t>
  </si>
  <si>
    <t>L51568950</t>
  </si>
  <si>
    <t>L97763978</t>
  </si>
  <si>
    <t>L44873054</t>
  </si>
  <si>
    <t>L72668833</t>
  </si>
  <si>
    <t>L36688168</t>
  </si>
  <si>
    <t>L69348037</t>
  </si>
  <si>
    <t>L53799249</t>
  </si>
  <si>
    <t>L21048213</t>
  </si>
  <si>
    <t>L86228159</t>
  </si>
  <si>
    <t>L56697252</t>
  </si>
  <si>
    <t>L13367130</t>
  </si>
  <si>
    <t>L21137842</t>
  </si>
  <si>
    <t>L57984114</t>
  </si>
  <si>
    <t>L84903382</t>
  </si>
  <si>
    <t>L60804990</t>
  </si>
  <si>
    <t>L21899503</t>
  </si>
  <si>
    <t>L80745787</t>
  </si>
  <si>
    <t>L26940265</t>
  </si>
  <si>
    <t>L93480629</t>
  </si>
  <si>
    <t>L50534734</t>
  </si>
  <si>
    <t>L30719259</t>
  </si>
  <si>
    <t>L82742632</t>
  </si>
  <si>
    <t>L59191255</t>
  </si>
  <si>
    <t>L58854438</t>
  </si>
  <si>
    <t>L11757159</t>
  </si>
  <si>
    <t>L51403053</t>
  </si>
  <si>
    <t>L37355508</t>
  </si>
  <si>
    <t>L98446455</t>
  </si>
  <si>
    <t>L82371207</t>
  </si>
  <si>
    <t>L28246448</t>
  </si>
  <si>
    <t>L67947860</t>
  </si>
  <si>
    <t>L26332140</t>
  </si>
  <si>
    <t>L49705126</t>
  </si>
  <si>
    <t>L26151084</t>
  </si>
  <si>
    <t>L22620184</t>
  </si>
  <si>
    <t>L49565221</t>
  </si>
  <si>
    <t>L73047066</t>
  </si>
  <si>
    <t>L28212702</t>
  </si>
  <si>
    <t>L55094029</t>
  </si>
  <si>
    <t>L92441066</t>
  </si>
  <si>
    <t>L21365266</t>
  </si>
  <si>
    <t>L54348615</t>
  </si>
  <si>
    <t>L51688531</t>
  </si>
  <si>
    <t>L72483619</t>
  </si>
  <si>
    <t>L78780650</t>
  </si>
  <si>
    <t>L67124648</t>
  </si>
  <si>
    <t>L37895989</t>
  </si>
  <si>
    <t>L30451484</t>
  </si>
  <si>
    <t>L13353608</t>
  </si>
  <si>
    <t>L67087105</t>
  </si>
  <si>
    <t>L47633942</t>
  </si>
  <si>
    <t>L46767577</t>
  </si>
  <si>
    <t>L23886054</t>
  </si>
  <si>
    <t>L17888492</t>
  </si>
  <si>
    <t>L80341071</t>
  </si>
  <si>
    <t>L21530226</t>
  </si>
  <si>
    <t>L65120672</t>
  </si>
  <si>
    <t>L43341373</t>
  </si>
  <si>
    <t>L74520117</t>
  </si>
  <si>
    <t>L81713537</t>
  </si>
  <si>
    <t>L71424595</t>
  </si>
  <si>
    <t>L70993264</t>
  </si>
  <si>
    <t>L63182394</t>
  </si>
  <si>
    <t>L93408848</t>
  </si>
  <si>
    <t>L37536096</t>
  </si>
  <si>
    <t>L99071532</t>
  </si>
  <si>
    <t>L17594929</t>
  </si>
  <si>
    <t>L87273812</t>
  </si>
  <si>
    <t>L20307706</t>
  </si>
  <si>
    <t>L97362822</t>
  </si>
  <si>
    <t>L56190391</t>
  </si>
  <si>
    <t>L24937334</t>
  </si>
  <si>
    <t>L86107843</t>
  </si>
  <si>
    <t>L49499059</t>
  </si>
  <si>
    <t>L51019866</t>
  </si>
  <si>
    <t>L11254265</t>
  </si>
  <si>
    <t>L93027505</t>
  </si>
  <si>
    <t>L51302419</t>
  </si>
  <si>
    <t>L19696685</t>
  </si>
  <si>
    <t>L84335846</t>
  </si>
  <si>
    <t>L49907277</t>
  </si>
  <si>
    <t>L37085382</t>
  </si>
  <si>
    <t>L80628710</t>
  </si>
  <si>
    <t>L46217292</t>
  </si>
  <si>
    <t>L72763122</t>
  </si>
  <si>
    <t>L67057760</t>
  </si>
  <si>
    <t>L80265612</t>
  </si>
  <si>
    <t>L84486805</t>
  </si>
  <si>
    <t>L99649621</t>
  </si>
  <si>
    <t>L64279644</t>
  </si>
  <si>
    <t>L70156266</t>
  </si>
  <si>
    <t>L22581729</t>
  </si>
  <si>
    <t>L91055951</t>
  </si>
  <si>
    <t>L76295562</t>
  </si>
  <si>
    <t>L54606328</t>
  </si>
  <si>
    <t>L31054553</t>
  </si>
  <si>
    <t>L46919793</t>
  </si>
  <si>
    <t>L74793411</t>
  </si>
  <si>
    <t>L40504942</t>
  </si>
  <si>
    <t>L94093523</t>
  </si>
  <si>
    <t>L15846090</t>
  </si>
  <si>
    <t>L85671421</t>
  </si>
  <si>
    <t>L99339905</t>
  </si>
  <si>
    <t>L11990275</t>
  </si>
  <si>
    <t>L16870886</t>
  </si>
  <si>
    <t>L50442535</t>
  </si>
  <si>
    <t>L18104307</t>
  </si>
  <si>
    <t>L43676563</t>
  </si>
  <si>
    <t>L33621446</t>
  </si>
  <si>
    <t>L54937628</t>
  </si>
  <si>
    <t>L53407309</t>
  </si>
  <si>
    <t>L60008226</t>
  </si>
  <si>
    <t>L54459173</t>
  </si>
  <si>
    <t>L83950700</t>
  </si>
  <si>
    <t>L35949529</t>
  </si>
  <si>
    <t>L69572486</t>
  </si>
  <si>
    <t>L40202528</t>
  </si>
  <si>
    <t>L82392482</t>
  </si>
  <si>
    <t>L18750397</t>
  </si>
  <si>
    <t>L80819781</t>
  </si>
  <si>
    <t>L40086229</t>
  </si>
  <si>
    <t>L38909415</t>
  </si>
  <si>
    <t>L54555909</t>
  </si>
  <si>
    <t>L87095285</t>
  </si>
  <si>
    <t>L30421841</t>
  </si>
  <si>
    <t>L32546185</t>
  </si>
  <si>
    <t>L90171324</t>
  </si>
  <si>
    <t>L39687509</t>
  </si>
  <si>
    <t>L68898597</t>
  </si>
  <si>
    <t>L35311040</t>
  </si>
  <si>
    <t>L10892457</t>
  </si>
  <si>
    <t>L25766666</t>
  </si>
  <si>
    <t>L90250953</t>
  </si>
  <si>
    <t>L97464378</t>
  </si>
  <si>
    <t>L59221654</t>
  </si>
  <si>
    <t>L23638594</t>
  </si>
  <si>
    <t>L48888373</t>
  </si>
  <si>
    <t>L16087857</t>
  </si>
  <si>
    <t>L80446170</t>
  </si>
  <si>
    <t>L87246216</t>
  </si>
  <si>
    <t>L96570789</t>
  </si>
  <si>
    <t>L34889349</t>
  </si>
  <si>
    <t>L38433614</t>
  </si>
  <si>
    <t>L47422666</t>
  </si>
  <si>
    <t>L53972564</t>
  </si>
  <si>
    <t>L52614046</t>
  </si>
  <si>
    <t>L71474405</t>
  </si>
  <si>
    <t>L55504562</t>
  </si>
  <si>
    <t>L85752268</t>
  </si>
  <si>
    <t>L97580846</t>
  </si>
  <si>
    <t>L17735107</t>
  </si>
  <si>
    <t>L90410197</t>
  </si>
  <si>
    <t>L24814703</t>
  </si>
  <si>
    <t>L36182605</t>
  </si>
  <si>
    <t>L69788218</t>
  </si>
  <si>
    <t>L36423438</t>
  </si>
  <si>
    <t>L94424625</t>
  </si>
  <si>
    <t>L27679119</t>
  </si>
  <si>
    <t>L44291910</t>
  </si>
  <si>
    <t>L12237354</t>
  </si>
  <si>
    <t>L57383108</t>
  </si>
  <si>
    <t>L12871994</t>
  </si>
  <si>
    <t>L80232788</t>
  </si>
  <si>
    <t>L66678787</t>
  </si>
  <si>
    <t>L34908372</t>
  </si>
  <si>
    <t>L75429515</t>
  </si>
  <si>
    <t>L19552832</t>
  </si>
  <si>
    <t>L52064344</t>
  </si>
  <si>
    <t>L11945087</t>
  </si>
  <si>
    <t>L69720523</t>
  </si>
  <si>
    <t>L91772262</t>
  </si>
  <si>
    <t>L42731042</t>
  </si>
  <si>
    <t>L93475212</t>
  </si>
  <si>
    <t>L15247246</t>
  </si>
  <si>
    <t>L14030635</t>
  </si>
  <si>
    <t>L87010376</t>
  </si>
  <si>
    <t>L93232758</t>
  </si>
  <si>
    <t>L82683769</t>
  </si>
  <si>
    <t>L17127766</t>
  </si>
  <si>
    <t>L69549513</t>
  </si>
  <si>
    <t>L22577723</t>
  </si>
  <si>
    <t>L13122366</t>
  </si>
  <si>
    <t>L18522522</t>
  </si>
  <si>
    <t>L38236380</t>
  </si>
  <si>
    <t>L84946307</t>
  </si>
  <si>
    <t>L30669042</t>
  </si>
  <si>
    <t>L60871249</t>
  </si>
  <si>
    <t>L24959268</t>
  </si>
  <si>
    <t>L33928296</t>
  </si>
  <si>
    <t>L13745275</t>
  </si>
  <si>
    <t>L38412295</t>
  </si>
  <si>
    <t>L84366273</t>
  </si>
  <si>
    <t>L97243597</t>
  </si>
  <si>
    <t>L77206551</t>
  </si>
  <si>
    <t>L37929130</t>
  </si>
  <si>
    <t>L61455524</t>
  </si>
  <si>
    <t>L61714056</t>
  </si>
  <si>
    <t>L22622417</t>
  </si>
  <si>
    <t>L82779467</t>
  </si>
  <si>
    <t>L78956931</t>
  </si>
  <si>
    <t>L73362885</t>
  </si>
  <si>
    <t>L18150978</t>
  </si>
  <si>
    <t>L47533220</t>
  </si>
  <si>
    <t>L95839557</t>
  </si>
  <si>
    <t>L56892046</t>
  </si>
  <si>
    <t>L10477636</t>
  </si>
  <si>
    <t>L59050403</t>
  </si>
  <si>
    <t>L18183594</t>
  </si>
  <si>
    <t>L49502031</t>
  </si>
  <si>
    <t>L99822507</t>
  </si>
  <si>
    <t>L56355141</t>
  </si>
  <si>
    <t>L61186707</t>
  </si>
  <si>
    <t>L54759706</t>
  </si>
  <si>
    <t>L69938999</t>
  </si>
  <si>
    <t>L61055399</t>
  </si>
  <si>
    <t>L88096505</t>
  </si>
  <si>
    <t>L30937666</t>
  </si>
  <si>
    <t>L87788294</t>
  </si>
  <si>
    <t>L69696821</t>
  </si>
  <si>
    <t>L31948592</t>
  </si>
  <si>
    <t>L25027562</t>
  </si>
  <si>
    <t>L49304565</t>
  </si>
  <si>
    <t>L42963718</t>
  </si>
  <si>
    <t>L25353367</t>
  </si>
  <si>
    <t>L74751666</t>
  </si>
  <si>
    <t>L32093304</t>
  </si>
  <si>
    <t>L52398658</t>
  </si>
  <si>
    <t>L36891816</t>
  </si>
  <si>
    <t>L62129761</t>
  </si>
  <si>
    <t>L49032896</t>
  </si>
  <si>
    <t>L79966435</t>
  </si>
  <si>
    <t>L60883599</t>
  </si>
  <si>
    <t>L58802020</t>
  </si>
  <si>
    <t>L70989280</t>
  </si>
  <si>
    <t>L34940946</t>
  </si>
  <si>
    <t>L43629195</t>
  </si>
  <si>
    <t>L22713593</t>
  </si>
  <si>
    <t>L64255441</t>
  </si>
  <si>
    <t>L23338758</t>
  </si>
  <si>
    <t>L16112800</t>
  </si>
  <si>
    <t>L10585992</t>
  </si>
  <si>
    <t>L91498218</t>
  </si>
  <si>
    <t>L24491704</t>
  </si>
  <si>
    <t>L79105952</t>
  </si>
  <si>
    <t>L17599988</t>
  </si>
  <si>
    <t>L37136088</t>
  </si>
  <si>
    <t>L84800140</t>
  </si>
  <si>
    <t>L46826779</t>
  </si>
  <si>
    <t>L76217713</t>
  </si>
  <si>
    <t>L15743553</t>
  </si>
  <si>
    <t>L59088620</t>
  </si>
  <si>
    <t>L75012341</t>
  </si>
  <si>
    <t>L86806276</t>
  </si>
  <si>
    <t>L38837550</t>
  </si>
  <si>
    <t>L33036858</t>
  </si>
  <si>
    <t>L74945475</t>
  </si>
  <si>
    <t>L67308564</t>
  </si>
  <si>
    <t>L27517483</t>
  </si>
  <si>
    <t>L68486194</t>
  </si>
  <si>
    <t>L78863245</t>
  </si>
  <si>
    <t>L95295831</t>
  </si>
  <si>
    <t>L23708089</t>
  </si>
  <si>
    <t>L78227896</t>
  </si>
  <si>
    <t>L96635338</t>
  </si>
  <si>
    <t>L27979808</t>
  </si>
  <si>
    <t>L80087581</t>
  </si>
  <si>
    <t>L94404380</t>
  </si>
  <si>
    <t>L19306267</t>
  </si>
  <si>
    <t>L97237892</t>
  </si>
  <si>
    <t>L48971371</t>
  </si>
  <si>
    <t>L62888011</t>
  </si>
  <si>
    <t>L54924829</t>
  </si>
  <si>
    <t>L10662604</t>
  </si>
  <si>
    <t>L25909550</t>
  </si>
  <si>
    <t>L21795197</t>
  </si>
  <si>
    <t>L17132816</t>
  </si>
  <si>
    <t>L72709371</t>
  </si>
  <si>
    <t>L27991738</t>
  </si>
  <si>
    <t>L56860516</t>
  </si>
  <si>
    <t>L50232134</t>
  </si>
  <si>
    <t>L42997839</t>
  </si>
  <si>
    <t>L90380900</t>
  </si>
  <si>
    <t>L18292232</t>
  </si>
  <si>
    <t>L36527773</t>
  </si>
  <si>
    <t>L59212295</t>
  </si>
  <si>
    <t>L72973642</t>
  </si>
  <si>
    <t>L96425600</t>
  </si>
  <si>
    <t>L84048545</t>
  </si>
  <si>
    <t>L12259119</t>
  </si>
  <si>
    <t>L78266757</t>
  </si>
  <si>
    <t>L93260810</t>
  </si>
  <si>
    <t>L34027809</t>
  </si>
  <si>
    <t>L83261834</t>
  </si>
  <si>
    <t>L74386641</t>
  </si>
  <si>
    <t>L29312620</t>
  </si>
  <si>
    <t>L97075875</t>
  </si>
  <si>
    <t>L41274928</t>
  </si>
  <si>
    <t>L59822146</t>
  </si>
  <si>
    <t>L35913858</t>
  </si>
  <si>
    <t>L28132258</t>
  </si>
  <si>
    <t>L59936722</t>
  </si>
  <si>
    <t>L63643829</t>
  </si>
  <si>
    <t>L39324282</t>
  </si>
  <si>
    <t>L90654469</t>
  </si>
  <si>
    <t>L74572954</t>
  </si>
  <si>
    <t>L80550838</t>
  </si>
  <si>
    <t>L24870617</t>
  </si>
  <si>
    <t>L31687351</t>
  </si>
  <si>
    <t>L48887190</t>
  </si>
  <si>
    <t>L22950775</t>
  </si>
  <si>
    <t>L91234215</t>
  </si>
  <si>
    <t>L70401163</t>
  </si>
  <si>
    <t>L17278259</t>
  </si>
  <si>
    <t>L49045227</t>
  </si>
  <si>
    <t>L67134797</t>
  </si>
  <si>
    <t>L66457795</t>
  </si>
  <si>
    <t>L33502600</t>
  </si>
  <si>
    <t>L34501740</t>
  </si>
  <si>
    <t>L35610306</t>
  </si>
  <si>
    <t>L22630563</t>
  </si>
  <si>
    <t>L69453913</t>
  </si>
  <si>
    <t>L77801817</t>
  </si>
  <si>
    <t>L93990145</t>
  </si>
  <si>
    <t>L37196139</t>
  </si>
  <si>
    <t>L49158735</t>
  </si>
  <si>
    <t>L23634847</t>
  </si>
  <si>
    <t>L51167573</t>
  </si>
  <si>
    <t>L47616287</t>
  </si>
  <si>
    <t>L41907337</t>
  </si>
  <si>
    <t>L21481916</t>
  </si>
  <si>
    <t>L55066706</t>
  </si>
  <si>
    <t>L42563134</t>
  </si>
  <si>
    <t>L20698682</t>
  </si>
  <si>
    <t>L36999351</t>
  </si>
  <si>
    <t>L52441042</t>
  </si>
  <si>
    <t>L52004890</t>
  </si>
  <si>
    <t>L63944451</t>
  </si>
  <si>
    <t>L79656044</t>
  </si>
  <si>
    <t>L69657779</t>
  </si>
  <si>
    <t>L40081977</t>
  </si>
  <si>
    <t>L80054514</t>
  </si>
  <si>
    <t>L62300494</t>
  </si>
  <si>
    <t>L84941037</t>
  </si>
  <si>
    <t>L33717237</t>
  </si>
  <si>
    <t>L89910085</t>
  </si>
  <si>
    <t>L50233433</t>
  </si>
  <si>
    <t>L76508560</t>
  </si>
  <si>
    <t>L79481118</t>
  </si>
  <si>
    <t>L90827886</t>
  </si>
  <si>
    <t>L65967399</t>
  </si>
  <si>
    <t>L11605310</t>
  </si>
  <si>
    <t>L42751542</t>
  </si>
  <si>
    <t>L26263179</t>
  </si>
  <si>
    <t>L41218282</t>
  </si>
  <si>
    <t>L66587075</t>
  </si>
  <si>
    <t>L78502573</t>
  </si>
  <si>
    <t>L94488511</t>
  </si>
  <si>
    <t>L82428792</t>
  </si>
  <si>
    <t>L26134147</t>
  </si>
  <si>
    <t>L52039679</t>
  </si>
  <si>
    <t>L12044086</t>
  </si>
  <si>
    <t>L43383005</t>
  </si>
  <si>
    <t>L20700485</t>
  </si>
  <si>
    <t>L12773605</t>
  </si>
  <si>
    <t>L19771816</t>
  </si>
  <si>
    <t>L51670702</t>
  </si>
  <si>
    <t>L65317854</t>
  </si>
  <si>
    <t>L78173910</t>
  </si>
  <si>
    <t>L54801238</t>
  </si>
  <si>
    <t>L52259076</t>
  </si>
  <si>
    <t>L78390949</t>
  </si>
  <si>
    <t>L75099037</t>
  </si>
  <si>
    <t>L24514460</t>
  </si>
  <si>
    <t>L35780160</t>
  </si>
  <si>
    <t>L64647678</t>
  </si>
  <si>
    <t>L20235594</t>
  </si>
  <si>
    <t>L71533059</t>
  </si>
  <si>
    <t>L79439717</t>
  </si>
  <si>
    <t>L76903831</t>
  </si>
  <si>
    <t>L71012711</t>
  </si>
  <si>
    <t>L94243921</t>
  </si>
  <si>
    <t>L37780048</t>
  </si>
  <si>
    <t>L23007176</t>
  </si>
  <si>
    <t>L43371822</t>
  </si>
  <si>
    <t>L75726602</t>
  </si>
  <si>
    <t>L47720288</t>
  </si>
  <si>
    <t>L46574817</t>
  </si>
  <si>
    <t>L17445699</t>
  </si>
  <si>
    <t>L96006093</t>
  </si>
  <si>
    <t>L96372332</t>
  </si>
  <si>
    <t>L23795588</t>
  </si>
  <si>
    <t>L86480010</t>
  </si>
  <si>
    <t>L20964925</t>
  </si>
  <si>
    <t>L99224452</t>
  </si>
  <si>
    <t>L81413491</t>
  </si>
  <si>
    <t>L70501608</t>
  </si>
  <si>
    <t>L92588691</t>
  </si>
  <si>
    <t>L60328644</t>
  </si>
  <si>
    <t>L49088512</t>
  </si>
  <si>
    <t>L30107615</t>
  </si>
  <si>
    <t>L82440920</t>
  </si>
  <si>
    <t>L18502000</t>
  </si>
  <si>
    <t>L49169500</t>
  </si>
  <si>
    <t>L77394364</t>
  </si>
  <si>
    <t>L84681076</t>
  </si>
  <si>
    <t>L18675186</t>
  </si>
  <si>
    <t>L76449298</t>
  </si>
  <si>
    <t>L86957200</t>
  </si>
  <si>
    <t>L88074156</t>
  </si>
  <si>
    <t>L55031672</t>
  </si>
  <si>
    <t>L66725433</t>
  </si>
  <si>
    <t>L21692935</t>
  </si>
  <si>
    <t>L73464884</t>
  </si>
  <si>
    <t>L96270329</t>
  </si>
  <si>
    <t>L14041955</t>
  </si>
  <si>
    <t>L45782037</t>
  </si>
  <si>
    <t>L80823193</t>
  </si>
  <si>
    <t>C7283087</t>
  </si>
  <si>
    <t>C5713776</t>
  </si>
  <si>
    <t>C5934409</t>
  </si>
  <si>
    <t>C3593400</t>
  </si>
  <si>
    <t>C9702851</t>
  </si>
  <si>
    <t>C1631811</t>
  </si>
  <si>
    <t>C8660179</t>
  </si>
  <si>
    <t>C5545484</t>
  </si>
  <si>
    <t>C3540503</t>
  </si>
  <si>
    <t>C8070223</t>
  </si>
  <si>
    <t>C8349118</t>
  </si>
  <si>
    <t>C1451315</t>
  </si>
  <si>
    <t>C7932278</t>
  </si>
  <si>
    <t>C8534179</t>
  </si>
  <si>
    <t>C5540778</t>
  </si>
  <si>
    <t>C5702978</t>
  </si>
  <si>
    <t>C5614653</t>
  </si>
  <si>
    <t>C6196740</t>
  </si>
  <si>
    <t>C1215698</t>
  </si>
  <si>
    <t>C4387391</t>
  </si>
  <si>
    <t>C5766973</t>
  </si>
  <si>
    <t>C6634112</t>
  </si>
  <si>
    <t>C5303549</t>
  </si>
  <si>
    <t>C9713765</t>
  </si>
  <si>
    <t>C1839889</t>
  </si>
  <si>
    <t>C6294756</t>
  </si>
  <si>
    <t>C7630351</t>
  </si>
  <si>
    <t>C8193202</t>
  </si>
  <si>
    <t>C5824612</t>
  </si>
  <si>
    <t>C1131153</t>
  </si>
  <si>
    <t>C6091947</t>
  </si>
  <si>
    <t>C3600175</t>
  </si>
  <si>
    <t>C2164027</t>
  </si>
  <si>
    <t>C1760438</t>
  </si>
  <si>
    <t>C5779148</t>
  </si>
  <si>
    <t>C2783838</t>
  </si>
  <si>
    <t>C9820244</t>
  </si>
  <si>
    <t>C1063683</t>
  </si>
  <si>
    <t>C7875310</t>
  </si>
  <si>
    <t>C3244488</t>
  </si>
  <si>
    <t>C1141744</t>
  </si>
  <si>
    <t>C8015297</t>
  </si>
  <si>
    <t>C8086889</t>
  </si>
  <si>
    <t>C8043616</t>
  </si>
  <si>
    <t>C2039410</t>
  </si>
  <si>
    <t>C8501126</t>
  </si>
  <si>
    <t>C3466688</t>
  </si>
  <si>
    <t>C1947502</t>
  </si>
  <si>
    <t>C6727675</t>
  </si>
  <si>
    <t>C9310256</t>
  </si>
  <si>
    <t>C9332356</t>
  </si>
  <si>
    <t>C4660453</t>
  </si>
  <si>
    <t>C7171690</t>
  </si>
  <si>
    <t>C6327669</t>
  </si>
  <si>
    <t>C6310683</t>
  </si>
  <si>
    <t>C8660184</t>
  </si>
  <si>
    <t>C2821208</t>
  </si>
  <si>
    <t>C2730711</t>
  </si>
  <si>
    <t>C5283357</t>
  </si>
  <si>
    <t>C1960678</t>
  </si>
  <si>
    <t>C9655941</t>
  </si>
  <si>
    <t>C6514082</t>
  </si>
  <si>
    <t>C9073300</t>
  </si>
  <si>
    <t>C3845927</t>
  </si>
  <si>
    <t>C1467656</t>
  </si>
  <si>
    <t>C2571773</t>
  </si>
  <si>
    <t>C6498887</t>
  </si>
  <si>
    <t>C8227911</t>
  </si>
  <si>
    <t>C6710476</t>
  </si>
  <si>
    <t>C6503892</t>
  </si>
  <si>
    <t>C3203945</t>
  </si>
  <si>
    <t>C1048868</t>
  </si>
  <si>
    <t>C6733664</t>
  </si>
  <si>
    <t>C4881714</t>
  </si>
  <si>
    <t>C6991162</t>
  </si>
  <si>
    <t>C4518338</t>
  </si>
  <si>
    <t>C1044015</t>
  </si>
  <si>
    <t>C1443287</t>
  </si>
  <si>
    <t>C4706298</t>
  </si>
  <si>
    <t>C1324538</t>
  </si>
  <si>
    <t>C1652203</t>
  </si>
  <si>
    <t>C7204450</t>
  </si>
  <si>
    <t>C7318019</t>
  </si>
  <si>
    <t>C6227120</t>
  </si>
  <si>
    <t>C1813966</t>
  </si>
  <si>
    <t>C3886266</t>
  </si>
  <si>
    <t>C2524559</t>
  </si>
  <si>
    <t>C3290336</t>
  </si>
  <si>
    <t>C1388971</t>
  </si>
  <si>
    <t>C2104664</t>
  </si>
  <si>
    <t>C7611589</t>
  </si>
  <si>
    <t>C1857179</t>
  </si>
  <si>
    <t>C8378197</t>
  </si>
  <si>
    <t>C8770992</t>
  </si>
  <si>
    <t>C9465349</t>
  </si>
  <si>
    <t>C8213336</t>
  </si>
  <si>
    <t>C8206268</t>
  </si>
  <si>
    <t>C1915047</t>
  </si>
  <si>
    <t>C9223443</t>
  </si>
  <si>
    <t>C6349902</t>
  </si>
  <si>
    <t>C9425147</t>
  </si>
  <si>
    <t>C2335950</t>
  </si>
  <si>
    <t>C8421977</t>
  </si>
  <si>
    <t>C7126552</t>
  </si>
  <si>
    <t>C8275147</t>
  </si>
  <si>
    <t>C5828622</t>
  </si>
  <si>
    <t>C8031646</t>
  </si>
  <si>
    <t>C7968892</t>
  </si>
  <si>
    <t>C7990911</t>
  </si>
  <si>
    <t>C3119015</t>
  </si>
  <si>
    <t>C9247132</t>
  </si>
  <si>
    <t>C3712083</t>
  </si>
  <si>
    <t>C9195744</t>
  </si>
  <si>
    <t>C9288734</t>
  </si>
  <si>
    <t>C9284113</t>
  </si>
  <si>
    <t>C6294321</t>
  </si>
  <si>
    <t>C2330050</t>
  </si>
  <si>
    <t>C7862789</t>
  </si>
  <si>
    <t>C5300895</t>
  </si>
  <si>
    <t>C4863336</t>
  </si>
  <si>
    <t>C8073602</t>
  </si>
  <si>
    <t>C7510748</t>
  </si>
  <si>
    <t>C6609833</t>
  </si>
  <si>
    <t>C6696258</t>
  </si>
  <si>
    <t>C7041082</t>
  </si>
  <si>
    <t>C4767474</t>
  </si>
  <si>
    <t>C6151718</t>
  </si>
  <si>
    <t>C6151874</t>
  </si>
  <si>
    <t>C7632501</t>
  </si>
  <si>
    <t>C2287196</t>
  </si>
  <si>
    <t>C2382520</t>
  </si>
  <si>
    <t>C3398169</t>
  </si>
  <si>
    <t>C2331320</t>
  </si>
  <si>
    <t>C9560751</t>
  </si>
  <si>
    <t>C7932611</t>
  </si>
  <si>
    <t>C1391275</t>
  </si>
  <si>
    <t>C7496709</t>
  </si>
  <si>
    <t>C9237402</t>
  </si>
  <si>
    <t>C2315559</t>
  </si>
  <si>
    <t>C4387235</t>
  </si>
  <si>
    <t>C9539567</t>
  </si>
  <si>
    <t>C7549738</t>
  </si>
  <si>
    <t>C6831536</t>
  </si>
  <si>
    <t>C6650374</t>
  </si>
  <si>
    <t>C4449878</t>
  </si>
  <si>
    <t>C6867262</t>
  </si>
  <si>
    <t>C2294847</t>
  </si>
  <si>
    <t>C7491026</t>
  </si>
  <si>
    <t>C8022713</t>
  </si>
  <si>
    <t>C5837924</t>
  </si>
  <si>
    <t>C3129961</t>
  </si>
  <si>
    <t>C4902567</t>
  </si>
  <si>
    <t>C7126430</t>
  </si>
  <si>
    <t>C4220749</t>
  </si>
  <si>
    <t>C6414160</t>
  </si>
  <si>
    <t>C9350158</t>
  </si>
  <si>
    <t>C3230556</t>
  </si>
  <si>
    <t>C8605398</t>
  </si>
  <si>
    <t>C1825489</t>
  </si>
  <si>
    <t>C9002049</t>
  </si>
  <si>
    <t>C7175489</t>
  </si>
  <si>
    <t>C2228721</t>
  </si>
  <si>
    <t>C3317433</t>
  </si>
  <si>
    <t>C3562480</t>
  </si>
  <si>
    <t>C4636309</t>
  </si>
  <si>
    <t>C3030335</t>
  </si>
  <si>
    <t>C6387036</t>
  </si>
  <si>
    <t>C7714128</t>
  </si>
  <si>
    <t>C6711662</t>
  </si>
  <si>
    <t>C8057240</t>
  </si>
  <si>
    <t>C1498558</t>
  </si>
  <si>
    <t>C7614038</t>
  </si>
  <si>
    <t>C4882763</t>
  </si>
  <si>
    <t>C2486086</t>
  </si>
  <si>
    <t>C1550198</t>
  </si>
  <si>
    <t>C9423458</t>
  </si>
  <si>
    <t>C7706693</t>
  </si>
  <si>
    <t>C8207957</t>
  </si>
  <si>
    <t>C9644437</t>
  </si>
  <si>
    <t>C2124313</t>
  </si>
  <si>
    <t>C7744816</t>
  </si>
  <si>
    <t>C1855442</t>
  </si>
  <si>
    <t>C4340408</t>
  </si>
  <si>
    <t>C8654803</t>
  </si>
  <si>
    <t>C9743163</t>
  </si>
  <si>
    <t>C3955250</t>
  </si>
  <si>
    <t>C1361361</t>
  </si>
  <si>
    <t>C4746361</t>
  </si>
  <si>
    <t>C9281059</t>
  </si>
  <si>
    <t>C6725972</t>
  </si>
  <si>
    <t>C4245916</t>
  </si>
  <si>
    <t>C6670106</t>
  </si>
  <si>
    <t>C5130371</t>
  </si>
  <si>
    <t>C4814233</t>
  </si>
  <si>
    <t>C4465805</t>
  </si>
  <si>
    <t>C1776329</t>
  </si>
  <si>
    <t>C8637044</t>
  </si>
  <si>
    <t>C6214280</t>
  </si>
  <si>
    <t>C7896551</t>
  </si>
  <si>
    <t>C2816038</t>
  </si>
  <si>
    <t>C4765600</t>
  </si>
  <si>
    <t>C1892018</t>
  </si>
  <si>
    <t>C2418504</t>
  </si>
  <si>
    <t>C2188925</t>
  </si>
  <si>
    <t>C8746471</t>
  </si>
  <si>
    <t>C2541621</t>
  </si>
  <si>
    <t>C9294611</t>
  </si>
  <si>
    <t>C9041928</t>
  </si>
  <si>
    <t>C5923319</t>
  </si>
  <si>
    <t>C2082075</t>
  </si>
  <si>
    <t>C5995118</t>
  </si>
  <si>
    <t>C4752004</t>
  </si>
  <si>
    <t>C8001898</t>
  </si>
  <si>
    <t>C9265977</t>
  </si>
  <si>
    <t>C7567171</t>
  </si>
  <si>
    <t>C7022171</t>
  </si>
  <si>
    <t>C8957311</t>
  </si>
  <si>
    <t>C6920769</t>
  </si>
  <si>
    <t>C1515087</t>
  </si>
  <si>
    <t>C7644081</t>
  </si>
  <si>
    <t>C1477233</t>
  </si>
  <si>
    <t>C3438704</t>
  </si>
  <si>
    <t>C7381325</t>
  </si>
  <si>
    <t>C5684926</t>
  </si>
  <si>
    <t>C5328193</t>
  </si>
  <si>
    <t>C5018951</t>
  </si>
  <si>
    <t>C3817153</t>
  </si>
  <si>
    <t>C5267518</t>
  </si>
  <si>
    <t>C1861097</t>
  </si>
  <si>
    <t>C2633485</t>
  </si>
  <si>
    <t>C6756069</t>
  </si>
  <si>
    <t>C9816136</t>
  </si>
  <si>
    <t>C7217876</t>
  </si>
  <si>
    <t>C9951231</t>
  </si>
  <si>
    <t>C8615151</t>
  </si>
  <si>
    <t>C9820420</t>
  </si>
  <si>
    <t>C9184928</t>
  </si>
  <si>
    <t>C1316324</t>
  </si>
  <si>
    <t>C5977341</t>
  </si>
  <si>
    <t>C2236671</t>
  </si>
  <si>
    <t>C1490502</t>
  </si>
  <si>
    <t>C5006676</t>
  </si>
  <si>
    <t>C4851128</t>
  </si>
  <si>
    <t>C9632291</t>
  </si>
  <si>
    <t>C8319956</t>
  </si>
  <si>
    <t>C5628005</t>
  </si>
  <si>
    <t>C9323576</t>
  </si>
  <si>
    <t>C2753396</t>
  </si>
  <si>
    <t>C6991746</t>
  </si>
  <si>
    <t>C6529417</t>
  </si>
  <si>
    <t>C5267194</t>
  </si>
  <si>
    <t>C1108824</t>
  </si>
  <si>
    <t>C4157818</t>
  </si>
  <si>
    <t>C2509474</t>
  </si>
  <si>
    <t>C3717346</t>
  </si>
  <si>
    <t>C8854223</t>
  </si>
  <si>
    <t>C5403276</t>
  </si>
  <si>
    <t>C5583820</t>
  </si>
  <si>
    <t>C6873286</t>
  </si>
  <si>
    <t>C3742341</t>
  </si>
  <si>
    <t>C5088861</t>
  </si>
  <si>
    <t>C4307606</t>
  </si>
  <si>
    <t>C2023564</t>
  </si>
  <si>
    <t>C6546556</t>
  </si>
  <si>
    <t>C5818913</t>
  </si>
  <si>
    <t>C3434814</t>
  </si>
  <si>
    <t>C9760652</t>
  </si>
  <si>
    <t>C8010967</t>
  </si>
  <si>
    <t>C2651799</t>
  </si>
  <si>
    <t>C4044132</t>
  </si>
  <si>
    <t>C6343138</t>
  </si>
  <si>
    <t>C1070682</t>
  </si>
  <si>
    <t>C9651679</t>
  </si>
  <si>
    <t>C9973311</t>
  </si>
  <si>
    <t>C5639990</t>
  </si>
  <si>
    <t>C8644679</t>
  </si>
  <si>
    <t>C1899823</t>
  </si>
  <si>
    <t>C6546780</t>
  </si>
  <si>
    <t>C5900590</t>
  </si>
  <si>
    <t>C4297532</t>
  </si>
  <si>
    <t>C5904115</t>
  </si>
  <si>
    <t>C1789381</t>
  </si>
  <si>
    <t>C5018860</t>
  </si>
  <si>
    <t>C2077602</t>
  </si>
  <si>
    <t>C4415176</t>
  </si>
  <si>
    <t>C3234605</t>
  </si>
  <si>
    <t>C8428595</t>
  </si>
  <si>
    <t>C9530660</t>
  </si>
  <si>
    <t>C1774220</t>
  </si>
  <si>
    <t>C3658231</t>
  </si>
  <si>
    <t>C8208674</t>
  </si>
  <si>
    <t>C3838507</t>
  </si>
  <si>
    <t>C1039412</t>
  </si>
  <si>
    <t>C1049260</t>
  </si>
  <si>
    <t>C3248188</t>
  </si>
  <si>
    <t>C9629922</t>
  </si>
  <si>
    <t>C8912800</t>
  </si>
  <si>
    <t>C2421305</t>
  </si>
  <si>
    <t>C5942299</t>
  </si>
  <si>
    <t>C6871897</t>
  </si>
  <si>
    <t>C5871339</t>
  </si>
  <si>
    <t>C4002739</t>
  </si>
  <si>
    <t>C8532069</t>
  </si>
  <si>
    <t>C9270460</t>
  </si>
  <si>
    <t>C7037588</t>
  </si>
  <si>
    <t>C6545491</t>
  </si>
  <si>
    <t>C9541595</t>
  </si>
  <si>
    <t>C7574811</t>
  </si>
  <si>
    <t>C2257915</t>
  </si>
  <si>
    <t>C6437597</t>
  </si>
  <si>
    <t>C3146975</t>
  </si>
  <si>
    <t>C5393740</t>
  </si>
  <si>
    <t>C4704060</t>
  </si>
  <si>
    <t>C1381154</t>
  </si>
  <si>
    <t>C3947460</t>
  </si>
  <si>
    <t>C1110724</t>
  </si>
  <si>
    <t>C5127045</t>
  </si>
  <si>
    <t>C5165194</t>
  </si>
  <si>
    <t>C7276365</t>
  </si>
  <si>
    <t>C1260995</t>
  </si>
  <si>
    <t>C3671888</t>
  </si>
  <si>
    <t>C4607055</t>
  </si>
  <si>
    <t>C5643959</t>
  </si>
  <si>
    <t>C9542284</t>
  </si>
  <si>
    <t>C6141093</t>
  </si>
  <si>
    <t>C7174867</t>
  </si>
  <si>
    <t>C8592174</t>
  </si>
  <si>
    <t>C5789771</t>
  </si>
  <si>
    <t>C9969938</t>
  </si>
  <si>
    <t>C2737373</t>
  </si>
  <si>
    <t>C2821641</t>
  </si>
  <si>
    <t>C8934691</t>
  </si>
  <si>
    <t>C1190332</t>
  </si>
  <si>
    <t>C2402747</t>
  </si>
  <si>
    <t>C6596846</t>
  </si>
  <si>
    <t>C5144473</t>
  </si>
  <si>
    <t>C2972221</t>
  </si>
  <si>
    <t>C2406931</t>
  </si>
  <si>
    <t>C2053932</t>
  </si>
  <si>
    <t>C6782349</t>
  </si>
  <si>
    <t>C5540736</t>
  </si>
  <si>
    <t>C8157006</t>
  </si>
  <si>
    <t>C3216559</t>
  </si>
  <si>
    <t>C5039026</t>
  </si>
  <si>
    <t>C9639446</t>
  </si>
  <si>
    <t>C1480437</t>
  </si>
  <si>
    <t>C6024854</t>
  </si>
  <si>
    <t>C9514220</t>
  </si>
  <si>
    <t>C7113486</t>
  </si>
  <si>
    <t>C1291407</t>
  </si>
  <si>
    <t>C2151294</t>
  </si>
  <si>
    <t>C5887114</t>
  </si>
  <si>
    <t>C3418227</t>
  </si>
  <si>
    <t>C2583995</t>
  </si>
  <si>
    <t>C6532282</t>
  </si>
  <si>
    <t>C8434493</t>
  </si>
  <si>
    <t>C7559297</t>
  </si>
  <si>
    <t>C6843098</t>
  </si>
  <si>
    <t>C5429378</t>
  </si>
  <si>
    <t>C7531440</t>
  </si>
  <si>
    <t>C7651386</t>
  </si>
  <si>
    <t>C9714793</t>
  </si>
  <si>
    <t>C6396340</t>
  </si>
  <si>
    <t>C3130703</t>
  </si>
  <si>
    <t>C4542674</t>
  </si>
  <si>
    <t>C5100921</t>
  </si>
  <si>
    <t>C9879683</t>
  </si>
  <si>
    <t>C3167452</t>
  </si>
  <si>
    <t>C2164061</t>
  </si>
  <si>
    <t>C1840683</t>
  </si>
  <si>
    <t>C2489785</t>
  </si>
  <si>
    <t>C4765314</t>
  </si>
  <si>
    <t>C2874382</t>
  </si>
  <si>
    <t>C4247046</t>
  </si>
  <si>
    <t>C7503268</t>
  </si>
  <si>
    <t>C5529744</t>
  </si>
  <si>
    <t>C6202154</t>
  </si>
  <si>
    <t>C8687715</t>
  </si>
  <si>
    <t>C3052628</t>
  </si>
  <si>
    <t>C9539721</t>
  </si>
  <si>
    <t>C4905070</t>
  </si>
  <si>
    <t>C6307429</t>
  </si>
  <si>
    <t>C8567707</t>
  </si>
  <si>
    <t>C3213248</t>
  </si>
  <si>
    <t>C3853368</t>
  </si>
  <si>
    <t>C6783096</t>
  </si>
  <si>
    <t>C7644034</t>
  </si>
  <si>
    <t>C5278789</t>
  </si>
  <si>
    <t>C2590470</t>
  </si>
  <si>
    <t>C8478946</t>
  </si>
  <si>
    <t>C2396916</t>
  </si>
  <si>
    <t>C5295478</t>
  </si>
  <si>
    <t>C2558150</t>
  </si>
  <si>
    <t>C2252218</t>
  </si>
  <si>
    <t>C2097295</t>
  </si>
  <si>
    <t>C5154926</t>
  </si>
  <si>
    <t>C4984094</t>
  </si>
  <si>
    <t>C6906421</t>
  </si>
  <si>
    <t>C8354028</t>
  </si>
  <si>
    <t>C5703685</t>
  </si>
  <si>
    <t>C5659355</t>
  </si>
  <si>
    <t>C4980827</t>
  </si>
  <si>
    <t>C4679047</t>
  </si>
  <si>
    <t>C4941136</t>
  </si>
  <si>
    <t>C2772757</t>
  </si>
  <si>
    <t>C4084317</t>
  </si>
  <si>
    <t>C1995295</t>
  </si>
  <si>
    <t>C3590196</t>
  </si>
  <si>
    <t>C7459842</t>
  </si>
  <si>
    <t>C6084555</t>
  </si>
  <si>
    <t>C7253183</t>
  </si>
  <si>
    <t>C6320294</t>
  </si>
  <si>
    <t>C9381126</t>
  </si>
  <si>
    <t>C7386204</t>
  </si>
  <si>
    <t>C1810948</t>
  </si>
  <si>
    <t>C3555175</t>
  </si>
  <si>
    <t>C9425259</t>
  </si>
  <si>
    <t>C8718149</t>
  </si>
  <si>
    <t>C8875044</t>
  </si>
  <si>
    <t>C9821843</t>
  </si>
  <si>
    <t>C5085071</t>
  </si>
  <si>
    <t>C2072957</t>
  </si>
  <si>
    <t>C6549795</t>
  </si>
  <si>
    <t>C3861919</t>
  </si>
  <si>
    <t>C2306172</t>
  </si>
  <si>
    <t>C4636834</t>
  </si>
  <si>
    <t>C5193866</t>
  </si>
  <si>
    <t>C5862557</t>
  </si>
  <si>
    <t>C5314326</t>
  </si>
  <si>
    <t>C7297983</t>
  </si>
  <si>
    <t>C5105749</t>
  </si>
  <si>
    <t>C8218232</t>
  </si>
  <si>
    <t>C1325464</t>
  </si>
  <si>
    <t>C6152121</t>
  </si>
  <si>
    <t>C7624120</t>
  </si>
  <si>
    <t>C6453326</t>
  </si>
  <si>
    <t>C2259353</t>
  </si>
  <si>
    <t>C4277728</t>
  </si>
  <si>
    <t>C1599029</t>
  </si>
  <si>
    <t>C9991942</t>
  </si>
  <si>
    <t>C3158902</t>
  </si>
  <si>
    <t>C7389142</t>
  </si>
  <si>
    <t>C2066307</t>
  </si>
  <si>
    <t>C9572599</t>
  </si>
  <si>
    <t>C5079630</t>
  </si>
  <si>
    <t>C5737389</t>
  </si>
  <si>
    <t>C8134767</t>
  </si>
  <si>
    <t>C1397539</t>
  </si>
  <si>
    <t>C6284350</t>
  </si>
  <si>
    <t>C6851125</t>
  </si>
  <si>
    <t>C3829959</t>
  </si>
  <si>
    <t>C8133861</t>
  </si>
  <si>
    <t>C8541821</t>
  </si>
  <si>
    <t>C9859804</t>
  </si>
  <si>
    <t>C2380993</t>
  </si>
  <si>
    <t>C5709047</t>
  </si>
  <si>
    <t>C3502679</t>
  </si>
  <si>
    <t>C9514243</t>
  </si>
  <si>
    <t>C8274703</t>
  </si>
  <si>
    <t>C8156033</t>
  </si>
  <si>
    <t>C1855861</t>
  </si>
  <si>
    <t>C5437751</t>
  </si>
  <si>
    <t>C8453960</t>
  </si>
  <si>
    <t>C8379827</t>
  </si>
  <si>
    <t>C9085298</t>
  </si>
  <si>
    <t>C7637422</t>
  </si>
  <si>
    <t>C3793012</t>
  </si>
  <si>
    <t>C1957775</t>
  </si>
  <si>
    <t>C2958656</t>
  </si>
  <si>
    <t>C6377005</t>
  </si>
  <si>
    <t>C8901414</t>
  </si>
  <si>
    <t>C2206851</t>
  </si>
  <si>
    <t>C3280450</t>
  </si>
  <si>
    <t>C3436828</t>
  </si>
  <si>
    <t>C5126932</t>
  </si>
  <si>
    <t>C8056728</t>
  </si>
  <si>
    <t>C1464921</t>
  </si>
  <si>
    <t>C5976937</t>
  </si>
  <si>
    <t>C7160460</t>
  </si>
  <si>
    <t>C8239526</t>
  </si>
  <si>
    <t>C2646242</t>
  </si>
  <si>
    <t>C5794500</t>
  </si>
  <si>
    <t>C7948975</t>
  </si>
  <si>
    <t>C2210969</t>
  </si>
  <si>
    <t>C5858548</t>
  </si>
  <si>
    <t>C9123878</t>
  </si>
  <si>
    <t>C8561034</t>
  </si>
  <si>
    <t>C8689119</t>
  </si>
  <si>
    <t>C3121377</t>
  </si>
  <si>
    <t>C3688041</t>
  </si>
  <si>
    <t>C3093129</t>
  </si>
  <si>
    <t>C8977625</t>
  </si>
  <si>
    <t>C3868515</t>
  </si>
  <si>
    <t>C9382342</t>
  </si>
  <si>
    <t>C4362527</t>
  </si>
  <si>
    <t>C8503286</t>
  </si>
  <si>
    <t>C8617031</t>
  </si>
  <si>
    <t>C9668691</t>
  </si>
  <si>
    <t>C5575174</t>
  </si>
  <si>
    <t>C3907750</t>
  </si>
  <si>
    <t>Auto Loan</t>
  </si>
  <si>
    <t>SME Loan</t>
  </si>
  <si>
    <t>Personal Loan</t>
  </si>
  <si>
    <t>Home Loan</t>
  </si>
  <si>
    <t>Education Loan</t>
  </si>
  <si>
    <t>Online</t>
  </si>
  <si>
    <t>Branch</t>
  </si>
  <si>
    <t>Call Center</t>
  </si>
  <si>
    <t>Partner</t>
  </si>
  <si>
    <t>East</t>
  </si>
  <si>
    <t>North</t>
  </si>
  <si>
    <t>West</t>
  </si>
  <si>
    <t>Central</t>
  </si>
  <si>
    <t>South</t>
  </si>
  <si>
    <t>Salaried</t>
  </si>
  <si>
    <t>Self-Employed</t>
  </si>
  <si>
    <t>Unemployed</t>
  </si>
  <si>
    <t>Contract</t>
  </si>
  <si>
    <t>C</t>
  </si>
  <si>
    <t>A</t>
  </si>
  <si>
    <t>B</t>
  </si>
  <si>
    <t>D</t>
  </si>
  <si>
    <t>E</t>
  </si>
  <si>
    <t>Closed</t>
  </si>
  <si>
    <t>Delinquent</t>
  </si>
  <si>
    <t>Active</t>
  </si>
  <si>
    <t>Default</t>
  </si>
  <si>
    <t>Business Questions (built for Excel formula practice)</t>
  </si>
  <si>
    <t>A) Basic KPIs (SUM, AVERAGE, COUNT, COUNTIF/S, SUMIF/S)</t>
  </si>
  <si>
    <t>Total loan book (sum of loan_amount) by product.</t>
  </si>
  <si>
    <t>Total current balance by region.</t>
  </si>
  <si>
    <t>Count of loans by loan_status (Active/Delinquent/Closed/Default).</t>
  </si>
  <si>
    <t>Default rate overall and by region (defaults / total loans).</t>
  </si>
  <si>
    <t>Prepayment rate by channel.</t>
  </si>
  <si>
    <t>Average interest rate by product and risk band.</t>
  </si>
  <si>
    <t>Average credit score by employment type.</t>
  </si>
  <si>
    <t>B) Segmentation &amp; Bucketing (IF, IFS, AND/OR, SWITCH, CHOOSE)</t>
  </si>
  <si>
    <t>Create DTI Band (e.g., &lt;0.2, 0.2–0.35, 0.35–0.5, &gt;0.5) and count loans per band.</t>
  </si>
  <si>
    <t>Create LTV Band and find default rate per band.</t>
  </si>
  <si>
    <t>Create Loan Size Band (Small/Medium/Large) and compare delinquency.</t>
  </si>
  <si>
    <t>Mark “High Risk” if credit_score &lt; 600 OR dti_ratio &gt; 0.5 OR dpd &gt;=30.</t>
  </si>
  <si>
    <t>C) Delinquency &amp; Collections (MAX/MIN, IFERROR, conditional logic)</t>
  </si>
  <si>
    <t>How many loans are 30+ DPD, 60+, 90+?</t>
  </si>
  <si>
    <t>What is the total balance sitting in 30+ DPD bucket?</t>
  </si>
  <si>
    <t>Rank top 20 loans by dpd and then by balance.</t>
  </si>
  <si>
    <t>Identify loans where status = Active but dpd &gt;= 30 (data quality check).</t>
  </si>
  <si>
    <t>D) Time-Based Analysis (YEAR, MONTH, EOMONTH, DATEDIF, TODAY, NETWORKDAYS)</t>
  </si>
  <si>
    <t>Monthly loan disbursal trend: total loan_amount by origination month.</t>
  </si>
  <si>
    <t>Loans originated in last 90 days from a chosen “as-of date”.</t>
  </si>
  <si>
    <t>Average months_on_book by product.</t>
  </si>
  <si>
    <t>Create a flag: “New Loan” if originated in last 6 months.</t>
  </si>
  <si>
    <t>Seasonal check: which quarter has highest disbursals?</t>
  </si>
  <si>
    <t>E) Lookups &amp; Joins Practice (XLOOKUP/VLOOKUP, INDEX-MATCH, XMATCH)</t>
  </si>
  <si>
    <t>Build a separate table for risk band rules and lookup risk band from credit score.</t>
  </si>
  <si>
    <t>Create a pricing table by product + risk band and lookup the “expected rate”; compare vs actual rate.</t>
  </si>
  <si>
    <t>Create a region manager table and XLOOKUP manager name for each region.</t>
  </si>
  <si>
    <t>F) Text &amp; Data Cleaning (LEFT/RIGHT/MID, TEXT, VALUE, TRIM, SUBSTITUTE)</t>
  </si>
  <si>
    <t>Extract numeric part from loan_id and create a “bucket” using last 2 digits.</t>
  </si>
  <si>
    <t>Create a formatted field: Customer-Loan = customer_id &amp; "-" &amp; loan_id.</t>
  </si>
  <si>
    <t>Convert origination_date into "MMM-YYYY" text format.</t>
  </si>
  <si>
    <t>G) Financial Math (PMT, IPMT, PPMT, RATE, NPV)</t>
  </si>
  <si>
    <t>Recalculate EMI using PMT and compare with given EMI (variance check).</t>
  </si>
  <si>
    <t>Split EMI into interest vs principal for month 1 using IPMT/PPMT.</t>
  </si>
  <si>
    <t>Estimate remaining term based on balance and EMI (simple assumption).</t>
  </si>
  <si>
    <t>Compute total interest paid so far (approx) using paid amounts.</t>
  </si>
  <si>
    <t>H) Pivot + Dashboard Ready Questions</t>
  </si>
  <si>
    <t>“Portfolio snapshot” card metrics:</t>
  </si>
  <si>
    <t>Total disbursed</t>
  </si>
  <si>
    <t>Total balance</t>
  </si>
  <si>
    <t>Avg interest rate</t>
  </si>
  <si>
    <t>Default rate</t>
  </si>
  <si>
    <t>30+ DPD balance</t>
  </si>
  <si>
    <t>Create a pivot showing region × product balances and add slicers for channel and status.</t>
  </si>
  <si>
    <t>Create a delinquency heatmap using conditional formatting.</t>
  </si>
  <si>
    <t>I) Advanced Excel (FILTER, SORT, UNIQUE, LET, LAMBDA optional)</t>
  </si>
  <si>
    <t>Dynamic list of top 10 delinquent loans by balance.</t>
  </si>
  <si>
    <t>Unique list of products, regions, channels.</t>
  </si>
  <si>
    <t>Build a reusable metric formula using LET (e.g., Default Rate).</t>
  </si>
  <si>
    <t>loan_amt_by_product</t>
  </si>
  <si>
    <t>done</t>
  </si>
  <si>
    <t>current_bal_by_region</t>
  </si>
  <si>
    <t>count_loan_by_status</t>
  </si>
  <si>
    <t>Overall default rate</t>
  </si>
  <si>
    <t>Default rate by region</t>
  </si>
  <si>
    <t>Prepayment rate by channel</t>
  </si>
  <si>
    <t>avg_int_tateby_pro_risk_band</t>
  </si>
  <si>
    <t>DTI band</t>
  </si>
  <si>
    <t>Count_loan_per_band</t>
  </si>
  <si>
    <t>LTV band</t>
  </si>
  <si>
    <t>min</t>
  </si>
  <si>
    <t>avg</t>
  </si>
  <si>
    <t>median</t>
  </si>
  <si>
    <t>max</t>
  </si>
  <si>
    <t>range</t>
  </si>
  <si>
    <t>#unique</t>
  </si>
  <si>
    <t>p25</t>
  </si>
  <si>
    <t>p50</t>
  </si>
  <si>
    <t>p75</t>
  </si>
  <si>
    <t>p85</t>
  </si>
  <si>
    <t>p95</t>
  </si>
  <si>
    <t>p99</t>
  </si>
  <si>
    <t>LTV</t>
  </si>
  <si>
    <t>Loan to value, is a ratio of loan amount to value of asset, the lower the ratio means lower the risk if customer defaults, because asset value is more to recover.</t>
  </si>
  <si>
    <t>Descriotive stats</t>
  </si>
  <si>
    <t>Min</t>
  </si>
  <si>
    <t>Max</t>
  </si>
  <si>
    <t>Average</t>
  </si>
  <si>
    <t>Range</t>
  </si>
  <si>
    <t>Percentile</t>
  </si>
  <si>
    <t>middle tail (25 to 75 percentile)</t>
  </si>
  <si>
    <t>lower tail(min to 25 percentile)</t>
  </si>
  <si>
    <t>upper tail( 75 to max percentile)</t>
  </si>
  <si>
    <t>count_loan_perband</t>
  </si>
  <si>
    <t>default_rate_per_band</t>
  </si>
  <si>
    <t>IQR</t>
  </si>
  <si>
    <t>outp75</t>
  </si>
  <si>
    <t>outp25</t>
  </si>
  <si>
    <t>Loan size</t>
  </si>
  <si>
    <t>del rate per loan size</t>
  </si>
  <si>
    <t>dpd flag</t>
  </si>
  <si>
    <t>high risk</t>
  </si>
  <si>
    <t>origination month</t>
  </si>
  <si>
    <t>loan amout by month</t>
  </si>
  <si>
    <t>avg monthonbooks by product</t>
  </si>
  <si>
    <t>new loan</t>
  </si>
  <si>
    <t>quarter</t>
  </si>
  <si>
    <t>idsbyrby 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</si>
</sst>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3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64" fontId="0" fillId="0" borderId="1" xfId="0" applyNumberFormat="1" applyBorder="1"/>
    <xf numFmtId="0" fontId="1" fillId="0" borderId="0" xfId="0" applyFont="1"/>
    <xf numFmtId="0" fontId="0" fillId="0" borderId="2" xfId="0" applyBorder="1"/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0" fillId="0" borderId="7" xfId="0" applyBorder="1"/>
    <xf numFmtId="0" fontId="0" fillId="0" borderId="8" xfId="0" applyBorder="1"/>
    <xf numFmtId="164" fontId="0" fillId="0" borderId="8" xfId="0" applyNumberFormat="1" applyBorder="1"/>
    <xf numFmtId="165" fontId="0" fillId="0" borderId="3" xfId="1" applyNumberFormat="1" applyFont="1" applyBorder="1"/>
    <xf numFmtId="165" fontId="0" fillId="0" borderId="9" xfId="1" applyNumberFormat="1" applyFont="1" applyBorder="1"/>
    <xf numFmtId="165" fontId="0" fillId="0" borderId="5" xfId="1" applyNumberFormat="1" applyFont="1" applyBorder="1"/>
    <xf numFmtId="165" fontId="0" fillId="0" borderId="1" xfId="1" applyNumberFormat="1" applyFont="1" applyBorder="1"/>
    <xf numFmtId="165" fontId="0" fillId="0" borderId="8" xfId="1" applyNumberFormat="1" applyFont="1" applyBorder="1"/>
    <xf numFmtId="0" fontId="0" fillId="0" borderId="5" xfId="0" applyBorder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" xfId="0" applyNumberFormat="1" applyBorder="1"/>
    <xf numFmtId="0" fontId="0" fillId="0" borderId="5" xfId="0" applyNumberFormat="1" applyBorder="1"/>
    <xf numFmtId="0" fontId="0" fillId="0" borderId="8" xfId="0" applyNumberFormat="1" applyBorder="1"/>
    <xf numFmtId="165" fontId="0" fillId="0" borderId="0" xfId="1" applyNumberFormat="1" applyFont="1"/>
    <xf numFmtId="165" fontId="1" fillId="0" borderId="0" xfId="1" applyNumberFormat="1" applyFont="1"/>
    <xf numFmtId="165" fontId="0" fillId="0" borderId="0" xfId="0" applyNumberFormat="1"/>
    <xf numFmtId="43" fontId="0" fillId="0" borderId="0" xfId="0" applyNumberFormat="1"/>
    <xf numFmtId="14" fontId="0" fillId="0" borderId="0" xfId="0" applyNumberFormat="1"/>
    <xf numFmtId="14" fontId="0" fillId="0" borderId="5" xfId="0" applyNumberFormat="1" applyBorder="1"/>
    <xf numFmtId="14" fontId="1" fillId="0" borderId="5" xfId="0" applyNumberFormat="1" applyFont="1" applyBorder="1" applyAlignment="1">
      <alignment horizontal="center" vertical="top"/>
    </xf>
    <xf numFmtId="14" fontId="0" fillId="0" borderId="1" xfId="0" applyNumberFormat="1" applyBorder="1"/>
    <xf numFmtId="14" fontId="0" fillId="0" borderId="8" xfId="0" applyNumberFormat="1" applyBorder="1"/>
    <xf numFmtId="10" fontId="0" fillId="0" borderId="0" xfId="2" applyNumberFormat="1" applyFont="1"/>
  </cellXfs>
  <cellStyles count="3">
    <cellStyle name="Comma" xfId="1" builtinId="3"/>
    <cellStyle name="Normal" xfId="0" builtinId="0"/>
    <cellStyle name="Per cent" xfId="2" builtinId="5"/>
  </cellStyles>
  <dxfs count="50"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_(* #,##0_);_(* \(#,##0\);_(* &quot;-&quot;??_);_(@_)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_(* #,##0_);_(* \(#,##0\);_(* &quot;-&quot;??_);_(@_)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yyyy\-mm\-dd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D00621-9894-4D40-BDD1-6B979257CE45}" name="Table1" displayName="Table1" ref="B17:AU517" totalsRowShown="0" headerRowDxfId="49" headerRowBorderDxfId="48" tableBorderDxfId="47" totalsRowBorderDxfId="46">
  <autoFilter ref="B17:AU517" xr:uid="{A9D00621-9894-4D40-BDD1-6B979257CE45}"/>
  <sortState xmlns:xlrd2="http://schemas.microsoft.com/office/spreadsheetml/2017/richdata2" ref="B18:AT517">
    <sortCondition ref="AT17:AT517"/>
  </sortState>
  <tableColumns count="46">
    <tableColumn id="1" xr3:uid="{6ED6B1CE-D30B-467D-9EAB-9B0A0286B453}" name="loan_id" dataDxfId="45"/>
    <tableColumn id="2" xr3:uid="{92C2CC71-5F01-460B-BFD4-2B3B7159E8DB}" name="customer_id" dataDxfId="44"/>
    <tableColumn id="3" xr3:uid="{FAAD11FD-44EE-4E5C-9A41-75EBECA7C3DD}" name="origination_date" dataDxfId="43"/>
    <tableColumn id="4" xr3:uid="{0879A94F-57F3-422D-9143-858481421BD2}" name="product" dataDxfId="42"/>
    <tableColumn id="5" xr3:uid="{C803DC99-189A-4986-8CF2-60BCAE9D4657}" name="channel" dataDxfId="41"/>
    <tableColumn id="6" xr3:uid="{8CBAA6AB-78F5-426F-B318-521330F93B55}" name="region" dataDxfId="40"/>
    <tableColumn id="7" xr3:uid="{722B3F8C-7514-4623-AC1D-96590EE6691C}" name="employment_type" dataDxfId="39"/>
    <tableColumn id="8" xr3:uid="{B4864CE0-5F7F-4113-89EA-266AFF9FA992}" name="term_months" dataDxfId="38"/>
    <tableColumn id="9" xr3:uid="{F276C529-8F96-4107-89E4-A14259B86114}" name="loan_amount" dataDxfId="37"/>
    <tableColumn id="10" xr3:uid="{BDD7857A-418B-4BE8-A633-075BACB7ACDA}" name="interest_rate_pct" dataDxfId="36"/>
    <tableColumn id="11" xr3:uid="{1C031A7B-FB47-41BA-A4DA-DF606422BA12}" name="emi" dataDxfId="35"/>
    <tableColumn id="12" xr3:uid="{C7605283-ACF1-4342-98D2-149665732D9A}" name="annual_income" dataDxfId="34"/>
    <tableColumn id="13" xr3:uid="{F7D4E95A-F979-4D29-B372-54901A162FC9}" name="credit_score" dataDxfId="33"/>
    <tableColumn id="14" xr3:uid="{26FE22D1-FA55-4B74-8891-A0E9575F328C}" name="risk_band" dataDxfId="32"/>
    <tableColumn id="15" xr3:uid="{CB7FEF17-5B1C-4B40-BE58-A3C2CC64647E}" name="dti_ratio" dataDxfId="31"/>
    <tableColumn id="16" xr3:uid="{E1175454-00A0-4B2C-8D15-B6900F231D38}" name="ltv_ratio" dataDxfId="30"/>
    <tableColumn id="17" xr3:uid="{8831DAD7-F444-4BB3-9D83-4F610D2BA38B}" name="collateral_value" dataDxfId="29"/>
    <tableColumn id="18" xr3:uid="{3CC9FB3E-4454-48E4-B8B0-0D764E91AC6B}" name="months_on_book" dataDxfId="28"/>
    <tableColumn id="19" xr3:uid="{A549FA9E-2161-4762-8089-A4444A39AA4F}" name="paid_amount_to_date" dataDxfId="27"/>
    <tableColumn id="20" xr3:uid="{26C19815-BB42-4619-B34A-54180A4359A4}" name="current_balance" dataDxfId="26"/>
    <tableColumn id="21" xr3:uid="{72F1BD31-6C7A-4575-9CCB-A0C22104B3E1}" name="dpd" dataDxfId="25"/>
    <tableColumn id="22" xr3:uid="{F35A3851-CA8D-423E-9AF7-2810E6E141AD}" name="prepayment_flag" dataDxfId="24"/>
    <tableColumn id="23" xr3:uid="{26F8EB1C-2990-47C4-BFDA-3B755202CA57}" name="default_flag" dataDxfId="23"/>
    <tableColumn id="24" xr3:uid="{133C9F5B-4504-45EA-A841-E2940134F454}" name="loan_status" dataDxfId="22"/>
    <tableColumn id="25" xr3:uid="{8B6571A1-B4AF-4225-9466-8369A873025D}" name="loan_amt_by_product" dataDxfId="21" dataCellStyle="Comma">
      <calculatedColumnFormula>SUMIF(Table1[product],Table1[[#This Row],[product]],Table1[loan_amount])</calculatedColumnFormula>
    </tableColumn>
    <tableColumn id="26" xr3:uid="{22C3E135-699B-4ED3-B55A-6A734FECB394}" name="current_bal_by_region" dataDxfId="20">
      <calculatedColumnFormula>SUMIF(Table1[region],Table1[[#This Row],[region]],Table1[current_balance])</calculatedColumnFormula>
    </tableColumn>
    <tableColumn id="27" xr3:uid="{4FA17449-9959-4A91-9489-549B29F7C41A}" name="count_loan_by_status" dataDxfId="19">
      <calculatedColumnFormula>COUNTIF(Table1[loan_status],Table1[[#This Row],[loan_status]])</calculatedColumnFormula>
    </tableColumn>
    <tableColumn id="28" xr3:uid="{E31529C7-2756-4865-90E0-F90745A77893}" name="Overall default rate" dataDxfId="18">
      <calculatedColumnFormula>COUNTIF(Table1[default_flag],1)/ROWS(Table1[loan_id])</calculatedColumnFormula>
    </tableColumn>
    <tableColumn id="29" xr3:uid="{6E2FE3C1-80C9-41EF-A129-3C0D0DBC734B}" name="Default rate by region" dataDxfId="17">
      <calculatedColumnFormula>COUNTIFS(Table1[region],Table1[[#This Row],[region]],Table1[default_flag],1)/COUNTIF(Table1[region],Table1[[#This Row],[region]])</calculatedColumnFormula>
    </tableColumn>
    <tableColumn id="30" xr3:uid="{74ECBDA4-8F76-471C-97BC-B39C7AB914E7}" name="Prepayment rate by channel" dataDxfId="16">
      <calculatedColumnFormula>COUNTIFS(Table1[channel],Table1[[#This Row],[channel]],Table1[prepayment_flag],1)/COUNTIF(Table1[channel],Table1[[#This Row],[channel]])</calculatedColumnFormula>
    </tableColumn>
    <tableColumn id="31" xr3:uid="{28A36514-5226-4B96-A046-96C42BFDA7D8}" name="avg_int_tateby_pro_risk_band" dataDxfId="15">
      <calculatedColumnFormula>AVERAGEIFS(Table1[interest_rate_pct],Table1[product],Table1[[#This Row],[product]],Table1[risk_band],Table1[[#This Row],[risk_band]])</calculatedColumnFormula>
    </tableColumn>
    <tableColumn id="32" xr3:uid="{08D97FA2-A800-473C-910D-568EF93BC14A}" name="DTI band" dataDxfId="13">
      <calculatedColumnFormula array="1">_xlfn.IFS(Table1[[#This Row],[dti_ratio]] &lt; 0.2, " less than 0.2", Table1[[#This Row],[dti_ratio]] &lt; 0.3, "0.2 - 0.3", Table1[[#This Row],[dti_ratio]] &lt;= 0.5, "0.35 - 0.5", Table1[[#This Row],[dti_ratio]] &gt; 0.5, "greater than 0.5")</calculatedColumnFormula>
    </tableColumn>
    <tableColumn id="33" xr3:uid="{19458C72-B4B8-4E51-8C18-EEA1BCD88FD6}" name="Count_loan_per_band" dataDxfId="14">
      <calculatedColumnFormula>COUNTIF(Table1[DTI band],Table1[[#This Row],[DTI band]])</calculatedColumnFormula>
    </tableColumn>
    <tableColumn id="34" xr3:uid="{E3854570-3F6C-4A62-90A8-CE7DEB45110F}" name="LTV band" dataDxfId="12">
      <calculatedColumnFormula array="1">_xlfn.IFS(Table1[[#This Row],[ltv_ratio]] &lt; 0.6, "less than 0.6 -less risky", Table1[[#This Row],[ltv_ratio]]  &lt;= 0.8, "0.6 - 0.8 -medium risky",Table1[[#This Row],[ltv_ratio]] &gt; 0.8, "greater than 0.8 -highly risky")</calculatedColumnFormula>
    </tableColumn>
    <tableColumn id="35" xr3:uid="{B90BA50D-A1EC-42DA-A5C6-516EAD5DDEB7}" name="count_loan_perband" dataDxfId="11">
      <calculatedColumnFormula>COUNTIF(Table1[LTV band],Table1[[#This Row],[LTV band]])</calculatedColumnFormula>
    </tableColumn>
    <tableColumn id="36" xr3:uid="{C53A803A-3B39-FD45-B389-7B165AF63A07}" name="default_rate_per_band" dataDxfId="10">
      <calculatedColumnFormula>COUNTIFS(Table1[count_loan_perband],Table1[[#This Row],[count_loan_perband]],Table1[default_flag],1)/COUNTIF(Table1[count_loan_perband],Table1[[#This Row],[count_loan_perband]])</calculatedColumnFormula>
    </tableColumn>
    <tableColumn id="37" xr3:uid="{6BE6D22F-26ED-D743-8030-C77EE5FAAE89}" name="Loan size" dataDxfId="9">
      <calculatedColumnFormula array="1">_xlfn.IFS(Table1[[#This Row],[loan_amount]] &lt; 900000, "lower size (&lt; 9L)", Table1[[#This Row],[loan_amount]] &lt;=3300000, "medium size (&lt;=33L)", Table1[[#This Row],[loan_amount]] &gt; 3300000, "larger size (&gt; 33L)")</calculatedColumnFormula>
    </tableColumn>
    <tableColumn id="39" xr3:uid="{FE16E020-E8DE-6746-AE3E-69160A4D674F}" name="dpd flag" dataDxfId="8">
      <calculatedColumnFormula>IF(Table1[[#This Row],[dpd]] &gt;=30,1,0)</calculatedColumnFormula>
    </tableColumn>
    <tableColumn id="38" xr3:uid="{5975C349-2D93-774D-8689-2D859E2D28D3}" name="del rate per loan size" dataDxfId="7">
      <calculatedColumnFormula>COUNTIFS(Table1[Loan size],Table1[[#This Row],[Loan size]],Table1[dpd flag],1)/COUNTIF(Table1[Loan size],Table1[[#This Row],[Loan size]])</calculatedColumnFormula>
    </tableColumn>
    <tableColumn id="40" xr3:uid="{7489D8F4-89D9-B84E-BFB8-842C0BCA8562}" name="high risk" dataDxfId="6">
      <calculatedColumnFormula>IF(OR(Table1[[#This Row],[credit_score]] &lt; 600, Table1[ [#This Row],[dti_ratio] ] &gt; 0.5, Table1[[#This Row],[dpd]] &gt;=30), "high risk", " not riskY")</calculatedColumnFormula>
    </tableColumn>
    <tableColumn id="41" xr3:uid="{33BDE4F9-96CD-5E45-927E-A15A42BC0A55}" name="origination month" dataDxfId="5">
      <calculatedColumnFormula>EOMONTH(Table1[[#This Row],[origination_date]],0)</calculatedColumnFormula>
    </tableColumn>
    <tableColumn id="42" xr3:uid="{641FD481-C834-EA45-9BAA-9066FD97153D}" name="loan amout by month" dataDxfId="4">
      <calculatedColumnFormula>SUMIFS(Table1[loan_amount],Table1[origination month],Table1[[#This Row],[origination month]])</calculatedColumnFormula>
    </tableColumn>
    <tableColumn id="43" xr3:uid="{42025C92-8BF9-6345-AA99-FDA2C21873C9}" name="avg monthonbooks by product" dataDxfId="3">
      <calculatedColumnFormula>AVERAGEIFS(Table1[months_on_book],Table1[product],Table1[[#This Row],[product]])</calculatedColumnFormula>
    </tableColumn>
    <tableColumn id="44" xr3:uid="{8EA55723-D42C-7B4E-9096-871C4C4B0167}" name="new loan" dataDxfId="2">
      <calculatedColumnFormula>IF(EDATE(Table1[[#This Row],[origination_date]],6) &gt;= TODAY(), "New Loan", "Old Loan")</calculatedColumnFormula>
    </tableColumn>
    <tableColumn id="45" xr3:uid="{5977E7E3-D467-C944-B2BE-BC5B2C6B5616}" name="quarter" dataDxfId="1">
      <calculatedColumnFormula>"Q"&amp;ROUNDUP(MONTH(Table1[[#This Row],[origination_date]])/3,0)&amp;YEAR(Table1[[#This Row],[origination_date]])</calculatedColumnFormula>
    </tableColumn>
    <tableColumn id="46" xr3:uid="{F1350DF1-BA72-2B40-B4EA-279BEC4A3800}" name="idsbyrby quarter" dataDxfId="0">
      <calculatedColumnFormula>SUMIFS(Table1[loan_amount],Table1[quarter],Table1[[#This Row],[quarter]])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C517"/>
  <sheetViews>
    <sheetView tabSelected="1" topLeftCell="A4" zoomScale="110" zoomScaleNormal="110" workbookViewId="0">
      <pane xSplit="1" topLeftCell="S1" activePane="topRight" state="frozen"/>
      <selection pane="topRight" activeCell="D13" sqref="D13"/>
    </sheetView>
  </sheetViews>
  <sheetFormatPr baseColWidth="10" defaultColWidth="8.83203125" defaultRowHeight="15" x14ac:dyDescent="0.2"/>
  <cols>
    <col min="2" max="2" width="14.6640625" customWidth="1"/>
    <col min="3" max="3" width="20.33203125" customWidth="1"/>
    <col min="4" max="4" width="18" customWidth="1"/>
    <col min="5" max="7" width="16.33203125" customWidth="1"/>
    <col min="8" max="8" width="18.1640625" customWidth="1"/>
    <col min="9" max="9" width="14.33203125" customWidth="1"/>
    <col min="10" max="10" width="14.1640625" customWidth="1"/>
    <col min="11" max="11" width="17.5" customWidth="1"/>
    <col min="12" max="12" width="10.33203125" customWidth="1"/>
    <col min="13" max="13" width="15.6640625" customWidth="1"/>
    <col min="14" max="14" width="13.1640625" customWidth="1"/>
    <col min="15" max="15" width="11.1640625" customWidth="1"/>
    <col min="16" max="16" width="10.83203125" customWidth="1"/>
    <col min="17" max="17" width="9.83203125" customWidth="1"/>
    <col min="18" max="18" width="16" customWidth="1"/>
    <col min="19" max="19" width="17.6640625" customWidth="1"/>
    <col min="20" max="20" width="21.6640625" customWidth="1"/>
    <col min="21" max="21" width="21.5" customWidth="1"/>
    <col min="22" max="22" width="7.33203125" customWidth="1"/>
    <col min="23" max="23" width="17.1640625" customWidth="1"/>
    <col min="24" max="24" width="12.83203125" customWidth="1"/>
    <col min="25" max="25" width="13.83203125" customWidth="1"/>
    <col min="26" max="26" width="25" customWidth="1"/>
    <col min="27" max="27" width="23.83203125" customWidth="1"/>
    <col min="28" max="28" width="24.83203125" customWidth="1"/>
    <col min="29" max="29" width="22" customWidth="1"/>
    <col min="30" max="30" width="20.33203125" customWidth="1"/>
    <col min="31" max="31" width="24.6640625" customWidth="1"/>
    <col min="32" max="32" width="36.33203125" customWidth="1"/>
    <col min="33" max="33" width="16.6640625" customWidth="1"/>
    <col min="34" max="34" width="30.1640625" customWidth="1"/>
    <col min="35" max="35" width="26.6640625" customWidth="1"/>
    <col min="36" max="36" width="31.83203125" customWidth="1"/>
    <col min="37" max="37" width="20.5" customWidth="1"/>
    <col min="38" max="39" width="21" customWidth="1"/>
    <col min="40" max="40" width="21.1640625" customWidth="1"/>
    <col min="41" max="41" width="11.6640625" customWidth="1"/>
    <col min="42" max="42" width="8.83203125" style="26"/>
    <col min="43" max="43" width="16.6640625" customWidth="1"/>
    <col min="44" max="44" width="23.33203125" customWidth="1"/>
    <col min="47" max="47" width="9.1640625" bestFit="1" customWidth="1"/>
  </cols>
  <sheetData>
    <row r="2" spans="1:55" x14ac:dyDescent="0.2">
      <c r="A2" t="s">
        <v>1113</v>
      </c>
      <c r="J2" s="22">
        <f>MIN(Table1[loan_amount])</f>
        <v>50000</v>
      </c>
      <c r="Q2">
        <f>MIN(Table1[ltv_ratio])</f>
        <v>0.4</v>
      </c>
    </row>
    <row r="3" spans="1:55" x14ac:dyDescent="0.2">
      <c r="A3" t="s">
        <v>1119</v>
      </c>
      <c r="J3" s="22">
        <f>_xlfn.PERCENTILE.INC(Table1[loan_amount],0.25)</f>
        <v>494500</v>
      </c>
      <c r="Q3">
        <f>_xlfn.PERCENTILE.INC(Table1[ltv_ratio], 0.25)</f>
        <v>0.65</v>
      </c>
      <c r="AQ3">
        <v>50000</v>
      </c>
    </row>
    <row r="4" spans="1:55" x14ac:dyDescent="0.2">
      <c r="A4" t="s">
        <v>1120</v>
      </c>
      <c r="J4" s="22">
        <f>_xlfn.PERCENTILE.INC(Table1[loan_amount],0.5)</f>
        <v>941150</v>
      </c>
      <c r="Q4">
        <f>_xlfn.PERCENTILE.INC(Table1[ltv_ratio],0.5)</f>
        <v>0.73</v>
      </c>
      <c r="AQ4">
        <v>494500</v>
      </c>
    </row>
    <row r="5" spans="1:55" x14ac:dyDescent="0.2">
      <c r="A5" t="s">
        <v>1114</v>
      </c>
      <c r="J5" s="22">
        <f>AVERAGE(Table1[loan_amount])</f>
        <v>1669562</v>
      </c>
      <c r="Q5">
        <f>AVERAGE(Table1[ltv_ratio])</f>
        <v>0.7385400000000002</v>
      </c>
      <c r="AQ5">
        <v>941150</v>
      </c>
    </row>
    <row r="6" spans="1:55" x14ac:dyDescent="0.2">
      <c r="A6" t="s">
        <v>1115</v>
      </c>
      <c r="J6" s="23">
        <f>MEDIAN(Table1[loan_amount])</f>
        <v>941150</v>
      </c>
      <c r="Q6" s="4">
        <f>MEDIAN(Table1[ltv_ratio])</f>
        <v>0.73</v>
      </c>
      <c r="AQ6">
        <v>1669562</v>
      </c>
    </row>
    <row r="7" spans="1:55" x14ac:dyDescent="0.2">
      <c r="A7" t="s">
        <v>1121</v>
      </c>
      <c r="J7" s="22">
        <f>_xlfn.PERCENTILE.INC(Table1[loan_amount],0.75)</f>
        <v>2268975</v>
      </c>
      <c r="Q7">
        <f>_xlfn.PERCENTILE.EXC(Table1[ltv_ratio],0.75)</f>
        <v>0.81</v>
      </c>
      <c r="AQ7">
        <v>941150</v>
      </c>
    </row>
    <row r="8" spans="1:55" x14ac:dyDescent="0.2">
      <c r="A8" t="s">
        <v>1122</v>
      </c>
      <c r="J8" s="22">
        <f>_xlfn.PERCENTILE.INC(Table1[loan_amount],0.85)</f>
        <v>3398840</v>
      </c>
      <c r="Q8">
        <f>_xlfn.PERCENTILE.EXC(Table1[ltv_ratio],0.85)</f>
        <v>0.87</v>
      </c>
      <c r="AQ8">
        <v>2268975</v>
      </c>
      <c r="AT8" t="s">
        <v>1064</v>
      </c>
    </row>
    <row r="9" spans="1:55" x14ac:dyDescent="0.2">
      <c r="A9" t="s">
        <v>1123</v>
      </c>
      <c r="J9" s="22">
        <f>_xlfn.PERCENTILE.INC(Table1[loan_amount],0.95)</f>
        <v>5454119.9999999953</v>
      </c>
      <c r="Q9">
        <f>_xlfn.PERCENTILE.EXC(Table1[ltv_ratio],0.95)</f>
        <v>0.9594999999999998</v>
      </c>
      <c r="AQ9">
        <v>3398840</v>
      </c>
    </row>
    <row r="10" spans="1:55" x14ac:dyDescent="0.2">
      <c r="A10" t="s">
        <v>1124</v>
      </c>
      <c r="J10" s="22">
        <f>_xlfn.PERCENTILE.INC(Table1[loan_amount],0.99)</f>
        <v>7689994.9999999963</v>
      </c>
      <c r="Q10">
        <f>_xlfn.PERCENTILE.EXC(Table1[ltv_ratio],0.99)</f>
        <v>1.0499000000000001</v>
      </c>
      <c r="AQ10">
        <v>5454119.9999999953</v>
      </c>
    </row>
    <row r="11" spans="1:55" x14ac:dyDescent="0.2">
      <c r="A11" t="s">
        <v>1116</v>
      </c>
      <c r="J11" s="22">
        <f>MAX(Table1[loan_amount])</f>
        <v>8719200</v>
      </c>
      <c r="Q11">
        <f>MAX(Table1[ltv_ratio])</f>
        <v>1.19</v>
      </c>
      <c r="AQ11">
        <v>7689994.9999999963</v>
      </c>
    </row>
    <row r="12" spans="1:55" x14ac:dyDescent="0.2">
      <c r="A12" t="s">
        <v>1117</v>
      </c>
      <c r="J12" s="24">
        <f>J11-J2</f>
        <v>8669200</v>
      </c>
      <c r="Q12">
        <f>Q11-Q2</f>
        <v>0.78999999999999992</v>
      </c>
      <c r="AQ12">
        <v>8719200</v>
      </c>
      <c r="BC12">
        <f>4/3</f>
        <v>1.3333333333333333</v>
      </c>
    </row>
    <row r="13" spans="1:55" x14ac:dyDescent="0.2">
      <c r="A13" t="s">
        <v>1138</v>
      </c>
      <c r="D13" s="31"/>
      <c r="J13" s="24">
        <f>J7-J3</f>
        <v>1774475</v>
      </c>
      <c r="AQ13">
        <v>8669200</v>
      </c>
      <c r="AX13">
        <f>ROUNDUP(4/3,0)</f>
        <v>2</v>
      </c>
      <c r="BC13">
        <f>3/3</f>
        <v>1</v>
      </c>
    </row>
    <row r="14" spans="1:55" x14ac:dyDescent="0.2">
      <c r="A14" t="s">
        <v>1139</v>
      </c>
      <c r="J14" s="25">
        <f>J7+(1.5*J13)</f>
        <v>4930687.5</v>
      </c>
    </row>
    <row r="15" spans="1:55" x14ac:dyDescent="0.2">
      <c r="A15" t="s">
        <v>1140</v>
      </c>
      <c r="J15" s="25">
        <f>J2-(1.5*J13)</f>
        <v>-2611712.5</v>
      </c>
    </row>
    <row r="16" spans="1:55" x14ac:dyDescent="0.2">
      <c r="A16" t="s">
        <v>1118</v>
      </c>
      <c r="B16">
        <f>COUNTA(_xlfn.UNIQUE(Table1[loan_id]))</f>
        <v>500</v>
      </c>
      <c r="C16">
        <f>COUNTA(_xlfn.UNIQUE(Table1[customer_id]))</f>
        <v>500</v>
      </c>
      <c r="D16">
        <f>COUNTA(_xlfn.UNIQUE(Table1[origination_date]))</f>
        <v>435</v>
      </c>
      <c r="E16">
        <f>COUNTA(_xlfn.UNIQUE(Table1[product]))</f>
        <v>5</v>
      </c>
      <c r="F16">
        <f>COUNTA(_xlfn.UNIQUE(Table1[channel]))</f>
        <v>4</v>
      </c>
      <c r="G16">
        <f>COUNTA(_xlfn.UNIQUE(Table1[region]))</f>
        <v>5</v>
      </c>
      <c r="H16">
        <f>COUNTA(_xlfn.UNIQUE(Table1[employment_type]))</f>
        <v>4</v>
      </c>
      <c r="I16">
        <f>COUNTA(_xlfn.UNIQUE(Table1[origination_date]))</f>
        <v>435</v>
      </c>
      <c r="J16">
        <f>COUNTA(_xlfn.UNIQUE(Table1[loan_amount]))</f>
        <v>488</v>
      </c>
      <c r="K16">
        <f>COUNTA(_xlfn.UNIQUE(Table1[interest_rate_pct]))</f>
        <v>401</v>
      </c>
      <c r="L16">
        <f>COUNTA(_xlfn.UNIQUE(Table1[emi]))</f>
        <v>498</v>
      </c>
      <c r="M16">
        <f>COUNTA(_xlfn.UNIQUE(Table1[annual_income]))</f>
        <v>496</v>
      </c>
      <c r="N16">
        <f>COUNTA(_xlfn.UNIQUE(Table1[credit_score]))</f>
        <v>218</v>
      </c>
      <c r="O16">
        <f>COUNTA(_xlfn.UNIQUE(Table1[risk_band]))</f>
        <v>5</v>
      </c>
      <c r="P16">
        <f>COUNTA(_xlfn.UNIQUE(Table1[dti_ratio]))</f>
        <v>58</v>
      </c>
      <c r="Q16">
        <f>COUNTA(_xlfn.UNIQUE(Table1[ltv_ratio]))</f>
        <v>66</v>
      </c>
      <c r="R16">
        <f>COUNTA(_xlfn.UNIQUE(Table1[collateral_value]))</f>
        <v>283</v>
      </c>
      <c r="S16">
        <f>COUNTA(_xlfn.UNIQUE(Table1[months_on_book]))</f>
        <v>47</v>
      </c>
      <c r="T16">
        <f>COUNTA(_xlfn.UNIQUE(Table1[paid_amount_to_date]))</f>
        <v>499</v>
      </c>
      <c r="U16">
        <f>COUNTA(_xlfn.UNIQUE(Table1[current_balance]))</f>
        <v>462</v>
      </c>
      <c r="V16">
        <f>COUNTA(_xlfn.UNIQUE(Table1[dpd]))</f>
        <v>9</v>
      </c>
      <c r="W16">
        <f>COUNTA(_xlfn.UNIQUE(Table1[prepayment_flag]))</f>
        <v>2</v>
      </c>
      <c r="X16">
        <f>COUNTA(_xlfn.UNIQUE(Table1[default_flag]))</f>
        <v>2</v>
      </c>
      <c r="Y16">
        <f>COUNTA(_xlfn.UNIQUE(Table1[loan_status]))</f>
        <v>4</v>
      </c>
      <c r="Z16">
        <f>COUNTA(_xlfn.UNIQUE(Table1[loan_amt_by_product]))</f>
        <v>5</v>
      </c>
      <c r="AA16">
        <f>COUNTA(_xlfn.UNIQUE(Table1[current_bal_by_region]))</f>
        <v>5</v>
      </c>
      <c r="AB16">
        <f>COUNTA(_xlfn.UNIQUE(Table1[count_loan_by_status]))</f>
        <v>4</v>
      </c>
      <c r="AC16">
        <f>COUNTA(_xlfn.UNIQUE(Table1[Overall default rate]))</f>
        <v>1</v>
      </c>
      <c r="AD16">
        <f>COUNTA(_xlfn.UNIQUE(Table1[Default rate by region]))</f>
        <v>5</v>
      </c>
      <c r="AE16">
        <f>COUNTA(_xlfn.UNIQUE(Table1[Prepayment rate by channel]))</f>
        <v>4</v>
      </c>
      <c r="AF16">
        <f>COUNTA(_xlfn.UNIQUE(Table1[avg_int_tateby_pro_risk_band]))</f>
        <v>25</v>
      </c>
      <c r="AG16">
        <f>COUNTA(_xlfn.UNIQUE(Table1[DTI band]))</f>
        <v>4</v>
      </c>
      <c r="AH16">
        <f>COUNTA(_xlfn.UNIQUE(Table1[Count_loan_per_band]))</f>
        <v>4</v>
      </c>
    </row>
    <row r="17" spans="2:47" x14ac:dyDescent="0.2">
      <c r="B17" s="6" t="s">
        <v>0</v>
      </c>
      <c r="C17" s="7" t="s">
        <v>1</v>
      </c>
      <c r="D17" s="7" t="s">
        <v>2</v>
      </c>
      <c r="E17" s="7" t="s">
        <v>3</v>
      </c>
      <c r="F17" s="7" t="s">
        <v>4</v>
      </c>
      <c r="G17" s="7" t="s">
        <v>5</v>
      </c>
      <c r="H17" s="7" t="s">
        <v>6</v>
      </c>
      <c r="I17" s="7" t="s">
        <v>7</v>
      </c>
      <c r="J17" s="7" t="s">
        <v>8</v>
      </c>
      <c r="K17" s="7" t="s">
        <v>9</v>
      </c>
      <c r="L17" s="7" t="s">
        <v>10</v>
      </c>
      <c r="M17" s="7" t="s">
        <v>11</v>
      </c>
      <c r="N17" s="7" t="s">
        <v>12</v>
      </c>
      <c r="O17" s="7" t="s">
        <v>13</v>
      </c>
      <c r="P17" s="7" t="s">
        <v>14</v>
      </c>
      <c r="Q17" s="7" t="s">
        <v>15</v>
      </c>
      <c r="R17" s="7" t="s">
        <v>16</v>
      </c>
      <c r="S17" s="7" t="s">
        <v>17</v>
      </c>
      <c r="T17" s="7" t="s">
        <v>18</v>
      </c>
      <c r="U17" s="7" t="s">
        <v>19</v>
      </c>
      <c r="V17" s="7" t="s">
        <v>20</v>
      </c>
      <c r="W17" s="7" t="s">
        <v>21</v>
      </c>
      <c r="X17" s="7" t="s">
        <v>22</v>
      </c>
      <c r="Y17" s="7" t="s">
        <v>23</v>
      </c>
      <c r="Z17" s="8" t="s">
        <v>1102</v>
      </c>
      <c r="AA17" s="7" t="s">
        <v>1104</v>
      </c>
      <c r="AB17" s="1" t="s">
        <v>1105</v>
      </c>
      <c r="AC17" s="1" t="s">
        <v>1106</v>
      </c>
      <c r="AD17" s="1" t="s">
        <v>1107</v>
      </c>
      <c r="AE17" s="1" t="s">
        <v>1108</v>
      </c>
      <c r="AF17" s="1" t="s">
        <v>1109</v>
      </c>
      <c r="AG17" s="7" t="s">
        <v>1110</v>
      </c>
      <c r="AH17" s="7" t="s">
        <v>1111</v>
      </c>
      <c r="AI17" s="7" t="s">
        <v>1112</v>
      </c>
      <c r="AJ17" s="7" t="s">
        <v>1136</v>
      </c>
      <c r="AK17" s="7" t="s">
        <v>1137</v>
      </c>
      <c r="AL17" s="7" t="s">
        <v>1141</v>
      </c>
      <c r="AM17" s="7" t="s">
        <v>1143</v>
      </c>
      <c r="AN17" s="7" t="s">
        <v>1142</v>
      </c>
      <c r="AO17" s="7" t="s">
        <v>1144</v>
      </c>
      <c r="AP17" s="28" t="s">
        <v>1145</v>
      </c>
      <c r="AQ17" s="7" t="s">
        <v>1146</v>
      </c>
      <c r="AR17" s="7" t="s">
        <v>1147</v>
      </c>
      <c r="AS17" s="28" t="s">
        <v>1148</v>
      </c>
      <c r="AT17" s="7" t="s">
        <v>1149</v>
      </c>
      <c r="AU17" s="7" t="s">
        <v>1150</v>
      </c>
    </row>
    <row r="18" spans="2:47" x14ac:dyDescent="0.2">
      <c r="B18" s="5" t="s">
        <v>310</v>
      </c>
      <c r="C18" s="2" t="s">
        <v>810</v>
      </c>
      <c r="D18" s="3">
        <v>44568</v>
      </c>
      <c r="E18" s="2" t="s">
        <v>1026</v>
      </c>
      <c r="F18" s="2" t="s">
        <v>1029</v>
      </c>
      <c r="G18" s="2" t="s">
        <v>1037</v>
      </c>
      <c r="H18" s="2" t="s">
        <v>1038</v>
      </c>
      <c r="I18" s="2">
        <v>72</v>
      </c>
      <c r="J18" s="2">
        <v>649600</v>
      </c>
      <c r="K18" s="2">
        <v>15.63</v>
      </c>
      <c r="L18" s="2">
        <v>13959</v>
      </c>
      <c r="M18" s="2">
        <v>817697</v>
      </c>
      <c r="N18" s="2">
        <v>738</v>
      </c>
      <c r="O18" s="2" t="s">
        <v>1044</v>
      </c>
      <c r="P18" s="2">
        <v>0.51</v>
      </c>
      <c r="Q18" s="2">
        <v>0.77</v>
      </c>
      <c r="R18" s="2">
        <v>0</v>
      </c>
      <c r="S18" s="2">
        <v>47</v>
      </c>
      <c r="T18" s="2">
        <v>621896</v>
      </c>
      <c r="U18" s="2">
        <v>186772</v>
      </c>
      <c r="V18" s="2">
        <v>60</v>
      </c>
      <c r="W18" s="2">
        <v>0</v>
      </c>
      <c r="X18" s="2">
        <v>0</v>
      </c>
      <c r="Y18" s="2" t="s">
        <v>1048</v>
      </c>
      <c r="Z18" s="12">
        <f>SUMIF(Table1[product],Table1[[#This Row],[product]],Table1[loan_amount])</f>
        <v>74897600</v>
      </c>
      <c r="AA18" s="14">
        <f>SUMIF(Table1[region],Table1[[#This Row],[region]],Table1[current_balance])</f>
        <v>94548000</v>
      </c>
      <c r="AB18" s="2">
        <f>COUNTIF(Table1[loan_status],Table1[[#This Row],[loan_status]])</f>
        <v>47</v>
      </c>
      <c r="AC18" s="2">
        <f>COUNTIF(Table1[default_flag],1)/ROWS(Table1[loan_id])</f>
        <v>2.5999999999999999E-2</v>
      </c>
      <c r="AD18" s="2">
        <f>COUNTIFS(Table1[region],Table1[[#This Row],[region]],Table1[default_flag],1)/COUNTIF(Table1[region],Table1[[#This Row],[region]])</f>
        <v>0</v>
      </c>
      <c r="AE18" s="2">
        <f>COUNTIFS(Table1[channel],Table1[[#This Row],[channel]],Table1[prepayment_flag],1)/COUNTIF(Table1[channel],Table1[[#This Row],[channel]])</f>
        <v>7.1090047393364927E-2</v>
      </c>
      <c r="AF18" s="2">
        <f>AVERAGEIFS(Table1[interest_rate_pct],Table1[product],Table1[[#This Row],[product]],Table1[risk_band],Table1[[#This Row],[risk_band]])</f>
        <v>16.500166666666669</v>
      </c>
      <c r="AG18" s="2" t="str" cm="1">
        <f t="array" ref="AG18">_xlfn.IFS(Table1[[#This Row],[dti_ratio]] &lt; 0.2, " less than 0.2", Table1[[#This Row],[dti_ratio]] &lt; 0.3, "0.2 - 0.3", Table1[[#This Row],[dti_ratio]] &lt;= 0.5, "0.35 - 0.5", Table1[[#This Row],[dti_ratio]] &gt; 0.5, "greater than 0.5")</f>
        <v>greater than 0.5</v>
      </c>
      <c r="AH18" s="17">
        <f>COUNTIF(Table1[DTI band],Table1[[#This Row],[DTI band]])</f>
        <v>32</v>
      </c>
      <c r="AI18" s="17" t="str" cm="1">
        <f t="array" ref="AI18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18" s="17">
        <f>COUNTIF(Table1[LTV band],Table1[[#This Row],[LTV band]])</f>
        <v>302</v>
      </c>
      <c r="AK18" s="20">
        <f>COUNTIFS(Table1[count_loan_perband],Table1[[#This Row],[count_loan_perband]],Table1[default_flag],1)/COUNTIF(Table1[count_loan_perband],Table1[[#This Row],[count_loan_perband]])</f>
        <v>3.6423841059602648E-2</v>
      </c>
      <c r="AL18" s="20" t="str" cm="1">
        <f t="array" ref="AL18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18" s="20">
        <f>IF(Table1[[#This Row],[dpd]] &gt;=30,1,0)</f>
        <v>1</v>
      </c>
      <c r="AN18" s="19">
        <f>COUNTIFS(Table1[Loan size],Table1[[#This Row],[Loan size]],Table1[dpd flag],1)/COUNTIF(Table1[Loan size],Table1[[#This Row],[Loan size]])</f>
        <v>0.13934426229508196</v>
      </c>
      <c r="AO18" s="20" t="str">
        <f>IF(OR(Table1[[#This Row],[credit_score]] &lt; 600, Table1[ [#This Row],[dti_ratio] ] &gt; 0.5, Table1[[#This Row],[dpd]] &gt;=30), "high risk", " not riskY")</f>
        <v>high risk</v>
      </c>
      <c r="AP18" s="27">
        <f>EOMONTH(Table1[[#This Row],[origination_date]],0)</f>
        <v>44592</v>
      </c>
      <c r="AQ18" s="20">
        <f>SUMIFS(Table1[loan_amount],Table1[origination month],Table1[[#This Row],[origination month]])</f>
        <v>19161700</v>
      </c>
      <c r="AR18" s="20">
        <f>AVERAGEIFS(Table1[months_on_book],Table1[product],Table1[[#This Row],[product]])</f>
        <v>21.092024539877301</v>
      </c>
      <c r="AS18" s="20" t="str">
        <f ca="1">IF(EDATE(Table1[[#This Row],[origination_date]],6) &gt;= TODAY(), "New Loan", "Old Loan")</f>
        <v>Old Loan</v>
      </c>
      <c r="AT18" s="20" t="str">
        <f>"Q"&amp;ROUNDUP(MONTH(Table1[[#This Row],[origination_date]])/3,0)&amp;YEAR(Table1[[#This Row],[origination_date]])</f>
        <v>Q12022</v>
      </c>
      <c r="AU18" s="20">
        <f>SUMIFS(Table1[loan_amount],Table1[quarter],Table1[[#This Row],[quarter]])</f>
        <v>65393800</v>
      </c>
    </row>
    <row r="19" spans="2:47" x14ac:dyDescent="0.2">
      <c r="B19" s="5" t="s">
        <v>175</v>
      </c>
      <c r="C19" s="2" t="s">
        <v>675</v>
      </c>
      <c r="D19" s="3">
        <v>44581</v>
      </c>
      <c r="E19" s="2" t="s">
        <v>1026</v>
      </c>
      <c r="F19" s="2" t="s">
        <v>1029</v>
      </c>
      <c r="G19" s="2" t="s">
        <v>1035</v>
      </c>
      <c r="H19" s="2" t="s">
        <v>1038</v>
      </c>
      <c r="I19" s="2">
        <v>12</v>
      </c>
      <c r="J19" s="2">
        <v>826700</v>
      </c>
      <c r="K19" s="2">
        <v>20.059999999999999</v>
      </c>
      <c r="L19" s="2">
        <v>76605</v>
      </c>
      <c r="M19" s="2">
        <v>1296749</v>
      </c>
      <c r="N19" s="2">
        <v>671</v>
      </c>
      <c r="O19" s="2" t="s">
        <v>1042</v>
      </c>
      <c r="P19" s="2">
        <v>0.49</v>
      </c>
      <c r="Q19" s="2">
        <v>0.76</v>
      </c>
      <c r="R19" s="2">
        <v>0</v>
      </c>
      <c r="S19" s="2">
        <v>12</v>
      </c>
      <c r="T19" s="2">
        <v>915274</v>
      </c>
      <c r="U19" s="2">
        <v>0</v>
      </c>
      <c r="V19" s="2">
        <v>0</v>
      </c>
      <c r="W19" s="2">
        <v>0</v>
      </c>
      <c r="X19" s="2">
        <v>0</v>
      </c>
      <c r="Y19" s="2" t="s">
        <v>1047</v>
      </c>
      <c r="Z19" s="12">
        <f>SUMIF(Table1[product],Table1[[#This Row],[product]],Table1[loan_amount])</f>
        <v>74897600</v>
      </c>
      <c r="AA19" s="15">
        <f>SUMIF(Table1[region],Table1[[#This Row],[region]],Table1[current_balance])</f>
        <v>83903255</v>
      </c>
      <c r="AB19" s="2">
        <f>COUNTIF(Table1[loan_status],Table1[[#This Row],[loan_status]])</f>
        <v>139</v>
      </c>
      <c r="AC19" s="2">
        <f>COUNTIF(Table1[default_flag],1)/ROWS(Table1[loan_id])</f>
        <v>2.5999999999999999E-2</v>
      </c>
      <c r="AD19" s="2">
        <f>COUNTIFS(Table1[region],Table1[[#This Row],[region]],Table1[default_flag],1)/COUNTIF(Table1[region],Table1[[#This Row],[region]])</f>
        <v>4.2553191489361701E-2</v>
      </c>
      <c r="AE19" s="2">
        <f>COUNTIFS(Table1[channel],Table1[[#This Row],[channel]],Table1[prepayment_flag],1)/COUNTIF(Table1[channel],Table1[[#This Row],[channel]])</f>
        <v>7.1090047393364927E-2</v>
      </c>
      <c r="AF19" s="2">
        <f>AVERAGEIFS(Table1[interest_rate_pct],Table1[product],Table1[[#This Row],[product]],Table1[risk_band],Table1[[#This Row],[risk_band]])</f>
        <v>18.603181818181817</v>
      </c>
      <c r="AG19" s="2" t="str" cm="1">
        <f t="array" ref="AG19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19" s="2">
        <f>COUNTIF(Table1[DTI band],Table1[[#This Row],[DTI band]])</f>
        <v>260</v>
      </c>
      <c r="AI19" s="2" t="str" cm="1">
        <f t="array" ref="AI19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19" s="2">
        <f>COUNTIF(Table1[LTV band],Table1[[#This Row],[LTV band]])</f>
        <v>302</v>
      </c>
      <c r="AK19" s="19">
        <f>COUNTIFS(Table1[count_loan_perband],Table1[[#This Row],[count_loan_perband]],Table1[default_flag],1)/COUNTIF(Table1[count_loan_perband],Table1[[#This Row],[count_loan_perband]])</f>
        <v>3.6423841059602648E-2</v>
      </c>
      <c r="AL19" s="19" t="str" cm="1">
        <f t="array" ref="AL19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19" s="19">
        <f>IF(Table1[[#This Row],[dpd]] &gt;=30,1,0)</f>
        <v>0</v>
      </c>
      <c r="AN19" s="19">
        <f>COUNTIFS(Table1[Loan size],Table1[[#This Row],[Loan size]],Table1[dpd flag],1)/COUNTIF(Table1[Loan size],Table1[[#This Row],[Loan size]])</f>
        <v>0.13934426229508196</v>
      </c>
      <c r="AO19" s="19" t="str">
        <f>IF(OR(Table1[[#This Row],[credit_score]] &lt; 600, Table1[ [#This Row],[dti_ratio] ] &gt; 0.5, Table1[[#This Row],[dpd]] &gt;=30), "high risk", " not riskY")</f>
        <v xml:space="preserve"> not riskY</v>
      </c>
      <c r="AP19" s="29">
        <f>EOMONTH(Table1[[#This Row],[origination_date]],0)</f>
        <v>44592</v>
      </c>
      <c r="AQ19" s="19">
        <f>SUMIFS(Table1[loan_amount],Table1[origination month],Table1[[#This Row],[origination month]])</f>
        <v>19161700</v>
      </c>
      <c r="AR19" s="19">
        <f>AVERAGEIFS(Table1[months_on_book],Table1[product],Table1[[#This Row],[product]])</f>
        <v>21.092024539877301</v>
      </c>
      <c r="AS19" s="19" t="str">
        <f ca="1">IF(EDATE(Table1[[#This Row],[origination_date]],6) &gt;= TODAY(), "New Loan", "Old Loan")</f>
        <v>Old Loan</v>
      </c>
      <c r="AT19" s="19" t="str">
        <f>"Q"&amp;ROUNDUP(MONTH(Table1[[#This Row],[origination_date]])/3,0)&amp;YEAR(Table1[[#This Row],[origination_date]])</f>
        <v>Q12022</v>
      </c>
      <c r="AU19" s="19">
        <f>SUMIFS(Table1[loan_amount],Table1[quarter],Table1[[#This Row],[quarter]])</f>
        <v>65393800</v>
      </c>
    </row>
    <row r="20" spans="2:47" x14ac:dyDescent="0.2">
      <c r="B20" s="5" t="s">
        <v>428</v>
      </c>
      <c r="C20" s="2" t="s">
        <v>928</v>
      </c>
      <c r="D20" s="3">
        <v>44603</v>
      </c>
      <c r="E20" s="2" t="s">
        <v>1026</v>
      </c>
      <c r="F20" s="2" t="s">
        <v>1030</v>
      </c>
      <c r="G20" s="2" t="s">
        <v>1036</v>
      </c>
      <c r="H20" s="2" t="s">
        <v>1041</v>
      </c>
      <c r="I20" s="2">
        <v>240</v>
      </c>
      <c r="J20" s="2">
        <v>193300</v>
      </c>
      <c r="K20" s="2">
        <v>20.86</v>
      </c>
      <c r="L20" s="2">
        <v>3415</v>
      </c>
      <c r="M20" s="2">
        <v>281563</v>
      </c>
      <c r="N20" s="2">
        <v>648</v>
      </c>
      <c r="O20" s="2" t="s">
        <v>1045</v>
      </c>
      <c r="P20" s="2">
        <v>0.46</v>
      </c>
      <c r="Q20" s="2">
        <v>0.69</v>
      </c>
      <c r="R20" s="2">
        <v>0</v>
      </c>
      <c r="S20" s="2">
        <v>46</v>
      </c>
      <c r="T20" s="2">
        <v>152501</v>
      </c>
      <c r="U20" s="2">
        <v>102627</v>
      </c>
      <c r="V20" s="2">
        <v>0</v>
      </c>
      <c r="W20" s="2">
        <v>0</v>
      </c>
      <c r="X20" s="2">
        <v>0</v>
      </c>
      <c r="Y20" s="2" t="s">
        <v>1049</v>
      </c>
      <c r="Z20" s="12">
        <f>SUMIF(Table1[product],Table1[[#This Row],[product]],Table1[loan_amount])</f>
        <v>74897600</v>
      </c>
      <c r="AA20" s="15">
        <f>SUMIF(Table1[region],Table1[[#This Row],[region]],Table1[current_balance])</f>
        <v>98928695</v>
      </c>
      <c r="AB20" s="2">
        <f>COUNTIF(Table1[loan_status],Table1[[#This Row],[loan_status]])</f>
        <v>301</v>
      </c>
      <c r="AC20" s="2">
        <f>COUNTIF(Table1[default_flag],1)/ROWS(Table1[loan_id])</f>
        <v>2.5999999999999999E-2</v>
      </c>
      <c r="AD20" s="2">
        <f>COUNTIFS(Table1[region],Table1[[#This Row],[region]],Table1[default_flag],1)/COUNTIF(Table1[region],Table1[[#This Row],[region]])</f>
        <v>2.8571428571428571E-2</v>
      </c>
      <c r="AE20" s="2">
        <f>COUNTIFS(Table1[channel],Table1[[#This Row],[channel]],Table1[prepayment_flag],1)/COUNTIF(Table1[channel],Table1[[#This Row],[channel]])</f>
        <v>5.8201058201058198E-2</v>
      </c>
      <c r="AF20" s="2">
        <f>AVERAGEIFS(Table1[interest_rate_pct],Table1[product],Table1[[#This Row],[product]],Table1[risk_band],Table1[[#This Row],[risk_band]])</f>
        <v>20.962592592592593</v>
      </c>
      <c r="AG20" s="2" t="str" cm="1">
        <f t="array" ref="AG20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20" s="2">
        <f>COUNTIF(Table1[DTI band],Table1[[#This Row],[DTI band]])</f>
        <v>260</v>
      </c>
      <c r="AI20" s="2" t="str" cm="1">
        <f t="array" ref="AI20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20" s="2">
        <f>COUNTIF(Table1[LTV band],Table1[[#This Row],[LTV band]])</f>
        <v>302</v>
      </c>
      <c r="AK20" s="19">
        <f>COUNTIFS(Table1[count_loan_perband],Table1[[#This Row],[count_loan_perband]],Table1[default_flag],1)/COUNTIF(Table1[count_loan_perband],Table1[[#This Row],[count_loan_perband]])</f>
        <v>3.6423841059602648E-2</v>
      </c>
      <c r="AL20" s="19" t="str" cm="1">
        <f t="array" ref="AL20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20" s="19">
        <f>IF(Table1[[#This Row],[dpd]] &gt;=30,1,0)</f>
        <v>0</v>
      </c>
      <c r="AN20" s="19">
        <f>COUNTIFS(Table1[Loan size],Table1[[#This Row],[Loan size]],Table1[dpd flag],1)/COUNTIF(Table1[Loan size],Table1[[#This Row],[Loan size]])</f>
        <v>0.13934426229508196</v>
      </c>
      <c r="AO20" s="19" t="str">
        <f>IF(OR(Table1[[#This Row],[credit_score]] &lt; 600, Table1[ [#This Row],[dti_ratio] ] &gt; 0.5, Table1[[#This Row],[dpd]] &gt;=30), "high risk", " not riskY")</f>
        <v xml:space="preserve"> not riskY</v>
      </c>
      <c r="AP20" s="29">
        <f>EOMONTH(Table1[[#This Row],[origination_date]],0)</f>
        <v>44620</v>
      </c>
      <c r="AQ20" s="19">
        <f>SUMIFS(Table1[loan_amount],Table1[origination month],Table1[[#This Row],[origination month]])</f>
        <v>20575600</v>
      </c>
      <c r="AR20" s="19">
        <f>AVERAGEIFS(Table1[months_on_book],Table1[product],Table1[[#This Row],[product]])</f>
        <v>21.092024539877301</v>
      </c>
      <c r="AS20" s="19" t="str">
        <f ca="1">IF(EDATE(Table1[[#This Row],[origination_date]],6) &gt;= TODAY(), "New Loan", "Old Loan")</f>
        <v>Old Loan</v>
      </c>
      <c r="AT20" s="19" t="str">
        <f>"Q"&amp;ROUNDUP(MONTH(Table1[[#This Row],[origination_date]])/3,0)&amp;YEAR(Table1[[#This Row],[origination_date]])</f>
        <v>Q12022</v>
      </c>
      <c r="AU20" s="19">
        <f>SUMIFS(Table1[loan_amount],Table1[quarter],Table1[[#This Row],[quarter]])</f>
        <v>65393800</v>
      </c>
    </row>
    <row r="21" spans="2:47" x14ac:dyDescent="0.2">
      <c r="B21" s="5" t="s">
        <v>199</v>
      </c>
      <c r="C21" s="2" t="s">
        <v>699</v>
      </c>
      <c r="D21" s="3">
        <v>44597</v>
      </c>
      <c r="E21" s="2" t="s">
        <v>1026</v>
      </c>
      <c r="F21" s="2" t="s">
        <v>1029</v>
      </c>
      <c r="G21" s="2" t="s">
        <v>1034</v>
      </c>
      <c r="H21" s="2" t="s">
        <v>1039</v>
      </c>
      <c r="I21" s="2">
        <v>180</v>
      </c>
      <c r="J21" s="2">
        <v>551400</v>
      </c>
      <c r="K21" s="2">
        <v>16.5</v>
      </c>
      <c r="L21" s="2">
        <v>8291</v>
      </c>
      <c r="M21" s="2">
        <v>974011</v>
      </c>
      <c r="N21" s="2">
        <v>725</v>
      </c>
      <c r="O21" s="2" t="s">
        <v>1044</v>
      </c>
      <c r="P21" s="2">
        <v>0.45</v>
      </c>
      <c r="Q21" s="2">
        <v>0.79</v>
      </c>
      <c r="R21" s="2">
        <v>0</v>
      </c>
      <c r="S21" s="2">
        <v>46</v>
      </c>
      <c r="T21" s="2">
        <v>326163</v>
      </c>
      <c r="U21" s="2">
        <v>364741</v>
      </c>
      <c r="V21" s="2">
        <v>90</v>
      </c>
      <c r="W21" s="2">
        <v>0</v>
      </c>
      <c r="X21" s="2">
        <v>1</v>
      </c>
      <c r="Y21" s="2" t="s">
        <v>1050</v>
      </c>
      <c r="Z21" s="12">
        <f>SUMIF(Table1[product],Table1[[#This Row],[product]],Table1[loan_amount])</f>
        <v>74897600</v>
      </c>
      <c r="AA21" s="15">
        <f>SUMIF(Table1[region],Table1[[#This Row],[region]],Table1[current_balance])</f>
        <v>105779369</v>
      </c>
      <c r="AB21" s="2">
        <f>COUNTIF(Table1[loan_status],Table1[[#This Row],[loan_status]])</f>
        <v>13</v>
      </c>
      <c r="AC21" s="2">
        <f>COUNTIF(Table1[default_flag],1)/ROWS(Table1[loan_id])</f>
        <v>2.5999999999999999E-2</v>
      </c>
      <c r="AD21" s="2">
        <f>COUNTIFS(Table1[region],Table1[[#This Row],[region]],Table1[default_flag],1)/COUNTIF(Table1[region],Table1[[#This Row],[region]])</f>
        <v>2.6548672566371681E-2</v>
      </c>
      <c r="AE21" s="2">
        <f>COUNTIFS(Table1[channel],Table1[[#This Row],[channel]],Table1[prepayment_flag],1)/COUNTIF(Table1[channel],Table1[[#This Row],[channel]])</f>
        <v>7.1090047393364927E-2</v>
      </c>
      <c r="AF21" s="2">
        <f>AVERAGEIFS(Table1[interest_rate_pct],Table1[product],Table1[[#This Row],[product]],Table1[risk_band],Table1[[#This Row],[risk_band]])</f>
        <v>16.500166666666669</v>
      </c>
      <c r="AG21" s="2" t="str" cm="1">
        <f t="array" ref="AG21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21" s="2">
        <f>COUNTIF(Table1[DTI band],Table1[[#This Row],[DTI band]])</f>
        <v>260</v>
      </c>
      <c r="AI21" s="2" t="str" cm="1">
        <f t="array" ref="AI21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21" s="2">
        <f>COUNTIF(Table1[LTV band],Table1[[#This Row],[LTV band]])</f>
        <v>302</v>
      </c>
      <c r="AK21" s="19">
        <f>COUNTIFS(Table1[count_loan_perband],Table1[[#This Row],[count_loan_perband]],Table1[default_flag],1)/COUNTIF(Table1[count_loan_perband],Table1[[#This Row],[count_loan_perband]])</f>
        <v>3.6423841059602648E-2</v>
      </c>
      <c r="AL21" s="19" t="str" cm="1">
        <f t="array" ref="AL21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21" s="19">
        <f>IF(Table1[[#This Row],[dpd]] &gt;=30,1,0)</f>
        <v>1</v>
      </c>
      <c r="AN21" s="19">
        <f>COUNTIFS(Table1[Loan size],Table1[[#This Row],[Loan size]],Table1[dpd flag],1)/COUNTIF(Table1[Loan size],Table1[[#This Row],[Loan size]])</f>
        <v>0.13934426229508196</v>
      </c>
      <c r="AO21" s="19" t="str">
        <f>IF(OR(Table1[[#This Row],[credit_score]] &lt; 600, Table1[ [#This Row],[dti_ratio] ] &gt; 0.5, Table1[[#This Row],[dpd]] &gt;=30), "high risk", " not riskY")</f>
        <v>high risk</v>
      </c>
      <c r="AP21" s="29">
        <f>EOMONTH(Table1[[#This Row],[origination_date]],0)</f>
        <v>44620</v>
      </c>
      <c r="AQ21" s="19">
        <f>SUMIFS(Table1[loan_amount],Table1[origination month],Table1[[#This Row],[origination month]])</f>
        <v>20575600</v>
      </c>
      <c r="AR21" s="19">
        <f>AVERAGEIFS(Table1[months_on_book],Table1[product],Table1[[#This Row],[product]])</f>
        <v>21.092024539877301</v>
      </c>
      <c r="AS21" s="19" t="str">
        <f ca="1">IF(EDATE(Table1[[#This Row],[origination_date]],6) &gt;= TODAY(), "New Loan", "Old Loan")</f>
        <v>Old Loan</v>
      </c>
      <c r="AT21" s="19" t="str">
        <f>"Q"&amp;ROUNDUP(MONTH(Table1[[#This Row],[origination_date]])/3,0)&amp;YEAR(Table1[[#This Row],[origination_date]])</f>
        <v>Q12022</v>
      </c>
      <c r="AU21" s="19">
        <f>SUMIFS(Table1[loan_amount],Table1[quarter],Table1[[#This Row],[quarter]])</f>
        <v>65393800</v>
      </c>
    </row>
    <row r="22" spans="2:47" x14ac:dyDescent="0.2">
      <c r="B22" s="5" t="s">
        <v>348</v>
      </c>
      <c r="C22" s="2" t="s">
        <v>848</v>
      </c>
      <c r="D22" s="3">
        <v>44577</v>
      </c>
      <c r="E22" s="2" t="s">
        <v>1026</v>
      </c>
      <c r="F22" s="2" t="s">
        <v>1029</v>
      </c>
      <c r="G22" s="2" t="s">
        <v>1037</v>
      </c>
      <c r="H22" s="2" t="s">
        <v>1038</v>
      </c>
      <c r="I22" s="2">
        <v>60</v>
      </c>
      <c r="J22" s="2">
        <v>461700</v>
      </c>
      <c r="K22" s="2">
        <v>17.32</v>
      </c>
      <c r="L22" s="2">
        <v>11554</v>
      </c>
      <c r="M22" s="2">
        <v>1181708</v>
      </c>
      <c r="N22" s="2">
        <v>698</v>
      </c>
      <c r="O22" s="2" t="s">
        <v>1042</v>
      </c>
      <c r="P22" s="2">
        <v>0.45</v>
      </c>
      <c r="Q22" s="2">
        <v>0.96</v>
      </c>
      <c r="R22" s="2">
        <v>0</v>
      </c>
      <c r="S22" s="2">
        <v>47</v>
      </c>
      <c r="T22" s="2">
        <v>514908</v>
      </c>
      <c r="U22" s="2">
        <v>72073</v>
      </c>
      <c r="V22" s="2">
        <v>0</v>
      </c>
      <c r="W22" s="2">
        <v>0</v>
      </c>
      <c r="X22" s="2">
        <v>0</v>
      </c>
      <c r="Y22" s="2" t="s">
        <v>1049</v>
      </c>
      <c r="Z22" s="12">
        <f>SUMIF(Table1[product],Table1[[#This Row],[product]],Table1[loan_amount])</f>
        <v>74897600</v>
      </c>
      <c r="AA22" s="15">
        <f>SUMIF(Table1[region],Table1[[#This Row],[region]],Table1[current_balance])</f>
        <v>94548000</v>
      </c>
      <c r="AB22" s="2">
        <f>COUNTIF(Table1[loan_status],Table1[[#This Row],[loan_status]])</f>
        <v>301</v>
      </c>
      <c r="AC22" s="2">
        <f>COUNTIF(Table1[default_flag],1)/ROWS(Table1[loan_id])</f>
        <v>2.5999999999999999E-2</v>
      </c>
      <c r="AD22" s="2">
        <f>COUNTIFS(Table1[region],Table1[[#This Row],[region]],Table1[default_flag],1)/COUNTIF(Table1[region],Table1[[#This Row],[region]])</f>
        <v>0</v>
      </c>
      <c r="AE22" s="2">
        <f>COUNTIFS(Table1[channel],Table1[[#This Row],[channel]],Table1[prepayment_flag],1)/COUNTIF(Table1[channel],Table1[[#This Row],[channel]])</f>
        <v>7.1090047393364927E-2</v>
      </c>
      <c r="AF22" s="2">
        <f>AVERAGEIFS(Table1[interest_rate_pct],Table1[product],Table1[[#This Row],[product]],Table1[risk_band],Table1[[#This Row],[risk_band]])</f>
        <v>18.603181818181817</v>
      </c>
      <c r="AG22" s="2" t="str" cm="1">
        <f t="array" ref="AG22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22" s="2">
        <f>COUNTIF(Table1[DTI band],Table1[[#This Row],[DTI band]])</f>
        <v>260</v>
      </c>
      <c r="AI22" s="2" t="str" cm="1">
        <f t="array" ref="AI22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22" s="2">
        <f>COUNTIF(Table1[LTV band],Table1[[#This Row],[LTV band]])</f>
        <v>141</v>
      </c>
      <c r="AK22" s="19">
        <f>COUNTIFS(Table1[count_loan_perband],Table1[[#This Row],[count_loan_perband]],Table1[default_flag],1)/COUNTIF(Table1[count_loan_perband],Table1[[#This Row],[count_loan_perband]])</f>
        <v>1.4184397163120567E-2</v>
      </c>
      <c r="AL22" s="19" t="str" cm="1">
        <f t="array" ref="AL22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22" s="19">
        <f>IF(Table1[[#This Row],[dpd]] &gt;=30,1,0)</f>
        <v>0</v>
      </c>
      <c r="AN22" s="19">
        <f>COUNTIFS(Table1[Loan size],Table1[[#This Row],[Loan size]],Table1[dpd flag],1)/COUNTIF(Table1[Loan size],Table1[[#This Row],[Loan size]])</f>
        <v>0.13934426229508196</v>
      </c>
      <c r="AO22" s="19" t="str">
        <f>IF(OR(Table1[[#This Row],[credit_score]] &lt; 600, Table1[ [#This Row],[dti_ratio] ] &gt; 0.5, Table1[[#This Row],[dpd]] &gt;=30), "high risk", " not riskY")</f>
        <v xml:space="preserve"> not riskY</v>
      </c>
      <c r="AP22" s="29">
        <f>EOMONTH(Table1[[#This Row],[origination_date]],0)</f>
        <v>44592</v>
      </c>
      <c r="AQ22" s="19">
        <f>SUMIFS(Table1[loan_amount],Table1[origination month],Table1[[#This Row],[origination month]])</f>
        <v>19161700</v>
      </c>
      <c r="AR22" s="19">
        <f>AVERAGEIFS(Table1[months_on_book],Table1[product],Table1[[#This Row],[product]])</f>
        <v>21.092024539877301</v>
      </c>
      <c r="AS22" s="19" t="str">
        <f ca="1">IF(EDATE(Table1[[#This Row],[origination_date]],6) &gt;= TODAY(), "New Loan", "Old Loan")</f>
        <v>Old Loan</v>
      </c>
      <c r="AT22" s="19" t="str">
        <f>"Q"&amp;ROUNDUP(MONTH(Table1[[#This Row],[origination_date]])/3,0)&amp;YEAR(Table1[[#This Row],[origination_date]])</f>
        <v>Q12022</v>
      </c>
      <c r="AU22" s="19">
        <f>SUMIFS(Table1[loan_amount],Table1[quarter],Table1[[#This Row],[quarter]])</f>
        <v>65393800</v>
      </c>
    </row>
    <row r="23" spans="2:47" x14ac:dyDescent="0.2">
      <c r="B23" s="5" t="s">
        <v>68</v>
      </c>
      <c r="C23" s="2" t="s">
        <v>568</v>
      </c>
      <c r="D23" s="3">
        <v>44582</v>
      </c>
      <c r="E23" s="2" t="s">
        <v>1025</v>
      </c>
      <c r="F23" s="2" t="s">
        <v>1032</v>
      </c>
      <c r="G23" s="2" t="s">
        <v>1035</v>
      </c>
      <c r="H23" s="2" t="s">
        <v>1038</v>
      </c>
      <c r="I23" s="2">
        <v>36</v>
      </c>
      <c r="J23" s="2">
        <v>1485500</v>
      </c>
      <c r="K23" s="2">
        <v>9.61</v>
      </c>
      <c r="L23" s="2">
        <v>47661</v>
      </c>
      <c r="M23" s="2">
        <v>591567</v>
      </c>
      <c r="N23" s="2">
        <v>790</v>
      </c>
      <c r="O23" s="2" t="s">
        <v>1043</v>
      </c>
      <c r="P23" s="2">
        <v>0.43</v>
      </c>
      <c r="Q23" s="2">
        <v>0.71</v>
      </c>
      <c r="R23" s="2">
        <v>2101800</v>
      </c>
      <c r="S23" s="2">
        <v>36</v>
      </c>
      <c r="T23" s="2">
        <v>1565725</v>
      </c>
      <c r="U23" s="2">
        <v>91083</v>
      </c>
      <c r="V23" s="2">
        <v>90</v>
      </c>
      <c r="W23" s="2">
        <v>0</v>
      </c>
      <c r="X23" s="2">
        <v>1</v>
      </c>
      <c r="Y23" s="2" t="s">
        <v>1050</v>
      </c>
      <c r="Z23" s="12">
        <f>SUMIF(Table1[product],Table1[[#This Row],[product]],Table1[loan_amount])</f>
        <v>201475100</v>
      </c>
      <c r="AA23" s="15">
        <f>SUMIF(Table1[region],Table1[[#This Row],[region]],Table1[current_balance])</f>
        <v>83903255</v>
      </c>
      <c r="AB23" s="2">
        <f>COUNTIF(Table1[loan_status],Table1[[#This Row],[loan_status]])</f>
        <v>13</v>
      </c>
      <c r="AC23" s="2">
        <f>COUNTIF(Table1[default_flag],1)/ROWS(Table1[loan_id])</f>
        <v>2.5999999999999999E-2</v>
      </c>
      <c r="AD23" s="2">
        <f>COUNTIFS(Table1[region],Table1[[#This Row],[region]],Table1[default_flag],1)/COUNTIF(Table1[region],Table1[[#This Row],[region]])</f>
        <v>4.2553191489361701E-2</v>
      </c>
      <c r="AE23" s="2">
        <f>COUNTIFS(Table1[channel],Table1[[#This Row],[channel]],Table1[prepayment_flag],1)/COUNTIF(Table1[channel],Table1[[#This Row],[channel]])</f>
        <v>0.1</v>
      </c>
      <c r="AF23" s="2">
        <f>AVERAGEIFS(Table1[interest_rate_pct],Table1[product],Table1[[#This Row],[product]],Table1[risk_band],Table1[[#This Row],[risk_band]])</f>
        <v>10.537499999999998</v>
      </c>
      <c r="AG23" s="2" t="str" cm="1">
        <f t="array" ref="AG23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23" s="2">
        <f>COUNTIF(Table1[DTI band],Table1[[#This Row],[DTI band]])</f>
        <v>260</v>
      </c>
      <c r="AI23" s="2" t="str" cm="1">
        <f t="array" ref="AI23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23" s="2">
        <f>COUNTIF(Table1[LTV band],Table1[[#This Row],[LTV band]])</f>
        <v>302</v>
      </c>
      <c r="AK23" s="19">
        <f>COUNTIFS(Table1[count_loan_perband],Table1[[#This Row],[count_loan_perband]],Table1[default_flag],1)/COUNTIF(Table1[count_loan_perband],Table1[[#This Row],[count_loan_perband]])</f>
        <v>3.6423841059602648E-2</v>
      </c>
      <c r="AL23" s="19" t="str" cm="1">
        <f t="array" ref="AL23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23" s="19">
        <f>IF(Table1[[#This Row],[dpd]] &gt;=30,1,0)</f>
        <v>1</v>
      </c>
      <c r="AN23" s="19">
        <f>COUNTIFS(Table1[Loan size],Table1[[#This Row],[Loan size]],Table1[dpd flag],1)/COUNTIF(Table1[Loan size],Table1[[#This Row],[Loan size]])</f>
        <v>0.15909090909090909</v>
      </c>
      <c r="AO23" s="19" t="str">
        <f>IF(OR(Table1[[#This Row],[credit_score]] &lt; 600, Table1[ [#This Row],[dti_ratio] ] &gt; 0.5, Table1[[#This Row],[dpd]] &gt;=30), "high risk", " not riskY")</f>
        <v>high risk</v>
      </c>
      <c r="AP23" s="29">
        <f>EOMONTH(Table1[[#This Row],[origination_date]],0)</f>
        <v>44592</v>
      </c>
      <c r="AQ23" s="19">
        <f>SUMIFS(Table1[loan_amount],Table1[origination month],Table1[[#This Row],[origination month]])</f>
        <v>19161700</v>
      </c>
      <c r="AR23" s="19">
        <f>AVERAGEIFS(Table1[months_on_book],Table1[product],Table1[[#This Row],[product]])</f>
        <v>19.091954022988507</v>
      </c>
      <c r="AS23" s="19" t="str">
        <f ca="1">IF(EDATE(Table1[[#This Row],[origination_date]],6) &gt;= TODAY(), "New Loan", "Old Loan")</f>
        <v>Old Loan</v>
      </c>
      <c r="AT23" s="19" t="str">
        <f>"Q"&amp;ROUNDUP(MONTH(Table1[[#This Row],[origination_date]])/3,0)&amp;YEAR(Table1[[#This Row],[origination_date]])</f>
        <v>Q12022</v>
      </c>
      <c r="AU23" s="19">
        <f>SUMIFS(Table1[loan_amount],Table1[quarter],Table1[[#This Row],[quarter]])</f>
        <v>65393800</v>
      </c>
    </row>
    <row r="24" spans="2:47" x14ac:dyDescent="0.2">
      <c r="B24" s="5" t="s">
        <v>106</v>
      </c>
      <c r="C24" s="2" t="s">
        <v>606</v>
      </c>
      <c r="D24" s="3">
        <v>44564</v>
      </c>
      <c r="E24" s="2" t="s">
        <v>1024</v>
      </c>
      <c r="F24" s="2" t="s">
        <v>1029</v>
      </c>
      <c r="G24" s="2" t="s">
        <v>1036</v>
      </c>
      <c r="H24" s="2" t="s">
        <v>1039</v>
      </c>
      <c r="I24" s="2">
        <v>12</v>
      </c>
      <c r="J24" s="2">
        <v>756000</v>
      </c>
      <c r="K24" s="2">
        <v>9.7899999999999991</v>
      </c>
      <c r="L24" s="2">
        <v>66391</v>
      </c>
      <c r="M24" s="2">
        <v>1214494</v>
      </c>
      <c r="N24" s="2">
        <v>714</v>
      </c>
      <c r="O24" s="2" t="s">
        <v>1044</v>
      </c>
      <c r="P24" s="2">
        <v>0.43</v>
      </c>
      <c r="Q24" s="2">
        <v>0.83</v>
      </c>
      <c r="R24" s="2">
        <v>905800</v>
      </c>
      <c r="S24" s="2">
        <v>12</v>
      </c>
      <c r="T24" s="2">
        <v>712425</v>
      </c>
      <c r="U24" s="2">
        <v>73180</v>
      </c>
      <c r="V24" s="2">
        <v>0</v>
      </c>
      <c r="W24" s="2">
        <v>0</v>
      </c>
      <c r="X24" s="2">
        <v>0</v>
      </c>
      <c r="Y24" s="2" t="s">
        <v>1047</v>
      </c>
      <c r="Z24" s="12">
        <f>SUMIF(Table1[product],Table1[[#This Row],[product]],Table1[loan_amount])</f>
        <v>92273000</v>
      </c>
      <c r="AA24" s="15">
        <f>SUMIF(Table1[region],Table1[[#This Row],[region]],Table1[current_balance])</f>
        <v>98928695</v>
      </c>
      <c r="AB24" s="2">
        <f>COUNTIF(Table1[loan_status],Table1[[#This Row],[loan_status]])</f>
        <v>139</v>
      </c>
      <c r="AC24" s="2">
        <f>COUNTIF(Table1[default_flag],1)/ROWS(Table1[loan_id])</f>
        <v>2.5999999999999999E-2</v>
      </c>
      <c r="AD24" s="2">
        <f>COUNTIFS(Table1[region],Table1[[#This Row],[region]],Table1[default_flag],1)/COUNTIF(Table1[region],Table1[[#This Row],[region]])</f>
        <v>2.8571428571428571E-2</v>
      </c>
      <c r="AE24" s="2">
        <f>COUNTIFS(Table1[channel],Table1[[#This Row],[channel]],Table1[prepayment_flag],1)/COUNTIF(Table1[channel],Table1[[#This Row],[channel]])</f>
        <v>7.1090047393364927E-2</v>
      </c>
      <c r="AF24" s="2">
        <f>AVERAGEIFS(Table1[interest_rate_pct],Table1[product],Table1[[#This Row],[product]],Table1[risk_band],Table1[[#This Row],[risk_band]])</f>
        <v>10.611923076923079</v>
      </c>
      <c r="AG24" s="2" t="str" cm="1">
        <f t="array" ref="AG24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24" s="2">
        <f>COUNTIF(Table1[DTI band],Table1[[#This Row],[DTI band]])</f>
        <v>260</v>
      </c>
      <c r="AI24" s="2" t="str" cm="1">
        <f t="array" ref="AI24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24" s="2">
        <f>COUNTIF(Table1[LTV band],Table1[[#This Row],[LTV band]])</f>
        <v>141</v>
      </c>
      <c r="AK24" s="19">
        <f>COUNTIFS(Table1[count_loan_perband],Table1[[#This Row],[count_loan_perband]],Table1[default_flag],1)/COUNTIF(Table1[count_loan_perband],Table1[[#This Row],[count_loan_perband]])</f>
        <v>1.4184397163120567E-2</v>
      </c>
      <c r="AL24" s="19" t="str" cm="1">
        <f t="array" ref="AL24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24" s="19">
        <f>IF(Table1[[#This Row],[dpd]] &gt;=30,1,0)</f>
        <v>0</v>
      </c>
      <c r="AN24" s="19">
        <f>COUNTIFS(Table1[Loan size],Table1[[#This Row],[Loan size]],Table1[dpd flag],1)/COUNTIF(Table1[Loan size],Table1[[#This Row],[Loan size]])</f>
        <v>0.13934426229508196</v>
      </c>
      <c r="AO24" s="19" t="str">
        <f>IF(OR(Table1[[#This Row],[credit_score]] &lt; 600, Table1[ [#This Row],[dti_ratio] ] &gt; 0.5, Table1[[#This Row],[dpd]] &gt;=30), "high risk", " not riskY")</f>
        <v xml:space="preserve"> not riskY</v>
      </c>
      <c r="AP24" s="29">
        <f>EOMONTH(Table1[[#This Row],[origination_date]],0)</f>
        <v>44592</v>
      </c>
      <c r="AQ24" s="19">
        <f>SUMIFS(Table1[loan_amount],Table1[origination month],Table1[[#This Row],[origination month]])</f>
        <v>19161700</v>
      </c>
      <c r="AR24" s="19">
        <f>AVERAGEIFS(Table1[months_on_book],Table1[product],Table1[[#This Row],[product]])</f>
        <v>20.262135922330096</v>
      </c>
      <c r="AS24" s="19" t="str">
        <f ca="1">IF(EDATE(Table1[[#This Row],[origination_date]],6) &gt;= TODAY(), "New Loan", "Old Loan")</f>
        <v>Old Loan</v>
      </c>
      <c r="AT24" s="19" t="str">
        <f>"Q"&amp;ROUNDUP(MONTH(Table1[[#This Row],[origination_date]])/3,0)&amp;YEAR(Table1[[#This Row],[origination_date]])</f>
        <v>Q12022</v>
      </c>
      <c r="AU24" s="19">
        <f>SUMIFS(Table1[loan_amount],Table1[quarter],Table1[[#This Row],[quarter]])</f>
        <v>65393800</v>
      </c>
    </row>
    <row r="25" spans="2:47" x14ac:dyDescent="0.2">
      <c r="B25" s="5" t="s">
        <v>245</v>
      </c>
      <c r="C25" s="2" t="s">
        <v>745</v>
      </c>
      <c r="D25" s="3">
        <v>44573</v>
      </c>
      <c r="E25" s="2" t="s">
        <v>1024</v>
      </c>
      <c r="F25" s="2" t="s">
        <v>1032</v>
      </c>
      <c r="G25" s="2" t="s">
        <v>1034</v>
      </c>
      <c r="H25" s="2" t="s">
        <v>1039</v>
      </c>
      <c r="I25" s="2">
        <v>360</v>
      </c>
      <c r="J25" s="2">
        <v>927500</v>
      </c>
      <c r="K25" s="2">
        <v>17.8</v>
      </c>
      <c r="L25" s="2">
        <v>13827</v>
      </c>
      <c r="M25" s="2">
        <v>292886</v>
      </c>
      <c r="N25" s="2">
        <v>582</v>
      </c>
      <c r="O25" s="2" t="s">
        <v>1046</v>
      </c>
      <c r="P25" s="2">
        <v>0.43</v>
      </c>
      <c r="Q25" s="2">
        <v>1.17</v>
      </c>
      <c r="R25" s="2">
        <v>796000</v>
      </c>
      <c r="S25" s="2">
        <v>47</v>
      </c>
      <c r="T25" s="2">
        <v>608625</v>
      </c>
      <c r="U25" s="2">
        <v>577524</v>
      </c>
      <c r="V25" s="2">
        <v>30</v>
      </c>
      <c r="W25" s="2">
        <v>0</v>
      </c>
      <c r="X25" s="2">
        <v>0</v>
      </c>
      <c r="Y25" s="2" t="s">
        <v>1048</v>
      </c>
      <c r="Z25" s="12">
        <f>SUMIF(Table1[product],Table1[[#This Row],[product]],Table1[loan_amount])</f>
        <v>92273000</v>
      </c>
      <c r="AA25" s="15">
        <f>SUMIF(Table1[region],Table1[[#This Row],[region]],Table1[current_balance])</f>
        <v>105779369</v>
      </c>
      <c r="AB25" s="2">
        <f>COUNTIF(Table1[loan_status],Table1[[#This Row],[loan_status]])</f>
        <v>47</v>
      </c>
      <c r="AC25" s="2">
        <f>COUNTIF(Table1[default_flag],1)/ROWS(Table1[loan_id])</f>
        <v>2.5999999999999999E-2</v>
      </c>
      <c r="AD25" s="2">
        <f>COUNTIFS(Table1[region],Table1[[#This Row],[region]],Table1[default_flag],1)/COUNTIF(Table1[region],Table1[[#This Row],[region]])</f>
        <v>2.6548672566371681E-2</v>
      </c>
      <c r="AE25" s="2">
        <f>COUNTIFS(Table1[channel],Table1[[#This Row],[channel]],Table1[prepayment_flag],1)/COUNTIF(Table1[channel],Table1[[#This Row],[channel]])</f>
        <v>0.1</v>
      </c>
      <c r="AF25" s="2">
        <f>AVERAGEIFS(Table1[interest_rate_pct],Table1[product],Table1[[#This Row],[product]],Table1[risk_band],Table1[[#This Row],[risk_band]])</f>
        <v>17.744166666666668</v>
      </c>
      <c r="AG25" s="2" t="str" cm="1">
        <f t="array" ref="AG25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25" s="2">
        <f>COUNTIF(Table1[DTI band],Table1[[#This Row],[DTI band]])</f>
        <v>260</v>
      </c>
      <c r="AI25" s="2" t="str" cm="1">
        <f t="array" ref="AI25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25" s="2">
        <f>COUNTIF(Table1[LTV band],Table1[[#This Row],[LTV band]])</f>
        <v>141</v>
      </c>
      <c r="AK25" s="19">
        <f>COUNTIFS(Table1[count_loan_perband],Table1[[#This Row],[count_loan_perband]],Table1[default_flag],1)/COUNTIF(Table1[count_loan_perband],Table1[[#This Row],[count_loan_perband]])</f>
        <v>1.4184397163120567E-2</v>
      </c>
      <c r="AL25" s="19" t="str" cm="1">
        <f t="array" ref="AL25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25" s="19">
        <f>IF(Table1[[#This Row],[dpd]] &gt;=30,1,0)</f>
        <v>1</v>
      </c>
      <c r="AN25" s="19">
        <f>COUNTIFS(Table1[Loan size],Table1[[#This Row],[Loan size]],Table1[dpd flag],1)/COUNTIF(Table1[Loan size],Table1[[#This Row],[Loan size]])</f>
        <v>0.15909090909090909</v>
      </c>
      <c r="AO25" s="19" t="str">
        <f>IF(OR(Table1[[#This Row],[credit_score]] &lt; 600, Table1[ [#This Row],[dti_ratio] ] &gt; 0.5, Table1[[#This Row],[dpd]] &gt;=30), "high risk", " not riskY")</f>
        <v>high risk</v>
      </c>
      <c r="AP25" s="29">
        <f>EOMONTH(Table1[[#This Row],[origination_date]],0)</f>
        <v>44592</v>
      </c>
      <c r="AQ25" s="19">
        <f>SUMIFS(Table1[loan_amount],Table1[origination month],Table1[[#This Row],[origination month]])</f>
        <v>19161700</v>
      </c>
      <c r="AR25" s="19">
        <f>AVERAGEIFS(Table1[months_on_book],Table1[product],Table1[[#This Row],[product]])</f>
        <v>20.262135922330096</v>
      </c>
      <c r="AS25" s="19" t="str">
        <f ca="1">IF(EDATE(Table1[[#This Row],[origination_date]],6) &gt;= TODAY(), "New Loan", "Old Loan")</f>
        <v>Old Loan</v>
      </c>
      <c r="AT25" s="19" t="str">
        <f>"Q"&amp;ROUNDUP(MONTH(Table1[[#This Row],[origination_date]])/3,0)&amp;YEAR(Table1[[#This Row],[origination_date]])</f>
        <v>Q12022</v>
      </c>
      <c r="AU25" s="19">
        <f>SUMIFS(Table1[loan_amount],Table1[quarter],Table1[[#This Row],[quarter]])</f>
        <v>65393800</v>
      </c>
    </row>
    <row r="26" spans="2:47" x14ac:dyDescent="0.2">
      <c r="B26" s="5" t="s">
        <v>490</v>
      </c>
      <c r="C26" s="2" t="s">
        <v>990</v>
      </c>
      <c r="D26" s="3">
        <v>44641</v>
      </c>
      <c r="E26" s="2" t="s">
        <v>1027</v>
      </c>
      <c r="F26" s="2" t="s">
        <v>1032</v>
      </c>
      <c r="G26" s="2" t="s">
        <v>1033</v>
      </c>
      <c r="H26" s="2" t="s">
        <v>1041</v>
      </c>
      <c r="I26" s="2">
        <v>180</v>
      </c>
      <c r="J26" s="2">
        <v>3036000</v>
      </c>
      <c r="K26" s="2">
        <v>11.56</v>
      </c>
      <c r="L26" s="2">
        <v>35582</v>
      </c>
      <c r="M26" s="2">
        <v>905645</v>
      </c>
      <c r="N26" s="2">
        <v>688</v>
      </c>
      <c r="O26" s="2" t="s">
        <v>1042</v>
      </c>
      <c r="P26" s="2">
        <v>0.43</v>
      </c>
      <c r="Q26" s="2">
        <v>0.61</v>
      </c>
      <c r="R26" s="2">
        <v>5014200</v>
      </c>
      <c r="S26" s="2">
        <v>45</v>
      </c>
      <c r="T26" s="2">
        <v>1568365</v>
      </c>
      <c r="U26" s="2">
        <v>1994077</v>
      </c>
      <c r="V26" s="2">
        <v>90</v>
      </c>
      <c r="W26" s="2">
        <v>0</v>
      </c>
      <c r="X26" s="2">
        <v>1</v>
      </c>
      <c r="Y26" s="2" t="s">
        <v>1050</v>
      </c>
      <c r="Z26" s="12">
        <f>SUMIF(Table1[product],Table1[[#This Row],[product]],Table1[loan_amount])</f>
        <v>403369500</v>
      </c>
      <c r="AA26" s="15">
        <f>SUMIF(Table1[region],Table1[[#This Row],[region]],Table1[current_balance])</f>
        <v>83297251</v>
      </c>
      <c r="AB26" s="2">
        <f>COUNTIF(Table1[loan_status],Table1[[#This Row],[loan_status]])</f>
        <v>13</v>
      </c>
      <c r="AC26" s="2">
        <f>COUNTIF(Table1[default_flag],1)/ROWS(Table1[loan_id])</f>
        <v>2.5999999999999999E-2</v>
      </c>
      <c r="AD26" s="2">
        <f>COUNTIFS(Table1[region],Table1[[#This Row],[region]],Table1[default_flag],1)/COUNTIF(Table1[region],Table1[[#This Row],[region]])</f>
        <v>3.1914893617021274E-2</v>
      </c>
      <c r="AE26" s="2">
        <f>COUNTIFS(Table1[channel],Table1[[#This Row],[channel]],Table1[prepayment_flag],1)/COUNTIF(Table1[channel],Table1[[#This Row],[channel]])</f>
        <v>0.1</v>
      </c>
      <c r="AF26" s="2">
        <f>AVERAGEIFS(Table1[interest_rate_pct],Table1[product],Table1[[#This Row],[product]],Table1[risk_band],Table1[[#This Row],[risk_band]])</f>
        <v>11.719736842105268</v>
      </c>
      <c r="AG26" s="2" t="str" cm="1">
        <f t="array" ref="AG26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26" s="2">
        <f>COUNTIF(Table1[DTI band],Table1[[#This Row],[DTI band]])</f>
        <v>260</v>
      </c>
      <c r="AI26" s="2" t="str" cm="1">
        <f t="array" ref="AI26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26" s="2">
        <f>COUNTIF(Table1[LTV band],Table1[[#This Row],[LTV band]])</f>
        <v>302</v>
      </c>
      <c r="AK26" s="19">
        <f>COUNTIFS(Table1[count_loan_perband],Table1[[#This Row],[count_loan_perband]],Table1[default_flag],1)/COUNTIF(Table1[count_loan_perband],Table1[[#This Row],[count_loan_perband]])</f>
        <v>3.6423841059602648E-2</v>
      </c>
      <c r="AL26" s="19" t="str" cm="1">
        <f t="array" ref="AL26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26" s="19">
        <f>IF(Table1[[#This Row],[dpd]] &gt;=30,1,0)</f>
        <v>1</v>
      </c>
      <c r="AN26" s="19">
        <f>COUNTIFS(Table1[Loan size],Table1[[#This Row],[Loan size]],Table1[dpd flag],1)/COUNTIF(Table1[Loan size],Table1[[#This Row],[Loan size]])</f>
        <v>0.15909090909090909</v>
      </c>
      <c r="AO26" s="19" t="str">
        <f>IF(OR(Table1[[#This Row],[credit_score]] &lt; 600, Table1[ [#This Row],[dti_ratio] ] &gt; 0.5, Table1[[#This Row],[dpd]] &gt;=30), "high risk", " not riskY")</f>
        <v>high risk</v>
      </c>
      <c r="AP26" s="29">
        <f>EOMONTH(Table1[[#This Row],[origination_date]],0)</f>
        <v>44651</v>
      </c>
      <c r="AQ26" s="19">
        <f>SUMIFS(Table1[loan_amount],Table1[origination month],Table1[[#This Row],[origination month]])</f>
        <v>25656500</v>
      </c>
      <c r="AR26" s="19">
        <f>AVERAGEIFS(Table1[months_on_book],Table1[product],Table1[[#This Row],[product]])</f>
        <v>20.516129032258064</v>
      </c>
      <c r="AS26" s="19" t="str">
        <f ca="1">IF(EDATE(Table1[[#This Row],[origination_date]],6) &gt;= TODAY(), "New Loan", "Old Loan")</f>
        <v>Old Loan</v>
      </c>
      <c r="AT26" s="19" t="str">
        <f>"Q"&amp;ROUNDUP(MONTH(Table1[[#This Row],[origination_date]])/3,0)&amp;YEAR(Table1[[#This Row],[origination_date]])</f>
        <v>Q12022</v>
      </c>
      <c r="AU26" s="19">
        <f>SUMIFS(Table1[loan_amount],Table1[quarter],Table1[[#This Row],[quarter]])</f>
        <v>65393800</v>
      </c>
    </row>
    <row r="27" spans="2:47" x14ac:dyDescent="0.2">
      <c r="B27" s="5" t="s">
        <v>87</v>
      </c>
      <c r="C27" s="2" t="s">
        <v>587</v>
      </c>
      <c r="D27" s="3">
        <v>44563</v>
      </c>
      <c r="E27" s="2" t="s">
        <v>1027</v>
      </c>
      <c r="F27" s="2" t="s">
        <v>1032</v>
      </c>
      <c r="G27" s="2" t="s">
        <v>1036</v>
      </c>
      <c r="H27" s="2" t="s">
        <v>1038</v>
      </c>
      <c r="I27" s="2">
        <v>12</v>
      </c>
      <c r="J27" s="2">
        <v>3166600</v>
      </c>
      <c r="K27" s="2">
        <v>7.1</v>
      </c>
      <c r="L27" s="2">
        <v>274142</v>
      </c>
      <c r="M27" s="2">
        <v>1204387</v>
      </c>
      <c r="N27" s="2">
        <v>781</v>
      </c>
      <c r="O27" s="2" t="s">
        <v>1043</v>
      </c>
      <c r="P27" s="2">
        <v>0.41</v>
      </c>
      <c r="Q27" s="2">
        <v>0.52</v>
      </c>
      <c r="R27" s="2">
        <v>6033900</v>
      </c>
      <c r="S27" s="2">
        <v>12</v>
      </c>
      <c r="T27" s="2">
        <v>2982681</v>
      </c>
      <c r="U27" s="2">
        <v>273850</v>
      </c>
      <c r="V27" s="2">
        <v>0</v>
      </c>
      <c r="W27" s="2">
        <v>0</v>
      </c>
      <c r="X27" s="2">
        <v>0</v>
      </c>
      <c r="Y27" s="2" t="s">
        <v>1047</v>
      </c>
      <c r="Z27" s="12">
        <f>SUMIF(Table1[product],Table1[[#This Row],[product]],Table1[loan_amount])</f>
        <v>403369500</v>
      </c>
      <c r="AA27" s="15">
        <f>SUMIF(Table1[region],Table1[[#This Row],[region]],Table1[current_balance])</f>
        <v>98928695</v>
      </c>
      <c r="AB27" s="2">
        <f>COUNTIF(Table1[loan_status],Table1[[#This Row],[loan_status]])</f>
        <v>139</v>
      </c>
      <c r="AC27" s="2">
        <f>COUNTIF(Table1[default_flag],1)/ROWS(Table1[loan_id])</f>
        <v>2.5999999999999999E-2</v>
      </c>
      <c r="AD27" s="2">
        <f>COUNTIFS(Table1[region],Table1[[#This Row],[region]],Table1[default_flag],1)/COUNTIF(Table1[region],Table1[[#This Row],[region]])</f>
        <v>2.8571428571428571E-2</v>
      </c>
      <c r="AE27" s="2">
        <f>COUNTIFS(Table1[channel],Table1[[#This Row],[channel]],Table1[prepayment_flag],1)/COUNTIF(Table1[channel],Table1[[#This Row],[channel]])</f>
        <v>0.1</v>
      </c>
      <c r="AF27" s="2">
        <f>AVERAGEIFS(Table1[interest_rate_pct],Table1[product],Table1[[#This Row],[product]],Table1[risk_band],Table1[[#This Row],[risk_band]])</f>
        <v>7.1876190476190471</v>
      </c>
      <c r="AG27" s="2" t="str" cm="1">
        <f t="array" ref="AG27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27" s="2">
        <f>COUNTIF(Table1[DTI band],Table1[[#This Row],[DTI band]])</f>
        <v>260</v>
      </c>
      <c r="AI27" s="2" t="str" cm="1">
        <f t="array" ref="AI27">_xlfn.IFS(Table1[[#This Row],[ltv_ratio]] &lt; 0.6, "less than 0.6 -less risky", Table1[[#This Row],[ltv_ratio]]  &lt;= 0.8, "0.6 - 0.8 -medium risky",Table1[[#This Row],[ltv_ratio]] &gt; 0.8, "greater than 0.8 -highly risky")</f>
        <v>less than 0.6 -less risky</v>
      </c>
      <c r="AJ27" s="2">
        <f>COUNTIF(Table1[LTV band],Table1[[#This Row],[LTV band]])</f>
        <v>57</v>
      </c>
      <c r="AK27" s="19">
        <f>COUNTIFS(Table1[count_loan_perband],Table1[[#This Row],[count_loan_perband]],Table1[default_flag],1)/COUNTIF(Table1[count_loan_perband],Table1[[#This Row],[count_loan_perband]])</f>
        <v>0</v>
      </c>
      <c r="AL27" s="19" t="str" cm="1">
        <f t="array" ref="AL27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27" s="19">
        <f>IF(Table1[[#This Row],[dpd]] &gt;=30,1,0)</f>
        <v>0</v>
      </c>
      <c r="AN27" s="19">
        <f>COUNTIFS(Table1[Loan size],Table1[[#This Row],[Loan size]],Table1[dpd flag],1)/COUNTIF(Table1[Loan size],Table1[[#This Row],[Loan size]])</f>
        <v>0.15909090909090909</v>
      </c>
      <c r="AO27" s="19" t="str">
        <f>IF(OR(Table1[[#This Row],[credit_score]] &lt; 600, Table1[ [#This Row],[dti_ratio] ] &gt; 0.5, Table1[[#This Row],[dpd]] &gt;=30), "high risk", " not riskY")</f>
        <v xml:space="preserve"> not riskY</v>
      </c>
      <c r="AP27" s="29">
        <f>EOMONTH(Table1[[#This Row],[origination_date]],0)</f>
        <v>44592</v>
      </c>
      <c r="AQ27" s="19">
        <f>SUMIFS(Table1[loan_amount],Table1[origination month],Table1[[#This Row],[origination month]])</f>
        <v>19161700</v>
      </c>
      <c r="AR27" s="19">
        <f>AVERAGEIFS(Table1[months_on_book],Table1[product],Table1[[#This Row],[product]])</f>
        <v>20.516129032258064</v>
      </c>
      <c r="AS27" s="19" t="str">
        <f ca="1">IF(EDATE(Table1[[#This Row],[origination_date]],6) &gt;= TODAY(), "New Loan", "Old Loan")</f>
        <v>Old Loan</v>
      </c>
      <c r="AT27" s="19" t="str">
        <f>"Q"&amp;ROUNDUP(MONTH(Table1[[#This Row],[origination_date]])/3,0)&amp;YEAR(Table1[[#This Row],[origination_date]])</f>
        <v>Q12022</v>
      </c>
      <c r="AU27" s="19">
        <f>SUMIFS(Table1[loan_amount],Table1[quarter],Table1[[#This Row],[quarter]])</f>
        <v>65393800</v>
      </c>
    </row>
    <row r="28" spans="2:47" x14ac:dyDescent="0.2">
      <c r="B28" s="5" t="s">
        <v>399</v>
      </c>
      <c r="C28" s="2" t="s">
        <v>899</v>
      </c>
      <c r="D28" s="3">
        <v>44593</v>
      </c>
      <c r="E28" s="2" t="s">
        <v>1026</v>
      </c>
      <c r="F28" s="2" t="s">
        <v>1030</v>
      </c>
      <c r="G28" s="2" t="s">
        <v>1037</v>
      </c>
      <c r="H28" s="2" t="s">
        <v>1038</v>
      </c>
      <c r="I28" s="2">
        <v>360</v>
      </c>
      <c r="J28" s="2">
        <v>50000</v>
      </c>
      <c r="K28" s="2">
        <v>16.559999999999999</v>
      </c>
      <c r="L28" s="2">
        <v>695</v>
      </c>
      <c r="M28" s="2">
        <v>316188</v>
      </c>
      <c r="N28" s="2">
        <v>705</v>
      </c>
      <c r="O28" s="2" t="s">
        <v>1044</v>
      </c>
      <c r="P28" s="2">
        <v>0.4</v>
      </c>
      <c r="Q28" s="2">
        <v>0.81</v>
      </c>
      <c r="R28" s="2">
        <v>0</v>
      </c>
      <c r="S28" s="2">
        <v>46</v>
      </c>
      <c r="T28" s="2">
        <v>28496</v>
      </c>
      <c r="U28" s="2">
        <v>34200</v>
      </c>
      <c r="V28" s="2">
        <v>0</v>
      </c>
      <c r="W28" s="2">
        <v>0</v>
      </c>
      <c r="X28" s="2">
        <v>0</v>
      </c>
      <c r="Y28" s="2" t="s">
        <v>1049</v>
      </c>
      <c r="Z28" s="12">
        <f>SUMIF(Table1[product],Table1[[#This Row],[product]],Table1[loan_amount])</f>
        <v>74897600</v>
      </c>
      <c r="AA28" s="15">
        <f>SUMIF(Table1[region],Table1[[#This Row],[region]],Table1[current_balance])</f>
        <v>94548000</v>
      </c>
      <c r="AB28" s="2">
        <f>COUNTIF(Table1[loan_status],Table1[[#This Row],[loan_status]])</f>
        <v>301</v>
      </c>
      <c r="AC28" s="2">
        <f>COUNTIF(Table1[default_flag],1)/ROWS(Table1[loan_id])</f>
        <v>2.5999999999999999E-2</v>
      </c>
      <c r="AD28" s="2">
        <f>COUNTIFS(Table1[region],Table1[[#This Row],[region]],Table1[default_flag],1)/COUNTIF(Table1[region],Table1[[#This Row],[region]])</f>
        <v>0</v>
      </c>
      <c r="AE28" s="2">
        <f>COUNTIFS(Table1[channel],Table1[[#This Row],[channel]],Table1[prepayment_flag],1)/COUNTIF(Table1[channel],Table1[[#This Row],[channel]])</f>
        <v>5.8201058201058198E-2</v>
      </c>
      <c r="AF28" s="2">
        <f>AVERAGEIFS(Table1[interest_rate_pct],Table1[product],Table1[[#This Row],[product]],Table1[risk_band],Table1[[#This Row],[risk_band]])</f>
        <v>16.500166666666669</v>
      </c>
      <c r="AG28" s="2" t="str" cm="1">
        <f t="array" ref="AG28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28" s="2">
        <f>COUNTIF(Table1[DTI band],Table1[[#This Row],[DTI band]])</f>
        <v>260</v>
      </c>
      <c r="AI28" s="2" t="str" cm="1">
        <f t="array" ref="AI28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28" s="2">
        <f>COUNTIF(Table1[LTV band],Table1[[#This Row],[LTV band]])</f>
        <v>141</v>
      </c>
      <c r="AK28" s="19">
        <f>COUNTIFS(Table1[count_loan_perband],Table1[[#This Row],[count_loan_perband]],Table1[default_flag],1)/COUNTIF(Table1[count_loan_perband],Table1[[#This Row],[count_loan_perband]])</f>
        <v>1.4184397163120567E-2</v>
      </c>
      <c r="AL28" s="19" t="str" cm="1">
        <f t="array" ref="AL28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28" s="19">
        <f>IF(Table1[[#This Row],[dpd]] &gt;=30,1,0)</f>
        <v>0</v>
      </c>
      <c r="AN28" s="19">
        <f>COUNTIFS(Table1[Loan size],Table1[[#This Row],[Loan size]],Table1[dpd flag],1)/COUNTIF(Table1[Loan size],Table1[[#This Row],[Loan size]])</f>
        <v>0.13934426229508196</v>
      </c>
      <c r="AO28" s="19" t="str">
        <f>IF(OR(Table1[[#This Row],[credit_score]] &lt; 600, Table1[ [#This Row],[dti_ratio] ] &gt; 0.5, Table1[[#This Row],[dpd]] &gt;=30), "high risk", " not riskY")</f>
        <v xml:space="preserve"> not riskY</v>
      </c>
      <c r="AP28" s="29">
        <f>EOMONTH(Table1[[#This Row],[origination_date]],0)</f>
        <v>44620</v>
      </c>
      <c r="AQ28" s="19">
        <f>SUMIFS(Table1[loan_amount],Table1[origination month],Table1[[#This Row],[origination month]])</f>
        <v>20575600</v>
      </c>
      <c r="AR28" s="19">
        <f>AVERAGEIFS(Table1[months_on_book],Table1[product],Table1[[#This Row],[product]])</f>
        <v>21.092024539877301</v>
      </c>
      <c r="AS28" s="19" t="str">
        <f ca="1">IF(EDATE(Table1[[#This Row],[origination_date]],6) &gt;= TODAY(), "New Loan", "Old Loan")</f>
        <v>Old Loan</v>
      </c>
      <c r="AT28" s="19" t="str">
        <f>"Q"&amp;ROUNDUP(MONTH(Table1[[#This Row],[origination_date]])/3,0)&amp;YEAR(Table1[[#This Row],[origination_date]])</f>
        <v>Q12022</v>
      </c>
      <c r="AU28" s="19">
        <f>SUMIFS(Table1[loan_amount],Table1[quarter],Table1[[#This Row],[quarter]])</f>
        <v>65393800</v>
      </c>
    </row>
    <row r="29" spans="2:47" x14ac:dyDescent="0.2">
      <c r="B29" s="5" t="s">
        <v>425</v>
      </c>
      <c r="C29" s="2" t="s">
        <v>925</v>
      </c>
      <c r="D29" s="3">
        <v>44604</v>
      </c>
      <c r="E29" s="2" t="s">
        <v>1028</v>
      </c>
      <c r="F29" s="2" t="s">
        <v>1029</v>
      </c>
      <c r="G29" s="2" t="s">
        <v>1033</v>
      </c>
      <c r="H29" s="2" t="s">
        <v>1041</v>
      </c>
      <c r="I29" s="2">
        <v>120</v>
      </c>
      <c r="J29" s="2">
        <v>1202400</v>
      </c>
      <c r="K29" s="2">
        <v>10.210000000000001</v>
      </c>
      <c r="L29" s="2">
        <v>16030</v>
      </c>
      <c r="M29" s="2">
        <v>278271</v>
      </c>
      <c r="N29" s="2">
        <v>707</v>
      </c>
      <c r="O29" s="2" t="s">
        <v>1044</v>
      </c>
      <c r="P29" s="2">
        <v>0.4</v>
      </c>
      <c r="Q29" s="2">
        <v>0.64</v>
      </c>
      <c r="R29" s="2">
        <v>0</v>
      </c>
      <c r="S29" s="2">
        <v>46</v>
      </c>
      <c r="T29" s="2">
        <v>713625</v>
      </c>
      <c r="U29" s="2">
        <v>677015</v>
      </c>
      <c r="V29" s="2">
        <v>0</v>
      </c>
      <c r="W29" s="2">
        <v>0</v>
      </c>
      <c r="X29" s="2">
        <v>0</v>
      </c>
      <c r="Y29" s="2" t="s">
        <v>1049</v>
      </c>
      <c r="Z29" s="12">
        <f>SUMIF(Table1[product],Table1[[#This Row],[product]],Table1[loan_amount])</f>
        <v>62765800</v>
      </c>
      <c r="AA29" s="15">
        <f>SUMIF(Table1[region],Table1[[#This Row],[region]],Table1[current_balance])</f>
        <v>83297251</v>
      </c>
      <c r="AB29" s="2">
        <f>COUNTIF(Table1[loan_status],Table1[[#This Row],[loan_status]])</f>
        <v>301</v>
      </c>
      <c r="AC29" s="2">
        <f>COUNTIF(Table1[default_flag],1)/ROWS(Table1[loan_id])</f>
        <v>2.5999999999999999E-2</v>
      </c>
      <c r="AD29" s="2">
        <f>COUNTIFS(Table1[region],Table1[[#This Row],[region]],Table1[default_flag],1)/COUNTIF(Table1[region],Table1[[#This Row],[region]])</f>
        <v>3.1914893617021274E-2</v>
      </c>
      <c r="AE29" s="2">
        <f>COUNTIFS(Table1[channel],Table1[[#This Row],[channel]],Table1[prepayment_flag],1)/COUNTIF(Table1[channel],Table1[[#This Row],[channel]])</f>
        <v>7.1090047393364927E-2</v>
      </c>
      <c r="AF29" s="2">
        <f>AVERAGEIFS(Table1[interest_rate_pct],Table1[product],Table1[[#This Row],[product]],Table1[risk_band],Table1[[#This Row],[risk_band]])</f>
        <v>10.832666666666663</v>
      </c>
      <c r="AG29" s="2" t="str" cm="1">
        <f t="array" ref="AG29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29" s="2">
        <f>COUNTIF(Table1[DTI band],Table1[[#This Row],[DTI band]])</f>
        <v>260</v>
      </c>
      <c r="AI29" s="2" t="str" cm="1">
        <f t="array" ref="AI29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29" s="2">
        <f>COUNTIF(Table1[LTV band],Table1[[#This Row],[LTV band]])</f>
        <v>302</v>
      </c>
      <c r="AK29" s="19">
        <f>COUNTIFS(Table1[count_loan_perband],Table1[[#This Row],[count_loan_perband]],Table1[default_flag],1)/COUNTIF(Table1[count_loan_perband],Table1[[#This Row],[count_loan_perband]])</f>
        <v>3.6423841059602648E-2</v>
      </c>
      <c r="AL29" s="19" t="str" cm="1">
        <f t="array" ref="AL29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29" s="19">
        <f>IF(Table1[[#This Row],[dpd]] &gt;=30,1,0)</f>
        <v>0</v>
      </c>
      <c r="AN29" s="19">
        <f>COUNTIFS(Table1[Loan size],Table1[[#This Row],[Loan size]],Table1[dpd flag],1)/COUNTIF(Table1[Loan size],Table1[[#This Row],[Loan size]])</f>
        <v>0.15909090909090909</v>
      </c>
      <c r="AO29" s="19" t="str">
        <f>IF(OR(Table1[[#This Row],[credit_score]] &lt; 600, Table1[ [#This Row],[dti_ratio] ] &gt; 0.5, Table1[[#This Row],[dpd]] &gt;=30), "high risk", " not riskY")</f>
        <v xml:space="preserve"> not riskY</v>
      </c>
      <c r="AP29" s="29">
        <f>EOMONTH(Table1[[#This Row],[origination_date]],0)</f>
        <v>44620</v>
      </c>
      <c r="AQ29" s="19">
        <f>SUMIFS(Table1[loan_amount],Table1[origination month],Table1[[#This Row],[origination month]])</f>
        <v>20575600</v>
      </c>
      <c r="AR29" s="19">
        <f>AVERAGEIFS(Table1[months_on_book],Table1[product],Table1[[#This Row],[product]])</f>
        <v>21.962962962962962</v>
      </c>
      <c r="AS29" s="19" t="str">
        <f ca="1">IF(EDATE(Table1[[#This Row],[origination_date]],6) &gt;= TODAY(), "New Loan", "Old Loan")</f>
        <v>Old Loan</v>
      </c>
      <c r="AT29" s="19" t="str">
        <f>"Q"&amp;ROUNDUP(MONTH(Table1[[#This Row],[origination_date]])/3,0)&amp;YEAR(Table1[[#This Row],[origination_date]])</f>
        <v>Q12022</v>
      </c>
      <c r="AU29" s="19">
        <f>SUMIFS(Table1[loan_amount],Table1[quarter],Table1[[#This Row],[quarter]])</f>
        <v>65393800</v>
      </c>
    </row>
    <row r="30" spans="2:47" x14ac:dyDescent="0.2">
      <c r="B30" s="5" t="s">
        <v>85</v>
      </c>
      <c r="C30" s="2" t="s">
        <v>585</v>
      </c>
      <c r="D30" s="3">
        <v>44640</v>
      </c>
      <c r="E30" s="2" t="s">
        <v>1025</v>
      </c>
      <c r="F30" s="2" t="s">
        <v>1029</v>
      </c>
      <c r="G30" s="2" t="s">
        <v>1033</v>
      </c>
      <c r="H30" s="2" t="s">
        <v>1038</v>
      </c>
      <c r="I30" s="2">
        <v>36</v>
      </c>
      <c r="J30" s="2">
        <v>2959800</v>
      </c>
      <c r="K30" s="2">
        <v>14.64</v>
      </c>
      <c r="L30" s="2">
        <v>102081</v>
      </c>
      <c r="M30" s="2">
        <v>882280</v>
      </c>
      <c r="N30" s="2">
        <v>693</v>
      </c>
      <c r="O30" s="2" t="s">
        <v>1042</v>
      </c>
      <c r="P30" s="2">
        <v>0.38</v>
      </c>
      <c r="Q30" s="2">
        <v>0.74</v>
      </c>
      <c r="R30" s="2">
        <v>3975900</v>
      </c>
      <c r="S30" s="2">
        <v>36</v>
      </c>
      <c r="T30" s="2">
        <v>3488574</v>
      </c>
      <c r="U30" s="2">
        <v>0</v>
      </c>
      <c r="V30" s="2">
        <v>0</v>
      </c>
      <c r="W30" s="2">
        <v>0</v>
      </c>
      <c r="X30" s="2">
        <v>0</v>
      </c>
      <c r="Y30" s="2" t="s">
        <v>1047</v>
      </c>
      <c r="Z30" s="12">
        <f>SUMIF(Table1[product],Table1[[#This Row],[product]],Table1[loan_amount])</f>
        <v>201475100</v>
      </c>
      <c r="AA30" s="15">
        <f>SUMIF(Table1[region],Table1[[#This Row],[region]],Table1[current_balance])</f>
        <v>83297251</v>
      </c>
      <c r="AB30" s="2">
        <f>COUNTIF(Table1[loan_status],Table1[[#This Row],[loan_status]])</f>
        <v>139</v>
      </c>
      <c r="AC30" s="2">
        <f>COUNTIF(Table1[default_flag],1)/ROWS(Table1[loan_id])</f>
        <v>2.5999999999999999E-2</v>
      </c>
      <c r="AD30" s="2">
        <f>COUNTIFS(Table1[region],Table1[[#This Row],[region]],Table1[default_flag],1)/COUNTIF(Table1[region],Table1[[#This Row],[region]])</f>
        <v>3.1914893617021274E-2</v>
      </c>
      <c r="AE30" s="2">
        <f>COUNTIFS(Table1[channel],Table1[[#This Row],[channel]],Table1[prepayment_flag],1)/COUNTIF(Table1[channel],Table1[[#This Row],[channel]])</f>
        <v>7.1090047393364927E-2</v>
      </c>
      <c r="AF30" s="2">
        <f>AVERAGEIFS(Table1[interest_rate_pct],Table1[product],Table1[[#This Row],[product]],Table1[risk_band],Table1[[#This Row],[risk_band]])</f>
        <v>15.841379310344831</v>
      </c>
      <c r="AG30" s="2" t="str" cm="1">
        <f t="array" ref="AG30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30" s="2">
        <f>COUNTIF(Table1[DTI band],Table1[[#This Row],[DTI band]])</f>
        <v>260</v>
      </c>
      <c r="AI30" s="2" t="str" cm="1">
        <f t="array" ref="AI30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30" s="2">
        <f>COUNTIF(Table1[LTV band],Table1[[#This Row],[LTV band]])</f>
        <v>302</v>
      </c>
      <c r="AK30" s="19">
        <f>COUNTIFS(Table1[count_loan_perband],Table1[[#This Row],[count_loan_perband]],Table1[default_flag],1)/COUNTIF(Table1[count_loan_perband],Table1[[#This Row],[count_loan_perband]])</f>
        <v>3.6423841059602648E-2</v>
      </c>
      <c r="AL30" s="19" t="str" cm="1">
        <f t="array" ref="AL30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30" s="19">
        <f>IF(Table1[[#This Row],[dpd]] &gt;=30,1,0)</f>
        <v>0</v>
      </c>
      <c r="AN30" s="19">
        <f>COUNTIFS(Table1[Loan size],Table1[[#This Row],[Loan size]],Table1[dpd flag],1)/COUNTIF(Table1[Loan size],Table1[[#This Row],[Loan size]])</f>
        <v>0.15909090909090909</v>
      </c>
      <c r="AO30" s="19" t="str">
        <f>IF(OR(Table1[[#This Row],[credit_score]] &lt; 600, Table1[ [#This Row],[dti_ratio] ] &gt; 0.5, Table1[[#This Row],[dpd]] &gt;=30), "high risk", " not riskY")</f>
        <v xml:space="preserve"> not riskY</v>
      </c>
      <c r="AP30" s="29">
        <f>EOMONTH(Table1[[#This Row],[origination_date]],0)</f>
        <v>44651</v>
      </c>
      <c r="AQ30" s="19">
        <f>SUMIFS(Table1[loan_amount],Table1[origination month],Table1[[#This Row],[origination month]])</f>
        <v>25656500</v>
      </c>
      <c r="AR30" s="19">
        <f>AVERAGEIFS(Table1[months_on_book],Table1[product],Table1[[#This Row],[product]])</f>
        <v>19.091954022988507</v>
      </c>
      <c r="AS30" s="19" t="str">
        <f ca="1">IF(EDATE(Table1[[#This Row],[origination_date]],6) &gt;= TODAY(), "New Loan", "Old Loan")</f>
        <v>Old Loan</v>
      </c>
      <c r="AT30" s="19" t="str">
        <f>"Q"&amp;ROUNDUP(MONTH(Table1[[#This Row],[origination_date]])/3,0)&amp;YEAR(Table1[[#This Row],[origination_date]])</f>
        <v>Q12022</v>
      </c>
      <c r="AU30" s="19">
        <f>SUMIFS(Table1[loan_amount],Table1[quarter],Table1[[#This Row],[quarter]])</f>
        <v>65393800</v>
      </c>
    </row>
    <row r="31" spans="2:47" x14ac:dyDescent="0.2">
      <c r="B31" s="5" t="s">
        <v>177</v>
      </c>
      <c r="C31" s="2" t="s">
        <v>677</v>
      </c>
      <c r="D31" s="3">
        <v>44642</v>
      </c>
      <c r="E31" s="2" t="s">
        <v>1024</v>
      </c>
      <c r="F31" s="2" t="s">
        <v>1030</v>
      </c>
      <c r="G31" s="2" t="s">
        <v>1036</v>
      </c>
      <c r="H31" s="2" t="s">
        <v>1038</v>
      </c>
      <c r="I31" s="2">
        <v>18</v>
      </c>
      <c r="J31" s="2">
        <v>601500</v>
      </c>
      <c r="K31" s="2">
        <v>12.92</v>
      </c>
      <c r="L31" s="2">
        <v>36938</v>
      </c>
      <c r="M31" s="2">
        <v>654036</v>
      </c>
      <c r="N31" s="2">
        <v>692</v>
      </c>
      <c r="O31" s="2" t="s">
        <v>1042</v>
      </c>
      <c r="P31" s="2">
        <v>0.38</v>
      </c>
      <c r="Q31" s="2">
        <v>0.71</v>
      </c>
      <c r="R31" s="2">
        <v>848500</v>
      </c>
      <c r="S31" s="2">
        <v>18</v>
      </c>
      <c r="T31" s="2">
        <v>657812</v>
      </c>
      <c r="U31" s="2">
        <v>0</v>
      </c>
      <c r="V31" s="2">
        <v>0</v>
      </c>
      <c r="W31" s="2">
        <v>0</v>
      </c>
      <c r="X31" s="2">
        <v>0</v>
      </c>
      <c r="Y31" s="2" t="s">
        <v>1047</v>
      </c>
      <c r="Z31" s="12">
        <f>SUMIF(Table1[product],Table1[[#This Row],[product]],Table1[loan_amount])</f>
        <v>92273000</v>
      </c>
      <c r="AA31" s="15">
        <f>SUMIF(Table1[region],Table1[[#This Row],[region]],Table1[current_balance])</f>
        <v>98928695</v>
      </c>
      <c r="AB31" s="2">
        <f>COUNTIF(Table1[loan_status],Table1[[#This Row],[loan_status]])</f>
        <v>139</v>
      </c>
      <c r="AC31" s="2">
        <f>COUNTIF(Table1[default_flag],1)/ROWS(Table1[loan_id])</f>
        <v>2.5999999999999999E-2</v>
      </c>
      <c r="AD31" s="2">
        <f>COUNTIFS(Table1[region],Table1[[#This Row],[region]],Table1[default_flag],1)/COUNTIF(Table1[region],Table1[[#This Row],[region]])</f>
        <v>2.8571428571428571E-2</v>
      </c>
      <c r="AE31" s="2">
        <f>COUNTIFS(Table1[channel],Table1[[#This Row],[channel]],Table1[prepayment_flag],1)/COUNTIF(Table1[channel],Table1[[#This Row],[channel]])</f>
        <v>5.8201058201058198E-2</v>
      </c>
      <c r="AF31" s="2">
        <f>AVERAGEIFS(Table1[interest_rate_pct],Table1[product],Table1[[#This Row],[product]],Table1[risk_band],Table1[[#This Row],[risk_band]])</f>
        <v>13.246500000000001</v>
      </c>
      <c r="AG31" s="2" t="str" cm="1">
        <f t="array" ref="AG31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31" s="2">
        <f>COUNTIF(Table1[DTI band],Table1[[#This Row],[DTI band]])</f>
        <v>260</v>
      </c>
      <c r="AI31" s="2" t="str" cm="1">
        <f t="array" ref="AI31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31" s="2">
        <f>COUNTIF(Table1[LTV band],Table1[[#This Row],[LTV band]])</f>
        <v>302</v>
      </c>
      <c r="AK31" s="19">
        <f>COUNTIFS(Table1[count_loan_perband],Table1[[#This Row],[count_loan_perband]],Table1[default_flag],1)/COUNTIF(Table1[count_loan_perband],Table1[[#This Row],[count_loan_perband]])</f>
        <v>3.6423841059602648E-2</v>
      </c>
      <c r="AL31" s="19" t="str" cm="1">
        <f t="array" ref="AL31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31" s="19">
        <f>IF(Table1[[#This Row],[dpd]] &gt;=30,1,0)</f>
        <v>0</v>
      </c>
      <c r="AN31" s="19">
        <f>COUNTIFS(Table1[Loan size],Table1[[#This Row],[Loan size]],Table1[dpd flag],1)/COUNTIF(Table1[Loan size],Table1[[#This Row],[Loan size]])</f>
        <v>0.13934426229508196</v>
      </c>
      <c r="AO31" s="19" t="str">
        <f>IF(OR(Table1[[#This Row],[credit_score]] &lt; 600, Table1[ [#This Row],[dti_ratio] ] &gt; 0.5, Table1[[#This Row],[dpd]] &gt;=30), "high risk", " not riskY")</f>
        <v xml:space="preserve"> not riskY</v>
      </c>
      <c r="AP31" s="29">
        <f>EOMONTH(Table1[[#This Row],[origination_date]],0)</f>
        <v>44651</v>
      </c>
      <c r="AQ31" s="19">
        <f>SUMIFS(Table1[loan_amount],Table1[origination month],Table1[[#This Row],[origination month]])</f>
        <v>25656500</v>
      </c>
      <c r="AR31" s="19">
        <f>AVERAGEIFS(Table1[months_on_book],Table1[product],Table1[[#This Row],[product]])</f>
        <v>20.262135922330096</v>
      </c>
      <c r="AS31" s="19" t="str">
        <f ca="1">IF(EDATE(Table1[[#This Row],[origination_date]],6) &gt;= TODAY(), "New Loan", "Old Loan")</f>
        <v>Old Loan</v>
      </c>
      <c r="AT31" s="19" t="str">
        <f>"Q"&amp;ROUNDUP(MONTH(Table1[[#This Row],[origination_date]])/3,0)&amp;YEAR(Table1[[#This Row],[origination_date]])</f>
        <v>Q12022</v>
      </c>
      <c r="AU31" s="19">
        <f>SUMIFS(Table1[loan_amount],Table1[quarter],Table1[[#This Row],[quarter]])</f>
        <v>65393800</v>
      </c>
    </row>
    <row r="32" spans="2:47" x14ac:dyDescent="0.2">
      <c r="B32" s="5" t="s">
        <v>24</v>
      </c>
      <c r="C32" s="2" t="s">
        <v>524</v>
      </c>
      <c r="D32" s="3">
        <v>44587</v>
      </c>
      <c r="E32" s="2" t="s">
        <v>1024</v>
      </c>
      <c r="F32" s="2" t="s">
        <v>1029</v>
      </c>
      <c r="G32" s="2" t="s">
        <v>1033</v>
      </c>
      <c r="H32" s="2" t="s">
        <v>1038</v>
      </c>
      <c r="I32" s="2">
        <v>360</v>
      </c>
      <c r="J32" s="2">
        <v>879200</v>
      </c>
      <c r="K32" s="2">
        <v>13.25</v>
      </c>
      <c r="L32" s="2">
        <v>9898</v>
      </c>
      <c r="M32" s="2">
        <v>418385</v>
      </c>
      <c r="N32" s="2">
        <v>661</v>
      </c>
      <c r="O32" s="2" t="s">
        <v>1042</v>
      </c>
      <c r="P32" s="2">
        <v>0.37</v>
      </c>
      <c r="Q32" s="2">
        <v>0.43</v>
      </c>
      <c r="R32" s="2">
        <v>2040600</v>
      </c>
      <c r="S32" s="2">
        <v>47</v>
      </c>
      <c r="T32" s="2">
        <v>422243</v>
      </c>
      <c r="U32" s="2">
        <v>639464</v>
      </c>
      <c r="V32" s="2">
        <v>0</v>
      </c>
      <c r="W32" s="2">
        <v>1</v>
      </c>
      <c r="X32" s="2">
        <v>0</v>
      </c>
      <c r="Y32" s="2" t="s">
        <v>1047</v>
      </c>
      <c r="Z32" s="12">
        <f>SUMIF(Table1[product],Table1[[#This Row],[product]],Table1[loan_amount])</f>
        <v>92273000</v>
      </c>
      <c r="AA32" s="15">
        <f>SUMIF(Table1[region],Table1[[#This Row],[region]],Table1[current_balance])</f>
        <v>83297251</v>
      </c>
      <c r="AB32" s="2">
        <f>COUNTIF(Table1[loan_status],Table1[[#This Row],[loan_status]])</f>
        <v>139</v>
      </c>
      <c r="AC32" s="2">
        <f>COUNTIF(Table1[default_flag],1)/ROWS(Table1[loan_id])</f>
        <v>2.5999999999999999E-2</v>
      </c>
      <c r="AD32" s="2">
        <f>COUNTIFS(Table1[region],Table1[[#This Row],[region]],Table1[default_flag],1)/COUNTIF(Table1[region],Table1[[#This Row],[region]])</f>
        <v>3.1914893617021274E-2</v>
      </c>
      <c r="AE32" s="2">
        <f>COUNTIFS(Table1[channel],Table1[[#This Row],[channel]],Table1[prepayment_flag],1)/COUNTIF(Table1[channel],Table1[[#This Row],[channel]])</f>
        <v>7.1090047393364927E-2</v>
      </c>
      <c r="AF32" s="2">
        <f>AVERAGEIFS(Table1[interest_rate_pct],Table1[product],Table1[[#This Row],[product]],Table1[risk_band],Table1[[#This Row],[risk_band]])</f>
        <v>13.246500000000001</v>
      </c>
      <c r="AG32" s="2" t="str" cm="1">
        <f t="array" ref="AG32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32" s="2">
        <f>COUNTIF(Table1[DTI band],Table1[[#This Row],[DTI band]])</f>
        <v>260</v>
      </c>
      <c r="AI32" s="2" t="str" cm="1">
        <f t="array" ref="AI32">_xlfn.IFS(Table1[[#This Row],[ltv_ratio]] &lt; 0.6, "less than 0.6 -less risky", Table1[[#This Row],[ltv_ratio]]  &lt;= 0.8, "0.6 - 0.8 -medium risky",Table1[[#This Row],[ltv_ratio]] &gt; 0.8, "greater than 0.8 -highly risky")</f>
        <v>less than 0.6 -less risky</v>
      </c>
      <c r="AJ32" s="2">
        <f>COUNTIF(Table1[LTV band],Table1[[#This Row],[LTV band]])</f>
        <v>57</v>
      </c>
      <c r="AK32" s="19">
        <f>COUNTIFS(Table1[count_loan_perband],Table1[[#This Row],[count_loan_perband]],Table1[default_flag],1)/COUNTIF(Table1[count_loan_perband],Table1[[#This Row],[count_loan_perband]])</f>
        <v>0</v>
      </c>
      <c r="AL32" s="19" t="str" cm="1">
        <f t="array" ref="AL32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32" s="19">
        <f>IF(Table1[[#This Row],[dpd]] &gt;=30,1,0)</f>
        <v>0</v>
      </c>
      <c r="AN32" s="19">
        <f>COUNTIFS(Table1[Loan size],Table1[[#This Row],[Loan size]],Table1[dpd flag],1)/COUNTIF(Table1[Loan size],Table1[[#This Row],[Loan size]])</f>
        <v>0.13934426229508196</v>
      </c>
      <c r="AO32" s="19" t="str">
        <f>IF(OR(Table1[[#This Row],[credit_score]] &lt; 600, Table1[ [#This Row],[dti_ratio] ] &gt; 0.5, Table1[[#This Row],[dpd]] &gt;=30), "high risk", " not riskY")</f>
        <v xml:space="preserve"> not riskY</v>
      </c>
      <c r="AP32" s="29">
        <f>EOMONTH(Table1[[#This Row],[origination_date]],0)</f>
        <v>44592</v>
      </c>
      <c r="AQ32" s="19">
        <f>SUMIFS(Table1[loan_amount],Table1[origination month],Table1[[#This Row],[origination month]])</f>
        <v>19161700</v>
      </c>
      <c r="AR32" s="19">
        <f>AVERAGEIFS(Table1[months_on_book],Table1[product],Table1[[#This Row],[product]])</f>
        <v>20.262135922330096</v>
      </c>
      <c r="AS32" s="19" t="str">
        <f ca="1">IF(EDATE(Table1[[#This Row],[origination_date]],6) &gt;= TODAY(), "New Loan", "Old Loan")</f>
        <v>Old Loan</v>
      </c>
      <c r="AT32" s="19" t="str">
        <f>"Q"&amp;ROUNDUP(MONTH(Table1[[#This Row],[origination_date]])/3,0)&amp;YEAR(Table1[[#This Row],[origination_date]])</f>
        <v>Q12022</v>
      </c>
      <c r="AU32" s="19">
        <f>SUMIFS(Table1[loan_amount],Table1[quarter],Table1[[#This Row],[quarter]])</f>
        <v>65393800</v>
      </c>
    </row>
    <row r="33" spans="2:47" x14ac:dyDescent="0.2">
      <c r="B33" s="5" t="s">
        <v>29</v>
      </c>
      <c r="C33" s="2" t="s">
        <v>529</v>
      </c>
      <c r="D33" s="3">
        <v>44597</v>
      </c>
      <c r="E33" s="2" t="s">
        <v>1026</v>
      </c>
      <c r="F33" s="2" t="s">
        <v>1030</v>
      </c>
      <c r="G33" s="2" t="s">
        <v>1035</v>
      </c>
      <c r="H33" s="2" t="s">
        <v>1039</v>
      </c>
      <c r="I33" s="2">
        <v>120</v>
      </c>
      <c r="J33" s="2">
        <v>658700</v>
      </c>
      <c r="K33" s="2">
        <v>12.36</v>
      </c>
      <c r="L33" s="2">
        <v>9588</v>
      </c>
      <c r="M33" s="2">
        <v>1103139</v>
      </c>
      <c r="N33" s="2">
        <v>800</v>
      </c>
      <c r="O33" s="2" t="s">
        <v>1043</v>
      </c>
      <c r="P33" s="2">
        <v>0.36</v>
      </c>
      <c r="Q33" s="2">
        <v>0.73</v>
      </c>
      <c r="R33" s="2">
        <v>0</v>
      </c>
      <c r="S33" s="2">
        <v>46</v>
      </c>
      <c r="T33" s="2">
        <v>447028</v>
      </c>
      <c r="U33" s="2">
        <v>336509</v>
      </c>
      <c r="V33" s="2">
        <v>5</v>
      </c>
      <c r="W33" s="2">
        <v>0</v>
      </c>
      <c r="X33" s="2">
        <v>0</v>
      </c>
      <c r="Y33" s="2" t="s">
        <v>1049</v>
      </c>
      <c r="Z33" s="12">
        <f>SUMIF(Table1[product],Table1[[#This Row],[product]],Table1[loan_amount])</f>
        <v>74897600</v>
      </c>
      <c r="AA33" s="15">
        <f>SUMIF(Table1[region],Table1[[#This Row],[region]],Table1[current_balance])</f>
        <v>83903255</v>
      </c>
      <c r="AB33" s="2">
        <f>COUNTIF(Table1[loan_status],Table1[[#This Row],[loan_status]])</f>
        <v>301</v>
      </c>
      <c r="AC33" s="2">
        <f>COUNTIF(Table1[default_flag],1)/ROWS(Table1[loan_id])</f>
        <v>2.5999999999999999E-2</v>
      </c>
      <c r="AD33" s="2">
        <f>COUNTIFS(Table1[region],Table1[[#This Row],[region]],Table1[default_flag],1)/COUNTIF(Table1[region],Table1[[#This Row],[region]])</f>
        <v>4.2553191489361701E-2</v>
      </c>
      <c r="AE33" s="2">
        <f>COUNTIFS(Table1[channel],Table1[[#This Row],[channel]],Table1[prepayment_flag],1)/COUNTIF(Table1[channel],Table1[[#This Row],[channel]])</f>
        <v>5.8201058201058198E-2</v>
      </c>
      <c r="AF33" s="2">
        <f>AVERAGEIFS(Table1[interest_rate_pct],Table1[product],Table1[[#This Row],[product]],Table1[risk_band],Table1[[#This Row],[risk_band]])</f>
        <v>13.328333333333335</v>
      </c>
      <c r="AG33" s="2" t="str" cm="1">
        <f t="array" ref="AG33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33" s="2">
        <f>COUNTIF(Table1[DTI band],Table1[[#This Row],[DTI band]])</f>
        <v>260</v>
      </c>
      <c r="AI33" s="2" t="str" cm="1">
        <f t="array" ref="AI33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33" s="2">
        <f>COUNTIF(Table1[LTV band],Table1[[#This Row],[LTV band]])</f>
        <v>302</v>
      </c>
      <c r="AK33" s="19">
        <f>COUNTIFS(Table1[count_loan_perband],Table1[[#This Row],[count_loan_perband]],Table1[default_flag],1)/COUNTIF(Table1[count_loan_perband],Table1[[#This Row],[count_loan_perband]])</f>
        <v>3.6423841059602648E-2</v>
      </c>
      <c r="AL33" s="19" t="str" cm="1">
        <f t="array" ref="AL33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33" s="19">
        <f>IF(Table1[[#This Row],[dpd]] &gt;=30,1,0)</f>
        <v>0</v>
      </c>
      <c r="AN33" s="19">
        <f>COUNTIFS(Table1[Loan size],Table1[[#This Row],[Loan size]],Table1[dpd flag],1)/COUNTIF(Table1[Loan size],Table1[[#This Row],[Loan size]])</f>
        <v>0.13934426229508196</v>
      </c>
      <c r="AO33" s="19" t="str">
        <f>IF(OR(Table1[[#This Row],[credit_score]] &lt; 600, Table1[ [#This Row],[dti_ratio] ] &gt; 0.5, Table1[[#This Row],[dpd]] &gt;=30), "high risk", " not riskY")</f>
        <v xml:space="preserve"> not riskY</v>
      </c>
      <c r="AP33" s="29">
        <f>EOMONTH(Table1[[#This Row],[origination_date]],0)</f>
        <v>44620</v>
      </c>
      <c r="AQ33" s="19">
        <f>SUMIFS(Table1[loan_amount],Table1[origination month],Table1[[#This Row],[origination month]])</f>
        <v>20575600</v>
      </c>
      <c r="AR33" s="19">
        <f>AVERAGEIFS(Table1[months_on_book],Table1[product],Table1[[#This Row],[product]])</f>
        <v>21.092024539877301</v>
      </c>
      <c r="AS33" s="19" t="str">
        <f ca="1">IF(EDATE(Table1[[#This Row],[origination_date]],6) &gt;= TODAY(), "New Loan", "Old Loan")</f>
        <v>Old Loan</v>
      </c>
      <c r="AT33" s="19" t="str">
        <f>"Q"&amp;ROUNDUP(MONTH(Table1[[#This Row],[origination_date]])/3,0)&amp;YEAR(Table1[[#This Row],[origination_date]])</f>
        <v>Q12022</v>
      </c>
      <c r="AU33" s="19">
        <f>SUMIFS(Table1[loan_amount],Table1[quarter],Table1[[#This Row],[quarter]])</f>
        <v>65393800</v>
      </c>
    </row>
    <row r="34" spans="2:47" x14ac:dyDescent="0.2">
      <c r="B34" s="5" t="s">
        <v>358</v>
      </c>
      <c r="C34" s="2" t="s">
        <v>858</v>
      </c>
      <c r="D34" s="3">
        <v>44574</v>
      </c>
      <c r="E34" s="2" t="s">
        <v>1024</v>
      </c>
      <c r="F34" s="2" t="s">
        <v>1029</v>
      </c>
      <c r="G34" s="2" t="s">
        <v>1036</v>
      </c>
      <c r="H34" s="2" t="s">
        <v>1038</v>
      </c>
      <c r="I34" s="2">
        <v>60</v>
      </c>
      <c r="J34" s="2">
        <v>575700</v>
      </c>
      <c r="K34" s="2">
        <v>14.45</v>
      </c>
      <c r="L34" s="2">
        <v>13530</v>
      </c>
      <c r="M34" s="2">
        <v>630069</v>
      </c>
      <c r="N34" s="2">
        <v>636</v>
      </c>
      <c r="O34" s="2" t="s">
        <v>1045</v>
      </c>
      <c r="P34" s="2">
        <v>0.36</v>
      </c>
      <c r="Q34" s="2">
        <v>0.65</v>
      </c>
      <c r="R34" s="2">
        <v>888200</v>
      </c>
      <c r="S34" s="2">
        <v>47</v>
      </c>
      <c r="T34" s="2">
        <v>564611</v>
      </c>
      <c r="U34" s="2">
        <v>141418</v>
      </c>
      <c r="V34" s="2">
        <v>5</v>
      </c>
      <c r="W34" s="2">
        <v>0</v>
      </c>
      <c r="X34" s="2">
        <v>0</v>
      </c>
      <c r="Y34" s="2" t="s">
        <v>1049</v>
      </c>
      <c r="Z34" s="12">
        <f>SUMIF(Table1[product],Table1[[#This Row],[product]],Table1[loan_amount])</f>
        <v>92273000</v>
      </c>
      <c r="AA34" s="15">
        <f>SUMIF(Table1[region],Table1[[#This Row],[region]],Table1[current_balance])</f>
        <v>98928695</v>
      </c>
      <c r="AB34" s="2">
        <f>COUNTIF(Table1[loan_status],Table1[[#This Row],[loan_status]])</f>
        <v>301</v>
      </c>
      <c r="AC34" s="2">
        <f>COUNTIF(Table1[default_flag],1)/ROWS(Table1[loan_id])</f>
        <v>2.5999999999999999E-2</v>
      </c>
      <c r="AD34" s="2">
        <f>COUNTIFS(Table1[region],Table1[[#This Row],[region]],Table1[default_flag],1)/COUNTIF(Table1[region],Table1[[#This Row],[region]])</f>
        <v>2.8571428571428571E-2</v>
      </c>
      <c r="AE34" s="2">
        <f>COUNTIFS(Table1[channel],Table1[[#This Row],[channel]],Table1[prepayment_flag],1)/COUNTIF(Table1[channel],Table1[[#This Row],[channel]])</f>
        <v>7.1090047393364927E-2</v>
      </c>
      <c r="AF34" s="2">
        <f>AVERAGEIFS(Table1[interest_rate_pct],Table1[product],Table1[[#This Row],[product]],Table1[risk_band],Table1[[#This Row],[risk_band]])</f>
        <v>15.092000000000001</v>
      </c>
      <c r="AG34" s="2" t="str" cm="1">
        <f t="array" ref="AG34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34" s="2">
        <f>COUNTIF(Table1[DTI band],Table1[[#This Row],[DTI band]])</f>
        <v>260</v>
      </c>
      <c r="AI34" s="2" t="str" cm="1">
        <f t="array" ref="AI34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34" s="2">
        <f>COUNTIF(Table1[LTV band],Table1[[#This Row],[LTV band]])</f>
        <v>302</v>
      </c>
      <c r="AK34" s="19">
        <f>COUNTIFS(Table1[count_loan_perband],Table1[[#This Row],[count_loan_perband]],Table1[default_flag],1)/COUNTIF(Table1[count_loan_perband],Table1[[#This Row],[count_loan_perband]])</f>
        <v>3.6423841059602648E-2</v>
      </c>
      <c r="AL34" s="19" t="str" cm="1">
        <f t="array" ref="AL34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34" s="19">
        <f>IF(Table1[[#This Row],[dpd]] &gt;=30,1,0)</f>
        <v>0</v>
      </c>
      <c r="AN34" s="19">
        <f>COUNTIFS(Table1[Loan size],Table1[[#This Row],[Loan size]],Table1[dpd flag],1)/COUNTIF(Table1[Loan size],Table1[[#This Row],[Loan size]])</f>
        <v>0.13934426229508196</v>
      </c>
      <c r="AO34" s="19" t="str">
        <f>IF(OR(Table1[[#This Row],[credit_score]] &lt; 600, Table1[ [#This Row],[dti_ratio] ] &gt; 0.5, Table1[[#This Row],[dpd]] &gt;=30), "high risk", " not riskY")</f>
        <v xml:space="preserve"> not riskY</v>
      </c>
      <c r="AP34" s="29">
        <f>EOMONTH(Table1[[#This Row],[origination_date]],0)</f>
        <v>44592</v>
      </c>
      <c r="AQ34" s="19">
        <f>SUMIFS(Table1[loan_amount],Table1[origination month],Table1[[#This Row],[origination month]])</f>
        <v>19161700</v>
      </c>
      <c r="AR34" s="19">
        <f>AVERAGEIFS(Table1[months_on_book],Table1[product],Table1[[#This Row],[product]])</f>
        <v>20.262135922330096</v>
      </c>
      <c r="AS34" s="19" t="str">
        <f ca="1">IF(EDATE(Table1[[#This Row],[origination_date]],6) &gt;= TODAY(), "New Loan", "Old Loan")</f>
        <v>Old Loan</v>
      </c>
      <c r="AT34" s="19" t="str">
        <f>"Q"&amp;ROUNDUP(MONTH(Table1[[#This Row],[origination_date]])/3,0)&amp;YEAR(Table1[[#This Row],[origination_date]])</f>
        <v>Q12022</v>
      </c>
      <c r="AU34" s="19">
        <f>SUMIFS(Table1[loan_amount],Table1[quarter],Table1[[#This Row],[quarter]])</f>
        <v>65393800</v>
      </c>
    </row>
    <row r="35" spans="2:47" x14ac:dyDescent="0.2">
      <c r="B35" s="5" t="s">
        <v>139</v>
      </c>
      <c r="C35" s="2" t="s">
        <v>639</v>
      </c>
      <c r="D35" s="3">
        <v>44632</v>
      </c>
      <c r="E35" s="2" t="s">
        <v>1027</v>
      </c>
      <c r="F35" s="2" t="s">
        <v>1029</v>
      </c>
      <c r="G35" s="2" t="s">
        <v>1037</v>
      </c>
      <c r="H35" s="2" t="s">
        <v>1038</v>
      </c>
      <c r="I35" s="2">
        <v>240</v>
      </c>
      <c r="J35" s="2">
        <v>3087000</v>
      </c>
      <c r="K35" s="2">
        <v>16.04</v>
      </c>
      <c r="L35" s="2">
        <v>43041</v>
      </c>
      <c r="M35" s="2">
        <v>457449</v>
      </c>
      <c r="N35" s="2">
        <v>596</v>
      </c>
      <c r="O35" s="2" t="s">
        <v>1046</v>
      </c>
      <c r="P35" s="2">
        <v>0.35</v>
      </c>
      <c r="Q35" s="2">
        <v>0.86</v>
      </c>
      <c r="R35" s="2">
        <v>3599400</v>
      </c>
      <c r="S35" s="2">
        <v>45</v>
      </c>
      <c r="T35" s="2">
        <v>1969122</v>
      </c>
      <c r="U35" s="2">
        <v>1860610</v>
      </c>
      <c r="V35" s="2">
        <v>10</v>
      </c>
      <c r="W35" s="2">
        <v>0</v>
      </c>
      <c r="X35" s="2">
        <v>0</v>
      </c>
      <c r="Y35" s="2" t="s">
        <v>1049</v>
      </c>
      <c r="Z35" s="12">
        <f>SUMIF(Table1[product],Table1[[#This Row],[product]],Table1[loan_amount])</f>
        <v>403369500</v>
      </c>
      <c r="AA35" s="15">
        <f>SUMIF(Table1[region],Table1[[#This Row],[region]],Table1[current_balance])</f>
        <v>94548000</v>
      </c>
      <c r="AB35" s="2">
        <f>COUNTIF(Table1[loan_status],Table1[[#This Row],[loan_status]])</f>
        <v>301</v>
      </c>
      <c r="AC35" s="2">
        <f>COUNTIF(Table1[default_flag],1)/ROWS(Table1[loan_id])</f>
        <v>2.5999999999999999E-2</v>
      </c>
      <c r="AD35" s="2">
        <f>COUNTIFS(Table1[region],Table1[[#This Row],[region]],Table1[default_flag],1)/COUNTIF(Table1[region],Table1[[#This Row],[region]])</f>
        <v>0</v>
      </c>
      <c r="AE35" s="2">
        <f>COUNTIFS(Table1[channel],Table1[[#This Row],[channel]],Table1[prepayment_flag],1)/COUNTIF(Table1[channel],Table1[[#This Row],[channel]])</f>
        <v>7.1090047393364927E-2</v>
      </c>
      <c r="AF35" s="2">
        <f>AVERAGEIFS(Table1[interest_rate_pct],Table1[product],Table1[[#This Row],[product]],Table1[risk_band],Table1[[#This Row],[risk_band]])</f>
        <v>15.4275</v>
      </c>
      <c r="AG35" s="2" t="str" cm="1">
        <f t="array" ref="AG35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35" s="2">
        <f>COUNTIF(Table1[DTI band],Table1[[#This Row],[DTI band]])</f>
        <v>260</v>
      </c>
      <c r="AI35" s="2" t="str" cm="1">
        <f t="array" ref="AI35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35" s="2">
        <f>COUNTIF(Table1[LTV band],Table1[[#This Row],[LTV band]])</f>
        <v>141</v>
      </c>
      <c r="AK35" s="19">
        <f>COUNTIFS(Table1[count_loan_perband],Table1[[#This Row],[count_loan_perband]],Table1[default_flag],1)/COUNTIF(Table1[count_loan_perband],Table1[[#This Row],[count_loan_perband]])</f>
        <v>1.4184397163120567E-2</v>
      </c>
      <c r="AL35" s="19" t="str" cm="1">
        <f t="array" ref="AL35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35" s="19">
        <f>IF(Table1[[#This Row],[dpd]] &gt;=30,1,0)</f>
        <v>0</v>
      </c>
      <c r="AN35" s="19">
        <f>COUNTIFS(Table1[Loan size],Table1[[#This Row],[Loan size]],Table1[dpd flag],1)/COUNTIF(Table1[Loan size],Table1[[#This Row],[Loan size]])</f>
        <v>0.15909090909090909</v>
      </c>
      <c r="AO35" s="19" t="str">
        <f>IF(OR(Table1[[#This Row],[credit_score]] &lt; 600, Table1[ [#This Row],[dti_ratio] ] &gt; 0.5, Table1[[#This Row],[dpd]] &gt;=30), "high risk", " not riskY")</f>
        <v>high risk</v>
      </c>
      <c r="AP35" s="29">
        <f>EOMONTH(Table1[[#This Row],[origination_date]],0)</f>
        <v>44651</v>
      </c>
      <c r="AQ35" s="19">
        <f>SUMIFS(Table1[loan_amount],Table1[origination month],Table1[[#This Row],[origination month]])</f>
        <v>25656500</v>
      </c>
      <c r="AR35" s="19">
        <f>AVERAGEIFS(Table1[months_on_book],Table1[product],Table1[[#This Row],[product]])</f>
        <v>20.516129032258064</v>
      </c>
      <c r="AS35" s="19" t="str">
        <f ca="1">IF(EDATE(Table1[[#This Row],[origination_date]],6) &gt;= TODAY(), "New Loan", "Old Loan")</f>
        <v>Old Loan</v>
      </c>
      <c r="AT35" s="19" t="str">
        <f>"Q"&amp;ROUNDUP(MONTH(Table1[[#This Row],[origination_date]])/3,0)&amp;YEAR(Table1[[#This Row],[origination_date]])</f>
        <v>Q12022</v>
      </c>
      <c r="AU35" s="19">
        <f>SUMIFS(Table1[loan_amount],Table1[quarter],Table1[[#This Row],[quarter]])</f>
        <v>65393800</v>
      </c>
    </row>
    <row r="36" spans="2:47" x14ac:dyDescent="0.2">
      <c r="B36" s="5" t="s">
        <v>36</v>
      </c>
      <c r="C36" s="2" t="s">
        <v>536</v>
      </c>
      <c r="D36" s="3">
        <v>44648</v>
      </c>
      <c r="E36" s="2" t="s">
        <v>1024</v>
      </c>
      <c r="F36" s="2" t="s">
        <v>1029</v>
      </c>
      <c r="G36" s="2" t="s">
        <v>1036</v>
      </c>
      <c r="H36" s="2" t="s">
        <v>1040</v>
      </c>
      <c r="I36" s="2">
        <v>48</v>
      </c>
      <c r="J36" s="2">
        <v>785000</v>
      </c>
      <c r="K36" s="2">
        <v>13.24</v>
      </c>
      <c r="L36" s="2">
        <v>21153</v>
      </c>
      <c r="M36" s="2">
        <v>612338</v>
      </c>
      <c r="N36" s="2">
        <v>668</v>
      </c>
      <c r="O36" s="2" t="s">
        <v>1042</v>
      </c>
      <c r="P36" s="2">
        <v>0.33</v>
      </c>
      <c r="Q36" s="2">
        <v>0.61</v>
      </c>
      <c r="R36" s="2">
        <v>1294400</v>
      </c>
      <c r="S36" s="2">
        <v>45</v>
      </c>
      <c r="T36" s="2">
        <v>836666</v>
      </c>
      <c r="U36" s="2">
        <v>104235</v>
      </c>
      <c r="V36" s="2">
        <v>0</v>
      </c>
      <c r="W36" s="2">
        <v>0</v>
      </c>
      <c r="X36" s="2">
        <v>0</v>
      </c>
      <c r="Y36" s="2" t="s">
        <v>1049</v>
      </c>
      <c r="Z36" s="12">
        <f>SUMIF(Table1[product],Table1[[#This Row],[product]],Table1[loan_amount])</f>
        <v>92273000</v>
      </c>
      <c r="AA36" s="15">
        <f>SUMIF(Table1[region],Table1[[#This Row],[region]],Table1[current_balance])</f>
        <v>98928695</v>
      </c>
      <c r="AB36" s="2">
        <f>COUNTIF(Table1[loan_status],Table1[[#This Row],[loan_status]])</f>
        <v>301</v>
      </c>
      <c r="AC36" s="2">
        <f>COUNTIF(Table1[default_flag],1)/ROWS(Table1[loan_id])</f>
        <v>2.5999999999999999E-2</v>
      </c>
      <c r="AD36" s="2">
        <f>COUNTIFS(Table1[region],Table1[[#This Row],[region]],Table1[default_flag],1)/COUNTIF(Table1[region],Table1[[#This Row],[region]])</f>
        <v>2.8571428571428571E-2</v>
      </c>
      <c r="AE36" s="2">
        <f>COUNTIFS(Table1[channel],Table1[[#This Row],[channel]],Table1[prepayment_flag],1)/COUNTIF(Table1[channel],Table1[[#This Row],[channel]])</f>
        <v>7.1090047393364927E-2</v>
      </c>
      <c r="AF36" s="2">
        <f>AVERAGEIFS(Table1[interest_rate_pct],Table1[product],Table1[[#This Row],[product]],Table1[risk_band],Table1[[#This Row],[risk_band]])</f>
        <v>13.246500000000001</v>
      </c>
      <c r="AG36" s="2" t="str" cm="1">
        <f t="array" ref="AG36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36" s="2">
        <f>COUNTIF(Table1[DTI band],Table1[[#This Row],[DTI band]])</f>
        <v>260</v>
      </c>
      <c r="AI36" s="2" t="str" cm="1">
        <f t="array" ref="AI36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36" s="2">
        <f>COUNTIF(Table1[LTV band],Table1[[#This Row],[LTV band]])</f>
        <v>302</v>
      </c>
      <c r="AK36" s="19">
        <f>COUNTIFS(Table1[count_loan_perband],Table1[[#This Row],[count_loan_perband]],Table1[default_flag],1)/COUNTIF(Table1[count_loan_perband],Table1[[#This Row],[count_loan_perband]])</f>
        <v>3.6423841059602648E-2</v>
      </c>
      <c r="AL36" s="19" t="str" cm="1">
        <f t="array" ref="AL36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36" s="19">
        <f>IF(Table1[[#This Row],[dpd]] &gt;=30,1,0)</f>
        <v>0</v>
      </c>
      <c r="AN36" s="19">
        <f>COUNTIFS(Table1[Loan size],Table1[[#This Row],[Loan size]],Table1[dpd flag],1)/COUNTIF(Table1[Loan size],Table1[[#This Row],[Loan size]])</f>
        <v>0.13934426229508196</v>
      </c>
      <c r="AO36" s="19" t="str">
        <f>IF(OR(Table1[[#This Row],[credit_score]] &lt; 600, Table1[ [#This Row],[dti_ratio] ] &gt; 0.5, Table1[[#This Row],[dpd]] &gt;=30), "high risk", " not riskY")</f>
        <v xml:space="preserve"> not riskY</v>
      </c>
      <c r="AP36" s="29">
        <f>EOMONTH(Table1[[#This Row],[origination_date]],0)</f>
        <v>44651</v>
      </c>
      <c r="AQ36" s="19">
        <f>SUMIFS(Table1[loan_amount],Table1[origination month],Table1[[#This Row],[origination month]])</f>
        <v>25656500</v>
      </c>
      <c r="AR36" s="19">
        <f>AVERAGEIFS(Table1[months_on_book],Table1[product],Table1[[#This Row],[product]])</f>
        <v>20.262135922330096</v>
      </c>
      <c r="AS36" s="19" t="str">
        <f ca="1">IF(EDATE(Table1[[#This Row],[origination_date]],6) &gt;= TODAY(), "New Loan", "Old Loan")</f>
        <v>Old Loan</v>
      </c>
      <c r="AT36" s="19" t="str">
        <f>"Q"&amp;ROUNDUP(MONTH(Table1[[#This Row],[origination_date]])/3,0)&amp;YEAR(Table1[[#This Row],[origination_date]])</f>
        <v>Q12022</v>
      </c>
      <c r="AU36" s="19">
        <f>SUMIFS(Table1[loan_amount],Table1[quarter],Table1[[#This Row],[quarter]])</f>
        <v>65393800</v>
      </c>
    </row>
    <row r="37" spans="2:47" x14ac:dyDescent="0.2">
      <c r="B37" s="5" t="s">
        <v>163</v>
      </c>
      <c r="C37" s="2" t="s">
        <v>663</v>
      </c>
      <c r="D37" s="3">
        <v>44631</v>
      </c>
      <c r="E37" s="2" t="s">
        <v>1025</v>
      </c>
      <c r="F37" s="2" t="s">
        <v>1030</v>
      </c>
      <c r="G37" s="2" t="s">
        <v>1034</v>
      </c>
      <c r="H37" s="2" t="s">
        <v>1039</v>
      </c>
      <c r="I37" s="2">
        <v>180</v>
      </c>
      <c r="J37" s="2">
        <v>3676500</v>
      </c>
      <c r="K37" s="2">
        <v>18.059999999999999</v>
      </c>
      <c r="L37" s="2">
        <v>59366</v>
      </c>
      <c r="M37" s="2">
        <v>500928</v>
      </c>
      <c r="N37" s="2">
        <v>623</v>
      </c>
      <c r="O37" s="2" t="s">
        <v>1045</v>
      </c>
      <c r="P37" s="2">
        <v>0.33</v>
      </c>
      <c r="Q37" s="2">
        <v>0.72</v>
      </c>
      <c r="R37" s="2">
        <v>5087200</v>
      </c>
      <c r="S37" s="2">
        <v>45</v>
      </c>
      <c r="T37" s="2">
        <v>2409295</v>
      </c>
      <c r="U37" s="2">
        <v>2263169</v>
      </c>
      <c r="V37" s="2">
        <v>10</v>
      </c>
      <c r="W37" s="2">
        <v>0</v>
      </c>
      <c r="X37" s="2">
        <v>0</v>
      </c>
      <c r="Y37" s="2" t="s">
        <v>1049</v>
      </c>
      <c r="Z37" s="12">
        <f>SUMIF(Table1[product],Table1[[#This Row],[product]],Table1[loan_amount])</f>
        <v>201475100</v>
      </c>
      <c r="AA37" s="15">
        <f>SUMIF(Table1[region],Table1[[#This Row],[region]],Table1[current_balance])</f>
        <v>105779369</v>
      </c>
      <c r="AB37" s="2">
        <f>COUNTIF(Table1[loan_status],Table1[[#This Row],[loan_status]])</f>
        <v>301</v>
      </c>
      <c r="AC37" s="2">
        <f>COUNTIF(Table1[default_flag],1)/ROWS(Table1[loan_id])</f>
        <v>2.5999999999999999E-2</v>
      </c>
      <c r="AD37" s="2">
        <f>COUNTIFS(Table1[region],Table1[[#This Row],[region]],Table1[default_flag],1)/COUNTIF(Table1[region],Table1[[#This Row],[region]])</f>
        <v>2.6548672566371681E-2</v>
      </c>
      <c r="AE37" s="2">
        <f>COUNTIFS(Table1[channel],Table1[[#This Row],[channel]],Table1[prepayment_flag],1)/COUNTIF(Table1[channel],Table1[[#This Row],[channel]])</f>
        <v>5.8201058201058198E-2</v>
      </c>
      <c r="AF37" s="2">
        <f>AVERAGEIFS(Table1[interest_rate_pct],Table1[product],Table1[[#This Row],[product]],Table1[risk_band],Table1[[#This Row],[risk_band]])</f>
        <v>18.241249999999997</v>
      </c>
      <c r="AG37" s="2" t="str" cm="1">
        <f t="array" ref="AG37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37" s="2">
        <f>COUNTIF(Table1[DTI band],Table1[[#This Row],[DTI band]])</f>
        <v>260</v>
      </c>
      <c r="AI37" s="2" t="str" cm="1">
        <f t="array" ref="AI37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37" s="2">
        <f>COUNTIF(Table1[LTV band],Table1[[#This Row],[LTV band]])</f>
        <v>302</v>
      </c>
      <c r="AK37" s="19">
        <f>COUNTIFS(Table1[count_loan_perband],Table1[[#This Row],[count_loan_perband]],Table1[default_flag],1)/COUNTIF(Table1[count_loan_perband],Table1[[#This Row],[count_loan_perband]])</f>
        <v>3.6423841059602648E-2</v>
      </c>
      <c r="AL37" s="19" t="str" cm="1">
        <f t="array" ref="AL37">_xlfn.IFS(Table1[[#This Row],[loan_amount]] &lt; 900000, "lower size (&lt; 9L)", Table1[[#This Row],[loan_amount]] &lt;=3300000, "medium size (&lt;=33L)", Table1[[#This Row],[loan_amount]] &gt; 3300000, "larger size (&gt; 33L)")</f>
        <v>larger size (&gt; 33L)</v>
      </c>
      <c r="AM37" s="19">
        <f>IF(Table1[[#This Row],[dpd]] &gt;=30,1,0)</f>
        <v>0</v>
      </c>
      <c r="AN37" s="19">
        <f>COUNTIFS(Table1[Loan size],Table1[[#This Row],[Loan size]],Table1[dpd flag],1)/COUNTIF(Table1[Loan size],Table1[[#This Row],[Loan size]])</f>
        <v>0.16250000000000001</v>
      </c>
      <c r="AO37" s="19" t="str">
        <f>IF(OR(Table1[[#This Row],[credit_score]] &lt; 600, Table1[ [#This Row],[dti_ratio] ] &gt; 0.5, Table1[[#This Row],[dpd]] &gt;=30), "high risk", " not riskY")</f>
        <v xml:space="preserve"> not riskY</v>
      </c>
      <c r="AP37" s="29">
        <f>EOMONTH(Table1[[#This Row],[origination_date]],0)</f>
        <v>44651</v>
      </c>
      <c r="AQ37" s="19">
        <f>SUMIFS(Table1[loan_amount],Table1[origination month],Table1[[#This Row],[origination month]])</f>
        <v>25656500</v>
      </c>
      <c r="AR37" s="19">
        <f>AVERAGEIFS(Table1[months_on_book],Table1[product],Table1[[#This Row],[product]])</f>
        <v>19.091954022988507</v>
      </c>
      <c r="AS37" s="19" t="str">
        <f ca="1">IF(EDATE(Table1[[#This Row],[origination_date]],6) &gt;= TODAY(), "New Loan", "Old Loan")</f>
        <v>Old Loan</v>
      </c>
      <c r="AT37" s="19" t="str">
        <f>"Q"&amp;ROUNDUP(MONTH(Table1[[#This Row],[origination_date]])/3,0)&amp;YEAR(Table1[[#This Row],[origination_date]])</f>
        <v>Q12022</v>
      </c>
      <c r="AU37" s="19">
        <f>SUMIFS(Table1[loan_amount],Table1[quarter],Table1[[#This Row],[quarter]])</f>
        <v>65393800</v>
      </c>
    </row>
    <row r="38" spans="2:47" x14ac:dyDescent="0.2">
      <c r="B38" s="5" t="s">
        <v>67</v>
      </c>
      <c r="C38" s="2" t="s">
        <v>567</v>
      </c>
      <c r="D38" s="3">
        <v>44572</v>
      </c>
      <c r="E38" s="2" t="s">
        <v>1024</v>
      </c>
      <c r="F38" s="2" t="s">
        <v>1029</v>
      </c>
      <c r="G38" s="2" t="s">
        <v>1035</v>
      </c>
      <c r="H38" s="2" t="s">
        <v>1038</v>
      </c>
      <c r="I38" s="2">
        <v>18</v>
      </c>
      <c r="J38" s="2">
        <v>421800</v>
      </c>
      <c r="K38" s="2">
        <v>13.75</v>
      </c>
      <c r="L38" s="2">
        <v>26066</v>
      </c>
      <c r="M38" s="2">
        <v>901863</v>
      </c>
      <c r="N38" s="2">
        <v>649</v>
      </c>
      <c r="O38" s="2" t="s">
        <v>1045</v>
      </c>
      <c r="P38" s="2">
        <v>0.3</v>
      </c>
      <c r="Q38" s="2">
        <v>0.73</v>
      </c>
      <c r="R38" s="2">
        <v>577200</v>
      </c>
      <c r="S38" s="2">
        <v>18</v>
      </c>
      <c r="T38" s="2">
        <v>435157</v>
      </c>
      <c r="U38" s="2">
        <v>21442</v>
      </c>
      <c r="V38" s="2">
        <v>0</v>
      </c>
      <c r="W38" s="2">
        <v>0</v>
      </c>
      <c r="X38" s="2">
        <v>0</v>
      </c>
      <c r="Y38" s="2" t="s">
        <v>1047</v>
      </c>
      <c r="Z38" s="12">
        <f>SUMIF(Table1[product],Table1[[#This Row],[product]],Table1[loan_amount])</f>
        <v>92273000</v>
      </c>
      <c r="AA38" s="15">
        <f>SUMIF(Table1[region],Table1[[#This Row],[region]],Table1[current_balance])</f>
        <v>83903255</v>
      </c>
      <c r="AB38" s="2">
        <f>COUNTIF(Table1[loan_status],Table1[[#This Row],[loan_status]])</f>
        <v>139</v>
      </c>
      <c r="AC38" s="2">
        <f>COUNTIF(Table1[default_flag],1)/ROWS(Table1[loan_id])</f>
        <v>2.5999999999999999E-2</v>
      </c>
      <c r="AD38" s="2">
        <f>COUNTIFS(Table1[region],Table1[[#This Row],[region]],Table1[default_flag],1)/COUNTIF(Table1[region],Table1[[#This Row],[region]])</f>
        <v>4.2553191489361701E-2</v>
      </c>
      <c r="AE38" s="2">
        <f>COUNTIFS(Table1[channel],Table1[[#This Row],[channel]],Table1[prepayment_flag],1)/COUNTIF(Table1[channel],Table1[[#This Row],[channel]])</f>
        <v>7.1090047393364927E-2</v>
      </c>
      <c r="AF38" s="2">
        <f>AVERAGEIFS(Table1[interest_rate_pct],Table1[product],Table1[[#This Row],[product]],Table1[risk_band],Table1[[#This Row],[risk_band]])</f>
        <v>15.092000000000001</v>
      </c>
      <c r="AG38" s="2" t="str" cm="1">
        <f t="array" ref="AG38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38" s="2">
        <f>COUNTIF(Table1[DTI band],Table1[[#This Row],[DTI band]])</f>
        <v>260</v>
      </c>
      <c r="AI38" s="2" t="str" cm="1">
        <f t="array" ref="AI38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38" s="2">
        <f>COUNTIF(Table1[LTV band],Table1[[#This Row],[LTV band]])</f>
        <v>302</v>
      </c>
      <c r="AK38" s="19">
        <f>COUNTIFS(Table1[count_loan_perband],Table1[[#This Row],[count_loan_perband]],Table1[default_flag],1)/COUNTIF(Table1[count_loan_perband],Table1[[#This Row],[count_loan_perband]])</f>
        <v>3.6423841059602648E-2</v>
      </c>
      <c r="AL38" s="19" t="str" cm="1">
        <f t="array" ref="AL38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38" s="19">
        <f>IF(Table1[[#This Row],[dpd]] &gt;=30,1,0)</f>
        <v>0</v>
      </c>
      <c r="AN38" s="19">
        <f>COUNTIFS(Table1[Loan size],Table1[[#This Row],[Loan size]],Table1[dpd flag],1)/COUNTIF(Table1[Loan size],Table1[[#This Row],[Loan size]])</f>
        <v>0.13934426229508196</v>
      </c>
      <c r="AO38" s="19" t="str">
        <f>IF(OR(Table1[[#This Row],[credit_score]] &lt; 600, Table1[ [#This Row],[dti_ratio] ] &gt; 0.5, Table1[[#This Row],[dpd]] &gt;=30), "high risk", " not riskY")</f>
        <v xml:space="preserve"> not riskY</v>
      </c>
      <c r="AP38" s="29">
        <f>EOMONTH(Table1[[#This Row],[origination_date]],0)</f>
        <v>44592</v>
      </c>
      <c r="AQ38" s="19">
        <f>SUMIFS(Table1[loan_amount],Table1[origination month],Table1[[#This Row],[origination month]])</f>
        <v>19161700</v>
      </c>
      <c r="AR38" s="19">
        <f>AVERAGEIFS(Table1[months_on_book],Table1[product],Table1[[#This Row],[product]])</f>
        <v>20.262135922330096</v>
      </c>
      <c r="AS38" s="19" t="str">
        <f ca="1">IF(EDATE(Table1[[#This Row],[origination_date]],6) &gt;= TODAY(), "New Loan", "Old Loan")</f>
        <v>Old Loan</v>
      </c>
      <c r="AT38" s="19" t="str">
        <f>"Q"&amp;ROUNDUP(MONTH(Table1[[#This Row],[origination_date]])/3,0)&amp;YEAR(Table1[[#This Row],[origination_date]])</f>
        <v>Q12022</v>
      </c>
      <c r="AU38" s="19">
        <f>SUMIFS(Table1[loan_amount],Table1[quarter],Table1[[#This Row],[quarter]])</f>
        <v>65393800</v>
      </c>
    </row>
    <row r="39" spans="2:47" x14ac:dyDescent="0.2">
      <c r="B39" s="5" t="s">
        <v>167</v>
      </c>
      <c r="C39" s="2" t="s">
        <v>667</v>
      </c>
      <c r="D39" s="3">
        <v>44620</v>
      </c>
      <c r="E39" s="2" t="s">
        <v>1024</v>
      </c>
      <c r="F39" s="2" t="s">
        <v>1030</v>
      </c>
      <c r="G39" s="2" t="s">
        <v>1036</v>
      </c>
      <c r="H39" s="2" t="s">
        <v>1039</v>
      </c>
      <c r="I39" s="2">
        <v>36</v>
      </c>
      <c r="J39" s="2">
        <v>984700</v>
      </c>
      <c r="K39" s="2">
        <v>13.39</v>
      </c>
      <c r="L39" s="2">
        <v>33364</v>
      </c>
      <c r="M39" s="2">
        <v>787811</v>
      </c>
      <c r="N39" s="2">
        <v>632</v>
      </c>
      <c r="O39" s="2" t="s">
        <v>1045</v>
      </c>
      <c r="P39" s="2">
        <v>0.3</v>
      </c>
      <c r="Q39" s="2">
        <v>0.74</v>
      </c>
      <c r="R39" s="2">
        <v>1338000</v>
      </c>
      <c r="S39" s="2">
        <v>36</v>
      </c>
      <c r="T39" s="2">
        <v>1143457</v>
      </c>
      <c r="U39" s="2">
        <v>0</v>
      </c>
      <c r="V39" s="2">
        <v>45</v>
      </c>
      <c r="W39" s="2">
        <v>0</v>
      </c>
      <c r="X39" s="2">
        <v>0</v>
      </c>
      <c r="Y39" s="2" t="s">
        <v>1047</v>
      </c>
      <c r="Z39" s="12">
        <f>SUMIF(Table1[product],Table1[[#This Row],[product]],Table1[loan_amount])</f>
        <v>92273000</v>
      </c>
      <c r="AA39" s="15">
        <f>SUMIF(Table1[region],Table1[[#This Row],[region]],Table1[current_balance])</f>
        <v>98928695</v>
      </c>
      <c r="AB39" s="2">
        <f>COUNTIF(Table1[loan_status],Table1[[#This Row],[loan_status]])</f>
        <v>139</v>
      </c>
      <c r="AC39" s="2">
        <f>COUNTIF(Table1[default_flag],1)/ROWS(Table1[loan_id])</f>
        <v>2.5999999999999999E-2</v>
      </c>
      <c r="AD39" s="2">
        <f>COUNTIFS(Table1[region],Table1[[#This Row],[region]],Table1[default_flag],1)/COUNTIF(Table1[region],Table1[[#This Row],[region]])</f>
        <v>2.8571428571428571E-2</v>
      </c>
      <c r="AE39" s="2">
        <f>COUNTIFS(Table1[channel],Table1[[#This Row],[channel]],Table1[prepayment_flag],1)/COUNTIF(Table1[channel],Table1[[#This Row],[channel]])</f>
        <v>5.8201058201058198E-2</v>
      </c>
      <c r="AF39" s="2">
        <f>AVERAGEIFS(Table1[interest_rate_pct],Table1[product],Table1[[#This Row],[product]],Table1[risk_band],Table1[[#This Row],[risk_band]])</f>
        <v>15.092000000000001</v>
      </c>
      <c r="AG39" s="2" t="str" cm="1">
        <f t="array" ref="AG39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39" s="2">
        <f>COUNTIF(Table1[DTI band],Table1[[#This Row],[DTI band]])</f>
        <v>260</v>
      </c>
      <c r="AI39" s="2" t="str" cm="1">
        <f t="array" ref="AI39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39" s="2">
        <f>COUNTIF(Table1[LTV band],Table1[[#This Row],[LTV band]])</f>
        <v>302</v>
      </c>
      <c r="AK39" s="19">
        <f>COUNTIFS(Table1[count_loan_perband],Table1[[#This Row],[count_loan_perband]],Table1[default_flag],1)/COUNTIF(Table1[count_loan_perband],Table1[[#This Row],[count_loan_perband]])</f>
        <v>3.6423841059602648E-2</v>
      </c>
      <c r="AL39" s="19" t="str" cm="1">
        <f t="array" ref="AL39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39" s="19">
        <f>IF(Table1[[#This Row],[dpd]] &gt;=30,1,0)</f>
        <v>1</v>
      </c>
      <c r="AN39" s="19">
        <f>COUNTIFS(Table1[Loan size],Table1[[#This Row],[Loan size]],Table1[dpd flag],1)/COUNTIF(Table1[Loan size],Table1[[#This Row],[Loan size]])</f>
        <v>0.15909090909090909</v>
      </c>
      <c r="AO39" s="19" t="str">
        <f>IF(OR(Table1[[#This Row],[credit_score]] &lt; 600, Table1[ [#This Row],[dti_ratio] ] &gt; 0.5, Table1[[#This Row],[dpd]] &gt;=30), "high risk", " not riskY")</f>
        <v>high risk</v>
      </c>
      <c r="AP39" s="29">
        <f>EOMONTH(Table1[[#This Row],[origination_date]],0)</f>
        <v>44620</v>
      </c>
      <c r="AQ39" s="19">
        <f>SUMIFS(Table1[loan_amount],Table1[origination month],Table1[[#This Row],[origination month]])</f>
        <v>20575600</v>
      </c>
      <c r="AR39" s="19">
        <f>AVERAGEIFS(Table1[months_on_book],Table1[product],Table1[[#This Row],[product]])</f>
        <v>20.262135922330096</v>
      </c>
      <c r="AS39" s="19" t="str">
        <f ca="1">IF(EDATE(Table1[[#This Row],[origination_date]],6) &gt;= TODAY(), "New Loan", "Old Loan")</f>
        <v>Old Loan</v>
      </c>
      <c r="AT39" s="19" t="str">
        <f>"Q"&amp;ROUNDUP(MONTH(Table1[[#This Row],[origination_date]])/3,0)&amp;YEAR(Table1[[#This Row],[origination_date]])</f>
        <v>Q12022</v>
      </c>
      <c r="AU39" s="19">
        <f>SUMIFS(Table1[loan_amount],Table1[quarter],Table1[[#This Row],[quarter]])</f>
        <v>65393800</v>
      </c>
    </row>
    <row r="40" spans="2:47" x14ac:dyDescent="0.2">
      <c r="B40" s="5" t="s">
        <v>172</v>
      </c>
      <c r="C40" s="2" t="s">
        <v>672</v>
      </c>
      <c r="D40" s="3">
        <v>44614</v>
      </c>
      <c r="E40" s="2" t="s">
        <v>1027</v>
      </c>
      <c r="F40" s="2" t="s">
        <v>1029</v>
      </c>
      <c r="G40" s="2" t="s">
        <v>1034</v>
      </c>
      <c r="H40" s="2" t="s">
        <v>1039</v>
      </c>
      <c r="I40" s="2">
        <v>360</v>
      </c>
      <c r="J40" s="2">
        <v>5407100</v>
      </c>
      <c r="K40" s="2">
        <v>12.53</v>
      </c>
      <c r="L40" s="2">
        <v>57834</v>
      </c>
      <c r="M40" s="2">
        <v>860326</v>
      </c>
      <c r="N40" s="2">
        <v>654</v>
      </c>
      <c r="O40" s="2" t="s">
        <v>1042</v>
      </c>
      <c r="P40" s="2">
        <v>0.28999999999999998</v>
      </c>
      <c r="Q40" s="2">
        <v>0.7</v>
      </c>
      <c r="R40" s="2">
        <v>7776200</v>
      </c>
      <c r="S40" s="2">
        <v>46</v>
      </c>
      <c r="T40" s="2">
        <v>2557940</v>
      </c>
      <c r="U40" s="2">
        <v>3888008</v>
      </c>
      <c r="V40" s="2">
        <v>0</v>
      </c>
      <c r="W40" s="2">
        <v>0</v>
      </c>
      <c r="X40" s="2">
        <v>0</v>
      </c>
      <c r="Y40" s="2" t="s">
        <v>1049</v>
      </c>
      <c r="Z40" s="12">
        <f>SUMIF(Table1[product],Table1[[#This Row],[product]],Table1[loan_amount])</f>
        <v>403369500</v>
      </c>
      <c r="AA40" s="15">
        <f>SUMIF(Table1[region],Table1[[#This Row],[region]],Table1[current_balance])</f>
        <v>105779369</v>
      </c>
      <c r="AB40" s="2">
        <f>COUNTIF(Table1[loan_status],Table1[[#This Row],[loan_status]])</f>
        <v>301</v>
      </c>
      <c r="AC40" s="2">
        <f>COUNTIF(Table1[default_flag],1)/ROWS(Table1[loan_id])</f>
        <v>2.5999999999999999E-2</v>
      </c>
      <c r="AD40" s="2">
        <f>COUNTIFS(Table1[region],Table1[[#This Row],[region]],Table1[default_flag],1)/COUNTIF(Table1[region],Table1[[#This Row],[region]])</f>
        <v>2.6548672566371681E-2</v>
      </c>
      <c r="AE40" s="2">
        <f>COUNTIFS(Table1[channel],Table1[[#This Row],[channel]],Table1[prepayment_flag],1)/COUNTIF(Table1[channel],Table1[[#This Row],[channel]])</f>
        <v>7.1090047393364927E-2</v>
      </c>
      <c r="AF40" s="2">
        <f>AVERAGEIFS(Table1[interest_rate_pct],Table1[product],Table1[[#This Row],[product]],Table1[risk_band],Table1[[#This Row],[risk_band]])</f>
        <v>11.719736842105268</v>
      </c>
      <c r="AG40" s="2" t="str" cm="1">
        <f t="array" ref="AG40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40" s="2">
        <f>COUNTIF(Table1[DTI band],Table1[[#This Row],[DTI band]])</f>
        <v>122</v>
      </c>
      <c r="AI40" s="2" t="str" cm="1">
        <f t="array" ref="AI40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40" s="2">
        <f>COUNTIF(Table1[LTV band],Table1[[#This Row],[LTV band]])</f>
        <v>302</v>
      </c>
      <c r="AK40" s="19">
        <f>COUNTIFS(Table1[count_loan_perband],Table1[[#This Row],[count_loan_perband]],Table1[default_flag],1)/COUNTIF(Table1[count_loan_perband],Table1[[#This Row],[count_loan_perband]])</f>
        <v>3.6423841059602648E-2</v>
      </c>
      <c r="AL40" s="19" t="str" cm="1">
        <f t="array" ref="AL40">_xlfn.IFS(Table1[[#This Row],[loan_amount]] &lt; 900000, "lower size (&lt; 9L)", Table1[[#This Row],[loan_amount]] &lt;=3300000, "medium size (&lt;=33L)", Table1[[#This Row],[loan_amount]] &gt; 3300000, "larger size (&gt; 33L)")</f>
        <v>larger size (&gt; 33L)</v>
      </c>
      <c r="AM40" s="19">
        <f>IF(Table1[[#This Row],[dpd]] &gt;=30,1,0)</f>
        <v>0</v>
      </c>
      <c r="AN40" s="19">
        <f>COUNTIFS(Table1[Loan size],Table1[[#This Row],[Loan size]],Table1[dpd flag],1)/COUNTIF(Table1[Loan size],Table1[[#This Row],[Loan size]])</f>
        <v>0.16250000000000001</v>
      </c>
      <c r="AO40" s="19" t="str">
        <f>IF(OR(Table1[[#This Row],[credit_score]] &lt; 600, Table1[ [#This Row],[dti_ratio] ] &gt; 0.5, Table1[[#This Row],[dpd]] &gt;=30), "high risk", " not riskY")</f>
        <v xml:space="preserve"> not riskY</v>
      </c>
      <c r="AP40" s="29">
        <f>EOMONTH(Table1[[#This Row],[origination_date]],0)</f>
        <v>44620</v>
      </c>
      <c r="AQ40" s="19">
        <f>SUMIFS(Table1[loan_amount],Table1[origination month],Table1[[#This Row],[origination month]])</f>
        <v>20575600</v>
      </c>
      <c r="AR40" s="19">
        <f>AVERAGEIFS(Table1[months_on_book],Table1[product],Table1[[#This Row],[product]])</f>
        <v>20.516129032258064</v>
      </c>
      <c r="AS40" s="19" t="str">
        <f ca="1">IF(EDATE(Table1[[#This Row],[origination_date]],6) &gt;= TODAY(), "New Loan", "Old Loan")</f>
        <v>Old Loan</v>
      </c>
      <c r="AT40" s="19" t="str">
        <f>"Q"&amp;ROUNDUP(MONTH(Table1[[#This Row],[origination_date]])/3,0)&amp;YEAR(Table1[[#This Row],[origination_date]])</f>
        <v>Q12022</v>
      </c>
      <c r="AU40" s="19">
        <f>SUMIFS(Table1[loan_amount],Table1[quarter],Table1[[#This Row],[quarter]])</f>
        <v>65393800</v>
      </c>
    </row>
    <row r="41" spans="2:47" x14ac:dyDescent="0.2">
      <c r="B41" s="5" t="s">
        <v>488</v>
      </c>
      <c r="C41" s="2" t="s">
        <v>988</v>
      </c>
      <c r="D41" s="3">
        <v>44620</v>
      </c>
      <c r="E41" s="2" t="s">
        <v>1024</v>
      </c>
      <c r="F41" s="2" t="s">
        <v>1029</v>
      </c>
      <c r="G41" s="2" t="s">
        <v>1033</v>
      </c>
      <c r="H41" s="2" t="s">
        <v>1039</v>
      </c>
      <c r="I41" s="2">
        <v>12</v>
      </c>
      <c r="J41" s="2">
        <v>1746800</v>
      </c>
      <c r="K41" s="2">
        <v>10.33</v>
      </c>
      <c r="L41" s="2">
        <v>153840</v>
      </c>
      <c r="M41" s="2">
        <v>658460</v>
      </c>
      <c r="N41" s="2">
        <v>727</v>
      </c>
      <c r="O41" s="2" t="s">
        <v>1044</v>
      </c>
      <c r="P41" s="2">
        <v>0.27</v>
      </c>
      <c r="Q41" s="2">
        <v>1.05</v>
      </c>
      <c r="R41" s="2">
        <v>1669600</v>
      </c>
      <c r="S41" s="2">
        <v>12</v>
      </c>
      <c r="T41" s="2">
        <v>1787037</v>
      </c>
      <c r="U41" s="2">
        <v>31941</v>
      </c>
      <c r="V41" s="2">
        <v>0</v>
      </c>
      <c r="W41" s="2">
        <v>0</v>
      </c>
      <c r="X41" s="2">
        <v>0</v>
      </c>
      <c r="Y41" s="2" t="s">
        <v>1047</v>
      </c>
      <c r="Z41" s="12">
        <f>SUMIF(Table1[product],Table1[[#This Row],[product]],Table1[loan_amount])</f>
        <v>92273000</v>
      </c>
      <c r="AA41" s="15">
        <f>SUMIF(Table1[region],Table1[[#This Row],[region]],Table1[current_balance])</f>
        <v>83297251</v>
      </c>
      <c r="AB41" s="2">
        <f>COUNTIF(Table1[loan_status],Table1[[#This Row],[loan_status]])</f>
        <v>139</v>
      </c>
      <c r="AC41" s="2">
        <f>COUNTIF(Table1[default_flag],1)/ROWS(Table1[loan_id])</f>
        <v>2.5999999999999999E-2</v>
      </c>
      <c r="AD41" s="2">
        <f>COUNTIFS(Table1[region],Table1[[#This Row],[region]],Table1[default_flag],1)/COUNTIF(Table1[region],Table1[[#This Row],[region]])</f>
        <v>3.1914893617021274E-2</v>
      </c>
      <c r="AE41" s="2">
        <f>COUNTIFS(Table1[channel],Table1[[#This Row],[channel]],Table1[prepayment_flag],1)/COUNTIF(Table1[channel],Table1[[#This Row],[channel]])</f>
        <v>7.1090047393364927E-2</v>
      </c>
      <c r="AF41" s="2">
        <f>AVERAGEIFS(Table1[interest_rate_pct],Table1[product],Table1[[#This Row],[product]],Table1[risk_band],Table1[[#This Row],[risk_band]])</f>
        <v>10.611923076923079</v>
      </c>
      <c r="AG41" s="2" t="str" cm="1">
        <f t="array" ref="AG41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41" s="2">
        <f>COUNTIF(Table1[DTI band],Table1[[#This Row],[DTI band]])</f>
        <v>122</v>
      </c>
      <c r="AI41" s="2" t="str" cm="1">
        <f t="array" ref="AI41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41" s="2">
        <f>COUNTIF(Table1[LTV band],Table1[[#This Row],[LTV band]])</f>
        <v>141</v>
      </c>
      <c r="AK41" s="19">
        <f>COUNTIFS(Table1[count_loan_perband],Table1[[#This Row],[count_loan_perband]],Table1[default_flag],1)/COUNTIF(Table1[count_loan_perband],Table1[[#This Row],[count_loan_perband]])</f>
        <v>1.4184397163120567E-2</v>
      </c>
      <c r="AL41" s="19" t="str" cm="1">
        <f t="array" ref="AL41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41" s="19">
        <f>IF(Table1[[#This Row],[dpd]] &gt;=30,1,0)</f>
        <v>0</v>
      </c>
      <c r="AN41" s="19">
        <f>COUNTIFS(Table1[Loan size],Table1[[#This Row],[Loan size]],Table1[dpd flag],1)/COUNTIF(Table1[Loan size],Table1[[#This Row],[Loan size]])</f>
        <v>0.15909090909090909</v>
      </c>
      <c r="AO41" s="19" t="str">
        <f>IF(OR(Table1[[#This Row],[credit_score]] &lt; 600, Table1[ [#This Row],[dti_ratio] ] &gt; 0.5, Table1[[#This Row],[dpd]] &gt;=30), "high risk", " not riskY")</f>
        <v xml:space="preserve"> not riskY</v>
      </c>
      <c r="AP41" s="29">
        <f>EOMONTH(Table1[[#This Row],[origination_date]],0)</f>
        <v>44620</v>
      </c>
      <c r="AQ41" s="19">
        <f>SUMIFS(Table1[loan_amount],Table1[origination month],Table1[[#This Row],[origination month]])</f>
        <v>20575600</v>
      </c>
      <c r="AR41" s="19">
        <f>AVERAGEIFS(Table1[months_on_book],Table1[product],Table1[[#This Row],[product]])</f>
        <v>20.262135922330096</v>
      </c>
      <c r="AS41" s="19" t="str">
        <f ca="1">IF(EDATE(Table1[[#This Row],[origination_date]],6) &gt;= TODAY(), "New Loan", "Old Loan")</f>
        <v>Old Loan</v>
      </c>
      <c r="AT41" s="19" t="str">
        <f>"Q"&amp;ROUNDUP(MONTH(Table1[[#This Row],[origination_date]])/3,0)&amp;YEAR(Table1[[#This Row],[origination_date]])</f>
        <v>Q12022</v>
      </c>
      <c r="AU41" s="19">
        <f>SUMIFS(Table1[loan_amount],Table1[quarter],Table1[[#This Row],[quarter]])</f>
        <v>65393800</v>
      </c>
    </row>
    <row r="42" spans="2:47" x14ac:dyDescent="0.2">
      <c r="B42" s="5" t="s">
        <v>331</v>
      </c>
      <c r="C42" s="2" t="s">
        <v>831</v>
      </c>
      <c r="D42" s="3">
        <v>44568</v>
      </c>
      <c r="E42" s="2" t="s">
        <v>1027</v>
      </c>
      <c r="F42" s="2" t="s">
        <v>1029</v>
      </c>
      <c r="G42" s="2" t="s">
        <v>1034</v>
      </c>
      <c r="H42" s="2" t="s">
        <v>1039</v>
      </c>
      <c r="I42" s="2">
        <v>24</v>
      </c>
      <c r="J42" s="2">
        <v>8493400</v>
      </c>
      <c r="K42" s="2">
        <v>13.77</v>
      </c>
      <c r="L42" s="2">
        <v>406870</v>
      </c>
      <c r="M42" s="2">
        <v>1331502</v>
      </c>
      <c r="N42" s="2">
        <v>626</v>
      </c>
      <c r="O42" s="2" t="s">
        <v>1045</v>
      </c>
      <c r="P42" s="2">
        <v>0.24</v>
      </c>
      <c r="Q42" s="2">
        <v>0.9</v>
      </c>
      <c r="R42" s="2">
        <v>9473000</v>
      </c>
      <c r="S42" s="2">
        <v>24</v>
      </c>
      <c r="T42" s="2">
        <v>8328855</v>
      </c>
      <c r="U42" s="2">
        <v>1100178</v>
      </c>
      <c r="V42" s="2">
        <v>0</v>
      </c>
      <c r="W42" s="2">
        <v>0</v>
      </c>
      <c r="X42" s="2">
        <v>0</v>
      </c>
      <c r="Y42" s="2" t="s">
        <v>1047</v>
      </c>
      <c r="Z42" s="12">
        <f>SUMIF(Table1[product],Table1[[#This Row],[product]],Table1[loan_amount])</f>
        <v>403369500</v>
      </c>
      <c r="AA42" s="15">
        <f>SUMIF(Table1[region],Table1[[#This Row],[region]],Table1[current_balance])</f>
        <v>105779369</v>
      </c>
      <c r="AB42" s="2">
        <f>COUNTIF(Table1[loan_status],Table1[[#This Row],[loan_status]])</f>
        <v>139</v>
      </c>
      <c r="AC42" s="2">
        <f>COUNTIF(Table1[default_flag],1)/ROWS(Table1[loan_id])</f>
        <v>2.5999999999999999E-2</v>
      </c>
      <c r="AD42" s="2">
        <f>COUNTIFS(Table1[region],Table1[[#This Row],[region]],Table1[default_flag],1)/COUNTIF(Table1[region],Table1[[#This Row],[region]])</f>
        <v>2.6548672566371681E-2</v>
      </c>
      <c r="AE42" s="2">
        <f>COUNTIFS(Table1[channel],Table1[[#This Row],[channel]],Table1[prepayment_flag],1)/COUNTIF(Table1[channel],Table1[[#This Row],[channel]])</f>
        <v>7.1090047393364927E-2</v>
      </c>
      <c r="AF42" s="2">
        <f>AVERAGEIFS(Table1[interest_rate_pct],Table1[product],Table1[[#This Row],[product]],Table1[risk_band],Table1[[#This Row],[risk_band]])</f>
        <v>13.406874999999999</v>
      </c>
      <c r="AG42" s="2" t="str" cm="1">
        <f t="array" ref="AG42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42" s="2">
        <f>COUNTIF(Table1[DTI band],Table1[[#This Row],[DTI band]])</f>
        <v>122</v>
      </c>
      <c r="AI42" s="2" t="str" cm="1">
        <f t="array" ref="AI42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42" s="2">
        <f>COUNTIF(Table1[LTV band],Table1[[#This Row],[LTV band]])</f>
        <v>141</v>
      </c>
      <c r="AK42" s="19">
        <f>COUNTIFS(Table1[count_loan_perband],Table1[[#This Row],[count_loan_perband]],Table1[default_flag],1)/COUNTIF(Table1[count_loan_perband],Table1[[#This Row],[count_loan_perband]])</f>
        <v>1.4184397163120567E-2</v>
      </c>
      <c r="AL42" s="19" t="str" cm="1">
        <f t="array" ref="AL42">_xlfn.IFS(Table1[[#This Row],[loan_amount]] &lt; 900000, "lower size (&lt; 9L)", Table1[[#This Row],[loan_amount]] &lt;=3300000, "medium size (&lt;=33L)", Table1[[#This Row],[loan_amount]] &gt; 3300000, "larger size (&gt; 33L)")</f>
        <v>larger size (&gt; 33L)</v>
      </c>
      <c r="AM42" s="19">
        <f>IF(Table1[[#This Row],[dpd]] &gt;=30,1,0)</f>
        <v>0</v>
      </c>
      <c r="AN42" s="19">
        <f>COUNTIFS(Table1[Loan size],Table1[[#This Row],[Loan size]],Table1[dpd flag],1)/COUNTIF(Table1[Loan size],Table1[[#This Row],[Loan size]])</f>
        <v>0.16250000000000001</v>
      </c>
      <c r="AO42" s="19" t="str">
        <f>IF(OR(Table1[[#This Row],[credit_score]] &lt; 600, Table1[ [#This Row],[dti_ratio] ] &gt; 0.5, Table1[[#This Row],[dpd]] &gt;=30), "high risk", " not riskY")</f>
        <v xml:space="preserve"> not riskY</v>
      </c>
      <c r="AP42" s="29">
        <f>EOMONTH(Table1[[#This Row],[origination_date]],0)</f>
        <v>44592</v>
      </c>
      <c r="AQ42" s="19">
        <f>SUMIFS(Table1[loan_amount],Table1[origination month],Table1[[#This Row],[origination month]])</f>
        <v>19161700</v>
      </c>
      <c r="AR42" s="19">
        <f>AVERAGEIFS(Table1[months_on_book],Table1[product],Table1[[#This Row],[product]])</f>
        <v>20.516129032258064</v>
      </c>
      <c r="AS42" s="19" t="str">
        <f ca="1">IF(EDATE(Table1[[#This Row],[origination_date]],6) &gt;= TODAY(), "New Loan", "Old Loan")</f>
        <v>Old Loan</v>
      </c>
      <c r="AT42" s="19" t="str">
        <f>"Q"&amp;ROUNDUP(MONTH(Table1[[#This Row],[origination_date]])/3,0)&amp;YEAR(Table1[[#This Row],[origination_date]])</f>
        <v>Q12022</v>
      </c>
      <c r="AU42" s="19">
        <f>SUMIFS(Table1[loan_amount],Table1[quarter],Table1[[#This Row],[quarter]])</f>
        <v>65393800</v>
      </c>
    </row>
    <row r="43" spans="2:47" x14ac:dyDescent="0.2">
      <c r="B43" s="5" t="s">
        <v>445</v>
      </c>
      <c r="C43" s="2" t="s">
        <v>945</v>
      </c>
      <c r="D43" s="3">
        <v>44613</v>
      </c>
      <c r="E43" s="2" t="s">
        <v>1027</v>
      </c>
      <c r="F43" s="2" t="s">
        <v>1030</v>
      </c>
      <c r="G43" s="2" t="s">
        <v>1035</v>
      </c>
      <c r="H43" s="2" t="s">
        <v>1038</v>
      </c>
      <c r="I43" s="2">
        <v>360</v>
      </c>
      <c r="J43" s="2">
        <v>6309600</v>
      </c>
      <c r="K43" s="2">
        <v>12.29</v>
      </c>
      <c r="L43" s="2">
        <v>66313</v>
      </c>
      <c r="M43" s="2">
        <v>783645</v>
      </c>
      <c r="N43" s="2">
        <v>657</v>
      </c>
      <c r="O43" s="2" t="s">
        <v>1042</v>
      </c>
      <c r="P43" s="2">
        <v>0.23</v>
      </c>
      <c r="Q43" s="2">
        <v>0.95</v>
      </c>
      <c r="R43" s="2">
        <v>6658400</v>
      </c>
      <c r="S43" s="2">
        <v>46</v>
      </c>
      <c r="T43" s="2">
        <v>2846256</v>
      </c>
      <c r="U43" s="2">
        <v>4652367</v>
      </c>
      <c r="V43" s="2">
        <v>0</v>
      </c>
      <c r="W43" s="2">
        <v>0</v>
      </c>
      <c r="X43" s="2">
        <v>0</v>
      </c>
      <c r="Y43" s="2" t="s">
        <v>1049</v>
      </c>
      <c r="Z43" s="12">
        <f>SUMIF(Table1[product],Table1[[#This Row],[product]],Table1[loan_amount])</f>
        <v>403369500</v>
      </c>
      <c r="AA43" s="15">
        <f>SUMIF(Table1[region],Table1[[#This Row],[region]],Table1[current_balance])</f>
        <v>83903255</v>
      </c>
      <c r="AB43" s="2">
        <f>COUNTIF(Table1[loan_status],Table1[[#This Row],[loan_status]])</f>
        <v>301</v>
      </c>
      <c r="AC43" s="2">
        <f>COUNTIF(Table1[default_flag],1)/ROWS(Table1[loan_id])</f>
        <v>2.5999999999999999E-2</v>
      </c>
      <c r="AD43" s="2">
        <f>COUNTIFS(Table1[region],Table1[[#This Row],[region]],Table1[default_flag],1)/COUNTIF(Table1[region],Table1[[#This Row],[region]])</f>
        <v>4.2553191489361701E-2</v>
      </c>
      <c r="AE43" s="2">
        <f>COUNTIFS(Table1[channel],Table1[[#This Row],[channel]],Table1[prepayment_flag],1)/COUNTIF(Table1[channel],Table1[[#This Row],[channel]])</f>
        <v>5.8201058201058198E-2</v>
      </c>
      <c r="AF43" s="2">
        <f>AVERAGEIFS(Table1[interest_rate_pct],Table1[product],Table1[[#This Row],[product]],Table1[risk_band],Table1[[#This Row],[risk_band]])</f>
        <v>11.719736842105268</v>
      </c>
      <c r="AG43" s="2" t="str" cm="1">
        <f t="array" ref="AG43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43" s="2">
        <f>COUNTIF(Table1[DTI band],Table1[[#This Row],[DTI band]])</f>
        <v>122</v>
      </c>
      <c r="AI43" s="2" t="str" cm="1">
        <f t="array" ref="AI43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43" s="2">
        <f>COUNTIF(Table1[LTV band],Table1[[#This Row],[LTV band]])</f>
        <v>141</v>
      </c>
      <c r="AK43" s="19">
        <f>COUNTIFS(Table1[count_loan_perband],Table1[[#This Row],[count_loan_perband]],Table1[default_flag],1)/COUNTIF(Table1[count_loan_perband],Table1[[#This Row],[count_loan_perband]])</f>
        <v>1.4184397163120567E-2</v>
      </c>
      <c r="AL43" s="19" t="str" cm="1">
        <f t="array" ref="AL43">_xlfn.IFS(Table1[[#This Row],[loan_amount]] &lt; 900000, "lower size (&lt; 9L)", Table1[[#This Row],[loan_amount]] &lt;=3300000, "medium size (&lt;=33L)", Table1[[#This Row],[loan_amount]] &gt; 3300000, "larger size (&gt; 33L)")</f>
        <v>larger size (&gt; 33L)</v>
      </c>
      <c r="AM43" s="19">
        <f>IF(Table1[[#This Row],[dpd]] &gt;=30,1,0)</f>
        <v>0</v>
      </c>
      <c r="AN43" s="19">
        <f>COUNTIFS(Table1[Loan size],Table1[[#This Row],[Loan size]],Table1[dpd flag],1)/COUNTIF(Table1[Loan size],Table1[[#This Row],[Loan size]])</f>
        <v>0.16250000000000001</v>
      </c>
      <c r="AO43" s="19" t="str">
        <f>IF(OR(Table1[[#This Row],[credit_score]] &lt; 600, Table1[ [#This Row],[dti_ratio] ] &gt; 0.5, Table1[[#This Row],[dpd]] &gt;=30), "high risk", " not riskY")</f>
        <v xml:space="preserve"> not riskY</v>
      </c>
      <c r="AP43" s="29">
        <f>EOMONTH(Table1[[#This Row],[origination_date]],0)</f>
        <v>44620</v>
      </c>
      <c r="AQ43" s="19">
        <f>SUMIFS(Table1[loan_amount],Table1[origination month],Table1[[#This Row],[origination month]])</f>
        <v>20575600</v>
      </c>
      <c r="AR43" s="19">
        <f>AVERAGEIFS(Table1[months_on_book],Table1[product],Table1[[#This Row],[product]])</f>
        <v>20.516129032258064</v>
      </c>
      <c r="AS43" s="19" t="str">
        <f ca="1">IF(EDATE(Table1[[#This Row],[origination_date]],6) &gt;= TODAY(), "New Loan", "Old Loan")</f>
        <v>Old Loan</v>
      </c>
      <c r="AT43" s="19" t="str">
        <f>"Q"&amp;ROUNDUP(MONTH(Table1[[#This Row],[origination_date]])/3,0)&amp;YEAR(Table1[[#This Row],[origination_date]])</f>
        <v>Q12022</v>
      </c>
      <c r="AU43" s="19">
        <f>SUMIFS(Table1[loan_amount],Table1[quarter],Table1[[#This Row],[quarter]])</f>
        <v>65393800</v>
      </c>
    </row>
    <row r="44" spans="2:47" x14ac:dyDescent="0.2">
      <c r="B44" s="5" t="s">
        <v>492</v>
      </c>
      <c r="C44" s="2" t="s">
        <v>992</v>
      </c>
      <c r="D44" s="3">
        <v>44634</v>
      </c>
      <c r="E44" s="2" t="s">
        <v>1024</v>
      </c>
      <c r="F44" s="2" t="s">
        <v>1029</v>
      </c>
      <c r="G44" s="2" t="s">
        <v>1037</v>
      </c>
      <c r="H44" s="2" t="s">
        <v>1039</v>
      </c>
      <c r="I44" s="2">
        <v>180</v>
      </c>
      <c r="J44" s="2">
        <v>913200</v>
      </c>
      <c r="K44" s="2">
        <v>7</v>
      </c>
      <c r="L44" s="2">
        <v>8208</v>
      </c>
      <c r="M44" s="2">
        <v>907013</v>
      </c>
      <c r="N44" s="2">
        <v>799</v>
      </c>
      <c r="O44" s="2" t="s">
        <v>1043</v>
      </c>
      <c r="P44" s="2">
        <v>0.19</v>
      </c>
      <c r="Q44" s="2">
        <v>0.77</v>
      </c>
      <c r="R44" s="2">
        <v>1183200</v>
      </c>
      <c r="S44" s="2">
        <v>45</v>
      </c>
      <c r="T44" s="2">
        <v>376133</v>
      </c>
      <c r="U44" s="2">
        <v>632953</v>
      </c>
      <c r="V44" s="2">
        <v>0</v>
      </c>
      <c r="W44" s="2">
        <v>0</v>
      </c>
      <c r="X44" s="2">
        <v>0</v>
      </c>
      <c r="Y44" s="2" t="s">
        <v>1049</v>
      </c>
      <c r="Z44" s="12">
        <f>SUMIF(Table1[product],Table1[[#This Row],[product]],Table1[loan_amount])</f>
        <v>92273000</v>
      </c>
      <c r="AA44" s="15">
        <f>SUMIF(Table1[region],Table1[[#This Row],[region]],Table1[current_balance])</f>
        <v>94548000</v>
      </c>
      <c r="AB44" s="2">
        <f>COUNTIF(Table1[loan_status],Table1[[#This Row],[loan_status]])</f>
        <v>301</v>
      </c>
      <c r="AC44" s="2">
        <f>COUNTIF(Table1[default_flag],1)/ROWS(Table1[loan_id])</f>
        <v>2.5999999999999999E-2</v>
      </c>
      <c r="AD44" s="2">
        <f>COUNTIFS(Table1[region],Table1[[#This Row],[region]],Table1[default_flag],1)/COUNTIF(Table1[region],Table1[[#This Row],[region]])</f>
        <v>0</v>
      </c>
      <c r="AE44" s="2">
        <f>COUNTIFS(Table1[channel],Table1[[#This Row],[channel]],Table1[prepayment_flag],1)/COUNTIF(Table1[channel],Table1[[#This Row],[channel]])</f>
        <v>7.1090047393364927E-2</v>
      </c>
      <c r="AF44" s="2">
        <f>AVERAGEIFS(Table1[interest_rate_pct],Table1[product],Table1[[#This Row],[product]],Table1[risk_band],Table1[[#This Row],[risk_band]])</f>
        <v>7.9444999999999997</v>
      </c>
      <c r="AG44" s="2" t="str" cm="1">
        <f t="array" ref="AG44">_xlfn.IFS(Table1[[#This Row],[dti_ratio]] &lt; 0.2, " less than 0.2", Table1[[#This Row],[dti_ratio]] &lt; 0.3, "0.2 - 0.3", Table1[[#This Row],[dti_ratio]] &lt;= 0.5, "0.35 - 0.5", Table1[[#This Row],[dti_ratio]] &gt; 0.5, "greater than 0.5")</f>
        <v xml:space="preserve"> less than 0.2</v>
      </c>
      <c r="AH44" s="2">
        <f>COUNTIF(Table1[DTI band],Table1[[#This Row],[DTI band]])</f>
        <v>86</v>
      </c>
      <c r="AI44" s="2" t="str" cm="1">
        <f t="array" ref="AI44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44" s="2">
        <f>COUNTIF(Table1[LTV band],Table1[[#This Row],[LTV band]])</f>
        <v>302</v>
      </c>
      <c r="AK44" s="19">
        <f>COUNTIFS(Table1[count_loan_perband],Table1[[#This Row],[count_loan_perband]],Table1[default_flag],1)/COUNTIF(Table1[count_loan_perband],Table1[[#This Row],[count_loan_perband]])</f>
        <v>3.6423841059602648E-2</v>
      </c>
      <c r="AL44" s="19" t="str" cm="1">
        <f t="array" ref="AL44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44" s="19">
        <f>IF(Table1[[#This Row],[dpd]] &gt;=30,1,0)</f>
        <v>0</v>
      </c>
      <c r="AN44" s="19">
        <f>COUNTIFS(Table1[Loan size],Table1[[#This Row],[Loan size]],Table1[dpd flag],1)/COUNTIF(Table1[Loan size],Table1[[#This Row],[Loan size]])</f>
        <v>0.15909090909090909</v>
      </c>
      <c r="AO44" s="19" t="str">
        <f>IF(OR(Table1[[#This Row],[credit_score]] &lt; 600, Table1[ [#This Row],[dti_ratio] ] &gt; 0.5, Table1[[#This Row],[dpd]] &gt;=30), "high risk", " not riskY")</f>
        <v xml:space="preserve"> not riskY</v>
      </c>
      <c r="AP44" s="29">
        <f>EOMONTH(Table1[[#This Row],[origination_date]],0)</f>
        <v>44651</v>
      </c>
      <c r="AQ44" s="19">
        <f>SUMIFS(Table1[loan_amount],Table1[origination month],Table1[[#This Row],[origination month]])</f>
        <v>25656500</v>
      </c>
      <c r="AR44" s="19">
        <f>AVERAGEIFS(Table1[months_on_book],Table1[product],Table1[[#This Row],[product]])</f>
        <v>20.262135922330096</v>
      </c>
      <c r="AS44" s="19" t="str">
        <f ca="1">IF(EDATE(Table1[[#This Row],[origination_date]],6) &gt;= TODAY(), "New Loan", "Old Loan")</f>
        <v>Old Loan</v>
      </c>
      <c r="AT44" s="19" t="str">
        <f>"Q"&amp;ROUNDUP(MONTH(Table1[[#This Row],[origination_date]])/3,0)&amp;YEAR(Table1[[#This Row],[origination_date]])</f>
        <v>Q12022</v>
      </c>
      <c r="AU44" s="19">
        <f>SUMIFS(Table1[loan_amount],Table1[quarter],Table1[[#This Row],[quarter]])</f>
        <v>65393800</v>
      </c>
    </row>
    <row r="45" spans="2:47" x14ac:dyDescent="0.2">
      <c r="B45" s="5" t="s">
        <v>76</v>
      </c>
      <c r="C45" s="2" t="s">
        <v>576</v>
      </c>
      <c r="D45" s="3">
        <v>44645</v>
      </c>
      <c r="E45" s="2" t="s">
        <v>1025</v>
      </c>
      <c r="F45" s="2" t="s">
        <v>1029</v>
      </c>
      <c r="G45" s="2" t="s">
        <v>1035</v>
      </c>
      <c r="H45" s="2" t="s">
        <v>1039</v>
      </c>
      <c r="I45" s="2">
        <v>48</v>
      </c>
      <c r="J45" s="2">
        <v>3628200</v>
      </c>
      <c r="K45" s="2">
        <v>11.84</v>
      </c>
      <c r="L45" s="2">
        <v>95260</v>
      </c>
      <c r="M45" s="2">
        <v>1380320</v>
      </c>
      <c r="N45" s="2">
        <v>758</v>
      </c>
      <c r="O45" s="2" t="s">
        <v>1043</v>
      </c>
      <c r="P45" s="2">
        <v>0.16</v>
      </c>
      <c r="Q45" s="2">
        <v>0.67</v>
      </c>
      <c r="R45" s="2">
        <v>5385500</v>
      </c>
      <c r="S45" s="2">
        <v>45</v>
      </c>
      <c r="T45" s="2">
        <v>3646511</v>
      </c>
      <c r="U45" s="2">
        <v>626057</v>
      </c>
      <c r="V45" s="2">
        <v>60</v>
      </c>
      <c r="W45" s="2">
        <v>0</v>
      </c>
      <c r="X45" s="2">
        <v>0</v>
      </c>
      <c r="Y45" s="2" t="s">
        <v>1048</v>
      </c>
      <c r="Z45" s="12">
        <f>SUMIF(Table1[product],Table1[[#This Row],[product]],Table1[loan_amount])</f>
        <v>201475100</v>
      </c>
      <c r="AA45" s="15">
        <f>SUMIF(Table1[region],Table1[[#This Row],[region]],Table1[current_balance])</f>
        <v>83903255</v>
      </c>
      <c r="AB45" s="2">
        <f>COUNTIF(Table1[loan_status],Table1[[#This Row],[loan_status]])</f>
        <v>47</v>
      </c>
      <c r="AC45" s="2">
        <f>COUNTIF(Table1[default_flag],1)/ROWS(Table1[loan_id])</f>
        <v>2.5999999999999999E-2</v>
      </c>
      <c r="AD45" s="2">
        <f>COUNTIFS(Table1[region],Table1[[#This Row],[region]],Table1[default_flag],1)/COUNTIF(Table1[region],Table1[[#This Row],[region]])</f>
        <v>4.2553191489361701E-2</v>
      </c>
      <c r="AE45" s="2">
        <f>COUNTIFS(Table1[channel],Table1[[#This Row],[channel]],Table1[prepayment_flag],1)/COUNTIF(Table1[channel],Table1[[#This Row],[channel]])</f>
        <v>7.1090047393364927E-2</v>
      </c>
      <c r="AF45" s="2">
        <f>AVERAGEIFS(Table1[interest_rate_pct],Table1[product],Table1[[#This Row],[product]],Table1[risk_band],Table1[[#This Row],[risk_band]])</f>
        <v>10.537499999999998</v>
      </c>
      <c r="AG45" s="2" t="str" cm="1">
        <f t="array" ref="AG45">_xlfn.IFS(Table1[[#This Row],[dti_ratio]] &lt; 0.2, " less than 0.2", Table1[[#This Row],[dti_ratio]] &lt; 0.3, "0.2 - 0.3", Table1[[#This Row],[dti_ratio]] &lt;= 0.5, "0.35 - 0.5", Table1[[#This Row],[dti_ratio]] &gt; 0.5, "greater than 0.5")</f>
        <v xml:space="preserve"> less than 0.2</v>
      </c>
      <c r="AH45" s="2">
        <f>COUNTIF(Table1[DTI band],Table1[[#This Row],[DTI band]])</f>
        <v>86</v>
      </c>
      <c r="AI45" s="2" t="str" cm="1">
        <f t="array" ref="AI45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45" s="2">
        <f>COUNTIF(Table1[LTV band],Table1[[#This Row],[LTV band]])</f>
        <v>302</v>
      </c>
      <c r="AK45" s="19">
        <f>COUNTIFS(Table1[count_loan_perband],Table1[[#This Row],[count_loan_perband]],Table1[default_flag],1)/COUNTIF(Table1[count_loan_perband],Table1[[#This Row],[count_loan_perband]])</f>
        <v>3.6423841059602648E-2</v>
      </c>
      <c r="AL45" s="19" t="str" cm="1">
        <f t="array" ref="AL45">_xlfn.IFS(Table1[[#This Row],[loan_amount]] &lt; 900000, "lower size (&lt; 9L)", Table1[[#This Row],[loan_amount]] &lt;=3300000, "medium size (&lt;=33L)", Table1[[#This Row],[loan_amount]] &gt; 3300000, "larger size (&gt; 33L)")</f>
        <v>larger size (&gt; 33L)</v>
      </c>
      <c r="AM45" s="19">
        <f>IF(Table1[[#This Row],[dpd]] &gt;=30,1,0)</f>
        <v>1</v>
      </c>
      <c r="AN45" s="19">
        <f>COUNTIFS(Table1[Loan size],Table1[[#This Row],[Loan size]],Table1[dpd flag],1)/COUNTIF(Table1[Loan size],Table1[[#This Row],[Loan size]])</f>
        <v>0.16250000000000001</v>
      </c>
      <c r="AO45" s="19" t="str">
        <f>IF(OR(Table1[[#This Row],[credit_score]] &lt; 600, Table1[ [#This Row],[dti_ratio] ] &gt; 0.5, Table1[[#This Row],[dpd]] &gt;=30), "high risk", " not riskY")</f>
        <v>high risk</v>
      </c>
      <c r="AP45" s="29">
        <f>EOMONTH(Table1[[#This Row],[origination_date]],0)</f>
        <v>44651</v>
      </c>
      <c r="AQ45" s="19">
        <f>SUMIFS(Table1[loan_amount],Table1[origination month],Table1[[#This Row],[origination month]])</f>
        <v>25656500</v>
      </c>
      <c r="AR45" s="19">
        <f>AVERAGEIFS(Table1[months_on_book],Table1[product],Table1[[#This Row],[product]])</f>
        <v>19.091954022988507</v>
      </c>
      <c r="AS45" s="19" t="str">
        <f ca="1">IF(EDATE(Table1[[#This Row],[origination_date]],6) &gt;= TODAY(), "New Loan", "Old Loan")</f>
        <v>Old Loan</v>
      </c>
      <c r="AT45" s="19" t="str">
        <f>"Q"&amp;ROUNDUP(MONTH(Table1[[#This Row],[origination_date]])/3,0)&amp;YEAR(Table1[[#This Row],[origination_date]])</f>
        <v>Q12022</v>
      </c>
      <c r="AU45" s="19">
        <f>SUMIFS(Table1[loan_amount],Table1[quarter],Table1[[#This Row],[quarter]])</f>
        <v>65393800</v>
      </c>
    </row>
    <row r="46" spans="2:47" x14ac:dyDescent="0.2">
      <c r="B46" s="5" t="s">
        <v>103</v>
      </c>
      <c r="C46" s="2" t="s">
        <v>603</v>
      </c>
      <c r="D46" s="3">
        <v>44648</v>
      </c>
      <c r="E46" s="2" t="s">
        <v>1027</v>
      </c>
      <c r="F46" s="2" t="s">
        <v>1031</v>
      </c>
      <c r="G46" s="2" t="s">
        <v>1036</v>
      </c>
      <c r="H46" s="2" t="s">
        <v>1038</v>
      </c>
      <c r="I46" s="2">
        <v>60</v>
      </c>
      <c r="J46" s="2">
        <v>1357200</v>
      </c>
      <c r="K46" s="2">
        <v>12.5</v>
      </c>
      <c r="L46" s="2">
        <v>30534</v>
      </c>
      <c r="M46" s="2">
        <v>150000</v>
      </c>
      <c r="N46" s="2">
        <v>667</v>
      </c>
      <c r="O46" s="2" t="s">
        <v>1042</v>
      </c>
      <c r="P46" s="2">
        <v>0.16</v>
      </c>
      <c r="Q46" s="2">
        <v>0.64</v>
      </c>
      <c r="R46" s="2">
        <v>2113200</v>
      </c>
      <c r="S46" s="2">
        <v>45</v>
      </c>
      <c r="T46" s="2">
        <v>1385523</v>
      </c>
      <c r="U46" s="2">
        <v>226152</v>
      </c>
      <c r="V46" s="2">
        <v>0</v>
      </c>
      <c r="W46" s="2">
        <v>1</v>
      </c>
      <c r="X46" s="2">
        <v>0</v>
      </c>
      <c r="Y46" s="2" t="s">
        <v>1047</v>
      </c>
      <c r="Z46" s="12">
        <f>SUMIF(Table1[product],Table1[[#This Row],[product]],Table1[loan_amount])</f>
        <v>403369500</v>
      </c>
      <c r="AA46" s="15">
        <f>SUMIF(Table1[region],Table1[[#This Row],[region]],Table1[current_balance])</f>
        <v>98928695</v>
      </c>
      <c r="AB46" s="2">
        <f>COUNTIF(Table1[loan_status],Table1[[#This Row],[loan_status]])</f>
        <v>139</v>
      </c>
      <c r="AC46" s="2">
        <f>COUNTIF(Table1[default_flag],1)/ROWS(Table1[loan_id])</f>
        <v>2.5999999999999999E-2</v>
      </c>
      <c r="AD46" s="2">
        <f>COUNTIFS(Table1[region],Table1[[#This Row],[region]],Table1[default_flag],1)/COUNTIF(Table1[region],Table1[[#This Row],[region]])</f>
        <v>2.8571428571428571E-2</v>
      </c>
      <c r="AE46" s="2">
        <f>COUNTIFS(Table1[channel],Table1[[#This Row],[channel]],Table1[prepayment_flag],1)/COUNTIF(Table1[channel],Table1[[#This Row],[channel]])</f>
        <v>0.12</v>
      </c>
      <c r="AF46" s="2">
        <f>AVERAGEIFS(Table1[interest_rate_pct],Table1[product],Table1[[#This Row],[product]],Table1[risk_band],Table1[[#This Row],[risk_band]])</f>
        <v>11.719736842105268</v>
      </c>
      <c r="AG46" s="2" t="str" cm="1">
        <f t="array" ref="AG46">_xlfn.IFS(Table1[[#This Row],[dti_ratio]] &lt; 0.2, " less than 0.2", Table1[[#This Row],[dti_ratio]] &lt; 0.3, "0.2 - 0.3", Table1[[#This Row],[dti_ratio]] &lt;= 0.5, "0.35 - 0.5", Table1[[#This Row],[dti_ratio]] &gt; 0.5, "greater than 0.5")</f>
        <v xml:space="preserve"> less than 0.2</v>
      </c>
      <c r="AH46" s="2">
        <f>COUNTIF(Table1[DTI band],Table1[[#This Row],[DTI band]])</f>
        <v>86</v>
      </c>
      <c r="AI46" s="2" t="str" cm="1">
        <f t="array" ref="AI46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46" s="2">
        <f>COUNTIF(Table1[LTV band],Table1[[#This Row],[LTV band]])</f>
        <v>302</v>
      </c>
      <c r="AK46" s="19">
        <f>COUNTIFS(Table1[count_loan_perband],Table1[[#This Row],[count_loan_perband]],Table1[default_flag],1)/COUNTIF(Table1[count_loan_perband],Table1[[#This Row],[count_loan_perband]])</f>
        <v>3.6423841059602648E-2</v>
      </c>
      <c r="AL46" s="19" t="str" cm="1">
        <f t="array" ref="AL46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46" s="19">
        <f>IF(Table1[[#This Row],[dpd]] &gt;=30,1,0)</f>
        <v>0</v>
      </c>
      <c r="AN46" s="19">
        <f>COUNTIFS(Table1[Loan size],Table1[[#This Row],[Loan size]],Table1[dpd flag],1)/COUNTIF(Table1[Loan size],Table1[[#This Row],[Loan size]])</f>
        <v>0.15909090909090909</v>
      </c>
      <c r="AO46" s="19" t="str">
        <f>IF(OR(Table1[[#This Row],[credit_score]] &lt; 600, Table1[ [#This Row],[dti_ratio] ] &gt; 0.5, Table1[[#This Row],[dpd]] &gt;=30), "high risk", " not riskY")</f>
        <v xml:space="preserve"> not riskY</v>
      </c>
      <c r="AP46" s="29">
        <f>EOMONTH(Table1[[#This Row],[origination_date]],0)</f>
        <v>44651</v>
      </c>
      <c r="AQ46" s="19">
        <f>SUMIFS(Table1[loan_amount],Table1[origination month],Table1[[#This Row],[origination month]])</f>
        <v>25656500</v>
      </c>
      <c r="AR46" s="19">
        <f>AVERAGEIFS(Table1[months_on_book],Table1[product],Table1[[#This Row],[product]])</f>
        <v>20.516129032258064</v>
      </c>
      <c r="AS46" s="19" t="str">
        <f ca="1">IF(EDATE(Table1[[#This Row],[origination_date]],6) &gt;= TODAY(), "New Loan", "Old Loan")</f>
        <v>Old Loan</v>
      </c>
      <c r="AT46" s="19" t="str">
        <f>"Q"&amp;ROUNDUP(MONTH(Table1[[#This Row],[origination_date]])/3,0)&amp;YEAR(Table1[[#This Row],[origination_date]])</f>
        <v>Q12022</v>
      </c>
      <c r="AU46" s="19">
        <f>SUMIFS(Table1[loan_amount],Table1[quarter],Table1[[#This Row],[quarter]])</f>
        <v>65393800</v>
      </c>
    </row>
    <row r="47" spans="2:47" x14ac:dyDescent="0.2">
      <c r="B47" s="5" t="s">
        <v>206</v>
      </c>
      <c r="C47" s="2" t="s">
        <v>706</v>
      </c>
      <c r="D47" s="3">
        <v>44564</v>
      </c>
      <c r="E47" s="2" t="s">
        <v>1026</v>
      </c>
      <c r="F47" s="2" t="s">
        <v>1030</v>
      </c>
      <c r="G47" s="2" t="s">
        <v>1035</v>
      </c>
      <c r="H47" s="2" t="s">
        <v>1039</v>
      </c>
      <c r="I47" s="2">
        <v>12</v>
      </c>
      <c r="J47" s="2">
        <v>518000</v>
      </c>
      <c r="K47" s="2">
        <v>13.81</v>
      </c>
      <c r="L47" s="2">
        <v>46463</v>
      </c>
      <c r="M47" s="2">
        <v>1378964</v>
      </c>
      <c r="N47" s="2">
        <v>744</v>
      </c>
      <c r="O47" s="2" t="s">
        <v>1044</v>
      </c>
      <c r="P47" s="2">
        <v>0.16</v>
      </c>
      <c r="Q47" s="2">
        <v>0.75</v>
      </c>
      <c r="R47" s="2">
        <v>0</v>
      </c>
      <c r="S47" s="2">
        <v>12</v>
      </c>
      <c r="T47" s="2">
        <v>481837</v>
      </c>
      <c r="U47" s="2">
        <v>64777</v>
      </c>
      <c r="V47" s="2">
        <v>0</v>
      </c>
      <c r="W47" s="2">
        <v>0</v>
      </c>
      <c r="X47" s="2">
        <v>0</v>
      </c>
      <c r="Y47" s="2" t="s">
        <v>1047</v>
      </c>
      <c r="Z47" s="12">
        <f>SUMIF(Table1[product],Table1[[#This Row],[product]],Table1[loan_amount])</f>
        <v>74897600</v>
      </c>
      <c r="AA47" s="15">
        <f>SUMIF(Table1[region],Table1[[#This Row],[region]],Table1[current_balance])</f>
        <v>83903255</v>
      </c>
      <c r="AB47" s="2">
        <f>COUNTIF(Table1[loan_status],Table1[[#This Row],[loan_status]])</f>
        <v>139</v>
      </c>
      <c r="AC47" s="2">
        <f>COUNTIF(Table1[default_flag],1)/ROWS(Table1[loan_id])</f>
        <v>2.5999999999999999E-2</v>
      </c>
      <c r="AD47" s="2">
        <f>COUNTIFS(Table1[region],Table1[[#This Row],[region]],Table1[default_flag],1)/COUNTIF(Table1[region],Table1[[#This Row],[region]])</f>
        <v>4.2553191489361701E-2</v>
      </c>
      <c r="AE47" s="2">
        <f>COUNTIFS(Table1[channel],Table1[[#This Row],[channel]],Table1[prepayment_flag],1)/COUNTIF(Table1[channel],Table1[[#This Row],[channel]])</f>
        <v>5.8201058201058198E-2</v>
      </c>
      <c r="AF47" s="2">
        <f>AVERAGEIFS(Table1[interest_rate_pct],Table1[product],Table1[[#This Row],[product]],Table1[risk_band],Table1[[#This Row],[risk_band]])</f>
        <v>16.500166666666669</v>
      </c>
      <c r="AG47" s="2" t="str" cm="1">
        <f t="array" ref="AG47">_xlfn.IFS(Table1[[#This Row],[dti_ratio]] &lt; 0.2, " less than 0.2", Table1[[#This Row],[dti_ratio]] &lt; 0.3, "0.2 - 0.3", Table1[[#This Row],[dti_ratio]] &lt;= 0.5, "0.35 - 0.5", Table1[[#This Row],[dti_ratio]] &gt; 0.5, "greater than 0.5")</f>
        <v xml:space="preserve"> less than 0.2</v>
      </c>
      <c r="AH47" s="2">
        <f>COUNTIF(Table1[DTI band],Table1[[#This Row],[DTI band]])</f>
        <v>86</v>
      </c>
      <c r="AI47" s="2" t="str" cm="1">
        <f t="array" ref="AI47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47" s="2">
        <f>COUNTIF(Table1[LTV band],Table1[[#This Row],[LTV band]])</f>
        <v>302</v>
      </c>
      <c r="AK47" s="19">
        <f>COUNTIFS(Table1[count_loan_perband],Table1[[#This Row],[count_loan_perband]],Table1[default_flag],1)/COUNTIF(Table1[count_loan_perband],Table1[[#This Row],[count_loan_perband]])</f>
        <v>3.6423841059602648E-2</v>
      </c>
      <c r="AL47" s="19" t="str" cm="1">
        <f t="array" ref="AL47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47" s="19">
        <f>IF(Table1[[#This Row],[dpd]] &gt;=30,1,0)</f>
        <v>0</v>
      </c>
      <c r="AN47" s="19">
        <f>COUNTIFS(Table1[Loan size],Table1[[#This Row],[Loan size]],Table1[dpd flag],1)/COUNTIF(Table1[Loan size],Table1[[#This Row],[Loan size]])</f>
        <v>0.13934426229508196</v>
      </c>
      <c r="AO47" s="19" t="str">
        <f>IF(OR(Table1[[#This Row],[credit_score]] &lt; 600, Table1[ [#This Row],[dti_ratio] ] &gt; 0.5, Table1[[#This Row],[dpd]] &gt;=30), "high risk", " not riskY")</f>
        <v xml:space="preserve"> not riskY</v>
      </c>
      <c r="AP47" s="29">
        <f>EOMONTH(Table1[[#This Row],[origination_date]],0)</f>
        <v>44592</v>
      </c>
      <c r="AQ47" s="19">
        <f>SUMIFS(Table1[loan_amount],Table1[origination month],Table1[[#This Row],[origination month]])</f>
        <v>19161700</v>
      </c>
      <c r="AR47" s="19">
        <f>AVERAGEIFS(Table1[months_on_book],Table1[product],Table1[[#This Row],[product]])</f>
        <v>21.092024539877301</v>
      </c>
      <c r="AS47" s="19" t="str">
        <f ca="1">IF(EDATE(Table1[[#This Row],[origination_date]],6) &gt;= TODAY(), "New Loan", "Old Loan")</f>
        <v>Old Loan</v>
      </c>
      <c r="AT47" s="19" t="str">
        <f>"Q"&amp;ROUNDUP(MONTH(Table1[[#This Row],[origination_date]])/3,0)&amp;YEAR(Table1[[#This Row],[origination_date]])</f>
        <v>Q12022</v>
      </c>
      <c r="AU47" s="19">
        <f>SUMIFS(Table1[loan_amount],Table1[quarter],Table1[[#This Row],[quarter]])</f>
        <v>65393800</v>
      </c>
    </row>
    <row r="48" spans="2:47" x14ac:dyDescent="0.2">
      <c r="B48" s="5" t="s">
        <v>378</v>
      </c>
      <c r="C48" s="2" t="s">
        <v>878</v>
      </c>
      <c r="D48" s="3">
        <v>44635</v>
      </c>
      <c r="E48" s="2" t="s">
        <v>1025</v>
      </c>
      <c r="F48" s="2" t="s">
        <v>1030</v>
      </c>
      <c r="G48" s="2" t="s">
        <v>1035</v>
      </c>
      <c r="H48" s="2" t="s">
        <v>1038</v>
      </c>
      <c r="I48" s="2">
        <v>60</v>
      </c>
      <c r="J48" s="2">
        <v>3043400</v>
      </c>
      <c r="K48" s="2">
        <v>18.350000000000001</v>
      </c>
      <c r="L48" s="2">
        <v>77863</v>
      </c>
      <c r="M48" s="2">
        <v>1242594</v>
      </c>
      <c r="N48" s="2">
        <v>631</v>
      </c>
      <c r="O48" s="2" t="s">
        <v>1045</v>
      </c>
      <c r="P48" s="2">
        <v>0.16</v>
      </c>
      <c r="Q48" s="2">
        <v>0.75</v>
      </c>
      <c r="R48" s="2">
        <v>4065600</v>
      </c>
      <c r="S48" s="2">
        <v>45</v>
      </c>
      <c r="T48" s="2">
        <v>3024070</v>
      </c>
      <c r="U48" s="2">
        <v>857026</v>
      </c>
      <c r="V48" s="2">
        <v>0</v>
      </c>
      <c r="W48" s="2">
        <v>0</v>
      </c>
      <c r="X48" s="2">
        <v>0</v>
      </c>
      <c r="Y48" s="2" t="s">
        <v>1049</v>
      </c>
      <c r="Z48" s="12">
        <f>SUMIF(Table1[product],Table1[[#This Row],[product]],Table1[loan_amount])</f>
        <v>201475100</v>
      </c>
      <c r="AA48" s="15">
        <f>SUMIF(Table1[region],Table1[[#This Row],[region]],Table1[current_balance])</f>
        <v>83903255</v>
      </c>
      <c r="AB48" s="2">
        <f>COUNTIF(Table1[loan_status],Table1[[#This Row],[loan_status]])</f>
        <v>301</v>
      </c>
      <c r="AC48" s="2">
        <f>COUNTIF(Table1[default_flag],1)/ROWS(Table1[loan_id])</f>
        <v>2.5999999999999999E-2</v>
      </c>
      <c r="AD48" s="2">
        <f>COUNTIFS(Table1[region],Table1[[#This Row],[region]],Table1[default_flag],1)/COUNTIF(Table1[region],Table1[[#This Row],[region]])</f>
        <v>4.2553191489361701E-2</v>
      </c>
      <c r="AE48" s="2">
        <f>COUNTIFS(Table1[channel],Table1[[#This Row],[channel]],Table1[prepayment_flag],1)/COUNTIF(Table1[channel],Table1[[#This Row],[channel]])</f>
        <v>5.8201058201058198E-2</v>
      </c>
      <c r="AF48" s="2">
        <f>AVERAGEIFS(Table1[interest_rate_pct],Table1[product],Table1[[#This Row],[product]],Table1[risk_band],Table1[[#This Row],[risk_band]])</f>
        <v>18.241249999999997</v>
      </c>
      <c r="AG48" s="2" t="str" cm="1">
        <f t="array" ref="AG48">_xlfn.IFS(Table1[[#This Row],[dti_ratio]] &lt; 0.2, " less than 0.2", Table1[[#This Row],[dti_ratio]] &lt; 0.3, "0.2 - 0.3", Table1[[#This Row],[dti_ratio]] &lt;= 0.5, "0.35 - 0.5", Table1[[#This Row],[dti_ratio]] &gt; 0.5, "greater than 0.5")</f>
        <v xml:space="preserve"> less than 0.2</v>
      </c>
      <c r="AH48" s="2">
        <f>COUNTIF(Table1[DTI band],Table1[[#This Row],[DTI band]])</f>
        <v>86</v>
      </c>
      <c r="AI48" s="2" t="str" cm="1">
        <f t="array" ref="AI48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48" s="2">
        <f>COUNTIF(Table1[LTV band],Table1[[#This Row],[LTV band]])</f>
        <v>302</v>
      </c>
      <c r="AK48" s="19">
        <f>COUNTIFS(Table1[count_loan_perband],Table1[[#This Row],[count_loan_perband]],Table1[default_flag],1)/COUNTIF(Table1[count_loan_perband],Table1[[#This Row],[count_loan_perband]])</f>
        <v>3.6423841059602648E-2</v>
      </c>
      <c r="AL48" s="19" t="str" cm="1">
        <f t="array" ref="AL48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48" s="19">
        <f>IF(Table1[[#This Row],[dpd]] &gt;=30,1,0)</f>
        <v>0</v>
      </c>
      <c r="AN48" s="19">
        <f>COUNTIFS(Table1[Loan size],Table1[[#This Row],[Loan size]],Table1[dpd flag],1)/COUNTIF(Table1[Loan size],Table1[[#This Row],[Loan size]])</f>
        <v>0.15909090909090909</v>
      </c>
      <c r="AO48" s="19" t="str">
        <f>IF(OR(Table1[[#This Row],[credit_score]] &lt; 600, Table1[ [#This Row],[dti_ratio] ] &gt; 0.5, Table1[[#This Row],[dpd]] &gt;=30), "high risk", " not riskY")</f>
        <v xml:space="preserve"> not riskY</v>
      </c>
      <c r="AP48" s="29">
        <f>EOMONTH(Table1[[#This Row],[origination_date]],0)</f>
        <v>44651</v>
      </c>
      <c r="AQ48" s="19">
        <f>SUMIFS(Table1[loan_amount],Table1[origination month],Table1[[#This Row],[origination month]])</f>
        <v>25656500</v>
      </c>
      <c r="AR48" s="19">
        <f>AVERAGEIFS(Table1[months_on_book],Table1[product],Table1[[#This Row],[product]])</f>
        <v>19.091954022988507</v>
      </c>
      <c r="AS48" s="19" t="str">
        <f ca="1">IF(EDATE(Table1[[#This Row],[origination_date]],6) &gt;= TODAY(), "New Loan", "Old Loan")</f>
        <v>Old Loan</v>
      </c>
      <c r="AT48" s="19" t="str">
        <f>"Q"&amp;ROUNDUP(MONTH(Table1[[#This Row],[origination_date]])/3,0)&amp;YEAR(Table1[[#This Row],[origination_date]])</f>
        <v>Q12022</v>
      </c>
      <c r="AU48" s="19">
        <f>SUMIFS(Table1[loan_amount],Table1[quarter],Table1[[#This Row],[quarter]])</f>
        <v>65393800</v>
      </c>
    </row>
    <row r="49" spans="2:47" x14ac:dyDescent="0.2">
      <c r="B49" s="5" t="s">
        <v>411</v>
      </c>
      <c r="C49" s="2" t="s">
        <v>911</v>
      </c>
      <c r="D49" s="3">
        <v>44621</v>
      </c>
      <c r="E49" s="2" t="s">
        <v>1026</v>
      </c>
      <c r="F49" s="2" t="s">
        <v>1031</v>
      </c>
      <c r="G49" s="2" t="s">
        <v>1035</v>
      </c>
      <c r="H49" s="2" t="s">
        <v>1038</v>
      </c>
      <c r="I49" s="2">
        <v>24</v>
      </c>
      <c r="J49" s="2">
        <v>380900</v>
      </c>
      <c r="K49" s="2">
        <v>16.850000000000001</v>
      </c>
      <c r="L49" s="2">
        <v>18805</v>
      </c>
      <c r="M49" s="2">
        <v>845886</v>
      </c>
      <c r="N49" s="2">
        <v>710</v>
      </c>
      <c r="O49" s="2" t="s">
        <v>1044</v>
      </c>
      <c r="P49" s="2">
        <v>0.16</v>
      </c>
      <c r="Q49" s="2">
        <v>0.81</v>
      </c>
      <c r="R49" s="2">
        <v>0</v>
      </c>
      <c r="S49" s="2">
        <v>24</v>
      </c>
      <c r="T49" s="2">
        <v>407954</v>
      </c>
      <c r="U49" s="2">
        <v>24291</v>
      </c>
      <c r="V49" s="2">
        <v>10</v>
      </c>
      <c r="W49" s="2">
        <v>0</v>
      </c>
      <c r="X49" s="2">
        <v>0</v>
      </c>
      <c r="Y49" s="2" t="s">
        <v>1047</v>
      </c>
      <c r="Z49" s="12">
        <f>SUMIF(Table1[product],Table1[[#This Row],[product]],Table1[loan_amount])</f>
        <v>74897600</v>
      </c>
      <c r="AA49" s="15">
        <f>SUMIF(Table1[region],Table1[[#This Row],[region]],Table1[current_balance])</f>
        <v>83903255</v>
      </c>
      <c r="AB49" s="2">
        <f>COUNTIF(Table1[loan_status],Table1[[#This Row],[loan_status]])</f>
        <v>139</v>
      </c>
      <c r="AC49" s="2">
        <f>COUNTIF(Table1[default_flag],1)/ROWS(Table1[loan_id])</f>
        <v>2.5999999999999999E-2</v>
      </c>
      <c r="AD49" s="2">
        <f>COUNTIFS(Table1[region],Table1[[#This Row],[region]],Table1[default_flag],1)/COUNTIF(Table1[region],Table1[[#This Row],[region]])</f>
        <v>4.2553191489361701E-2</v>
      </c>
      <c r="AE49" s="2">
        <f>COUNTIFS(Table1[channel],Table1[[#This Row],[channel]],Table1[prepayment_flag],1)/COUNTIF(Table1[channel],Table1[[#This Row],[channel]])</f>
        <v>0.12</v>
      </c>
      <c r="AF49" s="2">
        <f>AVERAGEIFS(Table1[interest_rate_pct],Table1[product],Table1[[#This Row],[product]],Table1[risk_band],Table1[[#This Row],[risk_band]])</f>
        <v>16.500166666666669</v>
      </c>
      <c r="AG49" s="2" t="str" cm="1">
        <f t="array" ref="AG49">_xlfn.IFS(Table1[[#This Row],[dti_ratio]] &lt; 0.2, " less than 0.2", Table1[[#This Row],[dti_ratio]] &lt; 0.3, "0.2 - 0.3", Table1[[#This Row],[dti_ratio]] &lt;= 0.5, "0.35 - 0.5", Table1[[#This Row],[dti_ratio]] &gt; 0.5, "greater than 0.5")</f>
        <v xml:space="preserve"> less than 0.2</v>
      </c>
      <c r="AH49" s="2">
        <f>COUNTIF(Table1[DTI band],Table1[[#This Row],[DTI band]])</f>
        <v>86</v>
      </c>
      <c r="AI49" s="2" t="str" cm="1">
        <f t="array" ref="AI49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49" s="2">
        <f>COUNTIF(Table1[LTV band],Table1[[#This Row],[LTV band]])</f>
        <v>141</v>
      </c>
      <c r="AK49" s="19">
        <f>COUNTIFS(Table1[count_loan_perband],Table1[[#This Row],[count_loan_perband]],Table1[default_flag],1)/COUNTIF(Table1[count_loan_perband],Table1[[#This Row],[count_loan_perband]])</f>
        <v>1.4184397163120567E-2</v>
      </c>
      <c r="AL49" s="19" t="str" cm="1">
        <f t="array" ref="AL49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49" s="19">
        <f>IF(Table1[[#This Row],[dpd]] &gt;=30,1,0)</f>
        <v>0</v>
      </c>
      <c r="AN49" s="19">
        <f>COUNTIFS(Table1[Loan size],Table1[[#This Row],[Loan size]],Table1[dpd flag],1)/COUNTIF(Table1[Loan size],Table1[[#This Row],[Loan size]])</f>
        <v>0.13934426229508196</v>
      </c>
      <c r="AO49" s="19" t="str">
        <f>IF(OR(Table1[[#This Row],[credit_score]] &lt; 600, Table1[ [#This Row],[dti_ratio] ] &gt; 0.5, Table1[[#This Row],[dpd]] &gt;=30), "high risk", " not riskY")</f>
        <v xml:space="preserve"> not riskY</v>
      </c>
      <c r="AP49" s="29">
        <f>EOMONTH(Table1[[#This Row],[origination_date]],0)</f>
        <v>44651</v>
      </c>
      <c r="AQ49" s="19">
        <f>SUMIFS(Table1[loan_amount],Table1[origination month],Table1[[#This Row],[origination month]])</f>
        <v>25656500</v>
      </c>
      <c r="AR49" s="19">
        <f>AVERAGEIFS(Table1[months_on_book],Table1[product],Table1[[#This Row],[product]])</f>
        <v>21.092024539877301</v>
      </c>
      <c r="AS49" s="19" t="str">
        <f ca="1">IF(EDATE(Table1[[#This Row],[origination_date]],6) &gt;= TODAY(), "New Loan", "Old Loan")</f>
        <v>Old Loan</v>
      </c>
      <c r="AT49" s="19" t="str">
        <f>"Q"&amp;ROUNDUP(MONTH(Table1[[#This Row],[origination_date]])/3,0)&amp;YEAR(Table1[[#This Row],[origination_date]])</f>
        <v>Q12022</v>
      </c>
      <c r="AU49" s="19">
        <f>SUMIFS(Table1[loan_amount],Table1[quarter],Table1[[#This Row],[quarter]])</f>
        <v>65393800</v>
      </c>
    </row>
    <row r="50" spans="2:47" x14ac:dyDescent="0.2">
      <c r="B50" s="5" t="s">
        <v>259</v>
      </c>
      <c r="C50" s="2" t="s">
        <v>759</v>
      </c>
      <c r="D50" s="3">
        <v>44648</v>
      </c>
      <c r="E50" s="2" t="s">
        <v>1028</v>
      </c>
      <c r="F50" s="2" t="s">
        <v>1030</v>
      </c>
      <c r="G50" s="2" t="s">
        <v>1036</v>
      </c>
      <c r="H50" s="2" t="s">
        <v>1040</v>
      </c>
      <c r="I50" s="2">
        <v>240</v>
      </c>
      <c r="J50" s="2">
        <v>710700</v>
      </c>
      <c r="K50" s="2">
        <v>14</v>
      </c>
      <c r="L50" s="2">
        <v>8838</v>
      </c>
      <c r="M50" s="2">
        <v>1285130</v>
      </c>
      <c r="N50" s="2">
        <v>652</v>
      </c>
      <c r="O50" s="2" t="s">
        <v>1042</v>
      </c>
      <c r="P50" s="2">
        <v>0.14000000000000001</v>
      </c>
      <c r="Q50" s="2">
        <v>0.75</v>
      </c>
      <c r="R50" s="2">
        <v>0</v>
      </c>
      <c r="S50" s="2">
        <v>45</v>
      </c>
      <c r="T50" s="2">
        <v>364986</v>
      </c>
      <c r="U50" s="2">
        <v>494961</v>
      </c>
      <c r="V50" s="2">
        <v>0</v>
      </c>
      <c r="W50" s="2">
        <v>0</v>
      </c>
      <c r="X50" s="2">
        <v>0</v>
      </c>
      <c r="Y50" s="2" t="s">
        <v>1049</v>
      </c>
      <c r="Z50" s="12">
        <f>SUMIF(Table1[product],Table1[[#This Row],[product]],Table1[loan_amount])</f>
        <v>62765800</v>
      </c>
      <c r="AA50" s="15">
        <f>SUMIF(Table1[region],Table1[[#This Row],[region]],Table1[current_balance])</f>
        <v>98928695</v>
      </c>
      <c r="AB50" s="2">
        <f>COUNTIF(Table1[loan_status],Table1[[#This Row],[loan_status]])</f>
        <v>301</v>
      </c>
      <c r="AC50" s="2">
        <f>COUNTIF(Table1[default_flag],1)/ROWS(Table1[loan_id])</f>
        <v>2.5999999999999999E-2</v>
      </c>
      <c r="AD50" s="2">
        <f>COUNTIFS(Table1[region],Table1[[#This Row],[region]],Table1[default_flag],1)/COUNTIF(Table1[region],Table1[[#This Row],[region]])</f>
        <v>2.8571428571428571E-2</v>
      </c>
      <c r="AE50" s="2">
        <f>COUNTIFS(Table1[channel],Table1[[#This Row],[channel]],Table1[prepayment_flag],1)/COUNTIF(Table1[channel],Table1[[#This Row],[channel]])</f>
        <v>5.8201058201058198E-2</v>
      </c>
      <c r="AF50" s="2">
        <f>AVERAGEIFS(Table1[interest_rate_pct],Table1[product],Table1[[#This Row],[product]],Table1[risk_band],Table1[[#This Row],[risk_band]])</f>
        <v>13.463888888888889</v>
      </c>
      <c r="AG50" s="2" t="str" cm="1">
        <f t="array" ref="AG50">_xlfn.IFS(Table1[[#This Row],[dti_ratio]] &lt; 0.2, " less than 0.2", Table1[[#This Row],[dti_ratio]] &lt; 0.3, "0.2 - 0.3", Table1[[#This Row],[dti_ratio]] &lt;= 0.5, "0.35 - 0.5", Table1[[#This Row],[dti_ratio]] &gt; 0.5, "greater than 0.5")</f>
        <v xml:space="preserve"> less than 0.2</v>
      </c>
      <c r="AH50" s="2">
        <f>COUNTIF(Table1[DTI band],Table1[[#This Row],[DTI band]])</f>
        <v>86</v>
      </c>
      <c r="AI50" s="2" t="str" cm="1">
        <f t="array" ref="AI50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50" s="2">
        <f>COUNTIF(Table1[LTV band],Table1[[#This Row],[LTV band]])</f>
        <v>302</v>
      </c>
      <c r="AK50" s="19">
        <f>COUNTIFS(Table1[count_loan_perband],Table1[[#This Row],[count_loan_perband]],Table1[default_flag],1)/COUNTIF(Table1[count_loan_perband],Table1[[#This Row],[count_loan_perband]])</f>
        <v>3.6423841059602648E-2</v>
      </c>
      <c r="AL50" s="19" t="str" cm="1">
        <f t="array" ref="AL50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50" s="19">
        <f>IF(Table1[[#This Row],[dpd]] &gt;=30,1,0)</f>
        <v>0</v>
      </c>
      <c r="AN50" s="19">
        <f>COUNTIFS(Table1[Loan size],Table1[[#This Row],[Loan size]],Table1[dpd flag],1)/COUNTIF(Table1[Loan size],Table1[[#This Row],[Loan size]])</f>
        <v>0.13934426229508196</v>
      </c>
      <c r="AO50" s="19" t="str">
        <f>IF(OR(Table1[[#This Row],[credit_score]] &lt; 600, Table1[ [#This Row],[dti_ratio] ] &gt; 0.5, Table1[[#This Row],[dpd]] &gt;=30), "high risk", " not riskY")</f>
        <v xml:space="preserve"> not riskY</v>
      </c>
      <c r="AP50" s="29">
        <f>EOMONTH(Table1[[#This Row],[origination_date]],0)</f>
        <v>44651</v>
      </c>
      <c r="AQ50" s="19">
        <f>SUMIFS(Table1[loan_amount],Table1[origination month],Table1[[#This Row],[origination month]])</f>
        <v>25656500</v>
      </c>
      <c r="AR50" s="19">
        <f>AVERAGEIFS(Table1[months_on_book],Table1[product],Table1[[#This Row],[product]])</f>
        <v>21.962962962962962</v>
      </c>
      <c r="AS50" s="19" t="str">
        <f ca="1">IF(EDATE(Table1[[#This Row],[origination_date]],6) &gt;= TODAY(), "New Loan", "Old Loan")</f>
        <v>Old Loan</v>
      </c>
      <c r="AT50" s="19" t="str">
        <f>"Q"&amp;ROUNDUP(MONTH(Table1[[#This Row],[origination_date]])/3,0)&amp;YEAR(Table1[[#This Row],[origination_date]])</f>
        <v>Q12022</v>
      </c>
      <c r="AU50" s="19">
        <f>SUMIFS(Table1[loan_amount],Table1[quarter],Table1[[#This Row],[quarter]])</f>
        <v>65393800</v>
      </c>
    </row>
    <row r="51" spans="2:47" x14ac:dyDescent="0.2">
      <c r="B51" s="5" t="s">
        <v>283</v>
      </c>
      <c r="C51" s="2" t="s">
        <v>783</v>
      </c>
      <c r="D51" s="3">
        <v>44620</v>
      </c>
      <c r="E51" s="2" t="s">
        <v>1027</v>
      </c>
      <c r="F51" s="2" t="s">
        <v>1029</v>
      </c>
      <c r="G51" s="2" t="s">
        <v>1034</v>
      </c>
      <c r="H51" s="2" t="s">
        <v>1038</v>
      </c>
      <c r="I51" s="2">
        <v>120</v>
      </c>
      <c r="J51" s="2">
        <v>3471600</v>
      </c>
      <c r="K51" s="2">
        <v>8.76</v>
      </c>
      <c r="L51" s="2">
        <v>43527</v>
      </c>
      <c r="M51" s="2">
        <v>476360</v>
      </c>
      <c r="N51" s="2">
        <v>729</v>
      </c>
      <c r="O51" s="2" t="s">
        <v>1044</v>
      </c>
      <c r="P51" s="2">
        <v>0.13</v>
      </c>
      <c r="Q51" s="2">
        <v>0.77</v>
      </c>
      <c r="R51" s="2">
        <v>4493800</v>
      </c>
      <c r="S51" s="2">
        <v>46</v>
      </c>
      <c r="T51" s="2">
        <v>1911330</v>
      </c>
      <c r="U51" s="2">
        <v>2026575</v>
      </c>
      <c r="V51" s="2">
        <v>0</v>
      </c>
      <c r="W51" s="2">
        <v>0</v>
      </c>
      <c r="X51" s="2">
        <v>0</v>
      </c>
      <c r="Y51" s="2" t="s">
        <v>1049</v>
      </c>
      <c r="Z51" s="12">
        <f>SUMIF(Table1[product],Table1[[#This Row],[product]],Table1[loan_amount])</f>
        <v>403369500</v>
      </c>
      <c r="AA51" s="15">
        <f>SUMIF(Table1[region],Table1[[#This Row],[region]],Table1[current_balance])</f>
        <v>105779369</v>
      </c>
      <c r="AB51" s="2">
        <f>COUNTIF(Table1[loan_status],Table1[[#This Row],[loan_status]])</f>
        <v>301</v>
      </c>
      <c r="AC51" s="2">
        <f>COUNTIF(Table1[default_flag],1)/ROWS(Table1[loan_id])</f>
        <v>2.5999999999999999E-2</v>
      </c>
      <c r="AD51" s="2">
        <f>COUNTIFS(Table1[region],Table1[[#This Row],[region]],Table1[default_flag],1)/COUNTIF(Table1[region],Table1[[#This Row],[region]])</f>
        <v>2.6548672566371681E-2</v>
      </c>
      <c r="AE51" s="2">
        <f>COUNTIFS(Table1[channel],Table1[[#This Row],[channel]],Table1[prepayment_flag],1)/COUNTIF(Table1[channel],Table1[[#This Row],[channel]])</f>
        <v>7.1090047393364927E-2</v>
      </c>
      <c r="AF51" s="2">
        <f>AVERAGEIFS(Table1[interest_rate_pct],Table1[product],Table1[[#This Row],[product]],Table1[risk_band],Table1[[#This Row],[risk_band]])</f>
        <v>8.8557142857142868</v>
      </c>
      <c r="AG51" s="2" t="str" cm="1">
        <f t="array" ref="AG51">_xlfn.IFS(Table1[[#This Row],[dti_ratio]] &lt; 0.2, " less than 0.2", Table1[[#This Row],[dti_ratio]] &lt; 0.3, "0.2 - 0.3", Table1[[#This Row],[dti_ratio]] &lt;= 0.5, "0.35 - 0.5", Table1[[#This Row],[dti_ratio]] &gt; 0.5, "greater than 0.5")</f>
        <v xml:space="preserve"> less than 0.2</v>
      </c>
      <c r="AH51" s="2">
        <f>COUNTIF(Table1[DTI band],Table1[[#This Row],[DTI band]])</f>
        <v>86</v>
      </c>
      <c r="AI51" s="2" t="str" cm="1">
        <f t="array" ref="AI51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51" s="2">
        <f>COUNTIF(Table1[LTV band],Table1[[#This Row],[LTV band]])</f>
        <v>302</v>
      </c>
      <c r="AK51" s="19">
        <f>COUNTIFS(Table1[count_loan_perband],Table1[[#This Row],[count_loan_perband]],Table1[default_flag],1)/COUNTIF(Table1[count_loan_perband],Table1[[#This Row],[count_loan_perband]])</f>
        <v>3.6423841059602648E-2</v>
      </c>
      <c r="AL51" s="19" t="str" cm="1">
        <f t="array" ref="AL51">_xlfn.IFS(Table1[[#This Row],[loan_amount]] &lt; 900000, "lower size (&lt; 9L)", Table1[[#This Row],[loan_amount]] &lt;=3300000, "medium size (&lt;=33L)", Table1[[#This Row],[loan_amount]] &gt; 3300000, "larger size (&gt; 33L)")</f>
        <v>larger size (&gt; 33L)</v>
      </c>
      <c r="AM51" s="19">
        <f>IF(Table1[[#This Row],[dpd]] &gt;=30,1,0)</f>
        <v>0</v>
      </c>
      <c r="AN51" s="19">
        <f>COUNTIFS(Table1[Loan size],Table1[[#This Row],[Loan size]],Table1[dpd flag],1)/COUNTIF(Table1[Loan size],Table1[[#This Row],[Loan size]])</f>
        <v>0.16250000000000001</v>
      </c>
      <c r="AO51" s="19" t="str">
        <f>IF(OR(Table1[[#This Row],[credit_score]] &lt; 600, Table1[ [#This Row],[dti_ratio] ] &gt; 0.5, Table1[[#This Row],[dpd]] &gt;=30), "high risk", " not riskY")</f>
        <v xml:space="preserve"> not riskY</v>
      </c>
      <c r="AP51" s="29">
        <f>EOMONTH(Table1[[#This Row],[origination_date]],0)</f>
        <v>44620</v>
      </c>
      <c r="AQ51" s="19">
        <f>SUMIFS(Table1[loan_amount],Table1[origination month],Table1[[#This Row],[origination month]])</f>
        <v>20575600</v>
      </c>
      <c r="AR51" s="19">
        <f>AVERAGEIFS(Table1[months_on_book],Table1[product],Table1[[#This Row],[product]])</f>
        <v>20.516129032258064</v>
      </c>
      <c r="AS51" s="19" t="str">
        <f ca="1">IF(EDATE(Table1[[#This Row],[origination_date]],6) &gt;= TODAY(), "New Loan", "Old Loan")</f>
        <v>Old Loan</v>
      </c>
      <c r="AT51" s="19" t="str">
        <f>"Q"&amp;ROUNDUP(MONTH(Table1[[#This Row],[origination_date]])/3,0)&amp;YEAR(Table1[[#This Row],[origination_date]])</f>
        <v>Q12022</v>
      </c>
      <c r="AU51" s="19">
        <f>SUMIFS(Table1[loan_amount],Table1[quarter],Table1[[#This Row],[quarter]])</f>
        <v>65393800</v>
      </c>
    </row>
    <row r="52" spans="2:47" x14ac:dyDescent="0.2">
      <c r="B52" s="5" t="s">
        <v>510</v>
      </c>
      <c r="C52" s="2" t="s">
        <v>1010</v>
      </c>
      <c r="D52" s="3">
        <v>44629</v>
      </c>
      <c r="E52" s="2" t="s">
        <v>1028</v>
      </c>
      <c r="F52" s="2" t="s">
        <v>1031</v>
      </c>
      <c r="G52" s="2" t="s">
        <v>1036</v>
      </c>
      <c r="H52" s="2" t="s">
        <v>1041</v>
      </c>
      <c r="I52" s="2">
        <v>120</v>
      </c>
      <c r="J52" s="2">
        <v>1117400</v>
      </c>
      <c r="K52" s="2">
        <v>9.08</v>
      </c>
      <c r="L52" s="2">
        <v>14203</v>
      </c>
      <c r="M52" s="2">
        <v>1299906</v>
      </c>
      <c r="N52" s="2">
        <v>736</v>
      </c>
      <c r="O52" s="2" t="s">
        <v>1044</v>
      </c>
      <c r="P52" s="2">
        <v>0.13</v>
      </c>
      <c r="Q52" s="2">
        <v>0.67</v>
      </c>
      <c r="R52" s="2">
        <v>0</v>
      </c>
      <c r="S52" s="2">
        <v>45</v>
      </c>
      <c r="T52" s="2">
        <v>572009</v>
      </c>
      <c r="U52" s="2">
        <v>697581</v>
      </c>
      <c r="V52" s="2">
        <v>30</v>
      </c>
      <c r="W52" s="2">
        <v>0</v>
      </c>
      <c r="X52" s="2">
        <v>0</v>
      </c>
      <c r="Y52" s="2" t="s">
        <v>1048</v>
      </c>
      <c r="Z52" s="12">
        <f>SUMIF(Table1[product],Table1[[#This Row],[product]],Table1[loan_amount])</f>
        <v>62765800</v>
      </c>
      <c r="AA52" s="15">
        <f>SUMIF(Table1[region],Table1[[#This Row],[region]],Table1[current_balance])</f>
        <v>98928695</v>
      </c>
      <c r="AB52" s="2">
        <f>COUNTIF(Table1[loan_status],Table1[[#This Row],[loan_status]])</f>
        <v>47</v>
      </c>
      <c r="AC52" s="2">
        <f>COUNTIF(Table1[default_flag],1)/ROWS(Table1[loan_id])</f>
        <v>2.5999999999999999E-2</v>
      </c>
      <c r="AD52" s="2">
        <f>COUNTIFS(Table1[region],Table1[[#This Row],[region]],Table1[default_flag],1)/COUNTIF(Table1[region],Table1[[#This Row],[region]])</f>
        <v>2.8571428571428571E-2</v>
      </c>
      <c r="AE52" s="2">
        <f>COUNTIFS(Table1[channel],Table1[[#This Row],[channel]],Table1[prepayment_flag],1)/COUNTIF(Table1[channel],Table1[[#This Row],[channel]])</f>
        <v>0.12</v>
      </c>
      <c r="AF52" s="2">
        <f>AVERAGEIFS(Table1[interest_rate_pct],Table1[product],Table1[[#This Row],[product]],Table1[risk_band],Table1[[#This Row],[risk_band]])</f>
        <v>10.832666666666663</v>
      </c>
      <c r="AG52" s="2" t="str" cm="1">
        <f t="array" ref="AG52">_xlfn.IFS(Table1[[#This Row],[dti_ratio]] &lt; 0.2, " less than 0.2", Table1[[#This Row],[dti_ratio]] &lt; 0.3, "0.2 - 0.3", Table1[[#This Row],[dti_ratio]] &lt;= 0.5, "0.35 - 0.5", Table1[[#This Row],[dti_ratio]] &gt; 0.5, "greater than 0.5")</f>
        <v xml:space="preserve"> less than 0.2</v>
      </c>
      <c r="AH52" s="2">
        <f>COUNTIF(Table1[DTI band],Table1[[#This Row],[DTI band]])</f>
        <v>86</v>
      </c>
      <c r="AI52" s="2" t="str" cm="1">
        <f t="array" ref="AI52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52" s="2">
        <f>COUNTIF(Table1[LTV band],Table1[[#This Row],[LTV band]])</f>
        <v>302</v>
      </c>
      <c r="AK52" s="19">
        <f>COUNTIFS(Table1[count_loan_perband],Table1[[#This Row],[count_loan_perband]],Table1[default_flag],1)/COUNTIF(Table1[count_loan_perband],Table1[[#This Row],[count_loan_perband]])</f>
        <v>3.6423841059602648E-2</v>
      </c>
      <c r="AL52" s="19" t="str" cm="1">
        <f t="array" ref="AL52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52" s="19">
        <f>IF(Table1[[#This Row],[dpd]] &gt;=30,1,0)</f>
        <v>1</v>
      </c>
      <c r="AN52" s="19">
        <f>COUNTIFS(Table1[Loan size],Table1[[#This Row],[Loan size]],Table1[dpd flag],1)/COUNTIF(Table1[Loan size],Table1[[#This Row],[Loan size]])</f>
        <v>0.15909090909090909</v>
      </c>
      <c r="AO52" s="19" t="str">
        <f>IF(OR(Table1[[#This Row],[credit_score]] &lt; 600, Table1[ [#This Row],[dti_ratio] ] &gt; 0.5, Table1[[#This Row],[dpd]] &gt;=30), "high risk", " not riskY")</f>
        <v>high risk</v>
      </c>
      <c r="AP52" s="29">
        <f>EOMONTH(Table1[[#This Row],[origination_date]],0)</f>
        <v>44651</v>
      </c>
      <c r="AQ52" s="19">
        <f>SUMIFS(Table1[loan_amount],Table1[origination month],Table1[[#This Row],[origination month]])</f>
        <v>25656500</v>
      </c>
      <c r="AR52" s="19">
        <f>AVERAGEIFS(Table1[months_on_book],Table1[product],Table1[[#This Row],[product]])</f>
        <v>21.962962962962962</v>
      </c>
      <c r="AS52" s="19" t="str">
        <f ca="1">IF(EDATE(Table1[[#This Row],[origination_date]],6) &gt;= TODAY(), "New Loan", "Old Loan")</f>
        <v>Old Loan</v>
      </c>
      <c r="AT52" s="19" t="str">
        <f>"Q"&amp;ROUNDUP(MONTH(Table1[[#This Row],[origination_date]])/3,0)&amp;YEAR(Table1[[#This Row],[origination_date]])</f>
        <v>Q12022</v>
      </c>
      <c r="AU52" s="19">
        <f>SUMIFS(Table1[loan_amount],Table1[quarter],Table1[[#This Row],[quarter]])</f>
        <v>65393800</v>
      </c>
    </row>
    <row r="53" spans="2:47" x14ac:dyDescent="0.2">
      <c r="B53" s="5" t="s">
        <v>441</v>
      </c>
      <c r="C53" s="2" t="s">
        <v>941</v>
      </c>
      <c r="D53" s="3">
        <v>44625</v>
      </c>
      <c r="E53" s="2" t="s">
        <v>1024</v>
      </c>
      <c r="F53" s="2" t="s">
        <v>1030</v>
      </c>
      <c r="G53" s="2" t="s">
        <v>1033</v>
      </c>
      <c r="H53" s="2" t="s">
        <v>1040</v>
      </c>
      <c r="I53" s="2">
        <v>240</v>
      </c>
      <c r="J53" s="2">
        <v>359700</v>
      </c>
      <c r="K53" s="2">
        <v>13.63</v>
      </c>
      <c r="L53" s="2">
        <v>4377</v>
      </c>
      <c r="M53" s="2">
        <v>170240</v>
      </c>
      <c r="N53" s="2">
        <v>685</v>
      </c>
      <c r="O53" s="2" t="s">
        <v>1042</v>
      </c>
      <c r="P53" s="2">
        <v>0.12</v>
      </c>
      <c r="Q53" s="2">
        <v>0.67</v>
      </c>
      <c r="R53" s="2">
        <v>537200</v>
      </c>
      <c r="S53" s="2">
        <v>45</v>
      </c>
      <c r="T53" s="2">
        <v>182170</v>
      </c>
      <c r="U53" s="2">
        <v>251071</v>
      </c>
      <c r="V53" s="2">
        <v>0</v>
      </c>
      <c r="W53" s="2">
        <v>0</v>
      </c>
      <c r="X53" s="2">
        <v>0</v>
      </c>
      <c r="Y53" s="2" t="s">
        <v>1049</v>
      </c>
      <c r="Z53" s="12">
        <f>SUMIF(Table1[product],Table1[[#This Row],[product]],Table1[loan_amount])</f>
        <v>92273000</v>
      </c>
      <c r="AA53" s="15">
        <f>SUMIF(Table1[region],Table1[[#This Row],[region]],Table1[current_balance])</f>
        <v>83297251</v>
      </c>
      <c r="AB53" s="2">
        <f>COUNTIF(Table1[loan_status],Table1[[#This Row],[loan_status]])</f>
        <v>301</v>
      </c>
      <c r="AC53" s="2">
        <f>COUNTIF(Table1[default_flag],1)/ROWS(Table1[loan_id])</f>
        <v>2.5999999999999999E-2</v>
      </c>
      <c r="AD53" s="2">
        <f>COUNTIFS(Table1[region],Table1[[#This Row],[region]],Table1[default_flag],1)/COUNTIF(Table1[region],Table1[[#This Row],[region]])</f>
        <v>3.1914893617021274E-2</v>
      </c>
      <c r="AE53" s="2">
        <f>COUNTIFS(Table1[channel],Table1[[#This Row],[channel]],Table1[prepayment_flag],1)/COUNTIF(Table1[channel],Table1[[#This Row],[channel]])</f>
        <v>5.8201058201058198E-2</v>
      </c>
      <c r="AF53" s="2">
        <f>AVERAGEIFS(Table1[interest_rate_pct],Table1[product],Table1[[#This Row],[product]],Table1[risk_band],Table1[[#This Row],[risk_band]])</f>
        <v>13.246500000000001</v>
      </c>
      <c r="AG53" s="2" t="str" cm="1">
        <f t="array" ref="AG53">_xlfn.IFS(Table1[[#This Row],[dti_ratio]] &lt; 0.2, " less than 0.2", Table1[[#This Row],[dti_ratio]] &lt; 0.3, "0.2 - 0.3", Table1[[#This Row],[dti_ratio]] &lt;= 0.5, "0.35 - 0.5", Table1[[#This Row],[dti_ratio]] &gt; 0.5, "greater than 0.5")</f>
        <v xml:space="preserve"> less than 0.2</v>
      </c>
      <c r="AH53" s="2">
        <f>COUNTIF(Table1[DTI band],Table1[[#This Row],[DTI band]])</f>
        <v>86</v>
      </c>
      <c r="AI53" s="2" t="str" cm="1">
        <f t="array" ref="AI53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53" s="2">
        <f>COUNTIF(Table1[LTV band],Table1[[#This Row],[LTV band]])</f>
        <v>302</v>
      </c>
      <c r="AK53" s="19">
        <f>COUNTIFS(Table1[count_loan_perband],Table1[[#This Row],[count_loan_perband]],Table1[default_flag],1)/COUNTIF(Table1[count_loan_perband],Table1[[#This Row],[count_loan_perband]])</f>
        <v>3.6423841059602648E-2</v>
      </c>
      <c r="AL53" s="19" t="str" cm="1">
        <f t="array" ref="AL53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53" s="19">
        <f>IF(Table1[[#This Row],[dpd]] &gt;=30,1,0)</f>
        <v>0</v>
      </c>
      <c r="AN53" s="19">
        <f>COUNTIFS(Table1[Loan size],Table1[[#This Row],[Loan size]],Table1[dpd flag],1)/COUNTIF(Table1[Loan size],Table1[[#This Row],[Loan size]])</f>
        <v>0.13934426229508196</v>
      </c>
      <c r="AO53" s="19" t="str">
        <f>IF(OR(Table1[[#This Row],[credit_score]] &lt; 600, Table1[ [#This Row],[dti_ratio] ] &gt; 0.5, Table1[[#This Row],[dpd]] &gt;=30), "high risk", " not riskY")</f>
        <v xml:space="preserve"> not riskY</v>
      </c>
      <c r="AP53" s="29">
        <f>EOMONTH(Table1[[#This Row],[origination_date]],0)</f>
        <v>44651</v>
      </c>
      <c r="AQ53" s="19">
        <f>SUMIFS(Table1[loan_amount],Table1[origination month],Table1[[#This Row],[origination month]])</f>
        <v>25656500</v>
      </c>
      <c r="AR53" s="19">
        <f>AVERAGEIFS(Table1[months_on_book],Table1[product],Table1[[#This Row],[product]])</f>
        <v>20.262135922330096</v>
      </c>
      <c r="AS53" s="19" t="str">
        <f ca="1">IF(EDATE(Table1[[#This Row],[origination_date]],6) &gt;= TODAY(), "New Loan", "Old Loan")</f>
        <v>Old Loan</v>
      </c>
      <c r="AT53" s="19" t="str">
        <f>"Q"&amp;ROUNDUP(MONTH(Table1[[#This Row],[origination_date]])/3,0)&amp;YEAR(Table1[[#This Row],[origination_date]])</f>
        <v>Q12022</v>
      </c>
      <c r="AU53" s="19">
        <f>SUMIFS(Table1[loan_amount],Table1[quarter],Table1[[#This Row],[quarter]])</f>
        <v>65393800</v>
      </c>
    </row>
    <row r="54" spans="2:47" x14ac:dyDescent="0.2">
      <c r="B54" s="5" t="s">
        <v>426</v>
      </c>
      <c r="C54" s="2" t="s">
        <v>926</v>
      </c>
      <c r="D54" s="3">
        <v>45008</v>
      </c>
      <c r="E54" s="2" t="s">
        <v>1026</v>
      </c>
      <c r="F54" s="2" t="s">
        <v>1030</v>
      </c>
      <c r="G54" s="2" t="s">
        <v>1033</v>
      </c>
      <c r="H54" s="2" t="s">
        <v>1038</v>
      </c>
      <c r="I54" s="2">
        <v>36</v>
      </c>
      <c r="J54" s="2">
        <v>620500</v>
      </c>
      <c r="K54" s="2">
        <v>21.86</v>
      </c>
      <c r="L54" s="2">
        <v>23652</v>
      </c>
      <c r="M54" s="2">
        <v>914413</v>
      </c>
      <c r="N54" s="2">
        <v>609</v>
      </c>
      <c r="O54" s="2" t="s">
        <v>1045</v>
      </c>
      <c r="P54" s="2">
        <v>0.61</v>
      </c>
      <c r="Q54" s="2">
        <v>0.91</v>
      </c>
      <c r="R54" s="2">
        <v>0</v>
      </c>
      <c r="S54" s="2">
        <v>33</v>
      </c>
      <c r="T54" s="2">
        <v>672076</v>
      </c>
      <c r="U54" s="2">
        <v>97629</v>
      </c>
      <c r="V54" s="2">
        <v>0</v>
      </c>
      <c r="W54" s="2">
        <v>0</v>
      </c>
      <c r="X54" s="2">
        <v>0</v>
      </c>
      <c r="Y54" s="2" t="s">
        <v>1049</v>
      </c>
      <c r="Z54" s="12">
        <f>SUMIF(Table1[product],Table1[[#This Row],[product]],Table1[loan_amount])</f>
        <v>74897600</v>
      </c>
      <c r="AA54" s="15">
        <f>SUMIF(Table1[region],Table1[[#This Row],[region]],Table1[current_balance])</f>
        <v>83297251</v>
      </c>
      <c r="AB54" s="2">
        <f>COUNTIF(Table1[loan_status],Table1[[#This Row],[loan_status]])</f>
        <v>301</v>
      </c>
      <c r="AC54" s="2">
        <f>COUNTIF(Table1[default_flag],1)/ROWS(Table1[loan_id])</f>
        <v>2.5999999999999999E-2</v>
      </c>
      <c r="AD54" s="2">
        <f>COUNTIFS(Table1[region],Table1[[#This Row],[region]],Table1[default_flag],1)/COUNTIF(Table1[region],Table1[[#This Row],[region]])</f>
        <v>3.1914893617021274E-2</v>
      </c>
      <c r="AE54" s="2">
        <f>COUNTIFS(Table1[channel],Table1[[#This Row],[channel]],Table1[prepayment_flag],1)/COUNTIF(Table1[channel],Table1[[#This Row],[channel]])</f>
        <v>5.8201058201058198E-2</v>
      </c>
      <c r="AF54" s="2">
        <f>AVERAGEIFS(Table1[interest_rate_pct],Table1[product],Table1[[#This Row],[product]],Table1[risk_band],Table1[[#This Row],[risk_band]])</f>
        <v>20.962592592592593</v>
      </c>
      <c r="AG54" s="2" t="str" cm="1">
        <f t="array" ref="AG54">_xlfn.IFS(Table1[[#This Row],[dti_ratio]] &lt; 0.2, " less than 0.2", Table1[[#This Row],[dti_ratio]] &lt; 0.3, "0.2 - 0.3", Table1[[#This Row],[dti_ratio]] &lt;= 0.5, "0.35 - 0.5", Table1[[#This Row],[dti_ratio]] &gt; 0.5, "greater than 0.5")</f>
        <v>greater than 0.5</v>
      </c>
      <c r="AH54" s="2">
        <f>COUNTIF(Table1[DTI band],Table1[[#This Row],[DTI band]])</f>
        <v>32</v>
      </c>
      <c r="AI54" s="2" t="str" cm="1">
        <f t="array" ref="AI54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54" s="2">
        <f>COUNTIF(Table1[LTV band],Table1[[#This Row],[LTV band]])</f>
        <v>141</v>
      </c>
      <c r="AK54" s="19">
        <f>COUNTIFS(Table1[count_loan_perband],Table1[[#This Row],[count_loan_perband]],Table1[default_flag],1)/COUNTIF(Table1[count_loan_perband],Table1[[#This Row],[count_loan_perband]])</f>
        <v>1.4184397163120567E-2</v>
      </c>
      <c r="AL54" s="19" t="str" cm="1">
        <f t="array" ref="AL54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54" s="19">
        <f>IF(Table1[[#This Row],[dpd]] &gt;=30,1,0)</f>
        <v>0</v>
      </c>
      <c r="AN54" s="19">
        <f>COUNTIFS(Table1[Loan size],Table1[[#This Row],[Loan size]],Table1[dpd flag],1)/COUNTIF(Table1[Loan size],Table1[[#This Row],[Loan size]])</f>
        <v>0.13934426229508196</v>
      </c>
      <c r="AO54" s="19" t="str">
        <f>IF(OR(Table1[[#This Row],[credit_score]] &lt; 600, Table1[ [#This Row],[dti_ratio] ] &gt; 0.5, Table1[[#This Row],[dpd]] &gt;=30), "high risk", " not riskY")</f>
        <v>high risk</v>
      </c>
      <c r="AP54" s="29">
        <f>EOMONTH(Table1[[#This Row],[origination_date]],0)</f>
        <v>45016</v>
      </c>
      <c r="AQ54" s="19">
        <f>SUMIFS(Table1[loan_amount],Table1[origination month],Table1[[#This Row],[origination month]])</f>
        <v>23160200</v>
      </c>
      <c r="AR54" s="19">
        <f>AVERAGEIFS(Table1[months_on_book],Table1[product],Table1[[#This Row],[product]])</f>
        <v>21.092024539877301</v>
      </c>
      <c r="AS54" s="19" t="str">
        <f ca="1">IF(EDATE(Table1[[#This Row],[origination_date]],6) &gt;= TODAY(), "New Loan", "Old Loan")</f>
        <v>Old Loan</v>
      </c>
      <c r="AT54" s="19" t="str">
        <f>"Q"&amp;ROUNDUP(MONTH(Table1[[#This Row],[origination_date]])/3,0)&amp;YEAR(Table1[[#This Row],[origination_date]])</f>
        <v>Q12023</v>
      </c>
      <c r="AU54" s="19">
        <f>SUMIFS(Table1[loan_amount],Table1[quarter],Table1[[#This Row],[quarter]])</f>
        <v>46066100</v>
      </c>
    </row>
    <row r="55" spans="2:47" x14ac:dyDescent="0.2">
      <c r="B55" s="5" t="s">
        <v>301</v>
      </c>
      <c r="C55" s="2" t="s">
        <v>801</v>
      </c>
      <c r="D55" s="3">
        <v>44990</v>
      </c>
      <c r="E55" s="2" t="s">
        <v>1028</v>
      </c>
      <c r="F55" s="2" t="s">
        <v>1031</v>
      </c>
      <c r="G55" s="2" t="s">
        <v>1033</v>
      </c>
      <c r="H55" s="2" t="s">
        <v>1038</v>
      </c>
      <c r="I55" s="2">
        <v>180</v>
      </c>
      <c r="J55" s="2">
        <v>870800</v>
      </c>
      <c r="K55" s="2">
        <v>10.19</v>
      </c>
      <c r="L55" s="2">
        <v>9459</v>
      </c>
      <c r="M55" s="2">
        <v>1156135</v>
      </c>
      <c r="N55" s="2">
        <v>741</v>
      </c>
      <c r="O55" s="2" t="s">
        <v>1044</v>
      </c>
      <c r="P55" s="2">
        <v>0.54</v>
      </c>
      <c r="Q55" s="2">
        <v>0.68</v>
      </c>
      <c r="R55" s="2">
        <v>0</v>
      </c>
      <c r="S55" s="2">
        <v>33</v>
      </c>
      <c r="T55" s="2">
        <v>296725</v>
      </c>
      <c r="U55" s="2">
        <v>671683</v>
      </c>
      <c r="V55" s="2">
        <v>0</v>
      </c>
      <c r="W55" s="2">
        <v>0</v>
      </c>
      <c r="X55" s="2">
        <v>0</v>
      </c>
      <c r="Y55" s="2" t="s">
        <v>1049</v>
      </c>
      <c r="Z55" s="12">
        <f>SUMIF(Table1[product],Table1[[#This Row],[product]],Table1[loan_amount])</f>
        <v>62765800</v>
      </c>
      <c r="AA55" s="15">
        <f>SUMIF(Table1[region],Table1[[#This Row],[region]],Table1[current_balance])</f>
        <v>83297251</v>
      </c>
      <c r="AB55" s="2">
        <f>COUNTIF(Table1[loan_status],Table1[[#This Row],[loan_status]])</f>
        <v>301</v>
      </c>
      <c r="AC55" s="2">
        <f>COUNTIF(Table1[default_flag],1)/ROWS(Table1[loan_id])</f>
        <v>2.5999999999999999E-2</v>
      </c>
      <c r="AD55" s="2">
        <f>COUNTIFS(Table1[region],Table1[[#This Row],[region]],Table1[default_flag],1)/COUNTIF(Table1[region],Table1[[#This Row],[region]])</f>
        <v>3.1914893617021274E-2</v>
      </c>
      <c r="AE55" s="2">
        <f>COUNTIFS(Table1[channel],Table1[[#This Row],[channel]],Table1[prepayment_flag],1)/COUNTIF(Table1[channel],Table1[[#This Row],[channel]])</f>
        <v>0.12</v>
      </c>
      <c r="AF55" s="2">
        <f>AVERAGEIFS(Table1[interest_rate_pct],Table1[product],Table1[[#This Row],[product]],Table1[risk_band],Table1[[#This Row],[risk_band]])</f>
        <v>10.832666666666663</v>
      </c>
      <c r="AG55" s="2" t="str" cm="1">
        <f t="array" ref="AG55">_xlfn.IFS(Table1[[#This Row],[dti_ratio]] &lt; 0.2, " less than 0.2", Table1[[#This Row],[dti_ratio]] &lt; 0.3, "0.2 - 0.3", Table1[[#This Row],[dti_ratio]] &lt;= 0.5, "0.35 - 0.5", Table1[[#This Row],[dti_ratio]] &gt; 0.5, "greater than 0.5")</f>
        <v>greater than 0.5</v>
      </c>
      <c r="AH55" s="2">
        <f>COUNTIF(Table1[DTI band],Table1[[#This Row],[DTI band]])</f>
        <v>32</v>
      </c>
      <c r="AI55" s="2" t="str" cm="1">
        <f t="array" ref="AI55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55" s="2">
        <f>COUNTIF(Table1[LTV band],Table1[[#This Row],[LTV band]])</f>
        <v>302</v>
      </c>
      <c r="AK55" s="19">
        <f>COUNTIFS(Table1[count_loan_perband],Table1[[#This Row],[count_loan_perband]],Table1[default_flag],1)/COUNTIF(Table1[count_loan_perband],Table1[[#This Row],[count_loan_perband]])</f>
        <v>3.6423841059602648E-2</v>
      </c>
      <c r="AL55" s="19" t="str" cm="1">
        <f t="array" ref="AL55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55" s="19">
        <f>IF(Table1[[#This Row],[dpd]] &gt;=30,1,0)</f>
        <v>0</v>
      </c>
      <c r="AN55" s="19">
        <f>COUNTIFS(Table1[Loan size],Table1[[#This Row],[Loan size]],Table1[dpd flag],1)/COUNTIF(Table1[Loan size],Table1[[#This Row],[Loan size]])</f>
        <v>0.13934426229508196</v>
      </c>
      <c r="AO55" s="19" t="str">
        <f>IF(OR(Table1[[#This Row],[credit_score]] &lt; 600, Table1[ [#This Row],[dti_ratio] ] &gt; 0.5, Table1[[#This Row],[dpd]] &gt;=30), "high risk", " not riskY")</f>
        <v>high risk</v>
      </c>
      <c r="AP55" s="29">
        <f>EOMONTH(Table1[[#This Row],[origination_date]],0)</f>
        <v>45016</v>
      </c>
      <c r="AQ55" s="19">
        <f>SUMIFS(Table1[loan_amount],Table1[origination month],Table1[[#This Row],[origination month]])</f>
        <v>23160200</v>
      </c>
      <c r="AR55" s="19">
        <f>AVERAGEIFS(Table1[months_on_book],Table1[product],Table1[[#This Row],[product]])</f>
        <v>21.962962962962962</v>
      </c>
      <c r="AS55" s="19" t="str">
        <f ca="1">IF(EDATE(Table1[[#This Row],[origination_date]],6) &gt;= TODAY(), "New Loan", "Old Loan")</f>
        <v>Old Loan</v>
      </c>
      <c r="AT55" s="19" t="str">
        <f>"Q"&amp;ROUNDUP(MONTH(Table1[[#This Row],[origination_date]])/3,0)&amp;YEAR(Table1[[#This Row],[origination_date]])</f>
        <v>Q12023</v>
      </c>
      <c r="AU55" s="19">
        <f>SUMIFS(Table1[loan_amount],Table1[quarter],Table1[[#This Row],[quarter]])</f>
        <v>46066100</v>
      </c>
    </row>
    <row r="56" spans="2:47" x14ac:dyDescent="0.2">
      <c r="B56" s="5" t="s">
        <v>257</v>
      </c>
      <c r="C56" s="2" t="s">
        <v>757</v>
      </c>
      <c r="D56" s="3">
        <v>44946</v>
      </c>
      <c r="E56" s="2" t="s">
        <v>1024</v>
      </c>
      <c r="F56" s="2" t="s">
        <v>1032</v>
      </c>
      <c r="G56" s="2" t="s">
        <v>1037</v>
      </c>
      <c r="H56" s="2" t="s">
        <v>1038</v>
      </c>
      <c r="I56" s="2">
        <v>12</v>
      </c>
      <c r="J56" s="2">
        <v>1216700</v>
      </c>
      <c r="K56" s="2">
        <v>18.760000000000002</v>
      </c>
      <c r="L56" s="2">
        <v>111988</v>
      </c>
      <c r="M56" s="2">
        <v>756313</v>
      </c>
      <c r="N56" s="2">
        <v>552</v>
      </c>
      <c r="O56" s="2" t="s">
        <v>1046</v>
      </c>
      <c r="P56" s="2">
        <v>0.5</v>
      </c>
      <c r="Q56" s="2">
        <v>0.74</v>
      </c>
      <c r="R56" s="2">
        <v>1636700</v>
      </c>
      <c r="S56" s="2">
        <v>12</v>
      </c>
      <c r="T56" s="2">
        <v>1149342</v>
      </c>
      <c r="U56" s="2">
        <v>158659</v>
      </c>
      <c r="V56" s="2">
        <v>0</v>
      </c>
      <c r="W56" s="2">
        <v>0</v>
      </c>
      <c r="X56" s="2">
        <v>0</v>
      </c>
      <c r="Y56" s="2" t="s">
        <v>1047</v>
      </c>
      <c r="Z56" s="12">
        <f>SUMIF(Table1[product],Table1[[#This Row],[product]],Table1[loan_amount])</f>
        <v>92273000</v>
      </c>
      <c r="AA56" s="15">
        <f>SUMIF(Table1[region],Table1[[#This Row],[region]],Table1[current_balance])</f>
        <v>94548000</v>
      </c>
      <c r="AB56" s="2">
        <f>COUNTIF(Table1[loan_status],Table1[[#This Row],[loan_status]])</f>
        <v>139</v>
      </c>
      <c r="AC56" s="2">
        <f>COUNTIF(Table1[default_flag],1)/ROWS(Table1[loan_id])</f>
        <v>2.5999999999999999E-2</v>
      </c>
      <c r="AD56" s="2">
        <f>COUNTIFS(Table1[region],Table1[[#This Row],[region]],Table1[default_flag],1)/COUNTIF(Table1[region],Table1[[#This Row],[region]])</f>
        <v>0</v>
      </c>
      <c r="AE56" s="2">
        <f>COUNTIFS(Table1[channel],Table1[[#This Row],[channel]],Table1[prepayment_flag],1)/COUNTIF(Table1[channel],Table1[[#This Row],[channel]])</f>
        <v>0.1</v>
      </c>
      <c r="AF56" s="2">
        <f>AVERAGEIFS(Table1[interest_rate_pct],Table1[product],Table1[[#This Row],[product]],Table1[risk_band],Table1[[#This Row],[risk_band]])</f>
        <v>17.744166666666668</v>
      </c>
      <c r="AG56" s="2" t="str" cm="1">
        <f t="array" ref="AG56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56" s="2">
        <f>COUNTIF(Table1[DTI band],Table1[[#This Row],[DTI band]])</f>
        <v>260</v>
      </c>
      <c r="AI56" s="2" t="str" cm="1">
        <f t="array" ref="AI56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56" s="2">
        <f>COUNTIF(Table1[LTV band],Table1[[#This Row],[LTV band]])</f>
        <v>302</v>
      </c>
      <c r="AK56" s="19">
        <f>COUNTIFS(Table1[count_loan_perband],Table1[[#This Row],[count_loan_perband]],Table1[default_flag],1)/COUNTIF(Table1[count_loan_perband],Table1[[#This Row],[count_loan_perband]])</f>
        <v>3.6423841059602648E-2</v>
      </c>
      <c r="AL56" s="19" t="str" cm="1">
        <f t="array" ref="AL56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56" s="19">
        <f>IF(Table1[[#This Row],[dpd]] &gt;=30,1,0)</f>
        <v>0</v>
      </c>
      <c r="AN56" s="19">
        <f>COUNTIFS(Table1[Loan size],Table1[[#This Row],[Loan size]],Table1[dpd flag],1)/COUNTIF(Table1[Loan size],Table1[[#This Row],[Loan size]])</f>
        <v>0.15909090909090909</v>
      </c>
      <c r="AO56" s="19" t="str">
        <f>IF(OR(Table1[[#This Row],[credit_score]] &lt; 600, Table1[ [#This Row],[dti_ratio] ] &gt; 0.5, Table1[[#This Row],[dpd]] &gt;=30), "high risk", " not riskY")</f>
        <v>high risk</v>
      </c>
      <c r="AP56" s="29">
        <f>EOMONTH(Table1[[#This Row],[origination_date]],0)</f>
        <v>44957</v>
      </c>
      <c r="AQ56" s="19">
        <f>SUMIFS(Table1[loan_amount],Table1[origination month],Table1[[#This Row],[origination month]])</f>
        <v>11698400</v>
      </c>
      <c r="AR56" s="19">
        <f>AVERAGEIFS(Table1[months_on_book],Table1[product],Table1[[#This Row],[product]])</f>
        <v>20.262135922330096</v>
      </c>
      <c r="AS56" s="19" t="str">
        <f ca="1">IF(EDATE(Table1[[#This Row],[origination_date]],6) &gt;= TODAY(), "New Loan", "Old Loan")</f>
        <v>Old Loan</v>
      </c>
      <c r="AT56" s="19" t="str">
        <f>"Q"&amp;ROUNDUP(MONTH(Table1[[#This Row],[origination_date]])/3,0)&amp;YEAR(Table1[[#This Row],[origination_date]])</f>
        <v>Q12023</v>
      </c>
      <c r="AU56" s="19">
        <f>SUMIFS(Table1[loan_amount],Table1[quarter],Table1[[#This Row],[quarter]])</f>
        <v>46066100</v>
      </c>
    </row>
    <row r="57" spans="2:47" x14ac:dyDescent="0.2">
      <c r="B57" s="5" t="s">
        <v>300</v>
      </c>
      <c r="C57" s="2" t="s">
        <v>800</v>
      </c>
      <c r="D57" s="3">
        <v>44999</v>
      </c>
      <c r="E57" s="2" t="s">
        <v>1026</v>
      </c>
      <c r="F57" s="2" t="s">
        <v>1029</v>
      </c>
      <c r="G57" s="2" t="s">
        <v>1036</v>
      </c>
      <c r="H57" s="2" t="s">
        <v>1041</v>
      </c>
      <c r="I57" s="2">
        <v>12</v>
      </c>
      <c r="J57" s="2">
        <v>572000</v>
      </c>
      <c r="K57" s="2">
        <v>17.690000000000001</v>
      </c>
      <c r="L57" s="2">
        <v>52357</v>
      </c>
      <c r="M57" s="2">
        <v>1072644</v>
      </c>
      <c r="N57" s="2">
        <v>694</v>
      </c>
      <c r="O57" s="2" t="s">
        <v>1042</v>
      </c>
      <c r="P57" s="2">
        <v>0.49</v>
      </c>
      <c r="Q57" s="2">
        <v>0.82</v>
      </c>
      <c r="R57" s="2">
        <v>0</v>
      </c>
      <c r="S57" s="2">
        <v>12</v>
      </c>
      <c r="T57" s="2">
        <v>554900</v>
      </c>
      <c r="U57" s="2">
        <v>57575</v>
      </c>
      <c r="V57" s="2">
        <v>0</v>
      </c>
      <c r="W57" s="2">
        <v>0</v>
      </c>
      <c r="X57" s="2">
        <v>0</v>
      </c>
      <c r="Y57" s="2" t="s">
        <v>1047</v>
      </c>
      <c r="Z57" s="12">
        <f>SUMIF(Table1[product],Table1[[#This Row],[product]],Table1[loan_amount])</f>
        <v>74897600</v>
      </c>
      <c r="AA57" s="15">
        <f>SUMIF(Table1[region],Table1[[#This Row],[region]],Table1[current_balance])</f>
        <v>98928695</v>
      </c>
      <c r="AB57" s="2">
        <f>COUNTIF(Table1[loan_status],Table1[[#This Row],[loan_status]])</f>
        <v>139</v>
      </c>
      <c r="AC57" s="2">
        <f>COUNTIF(Table1[default_flag],1)/ROWS(Table1[loan_id])</f>
        <v>2.5999999999999999E-2</v>
      </c>
      <c r="AD57" s="2">
        <f>COUNTIFS(Table1[region],Table1[[#This Row],[region]],Table1[default_flag],1)/COUNTIF(Table1[region],Table1[[#This Row],[region]])</f>
        <v>2.8571428571428571E-2</v>
      </c>
      <c r="AE57" s="2">
        <f>COUNTIFS(Table1[channel],Table1[[#This Row],[channel]],Table1[prepayment_flag],1)/COUNTIF(Table1[channel],Table1[[#This Row],[channel]])</f>
        <v>7.1090047393364927E-2</v>
      </c>
      <c r="AF57" s="2">
        <f>AVERAGEIFS(Table1[interest_rate_pct],Table1[product],Table1[[#This Row],[product]],Table1[risk_band],Table1[[#This Row],[risk_band]])</f>
        <v>18.603181818181817</v>
      </c>
      <c r="AG57" s="2" t="str" cm="1">
        <f t="array" ref="AG57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57" s="2">
        <f>COUNTIF(Table1[DTI band],Table1[[#This Row],[DTI band]])</f>
        <v>260</v>
      </c>
      <c r="AI57" s="2" t="str" cm="1">
        <f t="array" ref="AI57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57" s="2">
        <f>COUNTIF(Table1[LTV band],Table1[[#This Row],[LTV band]])</f>
        <v>141</v>
      </c>
      <c r="AK57" s="19">
        <f>COUNTIFS(Table1[count_loan_perband],Table1[[#This Row],[count_loan_perband]],Table1[default_flag],1)/COUNTIF(Table1[count_loan_perband],Table1[[#This Row],[count_loan_perband]])</f>
        <v>1.4184397163120567E-2</v>
      </c>
      <c r="AL57" s="19" t="str" cm="1">
        <f t="array" ref="AL57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57" s="19">
        <f>IF(Table1[[#This Row],[dpd]] &gt;=30,1,0)</f>
        <v>0</v>
      </c>
      <c r="AN57" s="19">
        <f>COUNTIFS(Table1[Loan size],Table1[[#This Row],[Loan size]],Table1[dpd flag],1)/COUNTIF(Table1[Loan size],Table1[[#This Row],[Loan size]])</f>
        <v>0.13934426229508196</v>
      </c>
      <c r="AO57" s="19" t="str">
        <f>IF(OR(Table1[[#This Row],[credit_score]] &lt; 600, Table1[ [#This Row],[dti_ratio] ] &gt; 0.5, Table1[[#This Row],[dpd]] &gt;=30), "high risk", " not riskY")</f>
        <v xml:space="preserve"> not riskY</v>
      </c>
      <c r="AP57" s="29">
        <f>EOMONTH(Table1[[#This Row],[origination_date]],0)</f>
        <v>45016</v>
      </c>
      <c r="AQ57" s="19">
        <f>SUMIFS(Table1[loan_amount],Table1[origination month],Table1[[#This Row],[origination month]])</f>
        <v>23160200</v>
      </c>
      <c r="AR57" s="19">
        <f>AVERAGEIFS(Table1[months_on_book],Table1[product],Table1[[#This Row],[product]])</f>
        <v>21.092024539877301</v>
      </c>
      <c r="AS57" s="19" t="str">
        <f ca="1">IF(EDATE(Table1[[#This Row],[origination_date]],6) &gt;= TODAY(), "New Loan", "Old Loan")</f>
        <v>Old Loan</v>
      </c>
      <c r="AT57" s="19" t="str">
        <f>"Q"&amp;ROUNDUP(MONTH(Table1[[#This Row],[origination_date]])/3,0)&amp;YEAR(Table1[[#This Row],[origination_date]])</f>
        <v>Q12023</v>
      </c>
      <c r="AU57" s="19">
        <f>SUMIFS(Table1[loan_amount],Table1[quarter],Table1[[#This Row],[quarter]])</f>
        <v>46066100</v>
      </c>
    </row>
    <row r="58" spans="2:47" x14ac:dyDescent="0.2">
      <c r="B58" s="5" t="s">
        <v>98</v>
      </c>
      <c r="C58" s="2" t="s">
        <v>598</v>
      </c>
      <c r="D58" s="3">
        <v>44954</v>
      </c>
      <c r="E58" s="2" t="s">
        <v>1024</v>
      </c>
      <c r="F58" s="2" t="s">
        <v>1029</v>
      </c>
      <c r="G58" s="2" t="s">
        <v>1035</v>
      </c>
      <c r="H58" s="2" t="s">
        <v>1038</v>
      </c>
      <c r="I58" s="2">
        <v>36</v>
      </c>
      <c r="J58" s="2">
        <v>773300</v>
      </c>
      <c r="K58" s="2">
        <v>10.99</v>
      </c>
      <c r="L58" s="2">
        <v>25313</v>
      </c>
      <c r="M58" s="2">
        <v>657085</v>
      </c>
      <c r="N58" s="2">
        <v>716</v>
      </c>
      <c r="O58" s="2" t="s">
        <v>1044</v>
      </c>
      <c r="P58" s="2">
        <v>0.46</v>
      </c>
      <c r="Q58" s="2">
        <v>0.68</v>
      </c>
      <c r="R58" s="2">
        <v>1140700</v>
      </c>
      <c r="S58" s="2">
        <v>35</v>
      </c>
      <c r="T58" s="2">
        <v>845530</v>
      </c>
      <c r="U58" s="2">
        <v>26920</v>
      </c>
      <c r="V58" s="2">
        <v>0</v>
      </c>
      <c r="W58" s="2">
        <v>0</v>
      </c>
      <c r="X58" s="2">
        <v>0</v>
      </c>
      <c r="Y58" s="2" t="s">
        <v>1049</v>
      </c>
      <c r="Z58" s="12">
        <f>SUMIF(Table1[product],Table1[[#This Row],[product]],Table1[loan_amount])</f>
        <v>92273000</v>
      </c>
      <c r="AA58" s="15">
        <f>SUMIF(Table1[region],Table1[[#This Row],[region]],Table1[current_balance])</f>
        <v>83903255</v>
      </c>
      <c r="AB58" s="2">
        <f>COUNTIF(Table1[loan_status],Table1[[#This Row],[loan_status]])</f>
        <v>301</v>
      </c>
      <c r="AC58" s="2">
        <f>COUNTIF(Table1[default_flag],1)/ROWS(Table1[loan_id])</f>
        <v>2.5999999999999999E-2</v>
      </c>
      <c r="AD58" s="2">
        <f>COUNTIFS(Table1[region],Table1[[#This Row],[region]],Table1[default_flag],1)/COUNTIF(Table1[region],Table1[[#This Row],[region]])</f>
        <v>4.2553191489361701E-2</v>
      </c>
      <c r="AE58" s="2">
        <f>COUNTIFS(Table1[channel],Table1[[#This Row],[channel]],Table1[prepayment_flag],1)/COUNTIF(Table1[channel],Table1[[#This Row],[channel]])</f>
        <v>7.1090047393364927E-2</v>
      </c>
      <c r="AF58" s="2">
        <f>AVERAGEIFS(Table1[interest_rate_pct],Table1[product],Table1[[#This Row],[product]],Table1[risk_band],Table1[[#This Row],[risk_band]])</f>
        <v>10.611923076923079</v>
      </c>
      <c r="AG58" s="2" t="str" cm="1">
        <f t="array" ref="AG58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58" s="2">
        <f>COUNTIF(Table1[DTI band],Table1[[#This Row],[DTI band]])</f>
        <v>260</v>
      </c>
      <c r="AI58" s="2" t="str" cm="1">
        <f t="array" ref="AI58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58" s="2">
        <f>COUNTIF(Table1[LTV band],Table1[[#This Row],[LTV band]])</f>
        <v>302</v>
      </c>
      <c r="AK58" s="19">
        <f>COUNTIFS(Table1[count_loan_perband],Table1[[#This Row],[count_loan_perband]],Table1[default_flag],1)/COUNTIF(Table1[count_loan_perband],Table1[[#This Row],[count_loan_perband]])</f>
        <v>3.6423841059602648E-2</v>
      </c>
      <c r="AL58" s="19" t="str" cm="1">
        <f t="array" ref="AL58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58" s="19">
        <f>IF(Table1[[#This Row],[dpd]] &gt;=30,1,0)</f>
        <v>0</v>
      </c>
      <c r="AN58" s="19">
        <f>COUNTIFS(Table1[Loan size],Table1[[#This Row],[Loan size]],Table1[dpd flag],1)/COUNTIF(Table1[Loan size],Table1[[#This Row],[Loan size]])</f>
        <v>0.13934426229508196</v>
      </c>
      <c r="AO58" s="19" t="str">
        <f>IF(OR(Table1[[#This Row],[credit_score]] &lt; 600, Table1[ [#This Row],[dti_ratio] ] &gt; 0.5, Table1[[#This Row],[dpd]] &gt;=30), "high risk", " not riskY")</f>
        <v xml:space="preserve"> not riskY</v>
      </c>
      <c r="AP58" s="29">
        <f>EOMONTH(Table1[[#This Row],[origination_date]],0)</f>
        <v>44957</v>
      </c>
      <c r="AQ58" s="19">
        <f>SUMIFS(Table1[loan_amount],Table1[origination month],Table1[[#This Row],[origination month]])</f>
        <v>11698400</v>
      </c>
      <c r="AR58" s="19">
        <f>AVERAGEIFS(Table1[months_on_book],Table1[product],Table1[[#This Row],[product]])</f>
        <v>20.262135922330096</v>
      </c>
      <c r="AS58" s="19" t="str">
        <f ca="1">IF(EDATE(Table1[[#This Row],[origination_date]],6) &gt;= TODAY(), "New Loan", "Old Loan")</f>
        <v>Old Loan</v>
      </c>
      <c r="AT58" s="19" t="str">
        <f>"Q"&amp;ROUNDUP(MONTH(Table1[[#This Row],[origination_date]])/3,0)&amp;YEAR(Table1[[#This Row],[origination_date]])</f>
        <v>Q12023</v>
      </c>
      <c r="AU58" s="19">
        <f>SUMIFS(Table1[loan_amount],Table1[quarter],Table1[[#This Row],[quarter]])</f>
        <v>46066100</v>
      </c>
    </row>
    <row r="59" spans="2:47" x14ac:dyDescent="0.2">
      <c r="B59" s="5" t="s">
        <v>82</v>
      </c>
      <c r="C59" s="2" t="s">
        <v>582</v>
      </c>
      <c r="D59" s="3">
        <v>44969</v>
      </c>
      <c r="E59" s="2" t="s">
        <v>1026</v>
      </c>
      <c r="F59" s="2" t="s">
        <v>1029</v>
      </c>
      <c r="G59" s="2" t="s">
        <v>1035</v>
      </c>
      <c r="H59" s="2" t="s">
        <v>1038</v>
      </c>
      <c r="I59" s="2">
        <v>120</v>
      </c>
      <c r="J59" s="2">
        <v>306400</v>
      </c>
      <c r="K59" s="2">
        <v>17.5</v>
      </c>
      <c r="L59" s="2">
        <v>5423</v>
      </c>
      <c r="M59" s="2">
        <v>1350307</v>
      </c>
      <c r="N59" s="2">
        <v>717</v>
      </c>
      <c r="O59" s="2" t="s">
        <v>1044</v>
      </c>
      <c r="P59" s="2">
        <v>0.42</v>
      </c>
      <c r="Q59" s="2">
        <v>0.79</v>
      </c>
      <c r="R59" s="2">
        <v>0</v>
      </c>
      <c r="S59" s="2">
        <v>34</v>
      </c>
      <c r="T59" s="2">
        <v>179963</v>
      </c>
      <c r="U59" s="2">
        <v>187206</v>
      </c>
      <c r="V59" s="2">
        <v>0</v>
      </c>
      <c r="W59" s="2">
        <v>0</v>
      </c>
      <c r="X59" s="2">
        <v>0</v>
      </c>
      <c r="Y59" s="2" t="s">
        <v>1049</v>
      </c>
      <c r="Z59" s="12">
        <f>SUMIF(Table1[product],Table1[[#This Row],[product]],Table1[loan_amount])</f>
        <v>74897600</v>
      </c>
      <c r="AA59" s="15">
        <f>SUMIF(Table1[region],Table1[[#This Row],[region]],Table1[current_balance])</f>
        <v>83903255</v>
      </c>
      <c r="AB59" s="2">
        <f>COUNTIF(Table1[loan_status],Table1[[#This Row],[loan_status]])</f>
        <v>301</v>
      </c>
      <c r="AC59" s="2">
        <f>COUNTIF(Table1[default_flag],1)/ROWS(Table1[loan_id])</f>
        <v>2.5999999999999999E-2</v>
      </c>
      <c r="AD59" s="2">
        <f>COUNTIFS(Table1[region],Table1[[#This Row],[region]],Table1[default_flag],1)/COUNTIF(Table1[region],Table1[[#This Row],[region]])</f>
        <v>4.2553191489361701E-2</v>
      </c>
      <c r="AE59" s="2">
        <f>COUNTIFS(Table1[channel],Table1[[#This Row],[channel]],Table1[prepayment_flag],1)/COUNTIF(Table1[channel],Table1[[#This Row],[channel]])</f>
        <v>7.1090047393364927E-2</v>
      </c>
      <c r="AF59" s="2">
        <f>AVERAGEIFS(Table1[interest_rate_pct],Table1[product],Table1[[#This Row],[product]],Table1[risk_band],Table1[[#This Row],[risk_band]])</f>
        <v>16.500166666666669</v>
      </c>
      <c r="AG59" s="2" t="str" cm="1">
        <f t="array" ref="AG59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59" s="2">
        <f>COUNTIF(Table1[DTI band],Table1[[#This Row],[DTI band]])</f>
        <v>260</v>
      </c>
      <c r="AI59" s="2" t="str" cm="1">
        <f t="array" ref="AI59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59" s="2">
        <f>COUNTIF(Table1[LTV band],Table1[[#This Row],[LTV band]])</f>
        <v>302</v>
      </c>
      <c r="AK59" s="19">
        <f>COUNTIFS(Table1[count_loan_perband],Table1[[#This Row],[count_loan_perband]],Table1[default_flag],1)/COUNTIF(Table1[count_loan_perband],Table1[[#This Row],[count_loan_perband]])</f>
        <v>3.6423841059602648E-2</v>
      </c>
      <c r="AL59" s="19" t="str" cm="1">
        <f t="array" ref="AL59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59" s="19">
        <f>IF(Table1[[#This Row],[dpd]] &gt;=30,1,0)</f>
        <v>0</v>
      </c>
      <c r="AN59" s="19">
        <f>COUNTIFS(Table1[Loan size],Table1[[#This Row],[Loan size]],Table1[dpd flag],1)/COUNTIF(Table1[Loan size],Table1[[#This Row],[Loan size]])</f>
        <v>0.13934426229508196</v>
      </c>
      <c r="AO59" s="19" t="str">
        <f>IF(OR(Table1[[#This Row],[credit_score]] &lt; 600, Table1[ [#This Row],[dti_ratio] ] &gt; 0.5, Table1[[#This Row],[dpd]] &gt;=30), "high risk", " not riskY")</f>
        <v xml:space="preserve"> not riskY</v>
      </c>
      <c r="AP59" s="29">
        <f>EOMONTH(Table1[[#This Row],[origination_date]],0)</f>
        <v>44985</v>
      </c>
      <c r="AQ59" s="19">
        <f>SUMIFS(Table1[loan_amount],Table1[origination month],Table1[[#This Row],[origination month]])</f>
        <v>11207500</v>
      </c>
      <c r="AR59" s="19">
        <f>AVERAGEIFS(Table1[months_on_book],Table1[product],Table1[[#This Row],[product]])</f>
        <v>21.092024539877301</v>
      </c>
      <c r="AS59" s="19" t="str">
        <f ca="1">IF(EDATE(Table1[[#This Row],[origination_date]],6) &gt;= TODAY(), "New Loan", "Old Loan")</f>
        <v>Old Loan</v>
      </c>
      <c r="AT59" s="19" t="str">
        <f>"Q"&amp;ROUNDUP(MONTH(Table1[[#This Row],[origination_date]])/3,0)&amp;YEAR(Table1[[#This Row],[origination_date]])</f>
        <v>Q12023</v>
      </c>
      <c r="AU59" s="19">
        <f>SUMIFS(Table1[loan_amount],Table1[quarter],Table1[[#This Row],[quarter]])</f>
        <v>46066100</v>
      </c>
    </row>
    <row r="60" spans="2:47" x14ac:dyDescent="0.2">
      <c r="B60" s="5" t="s">
        <v>197</v>
      </c>
      <c r="C60" s="2" t="s">
        <v>697</v>
      </c>
      <c r="D60" s="3">
        <v>44946</v>
      </c>
      <c r="E60" s="2" t="s">
        <v>1026</v>
      </c>
      <c r="F60" s="2" t="s">
        <v>1030</v>
      </c>
      <c r="G60" s="2" t="s">
        <v>1036</v>
      </c>
      <c r="H60" s="2" t="s">
        <v>1039</v>
      </c>
      <c r="I60" s="2">
        <v>120</v>
      </c>
      <c r="J60" s="2">
        <v>726300</v>
      </c>
      <c r="K60" s="2">
        <v>17.809999999999999</v>
      </c>
      <c r="L60" s="2">
        <v>12998</v>
      </c>
      <c r="M60" s="2">
        <v>970471</v>
      </c>
      <c r="N60" s="2">
        <v>707</v>
      </c>
      <c r="O60" s="2" t="s">
        <v>1044</v>
      </c>
      <c r="P60" s="2">
        <v>0.41</v>
      </c>
      <c r="Q60" s="2">
        <v>0.63</v>
      </c>
      <c r="R60" s="2">
        <v>0</v>
      </c>
      <c r="S60" s="2">
        <v>35</v>
      </c>
      <c r="T60" s="2">
        <v>456513</v>
      </c>
      <c r="U60" s="2">
        <v>420700</v>
      </c>
      <c r="V60" s="2">
        <v>0</v>
      </c>
      <c r="W60" s="2">
        <v>0</v>
      </c>
      <c r="X60" s="2">
        <v>0</v>
      </c>
      <c r="Y60" s="2" t="s">
        <v>1049</v>
      </c>
      <c r="Z60" s="12">
        <f>SUMIF(Table1[product],Table1[[#This Row],[product]],Table1[loan_amount])</f>
        <v>74897600</v>
      </c>
      <c r="AA60" s="15">
        <f>SUMIF(Table1[region],Table1[[#This Row],[region]],Table1[current_balance])</f>
        <v>98928695</v>
      </c>
      <c r="AB60" s="2">
        <f>COUNTIF(Table1[loan_status],Table1[[#This Row],[loan_status]])</f>
        <v>301</v>
      </c>
      <c r="AC60" s="2">
        <f>COUNTIF(Table1[default_flag],1)/ROWS(Table1[loan_id])</f>
        <v>2.5999999999999999E-2</v>
      </c>
      <c r="AD60" s="2">
        <f>COUNTIFS(Table1[region],Table1[[#This Row],[region]],Table1[default_flag],1)/COUNTIF(Table1[region],Table1[[#This Row],[region]])</f>
        <v>2.8571428571428571E-2</v>
      </c>
      <c r="AE60" s="2">
        <f>COUNTIFS(Table1[channel],Table1[[#This Row],[channel]],Table1[prepayment_flag],1)/COUNTIF(Table1[channel],Table1[[#This Row],[channel]])</f>
        <v>5.8201058201058198E-2</v>
      </c>
      <c r="AF60" s="2">
        <f>AVERAGEIFS(Table1[interest_rate_pct],Table1[product],Table1[[#This Row],[product]],Table1[risk_band],Table1[[#This Row],[risk_band]])</f>
        <v>16.500166666666669</v>
      </c>
      <c r="AG60" s="2" t="str" cm="1">
        <f t="array" ref="AG60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60" s="2">
        <f>COUNTIF(Table1[DTI band],Table1[[#This Row],[DTI band]])</f>
        <v>260</v>
      </c>
      <c r="AI60" s="2" t="str" cm="1">
        <f t="array" ref="AI60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60" s="2">
        <f>COUNTIF(Table1[LTV band],Table1[[#This Row],[LTV band]])</f>
        <v>302</v>
      </c>
      <c r="AK60" s="19">
        <f>COUNTIFS(Table1[count_loan_perband],Table1[[#This Row],[count_loan_perband]],Table1[default_flag],1)/COUNTIF(Table1[count_loan_perband],Table1[[#This Row],[count_loan_perband]])</f>
        <v>3.6423841059602648E-2</v>
      </c>
      <c r="AL60" s="19" t="str" cm="1">
        <f t="array" ref="AL60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60" s="19">
        <f>IF(Table1[[#This Row],[dpd]] &gt;=30,1,0)</f>
        <v>0</v>
      </c>
      <c r="AN60" s="19">
        <f>COUNTIFS(Table1[Loan size],Table1[[#This Row],[Loan size]],Table1[dpd flag],1)/COUNTIF(Table1[Loan size],Table1[[#This Row],[Loan size]])</f>
        <v>0.13934426229508196</v>
      </c>
      <c r="AO60" s="19" t="str">
        <f>IF(OR(Table1[[#This Row],[credit_score]] &lt; 600, Table1[ [#This Row],[dti_ratio] ] &gt; 0.5, Table1[[#This Row],[dpd]] &gt;=30), "high risk", " not riskY")</f>
        <v xml:space="preserve"> not riskY</v>
      </c>
      <c r="AP60" s="29">
        <f>EOMONTH(Table1[[#This Row],[origination_date]],0)</f>
        <v>44957</v>
      </c>
      <c r="AQ60" s="19">
        <f>SUMIFS(Table1[loan_amount],Table1[origination month],Table1[[#This Row],[origination month]])</f>
        <v>11698400</v>
      </c>
      <c r="AR60" s="19">
        <f>AVERAGEIFS(Table1[months_on_book],Table1[product],Table1[[#This Row],[product]])</f>
        <v>21.092024539877301</v>
      </c>
      <c r="AS60" s="19" t="str">
        <f ca="1">IF(EDATE(Table1[[#This Row],[origination_date]],6) &gt;= TODAY(), "New Loan", "Old Loan")</f>
        <v>Old Loan</v>
      </c>
      <c r="AT60" s="19" t="str">
        <f>"Q"&amp;ROUNDUP(MONTH(Table1[[#This Row],[origination_date]])/3,0)&amp;YEAR(Table1[[#This Row],[origination_date]])</f>
        <v>Q12023</v>
      </c>
      <c r="AU60" s="19">
        <f>SUMIFS(Table1[loan_amount],Table1[quarter],Table1[[#This Row],[quarter]])</f>
        <v>46066100</v>
      </c>
    </row>
    <row r="61" spans="2:47" x14ac:dyDescent="0.2">
      <c r="B61" s="5" t="s">
        <v>232</v>
      </c>
      <c r="C61" s="2" t="s">
        <v>732</v>
      </c>
      <c r="D61" s="3">
        <v>44976</v>
      </c>
      <c r="E61" s="2" t="s">
        <v>1025</v>
      </c>
      <c r="F61" s="2" t="s">
        <v>1030</v>
      </c>
      <c r="G61" s="2" t="s">
        <v>1034</v>
      </c>
      <c r="H61" s="2" t="s">
        <v>1039</v>
      </c>
      <c r="I61" s="2">
        <v>24</v>
      </c>
      <c r="J61" s="2">
        <v>2316700</v>
      </c>
      <c r="K61" s="2">
        <v>14.09</v>
      </c>
      <c r="L61" s="2">
        <v>111330</v>
      </c>
      <c r="M61" s="2">
        <v>1180252</v>
      </c>
      <c r="N61" s="2">
        <v>715</v>
      </c>
      <c r="O61" s="2" t="s">
        <v>1044</v>
      </c>
      <c r="P61" s="2">
        <v>0.41</v>
      </c>
      <c r="Q61" s="2">
        <v>0.76</v>
      </c>
      <c r="R61" s="2">
        <v>3039600</v>
      </c>
      <c r="S61" s="2">
        <v>24</v>
      </c>
      <c r="T61" s="2">
        <v>2701082</v>
      </c>
      <c r="U61" s="2">
        <v>0</v>
      </c>
      <c r="V61" s="2">
        <v>0</v>
      </c>
      <c r="W61" s="2">
        <v>0</v>
      </c>
      <c r="X61" s="2">
        <v>0</v>
      </c>
      <c r="Y61" s="2" t="s">
        <v>1047</v>
      </c>
      <c r="Z61" s="12">
        <f>SUMIF(Table1[product],Table1[[#This Row],[product]],Table1[loan_amount])</f>
        <v>201475100</v>
      </c>
      <c r="AA61" s="15">
        <f>SUMIF(Table1[region],Table1[[#This Row],[region]],Table1[current_balance])</f>
        <v>105779369</v>
      </c>
      <c r="AB61" s="2">
        <f>COUNTIF(Table1[loan_status],Table1[[#This Row],[loan_status]])</f>
        <v>139</v>
      </c>
      <c r="AC61" s="2">
        <f>COUNTIF(Table1[default_flag],1)/ROWS(Table1[loan_id])</f>
        <v>2.5999999999999999E-2</v>
      </c>
      <c r="AD61" s="2">
        <f>COUNTIFS(Table1[region],Table1[[#This Row],[region]],Table1[default_flag],1)/COUNTIF(Table1[region],Table1[[#This Row],[region]])</f>
        <v>2.6548672566371681E-2</v>
      </c>
      <c r="AE61" s="2">
        <f>COUNTIFS(Table1[channel],Table1[[#This Row],[channel]],Table1[prepayment_flag],1)/COUNTIF(Table1[channel],Table1[[#This Row],[channel]])</f>
        <v>5.8201058201058198E-2</v>
      </c>
      <c r="AF61" s="2">
        <f>AVERAGEIFS(Table1[interest_rate_pct],Table1[product],Table1[[#This Row],[product]],Table1[risk_band],Table1[[#This Row],[risk_band]])</f>
        <v>13.042631578947367</v>
      </c>
      <c r="AG61" s="2" t="str" cm="1">
        <f t="array" ref="AG61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61" s="2">
        <f>COUNTIF(Table1[DTI band],Table1[[#This Row],[DTI band]])</f>
        <v>260</v>
      </c>
      <c r="AI61" s="2" t="str" cm="1">
        <f t="array" ref="AI61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61" s="2">
        <f>COUNTIF(Table1[LTV band],Table1[[#This Row],[LTV band]])</f>
        <v>302</v>
      </c>
      <c r="AK61" s="19">
        <f>COUNTIFS(Table1[count_loan_perband],Table1[[#This Row],[count_loan_perband]],Table1[default_flag],1)/COUNTIF(Table1[count_loan_perband],Table1[[#This Row],[count_loan_perband]])</f>
        <v>3.6423841059602648E-2</v>
      </c>
      <c r="AL61" s="19" t="str" cm="1">
        <f t="array" ref="AL61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61" s="19">
        <f>IF(Table1[[#This Row],[dpd]] &gt;=30,1,0)</f>
        <v>0</v>
      </c>
      <c r="AN61" s="19">
        <f>COUNTIFS(Table1[Loan size],Table1[[#This Row],[Loan size]],Table1[dpd flag],1)/COUNTIF(Table1[Loan size],Table1[[#This Row],[Loan size]])</f>
        <v>0.15909090909090909</v>
      </c>
      <c r="AO61" s="19" t="str">
        <f>IF(OR(Table1[[#This Row],[credit_score]] &lt; 600, Table1[ [#This Row],[dti_ratio] ] &gt; 0.5, Table1[[#This Row],[dpd]] &gt;=30), "high risk", " not riskY")</f>
        <v xml:space="preserve"> not riskY</v>
      </c>
      <c r="AP61" s="29">
        <f>EOMONTH(Table1[[#This Row],[origination_date]],0)</f>
        <v>44985</v>
      </c>
      <c r="AQ61" s="19">
        <f>SUMIFS(Table1[loan_amount],Table1[origination month],Table1[[#This Row],[origination month]])</f>
        <v>11207500</v>
      </c>
      <c r="AR61" s="19">
        <f>AVERAGEIFS(Table1[months_on_book],Table1[product],Table1[[#This Row],[product]])</f>
        <v>19.091954022988507</v>
      </c>
      <c r="AS61" s="19" t="str">
        <f ca="1">IF(EDATE(Table1[[#This Row],[origination_date]],6) &gt;= TODAY(), "New Loan", "Old Loan")</f>
        <v>Old Loan</v>
      </c>
      <c r="AT61" s="19" t="str">
        <f>"Q"&amp;ROUNDUP(MONTH(Table1[[#This Row],[origination_date]])/3,0)&amp;YEAR(Table1[[#This Row],[origination_date]])</f>
        <v>Q12023</v>
      </c>
      <c r="AU61" s="19">
        <f>SUMIFS(Table1[loan_amount],Table1[quarter],Table1[[#This Row],[quarter]])</f>
        <v>46066100</v>
      </c>
    </row>
    <row r="62" spans="2:47" x14ac:dyDescent="0.2">
      <c r="B62" s="5" t="s">
        <v>201</v>
      </c>
      <c r="C62" s="2" t="s">
        <v>701</v>
      </c>
      <c r="D62" s="3">
        <v>45001</v>
      </c>
      <c r="E62" s="2" t="s">
        <v>1026</v>
      </c>
      <c r="F62" s="2" t="s">
        <v>1032</v>
      </c>
      <c r="G62" s="2" t="s">
        <v>1035</v>
      </c>
      <c r="H62" s="2" t="s">
        <v>1041</v>
      </c>
      <c r="I62" s="2">
        <v>120</v>
      </c>
      <c r="J62" s="2">
        <v>304300</v>
      </c>
      <c r="K62" s="2">
        <v>16.420000000000002</v>
      </c>
      <c r="L62" s="2">
        <v>5177</v>
      </c>
      <c r="M62" s="2">
        <v>885148</v>
      </c>
      <c r="N62" s="2">
        <v>714</v>
      </c>
      <c r="O62" s="2" t="s">
        <v>1044</v>
      </c>
      <c r="P62" s="2">
        <v>0.4</v>
      </c>
      <c r="Q62" s="2">
        <v>0.61</v>
      </c>
      <c r="R62" s="2">
        <v>0</v>
      </c>
      <c r="S62" s="2">
        <v>33</v>
      </c>
      <c r="T62" s="2">
        <v>154462</v>
      </c>
      <c r="U62" s="2">
        <v>204801</v>
      </c>
      <c r="V62" s="2">
        <v>0</v>
      </c>
      <c r="W62" s="2">
        <v>0</v>
      </c>
      <c r="X62" s="2">
        <v>0</v>
      </c>
      <c r="Y62" s="2" t="s">
        <v>1049</v>
      </c>
      <c r="Z62" s="12">
        <f>SUMIF(Table1[product],Table1[[#This Row],[product]],Table1[loan_amount])</f>
        <v>74897600</v>
      </c>
      <c r="AA62" s="15">
        <f>SUMIF(Table1[region],Table1[[#This Row],[region]],Table1[current_balance])</f>
        <v>83903255</v>
      </c>
      <c r="AB62" s="2">
        <f>COUNTIF(Table1[loan_status],Table1[[#This Row],[loan_status]])</f>
        <v>301</v>
      </c>
      <c r="AC62" s="2">
        <f>COUNTIF(Table1[default_flag],1)/ROWS(Table1[loan_id])</f>
        <v>2.5999999999999999E-2</v>
      </c>
      <c r="AD62" s="2">
        <f>COUNTIFS(Table1[region],Table1[[#This Row],[region]],Table1[default_flag],1)/COUNTIF(Table1[region],Table1[[#This Row],[region]])</f>
        <v>4.2553191489361701E-2</v>
      </c>
      <c r="AE62" s="2">
        <f>COUNTIFS(Table1[channel],Table1[[#This Row],[channel]],Table1[prepayment_flag],1)/COUNTIF(Table1[channel],Table1[[#This Row],[channel]])</f>
        <v>0.1</v>
      </c>
      <c r="AF62" s="2">
        <f>AVERAGEIFS(Table1[interest_rate_pct],Table1[product],Table1[[#This Row],[product]],Table1[risk_band],Table1[[#This Row],[risk_band]])</f>
        <v>16.500166666666669</v>
      </c>
      <c r="AG62" s="2" t="str" cm="1">
        <f t="array" ref="AG62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62" s="2">
        <f>COUNTIF(Table1[DTI band],Table1[[#This Row],[DTI band]])</f>
        <v>260</v>
      </c>
      <c r="AI62" s="2" t="str" cm="1">
        <f t="array" ref="AI62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62" s="2">
        <f>COUNTIF(Table1[LTV band],Table1[[#This Row],[LTV band]])</f>
        <v>302</v>
      </c>
      <c r="AK62" s="19">
        <f>COUNTIFS(Table1[count_loan_perband],Table1[[#This Row],[count_loan_perband]],Table1[default_flag],1)/COUNTIF(Table1[count_loan_perband],Table1[[#This Row],[count_loan_perband]])</f>
        <v>3.6423841059602648E-2</v>
      </c>
      <c r="AL62" s="19" t="str" cm="1">
        <f t="array" ref="AL62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62" s="19">
        <f>IF(Table1[[#This Row],[dpd]] &gt;=30,1,0)</f>
        <v>0</v>
      </c>
      <c r="AN62" s="19">
        <f>COUNTIFS(Table1[Loan size],Table1[[#This Row],[Loan size]],Table1[dpd flag],1)/COUNTIF(Table1[Loan size],Table1[[#This Row],[Loan size]])</f>
        <v>0.13934426229508196</v>
      </c>
      <c r="AO62" s="19" t="str">
        <f>IF(OR(Table1[[#This Row],[credit_score]] &lt; 600, Table1[ [#This Row],[dti_ratio] ] &gt; 0.5, Table1[[#This Row],[dpd]] &gt;=30), "high risk", " not riskY")</f>
        <v xml:space="preserve"> not riskY</v>
      </c>
      <c r="AP62" s="29">
        <f>EOMONTH(Table1[[#This Row],[origination_date]],0)</f>
        <v>45016</v>
      </c>
      <c r="AQ62" s="19">
        <f>SUMIFS(Table1[loan_amount],Table1[origination month],Table1[[#This Row],[origination month]])</f>
        <v>23160200</v>
      </c>
      <c r="AR62" s="19">
        <f>AVERAGEIFS(Table1[months_on_book],Table1[product],Table1[[#This Row],[product]])</f>
        <v>21.092024539877301</v>
      </c>
      <c r="AS62" s="19" t="str">
        <f ca="1">IF(EDATE(Table1[[#This Row],[origination_date]],6) &gt;= TODAY(), "New Loan", "Old Loan")</f>
        <v>Old Loan</v>
      </c>
      <c r="AT62" s="19" t="str">
        <f>"Q"&amp;ROUNDUP(MONTH(Table1[[#This Row],[origination_date]])/3,0)&amp;YEAR(Table1[[#This Row],[origination_date]])</f>
        <v>Q12023</v>
      </c>
      <c r="AU62" s="19">
        <f>SUMIFS(Table1[loan_amount],Table1[quarter],Table1[[#This Row],[quarter]])</f>
        <v>46066100</v>
      </c>
    </row>
    <row r="63" spans="2:47" x14ac:dyDescent="0.2">
      <c r="B63" s="5" t="s">
        <v>393</v>
      </c>
      <c r="C63" s="2" t="s">
        <v>893</v>
      </c>
      <c r="D63" s="3">
        <v>44981</v>
      </c>
      <c r="E63" s="2" t="s">
        <v>1025</v>
      </c>
      <c r="F63" s="2" t="s">
        <v>1030</v>
      </c>
      <c r="G63" s="2" t="s">
        <v>1037</v>
      </c>
      <c r="H63" s="2" t="s">
        <v>1039</v>
      </c>
      <c r="I63" s="2">
        <v>36</v>
      </c>
      <c r="J63" s="2">
        <v>2003100</v>
      </c>
      <c r="K63" s="2">
        <v>12.16</v>
      </c>
      <c r="L63" s="2">
        <v>66685</v>
      </c>
      <c r="M63" s="2">
        <v>668214</v>
      </c>
      <c r="N63" s="2">
        <v>728</v>
      </c>
      <c r="O63" s="2" t="s">
        <v>1044</v>
      </c>
      <c r="P63" s="2">
        <v>0.4</v>
      </c>
      <c r="Q63" s="2">
        <v>0.59</v>
      </c>
      <c r="R63" s="2">
        <v>3401100</v>
      </c>
      <c r="S63" s="2">
        <v>34</v>
      </c>
      <c r="T63" s="2">
        <v>2008329</v>
      </c>
      <c r="U63" s="2">
        <v>270825</v>
      </c>
      <c r="V63" s="2">
        <v>0</v>
      </c>
      <c r="W63" s="2">
        <v>0</v>
      </c>
      <c r="X63" s="2">
        <v>0</v>
      </c>
      <c r="Y63" s="2" t="s">
        <v>1049</v>
      </c>
      <c r="Z63" s="12">
        <f>SUMIF(Table1[product],Table1[[#This Row],[product]],Table1[loan_amount])</f>
        <v>201475100</v>
      </c>
      <c r="AA63" s="15">
        <f>SUMIF(Table1[region],Table1[[#This Row],[region]],Table1[current_balance])</f>
        <v>94548000</v>
      </c>
      <c r="AB63" s="2">
        <f>COUNTIF(Table1[loan_status],Table1[[#This Row],[loan_status]])</f>
        <v>301</v>
      </c>
      <c r="AC63" s="2">
        <f>COUNTIF(Table1[default_flag],1)/ROWS(Table1[loan_id])</f>
        <v>2.5999999999999999E-2</v>
      </c>
      <c r="AD63" s="2">
        <f>COUNTIFS(Table1[region],Table1[[#This Row],[region]],Table1[default_flag],1)/COUNTIF(Table1[region],Table1[[#This Row],[region]])</f>
        <v>0</v>
      </c>
      <c r="AE63" s="2">
        <f>COUNTIFS(Table1[channel],Table1[[#This Row],[channel]],Table1[prepayment_flag],1)/COUNTIF(Table1[channel],Table1[[#This Row],[channel]])</f>
        <v>5.8201058201058198E-2</v>
      </c>
      <c r="AF63" s="2">
        <f>AVERAGEIFS(Table1[interest_rate_pct],Table1[product],Table1[[#This Row],[product]],Table1[risk_band],Table1[[#This Row],[risk_band]])</f>
        <v>13.042631578947367</v>
      </c>
      <c r="AG63" s="2" t="str" cm="1">
        <f t="array" ref="AG63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63" s="2">
        <f>COUNTIF(Table1[DTI band],Table1[[#This Row],[DTI band]])</f>
        <v>260</v>
      </c>
      <c r="AI63" s="2" t="str" cm="1">
        <f t="array" ref="AI63">_xlfn.IFS(Table1[[#This Row],[ltv_ratio]] &lt; 0.6, "less than 0.6 -less risky", Table1[[#This Row],[ltv_ratio]]  &lt;= 0.8, "0.6 - 0.8 -medium risky",Table1[[#This Row],[ltv_ratio]] &gt; 0.8, "greater than 0.8 -highly risky")</f>
        <v>less than 0.6 -less risky</v>
      </c>
      <c r="AJ63" s="2">
        <f>COUNTIF(Table1[LTV band],Table1[[#This Row],[LTV band]])</f>
        <v>57</v>
      </c>
      <c r="AK63" s="19">
        <f>COUNTIFS(Table1[count_loan_perband],Table1[[#This Row],[count_loan_perband]],Table1[default_flag],1)/COUNTIF(Table1[count_loan_perband],Table1[[#This Row],[count_loan_perband]])</f>
        <v>0</v>
      </c>
      <c r="AL63" s="19" t="str" cm="1">
        <f t="array" ref="AL63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63" s="19">
        <f>IF(Table1[[#This Row],[dpd]] &gt;=30,1,0)</f>
        <v>0</v>
      </c>
      <c r="AN63" s="19">
        <f>COUNTIFS(Table1[Loan size],Table1[[#This Row],[Loan size]],Table1[dpd flag],1)/COUNTIF(Table1[Loan size],Table1[[#This Row],[Loan size]])</f>
        <v>0.15909090909090909</v>
      </c>
      <c r="AO63" s="19" t="str">
        <f>IF(OR(Table1[[#This Row],[credit_score]] &lt; 600, Table1[ [#This Row],[dti_ratio] ] &gt; 0.5, Table1[[#This Row],[dpd]] &gt;=30), "high risk", " not riskY")</f>
        <v xml:space="preserve"> not riskY</v>
      </c>
      <c r="AP63" s="29">
        <f>EOMONTH(Table1[[#This Row],[origination_date]],0)</f>
        <v>44985</v>
      </c>
      <c r="AQ63" s="19">
        <f>SUMIFS(Table1[loan_amount],Table1[origination month],Table1[[#This Row],[origination month]])</f>
        <v>11207500</v>
      </c>
      <c r="AR63" s="19">
        <f>AVERAGEIFS(Table1[months_on_book],Table1[product],Table1[[#This Row],[product]])</f>
        <v>19.091954022988507</v>
      </c>
      <c r="AS63" s="19" t="str">
        <f ca="1">IF(EDATE(Table1[[#This Row],[origination_date]],6) &gt;= TODAY(), "New Loan", "Old Loan")</f>
        <v>Old Loan</v>
      </c>
      <c r="AT63" s="19" t="str">
        <f>"Q"&amp;ROUNDUP(MONTH(Table1[[#This Row],[origination_date]])/3,0)&amp;YEAR(Table1[[#This Row],[origination_date]])</f>
        <v>Q12023</v>
      </c>
      <c r="AU63" s="19">
        <f>SUMIFS(Table1[loan_amount],Table1[quarter],Table1[[#This Row],[quarter]])</f>
        <v>46066100</v>
      </c>
    </row>
    <row r="64" spans="2:47" x14ac:dyDescent="0.2">
      <c r="B64" s="5" t="s">
        <v>377</v>
      </c>
      <c r="C64" s="2" t="s">
        <v>877</v>
      </c>
      <c r="D64" s="3">
        <v>44942</v>
      </c>
      <c r="E64" s="2" t="s">
        <v>1026</v>
      </c>
      <c r="F64" s="2" t="s">
        <v>1030</v>
      </c>
      <c r="G64" s="2" t="s">
        <v>1036</v>
      </c>
      <c r="H64" s="2" t="s">
        <v>1039</v>
      </c>
      <c r="I64" s="2">
        <v>120</v>
      </c>
      <c r="J64" s="2">
        <v>232700</v>
      </c>
      <c r="K64" s="2">
        <v>16.23</v>
      </c>
      <c r="L64" s="2">
        <v>3931</v>
      </c>
      <c r="M64" s="2">
        <v>973803</v>
      </c>
      <c r="N64" s="2">
        <v>718</v>
      </c>
      <c r="O64" s="2" t="s">
        <v>1044</v>
      </c>
      <c r="P64" s="2">
        <v>0.38</v>
      </c>
      <c r="Q64" s="2">
        <v>0.92</v>
      </c>
      <c r="R64" s="2">
        <v>0</v>
      </c>
      <c r="S64" s="2">
        <v>35</v>
      </c>
      <c r="T64" s="2">
        <v>129472</v>
      </c>
      <c r="U64" s="2">
        <v>147290</v>
      </c>
      <c r="V64" s="2">
        <v>0</v>
      </c>
      <c r="W64" s="2">
        <v>0</v>
      </c>
      <c r="X64" s="2">
        <v>0</v>
      </c>
      <c r="Y64" s="2" t="s">
        <v>1049</v>
      </c>
      <c r="Z64" s="12">
        <f>SUMIF(Table1[product],Table1[[#This Row],[product]],Table1[loan_amount])</f>
        <v>74897600</v>
      </c>
      <c r="AA64" s="15">
        <f>SUMIF(Table1[region],Table1[[#This Row],[region]],Table1[current_balance])</f>
        <v>98928695</v>
      </c>
      <c r="AB64" s="2">
        <f>COUNTIF(Table1[loan_status],Table1[[#This Row],[loan_status]])</f>
        <v>301</v>
      </c>
      <c r="AC64" s="2">
        <f>COUNTIF(Table1[default_flag],1)/ROWS(Table1[loan_id])</f>
        <v>2.5999999999999999E-2</v>
      </c>
      <c r="AD64" s="2">
        <f>COUNTIFS(Table1[region],Table1[[#This Row],[region]],Table1[default_flag],1)/COUNTIF(Table1[region],Table1[[#This Row],[region]])</f>
        <v>2.8571428571428571E-2</v>
      </c>
      <c r="AE64" s="2">
        <f>COUNTIFS(Table1[channel],Table1[[#This Row],[channel]],Table1[prepayment_flag],1)/COUNTIF(Table1[channel],Table1[[#This Row],[channel]])</f>
        <v>5.8201058201058198E-2</v>
      </c>
      <c r="AF64" s="2">
        <f>AVERAGEIFS(Table1[interest_rate_pct],Table1[product],Table1[[#This Row],[product]],Table1[risk_band],Table1[[#This Row],[risk_band]])</f>
        <v>16.500166666666669</v>
      </c>
      <c r="AG64" s="2" t="str" cm="1">
        <f t="array" ref="AG64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64" s="2">
        <f>COUNTIF(Table1[DTI band],Table1[[#This Row],[DTI band]])</f>
        <v>260</v>
      </c>
      <c r="AI64" s="2" t="str" cm="1">
        <f t="array" ref="AI64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64" s="2">
        <f>COUNTIF(Table1[LTV band],Table1[[#This Row],[LTV band]])</f>
        <v>141</v>
      </c>
      <c r="AK64" s="19">
        <f>COUNTIFS(Table1[count_loan_perband],Table1[[#This Row],[count_loan_perband]],Table1[default_flag],1)/COUNTIF(Table1[count_loan_perband],Table1[[#This Row],[count_loan_perband]])</f>
        <v>1.4184397163120567E-2</v>
      </c>
      <c r="AL64" s="19" t="str" cm="1">
        <f t="array" ref="AL64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64" s="19">
        <f>IF(Table1[[#This Row],[dpd]] &gt;=30,1,0)</f>
        <v>0</v>
      </c>
      <c r="AN64" s="19">
        <f>COUNTIFS(Table1[Loan size],Table1[[#This Row],[Loan size]],Table1[dpd flag],1)/COUNTIF(Table1[Loan size],Table1[[#This Row],[Loan size]])</f>
        <v>0.13934426229508196</v>
      </c>
      <c r="AO64" s="19" t="str">
        <f>IF(OR(Table1[[#This Row],[credit_score]] &lt; 600, Table1[ [#This Row],[dti_ratio] ] &gt; 0.5, Table1[[#This Row],[dpd]] &gt;=30), "high risk", " not riskY")</f>
        <v xml:space="preserve"> not riskY</v>
      </c>
      <c r="AP64" s="29">
        <f>EOMONTH(Table1[[#This Row],[origination_date]],0)</f>
        <v>44957</v>
      </c>
      <c r="AQ64" s="19">
        <f>SUMIFS(Table1[loan_amount],Table1[origination month],Table1[[#This Row],[origination month]])</f>
        <v>11698400</v>
      </c>
      <c r="AR64" s="19">
        <f>AVERAGEIFS(Table1[months_on_book],Table1[product],Table1[[#This Row],[product]])</f>
        <v>21.092024539877301</v>
      </c>
      <c r="AS64" s="19" t="str">
        <f ca="1">IF(EDATE(Table1[[#This Row],[origination_date]],6) &gt;= TODAY(), "New Loan", "Old Loan")</f>
        <v>Old Loan</v>
      </c>
      <c r="AT64" s="19" t="str">
        <f>"Q"&amp;ROUNDUP(MONTH(Table1[[#This Row],[origination_date]])/3,0)&amp;YEAR(Table1[[#This Row],[origination_date]])</f>
        <v>Q12023</v>
      </c>
      <c r="AU64" s="19">
        <f>SUMIFS(Table1[loan_amount],Table1[quarter],Table1[[#This Row],[quarter]])</f>
        <v>46066100</v>
      </c>
    </row>
    <row r="65" spans="2:47" x14ac:dyDescent="0.2">
      <c r="B65" s="5" t="s">
        <v>189</v>
      </c>
      <c r="C65" s="2" t="s">
        <v>689</v>
      </c>
      <c r="D65" s="3">
        <v>44993</v>
      </c>
      <c r="E65" s="2" t="s">
        <v>1027</v>
      </c>
      <c r="F65" s="2" t="s">
        <v>1030</v>
      </c>
      <c r="G65" s="2" t="s">
        <v>1036</v>
      </c>
      <c r="H65" s="2" t="s">
        <v>1041</v>
      </c>
      <c r="I65" s="2">
        <v>72</v>
      </c>
      <c r="J65" s="2">
        <v>6951800</v>
      </c>
      <c r="K65" s="2">
        <v>7</v>
      </c>
      <c r="L65" s="2">
        <v>118521</v>
      </c>
      <c r="M65" s="2">
        <v>1219253</v>
      </c>
      <c r="N65" s="2">
        <v>770</v>
      </c>
      <c r="O65" s="2" t="s">
        <v>1043</v>
      </c>
      <c r="P65" s="2">
        <v>0.37</v>
      </c>
      <c r="Q65" s="2">
        <v>0.92</v>
      </c>
      <c r="R65" s="2">
        <v>7584600</v>
      </c>
      <c r="S65" s="2">
        <v>33</v>
      </c>
      <c r="T65" s="2">
        <v>3341886</v>
      </c>
      <c r="U65" s="2">
        <v>4145203</v>
      </c>
      <c r="V65" s="2">
        <v>0</v>
      </c>
      <c r="W65" s="2">
        <v>0</v>
      </c>
      <c r="X65" s="2">
        <v>0</v>
      </c>
      <c r="Y65" s="2" t="s">
        <v>1049</v>
      </c>
      <c r="Z65" s="12">
        <f>SUMIF(Table1[product],Table1[[#This Row],[product]],Table1[loan_amount])</f>
        <v>403369500</v>
      </c>
      <c r="AA65" s="15">
        <f>SUMIF(Table1[region],Table1[[#This Row],[region]],Table1[current_balance])</f>
        <v>98928695</v>
      </c>
      <c r="AB65" s="2">
        <f>COUNTIF(Table1[loan_status],Table1[[#This Row],[loan_status]])</f>
        <v>301</v>
      </c>
      <c r="AC65" s="2">
        <f>COUNTIF(Table1[default_flag],1)/ROWS(Table1[loan_id])</f>
        <v>2.5999999999999999E-2</v>
      </c>
      <c r="AD65" s="2">
        <f>COUNTIFS(Table1[region],Table1[[#This Row],[region]],Table1[default_flag],1)/COUNTIF(Table1[region],Table1[[#This Row],[region]])</f>
        <v>2.8571428571428571E-2</v>
      </c>
      <c r="AE65" s="2">
        <f>COUNTIFS(Table1[channel],Table1[[#This Row],[channel]],Table1[prepayment_flag],1)/COUNTIF(Table1[channel],Table1[[#This Row],[channel]])</f>
        <v>5.8201058201058198E-2</v>
      </c>
      <c r="AF65" s="2">
        <f>AVERAGEIFS(Table1[interest_rate_pct],Table1[product],Table1[[#This Row],[product]],Table1[risk_band],Table1[[#This Row],[risk_band]])</f>
        <v>7.1876190476190471</v>
      </c>
      <c r="AG65" s="2" t="str" cm="1">
        <f t="array" ref="AG65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65" s="2">
        <f>COUNTIF(Table1[DTI band],Table1[[#This Row],[DTI band]])</f>
        <v>260</v>
      </c>
      <c r="AI65" s="2" t="str" cm="1">
        <f t="array" ref="AI65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65" s="2">
        <f>COUNTIF(Table1[LTV band],Table1[[#This Row],[LTV band]])</f>
        <v>141</v>
      </c>
      <c r="AK65" s="19">
        <f>COUNTIFS(Table1[count_loan_perband],Table1[[#This Row],[count_loan_perband]],Table1[default_flag],1)/COUNTIF(Table1[count_loan_perband],Table1[[#This Row],[count_loan_perband]])</f>
        <v>1.4184397163120567E-2</v>
      </c>
      <c r="AL65" s="19" t="str" cm="1">
        <f t="array" ref="AL65">_xlfn.IFS(Table1[[#This Row],[loan_amount]] &lt; 900000, "lower size (&lt; 9L)", Table1[[#This Row],[loan_amount]] &lt;=3300000, "medium size (&lt;=33L)", Table1[[#This Row],[loan_amount]] &gt; 3300000, "larger size (&gt; 33L)")</f>
        <v>larger size (&gt; 33L)</v>
      </c>
      <c r="AM65" s="19">
        <f>IF(Table1[[#This Row],[dpd]] &gt;=30,1,0)</f>
        <v>0</v>
      </c>
      <c r="AN65" s="19">
        <f>COUNTIFS(Table1[Loan size],Table1[[#This Row],[Loan size]],Table1[dpd flag],1)/COUNTIF(Table1[Loan size],Table1[[#This Row],[Loan size]])</f>
        <v>0.16250000000000001</v>
      </c>
      <c r="AO65" s="19" t="str">
        <f>IF(OR(Table1[[#This Row],[credit_score]] &lt; 600, Table1[ [#This Row],[dti_ratio] ] &gt; 0.5, Table1[[#This Row],[dpd]] &gt;=30), "high risk", " not riskY")</f>
        <v xml:space="preserve"> not riskY</v>
      </c>
      <c r="AP65" s="29">
        <f>EOMONTH(Table1[[#This Row],[origination_date]],0)</f>
        <v>45016</v>
      </c>
      <c r="AQ65" s="19">
        <f>SUMIFS(Table1[loan_amount],Table1[origination month],Table1[[#This Row],[origination month]])</f>
        <v>23160200</v>
      </c>
      <c r="AR65" s="19">
        <f>AVERAGEIFS(Table1[months_on_book],Table1[product],Table1[[#This Row],[product]])</f>
        <v>20.516129032258064</v>
      </c>
      <c r="AS65" s="19" t="str">
        <f ca="1">IF(EDATE(Table1[[#This Row],[origination_date]],6) &gt;= TODAY(), "New Loan", "Old Loan")</f>
        <v>Old Loan</v>
      </c>
      <c r="AT65" s="19" t="str">
        <f>"Q"&amp;ROUNDUP(MONTH(Table1[[#This Row],[origination_date]])/3,0)&amp;YEAR(Table1[[#This Row],[origination_date]])</f>
        <v>Q12023</v>
      </c>
      <c r="AU65" s="19">
        <f>SUMIFS(Table1[loan_amount],Table1[quarter],Table1[[#This Row],[quarter]])</f>
        <v>46066100</v>
      </c>
    </row>
    <row r="66" spans="2:47" x14ac:dyDescent="0.2">
      <c r="B66" s="5" t="s">
        <v>218</v>
      </c>
      <c r="C66" s="2" t="s">
        <v>718</v>
      </c>
      <c r="D66" s="3">
        <v>44979</v>
      </c>
      <c r="E66" s="2" t="s">
        <v>1024</v>
      </c>
      <c r="F66" s="2" t="s">
        <v>1031</v>
      </c>
      <c r="G66" s="2" t="s">
        <v>1033</v>
      </c>
      <c r="H66" s="2" t="s">
        <v>1038</v>
      </c>
      <c r="I66" s="2">
        <v>120</v>
      </c>
      <c r="J66" s="2">
        <v>842900</v>
      </c>
      <c r="K66" s="2">
        <v>13.15</v>
      </c>
      <c r="L66" s="2">
        <v>12660</v>
      </c>
      <c r="M66" s="2">
        <v>1193849</v>
      </c>
      <c r="N66" s="2">
        <v>659</v>
      </c>
      <c r="O66" s="2" t="s">
        <v>1042</v>
      </c>
      <c r="P66" s="2">
        <v>0.37</v>
      </c>
      <c r="Q66" s="2">
        <v>0.83</v>
      </c>
      <c r="R66" s="2">
        <v>1012200</v>
      </c>
      <c r="S66" s="2">
        <v>34</v>
      </c>
      <c r="T66" s="2">
        <v>432525</v>
      </c>
      <c r="U66" s="2">
        <v>535995</v>
      </c>
      <c r="V66" s="2">
        <v>0</v>
      </c>
      <c r="W66" s="2">
        <v>0</v>
      </c>
      <c r="X66" s="2">
        <v>0</v>
      </c>
      <c r="Y66" s="2" t="s">
        <v>1049</v>
      </c>
      <c r="Z66" s="12">
        <f>SUMIF(Table1[product],Table1[[#This Row],[product]],Table1[loan_amount])</f>
        <v>92273000</v>
      </c>
      <c r="AA66" s="15">
        <f>SUMIF(Table1[region],Table1[[#This Row],[region]],Table1[current_balance])</f>
        <v>83297251</v>
      </c>
      <c r="AB66" s="2">
        <f>COUNTIF(Table1[loan_status],Table1[[#This Row],[loan_status]])</f>
        <v>301</v>
      </c>
      <c r="AC66" s="2">
        <f>COUNTIF(Table1[default_flag],1)/ROWS(Table1[loan_id])</f>
        <v>2.5999999999999999E-2</v>
      </c>
      <c r="AD66" s="2">
        <f>COUNTIFS(Table1[region],Table1[[#This Row],[region]],Table1[default_flag],1)/COUNTIF(Table1[region],Table1[[#This Row],[region]])</f>
        <v>3.1914893617021274E-2</v>
      </c>
      <c r="AE66" s="2">
        <f>COUNTIFS(Table1[channel],Table1[[#This Row],[channel]],Table1[prepayment_flag],1)/COUNTIF(Table1[channel],Table1[[#This Row],[channel]])</f>
        <v>0.12</v>
      </c>
      <c r="AF66" s="2">
        <f>AVERAGEIFS(Table1[interest_rate_pct],Table1[product],Table1[[#This Row],[product]],Table1[risk_band],Table1[[#This Row],[risk_band]])</f>
        <v>13.246500000000001</v>
      </c>
      <c r="AG66" s="2" t="str" cm="1">
        <f t="array" ref="AG66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66" s="2">
        <f>COUNTIF(Table1[DTI band],Table1[[#This Row],[DTI band]])</f>
        <v>260</v>
      </c>
      <c r="AI66" s="2" t="str" cm="1">
        <f t="array" ref="AI66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66" s="2">
        <f>COUNTIF(Table1[LTV band],Table1[[#This Row],[LTV band]])</f>
        <v>141</v>
      </c>
      <c r="AK66" s="19">
        <f>COUNTIFS(Table1[count_loan_perband],Table1[[#This Row],[count_loan_perband]],Table1[default_flag],1)/COUNTIF(Table1[count_loan_perband],Table1[[#This Row],[count_loan_perband]])</f>
        <v>1.4184397163120567E-2</v>
      </c>
      <c r="AL66" s="19" t="str" cm="1">
        <f t="array" ref="AL66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66" s="19">
        <f>IF(Table1[[#This Row],[dpd]] &gt;=30,1,0)</f>
        <v>0</v>
      </c>
      <c r="AN66" s="19">
        <f>COUNTIFS(Table1[Loan size],Table1[[#This Row],[Loan size]],Table1[dpd flag],1)/COUNTIF(Table1[Loan size],Table1[[#This Row],[Loan size]])</f>
        <v>0.13934426229508196</v>
      </c>
      <c r="AO66" s="19" t="str">
        <f>IF(OR(Table1[[#This Row],[credit_score]] &lt; 600, Table1[ [#This Row],[dti_ratio] ] &gt; 0.5, Table1[[#This Row],[dpd]] &gt;=30), "high risk", " not riskY")</f>
        <v xml:space="preserve"> not riskY</v>
      </c>
      <c r="AP66" s="29">
        <f>EOMONTH(Table1[[#This Row],[origination_date]],0)</f>
        <v>44985</v>
      </c>
      <c r="AQ66" s="19">
        <f>SUMIFS(Table1[loan_amount],Table1[origination month],Table1[[#This Row],[origination month]])</f>
        <v>11207500</v>
      </c>
      <c r="AR66" s="19">
        <f>AVERAGEIFS(Table1[months_on_book],Table1[product],Table1[[#This Row],[product]])</f>
        <v>20.262135922330096</v>
      </c>
      <c r="AS66" s="19" t="str">
        <f ca="1">IF(EDATE(Table1[[#This Row],[origination_date]],6) &gt;= TODAY(), "New Loan", "Old Loan")</f>
        <v>Old Loan</v>
      </c>
      <c r="AT66" s="19" t="str">
        <f>"Q"&amp;ROUNDUP(MONTH(Table1[[#This Row],[origination_date]])/3,0)&amp;YEAR(Table1[[#This Row],[origination_date]])</f>
        <v>Q12023</v>
      </c>
      <c r="AU66" s="19">
        <f>SUMIFS(Table1[loan_amount],Table1[quarter],Table1[[#This Row],[quarter]])</f>
        <v>46066100</v>
      </c>
    </row>
    <row r="67" spans="2:47" x14ac:dyDescent="0.2">
      <c r="B67" s="5" t="s">
        <v>429</v>
      </c>
      <c r="C67" s="2" t="s">
        <v>929</v>
      </c>
      <c r="D67" s="3">
        <v>44955</v>
      </c>
      <c r="E67" s="2" t="s">
        <v>1027</v>
      </c>
      <c r="F67" s="2" t="s">
        <v>1029</v>
      </c>
      <c r="G67" s="2" t="s">
        <v>1035</v>
      </c>
      <c r="H67" s="2" t="s">
        <v>1038</v>
      </c>
      <c r="I67" s="2">
        <v>24</v>
      </c>
      <c r="J67" s="2">
        <v>3369400</v>
      </c>
      <c r="K67" s="2">
        <v>14.16</v>
      </c>
      <c r="L67" s="2">
        <v>162029</v>
      </c>
      <c r="M67" s="2">
        <v>635673</v>
      </c>
      <c r="N67" s="2">
        <v>607</v>
      </c>
      <c r="O67" s="2" t="s">
        <v>1045</v>
      </c>
      <c r="P67" s="2">
        <v>0.37</v>
      </c>
      <c r="Q67" s="2">
        <v>0.99</v>
      </c>
      <c r="R67" s="2">
        <v>3410200</v>
      </c>
      <c r="S67" s="2">
        <v>24</v>
      </c>
      <c r="T67" s="2">
        <v>3554137</v>
      </c>
      <c r="U67" s="2">
        <v>196949</v>
      </c>
      <c r="V67" s="2">
        <v>45</v>
      </c>
      <c r="W67" s="2">
        <v>0</v>
      </c>
      <c r="X67" s="2">
        <v>0</v>
      </c>
      <c r="Y67" s="2" t="s">
        <v>1047</v>
      </c>
      <c r="Z67" s="12">
        <f>SUMIF(Table1[product],Table1[[#This Row],[product]],Table1[loan_amount])</f>
        <v>403369500</v>
      </c>
      <c r="AA67" s="15">
        <f>SUMIF(Table1[region],Table1[[#This Row],[region]],Table1[current_balance])</f>
        <v>83903255</v>
      </c>
      <c r="AB67" s="2">
        <f>COUNTIF(Table1[loan_status],Table1[[#This Row],[loan_status]])</f>
        <v>139</v>
      </c>
      <c r="AC67" s="2">
        <f>COUNTIF(Table1[default_flag],1)/ROWS(Table1[loan_id])</f>
        <v>2.5999999999999999E-2</v>
      </c>
      <c r="AD67" s="2">
        <f>COUNTIFS(Table1[region],Table1[[#This Row],[region]],Table1[default_flag],1)/COUNTIF(Table1[region],Table1[[#This Row],[region]])</f>
        <v>4.2553191489361701E-2</v>
      </c>
      <c r="AE67" s="2">
        <f>COUNTIFS(Table1[channel],Table1[[#This Row],[channel]],Table1[prepayment_flag],1)/COUNTIF(Table1[channel],Table1[[#This Row],[channel]])</f>
        <v>7.1090047393364927E-2</v>
      </c>
      <c r="AF67" s="2">
        <f>AVERAGEIFS(Table1[interest_rate_pct],Table1[product],Table1[[#This Row],[product]],Table1[risk_band],Table1[[#This Row],[risk_band]])</f>
        <v>13.406874999999999</v>
      </c>
      <c r="AG67" s="2" t="str" cm="1">
        <f t="array" ref="AG67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67" s="2">
        <f>COUNTIF(Table1[DTI band],Table1[[#This Row],[DTI band]])</f>
        <v>260</v>
      </c>
      <c r="AI67" s="2" t="str" cm="1">
        <f t="array" ref="AI67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67" s="2">
        <f>COUNTIF(Table1[LTV band],Table1[[#This Row],[LTV band]])</f>
        <v>141</v>
      </c>
      <c r="AK67" s="19">
        <f>COUNTIFS(Table1[count_loan_perband],Table1[[#This Row],[count_loan_perband]],Table1[default_flag],1)/COUNTIF(Table1[count_loan_perband],Table1[[#This Row],[count_loan_perband]])</f>
        <v>1.4184397163120567E-2</v>
      </c>
      <c r="AL67" s="19" t="str" cm="1">
        <f t="array" ref="AL67">_xlfn.IFS(Table1[[#This Row],[loan_amount]] &lt; 900000, "lower size (&lt; 9L)", Table1[[#This Row],[loan_amount]] &lt;=3300000, "medium size (&lt;=33L)", Table1[[#This Row],[loan_amount]] &gt; 3300000, "larger size (&gt; 33L)")</f>
        <v>larger size (&gt; 33L)</v>
      </c>
      <c r="AM67" s="19">
        <f>IF(Table1[[#This Row],[dpd]] &gt;=30,1,0)</f>
        <v>1</v>
      </c>
      <c r="AN67" s="19">
        <f>COUNTIFS(Table1[Loan size],Table1[[#This Row],[Loan size]],Table1[dpd flag],1)/COUNTIF(Table1[Loan size],Table1[[#This Row],[Loan size]])</f>
        <v>0.16250000000000001</v>
      </c>
      <c r="AO67" s="19" t="str">
        <f>IF(OR(Table1[[#This Row],[credit_score]] &lt; 600, Table1[ [#This Row],[dti_ratio] ] &gt; 0.5, Table1[[#This Row],[dpd]] &gt;=30), "high risk", " not riskY")</f>
        <v>high risk</v>
      </c>
      <c r="AP67" s="29">
        <f>EOMONTH(Table1[[#This Row],[origination_date]],0)</f>
        <v>44957</v>
      </c>
      <c r="AQ67" s="19">
        <f>SUMIFS(Table1[loan_amount],Table1[origination month],Table1[[#This Row],[origination month]])</f>
        <v>11698400</v>
      </c>
      <c r="AR67" s="19">
        <f>AVERAGEIFS(Table1[months_on_book],Table1[product],Table1[[#This Row],[product]])</f>
        <v>20.516129032258064</v>
      </c>
      <c r="AS67" s="19" t="str">
        <f ca="1">IF(EDATE(Table1[[#This Row],[origination_date]],6) &gt;= TODAY(), "New Loan", "Old Loan")</f>
        <v>Old Loan</v>
      </c>
      <c r="AT67" s="19" t="str">
        <f>"Q"&amp;ROUNDUP(MONTH(Table1[[#This Row],[origination_date]])/3,0)&amp;YEAR(Table1[[#This Row],[origination_date]])</f>
        <v>Q12023</v>
      </c>
      <c r="AU67" s="19">
        <f>SUMIFS(Table1[loan_amount],Table1[quarter],Table1[[#This Row],[quarter]])</f>
        <v>46066100</v>
      </c>
    </row>
    <row r="68" spans="2:47" x14ac:dyDescent="0.2">
      <c r="B68" s="5" t="s">
        <v>107</v>
      </c>
      <c r="C68" s="2" t="s">
        <v>607</v>
      </c>
      <c r="D68" s="3">
        <v>45014</v>
      </c>
      <c r="E68" s="2" t="s">
        <v>1024</v>
      </c>
      <c r="F68" s="2" t="s">
        <v>1030</v>
      </c>
      <c r="G68" s="2" t="s">
        <v>1033</v>
      </c>
      <c r="H68" s="2" t="s">
        <v>1041</v>
      </c>
      <c r="I68" s="2">
        <v>24</v>
      </c>
      <c r="J68" s="2">
        <v>861400</v>
      </c>
      <c r="K68" s="2">
        <v>11.33</v>
      </c>
      <c r="L68" s="2">
        <v>40280</v>
      </c>
      <c r="M68" s="2">
        <v>660405</v>
      </c>
      <c r="N68" s="2">
        <v>712</v>
      </c>
      <c r="O68" s="2" t="s">
        <v>1044</v>
      </c>
      <c r="P68" s="2">
        <v>0.36</v>
      </c>
      <c r="Q68" s="2">
        <v>0.66</v>
      </c>
      <c r="R68" s="2">
        <v>1313000</v>
      </c>
      <c r="S68" s="2">
        <v>24</v>
      </c>
      <c r="T68" s="2">
        <v>950069</v>
      </c>
      <c r="U68" s="2">
        <v>0</v>
      </c>
      <c r="V68" s="2">
        <v>0</v>
      </c>
      <c r="W68" s="2">
        <v>0</v>
      </c>
      <c r="X68" s="2">
        <v>0</v>
      </c>
      <c r="Y68" s="2" t="s">
        <v>1047</v>
      </c>
      <c r="Z68" s="12">
        <f>SUMIF(Table1[product],Table1[[#This Row],[product]],Table1[loan_amount])</f>
        <v>92273000</v>
      </c>
      <c r="AA68" s="15">
        <f>SUMIF(Table1[region],Table1[[#This Row],[region]],Table1[current_balance])</f>
        <v>83297251</v>
      </c>
      <c r="AB68" s="2">
        <f>COUNTIF(Table1[loan_status],Table1[[#This Row],[loan_status]])</f>
        <v>139</v>
      </c>
      <c r="AC68" s="2">
        <f>COUNTIF(Table1[default_flag],1)/ROWS(Table1[loan_id])</f>
        <v>2.5999999999999999E-2</v>
      </c>
      <c r="AD68" s="2">
        <f>COUNTIFS(Table1[region],Table1[[#This Row],[region]],Table1[default_flag],1)/COUNTIF(Table1[region],Table1[[#This Row],[region]])</f>
        <v>3.1914893617021274E-2</v>
      </c>
      <c r="AE68" s="2">
        <f>COUNTIFS(Table1[channel],Table1[[#This Row],[channel]],Table1[prepayment_flag],1)/COUNTIF(Table1[channel],Table1[[#This Row],[channel]])</f>
        <v>5.8201058201058198E-2</v>
      </c>
      <c r="AF68" s="2">
        <f>AVERAGEIFS(Table1[interest_rate_pct],Table1[product],Table1[[#This Row],[product]],Table1[risk_band],Table1[[#This Row],[risk_band]])</f>
        <v>10.611923076923079</v>
      </c>
      <c r="AG68" s="2" t="str" cm="1">
        <f t="array" ref="AG68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68" s="2">
        <f>COUNTIF(Table1[DTI band],Table1[[#This Row],[DTI band]])</f>
        <v>260</v>
      </c>
      <c r="AI68" s="2" t="str" cm="1">
        <f t="array" ref="AI68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68" s="2">
        <f>COUNTIF(Table1[LTV band],Table1[[#This Row],[LTV band]])</f>
        <v>302</v>
      </c>
      <c r="AK68" s="19">
        <f>COUNTIFS(Table1[count_loan_perband],Table1[[#This Row],[count_loan_perband]],Table1[default_flag],1)/COUNTIF(Table1[count_loan_perband],Table1[[#This Row],[count_loan_perband]])</f>
        <v>3.6423841059602648E-2</v>
      </c>
      <c r="AL68" s="19" t="str" cm="1">
        <f t="array" ref="AL68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68" s="19">
        <f>IF(Table1[[#This Row],[dpd]] &gt;=30,1,0)</f>
        <v>0</v>
      </c>
      <c r="AN68" s="19">
        <f>COUNTIFS(Table1[Loan size],Table1[[#This Row],[Loan size]],Table1[dpd flag],1)/COUNTIF(Table1[Loan size],Table1[[#This Row],[Loan size]])</f>
        <v>0.13934426229508196</v>
      </c>
      <c r="AO68" s="19" t="str">
        <f>IF(OR(Table1[[#This Row],[credit_score]] &lt; 600, Table1[ [#This Row],[dti_ratio] ] &gt; 0.5, Table1[[#This Row],[dpd]] &gt;=30), "high risk", " not riskY")</f>
        <v xml:space="preserve"> not riskY</v>
      </c>
      <c r="AP68" s="29">
        <f>EOMONTH(Table1[[#This Row],[origination_date]],0)</f>
        <v>45016</v>
      </c>
      <c r="AQ68" s="19">
        <f>SUMIFS(Table1[loan_amount],Table1[origination month],Table1[[#This Row],[origination month]])</f>
        <v>23160200</v>
      </c>
      <c r="AR68" s="19">
        <f>AVERAGEIFS(Table1[months_on_book],Table1[product],Table1[[#This Row],[product]])</f>
        <v>20.262135922330096</v>
      </c>
      <c r="AS68" s="19" t="str">
        <f ca="1">IF(EDATE(Table1[[#This Row],[origination_date]],6) &gt;= TODAY(), "New Loan", "Old Loan")</f>
        <v>Old Loan</v>
      </c>
      <c r="AT68" s="19" t="str">
        <f>"Q"&amp;ROUNDUP(MONTH(Table1[[#This Row],[origination_date]])/3,0)&amp;YEAR(Table1[[#This Row],[origination_date]])</f>
        <v>Q12023</v>
      </c>
      <c r="AU68" s="19">
        <f>SUMIFS(Table1[loan_amount],Table1[quarter],Table1[[#This Row],[quarter]])</f>
        <v>46066100</v>
      </c>
    </row>
    <row r="69" spans="2:47" x14ac:dyDescent="0.2">
      <c r="B69" s="5" t="s">
        <v>309</v>
      </c>
      <c r="C69" s="2" t="s">
        <v>809</v>
      </c>
      <c r="D69" s="3">
        <v>44927</v>
      </c>
      <c r="E69" s="2" t="s">
        <v>1028</v>
      </c>
      <c r="F69" s="2" t="s">
        <v>1029</v>
      </c>
      <c r="G69" s="2" t="s">
        <v>1037</v>
      </c>
      <c r="H69" s="2" t="s">
        <v>1038</v>
      </c>
      <c r="I69" s="2">
        <v>24</v>
      </c>
      <c r="J69" s="2">
        <v>735300</v>
      </c>
      <c r="K69" s="2">
        <v>12.64</v>
      </c>
      <c r="L69" s="2">
        <v>34833</v>
      </c>
      <c r="M69" s="2">
        <v>922606</v>
      </c>
      <c r="N69" s="2">
        <v>710</v>
      </c>
      <c r="O69" s="2" t="s">
        <v>1044</v>
      </c>
      <c r="P69" s="2">
        <v>0.36</v>
      </c>
      <c r="Q69" s="2">
        <v>0.72</v>
      </c>
      <c r="R69" s="2">
        <v>0</v>
      </c>
      <c r="S69" s="2">
        <v>24</v>
      </c>
      <c r="T69" s="2">
        <v>843606</v>
      </c>
      <c r="U69" s="2">
        <v>0</v>
      </c>
      <c r="V69" s="2">
        <v>10</v>
      </c>
      <c r="W69" s="2">
        <v>0</v>
      </c>
      <c r="X69" s="2">
        <v>0</v>
      </c>
      <c r="Y69" s="2" t="s">
        <v>1047</v>
      </c>
      <c r="Z69" s="12">
        <f>SUMIF(Table1[product],Table1[[#This Row],[product]],Table1[loan_amount])</f>
        <v>62765800</v>
      </c>
      <c r="AA69" s="15">
        <f>SUMIF(Table1[region],Table1[[#This Row],[region]],Table1[current_balance])</f>
        <v>94548000</v>
      </c>
      <c r="AB69" s="2">
        <f>COUNTIF(Table1[loan_status],Table1[[#This Row],[loan_status]])</f>
        <v>139</v>
      </c>
      <c r="AC69" s="2">
        <f>COUNTIF(Table1[default_flag],1)/ROWS(Table1[loan_id])</f>
        <v>2.5999999999999999E-2</v>
      </c>
      <c r="AD69" s="2">
        <f>COUNTIFS(Table1[region],Table1[[#This Row],[region]],Table1[default_flag],1)/COUNTIF(Table1[region],Table1[[#This Row],[region]])</f>
        <v>0</v>
      </c>
      <c r="AE69" s="2">
        <f>COUNTIFS(Table1[channel],Table1[[#This Row],[channel]],Table1[prepayment_flag],1)/COUNTIF(Table1[channel],Table1[[#This Row],[channel]])</f>
        <v>7.1090047393364927E-2</v>
      </c>
      <c r="AF69" s="2">
        <f>AVERAGEIFS(Table1[interest_rate_pct],Table1[product],Table1[[#This Row],[product]],Table1[risk_band],Table1[[#This Row],[risk_band]])</f>
        <v>10.832666666666663</v>
      </c>
      <c r="AG69" s="2" t="str" cm="1">
        <f t="array" ref="AG69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69" s="2">
        <f>COUNTIF(Table1[DTI band],Table1[[#This Row],[DTI band]])</f>
        <v>260</v>
      </c>
      <c r="AI69" s="2" t="str" cm="1">
        <f t="array" ref="AI69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69" s="2">
        <f>COUNTIF(Table1[LTV band],Table1[[#This Row],[LTV band]])</f>
        <v>302</v>
      </c>
      <c r="AK69" s="19">
        <f>COUNTIFS(Table1[count_loan_perband],Table1[[#This Row],[count_loan_perband]],Table1[default_flag],1)/COUNTIF(Table1[count_loan_perband],Table1[[#This Row],[count_loan_perband]])</f>
        <v>3.6423841059602648E-2</v>
      </c>
      <c r="AL69" s="19" t="str" cm="1">
        <f t="array" ref="AL69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69" s="19">
        <f>IF(Table1[[#This Row],[dpd]] &gt;=30,1,0)</f>
        <v>0</v>
      </c>
      <c r="AN69" s="19">
        <f>COUNTIFS(Table1[Loan size],Table1[[#This Row],[Loan size]],Table1[dpd flag],1)/COUNTIF(Table1[Loan size],Table1[[#This Row],[Loan size]])</f>
        <v>0.13934426229508196</v>
      </c>
      <c r="AO69" s="19" t="str">
        <f>IF(OR(Table1[[#This Row],[credit_score]] &lt; 600, Table1[ [#This Row],[dti_ratio] ] &gt; 0.5, Table1[[#This Row],[dpd]] &gt;=30), "high risk", " not riskY")</f>
        <v xml:space="preserve"> not riskY</v>
      </c>
      <c r="AP69" s="29">
        <f>EOMONTH(Table1[[#This Row],[origination_date]],0)</f>
        <v>44957</v>
      </c>
      <c r="AQ69" s="19">
        <f>SUMIFS(Table1[loan_amount],Table1[origination month],Table1[[#This Row],[origination month]])</f>
        <v>11698400</v>
      </c>
      <c r="AR69" s="19">
        <f>AVERAGEIFS(Table1[months_on_book],Table1[product],Table1[[#This Row],[product]])</f>
        <v>21.962962962962962</v>
      </c>
      <c r="AS69" s="19" t="str">
        <f ca="1">IF(EDATE(Table1[[#This Row],[origination_date]],6) &gt;= TODAY(), "New Loan", "Old Loan")</f>
        <v>Old Loan</v>
      </c>
      <c r="AT69" s="19" t="str">
        <f>"Q"&amp;ROUNDUP(MONTH(Table1[[#This Row],[origination_date]])/3,0)&amp;YEAR(Table1[[#This Row],[origination_date]])</f>
        <v>Q12023</v>
      </c>
      <c r="AU69" s="19">
        <f>SUMIFS(Table1[loan_amount],Table1[quarter],Table1[[#This Row],[quarter]])</f>
        <v>46066100</v>
      </c>
    </row>
    <row r="70" spans="2:47" x14ac:dyDescent="0.2">
      <c r="B70" s="5" t="s">
        <v>116</v>
      </c>
      <c r="C70" s="2" t="s">
        <v>616</v>
      </c>
      <c r="D70" s="3">
        <v>44993</v>
      </c>
      <c r="E70" s="2" t="s">
        <v>1028</v>
      </c>
      <c r="F70" s="2" t="s">
        <v>1030</v>
      </c>
      <c r="G70" s="2" t="s">
        <v>1033</v>
      </c>
      <c r="H70" s="2" t="s">
        <v>1038</v>
      </c>
      <c r="I70" s="2">
        <v>360</v>
      </c>
      <c r="J70" s="2">
        <v>1343300</v>
      </c>
      <c r="K70" s="2">
        <v>13.75</v>
      </c>
      <c r="L70" s="2">
        <v>15651</v>
      </c>
      <c r="M70" s="2">
        <v>677984</v>
      </c>
      <c r="N70" s="2">
        <v>657</v>
      </c>
      <c r="O70" s="2" t="s">
        <v>1042</v>
      </c>
      <c r="P70" s="2">
        <v>0.35</v>
      </c>
      <c r="Q70" s="2">
        <v>0.78</v>
      </c>
      <c r="R70" s="2">
        <v>0</v>
      </c>
      <c r="S70" s="2">
        <v>33</v>
      </c>
      <c r="T70" s="2">
        <v>450892</v>
      </c>
      <c r="U70" s="2">
        <v>1095582</v>
      </c>
      <c r="V70" s="2">
        <v>0</v>
      </c>
      <c r="W70" s="2">
        <v>0</v>
      </c>
      <c r="X70" s="2">
        <v>0</v>
      </c>
      <c r="Y70" s="2" t="s">
        <v>1049</v>
      </c>
      <c r="Z70" s="12">
        <f>SUMIF(Table1[product],Table1[[#This Row],[product]],Table1[loan_amount])</f>
        <v>62765800</v>
      </c>
      <c r="AA70" s="15">
        <f>SUMIF(Table1[region],Table1[[#This Row],[region]],Table1[current_balance])</f>
        <v>83297251</v>
      </c>
      <c r="AB70" s="2">
        <f>COUNTIF(Table1[loan_status],Table1[[#This Row],[loan_status]])</f>
        <v>301</v>
      </c>
      <c r="AC70" s="2">
        <f>COUNTIF(Table1[default_flag],1)/ROWS(Table1[loan_id])</f>
        <v>2.5999999999999999E-2</v>
      </c>
      <c r="AD70" s="2">
        <f>COUNTIFS(Table1[region],Table1[[#This Row],[region]],Table1[default_flag],1)/COUNTIF(Table1[region],Table1[[#This Row],[region]])</f>
        <v>3.1914893617021274E-2</v>
      </c>
      <c r="AE70" s="2">
        <f>COUNTIFS(Table1[channel],Table1[[#This Row],[channel]],Table1[prepayment_flag],1)/COUNTIF(Table1[channel],Table1[[#This Row],[channel]])</f>
        <v>5.8201058201058198E-2</v>
      </c>
      <c r="AF70" s="2">
        <f>AVERAGEIFS(Table1[interest_rate_pct],Table1[product],Table1[[#This Row],[product]],Table1[risk_band],Table1[[#This Row],[risk_band]])</f>
        <v>13.463888888888889</v>
      </c>
      <c r="AG70" s="2" t="str" cm="1">
        <f t="array" ref="AG70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70" s="2">
        <f>COUNTIF(Table1[DTI band],Table1[[#This Row],[DTI band]])</f>
        <v>260</v>
      </c>
      <c r="AI70" s="2" t="str" cm="1">
        <f t="array" ref="AI70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70" s="2">
        <f>COUNTIF(Table1[LTV band],Table1[[#This Row],[LTV band]])</f>
        <v>302</v>
      </c>
      <c r="AK70" s="19">
        <f>COUNTIFS(Table1[count_loan_perband],Table1[[#This Row],[count_loan_perband]],Table1[default_flag],1)/COUNTIF(Table1[count_loan_perband],Table1[[#This Row],[count_loan_perband]])</f>
        <v>3.6423841059602648E-2</v>
      </c>
      <c r="AL70" s="19" t="str" cm="1">
        <f t="array" ref="AL70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70" s="19">
        <f>IF(Table1[[#This Row],[dpd]] &gt;=30,1,0)</f>
        <v>0</v>
      </c>
      <c r="AN70" s="19">
        <f>COUNTIFS(Table1[Loan size],Table1[[#This Row],[Loan size]],Table1[dpd flag],1)/COUNTIF(Table1[Loan size],Table1[[#This Row],[Loan size]])</f>
        <v>0.15909090909090909</v>
      </c>
      <c r="AO70" s="19" t="str">
        <f>IF(OR(Table1[[#This Row],[credit_score]] &lt; 600, Table1[ [#This Row],[dti_ratio] ] &gt; 0.5, Table1[[#This Row],[dpd]] &gt;=30), "high risk", " not riskY")</f>
        <v xml:space="preserve"> not riskY</v>
      </c>
      <c r="AP70" s="29">
        <f>EOMONTH(Table1[[#This Row],[origination_date]],0)</f>
        <v>45016</v>
      </c>
      <c r="AQ70" s="19">
        <f>SUMIFS(Table1[loan_amount],Table1[origination month],Table1[[#This Row],[origination month]])</f>
        <v>23160200</v>
      </c>
      <c r="AR70" s="19">
        <f>AVERAGEIFS(Table1[months_on_book],Table1[product],Table1[[#This Row],[product]])</f>
        <v>21.962962962962962</v>
      </c>
      <c r="AS70" s="19" t="str">
        <f ca="1">IF(EDATE(Table1[[#This Row],[origination_date]],6) &gt;= TODAY(), "New Loan", "Old Loan")</f>
        <v>Old Loan</v>
      </c>
      <c r="AT70" s="19" t="str">
        <f>"Q"&amp;ROUNDUP(MONTH(Table1[[#This Row],[origination_date]])/3,0)&amp;YEAR(Table1[[#This Row],[origination_date]])</f>
        <v>Q12023</v>
      </c>
      <c r="AU70" s="19">
        <f>SUMIFS(Table1[loan_amount],Table1[quarter],Table1[[#This Row],[quarter]])</f>
        <v>46066100</v>
      </c>
    </row>
    <row r="71" spans="2:47" x14ac:dyDescent="0.2">
      <c r="B71" s="5" t="s">
        <v>243</v>
      </c>
      <c r="C71" s="2" t="s">
        <v>743</v>
      </c>
      <c r="D71" s="3">
        <v>44987</v>
      </c>
      <c r="E71" s="2" t="s">
        <v>1025</v>
      </c>
      <c r="F71" s="2" t="s">
        <v>1030</v>
      </c>
      <c r="G71" s="2" t="s">
        <v>1037</v>
      </c>
      <c r="H71" s="2" t="s">
        <v>1039</v>
      </c>
      <c r="I71" s="2">
        <v>36</v>
      </c>
      <c r="J71" s="2">
        <v>2083800</v>
      </c>
      <c r="K71" s="2">
        <v>16.989999999999998</v>
      </c>
      <c r="L71" s="2">
        <v>74283</v>
      </c>
      <c r="M71" s="2">
        <v>1248472</v>
      </c>
      <c r="N71" s="2">
        <v>644</v>
      </c>
      <c r="O71" s="2" t="s">
        <v>1045</v>
      </c>
      <c r="P71" s="2">
        <v>0.34</v>
      </c>
      <c r="Q71" s="2">
        <v>0.56000000000000005</v>
      </c>
      <c r="R71" s="2">
        <v>3749300</v>
      </c>
      <c r="S71" s="2">
        <v>33</v>
      </c>
      <c r="T71" s="2">
        <v>2328994</v>
      </c>
      <c r="U71" s="2">
        <v>144247</v>
      </c>
      <c r="V71" s="2">
        <v>0</v>
      </c>
      <c r="W71" s="2">
        <v>0</v>
      </c>
      <c r="X71" s="2">
        <v>0</v>
      </c>
      <c r="Y71" s="2" t="s">
        <v>1049</v>
      </c>
      <c r="Z71" s="12">
        <f>SUMIF(Table1[product],Table1[[#This Row],[product]],Table1[loan_amount])</f>
        <v>201475100</v>
      </c>
      <c r="AA71" s="15">
        <f>SUMIF(Table1[region],Table1[[#This Row],[region]],Table1[current_balance])</f>
        <v>94548000</v>
      </c>
      <c r="AB71" s="2">
        <f>COUNTIF(Table1[loan_status],Table1[[#This Row],[loan_status]])</f>
        <v>301</v>
      </c>
      <c r="AC71" s="2">
        <f>COUNTIF(Table1[default_flag],1)/ROWS(Table1[loan_id])</f>
        <v>2.5999999999999999E-2</v>
      </c>
      <c r="AD71" s="2">
        <f>COUNTIFS(Table1[region],Table1[[#This Row],[region]],Table1[default_flag],1)/COUNTIF(Table1[region],Table1[[#This Row],[region]])</f>
        <v>0</v>
      </c>
      <c r="AE71" s="2">
        <f>COUNTIFS(Table1[channel],Table1[[#This Row],[channel]],Table1[prepayment_flag],1)/COUNTIF(Table1[channel],Table1[[#This Row],[channel]])</f>
        <v>5.8201058201058198E-2</v>
      </c>
      <c r="AF71" s="2">
        <f>AVERAGEIFS(Table1[interest_rate_pct],Table1[product],Table1[[#This Row],[product]],Table1[risk_band],Table1[[#This Row],[risk_band]])</f>
        <v>18.241249999999997</v>
      </c>
      <c r="AG71" s="2" t="str" cm="1">
        <f t="array" ref="AG71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71" s="2">
        <f>COUNTIF(Table1[DTI band],Table1[[#This Row],[DTI band]])</f>
        <v>260</v>
      </c>
      <c r="AI71" s="2" t="str" cm="1">
        <f t="array" ref="AI71">_xlfn.IFS(Table1[[#This Row],[ltv_ratio]] &lt; 0.6, "less than 0.6 -less risky", Table1[[#This Row],[ltv_ratio]]  &lt;= 0.8, "0.6 - 0.8 -medium risky",Table1[[#This Row],[ltv_ratio]] &gt; 0.8, "greater than 0.8 -highly risky")</f>
        <v>less than 0.6 -less risky</v>
      </c>
      <c r="AJ71" s="2">
        <f>COUNTIF(Table1[LTV band],Table1[[#This Row],[LTV band]])</f>
        <v>57</v>
      </c>
      <c r="AK71" s="19">
        <f>COUNTIFS(Table1[count_loan_perband],Table1[[#This Row],[count_loan_perband]],Table1[default_flag],1)/COUNTIF(Table1[count_loan_perband],Table1[[#This Row],[count_loan_perband]])</f>
        <v>0</v>
      </c>
      <c r="AL71" s="19" t="str" cm="1">
        <f t="array" ref="AL71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71" s="19">
        <f>IF(Table1[[#This Row],[dpd]] &gt;=30,1,0)</f>
        <v>0</v>
      </c>
      <c r="AN71" s="19">
        <f>COUNTIFS(Table1[Loan size],Table1[[#This Row],[Loan size]],Table1[dpd flag],1)/COUNTIF(Table1[Loan size],Table1[[#This Row],[Loan size]])</f>
        <v>0.15909090909090909</v>
      </c>
      <c r="AO71" s="19" t="str">
        <f>IF(OR(Table1[[#This Row],[credit_score]] &lt; 600, Table1[ [#This Row],[dti_ratio] ] &gt; 0.5, Table1[[#This Row],[dpd]] &gt;=30), "high risk", " not riskY")</f>
        <v xml:space="preserve"> not riskY</v>
      </c>
      <c r="AP71" s="29">
        <f>EOMONTH(Table1[[#This Row],[origination_date]],0)</f>
        <v>45016</v>
      </c>
      <c r="AQ71" s="19">
        <f>SUMIFS(Table1[loan_amount],Table1[origination month],Table1[[#This Row],[origination month]])</f>
        <v>23160200</v>
      </c>
      <c r="AR71" s="19">
        <f>AVERAGEIFS(Table1[months_on_book],Table1[product],Table1[[#This Row],[product]])</f>
        <v>19.091954022988507</v>
      </c>
      <c r="AS71" s="19" t="str">
        <f ca="1">IF(EDATE(Table1[[#This Row],[origination_date]],6) &gt;= TODAY(), "New Loan", "Old Loan")</f>
        <v>Old Loan</v>
      </c>
      <c r="AT71" s="19" t="str">
        <f>"Q"&amp;ROUNDUP(MONTH(Table1[[#This Row],[origination_date]])/3,0)&amp;YEAR(Table1[[#This Row],[origination_date]])</f>
        <v>Q12023</v>
      </c>
      <c r="AU71" s="19">
        <f>SUMIFS(Table1[loan_amount],Table1[quarter],Table1[[#This Row],[quarter]])</f>
        <v>46066100</v>
      </c>
    </row>
    <row r="72" spans="2:47" x14ac:dyDescent="0.2">
      <c r="B72" s="5" t="s">
        <v>50</v>
      </c>
      <c r="C72" s="2" t="s">
        <v>550</v>
      </c>
      <c r="D72" s="3">
        <v>44934</v>
      </c>
      <c r="E72" s="2" t="s">
        <v>1024</v>
      </c>
      <c r="F72" s="2" t="s">
        <v>1030</v>
      </c>
      <c r="G72" s="2" t="s">
        <v>1034</v>
      </c>
      <c r="H72" s="2" t="s">
        <v>1040</v>
      </c>
      <c r="I72" s="2">
        <v>360</v>
      </c>
      <c r="J72" s="2">
        <v>671900</v>
      </c>
      <c r="K72" s="2">
        <v>13.81</v>
      </c>
      <c r="L72" s="2">
        <v>7860</v>
      </c>
      <c r="M72" s="2">
        <v>979507</v>
      </c>
      <c r="N72" s="2">
        <v>669</v>
      </c>
      <c r="O72" s="2" t="s">
        <v>1042</v>
      </c>
      <c r="P72" s="2">
        <v>0.31</v>
      </c>
      <c r="Q72" s="2">
        <v>0.6</v>
      </c>
      <c r="R72" s="2">
        <v>1120000</v>
      </c>
      <c r="S72" s="2">
        <v>35</v>
      </c>
      <c r="T72" s="2">
        <v>276058</v>
      </c>
      <c r="U72" s="2">
        <v>504096</v>
      </c>
      <c r="V72" s="2">
        <v>0</v>
      </c>
      <c r="W72" s="2">
        <v>0</v>
      </c>
      <c r="X72" s="2">
        <v>0</v>
      </c>
      <c r="Y72" s="2" t="s">
        <v>1049</v>
      </c>
      <c r="Z72" s="12">
        <f>SUMIF(Table1[product],Table1[[#This Row],[product]],Table1[loan_amount])</f>
        <v>92273000</v>
      </c>
      <c r="AA72" s="15">
        <f>SUMIF(Table1[region],Table1[[#This Row],[region]],Table1[current_balance])</f>
        <v>105779369</v>
      </c>
      <c r="AB72" s="2">
        <f>COUNTIF(Table1[loan_status],Table1[[#This Row],[loan_status]])</f>
        <v>301</v>
      </c>
      <c r="AC72" s="2">
        <f>COUNTIF(Table1[default_flag],1)/ROWS(Table1[loan_id])</f>
        <v>2.5999999999999999E-2</v>
      </c>
      <c r="AD72" s="2">
        <f>COUNTIFS(Table1[region],Table1[[#This Row],[region]],Table1[default_flag],1)/COUNTIF(Table1[region],Table1[[#This Row],[region]])</f>
        <v>2.6548672566371681E-2</v>
      </c>
      <c r="AE72" s="2">
        <f>COUNTIFS(Table1[channel],Table1[[#This Row],[channel]],Table1[prepayment_flag],1)/COUNTIF(Table1[channel],Table1[[#This Row],[channel]])</f>
        <v>5.8201058201058198E-2</v>
      </c>
      <c r="AF72" s="2">
        <f>AVERAGEIFS(Table1[interest_rate_pct],Table1[product],Table1[[#This Row],[product]],Table1[risk_band],Table1[[#This Row],[risk_band]])</f>
        <v>13.246500000000001</v>
      </c>
      <c r="AG72" s="2" t="str" cm="1">
        <f t="array" ref="AG72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72" s="2">
        <f>COUNTIF(Table1[DTI band],Table1[[#This Row],[DTI band]])</f>
        <v>260</v>
      </c>
      <c r="AI72" s="2" t="str" cm="1">
        <f t="array" ref="AI72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72" s="2">
        <f>COUNTIF(Table1[LTV band],Table1[[#This Row],[LTV band]])</f>
        <v>302</v>
      </c>
      <c r="AK72" s="19">
        <f>COUNTIFS(Table1[count_loan_perband],Table1[[#This Row],[count_loan_perband]],Table1[default_flag],1)/COUNTIF(Table1[count_loan_perband],Table1[[#This Row],[count_loan_perband]])</f>
        <v>3.6423841059602648E-2</v>
      </c>
      <c r="AL72" s="19" t="str" cm="1">
        <f t="array" ref="AL72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72" s="19">
        <f>IF(Table1[[#This Row],[dpd]] &gt;=30,1,0)</f>
        <v>0</v>
      </c>
      <c r="AN72" s="19">
        <f>COUNTIFS(Table1[Loan size],Table1[[#This Row],[Loan size]],Table1[dpd flag],1)/COUNTIF(Table1[Loan size],Table1[[#This Row],[Loan size]])</f>
        <v>0.13934426229508196</v>
      </c>
      <c r="AO72" s="19" t="str">
        <f>IF(OR(Table1[[#This Row],[credit_score]] &lt; 600, Table1[ [#This Row],[dti_ratio] ] &gt; 0.5, Table1[[#This Row],[dpd]] &gt;=30), "high risk", " not riskY")</f>
        <v xml:space="preserve"> not riskY</v>
      </c>
      <c r="AP72" s="29">
        <f>EOMONTH(Table1[[#This Row],[origination_date]],0)</f>
        <v>44957</v>
      </c>
      <c r="AQ72" s="19">
        <f>SUMIFS(Table1[loan_amount],Table1[origination month],Table1[[#This Row],[origination month]])</f>
        <v>11698400</v>
      </c>
      <c r="AR72" s="19">
        <f>AVERAGEIFS(Table1[months_on_book],Table1[product],Table1[[#This Row],[product]])</f>
        <v>20.262135922330096</v>
      </c>
      <c r="AS72" s="19" t="str">
        <f ca="1">IF(EDATE(Table1[[#This Row],[origination_date]],6) &gt;= TODAY(), "New Loan", "Old Loan")</f>
        <v>Old Loan</v>
      </c>
      <c r="AT72" s="19" t="str">
        <f>"Q"&amp;ROUNDUP(MONTH(Table1[[#This Row],[origination_date]])/3,0)&amp;YEAR(Table1[[#This Row],[origination_date]])</f>
        <v>Q12023</v>
      </c>
      <c r="AU72" s="19">
        <f>SUMIFS(Table1[loan_amount],Table1[quarter],Table1[[#This Row],[quarter]])</f>
        <v>46066100</v>
      </c>
    </row>
    <row r="73" spans="2:47" x14ac:dyDescent="0.2">
      <c r="B73" s="5" t="s">
        <v>360</v>
      </c>
      <c r="C73" s="2" t="s">
        <v>860</v>
      </c>
      <c r="D73" s="3">
        <v>44990</v>
      </c>
      <c r="E73" s="2" t="s">
        <v>1026</v>
      </c>
      <c r="F73" s="2" t="s">
        <v>1029</v>
      </c>
      <c r="G73" s="2" t="s">
        <v>1035</v>
      </c>
      <c r="H73" s="2" t="s">
        <v>1040</v>
      </c>
      <c r="I73" s="2">
        <v>18</v>
      </c>
      <c r="J73" s="2">
        <v>352100</v>
      </c>
      <c r="K73" s="2">
        <v>18.05</v>
      </c>
      <c r="L73" s="2">
        <v>22474</v>
      </c>
      <c r="M73" s="2">
        <v>701297</v>
      </c>
      <c r="N73" s="2">
        <v>707</v>
      </c>
      <c r="O73" s="2" t="s">
        <v>1044</v>
      </c>
      <c r="P73" s="2">
        <v>0.31</v>
      </c>
      <c r="Q73" s="2">
        <v>0.62</v>
      </c>
      <c r="R73" s="2">
        <v>0</v>
      </c>
      <c r="S73" s="2">
        <v>18</v>
      </c>
      <c r="T73" s="2">
        <v>382682</v>
      </c>
      <c r="U73" s="2">
        <v>7550</v>
      </c>
      <c r="V73" s="2">
        <v>0</v>
      </c>
      <c r="W73" s="2">
        <v>0</v>
      </c>
      <c r="X73" s="2">
        <v>0</v>
      </c>
      <c r="Y73" s="2" t="s">
        <v>1047</v>
      </c>
      <c r="Z73" s="12">
        <f>SUMIF(Table1[product],Table1[[#This Row],[product]],Table1[loan_amount])</f>
        <v>74897600</v>
      </c>
      <c r="AA73" s="15">
        <f>SUMIF(Table1[region],Table1[[#This Row],[region]],Table1[current_balance])</f>
        <v>83903255</v>
      </c>
      <c r="AB73" s="2">
        <f>COUNTIF(Table1[loan_status],Table1[[#This Row],[loan_status]])</f>
        <v>139</v>
      </c>
      <c r="AC73" s="2">
        <f>COUNTIF(Table1[default_flag],1)/ROWS(Table1[loan_id])</f>
        <v>2.5999999999999999E-2</v>
      </c>
      <c r="AD73" s="2">
        <f>COUNTIFS(Table1[region],Table1[[#This Row],[region]],Table1[default_flag],1)/COUNTIF(Table1[region],Table1[[#This Row],[region]])</f>
        <v>4.2553191489361701E-2</v>
      </c>
      <c r="AE73" s="2">
        <f>COUNTIFS(Table1[channel],Table1[[#This Row],[channel]],Table1[prepayment_flag],1)/COUNTIF(Table1[channel],Table1[[#This Row],[channel]])</f>
        <v>7.1090047393364927E-2</v>
      </c>
      <c r="AF73" s="2">
        <f>AVERAGEIFS(Table1[interest_rate_pct],Table1[product],Table1[[#This Row],[product]],Table1[risk_band],Table1[[#This Row],[risk_band]])</f>
        <v>16.500166666666669</v>
      </c>
      <c r="AG73" s="2" t="str" cm="1">
        <f t="array" ref="AG73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73" s="2">
        <f>COUNTIF(Table1[DTI band],Table1[[#This Row],[DTI band]])</f>
        <v>260</v>
      </c>
      <c r="AI73" s="2" t="str" cm="1">
        <f t="array" ref="AI73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73" s="2">
        <f>COUNTIF(Table1[LTV band],Table1[[#This Row],[LTV band]])</f>
        <v>302</v>
      </c>
      <c r="AK73" s="19">
        <f>COUNTIFS(Table1[count_loan_perband],Table1[[#This Row],[count_loan_perband]],Table1[default_flag],1)/COUNTIF(Table1[count_loan_perband],Table1[[#This Row],[count_loan_perband]])</f>
        <v>3.6423841059602648E-2</v>
      </c>
      <c r="AL73" s="19" t="str" cm="1">
        <f t="array" ref="AL73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73" s="19">
        <f>IF(Table1[[#This Row],[dpd]] &gt;=30,1,0)</f>
        <v>0</v>
      </c>
      <c r="AN73" s="19">
        <f>COUNTIFS(Table1[Loan size],Table1[[#This Row],[Loan size]],Table1[dpd flag],1)/COUNTIF(Table1[Loan size],Table1[[#This Row],[Loan size]])</f>
        <v>0.13934426229508196</v>
      </c>
      <c r="AO73" s="19" t="str">
        <f>IF(OR(Table1[[#This Row],[credit_score]] &lt; 600, Table1[ [#This Row],[dti_ratio] ] &gt; 0.5, Table1[[#This Row],[dpd]] &gt;=30), "high risk", " not riskY")</f>
        <v xml:space="preserve"> not riskY</v>
      </c>
      <c r="AP73" s="29">
        <f>EOMONTH(Table1[[#This Row],[origination_date]],0)</f>
        <v>45016</v>
      </c>
      <c r="AQ73" s="19">
        <f>SUMIFS(Table1[loan_amount],Table1[origination month],Table1[[#This Row],[origination month]])</f>
        <v>23160200</v>
      </c>
      <c r="AR73" s="19">
        <f>AVERAGEIFS(Table1[months_on_book],Table1[product],Table1[[#This Row],[product]])</f>
        <v>21.092024539877301</v>
      </c>
      <c r="AS73" s="19" t="str">
        <f ca="1">IF(EDATE(Table1[[#This Row],[origination_date]],6) &gt;= TODAY(), "New Loan", "Old Loan")</f>
        <v>Old Loan</v>
      </c>
      <c r="AT73" s="19" t="str">
        <f>"Q"&amp;ROUNDUP(MONTH(Table1[[#This Row],[origination_date]])/3,0)&amp;YEAR(Table1[[#This Row],[origination_date]])</f>
        <v>Q12023</v>
      </c>
      <c r="AU73" s="19">
        <f>SUMIFS(Table1[loan_amount],Table1[quarter],Table1[[#This Row],[quarter]])</f>
        <v>46066100</v>
      </c>
    </row>
    <row r="74" spans="2:47" x14ac:dyDescent="0.2">
      <c r="B74" s="5" t="s">
        <v>30</v>
      </c>
      <c r="C74" s="2" t="s">
        <v>530</v>
      </c>
      <c r="D74" s="3">
        <v>44968</v>
      </c>
      <c r="E74" s="2" t="s">
        <v>1024</v>
      </c>
      <c r="F74" s="2" t="s">
        <v>1030</v>
      </c>
      <c r="G74" s="2" t="s">
        <v>1036</v>
      </c>
      <c r="H74" s="2" t="s">
        <v>1038</v>
      </c>
      <c r="I74" s="2">
        <v>360</v>
      </c>
      <c r="J74" s="2">
        <v>1446100</v>
      </c>
      <c r="K74" s="2">
        <v>12.07</v>
      </c>
      <c r="L74" s="2">
        <v>14953</v>
      </c>
      <c r="M74" s="2">
        <v>859307</v>
      </c>
      <c r="N74" s="2">
        <v>708</v>
      </c>
      <c r="O74" s="2" t="s">
        <v>1044</v>
      </c>
      <c r="P74" s="2">
        <v>0.28999999999999998</v>
      </c>
      <c r="Q74" s="2">
        <v>0.68</v>
      </c>
      <c r="R74" s="2">
        <v>2118900</v>
      </c>
      <c r="S74" s="2">
        <v>34</v>
      </c>
      <c r="T74" s="2">
        <v>494345</v>
      </c>
      <c r="U74" s="2">
        <v>1149572</v>
      </c>
      <c r="V74" s="2">
        <v>0</v>
      </c>
      <c r="W74" s="2">
        <v>0</v>
      </c>
      <c r="X74" s="2">
        <v>0</v>
      </c>
      <c r="Y74" s="2" t="s">
        <v>1049</v>
      </c>
      <c r="Z74" s="12">
        <f>SUMIF(Table1[product],Table1[[#This Row],[product]],Table1[loan_amount])</f>
        <v>92273000</v>
      </c>
      <c r="AA74" s="15">
        <f>SUMIF(Table1[region],Table1[[#This Row],[region]],Table1[current_balance])</f>
        <v>98928695</v>
      </c>
      <c r="AB74" s="2">
        <f>COUNTIF(Table1[loan_status],Table1[[#This Row],[loan_status]])</f>
        <v>301</v>
      </c>
      <c r="AC74" s="2">
        <f>COUNTIF(Table1[default_flag],1)/ROWS(Table1[loan_id])</f>
        <v>2.5999999999999999E-2</v>
      </c>
      <c r="AD74" s="2">
        <f>COUNTIFS(Table1[region],Table1[[#This Row],[region]],Table1[default_flag],1)/COUNTIF(Table1[region],Table1[[#This Row],[region]])</f>
        <v>2.8571428571428571E-2</v>
      </c>
      <c r="AE74" s="2">
        <f>COUNTIFS(Table1[channel],Table1[[#This Row],[channel]],Table1[prepayment_flag],1)/COUNTIF(Table1[channel],Table1[[#This Row],[channel]])</f>
        <v>5.8201058201058198E-2</v>
      </c>
      <c r="AF74" s="2">
        <f>AVERAGEIFS(Table1[interest_rate_pct],Table1[product],Table1[[#This Row],[product]],Table1[risk_band],Table1[[#This Row],[risk_band]])</f>
        <v>10.611923076923079</v>
      </c>
      <c r="AG74" s="2" t="str" cm="1">
        <f t="array" ref="AG74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74" s="2">
        <f>COUNTIF(Table1[DTI band],Table1[[#This Row],[DTI band]])</f>
        <v>122</v>
      </c>
      <c r="AI74" s="2" t="str" cm="1">
        <f t="array" ref="AI74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74" s="2">
        <f>COUNTIF(Table1[LTV band],Table1[[#This Row],[LTV band]])</f>
        <v>302</v>
      </c>
      <c r="AK74" s="19">
        <f>COUNTIFS(Table1[count_loan_perband],Table1[[#This Row],[count_loan_perband]],Table1[default_flag],1)/COUNTIF(Table1[count_loan_perband],Table1[[#This Row],[count_loan_perband]])</f>
        <v>3.6423841059602648E-2</v>
      </c>
      <c r="AL74" s="19" t="str" cm="1">
        <f t="array" ref="AL74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74" s="19">
        <f>IF(Table1[[#This Row],[dpd]] &gt;=30,1,0)</f>
        <v>0</v>
      </c>
      <c r="AN74" s="19">
        <f>COUNTIFS(Table1[Loan size],Table1[[#This Row],[Loan size]],Table1[dpd flag],1)/COUNTIF(Table1[Loan size],Table1[[#This Row],[Loan size]])</f>
        <v>0.15909090909090909</v>
      </c>
      <c r="AO74" s="19" t="str">
        <f>IF(OR(Table1[[#This Row],[credit_score]] &lt; 600, Table1[ [#This Row],[dti_ratio] ] &gt; 0.5, Table1[[#This Row],[dpd]] &gt;=30), "high risk", " not riskY")</f>
        <v xml:space="preserve"> not riskY</v>
      </c>
      <c r="AP74" s="29">
        <f>EOMONTH(Table1[[#This Row],[origination_date]],0)</f>
        <v>44985</v>
      </c>
      <c r="AQ74" s="19">
        <f>SUMIFS(Table1[loan_amount],Table1[origination month],Table1[[#This Row],[origination month]])</f>
        <v>11207500</v>
      </c>
      <c r="AR74" s="19">
        <f>AVERAGEIFS(Table1[months_on_book],Table1[product],Table1[[#This Row],[product]])</f>
        <v>20.262135922330096</v>
      </c>
      <c r="AS74" s="19" t="str">
        <f ca="1">IF(EDATE(Table1[[#This Row],[origination_date]],6) &gt;= TODAY(), "New Loan", "Old Loan")</f>
        <v>Old Loan</v>
      </c>
      <c r="AT74" s="19" t="str">
        <f>"Q"&amp;ROUNDUP(MONTH(Table1[[#This Row],[origination_date]])/3,0)&amp;YEAR(Table1[[#This Row],[origination_date]])</f>
        <v>Q12023</v>
      </c>
      <c r="AU74" s="19">
        <f>SUMIFS(Table1[loan_amount],Table1[quarter],Table1[[#This Row],[quarter]])</f>
        <v>46066100</v>
      </c>
    </row>
    <row r="75" spans="2:47" x14ac:dyDescent="0.2">
      <c r="B75" s="5" t="s">
        <v>187</v>
      </c>
      <c r="C75" s="2" t="s">
        <v>687</v>
      </c>
      <c r="D75" s="3">
        <v>45010</v>
      </c>
      <c r="E75" s="2" t="s">
        <v>1024</v>
      </c>
      <c r="F75" s="2" t="s">
        <v>1029</v>
      </c>
      <c r="G75" s="2" t="s">
        <v>1035</v>
      </c>
      <c r="H75" s="2" t="s">
        <v>1038</v>
      </c>
      <c r="I75" s="2">
        <v>360</v>
      </c>
      <c r="J75" s="2">
        <v>1127400</v>
      </c>
      <c r="K75" s="2">
        <v>12.77</v>
      </c>
      <c r="L75" s="2">
        <v>12269</v>
      </c>
      <c r="M75" s="2">
        <v>974100</v>
      </c>
      <c r="N75" s="2">
        <v>682</v>
      </c>
      <c r="O75" s="2" t="s">
        <v>1042</v>
      </c>
      <c r="P75" s="2">
        <v>0.28999999999999998</v>
      </c>
      <c r="Q75" s="2">
        <v>0.71</v>
      </c>
      <c r="R75" s="2">
        <v>1594600</v>
      </c>
      <c r="S75" s="2">
        <v>33</v>
      </c>
      <c r="T75" s="2">
        <v>408515</v>
      </c>
      <c r="U75" s="2">
        <v>877251</v>
      </c>
      <c r="V75" s="2">
        <v>0</v>
      </c>
      <c r="W75" s="2">
        <v>1</v>
      </c>
      <c r="X75" s="2">
        <v>0</v>
      </c>
      <c r="Y75" s="2" t="s">
        <v>1047</v>
      </c>
      <c r="Z75" s="12">
        <f>SUMIF(Table1[product],Table1[[#This Row],[product]],Table1[loan_amount])</f>
        <v>92273000</v>
      </c>
      <c r="AA75" s="15">
        <f>SUMIF(Table1[region],Table1[[#This Row],[region]],Table1[current_balance])</f>
        <v>83903255</v>
      </c>
      <c r="AB75" s="2">
        <f>COUNTIF(Table1[loan_status],Table1[[#This Row],[loan_status]])</f>
        <v>139</v>
      </c>
      <c r="AC75" s="2">
        <f>COUNTIF(Table1[default_flag],1)/ROWS(Table1[loan_id])</f>
        <v>2.5999999999999999E-2</v>
      </c>
      <c r="AD75" s="2">
        <f>COUNTIFS(Table1[region],Table1[[#This Row],[region]],Table1[default_flag],1)/COUNTIF(Table1[region],Table1[[#This Row],[region]])</f>
        <v>4.2553191489361701E-2</v>
      </c>
      <c r="AE75" s="2">
        <f>COUNTIFS(Table1[channel],Table1[[#This Row],[channel]],Table1[prepayment_flag],1)/COUNTIF(Table1[channel],Table1[[#This Row],[channel]])</f>
        <v>7.1090047393364927E-2</v>
      </c>
      <c r="AF75" s="2">
        <f>AVERAGEIFS(Table1[interest_rate_pct],Table1[product],Table1[[#This Row],[product]],Table1[risk_band],Table1[[#This Row],[risk_band]])</f>
        <v>13.246500000000001</v>
      </c>
      <c r="AG75" s="2" t="str" cm="1">
        <f t="array" ref="AG75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75" s="2">
        <f>COUNTIF(Table1[DTI band],Table1[[#This Row],[DTI band]])</f>
        <v>122</v>
      </c>
      <c r="AI75" s="2" t="str" cm="1">
        <f t="array" ref="AI75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75" s="2">
        <f>COUNTIF(Table1[LTV band],Table1[[#This Row],[LTV band]])</f>
        <v>302</v>
      </c>
      <c r="AK75" s="19">
        <f>COUNTIFS(Table1[count_loan_perband],Table1[[#This Row],[count_loan_perband]],Table1[default_flag],1)/COUNTIF(Table1[count_loan_perband],Table1[[#This Row],[count_loan_perband]])</f>
        <v>3.6423841059602648E-2</v>
      </c>
      <c r="AL75" s="19" t="str" cm="1">
        <f t="array" ref="AL75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75" s="19">
        <f>IF(Table1[[#This Row],[dpd]] &gt;=30,1,0)</f>
        <v>0</v>
      </c>
      <c r="AN75" s="19">
        <f>COUNTIFS(Table1[Loan size],Table1[[#This Row],[Loan size]],Table1[dpd flag],1)/COUNTIF(Table1[Loan size],Table1[[#This Row],[Loan size]])</f>
        <v>0.15909090909090909</v>
      </c>
      <c r="AO75" s="19" t="str">
        <f>IF(OR(Table1[[#This Row],[credit_score]] &lt; 600, Table1[ [#This Row],[dti_ratio] ] &gt; 0.5, Table1[[#This Row],[dpd]] &gt;=30), "high risk", " not riskY")</f>
        <v xml:space="preserve"> not riskY</v>
      </c>
      <c r="AP75" s="29">
        <f>EOMONTH(Table1[[#This Row],[origination_date]],0)</f>
        <v>45016</v>
      </c>
      <c r="AQ75" s="19">
        <f>SUMIFS(Table1[loan_amount],Table1[origination month],Table1[[#This Row],[origination month]])</f>
        <v>23160200</v>
      </c>
      <c r="AR75" s="19">
        <f>AVERAGEIFS(Table1[months_on_book],Table1[product],Table1[[#This Row],[product]])</f>
        <v>20.262135922330096</v>
      </c>
      <c r="AS75" s="19" t="str">
        <f ca="1">IF(EDATE(Table1[[#This Row],[origination_date]],6) &gt;= TODAY(), "New Loan", "Old Loan")</f>
        <v>Old Loan</v>
      </c>
      <c r="AT75" s="19" t="str">
        <f>"Q"&amp;ROUNDUP(MONTH(Table1[[#This Row],[origination_date]])/3,0)&amp;YEAR(Table1[[#This Row],[origination_date]])</f>
        <v>Q12023</v>
      </c>
      <c r="AU75" s="19">
        <f>SUMIFS(Table1[loan_amount],Table1[quarter],Table1[[#This Row],[quarter]])</f>
        <v>46066100</v>
      </c>
    </row>
    <row r="76" spans="2:47" x14ac:dyDescent="0.2">
      <c r="B76" s="5" t="s">
        <v>170</v>
      </c>
      <c r="C76" s="2" t="s">
        <v>670</v>
      </c>
      <c r="D76" s="3">
        <v>44963</v>
      </c>
      <c r="E76" s="2" t="s">
        <v>1026</v>
      </c>
      <c r="F76" s="2" t="s">
        <v>1029</v>
      </c>
      <c r="G76" s="2" t="s">
        <v>1034</v>
      </c>
      <c r="H76" s="2" t="s">
        <v>1038</v>
      </c>
      <c r="I76" s="2">
        <v>180</v>
      </c>
      <c r="J76" s="2">
        <v>473200</v>
      </c>
      <c r="K76" s="2">
        <v>19.149999999999999</v>
      </c>
      <c r="L76" s="2">
        <v>8015</v>
      </c>
      <c r="M76" s="2">
        <v>748369</v>
      </c>
      <c r="N76" s="2">
        <v>687</v>
      </c>
      <c r="O76" s="2" t="s">
        <v>1042</v>
      </c>
      <c r="P76" s="2">
        <v>0.28000000000000003</v>
      </c>
      <c r="Q76" s="2">
        <v>0.77</v>
      </c>
      <c r="R76" s="2">
        <v>0</v>
      </c>
      <c r="S76" s="2">
        <v>34</v>
      </c>
      <c r="T76" s="2">
        <v>267602</v>
      </c>
      <c r="U76" s="2">
        <v>308298</v>
      </c>
      <c r="V76" s="2">
        <v>0</v>
      </c>
      <c r="W76" s="2">
        <v>0</v>
      </c>
      <c r="X76" s="2">
        <v>0</v>
      </c>
      <c r="Y76" s="2" t="s">
        <v>1049</v>
      </c>
      <c r="Z76" s="12">
        <f>SUMIF(Table1[product],Table1[[#This Row],[product]],Table1[loan_amount])</f>
        <v>74897600</v>
      </c>
      <c r="AA76" s="15">
        <f>SUMIF(Table1[region],Table1[[#This Row],[region]],Table1[current_balance])</f>
        <v>105779369</v>
      </c>
      <c r="AB76" s="2">
        <f>COUNTIF(Table1[loan_status],Table1[[#This Row],[loan_status]])</f>
        <v>301</v>
      </c>
      <c r="AC76" s="2">
        <f>COUNTIF(Table1[default_flag],1)/ROWS(Table1[loan_id])</f>
        <v>2.5999999999999999E-2</v>
      </c>
      <c r="AD76" s="2">
        <f>COUNTIFS(Table1[region],Table1[[#This Row],[region]],Table1[default_flag],1)/COUNTIF(Table1[region],Table1[[#This Row],[region]])</f>
        <v>2.6548672566371681E-2</v>
      </c>
      <c r="AE76" s="2">
        <f>COUNTIFS(Table1[channel],Table1[[#This Row],[channel]],Table1[prepayment_flag],1)/COUNTIF(Table1[channel],Table1[[#This Row],[channel]])</f>
        <v>7.1090047393364927E-2</v>
      </c>
      <c r="AF76" s="2">
        <f>AVERAGEIFS(Table1[interest_rate_pct],Table1[product],Table1[[#This Row],[product]],Table1[risk_band],Table1[[#This Row],[risk_band]])</f>
        <v>18.603181818181817</v>
      </c>
      <c r="AG76" s="2" t="str" cm="1">
        <f t="array" ref="AG76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76" s="2">
        <f>COUNTIF(Table1[DTI band],Table1[[#This Row],[DTI band]])</f>
        <v>122</v>
      </c>
      <c r="AI76" s="2" t="str" cm="1">
        <f t="array" ref="AI76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76" s="2">
        <f>COUNTIF(Table1[LTV band],Table1[[#This Row],[LTV band]])</f>
        <v>302</v>
      </c>
      <c r="AK76" s="19">
        <f>COUNTIFS(Table1[count_loan_perband],Table1[[#This Row],[count_loan_perband]],Table1[default_flag],1)/COUNTIF(Table1[count_loan_perband],Table1[[#This Row],[count_loan_perband]])</f>
        <v>3.6423841059602648E-2</v>
      </c>
      <c r="AL76" s="19" t="str" cm="1">
        <f t="array" ref="AL76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76" s="19">
        <f>IF(Table1[[#This Row],[dpd]] &gt;=30,1,0)</f>
        <v>0</v>
      </c>
      <c r="AN76" s="19">
        <f>COUNTIFS(Table1[Loan size],Table1[[#This Row],[Loan size]],Table1[dpd flag],1)/COUNTIF(Table1[Loan size],Table1[[#This Row],[Loan size]])</f>
        <v>0.13934426229508196</v>
      </c>
      <c r="AO76" s="19" t="str">
        <f>IF(OR(Table1[[#This Row],[credit_score]] &lt; 600, Table1[ [#This Row],[dti_ratio] ] &gt; 0.5, Table1[[#This Row],[dpd]] &gt;=30), "high risk", " not riskY")</f>
        <v xml:space="preserve"> not riskY</v>
      </c>
      <c r="AP76" s="29">
        <f>EOMONTH(Table1[[#This Row],[origination_date]],0)</f>
        <v>44985</v>
      </c>
      <c r="AQ76" s="19">
        <f>SUMIFS(Table1[loan_amount],Table1[origination month],Table1[[#This Row],[origination month]])</f>
        <v>11207500</v>
      </c>
      <c r="AR76" s="19">
        <f>AVERAGEIFS(Table1[months_on_book],Table1[product],Table1[[#This Row],[product]])</f>
        <v>21.092024539877301</v>
      </c>
      <c r="AS76" s="19" t="str">
        <f ca="1">IF(EDATE(Table1[[#This Row],[origination_date]],6) &gt;= TODAY(), "New Loan", "Old Loan")</f>
        <v>Old Loan</v>
      </c>
      <c r="AT76" s="19" t="str">
        <f>"Q"&amp;ROUNDUP(MONTH(Table1[[#This Row],[origination_date]])/3,0)&amp;YEAR(Table1[[#This Row],[origination_date]])</f>
        <v>Q12023</v>
      </c>
      <c r="AU76" s="19">
        <f>SUMIFS(Table1[loan_amount],Table1[quarter],Table1[[#This Row],[quarter]])</f>
        <v>46066100</v>
      </c>
    </row>
    <row r="77" spans="2:47" x14ac:dyDescent="0.2">
      <c r="B77" s="5" t="s">
        <v>182</v>
      </c>
      <c r="C77" s="2" t="s">
        <v>682</v>
      </c>
      <c r="D77" s="3">
        <v>44967</v>
      </c>
      <c r="E77" s="2" t="s">
        <v>1028</v>
      </c>
      <c r="F77" s="2" t="s">
        <v>1030</v>
      </c>
      <c r="G77" s="2" t="s">
        <v>1035</v>
      </c>
      <c r="H77" s="2" t="s">
        <v>1038</v>
      </c>
      <c r="I77" s="2">
        <v>12</v>
      </c>
      <c r="J77" s="2">
        <v>939500</v>
      </c>
      <c r="K77" s="2">
        <v>15.34</v>
      </c>
      <c r="L77" s="2">
        <v>84948</v>
      </c>
      <c r="M77" s="2">
        <v>985190</v>
      </c>
      <c r="N77" s="2">
        <v>638</v>
      </c>
      <c r="O77" s="2" t="s">
        <v>1045</v>
      </c>
      <c r="P77" s="2">
        <v>0.28000000000000003</v>
      </c>
      <c r="Q77" s="2">
        <v>0.55000000000000004</v>
      </c>
      <c r="R77" s="2">
        <v>0</v>
      </c>
      <c r="S77" s="2">
        <v>12</v>
      </c>
      <c r="T77" s="2">
        <v>1011536</v>
      </c>
      <c r="U77" s="2">
        <v>0</v>
      </c>
      <c r="V77" s="2">
        <v>0</v>
      </c>
      <c r="W77" s="2">
        <v>0</v>
      </c>
      <c r="X77" s="2">
        <v>0</v>
      </c>
      <c r="Y77" s="2" t="s">
        <v>1047</v>
      </c>
      <c r="Z77" s="12">
        <f>SUMIF(Table1[product],Table1[[#This Row],[product]],Table1[loan_amount])</f>
        <v>62765800</v>
      </c>
      <c r="AA77" s="15">
        <f>SUMIF(Table1[region],Table1[[#This Row],[region]],Table1[current_balance])</f>
        <v>83903255</v>
      </c>
      <c r="AB77" s="2">
        <f>COUNTIF(Table1[loan_status],Table1[[#This Row],[loan_status]])</f>
        <v>139</v>
      </c>
      <c r="AC77" s="2">
        <f>COUNTIF(Table1[default_flag],1)/ROWS(Table1[loan_id])</f>
        <v>2.5999999999999999E-2</v>
      </c>
      <c r="AD77" s="2">
        <f>COUNTIFS(Table1[region],Table1[[#This Row],[region]],Table1[default_flag],1)/COUNTIF(Table1[region],Table1[[#This Row],[region]])</f>
        <v>4.2553191489361701E-2</v>
      </c>
      <c r="AE77" s="2">
        <f>COUNTIFS(Table1[channel],Table1[[#This Row],[channel]],Table1[prepayment_flag],1)/COUNTIF(Table1[channel],Table1[[#This Row],[channel]])</f>
        <v>5.8201058201058198E-2</v>
      </c>
      <c r="AF77" s="2">
        <f>AVERAGEIFS(Table1[interest_rate_pct],Table1[product],Table1[[#This Row],[product]],Table1[risk_band],Table1[[#This Row],[risk_band]])</f>
        <v>15.810000000000002</v>
      </c>
      <c r="AG77" s="2" t="str" cm="1">
        <f t="array" ref="AG77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77" s="2">
        <f>COUNTIF(Table1[DTI band],Table1[[#This Row],[DTI band]])</f>
        <v>122</v>
      </c>
      <c r="AI77" s="2" t="str" cm="1">
        <f t="array" ref="AI77">_xlfn.IFS(Table1[[#This Row],[ltv_ratio]] &lt; 0.6, "less than 0.6 -less risky", Table1[[#This Row],[ltv_ratio]]  &lt;= 0.8, "0.6 - 0.8 -medium risky",Table1[[#This Row],[ltv_ratio]] &gt; 0.8, "greater than 0.8 -highly risky")</f>
        <v>less than 0.6 -less risky</v>
      </c>
      <c r="AJ77" s="2">
        <f>COUNTIF(Table1[LTV band],Table1[[#This Row],[LTV band]])</f>
        <v>57</v>
      </c>
      <c r="AK77" s="19">
        <f>COUNTIFS(Table1[count_loan_perband],Table1[[#This Row],[count_loan_perband]],Table1[default_flag],1)/COUNTIF(Table1[count_loan_perband],Table1[[#This Row],[count_loan_perband]])</f>
        <v>0</v>
      </c>
      <c r="AL77" s="19" t="str" cm="1">
        <f t="array" ref="AL77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77" s="19">
        <f>IF(Table1[[#This Row],[dpd]] &gt;=30,1,0)</f>
        <v>0</v>
      </c>
      <c r="AN77" s="19">
        <f>COUNTIFS(Table1[Loan size],Table1[[#This Row],[Loan size]],Table1[dpd flag],1)/COUNTIF(Table1[Loan size],Table1[[#This Row],[Loan size]])</f>
        <v>0.15909090909090909</v>
      </c>
      <c r="AO77" s="19" t="str">
        <f>IF(OR(Table1[[#This Row],[credit_score]] &lt; 600, Table1[ [#This Row],[dti_ratio] ] &gt; 0.5, Table1[[#This Row],[dpd]] &gt;=30), "high risk", " not riskY")</f>
        <v xml:space="preserve"> not riskY</v>
      </c>
      <c r="AP77" s="29">
        <f>EOMONTH(Table1[[#This Row],[origination_date]],0)</f>
        <v>44985</v>
      </c>
      <c r="AQ77" s="19">
        <f>SUMIFS(Table1[loan_amount],Table1[origination month],Table1[[#This Row],[origination month]])</f>
        <v>11207500</v>
      </c>
      <c r="AR77" s="19">
        <f>AVERAGEIFS(Table1[months_on_book],Table1[product],Table1[[#This Row],[product]])</f>
        <v>21.962962962962962</v>
      </c>
      <c r="AS77" s="19" t="str">
        <f ca="1">IF(EDATE(Table1[[#This Row],[origination_date]],6) &gt;= TODAY(), "New Loan", "Old Loan")</f>
        <v>Old Loan</v>
      </c>
      <c r="AT77" s="19" t="str">
        <f>"Q"&amp;ROUNDUP(MONTH(Table1[[#This Row],[origination_date]])/3,0)&amp;YEAR(Table1[[#This Row],[origination_date]])</f>
        <v>Q12023</v>
      </c>
      <c r="AU77" s="19">
        <f>SUMIFS(Table1[loan_amount],Table1[quarter],Table1[[#This Row],[quarter]])</f>
        <v>46066100</v>
      </c>
    </row>
    <row r="78" spans="2:47" x14ac:dyDescent="0.2">
      <c r="B78" s="5" t="s">
        <v>395</v>
      </c>
      <c r="C78" s="2" t="s">
        <v>895</v>
      </c>
      <c r="D78" s="3">
        <v>44943</v>
      </c>
      <c r="E78" s="2" t="s">
        <v>1027</v>
      </c>
      <c r="F78" s="2" t="s">
        <v>1029</v>
      </c>
      <c r="G78" s="2" t="s">
        <v>1034</v>
      </c>
      <c r="H78" s="2" t="s">
        <v>1038</v>
      </c>
      <c r="I78" s="2">
        <v>48</v>
      </c>
      <c r="J78" s="2">
        <v>1710600</v>
      </c>
      <c r="K78" s="2">
        <v>14.53</v>
      </c>
      <c r="L78" s="2">
        <v>47201</v>
      </c>
      <c r="M78" s="2">
        <v>524234</v>
      </c>
      <c r="N78" s="2">
        <v>594</v>
      </c>
      <c r="O78" s="2" t="s">
        <v>1046</v>
      </c>
      <c r="P78" s="2">
        <v>0.26</v>
      </c>
      <c r="Q78" s="2">
        <v>0.59</v>
      </c>
      <c r="R78" s="2">
        <v>2888200</v>
      </c>
      <c r="S78" s="2">
        <v>35</v>
      </c>
      <c r="T78" s="2">
        <v>1603526</v>
      </c>
      <c r="U78" s="2">
        <v>397049</v>
      </c>
      <c r="V78" s="2">
        <v>0</v>
      </c>
      <c r="W78" s="2">
        <v>0</v>
      </c>
      <c r="X78" s="2">
        <v>0</v>
      </c>
      <c r="Y78" s="2" t="s">
        <v>1049</v>
      </c>
      <c r="Z78" s="12">
        <f>SUMIF(Table1[product],Table1[[#This Row],[product]],Table1[loan_amount])</f>
        <v>403369500</v>
      </c>
      <c r="AA78" s="15">
        <f>SUMIF(Table1[region],Table1[[#This Row],[region]],Table1[current_balance])</f>
        <v>105779369</v>
      </c>
      <c r="AB78" s="2">
        <f>COUNTIF(Table1[loan_status],Table1[[#This Row],[loan_status]])</f>
        <v>301</v>
      </c>
      <c r="AC78" s="2">
        <f>COUNTIF(Table1[default_flag],1)/ROWS(Table1[loan_id])</f>
        <v>2.5999999999999999E-2</v>
      </c>
      <c r="AD78" s="2">
        <f>COUNTIFS(Table1[region],Table1[[#This Row],[region]],Table1[default_flag],1)/COUNTIF(Table1[region],Table1[[#This Row],[region]])</f>
        <v>2.6548672566371681E-2</v>
      </c>
      <c r="AE78" s="2">
        <f>COUNTIFS(Table1[channel],Table1[[#This Row],[channel]],Table1[prepayment_flag],1)/COUNTIF(Table1[channel],Table1[[#This Row],[channel]])</f>
        <v>7.1090047393364927E-2</v>
      </c>
      <c r="AF78" s="2">
        <f>AVERAGEIFS(Table1[interest_rate_pct],Table1[product],Table1[[#This Row],[product]],Table1[risk_band],Table1[[#This Row],[risk_band]])</f>
        <v>15.4275</v>
      </c>
      <c r="AG78" s="2" t="str" cm="1">
        <f t="array" ref="AG78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78" s="2">
        <f>COUNTIF(Table1[DTI band],Table1[[#This Row],[DTI band]])</f>
        <v>122</v>
      </c>
      <c r="AI78" s="2" t="str" cm="1">
        <f t="array" ref="AI78">_xlfn.IFS(Table1[[#This Row],[ltv_ratio]] &lt; 0.6, "less than 0.6 -less risky", Table1[[#This Row],[ltv_ratio]]  &lt;= 0.8, "0.6 - 0.8 -medium risky",Table1[[#This Row],[ltv_ratio]] &gt; 0.8, "greater than 0.8 -highly risky")</f>
        <v>less than 0.6 -less risky</v>
      </c>
      <c r="AJ78" s="2">
        <f>COUNTIF(Table1[LTV band],Table1[[#This Row],[LTV band]])</f>
        <v>57</v>
      </c>
      <c r="AK78" s="19">
        <f>COUNTIFS(Table1[count_loan_perband],Table1[[#This Row],[count_loan_perband]],Table1[default_flag],1)/COUNTIF(Table1[count_loan_perband],Table1[[#This Row],[count_loan_perband]])</f>
        <v>0</v>
      </c>
      <c r="AL78" s="19" t="str" cm="1">
        <f t="array" ref="AL78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78" s="19">
        <f>IF(Table1[[#This Row],[dpd]] &gt;=30,1,0)</f>
        <v>0</v>
      </c>
      <c r="AN78" s="19">
        <f>COUNTIFS(Table1[Loan size],Table1[[#This Row],[Loan size]],Table1[dpd flag],1)/COUNTIF(Table1[Loan size],Table1[[#This Row],[Loan size]])</f>
        <v>0.15909090909090909</v>
      </c>
      <c r="AO78" s="19" t="str">
        <f>IF(OR(Table1[[#This Row],[credit_score]] &lt; 600, Table1[ [#This Row],[dti_ratio] ] &gt; 0.5, Table1[[#This Row],[dpd]] &gt;=30), "high risk", " not riskY")</f>
        <v>high risk</v>
      </c>
      <c r="AP78" s="29">
        <f>EOMONTH(Table1[[#This Row],[origination_date]],0)</f>
        <v>44957</v>
      </c>
      <c r="AQ78" s="19">
        <f>SUMIFS(Table1[loan_amount],Table1[origination month],Table1[[#This Row],[origination month]])</f>
        <v>11698400</v>
      </c>
      <c r="AR78" s="19">
        <f>AVERAGEIFS(Table1[months_on_book],Table1[product],Table1[[#This Row],[product]])</f>
        <v>20.516129032258064</v>
      </c>
      <c r="AS78" s="19" t="str">
        <f ca="1">IF(EDATE(Table1[[#This Row],[origination_date]],6) &gt;= TODAY(), "New Loan", "Old Loan")</f>
        <v>Old Loan</v>
      </c>
      <c r="AT78" s="19" t="str">
        <f>"Q"&amp;ROUNDUP(MONTH(Table1[[#This Row],[origination_date]])/3,0)&amp;YEAR(Table1[[#This Row],[origination_date]])</f>
        <v>Q12023</v>
      </c>
      <c r="AU78" s="19">
        <f>SUMIFS(Table1[loan_amount],Table1[quarter],Table1[[#This Row],[quarter]])</f>
        <v>46066100</v>
      </c>
    </row>
    <row r="79" spans="2:47" x14ac:dyDescent="0.2">
      <c r="B79" s="5" t="s">
        <v>379</v>
      </c>
      <c r="C79" s="2" t="s">
        <v>879</v>
      </c>
      <c r="D79" s="3">
        <v>45000</v>
      </c>
      <c r="E79" s="2" t="s">
        <v>1026</v>
      </c>
      <c r="F79" s="2" t="s">
        <v>1029</v>
      </c>
      <c r="G79" s="2" t="s">
        <v>1037</v>
      </c>
      <c r="H79" s="2" t="s">
        <v>1038</v>
      </c>
      <c r="I79" s="2">
        <v>180</v>
      </c>
      <c r="J79" s="2">
        <v>50000</v>
      </c>
      <c r="K79" s="2">
        <v>15.29</v>
      </c>
      <c r="L79" s="2">
        <v>710</v>
      </c>
      <c r="M79" s="2">
        <v>292758</v>
      </c>
      <c r="N79" s="2">
        <v>748</v>
      </c>
      <c r="O79" s="2" t="s">
        <v>1044</v>
      </c>
      <c r="P79" s="2">
        <v>0.23</v>
      </c>
      <c r="Q79" s="2">
        <v>0.72</v>
      </c>
      <c r="R79" s="2">
        <v>0</v>
      </c>
      <c r="S79" s="2">
        <v>33</v>
      </c>
      <c r="T79" s="2">
        <v>23195</v>
      </c>
      <c r="U79" s="2">
        <v>35214</v>
      </c>
      <c r="V79" s="2">
        <v>30</v>
      </c>
      <c r="W79" s="2">
        <v>0</v>
      </c>
      <c r="X79" s="2">
        <v>0</v>
      </c>
      <c r="Y79" s="2" t="s">
        <v>1048</v>
      </c>
      <c r="Z79" s="12">
        <f>SUMIF(Table1[product],Table1[[#This Row],[product]],Table1[loan_amount])</f>
        <v>74897600</v>
      </c>
      <c r="AA79" s="15">
        <f>SUMIF(Table1[region],Table1[[#This Row],[region]],Table1[current_balance])</f>
        <v>94548000</v>
      </c>
      <c r="AB79" s="2">
        <f>COUNTIF(Table1[loan_status],Table1[[#This Row],[loan_status]])</f>
        <v>47</v>
      </c>
      <c r="AC79" s="2">
        <f>COUNTIF(Table1[default_flag],1)/ROWS(Table1[loan_id])</f>
        <v>2.5999999999999999E-2</v>
      </c>
      <c r="AD79" s="2">
        <f>COUNTIFS(Table1[region],Table1[[#This Row],[region]],Table1[default_flag],1)/COUNTIF(Table1[region],Table1[[#This Row],[region]])</f>
        <v>0</v>
      </c>
      <c r="AE79" s="2">
        <f>COUNTIFS(Table1[channel],Table1[[#This Row],[channel]],Table1[prepayment_flag],1)/COUNTIF(Table1[channel],Table1[[#This Row],[channel]])</f>
        <v>7.1090047393364927E-2</v>
      </c>
      <c r="AF79" s="2">
        <f>AVERAGEIFS(Table1[interest_rate_pct],Table1[product],Table1[[#This Row],[product]],Table1[risk_band],Table1[[#This Row],[risk_band]])</f>
        <v>16.500166666666669</v>
      </c>
      <c r="AG79" s="2" t="str" cm="1">
        <f t="array" ref="AG79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79" s="2">
        <f>COUNTIF(Table1[DTI band],Table1[[#This Row],[DTI band]])</f>
        <v>122</v>
      </c>
      <c r="AI79" s="2" t="str" cm="1">
        <f t="array" ref="AI79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79" s="2">
        <f>COUNTIF(Table1[LTV band],Table1[[#This Row],[LTV band]])</f>
        <v>302</v>
      </c>
      <c r="AK79" s="19">
        <f>COUNTIFS(Table1[count_loan_perband],Table1[[#This Row],[count_loan_perband]],Table1[default_flag],1)/COUNTIF(Table1[count_loan_perband],Table1[[#This Row],[count_loan_perband]])</f>
        <v>3.6423841059602648E-2</v>
      </c>
      <c r="AL79" s="19" t="str" cm="1">
        <f t="array" ref="AL79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79" s="19">
        <f>IF(Table1[[#This Row],[dpd]] &gt;=30,1,0)</f>
        <v>1</v>
      </c>
      <c r="AN79" s="19">
        <f>COUNTIFS(Table1[Loan size],Table1[[#This Row],[Loan size]],Table1[dpd flag],1)/COUNTIF(Table1[Loan size],Table1[[#This Row],[Loan size]])</f>
        <v>0.13934426229508196</v>
      </c>
      <c r="AO79" s="19" t="str">
        <f>IF(OR(Table1[[#This Row],[credit_score]] &lt; 600, Table1[ [#This Row],[dti_ratio] ] &gt; 0.5, Table1[[#This Row],[dpd]] &gt;=30), "high risk", " not riskY")</f>
        <v>high risk</v>
      </c>
      <c r="AP79" s="29">
        <f>EOMONTH(Table1[[#This Row],[origination_date]],0)</f>
        <v>45016</v>
      </c>
      <c r="AQ79" s="19">
        <f>SUMIFS(Table1[loan_amount],Table1[origination month],Table1[[#This Row],[origination month]])</f>
        <v>23160200</v>
      </c>
      <c r="AR79" s="19">
        <f>AVERAGEIFS(Table1[months_on_book],Table1[product],Table1[[#This Row],[product]])</f>
        <v>21.092024539877301</v>
      </c>
      <c r="AS79" s="19" t="str">
        <f ca="1">IF(EDATE(Table1[[#This Row],[origination_date]],6) &gt;= TODAY(), "New Loan", "Old Loan")</f>
        <v>Old Loan</v>
      </c>
      <c r="AT79" s="19" t="str">
        <f>"Q"&amp;ROUNDUP(MONTH(Table1[[#This Row],[origination_date]])/3,0)&amp;YEAR(Table1[[#This Row],[origination_date]])</f>
        <v>Q12023</v>
      </c>
      <c r="AU79" s="19">
        <f>SUMIFS(Table1[loan_amount],Table1[quarter],Table1[[#This Row],[quarter]])</f>
        <v>46066100</v>
      </c>
    </row>
    <row r="80" spans="2:47" x14ac:dyDescent="0.2">
      <c r="B80" s="5" t="s">
        <v>34</v>
      </c>
      <c r="C80" s="2" t="s">
        <v>534</v>
      </c>
      <c r="D80" s="3">
        <v>45011</v>
      </c>
      <c r="E80" s="2" t="s">
        <v>1024</v>
      </c>
      <c r="F80" s="2" t="s">
        <v>1030</v>
      </c>
      <c r="G80" s="2" t="s">
        <v>1036</v>
      </c>
      <c r="H80" s="2" t="s">
        <v>1039</v>
      </c>
      <c r="I80" s="2">
        <v>24</v>
      </c>
      <c r="J80" s="2">
        <v>142300</v>
      </c>
      <c r="K80" s="2">
        <v>12.08</v>
      </c>
      <c r="L80" s="2">
        <v>6704</v>
      </c>
      <c r="M80" s="2">
        <v>688390</v>
      </c>
      <c r="N80" s="2">
        <v>697</v>
      </c>
      <c r="O80" s="2" t="s">
        <v>1042</v>
      </c>
      <c r="P80" s="2">
        <v>0.21</v>
      </c>
      <c r="Q80" s="2">
        <v>0.87</v>
      </c>
      <c r="R80" s="2">
        <v>164000</v>
      </c>
      <c r="S80" s="2">
        <v>24</v>
      </c>
      <c r="T80" s="2">
        <v>156039</v>
      </c>
      <c r="U80" s="2">
        <v>13</v>
      </c>
      <c r="V80" s="2">
        <v>0</v>
      </c>
      <c r="W80" s="2">
        <v>0</v>
      </c>
      <c r="X80" s="2">
        <v>0</v>
      </c>
      <c r="Y80" s="2" t="s">
        <v>1047</v>
      </c>
      <c r="Z80" s="12">
        <f>SUMIF(Table1[product],Table1[[#This Row],[product]],Table1[loan_amount])</f>
        <v>92273000</v>
      </c>
      <c r="AA80" s="15">
        <f>SUMIF(Table1[region],Table1[[#This Row],[region]],Table1[current_balance])</f>
        <v>98928695</v>
      </c>
      <c r="AB80" s="2">
        <f>COUNTIF(Table1[loan_status],Table1[[#This Row],[loan_status]])</f>
        <v>139</v>
      </c>
      <c r="AC80" s="2">
        <f>COUNTIF(Table1[default_flag],1)/ROWS(Table1[loan_id])</f>
        <v>2.5999999999999999E-2</v>
      </c>
      <c r="AD80" s="2">
        <f>COUNTIFS(Table1[region],Table1[[#This Row],[region]],Table1[default_flag],1)/COUNTIF(Table1[region],Table1[[#This Row],[region]])</f>
        <v>2.8571428571428571E-2</v>
      </c>
      <c r="AE80" s="2">
        <f>COUNTIFS(Table1[channel],Table1[[#This Row],[channel]],Table1[prepayment_flag],1)/COUNTIF(Table1[channel],Table1[[#This Row],[channel]])</f>
        <v>5.8201058201058198E-2</v>
      </c>
      <c r="AF80" s="2">
        <f>AVERAGEIFS(Table1[interest_rate_pct],Table1[product],Table1[[#This Row],[product]],Table1[risk_band],Table1[[#This Row],[risk_band]])</f>
        <v>13.246500000000001</v>
      </c>
      <c r="AG80" s="2" t="str" cm="1">
        <f t="array" ref="AG80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80" s="2">
        <f>COUNTIF(Table1[DTI band],Table1[[#This Row],[DTI band]])</f>
        <v>122</v>
      </c>
      <c r="AI80" s="2" t="str" cm="1">
        <f t="array" ref="AI80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80" s="2">
        <f>COUNTIF(Table1[LTV band],Table1[[#This Row],[LTV band]])</f>
        <v>141</v>
      </c>
      <c r="AK80" s="19">
        <f>COUNTIFS(Table1[count_loan_perband],Table1[[#This Row],[count_loan_perband]],Table1[default_flag],1)/COUNTIF(Table1[count_loan_perband],Table1[[#This Row],[count_loan_perband]])</f>
        <v>1.4184397163120567E-2</v>
      </c>
      <c r="AL80" s="19" t="str" cm="1">
        <f t="array" ref="AL80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80" s="19">
        <f>IF(Table1[[#This Row],[dpd]] &gt;=30,1,0)</f>
        <v>0</v>
      </c>
      <c r="AN80" s="19">
        <f>COUNTIFS(Table1[Loan size],Table1[[#This Row],[Loan size]],Table1[dpd flag],1)/COUNTIF(Table1[Loan size],Table1[[#This Row],[Loan size]])</f>
        <v>0.13934426229508196</v>
      </c>
      <c r="AO80" s="19" t="str">
        <f>IF(OR(Table1[[#This Row],[credit_score]] &lt; 600, Table1[ [#This Row],[dti_ratio] ] &gt; 0.5, Table1[[#This Row],[dpd]] &gt;=30), "high risk", " not riskY")</f>
        <v xml:space="preserve"> not riskY</v>
      </c>
      <c r="AP80" s="29">
        <f>EOMONTH(Table1[[#This Row],[origination_date]],0)</f>
        <v>45016</v>
      </c>
      <c r="AQ80" s="19">
        <f>SUMIFS(Table1[loan_amount],Table1[origination month],Table1[[#This Row],[origination month]])</f>
        <v>23160200</v>
      </c>
      <c r="AR80" s="19">
        <f>AVERAGEIFS(Table1[months_on_book],Table1[product],Table1[[#This Row],[product]])</f>
        <v>20.262135922330096</v>
      </c>
      <c r="AS80" s="19" t="str">
        <f ca="1">IF(EDATE(Table1[[#This Row],[origination_date]],6) &gt;= TODAY(), "New Loan", "Old Loan")</f>
        <v>Old Loan</v>
      </c>
      <c r="AT80" s="19" t="str">
        <f>"Q"&amp;ROUNDUP(MONTH(Table1[[#This Row],[origination_date]])/3,0)&amp;YEAR(Table1[[#This Row],[origination_date]])</f>
        <v>Q12023</v>
      </c>
      <c r="AU80" s="19">
        <f>SUMIFS(Table1[loan_amount],Table1[quarter],Table1[[#This Row],[quarter]])</f>
        <v>46066100</v>
      </c>
    </row>
    <row r="81" spans="2:47" x14ac:dyDescent="0.2">
      <c r="B81" s="5" t="s">
        <v>479</v>
      </c>
      <c r="C81" s="2" t="s">
        <v>979</v>
      </c>
      <c r="D81" s="3">
        <v>44932</v>
      </c>
      <c r="E81" s="2" t="s">
        <v>1026</v>
      </c>
      <c r="F81" s="2" t="s">
        <v>1029</v>
      </c>
      <c r="G81" s="2" t="s">
        <v>1035</v>
      </c>
      <c r="H81" s="2" t="s">
        <v>1038</v>
      </c>
      <c r="I81" s="2">
        <v>24</v>
      </c>
      <c r="J81" s="2">
        <v>898000</v>
      </c>
      <c r="K81" s="2">
        <v>14.6</v>
      </c>
      <c r="L81" s="2">
        <v>43371</v>
      </c>
      <c r="M81" s="2">
        <v>1438075</v>
      </c>
      <c r="N81" s="2">
        <v>735</v>
      </c>
      <c r="O81" s="2" t="s">
        <v>1044</v>
      </c>
      <c r="P81" s="2">
        <v>0.21</v>
      </c>
      <c r="Q81" s="2">
        <v>0.61</v>
      </c>
      <c r="R81" s="2">
        <v>0</v>
      </c>
      <c r="S81" s="2">
        <v>24</v>
      </c>
      <c r="T81" s="2">
        <v>1052004</v>
      </c>
      <c r="U81" s="2">
        <v>0</v>
      </c>
      <c r="V81" s="2">
        <v>0</v>
      </c>
      <c r="W81" s="2">
        <v>0</v>
      </c>
      <c r="X81" s="2">
        <v>0</v>
      </c>
      <c r="Y81" s="2" t="s">
        <v>1047</v>
      </c>
      <c r="Z81" s="12">
        <f>SUMIF(Table1[product],Table1[[#This Row],[product]],Table1[loan_amount])</f>
        <v>74897600</v>
      </c>
      <c r="AA81" s="15">
        <f>SUMIF(Table1[region],Table1[[#This Row],[region]],Table1[current_balance])</f>
        <v>83903255</v>
      </c>
      <c r="AB81" s="2">
        <f>COUNTIF(Table1[loan_status],Table1[[#This Row],[loan_status]])</f>
        <v>139</v>
      </c>
      <c r="AC81" s="2">
        <f>COUNTIF(Table1[default_flag],1)/ROWS(Table1[loan_id])</f>
        <v>2.5999999999999999E-2</v>
      </c>
      <c r="AD81" s="2">
        <f>COUNTIFS(Table1[region],Table1[[#This Row],[region]],Table1[default_flag],1)/COUNTIF(Table1[region],Table1[[#This Row],[region]])</f>
        <v>4.2553191489361701E-2</v>
      </c>
      <c r="AE81" s="2">
        <f>COUNTIFS(Table1[channel],Table1[[#This Row],[channel]],Table1[prepayment_flag],1)/COUNTIF(Table1[channel],Table1[[#This Row],[channel]])</f>
        <v>7.1090047393364927E-2</v>
      </c>
      <c r="AF81" s="2">
        <f>AVERAGEIFS(Table1[interest_rate_pct],Table1[product],Table1[[#This Row],[product]],Table1[risk_band],Table1[[#This Row],[risk_band]])</f>
        <v>16.500166666666669</v>
      </c>
      <c r="AG81" s="2" t="str" cm="1">
        <f t="array" ref="AG81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81" s="2">
        <f>COUNTIF(Table1[DTI band],Table1[[#This Row],[DTI band]])</f>
        <v>122</v>
      </c>
      <c r="AI81" s="2" t="str" cm="1">
        <f t="array" ref="AI81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81" s="2">
        <f>COUNTIF(Table1[LTV band],Table1[[#This Row],[LTV band]])</f>
        <v>302</v>
      </c>
      <c r="AK81" s="19">
        <f>COUNTIFS(Table1[count_loan_perband],Table1[[#This Row],[count_loan_perband]],Table1[default_flag],1)/COUNTIF(Table1[count_loan_perband],Table1[[#This Row],[count_loan_perband]])</f>
        <v>3.6423841059602648E-2</v>
      </c>
      <c r="AL81" s="19" t="str" cm="1">
        <f t="array" ref="AL81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81" s="19">
        <f>IF(Table1[[#This Row],[dpd]] &gt;=30,1,0)</f>
        <v>0</v>
      </c>
      <c r="AN81" s="19">
        <f>COUNTIFS(Table1[Loan size],Table1[[#This Row],[Loan size]],Table1[dpd flag],1)/COUNTIF(Table1[Loan size],Table1[[#This Row],[Loan size]])</f>
        <v>0.13934426229508196</v>
      </c>
      <c r="AO81" s="19" t="str">
        <f>IF(OR(Table1[[#This Row],[credit_score]] &lt; 600, Table1[ [#This Row],[dti_ratio] ] &gt; 0.5, Table1[[#This Row],[dpd]] &gt;=30), "high risk", " not riskY")</f>
        <v xml:space="preserve"> not riskY</v>
      </c>
      <c r="AP81" s="29">
        <f>EOMONTH(Table1[[#This Row],[origination_date]],0)</f>
        <v>44957</v>
      </c>
      <c r="AQ81" s="19">
        <f>SUMIFS(Table1[loan_amount],Table1[origination month],Table1[[#This Row],[origination month]])</f>
        <v>11698400</v>
      </c>
      <c r="AR81" s="19">
        <f>AVERAGEIFS(Table1[months_on_book],Table1[product],Table1[[#This Row],[product]])</f>
        <v>21.092024539877301</v>
      </c>
      <c r="AS81" s="19" t="str">
        <f ca="1">IF(EDATE(Table1[[#This Row],[origination_date]],6) &gt;= TODAY(), "New Loan", "Old Loan")</f>
        <v>Old Loan</v>
      </c>
      <c r="AT81" s="19" t="str">
        <f>"Q"&amp;ROUNDUP(MONTH(Table1[[#This Row],[origination_date]])/3,0)&amp;YEAR(Table1[[#This Row],[origination_date]])</f>
        <v>Q12023</v>
      </c>
      <c r="AU81" s="19">
        <f>SUMIFS(Table1[loan_amount],Table1[quarter],Table1[[#This Row],[quarter]])</f>
        <v>46066100</v>
      </c>
    </row>
    <row r="82" spans="2:47" x14ac:dyDescent="0.2">
      <c r="B82" s="5" t="s">
        <v>79</v>
      </c>
      <c r="C82" s="2" t="s">
        <v>579</v>
      </c>
      <c r="D82" s="3">
        <v>45006</v>
      </c>
      <c r="E82" s="2" t="s">
        <v>1027</v>
      </c>
      <c r="F82" s="2" t="s">
        <v>1029</v>
      </c>
      <c r="G82" s="2" t="s">
        <v>1035</v>
      </c>
      <c r="H82" s="2" t="s">
        <v>1039</v>
      </c>
      <c r="I82" s="2">
        <v>24</v>
      </c>
      <c r="J82" s="2">
        <v>6304100</v>
      </c>
      <c r="K82" s="2">
        <v>15.6</v>
      </c>
      <c r="L82" s="2">
        <v>307465</v>
      </c>
      <c r="M82" s="2">
        <v>1069559</v>
      </c>
      <c r="N82" s="2">
        <v>589</v>
      </c>
      <c r="O82" s="2" t="s">
        <v>1046</v>
      </c>
      <c r="P82" s="2">
        <v>0.18</v>
      </c>
      <c r="Q82" s="2">
        <v>1.03</v>
      </c>
      <c r="R82" s="2">
        <v>6114300</v>
      </c>
      <c r="S82" s="2">
        <v>24</v>
      </c>
      <c r="T82" s="2">
        <v>6734708</v>
      </c>
      <c r="U82" s="2">
        <v>356144</v>
      </c>
      <c r="V82" s="2">
        <v>10</v>
      </c>
      <c r="W82" s="2">
        <v>0</v>
      </c>
      <c r="X82" s="2">
        <v>0</v>
      </c>
      <c r="Y82" s="2" t="s">
        <v>1047</v>
      </c>
      <c r="Z82" s="12">
        <f>SUMIF(Table1[product],Table1[[#This Row],[product]],Table1[loan_amount])</f>
        <v>403369500</v>
      </c>
      <c r="AA82" s="15">
        <f>SUMIF(Table1[region],Table1[[#This Row],[region]],Table1[current_balance])</f>
        <v>83903255</v>
      </c>
      <c r="AB82" s="2">
        <f>COUNTIF(Table1[loan_status],Table1[[#This Row],[loan_status]])</f>
        <v>139</v>
      </c>
      <c r="AC82" s="2">
        <f>COUNTIF(Table1[default_flag],1)/ROWS(Table1[loan_id])</f>
        <v>2.5999999999999999E-2</v>
      </c>
      <c r="AD82" s="2">
        <f>COUNTIFS(Table1[region],Table1[[#This Row],[region]],Table1[default_flag],1)/COUNTIF(Table1[region],Table1[[#This Row],[region]])</f>
        <v>4.2553191489361701E-2</v>
      </c>
      <c r="AE82" s="2">
        <f>COUNTIFS(Table1[channel],Table1[[#This Row],[channel]],Table1[prepayment_flag],1)/COUNTIF(Table1[channel],Table1[[#This Row],[channel]])</f>
        <v>7.1090047393364927E-2</v>
      </c>
      <c r="AF82" s="2">
        <f>AVERAGEIFS(Table1[interest_rate_pct],Table1[product],Table1[[#This Row],[product]],Table1[risk_band],Table1[[#This Row],[risk_band]])</f>
        <v>15.4275</v>
      </c>
      <c r="AG82" s="2" t="str" cm="1">
        <f t="array" ref="AG82">_xlfn.IFS(Table1[[#This Row],[dti_ratio]] &lt; 0.2, " less than 0.2", Table1[[#This Row],[dti_ratio]] &lt; 0.3, "0.2 - 0.3", Table1[[#This Row],[dti_ratio]] &lt;= 0.5, "0.35 - 0.5", Table1[[#This Row],[dti_ratio]] &gt; 0.5, "greater than 0.5")</f>
        <v xml:space="preserve"> less than 0.2</v>
      </c>
      <c r="AH82" s="2">
        <f>COUNTIF(Table1[DTI band],Table1[[#This Row],[DTI band]])</f>
        <v>86</v>
      </c>
      <c r="AI82" s="2" t="str" cm="1">
        <f t="array" ref="AI82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82" s="2">
        <f>COUNTIF(Table1[LTV band],Table1[[#This Row],[LTV band]])</f>
        <v>141</v>
      </c>
      <c r="AK82" s="19">
        <f>COUNTIFS(Table1[count_loan_perband],Table1[[#This Row],[count_loan_perband]],Table1[default_flag],1)/COUNTIF(Table1[count_loan_perband],Table1[[#This Row],[count_loan_perband]])</f>
        <v>1.4184397163120567E-2</v>
      </c>
      <c r="AL82" s="19" t="str" cm="1">
        <f t="array" ref="AL82">_xlfn.IFS(Table1[[#This Row],[loan_amount]] &lt; 900000, "lower size (&lt; 9L)", Table1[[#This Row],[loan_amount]] &lt;=3300000, "medium size (&lt;=33L)", Table1[[#This Row],[loan_amount]] &gt; 3300000, "larger size (&gt; 33L)")</f>
        <v>larger size (&gt; 33L)</v>
      </c>
      <c r="AM82" s="19">
        <f>IF(Table1[[#This Row],[dpd]] &gt;=30,1,0)</f>
        <v>0</v>
      </c>
      <c r="AN82" s="19">
        <f>COUNTIFS(Table1[Loan size],Table1[[#This Row],[Loan size]],Table1[dpd flag],1)/COUNTIF(Table1[Loan size],Table1[[#This Row],[Loan size]])</f>
        <v>0.16250000000000001</v>
      </c>
      <c r="AO82" s="19" t="str">
        <f>IF(OR(Table1[[#This Row],[credit_score]] &lt; 600, Table1[ [#This Row],[dti_ratio] ] &gt; 0.5, Table1[[#This Row],[dpd]] &gt;=30), "high risk", " not riskY")</f>
        <v>high risk</v>
      </c>
      <c r="AP82" s="29">
        <f>EOMONTH(Table1[[#This Row],[origination_date]],0)</f>
        <v>45016</v>
      </c>
      <c r="AQ82" s="19">
        <f>SUMIFS(Table1[loan_amount],Table1[origination month],Table1[[#This Row],[origination month]])</f>
        <v>23160200</v>
      </c>
      <c r="AR82" s="19">
        <f>AVERAGEIFS(Table1[months_on_book],Table1[product],Table1[[#This Row],[product]])</f>
        <v>20.516129032258064</v>
      </c>
      <c r="AS82" s="19" t="str">
        <f ca="1">IF(EDATE(Table1[[#This Row],[origination_date]],6) &gt;= TODAY(), "New Loan", "Old Loan")</f>
        <v>Old Loan</v>
      </c>
      <c r="AT82" s="19" t="str">
        <f>"Q"&amp;ROUNDUP(MONTH(Table1[[#This Row],[origination_date]])/3,0)&amp;YEAR(Table1[[#This Row],[origination_date]])</f>
        <v>Q12023</v>
      </c>
      <c r="AU82" s="19">
        <f>SUMIFS(Table1[loan_amount],Table1[quarter],Table1[[#This Row],[quarter]])</f>
        <v>46066100</v>
      </c>
    </row>
    <row r="83" spans="2:47" x14ac:dyDescent="0.2">
      <c r="B83" s="5" t="s">
        <v>483</v>
      </c>
      <c r="C83" s="2" t="s">
        <v>983</v>
      </c>
      <c r="D83" s="3">
        <v>44959</v>
      </c>
      <c r="E83" s="2" t="s">
        <v>1025</v>
      </c>
      <c r="F83" s="2" t="s">
        <v>1030</v>
      </c>
      <c r="G83" s="2" t="s">
        <v>1034</v>
      </c>
      <c r="H83" s="2" t="s">
        <v>1038</v>
      </c>
      <c r="I83" s="2">
        <v>18</v>
      </c>
      <c r="J83" s="2">
        <v>97300</v>
      </c>
      <c r="K83" s="2">
        <v>20.41</v>
      </c>
      <c r="L83" s="2">
        <v>6321</v>
      </c>
      <c r="M83" s="2">
        <v>1322599</v>
      </c>
      <c r="N83" s="2">
        <v>617</v>
      </c>
      <c r="O83" s="2" t="s">
        <v>1045</v>
      </c>
      <c r="P83" s="2">
        <v>0.17</v>
      </c>
      <c r="Q83" s="2">
        <v>0.66</v>
      </c>
      <c r="R83" s="2">
        <v>147200</v>
      </c>
      <c r="S83" s="2">
        <v>18</v>
      </c>
      <c r="T83" s="2">
        <v>107892</v>
      </c>
      <c r="U83" s="2">
        <v>1323</v>
      </c>
      <c r="V83" s="2">
        <v>0</v>
      </c>
      <c r="W83" s="2">
        <v>0</v>
      </c>
      <c r="X83" s="2">
        <v>0</v>
      </c>
      <c r="Y83" s="2" t="s">
        <v>1047</v>
      </c>
      <c r="Z83" s="12">
        <f>SUMIF(Table1[product],Table1[[#This Row],[product]],Table1[loan_amount])</f>
        <v>201475100</v>
      </c>
      <c r="AA83" s="15">
        <f>SUMIF(Table1[region],Table1[[#This Row],[region]],Table1[current_balance])</f>
        <v>105779369</v>
      </c>
      <c r="AB83" s="2">
        <f>COUNTIF(Table1[loan_status],Table1[[#This Row],[loan_status]])</f>
        <v>139</v>
      </c>
      <c r="AC83" s="2">
        <f>COUNTIF(Table1[default_flag],1)/ROWS(Table1[loan_id])</f>
        <v>2.5999999999999999E-2</v>
      </c>
      <c r="AD83" s="2">
        <f>COUNTIFS(Table1[region],Table1[[#This Row],[region]],Table1[default_flag],1)/COUNTIF(Table1[region],Table1[[#This Row],[region]])</f>
        <v>2.6548672566371681E-2</v>
      </c>
      <c r="AE83" s="2">
        <f>COUNTIFS(Table1[channel],Table1[[#This Row],[channel]],Table1[prepayment_flag],1)/COUNTIF(Table1[channel],Table1[[#This Row],[channel]])</f>
        <v>5.8201058201058198E-2</v>
      </c>
      <c r="AF83" s="2">
        <f>AVERAGEIFS(Table1[interest_rate_pct],Table1[product],Table1[[#This Row],[product]],Table1[risk_band],Table1[[#This Row],[risk_band]])</f>
        <v>18.241249999999997</v>
      </c>
      <c r="AG83" s="2" t="str" cm="1">
        <f t="array" ref="AG83">_xlfn.IFS(Table1[[#This Row],[dti_ratio]] &lt; 0.2, " less than 0.2", Table1[[#This Row],[dti_ratio]] &lt; 0.3, "0.2 - 0.3", Table1[[#This Row],[dti_ratio]] &lt;= 0.5, "0.35 - 0.5", Table1[[#This Row],[dti_ratio]] &gt; 0.5, "greater than 0.5")</f>
        <v xml:space="preserve"> less than 0.2</v>
      </c>
      <c r="AH83" s="2">
        <f>COUNTIF(Table1[DTI band],Table1[[#This Row],[DTI band]])</f>
        <v>86</v>
      </c>
      <c r="AI83" s="2" t="str" cm="1">
        <f t="array" ref="AI83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83" s="2">
        <f>COUNTIF(Table1[LTV band],Table1[[#This Row],[LTV band]])</f>
        <v>302</v>
      </c>
      <c r="AK83" s="19">
        <f>COUNTIFS(Table1[count_loan_perband],Table1[[#This Row],[count_loan_perband]],Table1[default_flag],1)/COUNTIF(Table1[count_loan_perband],Table1[[#This Row],[count_loan_perband]])</f>
        <v>3.6423841059602648E-2</v>
      </c>
      <c r="AL83" s="19" t="str" cm="1">
        <f t="array" ref="AL83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83" s="19">
        <f>IF(Table1[[#This Row],[dpd]] &gt;=30,1,0)</f>
        <v>0</v>
      </c>
      <c r="AN83" s="19">
        <f>COUNTIFS(Table1[Loan size],Table1[[#This Row],[Loan size]],Table1[dpd flag],1)/COUNTIF(Table1[Loan size],Table1[[#This Row],[Loan size]])</f>
        <v>0.13934426229508196</v>
      </c>
      <c r="AO83" s="19" t="str">
        <f>IF(OR(Table1[[#This Row],[credit_score]] &lt; 600, Table1[ [#This Row],[dti_ratio] ] &gt; 0.5, Table1[[#This Row],[dpd]] &gt;=30), "high risk", " not riskY")</f>
        <v xml:space="preserve"> not riskY</v>
      </c>
      <c r="AP83" s="29">
        <f>EOMONTH(Table1[[#This Row],[origination_date]],0)</f>
        <v>44985</v>
      </c>
      <c r="AQ83" s="19">
        <f>SUMIFS(Table1[loan_amount],Table1[origination month],Table1[[#This Row],[origination month]])</f>
        <v>11207500</v>
      </c>
      <c r="AR83" s="19">
        <f>AVERAGEIFS(Table1[months_on_book],Table1[product],Table1[[#This Row],[product]])</f>
        <v>19.091954022988507</v>
      </c>
      <c r="AS83" s="19" t="str">
        <f ca="1">IF(EDATE(Table1[[#This Row],[origination_date]],6) &gt;= TODAY(), "New Loan", "Old Loan")</f>
        <v>Old Loan</v>
      </c>
      <c r="AT83" s="19" t="str">
        <f>"Q"&amp;ROUNDUP(MONTH(Table1[[#This Row],[origination_date]])/3,0)&amp;YEAR(Table1[[#This Row],[origination_date]])</f>
        <v>Q12023</v>
      </c>
      <c r="AU83" s="19">
        <f>SUMIFS(Table1[loan_amount],Table1[quarter],Table1[[#This Row],[quarter]])</f>
        <v>46066100</v>
      </c>
    </row>
    <row r="84" spans="2:47" x14ac:dyDescent="0.2">
      <c r="B84" s="5" t="s">
        <v>208</v>
      </c>
      <c r="C84" s="2" t="s">
        <v>708</v>
      </c>
      <c r="D84" s="3">
        <v>44939</v>
      </c>
      <c r="E84" s="2" t="s">
        <v>1026</v>
      </c>
      <c r="F84" s="2" t="s">
        <v>1029</v>
      </c>
      <c r="G84" s="2" t="s">
        <v>1036</v>
      </c>
      <c r="H84" s="2" t="s">
        <v>1039</v>
      </c>
      <c r="I84" s="2">
        <v>60</v>
      </c>
      <c r="J84" s="2">
        <v>324600</v>
      </c>
      <c r="K84" s="2">
        <v>19.260000000000002</v>
      </c>
      <c r="L84" s="2">
        <v>8467</v>
      </c>
      <c r="M84" s="2">
        <v>1257428</v>
      </c>
      <c r="N84" s="2">
        <v>644</v>
      </c>
      <c r="O84" s="2" t="s">
        <v>1045</v>
      </c>
      <c r="P84" s="2">
        <v>0.14000000000000001</v>
      </c>
      <c r="Q84" s="2">
        <v>0.65</v>
      </c>
      <c r="R84" s="2">
        <v>0</v>
      </c>
      <c r="S84" s="2">
        <v>35</v>
      </c>
      <c r="T84" s="2">
        <v>275204</v>
      </c>
      <c r="U84" s="2">
        <v>122334</v>
      </c>
      <c r="V84" s="2">
        <v>0</v>
      </c>
      <c r="W84" s="2">
        <v>0</v>
      </c>
      <c r="X84" s="2">
        <v>0</v>
      </c>
      <c r="Y84" s="2" t="s">
        <v>1049</v>
      </c>
      <c r="Z84" s="12">
        <f>SUMIF(Table1[product],Table1[[#This Row],[product]],Table1[loan_amount])</f>
        <v>74897600</v>
      </c>
      <c r="AA84" s="15">
        <f>SUMIF(Table1[region],Table1[[#This Row],[region]],Table1[current_balance])</f>
        <v>98928695</v>
      </c>
      <c r="AB84" s="2">
        <f>COUNTIF(Table1[loan_status],Table1[[#This Row],[loan_status]])</f>
        <v>301</v>
      </c>
      <c r="AC84" s="2">
        <f>COUNTIF(Table1[default_flag],1)/ROWS(Table1[loan_id])</f>
        <v>2.5999999999999999E-2</v>
      </c>
      <c r="AD84" s="2">
        <f>COUNTIFS(Table1[region],Table1[[#This Row],[region]],Table1[default_flag],1)/COUNTIF(Table1[region],Table1[[#This Row],[region]])</f>
        <v>2.8571428571428571E-2</v>
      </c>
      <c r="AE84" s="2">
        <f>COUNTIFS(Table1[channel],Table1[[#This Row],[channel]],Table1[prepayment_flag],1)/COUNTIF(Table1[channel],Table1[[#This Row],[channel]])</f>
        <v>7.1090047393364927E-2</v>
      </c>
      <c r="AF84" s="2">
        <f>AVERAGEIFS(Table1[interest_rate_pct],Table1[product],Table1[[#This Row],[product]],Table1[risk_band],Table1[[#This Row],[risk_band]])</f>
        <v>20.962592592592593</v>
      </c>
      <c r="AG84" s="2" t="str" cm="1">
        <f t="array" ref="AG84">_xlfn.IFS(Table1[[#This Row],[dti_ratio]] &lt; 0.2, " less than 0.2", Table1[[#This Row],[dti_ratio]] &lt; 0.3, "0.2 - 0.3", Table1[[#This Row],[dti_ratio]] &lt;= 0.5, "0.35 - 0.5", Table1[[#This Row],[dti_ratio]] &gt; 0.5, "greater than 0.5")</f>
        <v xml:space="preserve"> less than 0.2</v>
      </c>
      <c r="AH84" s="2">
        <f>COUNTIF(Table1[DTI band],Table1[[#This Row],[DTI band]])</f>
        <v>86</v>
      </c>
      <c r="AI84" s="2" t="str" cm="1">
        <f t="array" ref="AI84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84" s="2">
        <f>COUNTIF(Table1[LTV band],Table1[[#This Row],[LTV band]])</f>
        <v>302</v>
      </c>
      <c r="AK84" s="19">
        <f>COUNTIFS(Table1[count_loan_perband],Table1[[#This Row],[count_loan_perband]],Table1[default_flag],1)/COUNTIF(Table1[count_loan_perband],Table1[[#This Row],[count_loan_perband]])</f>
        <v>3.6423841059602648E-2</v>
      </c>
      <c r="AL84" s="19" t="str" cm="1">
        <f t="array" ref="AL84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84" s="19">
        <f>IF(Table1[[#This Row],[dpd]] &gt;=30,1,0)</f>
        <v>0</v>
      </c>
      <c r="AN84" s="19">
        <f>COUNTIFS(Table1[Loan size],Table1[[#This Row],[Loan size]],Table1[dpd flag],1)/COUNTIF(Table1[Loan size],Table1[[#This Row],[Loan size]])</f>
        <v>0.13934426229508196</v>
      </c>
      <c r="AO84" s="19" t="str">
        <f>IF(OR(Table1[[#This Row],[credit_score]] &lt; 600, Table1[ [#This Row],[dti_ratio] ] &gt; 0.5, Table1[[#This Row],[dpd]] &gt;=30), "high risk", " not riskY")</f>
        <v xml:space="preserve"> not riskY</v>
      </c>
      <c r="AP84" s="29">
        <f>EOMONTH(Table1[[#This Row],[origination_date]],0)</f>
        <v>44957</v>
      </c>
      <c r="AQ84" s="19">
        <f>SUMIFS(Table1[loan_amount],Table1[origination month],Table1[[#This Row],[origination month]])</f>
        <v>11698400</v>
      </c>
      <c r="AR84" s="19">
        <f>AVERAGEIFS(Table1[months_on_book],Table1[product],Table1[[#This Row],[product]])</f>
        <v>21.092024539877301</v>
      </c>
      <c r="AS84" s="19" t="str">
        <f ca="1">IF(EDATE(Table1[[#This Row],[origination_date]],6) &gt;= TODAY(), "New Loan", "Old Loan")</f>
        <v>Old Loan</v>
      </c>
      <c r="AT84" s="19" t="str">
        <f>"Q"&amp;ROUNDUP(MONTH(Table1[[#This Row],[origination_date]])/3,0)&amp;YEAR(Table1[[#This Row],[origination_date]])</f>
        <v>Q12023</v>
      </c>
      <c r="AU84" s="19">
        <f>SUMIFS(Table1[loan_amount],Table1[quarter],Table1[[#This Row],[quarter]])</f>
        <v>46066100</v>
      </c>
    </row>
    <row r="85" spans="2:47" x14ac:dyDescent="0.2">
      <c r="B85" s="5" t="s">
        <v>385</v>
      </c>
      <c r="C85" s="2" t="s">
        <v>885</v>
      </c>
      <c r="D85" s="3">
        <v>44938</v>
      </c>
      <c r="E85" s="2" t="s">
        <v>1024</v>
      </c>
      <c r="F85" s="2" t="s">
        <v>1031</v>
      </c>
      <c r="G85" s="2" t="s">
        <v>1033</v>
      </c>
      <c r="H85" s="2" t="s">
        <v>1038</v>
      </c>
      <c r="I85" s="2">
        <v>12</v>
      </c>
      <c r="J85" s="2">
        <v>1039600</v>
      </c>
      <c r="K85" s="2">
        <v>9.17</v>
      </c>
      <c r="L85" s="2">
        <v>90997</v>
      </c>
      <c r="M85" s="2">
        <v>601472</v>
      </c>
      <c r="N85" s="2">
        <v>762</v>
      </c>
      <c r="O85" s="2" t="s">
        <v>1043</v>
      </c>
      <c r="P85" s="2">
        <v>0.13</v>
      </c>
      <c r="Q85" s="2">
        <v>0.74</v>
      </c>
      <c r="R85" s="2">
        <v>1397200</v>
      </c>
      <c r="S85" s="2">
        <v>12</v>
      </c>
      <c r="T85" s="2">
        <v>962509</v>
      </c>
      <c r="U85" s="2">
        <v>115224</v>
      </c>
      <c r="V85" s="2">
        <v>10</v>
      </c>
      <c r="W85" s="2">
        <v>0</v>
      </c>
      <c r="X85" s="2">
        <v>0</v>
      </c>
      <c r="Y85" s="2" t="s">
        <v>1047</v>
      </c>
      <c r="Z85" s="12">
        <f>SUMIF(Table1[product],Table1[[#This Row],[product]],Table1[loan_amount])</f>
        <v>92273000</v>
      </c>
      <c r="AA85" s="15">
        <f>SUMIF(Table1[region],Table1[[#This Row],[region]],Table1[current_balance])</f>
        <v>83297251</v>
      </c>
      <c r="AB85" s="2">
        <f>COUNTIF(Table1[loan_status],Table1[[#This Row],[loan_status]])</f>
        <v>139</v>
      </c>
      <c r="AC85" s="2">
        <f>COUNTIF(Table1[default_flag],1)/ROWS(Table1[loan_id])</f>
        <v>2.5999999999999999E-2</v>
      </c>
      <c r="AD85" s="2">
        <f>COUNTIFS(Table1[region],Table1[[#This Row],[region]],Table1[default_flag],1)/COUNTIF(Table1[region],Table1[[#This Row],[region]])</f>
        <v>3.1914893617021274E-2</v>
      </c>
      <c r="AE85" s="2">
        <f>COUNTIFS(Table1[channel],Table1[[#This Row],[channel]],Table1[prepayment_flag],1)/COUNTIF(Table1[channel],Table1[[#This Row],[channel]])</f>
        <v>0.12</v>
      </c>
      <c r="AF85" s="2">
        <f>AVERAGEIFS(Table1[interest_rate_pct],Table1[product],Table1[[#This Row],[product]],Table1[risk_band],Table1[[#This Row],[risk_band]])</f>
        <v>7.9444999999999997</v>
      </c>
      <c r="AG85" s="2" t="str" cm="1">
        <f t="array" ref="AG85">_xlfn.IFS(Table1[[#This Row],[dti_ratio]] &lt; 0.2, " less than 0.2", Table1[[#This Row],[dti_ratio]] &lt; 0.3, "0.2 - 0.3", Table1[[#This Row],[dti_ratio]] &lt;= 0.5, "0.35 - 0.5", Table1[[#This Row],[dti_ratio]] &gt; 0.5, "greater than 0.5")</f>
        <v xml:space="preserve"> less than 0.2</v>
      </c>
      <c r="AH85" s="2">
        <f>COUNTIF(Table1[DTI band],Table1[[#This Row],[DTI band]])</f>
        <v>86</v>
      </c>
      <c r="AI85" s="2" t="str" cm="1">
        <f t="array" ref="AI85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85" s="2">
        <f>COUNTIF(Table1[LTV band],Table1[[#This Row],[LTV band]])</f>
        <v>302</v>
      </c>
      <c r="AK85" s="19">
        <f>COUNTIFS(Table1[count_loan_perband],Table1[[#This Row],[count_loan_perband]],Table1[default_flag],1)/COUNTIF(Table1[count_loan_perband],Table1[[#This Row],[count_loan_perband]])</f>
        <v>3.6423841059602648E-2</v>
      </c>
      <c r="AL85" s="19" t="str" cm="1">
        <f t="array" ref="AL85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85" s="19">
        <f>IF(Table1[[#This Row],[dpd]] &gt;=30,1,0)</f>
        <v>0</v>
      </c>
      <c r="AN85" s="19">
        <f>COUNTIFS(Table1[Loan size],Table1[[#This Row],[Loan size]],Table1[dpd flag],1)/COUNTIF(Table1[Loan size],Table1[[#This Row],[Loan size]])</f>
        <v>0.15909090909090909</v>
      </c>
      <c r="AO85" s="19" t="str">
        <f>IF(OR(Table1[[#This Row],[credit_score]] &lt; 600, Table1[ [#This Row],[dti_ratio] ] &gt; 0.5, Table1[[#This Row],[dpd]] &gt;=30), "high risk", " not riskY")</f>
        <v xml:space="preserve"> not riskY</v>
      </c>
      <c r="AP85" s="29">
        <f>EOMONTH(Table1[[#This Row],[origination_date]],0)</f>
        <v>44957</v>
      </c>
      <c r="AQ85" s="19">
        <f>SUMIFS(Table1[loan_amount],Table1[origination month],Table1[[#This Row],[origination month]])</f>
        <v>11698400</v>
      </c>
      <c r="AR85" s="19">
        <f>AVERAGEIFS(Table1[months_on_book],Table1[product],Table1[[#This Row],[product]])</f>
        <v>20.262135922330096</v>
      </c>
      <c r="AS85" s="19" t="str">
        <f ca="1">IF(EDATE(Table1[[#This Row],[origination_date]],6) &gt;= TODAY(), "New Loan", "Old Loan")</f>
        <v>Old Loan</v>
      </c>
      <c r="AT85" s="19" t="str">
        <f>"Q"&amp;ROUNDUP(MONTH(Table1[[#This Row],[origination_date]])/3,0)&amp;YEAR(Table1[[#This Row],[origination_date]])</f>
        <v>Q12023</v>
      </c>
      <c r="AU85" s="19">
        <f>SUMIFS(Table1[loan_amount],Table1[quarter],Table1[[#This Row],[quarter]])</f>
        <v>46066100</v>
      </c>
    </row>
    <row r="86" spans="2:47" x14ac:dyDescent="0.2">
      <c r="B86" s="5" t="s">
        <v>262</v>
      </c>
      <c r="C86" s="2" t="s">
        <v>762</v>
      </c>
      <c r="D86" s="3">
        <v>44998</v>
      </c>
      <c r="E86" s="2" t="s">
        <v>1025</v>
      </c>
      <c r="F86" s="2" t="s">
        <v>1032</v>
      </c>
      <c r="G86" s="2" t="s">
        <v>1034</v>
      </c>
      <c r="H86" s="2" t="s">
        <v>1038</v>
      </c>
      <c r="I86" s="2">
        <v>12</v>
      </c>
      <c r="J86" s="2">
        <v>1526400</v>
      </c>
      <c r="K86" s="2">
        <v>8.33</v>
      </c>
      <c r="L86" s="2">
        <v>133012</v>
      </c>
      <c r="M86" s="2">
        <v>230177</v>
      </c>
      <c r="N86" s="2">
        <v>821</v>
      </c>
      <c r="O86" s="2" t="s">
        <v>1043</v>
      </c>
      <c r="P86" s="2">
        <v>0.11</v>
      </c>
      <c r="Q86" s="2">
        <v>0.8</v>
      </c>
      <c r="R86" s="2">
        <v>1915900</v>
      </c>
      <c r="S86" s="2">
        <v>12</v>
      </c>
      <c r="T86" s="2">
        <v>1459543</v>
      </c>
      <c r="U86" s="2">
        <v>117717</v>
      </c>
      <c r="V86" s="2">
        <v>0</v>
      </c>
      <c r="W86" s="2">
        <v>0</v>
      </c>
      <c r="X86" s="2">
        <v>0</v>
      </c>
      <c r="Y86" s="2" t="s">
        <v>1047</v>
      </c>
      <c r="Z86" s="12">
        <f>SUMIF(Table1[product],Table1[[#This Row],[product]],Table1[loan_amount])</f>
        <v>201475100</v>
      </c>
      <c r="AA86" s="15">
        <f>SUMIF(Table1[region],Table1[[#This Row],[region]],Table1[current_balance])</f>
        <v>105779369</v>
      </c>
      <c r="AB86" s="2">
        <f>COUNTIF(Table1[loan_status],Table1[[#This Row],[loan_status]])</f>
        <v>139</v>
      </c>
      <c r="AC86" s="2">
        <f>COUNTIF(Table1[default_flag],1)/ROWS(Table1[loan_id])</f>
        <v>2.5999999999999999E-2</v>
      </c>
      <c r="AD86" s="2">
        <f>COUNTIFS(Table1[region],Table1[[#This Row],[region]],Table1[default_flag],1)/COUNTIF(Table1[region],Table1[[#This Row],[region]])</f>
        <v>2.6548672566371681E-2</v>
      </c>
      <c r="AE86" s="2">
        <f>COUNTIFS(Table1[channel],Table1[[#This Row],[channel]],Table1[prepayment_flag],1)/COUNTIF(Table1[channel],Table1[[#This Row],[channel]])</f>
        <v>0.1</v>
      </c>
      <c r="AF86" s="2">
        <f>AVERAGEIFS(Table1[interest_rate_pct],Table1[product],Table1[[#This Row],[product]],Table1[risk_band],Table1[[#This Row],[risk_band]])</f>
        <v>10.537499999999998</v>
      </c>
      <c r="AG86" s="2" t="str" cm="1">
        <f t="array" ref="AG86">_xlfn.IFS(Table1[[#This Row],[dti_ratio]] &lt; 0.2, " less than 0.2", Table1[[#This Row],[dti_ratio]] &lt; 0.3, "0.2 - 0.3", Table1[[#This Row],[dti_ratio]] &lt;= 0.5, "0.35 - 0.5", Table1[[#This Row],[dti_ratio]] &gt; 0.5, "greater than 0.5")</f>
        <v xml:space="preserve"> less than 0.2</v>
      </c>
      <c r="AH86" s="2">
        <f>COUNTIF(Table1[DTI band],Table1[[#This Row],[DTI band]])</f>
        <v>86</v>
      </c>
      <c r="AI86" s="2" t="str" cm="1">
        <f t="array" ref="AI86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86" s="2">
        <f>COUNTIF(Table1[LTV band],Table1[[#This Row],[LTV band]])</f>
        <v>302</v>
      </c>
      <c r="AK86" s="19">
        <f>COUNTIFS(Table1[count_loan_perband],Table1[[#This Row],[count_loan_perband]],Table1[default_flag],1)/COUNTIF(Table1[count_loan_perband],Table1[[#This Row],[count_loan_perband]])</f>
        <v>3.6423841059602648E-2</v>
      </c>
      <c r="AL86" s="19" t="str" cm="1">
        <f t="array" ref="AL86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86" s="19">
        <f>IF(Table1[[#This Row],[dpd]] &gt;=30,1,0)</f>
        <v>0</v>
      </c>
      <c r="AN86" s="19">
        <f>COUNTIFS(Table1[Loan size],Table1[[#This Row],[Loan size]],Table1[dpd flag],1)/COUNTIF(Table1[Loan size],Table1[[#This Row],[Loan size]])</f>
        <v>0.15909090909090909</v>
      </c>
      <c r="AO86" s="19" t="str">
        <f>IF(OR(Table1[[#This Row],[credit_score]] &lt; 600, Table1[ [#This Row],[dti_ratio] ] &gt; 0.5, Table1[[#This Row],[dpd]] &gt;=30), "high risk", " not riskY")</f>
        <v xml:space="preserve"> not riskY</v>
      </c>
      <c r="AP86" s="29">
        <f>EOMONTH(Table1[[#This Row],[origination_date]],0)</f>
        <v>45016</v>
      </c>
      <c r="AQ86" s="19">
        <f>SUMIFS(Table1[loan_amount],Table1[origination month],Table1[[#This Row],[origination month]])</f>
        <v>23160200</v>
      </c>
      <c r="AR86" s="19">
        <f>AVERAGEIFS(Table1[months_on_book],Table1[product],Table1[[#This Row],[product]])</f>
        <v>19.091954022988507</v>
      </c>
      <c r="AS86" s="19" t="str">
        <f ca="1">IF(EDATE(Table1[[#This Row],[origination_date]],6) &gt;= TODAY(), "New Loan", "Old Loan")</f>
        <v>Old Loan</v>
      </c>
      <c r="AT86" s="19" t="str">
        <f>"Q"&amp;ROUNDUP(MONTH(Table1[[#This Row],[origination_date]])/3,0)&amp;YEAR(Table1[[#This Row],[origination_date]])</f>
        <v>Q12023</v>
      </c>
      <c r="AU86" s="19">
        <f>SUMIFS(Table1[loan_amount],Table1[quarter],Table1[[#This Row],[quarter]])</f>
        <v>46066100</v>
      </c>
    </row>
    <row r="87" spans="2:47" x14ac:dyDescent="0.2">
      <c r="B87" s="5" t="s">
        <v>326</v>
      </c>
      <c r="C87" s="2" t="s">
        <v>826</v>
      </c>
      <c r="D87" s="3">
        <v>44989</v>
      </c>
      <c r="E87" s="2" t="s">
        <v>1025</v>
      </c>
      <c r="F87" s="2" t="s">
        <v>1030</v>
      </c>
      <c r="G87" s="2" t="s">
        <v>1037</v>
      </c>
      <c r="H87" s="2" t="s">
        <v>1038</v>
      </c>
      <c r="I87" s="2">
        <v>60</v>
      </c>
      <c r="J87" s="2">
        <v>50000</v>
      </c>
      <c r="K87" s="2">
        <v>15.37</v>
      </c>
      <c r="L87" s="2">
        <v>1199</v>
      </c>
      <c r="M87" s="2">
        <v>1205191</v>
      </c>
      <c r="N87" s="2">
        <v>668</v>
      </c>
      <c r="O87" s="2" t="s">
        <v>1042</v>
      </c>
      <c r="P87" s="2">
        <v>0.11</v>
      </c>
      <c r="Q87" s="2">
        <v>0.69</v>
      </c>
      <c r="R87" s="2">
        <v>72300</v>
      </c>
      <c r="S87" s="2">
        <v>33</v>
      </c>
      <c r="T87" s="2">
        <v>35320</v>
      </c>
      <c r="U87" s="2">
        <v>23134</v>
      </c>
      <c r="V87" s="2">
        <v>0</v>
      </c>
      <c r="W87" s="2">
        <v>0</v>
      </c>
      <c r="X87" s="2">
        <v>0</v>
      </c>
      <c r="Y87" s="2" t="s">
        <v>1049</v>
      </c>
      <c r="Z87" s="12">
        <f>SUMIF(Table1[product],Table1[[#This Row],[product]],Table1[loan_amount])</f>
        <v>201475100</v>
      </c>
      <c r="AA87" s="15">
        <f>SUMIF(Table1[region],Table1[[#This Row],[region]],Table1[current_balance])</f>
        <v>94548000</v>
      </c>
      <c r="AB87" s="2">
        <f>COUNTIF(Table1[loan_status],Table1[[#This Row],[loan_status]])</f>
        <v>301</v>
      </c>
      <c r="AC87" s="2">
        <f>COUNTIF(Table1[default_flag],1)/ROWS(Table1[loan_id])</f>
        <v>2.5999999999999999E-2</v>
      </c>
      <c r="AD87" s="2">
        <f>COUNTIFS(Table1[region],Table1[[#This Row],[region]],Table1[default_flag],1)/COUNTIF(Table1[region],Table1[[#This Row],[region]])</f>
        <v>0</v>
      </c>
      <c r="AE87" s="2">
        <f>COUNTIFS(Table1[channel],Table1[[#This Row],[channel]],Table1[prepayment_flag],1)/COUNTIF(Table1[channel],Table1[[#This Row],[channel]])</f>
        <v>5.8201058201058198E-2</v>
      </c>
      <c r="AF87" s="2">
        <f>AVERAGEIFS(Table1[interest_rate_pct],Table1[product],Table1[[#This Row],[product]],Table1[risk_band],Table1[[#This Row],[risk_band]])</f>
        <v>15.841379310344831</v>
      </c>
      <c r="AG87" s="2" t="str" cm="1">
        <f t="array" ref="AG87">_xlfn.IFS(Table1[[#This Row],[dti_ratio]] &lt; 0.2, " less than 0.2", Table1[[#This Row],[dti_ratio]] &lt; 0.3, "0.2 - 0.3", Table1[[#This Row],[dti_ratio]] &lt;= 0.5, "0.35 - 0.5", Table1[[#This Row],[dti_ratio]] &gt; 0.5, "greater than 0.5")</f>
        <v xml:space="preserve"> less than 0.2</v>
      </c>
      <c r="AH87" s="2">
        <f>COUNTIF(Table1[DTI band],Table1[[#This Row],[DTI band]])</f>
        <v>86</v>
      </c>
      <c r="AI87" s="2" t="str" cm="1">
        <f t="array" ref="AI87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87" s="2">
        <f>COUNTIF(Table1[LTV band],Table1[[#This Row],[LTV band]])</f>
        <v>302</v>
      </c>
      <c r="AK87" s="19">
        <f>COUNTIFS(Table1[count_loan_perband],Table1[[#This Row],[count_loan_perband]],Table1[default_flag],1)/COUNTIF(Table1[count_loan_perband],Table1[[#This Row],[count_loan_perband]])</f>
        <v>3.6423841059602648E-2</v>
      </c>
      <c r="AL87" s="19" t="str" cm="1">
        <f t="array" ref="AL87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87" s="19">
        <f>IF(Table1[[#This Row],[dpd]] &gt;=30,1,0)</f>
        <v>0</v>
      </c>
      <c r="AN87" s="19">
        <f>COUNTIFS(Table1[Loan size],Table1[[#This Row],[Loan size]],Table1[dpd flag],1)/COUNTIF(Table1[Loan size],Table1[[#This Row],[Loan size]])</f>
        <v>0.13934426229508196</v>
      </c>
      <c r="AO87" s="19" t="str">
        <f>IF(OR(Table1[[#This Row],[credit_score]] &lt; 600, Table1[ [#This Row],[dti_ratio] ] &gt; 0.5, Table1[[#This Row],[dpd]] &gt;=30), "high risk", " not riskY")</f>
        <v xml:space="preserve"> not riskY</v>
      </c>
      <c r="AP87" s="29">
        <f>EOMONTH(Table1[[#This Row],[origination_date]],0)</f>
        <v>45016</v>
      </c>
      <c r="AQ87" s="19">
        <f>SUMIFS(Table1[loan_amount],Table1[origination month],Table1[[#This Row],[origination month]])</f>
        <v>23160200</v>
      </c>
      <c r="AR87" s="19">
        <f>AVERAGEIFS(Table1[months_on_book],Table1[product],Table1[[#This Row],[product]])</f>
        <v>19.091954022988507</v>
      </c>
      <c r="AS87" s="19" t="str">
        <f ca="1">IF(EDATE(Table1[[#This Row],[origination_date]],6) &gt;= TODAY(), "New Loan", "Old Loan")</f>
        <v>Old Loan</v>
      </c>
      <c r="AT87" s="19" t="str">
        <f>"Q"&amp;ROUNDUP(MONTH(Table1[[#This Row],[origination_date]])/3,0)&amp;YEAR(Table1[[#This Row],[origination_date]])</f>
        <v>Q12023</v>
      </c>
      <c r="AU87" s="19">
        <f>SUMIFS(Table1[loan_amount],Table1[quarter],Table1[[#This Row],[quarter]])</f>
        <v>46066100</v>
      </c>
    </row>
    <row r="88" spans="2:47" x14ac:dyDescent="0.2">
      <c r="B88" s="5" t="s">
        <v>59</v>
      </c>
      <c r="C88" s="2" t="s">
        <v>559</v>
      </c>
      <c r="D88" s="3">
        <v>44985</v>
      </c>
      <c r="E88" s="2" t="s">
        <v>1025</v>
      </c>
      <c r="F88" s="2" t="s">
        <v>1030</v>
      </c>
      <c r="G88" s="2" t="s">
        <v>1034</v>
      </c>
      <c r="H88" s="2" t="s">
        <v>1039</v>
      </c>
      <c r="I88" s="2">
        <v>120</v>
      </c>
      <c r="J88" s="2">
        <v>735700</v>
      </c>
      <c r="K88" s="2">
        <v>12.19</v>
      </c>
      <c r="L88" s="2">
        <v>10636</v>
      </c>
      <c r="M88" s="2">
        <v>668626</v>
      </c>
      <c r="N88" s="2">
        <v>740</v>
      </c>
      <c r="O88" s="2" t="s">
        <v>1044</v>
      </c>
      <c r="P88" s="2">
        <v>0.1</v>
      </c>
      <c r="Q88" s="2">
        <v>0.41</v>
      </c>
      <c r="R88" s="2">
        <v>1794800</v>
      </c>
      <c r="S88" s="2">
        <v>34</v>
      </c>
      <c r="T88" s="2">
        <v>359540</v>
      </c>
      <c r="U88" s="2">
        <v>477799</v>
      </c>
      <c r="V88" s="2">
        <v>0</v>
      </c>
      <c r="W88" s="2">
        <v>0</v>
      </c>
      <c r="X88" s="2">
        <v>0</v>
      </c>
      <c r="Y88" s="2" t="s">
        <v>1049</v>
      </c>
      <c r="Z88" s="12">
        <f>SUMIF(Table1[product],Table1[[#This Row],[product]],Table1[loan_amount])</f>
        <v>201475100</v>
      </c>
      <c r="AA88" s="15">
        <f>SUMIF(Table1[region],Table1[[#This Row],[region]],Table1[current_balance])</f>
        <v>105779369</v>
      </c>
      <c r="AB88" s="2">
        <f>COUNTIF(Table1[loan_status],Table1[[#This Row],[loan_status]])</f>
        <v>301</v>
      </c>
      <c r="AC88" s="2">
        <f>COUNTIF(Table1[default_flag],1)/ROWS(Table1[loan_id])</f>
        <v>2.5999999999999999E-2</v>
      </c>
      <c r="AD88" s="2">
        <f>COUNTIFS(Table1[region],Table1[[#This Row],[region]],Table1[default_flag],1)/COUNTIF(Table1[region],Table1[[#This Row],[region]])</f>
        <v>2.6548672566371681E-2</v>
      </c>
      <c r="AE88" s="2">
        <f>COUNTIFS(Table1[channel],Table1[[#This Row],[channel]],Table1[prepayment_flag],1)/COUNTIF(Table1[channel],Table1[[#This Row],[channel]])</f>
        <v>5.8201058201058198E-2</v>
      </c>
      <c r="AF88" s="2">
        <f>AVERAGEIFS(Table1[interest_rate_pct],Table1[product],Table1[[#This Row],[product]],Table1[risk_band],Table1[[#This Row],[risk_band]])</f>
        <v>13.042631578947367</v>
      </c>
      <c r="AG88" s="2" t="str" cm="1">
        <f t="array" ref="AG88">_xlfn.IFS(Table1[[#This Row],[dti_ratio]] &lt; 0.2, " less than 0.2", Table1[[#This Row],[dti_ratio]] &lt; 0.3, "0.2 - 0.3", Table1[[#This Row],[dti_ratio]] &lt;= 0.5, "0.35 - 0.5", Table1[[#This Row],[dti_ratio]] &gt; 0.5, "greater than 0.5")</f>
        <v xml:space="preserve"> less than 0.2</v>
      </c>
      <c r="AH88" s="2">
        <f>COUNTIF(Table1[DTI band],Table1[[#This Row],[DTI band]])</f>
        <v>86</v>
      </c>
      <c r="AI88" s="2" t="str" cm="1">
        <f t="array" ref="AI88">_xlfn.IFS(Table1[[#This Row],[ltv_ratio]] &lt; 0.6, "less than 0.6 -less risky", Table1[[#This Row],[ltv_ratio]]  &lt;= 0.8, "0.6 - 0.8 -medium risky",Table1[[#This Row],[ltv_ratio]] &gt; 0.8, "greater than 0.8 -highly risky")</f>
        <v>less than 0.6 -less risky</v>
      </c>
      <c r="AJ88" s="2">
        <f>COUNTIF(Table1[LTV band],Table1[[#This Row],[LTV band]])</f>
        <v>57</v>
      </c>
      <c r="AK88" s="19">
        <f>COUNTIFS(Table1[count_loan_perband],Table1[[#This Row],[count_loan_perband]],Table1[default_flag],1)/COUNTIF(Table1[count_loan_perband],Table1[[#This Row],[count_loan_perband]])</f>
        <v>0</v>
      </c>
      <c r="AL88" s="19" t="str" cm="1">
        <f t="array" ref="AL88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88" s="19">
        <f>IF(Table1[[#This Row],[dpd]] &gt;=30,1,0)</f>
        <v>0</v>
      </c>
      <c r="AN88" s="19">
        <f>COUNTIFS(Table1[Loan size],Table1[[#This Row],[Loan size]],Table1[dpd flag],1)/COUNTIF(Table1[Loan size],Table1[[#This Row],[Loan size]])</f>
        <v>0.13934426229508196</v>
      </c>
      <c r="AO88" s="19" t="str">
        <f>IF(OR(Table1[[#This Row],[credit_score]] &lt; 600, Table1[ [#This Row],[dti_ratio] ] &gt; 0.5, Table1[[#This Row],[dpd]] &gt;=30), "high risk", " not riskY")</f>
        <v xml:space="preserve"> not riskY</v>
      </c>
      <c r="AP88" s="29">
        <f>EOMONTH(Table1[[#This Row],[origination_date]],0)</f>
        <v>44985</v>
      </c>
      <c r="AQ88" s="19">
        <f>SUMIFS(Table1[loan_amount],Table1[origination month],Table1[[#This Row],[origination month]])</f>
        <v>11207500</v>
      </c>
      <c r="AR88" s="19">
        <f>AVERAGEIFS(Table1[months_on_book],Table1[product],Table1[[#This Row],[product]])</f>
        <v>19.091954022988507</v>
      </c>
      <c r="AS88" s="19" t="str">
        <f ca="1">IF(EDATE(Table1[[#This Row],[origination_date]],6) &gt;= TODAY(), "New Loan", "Old Loan")</f>
        <v>Old Loan</v>
      </c>
      <c r="AT88" s="19" t="str">
        <f>"Q"&amp;ROUNDUP(MONTH(Table1[[#This Row],[origination_date]])/3,0)&amp;YEAR(Table1[[#This Row],[origination_date]])</f>
        <v>Q12023</v>
      </c>
      <c r="AU88" s="19">
        <f>SUMIFS(Table1[loan_amount],Table1[quarter],Table1[[#This Row],[quarter]])</f>
        <v>46066100</v>
      </c>
    </row>
    <row r="89" spans="2:47" x14ac:dyDescent="0.2">
      <c r="B89" s="5" t="s">
        <v>241</v>
      </c>
      <c r="C89" s="2" t="s">
        <v>741</v>
      </c>
      <c r="D89" s="3">
        <v>44974</v>
      </c>
      <c r="E89" s="2" t="s">
        <v>1025</v>
      </c>
      <c r="F89" s="2" t="s">
        <v>1031</v>
      </c>
      <c r="G89" s="2" t="s">
        <v>1035</v>
      </c>
      <c r="H89" s="2" t="s">
        <v>1038</v>
      </c>
      <c r="I89" s="2">
        <v>36</v>
      </c>
      <c r="J89" s="2">
        <v>2046600</v>
      </c>
      <c r="K89" s="2">
        <v>14.51</v>
      </c>
      <c r="L89" s="2">
        <v>70456</v>
      </c>
      <c r="M89" s="2">
        <v>1069819</v>
      </c>
      <c r="N89" s="2">
        <v>693</v>
      </c>
      <c r="O89" s="2" t="s">
        <v>1042</v>
      </c>
      <c r="P89" s="2">
        <v>0.09</v>
      </c>
      <c r="Q89" s="2">
        <v>0.64</v>
      </c>
      <c r="R89" s="2">
        <v>3182900</v>
      </c>
      <c r="S89" s="2">
        <v>34</v>
      </c>
      <c r="T89" s="2">
        <v>2338018</v>
      </c>
      <c r="U89" s="2">
        <v>45139</v>
      </c>
      <c r="V89" s="2">
        <v>0</v>
      </c>
      <c r="W89" s="2">
        <v>0</v>
      </c>
      <c r="X89" s="2">
        <v>0</v>
      </c>
      <c r="Y89" s="2" t="s">
        <v>1049</v>
      </c>
      <c r="Z89" s="12">
        <f>SUMIF(Table1[product],Table1[[#This Row],[product]],Table1[loan_amount])</f>
        <v>201475100</v>
      </c>
      <c r="AA89" s="15">
        <f>SUMIF(Table1[region],Table1[[#This Row],[region]],Table1[current_balance])</f>
        <v>83903255</v>
      </c>
      <c r="AB89" s="2">
        <f>COUNTIF(Table1[loan_status],Table1[[#This Row],[loan_status]])</f>
        <v>301</v>
      </c>
      <c r="AC89" s="2">
        <f>COUNTIF(Table1[default_flag],1)/ROWS(Table1[loan_id])</f>
        <v>2.5999999999999999E-2</v>
      </c>
      <c r="AD89" s="2">
        <f>COUNTIFS(Table1[region],Table1[[#This Row],[region]],Table1[default_flag],1)/COUNTIF(Table1[region],Table1[[#This Row],[region]])</f>
        <v>4.2553191489361701E-2</v>
      </c>
      <c r="AE89" s="2">
        <f>COUNTIFS(Table1[channel],Table1[[#This Row],[channel]],Table1[prepayment_flag],1)/COUNTIF(Table1[channel],Table1[[#This Row],[channel]])</f>
        <v>0.12</v>
      </c>
      <c r="AF89" s="2">
        <f>AVERAGEIFS(Table1[interest_rate_pct],Table1[product],Table1[[#This Row],[product]],Table1[risk_band],Table1[[#This Row],[risk_band]])</f>
        <v>15.841379310344831</v>
      </c>
      <c r="AG89" s="2" t="str" cm="1">
        <f t="array" ref="AG89">_xlfn.IFS(Table1[[#This Row],[dti_ratio]] &lt; 0.2, " less than 0.2", Table1[[#This Row],[dti_ratio]] &lt; 0.3, "0.2 - 0.3", Table1[[#This Row],[dti_ratio]] &lt;= 0.5, "0.35 - 0.5", Table1[[#This Row],[dti_ratio]] &gt; 0.5, "greater than 0.5")</f>
        <v xml:space="preserve"> less than 0.2</v>
      </c>
      <c r="AH89" s="2">
        <f>COUNTIF(Table1[DTI band],Table1[[#This Row],[DTI band]])</f>
        <v>86</v>
      </c>
      <c r="AI89" s="2" t="str" cm="1">
        <f t="array" ref="AI89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89" s="2">
        <f>COUNTIF(Table1[LTV band],Table1[[#This Row],[LTV band]])</f>
        <v>302</v>
      </c>
      <c r="AK89" s="19">
        <f>COUNTIFS(Table1[count_loan_perband],Table1[[#This Row],[count_loan_perband]],Table1[default_flag],1)/COUNTIF(Table1[count_loan_perband],Table1[[#This Row],[count_loan_perband]])</f>
        <v>3.6423841059602648E-2</v>
      </c>
      <c r="AL89" s="19" t="str" cm="1">
        <f t="array" ref="AL89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89" s="19">
        <f>IF(Table1[[#This Row],[dpd]] &gt;=30,1,0)</f>
        <v>0</v>
      </c>
      <c r="AN89" s="19">
        <f>COUNTIFS(Table1[Loan size],Table1[[#This Row],[Loan size]],Table1[dpd flag],1)/COUNTIF(Table1[Loan size],Table1[[#This Row],[Loan size]])</f>
        <v>0.15909090909090909</v>
      </c>
      <c r="AO89" s="19" t="str">
        <f>IF(OR(Table1[[#This Row],[credit_score]] &lt; 600, Table1[ [#This Row],[dti_ratio] ] &gt; 0.5, Table1[[#This Row],[dpd]] &gt;=30), "high risk", " not riskY")</f>
        <v xml:space="preserve"> not riskY</v>
      </c>
      <c r="AP89" s="29">
        <f>EOMONTH(Table1[[#This Row],[origination_date]],0)</f>
        <v>44985</v>
      </c>
      <c r="AQ89" s="19">
        <f>SUMIFS(Table1[loan_amount],Table1[origination month],Table1[[#This Row],[origination month]])</f>
        <v>11207500</v>
      </c>
      <c r="AR89" s="19">
        <f>AVERAGEIFS(Table1[months_on_book],Table1[product],Table1[[#This Row],[product]])</f>
        <v>19.091954022988507</v>
      </c>
      <c r="AS89" s="19" t="str">
        <f ca="1">IF(EDATE(Table1[[#This Row],[origination_date]],6) &gt;= TODAY(), "New Loan", "Old Loan")</f>
        <v>Old Loan</v>
      </c>
      <c r="AT89" s="19" t="str">
        <f>"Q"&amp;ROUNDUP(MONTH(Table1[[#This Row],[origination_date]])/3,0)&amp;YEAR(Table1[[#This Row],[origination_date]])</f>
        <v>Q12023</v>
      </c>
      <c r="AU89" s="19">
        <f>SUMIFS(Table1[loan_amount],Table1[quarter],Table1[[#This Row],[quarter]])</f>
        <v>46066100</v>
      </c>
    </row>
    <row r="90" spans="2:47" x14ac:dyDescent="0.2">
      <c r="B90" s="5" t="s">
        <v>55</v>
      </c>
      <c r="C90" s="2" t="s">
        <v>555</v>
      </c>
      <c r="D90" s="3">
        <v>45325</v>
      </c>
      <c r="E90" s="2" t="s">
        <v>1026</v>
      </c>
      <c r="F90" s="2" t="s">
        <v>1029</v>
      </c>
      <c r="G90" s="2" t="s">
        <v>1035</v>
      </c>
      <c r="H90" s="2" t="s">
        <v>1039</v>
      </c>
      <c r="I90" s="2">
        <v>48</v>
      </c>
      <c r="J90" s="2">
        <v>388000</v>
      </c>
      <c r="K90" s="2">
        <v>19.309999999999999</v>
      </c>
      <c r="L90" s="2">
        <v>11665</v>
      </c>
      <c r="M90" s="2">
        <v>1034669</v>
      </c>
      <c r="N90" s="2">
        <v>642</v>
      </c>
      <c r="O90" s="2" t="s">
        <v>1045</v>
      </c>
      <c r="P90" s="2">
        <v>0.54</v>
      </c>
      <c r="Q90" s="2">
        <v>0.69</v>
      </c>
      <c r="R90" s="2">
        <v>0</v>
      </c>
      <c r="S90" s="2">
        <v>22</v>
      </c>
      <c r="T90" s="2">
        <v>245926</v>
      </c>
      <c r="U90" s="2">
        <v>197017</v>
      </c>
      <c r="V90" s="2">
        <v>0</v>
      </c>
      <c r="W90" s="2">
        <v>0</v>
      </c>
      <c r="X90" s="2">
        <v>0</v>
      </c>
      <c r="Y90" s="2" t="s">
        <v>1049</v>
      </c>
      <c r="Z90" s="12">
        <f>SUMIF(Table1[product],Table1[[#This Row],[product]],Table1[loan_amount])</f>
        <v>74897600</v>
      </c>
      <c r="AA90" s="15">
        <f>SUMIF(Table1[region],Table1[[#This Row],[region]],Table1[current_balance])</f>
        <v>83903255</v>
      </c>
      <c r="AB90" s="2">
        <f>COUNTIF(Table1[loan_status],Table1[[#This Row],[loan_status]])</f>
        <v>301</v>
      </c>
      <c r="AC90" s="2">
        <f>COUNTIF(Table1[default_flag],1)/ROWS(Table1[loan_id])</f>
        <v>2.5999999999999999E-2</v>
      </c>
      <c r="AD90" s="2">
        <f>COUNTIFS(Table1[region],Table1[[#This Row],[region]],Table1[default_flag],1)/COUNTIF(Table1[region],Table1[[#This Row],[region]])</f>
        <v>4.2553191489361701E-2</v>
      </c>
      <c r="AE90" s="2">
        <f>COUNTIFS(Table1[channel],Table1[[#This Row],[channel]],Table1[prepayment_flag],1)/COUNTIF(Table1[channel],Table1[[#This Row],[channel]])</f>
        <v>7.1090047393364927E-2</v>
      </c>
      <c r="AF90" s="2">
        <f>AVERAGEIFS(Table1[interest_rate_pct],Table1[product],Table1[[#This Row],[product]],Table1[risk_band],Table1[[#This Row],[risk_band]])</f>
        <v>20.962592592592593</v>
      </c>
      <c r="AG90" s="2" t="str" cm="1">
        <f t="array" ref="AG90">_xlfn.IFS(Table1[[#This Row],[dti_ratio]] &lt; 0.2, " less than 0.2", Table1[[#This Row],[dti_ratio]] &lt; 0.3, "0.2 - 0.3", Table1[[#This Row],[dti_ratio]] &lt;= 0.5, "0.35 - 0.5", Table1[[#This Row],[dti_ratio]] &gt; 0.5, "greater than 0.5")</f>
        <v>greater than 0.5</v>
      </c>
      <c r="AH90" s="2">
        <f>COUNTIF(Table1[DTI band],Table1[[#This Row],[DTI band]])</f>
        <v>32</v>
      </c>
      <c r="AI90" s="2" t="str" cm="1">
        <f t="array" ref="AI90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90" s="2">
        <f>COUNTIF(Table1[LTV band],Table1[[#This Row],[LTV band]])</f>
        <v>302</v>
      </c>
      <c r="AK90" s="19">
        <f>COUNTIFS(Table1[count_loan_perband],Table1[[#This Row],[count_loan_perband]],Table1[default_flag],1)/COUNTIF(Table1[count_loan_perband],Table1[[#This Row],[count_loan_perband]])</f>
        <v>3.6423841059602648E-2</v>
      </c>
      <c r="AL90" s="19" t="str" cm="1">
        <f t="array" ref="AL90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90" s="19">
        <f>IF(Table1[[#This Row],[dpd]] &gt;=30,1,0)</f>
        <v>0</v>
      </c>
      <c r="AN90" s="19">
        <f>COUNTIFS(Table1[Loan size],Table1[[#This Row],[Loan size]],Table1[dpd flag],1)/COUNTIF(Table1[Loan size],Table1[[#This Row],[Loan size]])</f>
        <v>0.13934426229508196</v>
      </c>
      <c r="AO90" s="19" t="str">
        <f>IF(OR(Table1[[#This Row],[credit_score]] &lt; 600, Table1[ [#This Row],[dti_ratio] ] &gt; 0.5, Table1[[#This Row],[dpd]] &gt;=30), "high risk", " not riskY")</f>
        <v>high risk</v>
      </c>
      <c r="AP90" s="29">
        <f>EOMONTH(Table1[[#This Row],[origination_date]],0)</f>
        <v>45351</v>
      </c>
      <c r="AQ90" s="19">
        <f>SUMIFS(Table1[loan_amount],Table1[origination month],Table1[[#This Row],[origination month]])</f>
        <v>10064700</v>
      </c>
      <c r="AR90" s="19">
        <f>AVERAGEIFS(Table1[months_on_book],Table1[product],Table1[[#This Row],[product]])</f>
        <v>21.092024539877301</v>
      </c>
      <c r="AS90" s="19" t="str">
        <f ca="1">IF(EDATE(Table1[[#This Row],[origination_date]],6) &gt;= TODAY(), "New Loan", "Old Loan")</f>
        <v>Old Loan</v>
      </c>
      <c r="AT90" s="19" t="str">
        <f>"Q"&amp;ROUNDUP(MONTH(Table1[[#This Row],[origination_date]])/3,0)&amp;YEAR(Table1[[#This Row],[origination_date]])</f>
        <v>Q12024</v>
      </c>
      <c r="AU90" s="19">
        <f>SUMIFS(Table1[loan_amount],Table1[quarter],Table1[[#This Row],[quarter]])</f>
        <v>48515800</v>
      </c>
    </row>
    <row r="91" spans="2:47" x14ac:dyDescent="0.2">
      <c r="B91" s="5" t="s">
        <v>354</v>
      </c>
      <c r="C91" s="2" t="s">
        <v>854</v>
      </c>
      <c r="D91" s="3">
        <v>45321</v>
      </c>
      <c r="E91" s="2" t="s">
        <v>1025</v>
      </c>
      <c r="F91" s="2" t="s">
        <v>1030</v>
      </c>
      <c r="G91" s="2" t="s">
        <v>1037</v>
      </c>
      <c r="H91" s="2" t="s">
        <v>1038</v>
      </c>
      <c r="I91" s="2">
        <v>240</v>
      </c>
      <c r="J91" s="2">
        <v>2228400</v>
      </c>
      <c r="K91" s="2">
        <v>14.79</v>
      </c>
      <c r="L91" s="2">
        <v>28998</v>
      </c>
      <c r="M91" s="2">
        <v>831226</v>
      </c>
      <c r="N91" s="2">
        <v>699</v>
      </c>
      <c r="O91" s="2" t="s">
        <v>1042</v>
      </c>
      <c r="P91" s="2">
        <v>0.5</v>
      </c>
      <c r="Q91" s="2">
        <v>0.91</v>
      </c>
      <c r="R91" s="2">
        <v>2459800</v>
      </c>
      <c r="S91" s="2">
        <v>23</v>
      </c>
      <c r="T91" s="2">
        <v>613673</v>
      </c>
      <c r="U91" s="2">
        <v>1867405</v>
      </c>
      <c r="V91" s="2">
        <v>0</v>
      </c>
      <c r="W91" s="2">
        <v>0</v>
      </c>
      <c r="X91" s="2">
        <v>0</v>
      </c>
      <c r="Y91" s="2" t="s">
        <v>1049</v>
      </c>
      <c r="Z91" s="12">
        <f>SUMIF(Table1[product],Table1[[#This Row],[product]],Table1[loan_amount])</f>
        <v>201475100</v>
      </c>
      <c r="AA91" s="15">
        <f>SUMIF(Table1[region],Table1[[#This Row],[region]],Table1[current_balance])</f>
        <v>94548000</v>
      </c>
      <c r="AB91" s="2">
        <f>COUNTIF(Table1[loan_status],Table1[[#This Row],[loan_status]])</f>
        <v>301</v>
      </c>
      <c r="AC91" s="2">
        <f>COUNTIF(Table1[default_flag],1)/ROWS(Table1[loan_id])</f>
        <v>2.5999999999999999E-2</v>
      </c>
      <c r="AD91" s="2">
        <f>COUNTIFS(Table1[region],Table1[[#This Row],[region]],Table1[default_flag],1)/COUNTIF(Table1[region],Table1[[#This Row],[region]])</f>
        <v>0</v>
      </c>
      <c r="AE91" s="2">
        <f>COUNTIFS(Table1[channel],Table1[[#This Row],[channel]],Table1[prepayment_flag],1)/COUNTIF(Table1[channel],Table1[[#This Row],[channel]])</f>
        <v>5.8201058201058198E-2</v>
      </c>
      <c r="AF91" s="2">
        <f>AVERAGEIFS(Table1[interest_rate_pct],Table1[product],Table1[[#This Row],[product]],Table1[risk_band],Table1[[#This Row],[risk_band]])</f>
        <v>15.841379310344831</v>
      </c>
      <c r="AG91" s="2" t="str" cm="1">
        <f t="array" ref="AG91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91" s="2">
        <f>COUNTIF(Table1[DTI band],Table1[[#This Row],[DTI band]])</f>
        <v>260</v>
      </c>
      <c r="AI91" s="2" t="str" cm="1">
        <f t="array" ref="AI91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91" s="2">
        <f>COUNTIF(Table1[LTV band],Table1[[#This Row],[LTV band]])</f>
        <v>141</v>
      </c>
      <c r="AK91" s="19">
        <f>COUNTIFS(Table1[count_loan_perband],Table1[[#This Row],[count_loan_perband]],Table1[default_flag],1)/COUNTIF(Table1[count_loan_perband],Table1[[#This Row],[count_loan_perband]])</f>
        <v>1.4184397163120567E-2</v>
      </c>
      <c r="AL91" s="19" t="str" cm="1">
        <f t="array" ref="AL91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91" s="19">
        <f>IF(Table1[[#This Row],[dpd]] &gt;=30,1,0)</f>
        <v>0</v>
      </c>
      <c r="AN91" s="19">
        <f>COUNTIFS(Table1[Loan size],Table1[[#This Row],[Loan size]],Table1[dpd flag],1)/COUNTIF(Table1[Loan size],Table1[[#This Row],[Loan size]])</f>
        <v>0.15909090909090909</v>
      </c>
      <c r="AO91" s="19" t="str">
        <f>IF(OR(Table1[[#This Row],[credit_score]] &lt; 600, Table1[ [#This Row],[dti_ratio] ] &gt; 0.5, Table1[[#This Row],[dpd]] &gt;=30), "high risk", " not riskY")</f>
        <v xml:space="preserve"> not riskY</v>
      </c>
      <c r="AP91" s="29">
        <f>EOMONTH(Table1[[#This Row],[origination_date]],0)</f>
        <v>45322</v>
      </c>
      <c r="AQ91" s="19">
        <f>SUMIFS(Table1[loan_amount],Table1[origination month],Table1[[#This Row],[origination month]])</f>
        <v>24741500</v>
      </c>
      <c r="AR91" s="19">
        <f>AVERAGEIFS(Table1[months_on_book],Table1[product],Table1[[#This Row],[product]])</f>
        <v>19.091954022988507</v>
      </c>
      <c r="AS91" s="19" t="str">
        <f ca="1">IF(EDATE(Table1[[#This Row],[origination_date]],6) &gt;= TODAY(), "New Loan", "Old Loan")</f>
        <v>Old Loan</v>
      </c>
      <c r="AT91" s="19" t="str">
        <f>"Q"&amp;ROUNDUP(MONTH(Table1[[#This Row],[origination_date]])/3,0)&amp;YEAR(Table1[[#This Row],[origination_date]])</f>
        <v>Q12024</v>
      </c>
      <c r="AU91" s="19">
        <f>SUMIFS(Table1[loan_amount],Table1[quarter],Table1[[#This Row],[quarter]])</f>
        <v>48515800</v>
      </c>
    </row>
    <row r="92" spans="2:47" x14ac:dyDescent="0.2">
      <c r="B92" s="5" t="s">
        <v>295</v>
      </c>
      <c r="C92" s="2" t="s">
        <v>795</v>
      </c>
      <c r="D92" s="3">
        <v>45298</v>
      </c>
      <c r="E92" s="2" t="s">
        <v>1026</v>
      </c>
      <c r="F92" s="2" t="s">
        <v>1032</v>
      </c>
      <c r="G92" s="2" t="s">
        <v>1033</v>
      </c>
      <c r="H92" s="2" t="s">
        <v>1038</v>
      </c>
      <c r="I92" s="2">
        <v>360</v>
      </c>
      <c r="J92" s="2">
        <v>523600</v>
      </c>
      <c r="K92" s="2">
        <v>16.79</v>
      </c>
      <c r="L92" s="2">
        <v>7376</v>
      </c>
      <c r="M92" s="2">
        <v>529915</v>
      </c>
      <c r="N92" s="2">
        <v>708</v>
      </c>
      <c r="O92" s="2" t="s">
        <v>1044</v>
      </c>
      <c r="P92" s="2">
        <v>0.49</v>
      </c>
      <c r="Q92" s="2">
        <v>0.69</v>
      </c>
      <c r="R92" s="2">
        <v>0</v>
      </c>
      <c r="S92" s="2">
        <v>23</v>
      </c>
      <c r="T92" s="2">
        <v>151720</v>
      </c>
      <c r="U92" s="2">
        <v>439280</v>
      </c>
      <c r="V92" s="2">
        <v>10</v>
      </c>
      <c r="W92" s="2">
        <v>0</v>
      </c>
      <c r="X92" s="2">
        <v>0</v>
      </c>
      <c r="Y92" s="2" t="s">
        <v>1049</v>
      </c>
      <c r="Z92" s="12">
        <f>SUMIF(Table1[product],Table1[[#This Row],[product]],Table1[loan_amount])</f>
        <v>74897600</v>
      </c>
      <c r="AA92" s="15">
        <f>SUMIF(Table1[region],Table1[[#This Row],[region]],Table1[current_balance])</f>
        <v>83297251</v>
      </c>
      <c r="AB92" s="2">
        <f>COUNTIF(Table1[loan_status],Table1[[#This Row],[loan_status]])</f>
        <v>301</v>
      </c>
      <c r="AC92" s="2">
        <f>COUNTIF(Table1[default_flag],1)/ROWS(Table1[loan_id])</f>
        <v>2.5999999999999999E-2</v>
      </c>
      <c r="AD92" s="2">
        <f>COUNTIFS(Table1[region],Table1[[#This Row],[region]],Table1[default_flag],1)/COUNTIF(Table1[region],Table1[[#This Row],[region]])</f>
        <v>3.1914893617021274E-2</v>
      </c>
      <c r="AE92" s="2">
        <f>COUNTIFS(Table1[channel],Table1[[#This Row],[channel]],Table1[prepayment_flag],1)/COUNTIF(Table1[channel],Table1[[#This Row],[channel]])</f>
        <v>0.1</v>
      </c>
      <c r="AF92" s="2">
        <f>AVERAGEIFS(Table1[interest_rate_pct],Table1[product],Table1[[#This Row],[product]],Table1[risk_band],Table1[[#This Row],[risk_band]])</f>
        <v>16.500166666666669</v>
      </c>
      <c r="AG92" s="2" t="str" cm="1">
        <f t="array" ref="AG92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92" s="2">
        <f>COUNTIF(Table1[DTI band],Table1[[#This Row],[DTI band]])</f>
        <v>260</v>
      </c>
      <c r="AI92" s="2" t="str" cm="1">
        <f t="array" ref="AI92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92" s="2">
        <f>COUNTIF(Table1[LTV band],Table1[[#This Row],[LTV band]])</f>
        <v>302</v>
      </c>
      <c r="AK92" s="19">
        <f>COUNTIFS(Table1[count_loan_perband],Table1[[#This Row],[count_loan_perband]],Table1[default_flag],1)/COUNTIF(Table1[count_loan_perband],Table1[[#This Row],[count_loan_perband]])</f>
        <v>3.6423841059602648E-2</v>
      </c>
      <c r="AL92" s="19" t="str" cm="1">
        <f t="array" ref="AL92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92" s="19">
        <f>IF(Table1[[#This Row],[dpd]] &gt;=30,1,0)</f>
        <v>0</v>
      </c>
      <c r="AN92" s="19">
        <f>COUNTIFS(Table1[Loan size],Table1[[#This Row],[Loan size]],Table1[dpd flag],1)/COUNTIF(Table1[Loan size],Table1[[#This Row],[Loan size]])</f>
        <v>0.13934426229508196</v>
      </c>
      <c r="AO92" s="19" t="str">
        <f>IF(OR(Table1[[#This Row],[credit_score]] &lt; 600, Table1[ [#This Row],[dti_ratio] ] &gt; 0.5, Table1[[#This Row],[dpd]] &gt;=30), "high risk", " not riskY")</f>
        <v xml:space="preserve"> not riskY</v>
      </c>
      <c r="AP92" s="29">
        <f>EOMONTH(Table1[[#This Row],[origination_date]],0)</f>
        <v>45322</v>
      </c>
      <c r="AQ92" s="19">
        <f>SUMIFS(Table1[loan_amount],Table1[origination month],Table1[[#This Row],[origination month]])</f>
        <v>24741500</v>
      </c>
      <c r="AR92" s="19">
        <f>AVERAGEIFS(Table1[months_on_book],Table1[product],Table1[[#This Row],[product]])</f>
        <v>21.092024539877301</v>
      </c>
      <c r="AS92" s="19" t="str">
        <f ca="1">IF(EDATE(Table1[[#This Row],[origination_date]],6) &gt;= TODAY(), "New Loan", "Old Loan")</f>
        <v>Old Loan</v>
      </c>
      <c r="AT92" s="19" t="str">
        <f>"Q"&amp;ROUNDUP(MONTH(Table1[[#This Row],[origination_date]])/3,0)&amp;YEAR(Table1[[#This Row],[origination_date]])</f>
        <v>Q12024</v>
      </c>
      <c r="AU92" s="19">
        <f>SUMIFS(Table1[loan_amount],Table1[quarter],Table1[[#This Row],[quarter]])</f>
        <v>48515800</v>
      </c>
    </row>
    <row r="93" spans="2:47" x14ac:dyDescent="0.2">
      <c r="B93" s="5" t="s">
        <v>482</v>
      </c>
      <c r="C93" s="2" t="s">
        <v>982</v>
      </c>
      <c r="D93" s="3">
        <v>45319</v>
      </c>
      <c r="E93" s="2" t="s">
        <v>1024</v>
      </c>
      <c r="F93" s="2" t="s">
        <v>1029</v>
      </c>
      <c r="G93" s="2" t="s">
        <v>1034</v>
      </c>
      <c r="H93" s="2" t="s">
        <v>1039</v>
      </c>
      <c r="I93" s="2">
        <v>240</v>
      </c>
      <c r="J93" s="2">
        <v>1282700</v>
      </c>
      <c r="K93" s="2">
        <v>8.32</v>
      </c>
      <c r="L93" s="2">
        <v>10986</v>
      </c>
      <c r="M93" s="2">
        <v>853765</v>
      </c>
      <c r="N93" s="2">
        <v>762</v>
      </c>
      <c r="O93" s="2" t="s">
        <v>1043</v>
      </c>
      <c r="P93" s="2">
        <v>0.47</v>
      </c>
      <c r="Q93" s="2">
        <v>0.75</v>
      </c>
      <c r="R93" s="2">
        <v>1703100</v>
      </c>
      <c r="S93" s="2">
        <v>23</v>
      </c>
      <c r="T93" s="2">
        <v>242686</v>
      </c>
      <c r="U93" s="2">
        <v>1121833</v>
      </c>
      <c r="V93" s="2">
        <v>0</v>
      </c>
      <c r="W93" s="2">
        <v>0</v>
      </c>
      <c r="X93" s="2">
        <v>0</v>
      </c>
      <c r="Y93" s="2" t="s">
        <v>1049</v>
      </c>
      <c r="Z93" s="12">
        <f>SUMIF(Table1[product],Table1[[#This Row],[product]],Table1[loan_amount])</f>
        <v>92273000</v>
      </c>
      <c r="AA93" s="15">
        <f>SUMIF(Table1[region],Table1[[#This Row],[region]],Table1[current_balance])</f>
        <v>105779369</v>
      </c>
      <c r="AB93" s="2">
        <f>COUNTIF(Table1[loan_status],Table1[[#This Row],[loan_status]])</f>
        <v>301</v>
      </c>
      <c r="AC93" s="2">
        <f>COUNTIF(Table1[default_flag],1)/ROWS(Table1[loan_id])</f>
        <v>2.5999999999999999E-2</v>
      </c>
      <c r="AD93" s="2">
        <f>COUNTIFS(Table1[region],Table1[[#This Row],[region]],Table1[default_flag],1)/COUNTIF(Table1[region],Table1[[#This Row],[region]])</f>
        <v>2.6548672566371681E-2</v>
      </c>
      <c r="AE93" s="2">
        <f>COUNTIFS(Table1[channel],Table1[[#This Row],[channel]],Table1[prepayment_flag],1)/COUNTIF(Table1[channel],Table1[[#This Row],[channel]])</f>
        <v>7.1090047393364927E-2</v>
      </c>
      <c r="AF93" s="2">
        <f>AVERAGEIFS(Table1[interest_rate_pct],Table1[product],Table1[[#This Row],[product]],Table1[risk_band],Table1[[#This Row],[risk_band]])</f>
        <v>7.9444999999999997</v>
      </c>
      <c r="AG93" s="2" t="str" cm="1">
        <f t="array" ref="AG93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93" s="2">
        <f>COUNTIF(Table1[DTI band],Table1[[#This Row],[DTI band]])</f>
        <v>260</v>
      </c>
      <c r="AI93" s="2" t="str" cm="1">
        <f t="array" ref="AI93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93" s="2">
        <f>COUNTIF(Table1[LTV band],Table1[[#This Row],[LTV band]])</f>
        <v>302</v>
      </c>
      <c r="AK93" s="19">
        <f>COUNTIFS(Table1[count_loan_perband],Table1[[#This Row],[count_loan_perband]],Table1[default_flag],1)/COUNTIF(Table1[count_loan_perband],Table1[[#This Row],[count_loan_perband]])</f>
        <v>3.6423841059602648E-2</v>
      </c>
      <c r="AL93" s="19" t="str" cm="1">
        <f t="array" ref="AL93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93" s="19">
        <f>IF(Table1[[#This Row],[dpd]] &gt;=30,1,0)</f>
        <v>0</v>
      </c>
      <c r="AN93" s="19">
        <f>COUNTIFS(Table1[Loan size],Table1[[#This Row],[Loan size]],Table1[dpd flag],1)/COUNTIF(Table1[Loan size],Table1[[#This Row],[Loan size]])</f>
        <v>0.15909090909090909</v>
      </c>
      <c r="AO93" s="19" t="str">
        <f>IF(OR(Table1[[#This Row],[credit_score]] &lt; 600, Table1[ [#This Row],[dti_ratio] ] &gt; 0.5, Table1[[#This Row],[dpd]] &gt;=30), "high risk", " not riskY")</f>
        <v xml:space="preserve"> not riskY</v>
      </c>
      <c r="AP93" s="29">
        <f>EOMONTH(Table1[[#This Row],[origination_date]],0)</f>
        <v>45322</v>
      </c>
      <c r="AQ93" s="19">
        <f>SUMIFS(Table1[loan_amount],Table1[origination month],Table1[[#This Row],[origination month]])</f>
        <v>24741500</v>
      </c>
      <c r="AR93" s="19">
        <f>AVERAGEIFS(Table1[months_on_book],Table1[product],Table1[[#This Row],[product]])</f>
        <v>20.262135922330096</v>
      </c>
      <c r="AS93" s="19" t="str">
        <f ca="1">IF(EDATE(Table1[[#This Row],[origination_date]],6) &gt;= TODAY(), "New Loan", "Old Loan")</f>
        <v>Old Loan</v>
      </c>
      <c r="AT93" s="19" t="str">
        <f>"Q"&amp;ROUNDUP(MONTH(Table1[[#This Row],[origination_date]])/3,0)&amp;YEAR(Table1[[#This Row],[origination_date]])</f>
        <v>Q12024</v>
      </c>
      <c r="AU93" s="19">
        <f>SUMIFS(Table1[loan_amount],Table1[quarter],Table1[[#This Row],[quarter]])</f>
        <v>48515800</v>
      </c>
    </row>
    <row r="94" spans="2:47" x14ac:dyDescent="0.2">
      <c r="B94" s="5" t="s">
        <v>161</v>
      </c>
      <c r="C94" s="2" t="s">
        <v>661</v>
      </c>
      <c r="D94" s="3">
        <v>45370</v>
      </c>
      <c r="E94" s="2" t="s">
        <v>1026</v>
      </c>
      <c r="F94" s="2" t="s">
        <v>1029</v>
      </c>
      <c r="G94" s="2" t="s">
        <v>1033</v>
      </c>
      <c r="H94" s="2" t="s">
        <v>1038</v>
      </c>
      <c r="I94" s="2">
        <v>60</v>
      </c>
      <c r="J94" s="2">
        <v>506900</v>
      </c>
      <c r="K94" s="2">
        <v>17.28</v>
      </c>
      <c r="L94" s="2">
        <v>12674</v>
      </c>
      <c r="M94" s="2">
        <v>1014711</v>
      </c>
      <c r="N94" s="2">
        <v>688</v>
      </c>
      <c r="O94" s="2" t="s">
        <v>1042</v>
      </c>
      <c r="P94" s="2">
        <v>0.45</v>
      </c>
      <c r="Q94" s="2">
        <v>0.77</v>
      </c>
      <c r="R94" s="2">
        <v>0</v>
      </c>
      <c r="S94" s="2">
        <v>21</v>
      </c>
      <c r="T94" s="2">
        <v>232673</v>
      </c>
      <c r="U94" s="2">
        <v>335542</v>
      </c>
      <c r="V94" s="2">
        <v>0</v>
      </c>
      <c r="W94" s="2">
        <v>0</v>
      </c>
      <c r="X94" s="2">
        <v>0</v>
      </c>
      <c r="Y94" s="2" t="s">
        <v>1049</v>
      </c>
      <c r="Z94" s="12">
        <f>SUMIF(Table1[product],Table1[[#This Row],[product]],Table1[loan_amount])</f>
        <v>74897600</v>
      </c>
      <c r="AA94" s="15">
        <f>SUMIF(Table1[region],Table1[[#This Row],[region]],Table1[current_balance])</f>
        <v>83297251</v>
      </c>
      <c r="AB94" s="2">
        <f>COUNTIF(Table1[loan_status],Table1[[#This Row],[loan_status]])</f>
        <v>301</v>
      </c>
      <c r="AC94" s="2">
        <f>COUNTIF(Table1[default_flag],1)/ROWS(Table1[loan_id])</f>
        <v>2.5999999999999999E-2</v>
      </c>
      <c r="AD94" s="2">
        <f>COUNTIFS(Table1[region],Table1[[#This Row],[region]],Table1[default_flag],1)/COUNTIF(Table1[region],Table1[[#This Row],[region]])</f>
        <v>3.1914893617021274E-2</v>
      </c>
      <c r="AE94" s="2">
        <f>COUNTIFS(Table1[channel],Table1[[#This Row],[channel]],Table1[prepayment_flag],1)/COUNTIF(Table1[channel],Table1[[#This Row],[channel]])</f>
        <v>7.1090047393364927E-2</v>
      </c>
      <c r="AF94" s="2">
        <f>AVERAGEIFS(Table1[interest_rate_pct],Table1[product],Table1[[#This Row],[product]],Table1[risk_band],Table1[[#This Row],[risk_band]])</f>
        <v>18.603181818181817</v>
      </c>
      <c r="AG94" s="2" t="str" cm="1">
        <f t="array" ref="AG94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94" s="2">
        <f>COUNTIF(Table1[DTI band],Table1[[#This Row],[DTI band]])</f>
        <v>260</v>
      </c>
      <c r="AI94" s="2" t="str" cm="1">
        <f t="array" ref="AI94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94" s="2">
        <f>COUNTIF(Table1[LTV band],Table1[[#This Row],[LTV band]])</f>
        <v>302</v>
      </c>
      <c r="AK94" s="19">
        <f>COUNTIFS(Table1[count_loan_perband],Table1[[#This Row],[count_loan_perband]],Table1[default_flag],1)/COUNTIF(Table1[count_loan_perband],Table1[[#This Row],[count_loan_perband]])</f>
        <v>3.6423841059602648E-2</v>
      </c>
      <c r="AL94" s="19" t="str" cm="1">
        <f t="array" ref="AL94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94" s="19">
        <f>IF(Table1[[#This Row],[dpd]] &gt;=30,1,0)</f>
        <v>0</v>
      </c>
      <c r="AN94" s="19">
        <f>COUNTIFS(Table1[Loan size],Table1[[#This Row],[Loan size]],Table1[dpd flag],1)/COUNTIF(Table1[Loan size],Table1[[#This Row],[Loan size]])</f>
        <v>0.13934426229508196</v>
      </c>
      <c r="AO94" s="19" t="str">
        <f>IF(OR(Table1[[#This Row],[credit_score]] &lt; 600, Table1[ [#This Row],[dti_ratio] ] &gt; 0.5, Table1[[#This Row],[dpd]] &gt;=30), "high risk", " not riskY")</f>
        <v xml:space="preserve"> not riskY</v>
      </c>
      <c r="AP94" s="29">
        <f>EOMONTH(Table1[[#This Row],[origination_date]],0)</f>
        <v>45382</v>
      </c>
      <c r="AQ94" s="19">
        <f>SUMIFS(Table1[loan_amount],Table1[origination month],Table1[[#This Row],[origination month]])</f>
        <v>13709600</v>
      </c>
      <c r="AR94" s="19">
        <f>AVERAGEIFS(Table1[months_on_book],Table1[product],Table1[[#This Row],[product]])</f>
        <v>21.092024539877301</v>
      </c>
      <c r="AS94" s="19" t="str">
        <f ca="1">IF(EDATE(Table1[[#This Row],[origination_date]],6) &gt;= TODAY(), "New Loan", "Old Loan")</f>
        <v>Old Loan</v>
      </c>
      <c r="AT94" s="19" t="str">
        <f>"Q"&amp;ROUNDUP(MONTH(Table1[[#This Row],[origination_date]])/3,0)&amp;YEAR(Table1[[#This Row],[origination_date]])</f>
        <v>Q12024</v>
      </c>
      <c r="AU94" s="19">
        <f>SUMIFS(Table1[loan_amount],Table1[quarter],Table1[[#This Row],[quarter]])</f>
        <v>48515800</v>
      </c>
    </row>
    <row r="95" spans="2:47" x14ac:dyDescent="0.2">
      <c r="B95" s="5" t="s">
        <v>185</v>
      </c>
      <c r="C95" s="2" t="s">
        <v>685</v>
      </c>
      <c r="D95" s="3">
        <v>45348</v>
      </c>
      <c r="E95" s="2" t="s">
        <v>1024</v>
      </c>
      <c r="F95" s="2" t="s">
        <v>1032</v>
      </c>
      <c r="G95" s="2" t="s">
        <v>1036</v>
      </c>
      <c r="H95" s="2" t="s">
        <v>1039</v>
      </c>
      <c r="I95" s="2">
        <v>240</v>
      </c>
      <c r="J95" s="2">
        <v>242000</v>
      </c>
      <c r="K95" s="2">
        <v>20.57</v>
      </c>
      <c r="L95" s="2">
        <v>4220</v>
      </c>
      <c r="M95" s="2">
        <v>262527</v>
      </c>
      <c r="N95" s="2">
        <v>511</v>
      </c>
      <c r="O95" s="2" t="s">
        <v>1046</v>
      </c>
      <c r="P95" s="2">
        <v>0.43</v>
      </c>
      <c r="Q95" s="2">
        <v>0.64</v>
      </c>
      <c r="R95" s="2">
        <v>380500</v>
      </c>
      <c r="S95" s="2">
        <v>22</v>
      </c>
      <c r="T95" s="2">
        <v>92909</v>
      </c>
      <c r="U95" s="2">
        <v>185596</v>
      </c>
      <c r="V95" s="2">
        <v>0</v>
      </c>
      <c r="W95" s="2">
        <v>0</v>
      </c>
      <c r="X95" s="2">
        <v>0</v>
      </c>
      <c r="Y95" s="2" t="s">
        <v>1049</v>
      </c>
      <c r="Z95" s="12">
        <f>SUMIF(Table1[product],Table1[[#This Row],[product]],Table1[loan_amount])</f>
        <v>92273000</v>
      </c>
      <c r="AA95" s="15">
        <f>SUMIF(Table1[region],Table1[[#This Row],[region]],Table1[current_balance])</f>
        <v>98928695</v>
      </c>
      <c r="AB95" s="2">
        <f>COUNTIF(Table1[loan_status],Table1[[#This Row],[loan_status]])</f>
        <v>301</v>
      </c>
      <c r="AC95" s="2">
        <f>COUNTIF(Table1[default_flag],1)/ROWS(Table1[loan_id])</f>
        <v>2.5999999999999999E-2</v>
      </c>
      <c r="AD95" s="2">
        <f>COUNTIFS(Table1[region],Table1[[#This Row],[region]],Table1[default_flag],1)/COUNTIF(Table1[region],Table1[[#This Row],[region]])</f>
        <v>2.8571428571428571E-2</v>
      </c>
      <c r="AE95" s="2">
        <f>COUNTIFS(Table1[channel],Table1[[#This Row],[channel]],Table1[prepayment_flag],1)/COUNTIF(Table1[channel],Table1[[#This Row],[channel]])</f>
        <v>0.1</v>
      </c>
      <c r="AF95" s="2">
        <f>AVERAGEIFS(Table1[interest_rate_pct],Table1[product],Table1[[#This Row],[product]],Table1[risk_band],Table1[[#This Row],[risk_band]])</f>
        <v>17.744166666666668</v>
      </c>
      <c r="AG95" s="2" t="str" cm="1">
        <f t="array" ref="AG95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95" s="2">
        <f>COUNTIF(Table1[DTI band],Table1[[#This Row],[DTI band]])</f>
        <v>260</v>
      </c>
      <c r="AI95" s="2" t="str" cm="1">
        <f t="array" ref="AI95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95" s="2">
        <f>COUNTIF(Table1[LTV band],Table1[[#This Row],[LTV band]])</f>
        <v>302</v>
      </c>
      <c r="AK95" s="19">
        <f>COUNTIFS(Table1[count_loan_perband],Table1[[#This Row],[count_loan_perband]],Table1[default_flag],1)/COUNTIF(Table1[count_loan_perband],Table1[[#This Row],[count_loan_perband]])</f>
        <v>3.6423841059602648E-2</v>
      </c>
      <c r="AL95" s="19" t="str" cm="1">
        <f t="array" ref="AL95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95" s="19">
        <f>IF(Table1[[#This Row],[dpd]] &gt;=30,1,0)</f>
        <v>0</v>
      </c>
      <c r="AN95" s="19">
        <f>COUNTIFS(Table1[Loan size],Table1[[#This Row],[Loan size]],Table1[dpd flag],1)/COUNTIF(Table1[Loan size],Table1[[#This Row],[Loan size]])</f>
        <v>0.13934426229508196</v>
      </c>
      <c r="AO95" s="19" t="str">
        <f>IF(OR(Table1[[#This Row],[credit_score]] &lt; 600, Table1[ [#This Row],[dti_ratio] ] &gt; 0.5, Table1[[#This Row],[dpd]] &gt;=30), "high risk", " not riskY")</f>
        <v>high risk</v>
      </c>
      <c r="AP95" s="29">
        <f>EOMONTH(Table1[[#This Row],[origination_date]],0)</f>
        <v>45351</v>
      </c>
      <c r="AQ95" s="19">
        <f>SUMIFS(Table1[loan_amount],Table1[origination month],Table1[[#This Row],[origination month]])</f>
        <v>10064700</v>
      </c>
      <c r="AR95" s="19">
        <f>AVERAGEIFS(Table1[months_on_book],Table1[product],Table1[[#This Row],[product]])</f>
        <v>20.262135922330096</v>
      </c>
      <c r="AS95" s="19" t="str">
        <f ca="1">IF(EDATE(Table1[[#This Row],[origination_date]],6) &gt;= TODAY(), "New Loan", "Old Loan")</f>
        <v>Old Loan</v>
      </c>
      <c r="AT95" s="19" t="str">
        <f>"Q"&amp;ROUNDUP(MONTH(Table1[[#This Row],[origination_date]])/3,0)&amp;YEAR(Table1[[#This Row],[origination_date]])</f>
        <v>Q12024</v>
      </c>
      <c r="AU95" s="19">
        <f>SUMIFS(Table1[loan_amount],Table1[quarter],Table1[[#This Row],[quarter]])</f>
        <v>48515800</v>
      </c>
    </row>
    <row r="96" spans="2:47" x14ac:dyDescent="0.2">
      <c r="B96" s="5" t="s">
        <v>174</v>
      </c>
      <c r="C96" s="2" t="s">
        <v>674</v>
      </c>
      <c r="D96" s="3">
        <v>45305</v>
      </c>
      <c r="E96" s="2" t="s">
        <v>1028</v>
      </c>
      <c r="F96" s="2" t="s">
        <v>1031</v>
      </c>
      <c r="G96" s="2" t="s">
        <v>1036</v>
      </c>
      <c r="H96" s="2" t="s">
        <v>1038</v>
      </c>
      <c r="I96" s="2">
        <v>360</v>
      </c>
      <c r="J96" s="2">
        <v>1233700</v>
      </c>
      <c r="K96" s="2">
        <v>21.39</v>
      </c>
      <c r="L96" s="2">
        <v>22029</v>
      </c>
      <c r="M96" s="2">
        <v>610346</v>
      </c>
      <c r="N96" s="2">
        <v>526</v>
      </c>
      <c r="O96" s="2" t="s">
        <v>1046</v>
      </c>
      <c r="P96" s="2">
        <v>0.41</v>
      </c>
      <c r="Q96" s="2">
        <v>0.69</v>
      </c>
      <c r="R96" s="2">
        <v>0</v>
      </c>
      <c r="S96" s="2">
        <v>23</v>
      </c>
      <c r="T96" s="2">
        <v>462789</v>
      </c>
      <c r="U96" s="2">
        <v>973225</v>
      </c>
      <c r="V96" s="2">
        <v>0</v>
      </c>
      <c r="W96" s="2">
        <v>0</v>
      </c>
      <c r="X96" s="2">
        <v>0</v>
      </c>
      <c r="Y96" s="2" t="s">
        <v>1049</v>
      </c>
      <c r="Z96" s="12">
        <f>SUMIF(Table1[product],Table1[[#This Row],[product]],Table1[loan_amount])</f>
        <v>62765800</v>
      </c>
      <c r="AA96" s="15">
        <f>SUMIF(Table1[region],Table1[[#This Row],[region]],Table1[current_balance])</f>
        <v>98928695</v>
      </c>
      <c r="AB96" s="2">
        <f>COUNTIF(Table1[loan_status],Table1[[#This Row],[loan_status]])</f>
        <v>301</v>
      </c>
      <c r="AC96" s="2">
        <f>COUNTIF(Table1[default_flag],1)/ROWS(Table1[loan_id])</f>
        <v>2.5999999999999999E-2</v>
      </c>
      <c r="AD96" s="2">
        <f>COUNTIFS(Table1[region],Table1[[#This Row],[region]],Table1[default_flag],1)/COUNTIF(Table1[region],Table1[[#This Row],[region]])</f>
        <v>2.8571428571428571E-2</v>
      </c>
      <c r="AE96" s="2">
        <f>COUNTIFS(Table1[channel],Table1[[#This Row],[channel]],Table1[prepayment_flag],1)/COUNTIF(Table1[channel],Table1[[#This Row],[channel]])</f>
        <v>0.12</v>
      </c>
      <c r="AF96" s="2">
        <f>AVERAGEIFS(Table1[interest_rate_pct],Table1[product],Table1[[#This Row],[product]],Table1[risk_band],Table1[[#This Row],[risk_band]])</f>
        <v>19.806666666666668</v>
      </c>
      <c r="AG96" s="2" t="str" cm="1">
        <f t="array" ref="AG96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96" s="2">
        <f>COUNTIF(Table1[DTI band],Table1[[#This Row],[DTI band]])</f>
        <v>260</v>
      </c>
      <c r="AI96" s="2" t="str" cm="1">
        <f t="array" ref="AI96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96" s="2">
        <f>COUNTIF(Table1[LTV band],Table1[[#This Row],[LTV band]])</f>
        <v>302</v>
      </c>
      <c r="AK96" s="19">
        <f>COUNTIFS(Table1[count_loan_perband],Table1[[#This Row],[count_loan_perband]],Table1[default_flag],1)/COUNTIF(Table1[count_loan_perband],Table1[[#This Row],[count_loan_perband]])</f>
        <v>3.6423841059602648E-2</v>
      </c>
      <c r="AL96" s="19" t="str" cm="1">
        <f t="array" ref="AL96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96" s="19">
        <f>IF(Table1[[#This Row],[dpd]] &gt;=30,1,0)</f>
        <v>0</v>
      </c>
      <c r="AN96" s="19">
        <f>COUNTIFS(Table1[Loan size],Table1[[#This Row],[Loan size]],Table1[dpd flag],1)/COUNTIF(Table1[Loan size],Table1[[#This Row],[Loan size]])</f>
        <v>0.15909090909090909</v>
      </c>
      <c r="AO96" s="19" t="str">
        <f>IF(OR(Table1[[#This Row],[credit_score]] &lt; 600, Table1[ [#This Row],[dti_ratio] ] &gt; 0.5, Table1[[#This Row],[dpd]] &gt;=30), "high risk", " not riskY")</f>
        <v>high risk</v>
      </c>
      <c r="AP96" s="29">
        <f>EOMONTH(Table1[[#This Row],[origination_date]],0)</f>
        <v>45322</v>
      </c>
      <c r="AQ96" s="19">
        <f>SUMIFS(Table1[loan_amount],Table1[origination month],Table1[[#This Row],[origination month]])</f>
        <v>24741500</v>
      </c>
      <c r="AR96" s="19">
        <f>AVERAGEIFS(Table1[months_on_book],Table1[product],Table1[[#This Row],[product]])</f>
        <v>21.962962962962962</v>
      </c>
      <c r="AS96" s="19" t="str">
        <f ca="1">IF(EDATE(Table1[[#This Row],[origination_date]],6) &gt;= TODAY(), "New Loan", "Old Loan")</f>
        <v>Old Loan</v>
      </c>
      <c r="AT96" s="19" t="str">
        <f>"Q"&amp;ROUNDUP(MONTH(Table1[[#This Row],[origination_date]])/3,0)&amp;YEAR(Table1[[#This Row],[origination_date]])</f>
        <v>Q12024</v>
      </c>
      <c r="AU96" s="19">
        <f>SUMIFS(Table1[loan_amount],Table1[quarter],Table1[[#This Row],[quarter]])</f>
        <v>48515800</v>
      </c>
    </row>
    <row r="97" spans="2:47" x14ac:dyDescent="0.2">
      <c r="B97" s="5" t="s">
        <v>493</v>
      </c>
      <c r="C97" s="2" t="s">
        <v>993</v>
      </c>
      <c r="D97" s="3">
        <v>45301</v>
      </c>
      <c r="E97" s="2" t="s">
        <v>1028</v>
      </c>
      <c r="F97" s="2" t="s">
        <v>1032</v>
      </c>
      <c r="G97" s="2" t="s">
        <v>1037</v>
      </c>
      <c r="H97" s="2" t="s">
        <v>1038</v>
      </c>
      <c r="I97" s="2">
        <v>240</v>
      </c>
      <c r="J97" s="2">
        <v>2042500</v>
      </c>
      <c r="K97" s="2">
        <v>17.309999999999999</v>
      </c>
      <c r="L97" s="2">
        <v>30442</v>
      </c>
      <c r="M97" s="2">
        <v>1189510</v>
      </c>
      <c r="N97" s="2">
        <v>606</v>
      </c>
      <c r="O97" s="2" t="s">
        <v>1045</v>
      </c>
      <c r="P97" s="2">
        <v>0.41</v>
      </c>
      <c r="Q97" s="2">
        <v>0.93</v>
      </c>
      <c r="R97" s="2">
        <v>0</v>
      </c>
      <c r="S97" s="2">
        <v>23</v>
      </c>
      <c r="T97" s="2">
        <v>670705</v>
      </c>
      <c r="U97" s="2">
        <v>1642855</v>
      </c>
      <c r="V97" s="2">
        <v>0</v>
      </c>
      <c r="W97" s="2">
        <v>0</v>
      </c>
      <c r="X97" s="2">
        <v>0</v>
      </c>
      <c r="Y97" s="2" t="s">
        <v>1049</v>
      </c>
      <c r="Z97" s="12">
        <f>SUMIF(Table1[product],Table1[[#This Row],[product]],Table1[loan_amount])</f>
        <v>62765800</v>
      </c>
      <c r="AA97" s="15">
        <f>SUMIF(Table1[region],Table1[[#This Row],[region]],Table1[current_balance])</f>
        <v>94548000</v>
      </c>
      <c r="AB97" s="2">
        <f>COUNTIF(Table1[loan_status],Table1[[#This Row],[loan_status]])</f>
        <v>301</v>
      </c>
      <c r="AC97" s="2">
        <f>COUNTIF(Table1[default_flag],1)/ROWS(Table1[loan_id])</f>
        <v>2.5999999999999999E-2</v>
      </c>
      <c r="AD97" s="2">
        <f>COUNTIFS(Table1[region],Table1[[#This Row],[region]],Table1[default_flag],1)/COUNTIF(Table1[region],Table1[[#This Row],[region]])</f>
        <v>0</v>
      </c>
      <c r="AE97" s="2">
        <f>COUNTIFS(Table1[channel],Table1[[#This Row],[channel]],Table1[prepayment_flag],1)/COUNTIF(Table1[channel],Table1[[#This Row],[channel]])</f>
        <v>0.1</v>
      </c>
      <c r="AF97" s="2">
        <f>AVERAGEIFS(Table1[interest_rate_pct],Table1[product],Table1[[#This Row],[product]],Table1[risk_band],Table1[[#This Row],[risk_band]])</f>
        <v>15.810000000000002</v>
      </c>
      <c r="AG97" s="2" t="str" cm="1">
        <f t="array" ref="AG97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97" s="2">
        <f>COUNTIF(Table1[DTI band],Table1[[#This Row],[DTI band]])</f>
        <v>260</v>
      </c>
      <c r="AI97" s="2" t="str" cm="1">
        <f t="array" ref="AI97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97" s="2">
        <f>COUNTIF(Table1[LTV band],Table1[[#This Row],[LTV band]])</f>
        <v>141</v>
      </c>
      <c r="AK97" s="19">
        <f>COUNTIFS(Table1[count_loan_perband],Table1[[#This Row],[count_loan_perband]],Table1[default_flag],1)/COUNTIF(Table1[count_loan_perband],Table1[[#This Row],[count_loan_perband]])</f>
        <v>1.4184397163120567E-2</v>
      </c>
      <c r="AL97" s="19" t="str" cm="1">
        <f t="array" ref="AL97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97" s="19">
        <f>IF(Table1[[#This Row],[dpd]] &gt;=30,1,0)</f>
        <v>0</v>
      </c>
      <c r="AN97" s="19">
        <f>COUNTIFS(Table1[Loan size],Table1[[#This Row],[Loan size]],Table1[dpd flag],1)/COUNTIF(Table1[Loan size],Table1[[#This Row],[Loan size]])</f>
        <v>0.15909090909090909</v>
      </c>
      <c r="AO97" s="19" t="str">
        <f>IF(OR(Table1[[#This Row],[credit_score]] &lt; 600, Table1[ [#This Row],[dti_ratio] ] &gt; 0.5, Table1[[#This Row],[dpd]] &gt;=30), "high risk", " not riskY")</f>
        <v xml:space="preserve"> not riskY</v>
      </c>
      <c r="AP97" s="29">
        <f>EOMONTH(Table1[[#This Row],[origination_date]],0)</f>
        <v>45322</v>
      </c>
      <c r="AQ97" s="19">
        <f>SUMIFS(Table1[loan_amount],Table1[origination month],Table1[[#This Row],[origination month]])</f>
        <v>24741500</v>
      </c>
      <c r="AR97" s="19">
        <f>AVERAGEIFS(Table1[months_on_book],Table1[product],Table1[[#This Row],[product]])</f>
        <v>21.962962962962962</v>
      </c>
      <c r="AS97" s="19" t="str">
        <f ca="1">IF(EDATE(Table1[[#This Row],[origination_date]],6) &gt;= TODAY(), "New Loan", "Old Loan")</f>
        <v>Old Loan</v>
      </c>
      <c r="AT97" s="19" t="str">
        <f>"Q"&amp;ROUNDUP(MONTH(Table1[[#This Row],[origination_date]])/3,0)&amp;YEAR(Table1[[#This Row],[origination_date]])</f>
        <v>Q12024</v>
      </c>
      <c r="AU97" s="19">
        <f>SUMIFS(Table1[loan_amount],Table1[quarter],Table1[[#This Row],[quarter]])</f>
        <v>48515800</v>
      </c>
    </row>
    <row r="98" spans="2:47" x14ac:dyDescent="0.2">
      <c r="B98" s="5" t="s">
        <v>31</v>
      </c>
      <c r="C98" s="2" t="s">
        <v>531</v>
      </c>
      <c r="D98" s="3">
        <v>45357</v>
      </c>
      <c r="E98" s="2" t="s">
        <v>1027</v>
      </c>
      <c r="F98" s="2" t="s">
        <v>1030</v>
      </c>
      <c r="G98" s="2" t="s">
        <v>1035</v>
      </c>
      <c r="H98" s="2" t="s">
        <v>1038</v>
      </c>
      <c r="I98" s="2">
        <v>36</v>
      </c>
      <c r="J98" s="2">
        <v>5929900</v>
      </c>
      <c r="K98" s="2">
        <v>15.54</v>
      </c>
      <c r="L98" s="2">
        <v>207133</v>
      </c>
      <c r="M98" s="2">
        <v>1415695</v>
      </c>
      <c r="N98" s="2">
        <v>588</v>
      </c>
      <c r="O98" s="2" t="s">
        <v>1046</v>
      </c>
      <c r="P98" s="2">
        <v>0.36</v>
      </c>
      <c r="Q98" s="2">
        <v>0.72</v>
      </c>
      <c r="R98" s="2">
        <v>8245600</v>
      </c>
      <c r="S98" s="2">
        <v>21</v>
      </c>
      <c r="T98" s="2">
        <v>3954559</v>
      </c>
      <c r="U98" s="2">
        <v>2620396</v>
      </c>
      <c r="V98" s="2">
        <v>5</v>
      </c>
      <c r="W98" s="2">
        <v>0</v>
      </c>
      <c r="X98" s="2">
        <v>0</v>
      </c>
      <c r="Y98" s="2" t="s">
        <v>1049</v>
      </c>
      <c r="Z98" s="12">
        <f>SUMIF(Table1[product],Table1[[#This Row],[product]],Table1[loan_amount])</f>
        <v>403369500</v>
      </c>
      <c r="AA98" s="15">
        <f>SUMIF(Table1[region],Table1[[#This Row],[region]],Table1[current_balance])</f>
        <v>83903255</v>
      </c>
      <c r="AB98" s="2">
        <f>COUNTIF(Table1[loan_status],Table1[[#This Row],[loan_status]])</f>
        <v>301</v>
      </c>
      <c r="AC98" s="2">
        <f>COUNTIF(Table1[default_flag],1)/ROWS(Table1[loan_id])</f>
        <v>2.5999999999999999E-2</v>
      </c>
      <c r="AD98" s="2">
        <f>COUNTIFS(Table1[region],Table1[[#This Row],[region]],Table1[default_flag],1)/COUNTIF(Table1[region],Table1[[#This Row],[region]])</f>
        <v>4.2553191489361701E-2</v>
      </c>
      <c r="AE98" s="2">
        <f>COUNTIFS(Table1[channel],Table1[[#This Row],[channel]],Table1[prepayment_flag],1)/COUNTIF(Table1[channel],Table1[[#This Row],[channel]])</f>
        <v>5.8201058201058198E-2</v>
      </c>
      <c r="AF98" s="2">
        <f>AVERAGEIFS(Table1[interest_rate_pct],Table1[product],Table1[[#This Row],[product]],Table1[risk_band],Table1[[#This Row],[risk_band]])</f>
        <v>15.4275</v>
      </c>
      <c r="AG98" s="2" t="str" cm="1">
        <f t="array" ref="AG98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98" s="2">
        <f>COUNTIF(Table1[DTI band],Table1[[#This Row],[DTI band]])</f>
        <v>260</v>
      </c>
      <c r="AI98" s="2" t="str" cm="1">
        <f t="array" ref="AI98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98" s="2">
        <f>COUNTIF(Table1[LTV band],Table1[[#This Row],[LTV band]])</f>
        <v>302</v>
      </c>
      <c r="AK98" s="19">
        <f>COUNTIFS(Table1[count_loan_perband],Table1[[#This Row],[count_loan_perband]],Table1[default_flag],1)/COUNTIF(Table1[count_loan_perband],Table1[[#This Row],[count_loan_perband]])</f>
        <v>3.6423841059602648E-2</v>
      </c>
      <c r="AL98" s="19" t="str" cm="1">
        <f t="array" ref="AL98">_xlfn.IFS(Table1[[#This Row],[loan_amount]] &lt; 900000, "lower size (&lt; 9L)", Table1[[#This Row],[loan_amount]] &lt;=3300000, "medium size (&lt;=33L)", Table1[[#This Row],[loan_amount]] &gt; 3300000, "larger size (&gt; 33L)")</f>
        <v>larger size (&gt; 33L)</v>
      </c>
      <c r="AM98" s="19">
        <f>IF(Table1[[#This Row],[dpd]] &gt;=30,1,0)</f>
        <v>0</v>
      </c>
      <c r="AN98" s="19">
        <f>COUNTIFS(Table1[Loan size],Table1[[#This Row],[Loan size]],Table1[dpd flag],1)/COUNTIF(Table1[Loan size],Table1[[#This Row],[Loan size]])</f>
        <v>0.16250000000000001</v>
      </c>
      <c r="AO98" s="19" t="str">
        <f>IF(OR(Table1[[#This Row],[credit_score]] &lt; 600, Table1[ [#This Row],[dti_ratio] ] &gt; 0.5, Table1[[#This Row],[dpd]] &gt;=30), "high risk", " not riskY")</f>
        <v>high risk</v>
      </c>
      <c r="AP98" s="29">
        <f>EOMONTH(Table1[[#This Row],[origination_date]],0)</f>
        <v>45382</v>
      </c>
      <c r="AQ98" s="19">
        <f>SUMIFS(Table1[loan_amount],Table1[origination month],Table1[[#This Row],[origination month]])</f>
        <v>13709600</v>
      </c>
      <c r="AR98" s="19">
        <f>AVERAGEIFS(Table1[months_on_book],Table1[product],Table1[[#This Row],[product]])</f>
        <v>20.516129032258064</v>
      </c>
      <c r="AS98" s="19" t="str">
        <f ca="1">IF(EDATE(Table1[[#This Row],[origination_date]],6) &gt;= TODAY(), "New Loan", "Old Loan")</f>
        <v>Old Loan</v>
      </c>
      <c r="AT98" s="19" t="str">
        <f>"Q"&amp;ROUNDUP(MONTH(Table1[[#This Row],[origination_date]])/3,0)&amp;YEAR(Table1[[#This Row],[origination_date]])</f>
        <v>Q12024</v>
      </c>
      <c r="AU98" s="19">
        <f>SUMIFS(Table1[loan_amount],Table1[quarter],Table1[[#This Row],[quarter]])</f>
        <v>48515800</v>
      </c>
    </row>
    <row r="99" spans="2:47" x14ac:dyDescent="0.2">
      <c r="B99" s="5" t="s">
        <v>381</v>
      </c>
      <c r="C99" s="2" t="s">
        <v>881</v>
      </c>
      <c r="D99" s="3">
        <v>45365</v>
      </c>
      <c r="E99" s="2" t="s">
        <v>1028</v>
      </c>
      <c r="F99" s="2" t="s">
        <v>1031</v>
      </c>
      <c r="G99" s="2" t="s">
        <v>1036</v>
      </c>
      <c r="H99" s="2" t="s">
        <v>1039</v>
      </c>
      <c r="I99" s="2">
        <v>18</v>
      </c>
      <c r="J99" s="2">
        <v>1421000</v>
      </c>
      <c r="K99" s="2">
        <v>12.29</v>
      </c>
      <c r="L99" s="2">
        <v>86847</v>
      </c>
      <c r="M99" s="2">
        <v>711982</v>
      </c>
      <c r="N99" s="2">
        <v>672</v>
      </c>
      <c r="O99" s="2" t="s">
        <v>1042</v>
      </c>
      <c r="P99" s="2">
        <v>0.36</v>
      </c>
      <c r="Q99" s="2">
        <v>0.72</v>
      </c>
      <c r="R99" s="2">
        <v>0</v>
      </c>
      <c r="S99" s="2">
        <v>18</v>
      </c>
      <c r="T99" s="2">
        <v>1529651</v>
      </c>
      <c r="U99" s="2">
        <v>0</v>
      </c>
      <c r="V99" s="2">
        <v>0</v>
      </c>
      <c r="W99" s="2">
        <v>0</v>
      </c>
      <c r="X99" s="2">
        <v>0</v>
      </c>
      <c r="Y99" s="2" t="s">
        <v>1047</v>
      </c>
      <c r="Z99" s="12">
        <f>SUMIF(Table1[product],Table1[[#This Row],[product]],Table1[loan_amount])</f>
        <v>62765800</v>
      </c>
      <c r="AA99" s="15">
        <f>SUMIF(Table1[region],Table1[[#This Row],[region]],Table1[current_balance])</f>
        <v>98928695</v>
      </c>
      <c r="AB99" s="2">
        <f>COUNTIF(Table1[loan_status],Table1[[#This Row],[loan_status]])</f>
        <v>139</v>
      </c>
      <c r="AC99" s="2">
        <f>COUNTIF(Table1[default_flag],1)/ROWS(Table1[loan_id])</f>
        <v>2.5999999999999999E-2</v>
      </c>
      <c r="AD99" s="2">
        <f>COUNTIFS(Table1[region],Table1[[#This Row],[region]],Table1[default_flag],1)/COUNTIF(Table1[region],Table1[[#This Row],[region]])</f>
        <v>2.8571428571428571E-2</v>
      </c>
      <c r="AE99" s="2">
        <f>COUNTIFS(Table1[channel],Table1[[#This Row],[channel]],Table1[prepayment_flag],1)/COUNTIF(Table1[channel],Table1[[#This Row],[channel]])</f>
        <v>0.12</v>
      </c>
      <c r="AF99" s="2">
        <f>AVERAGEIFS(Table1[interest_rate_pct],Table1[product],Table1[[#This Row],[product]],Table1[risk_band],Table1[[#This Row],[risk_band]])</f>
        <v>13.463888888888889</v>
      </c>
      <c r="AG99" s="2" t="str" cm="1">
        <f t="array" ref="AG99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99" s="2">
        <f>COUNTIF(Table1[DTI band],Table1[[#This Row],[DTI band]])</f>
        <v>260</v>
      </c>
      <c r="AI99" s="2" t="str" cm="1">
        <f t="array" ref="AI99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99" s="2">
        <f>COUNTIF(Table1[LTV band],Table1[[#This Row],[LTV band]])</f>
        <v>302</v>
      </c>
      <c r="AK99" s="19">
        <f>COUNTIFS(Table1[count_loan_perband],Table1[[#This Row],[count_loan_perband]],Table1[default_flag],1)/COUNTIF(Table1[count_loan_perband],Table1[[#This Row],[count_loan_perband]])</f>
        <v>3.6423841059602648E-2</v>
      </c>
      <c r="AL99" s="19" t="str" cm="1">
        <f t="array" ref="AL99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99" s="19">
        <f>IF(Table1[[#This Row],[dpd]] &gt;=30,1,0)</f>
        <v>0</v>
      </c>
      <c r="AN99" s="19">
        <f>COUNTIFS(Table1[Loan size],Table1[[#This Row],[Loan size]],Table1[dpd flag],1)/COUNTIF(Table1[Loan size],Table1[[#This Row],[Loan size]])</f>
        <v>0.15909090909090909</v>
      </c>
      <c r="AO99" s="19" t="str">
        <f>IF(OR(Table1[[#This Row],[credit_score]] &lt; 600, Table1[ [#This Row],[dti_ratio] ] &gt; 0.5, Table1[[#This Row],[dpd]] &gt;=30), "high risk", " not riskY")</f>
        <v xml:space="preserve"> not riskY</v>
      </c>
      <c r="AP99" s="29">
        <f>EOMONTH(Table1[[#This Row],[origination_date]],0)</f>
        <v>45382</v>
      </c>
      <c r="AQ99" s="19">
        <f>SUMIFS(Table1[loan_amount],Table1[origination month],Table1[[#This Row],[origination month]])</f>
        <v>13709600</v>
      </c>
      <c r="AR99" s="19">
        <f>AVERAGEIFS(Table1[months_on_book],Table1[product],Table1[[#This Row],[product]])</f>
        <v>21.962962962962962</v>
      </c>
      <c r="AS99" s="19" t="str">
        <f ca="1">IF(EDATE(Table1[[#This Row],[origination_date]],6) &gt;= TODAY(), "New Loan", "Old Loan")</f>
        <v>Old Loan</v>
      </c>
      <c r="AT99" s="19" t="str">
        <f>"Q"&amp;ROUNDUP(MONTH(Table1[[#This Row],[origination_date]])/3,0)&amp;YEAR(Table1[[#This Row],[origination_date]])</f>
        <v>Q12024</v>
      </c>
      <c r="AU99" s="19">
        <f>SUMIFS(Table1[loan_amount],Table1[quarter],Table1[[#This Row],[quarter]])</f>
        <v>48515800</v>
      </c>
    </row>
    <row r="100" spans="2:47" x14ac:dyDescent="0.2">
      <c r="B100" s="5" t="s">
        <v>438</v>
      </c>
      <c r="C100" s="2" t="s">
        <v>938</v>
      </c>
      <c r="D100" s="3">
        <v>45313</v>
      </c>
      <c r="E100" s="2" t="s">
        <v>1026</v>
      </c>
      <c r="F100" s="2" t="s">
        <v>1029</v>
      </c>
      <c r="G100" s="2" t="s">
        <v>1035</v>
      </c>
      <c r="H100" s="2" t="s">
        <v>1038</v>
      </c>
      <c r="I100" s="2">
        <v>24</v>
      </c>
      <c r="J100" s="2">
        <v>666000</v>
      </c>
      <c r="K100" s="2">
        <v>18.559999999999999</v>
      </c>
      <c r="L100" s="2">
        <v>33430</v>
      </c>
      <c r="M100" s="2">
        <v>1132502</v>
      </c>
      <c r="N100" s="2">
        <v>725</v>
      </c>
      <c r="O100" s="2" t="s">
        <v>1044</v>
      </c>
      <c r="P100" s="2">
        <v>0.35</v>
      </c>
      <c r="Q100" s="2">
        <v>0.61</v>
      </c>
      <c r="R100" s="2">
        <v>0</v>
      </c>
      <c r="S100" s="2">
        <v>23</v>
      </c>
      <c r="T100" s="2">
        <v>782682</v>
      </c>
      <c r="U100" s="2">
        <v>0</v>
      </c>
      <c r="V100" s="2">
        <v>30</v>
      </c>
      <c r="W100" s="2">
        <v>0</v>
      </c>
      <c r="X100" s="2">
        <v>0</v>
      </c>
      <c r="Y100" s="2" t="s">
        <v>1047</v>
      </c>
      <c r="Z100" s="12">
        <f>SUMIF(Table1[product],Table1[[#This Row],[product]],Table1[loan_amount])</f>
        <v>74897600</v>
      </c>
      <c r="AA100" s="15">
        <f>SUMIF(Table1[region],Table1[[#This Row],[region]],Table1[current_balance])</f>
        <v>83903255</v>
      </c>
      <c r="AB100" s="2">
        <f>COUNTIF(Table1[loan_status],Table1[[#This Row],[loan_status]])</f>
        <v>139</v>
      </c>
      <c r="AC100" s="2">
        <f>COUNTIF(Table1[default_flag],1)/ROWS(Table1[loan_id])</f>
        <v>2.5999999999999999E-2</v>
      </c>
      <c r="AD100" s="2">
        <f>COUNTIFS(Table1[region],Table1[[#This Row],[region]],Table1[default_flag],1)/COUNTIF(Table1[region],Table1[[#This Row],[region]])</f>
        <v>4.2553191489361701E-2</v>
      </c>
      <c r="AE100" s="2">
        <f>COUNTIFS(Table1[channel],Table1[[#This Row],[channel]],Table1[prepayment_flag],1)/COUNTIF(Table1[channel],Table1[[#This Row],[channel]])</f>
        <v>7.1090047393364927E-2</v>
      </c>
      <c r="AF100" s="2">
        <f>AVERAGEIFS(Table1[interest_rate_pct],Table1[product],Table1[[#This Row],[product]],Table1[risk_band],Table1[[#This Row],[risk_band]])</f>
        <v>16.500166666666669</v>
      </c>
      <c r="AG100" s="2" t="str" cm="1">
        <f t="array" ref="AG100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100" s="2">
        <f>COUNTIF(Table1[DTI band],Table1[[#This Row],[DTI band]])</f>
        <v>260</v>
      </c>
      <c r="AI100" s="2" t="str" cm="1">
        <f t="array" ref="AI100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100" s="2">
        <f>COUNTIF(Table1[LTV band],Table1[[#This Row],[LTV band]])</f>
        <v>302</v>
      </c>
      <c r="AK100" s="19">
        <f>COUNTIFS(Table1[count_loan_perband],Table1[[#This Row],[count_loan_perband]],Table1[default_flag],1)/COUNTIF(Table1[count_loan_perband],Table1[[#This Row],[count_loan_perband]])</f>
        <v>3.6423841059602648E-2</v>
      </c>
      <c r="AL100" s="19" t="str" cm="1">
        <f t="array" ref="AL100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100" s="19">
        <f>IF(Table1[[#This Row],[dpd]] &gt;=30,1,0)</f>
        <v>1</v>
      </c>
      <c r="AN100" s="19">
        <f>COUNTIFS(Table1[Loan size],Table1[[#This Row],[Loan size]],Table1[dpd flag],1)/COUNTIF(Table1[Loan size],Table1[[#This Row],[Loan size]])</f>
        <v>0.13934426229508196</v>
      </c>
      <c r="AO100" s="19" t="str">
        <f>IF(OR(Table1[[#This Row],[credit_score]] &lt; 600, Table1[ [#This Row],[dti_ratio] ] &gt; 0.5, Table1[[#This Row],[dpd]] &gt;=30), "high risk", " not riskY")</f>
        <v>high risk</v>
      </c>
      <c r="AP100" s="29">
        <f>EOMONTH(Table1[[#This Row],[origination_date]],0)</f>
        <v>45322</v>
      </c>
      <c r="AQ100" s="19">
        <f>SUMIFS(Table1[loan_amount],Table1[origination month],Table1[[#This Row],[origination month]])</f>
        <v>24741500</v>
      </c>
      <c r="AR100" s="19">
        <f>AVERAGEIFS(Table1[months_on_book],Table1[product],Table1[[#This Row],[product]])</f>
        <v>21.092024539877301</v>
      </c>
      <c r="AS100" s="19" t="str">
        <f ca="1">IF(EDATE(Table1[[#This Row],[origination_date]],6) &gt;= TODAY(), "New Loan", "Old Loan")</f>
        <v>Old Loan</v>
      </c>
      <c r="AT100" s="19" t="str">
        <f>"Q"&amp;ROUNDUP(MONTH(Table1[[#This Row],[origination_date]])/3,0)&amp;YEAR(Table1[[#This Row],[origination_date]])</f>
        <v>Q12024</v>
      </c>
      <c r="AU100" s="19">
        <f>SUMIFS(Table1[loan_amount],Table1[quarter],Table1[[#This Row],[quarter]])</f>
        <v>48515800</v>
      </c>
    </row>
    <row r="101" spans="2:47" x14ac:dyDescent="0.2">
      <c r="B101" s="5" t="s">
        <v>465</v>
      </c>
      <c r="C101" s="2" t="s">
        <v>965</v>
      </c>
      <c r="D101" s="3">
        <v>45319</v>
      </c>
      <c r="E101" s="2" t="s">
        <v>1027</v>
      </c>
      <c r="F101" s="2" t="s">
        <v>1032</v>
      </c>
      <c r="G101" s="2" t="s">
        <v>1033</v>
      </c>
      <c r="H101" s="2" t="s">
        <v>1039</v>
      </c>
      <c r="I101" s="2">
        <v>72</v>
      </c>
      <c r="J101" s="2">
        <v>3131400</v>
      </c>
      <c r="K101" s="2">
        <v>12.54</v>
      </c>
      <c r="L101" s="2">
        <v>62102</v>
      </c>
      <c r="M101" s="2">
        <v>862363</v>
      </c>
      <c r="N101" s="2">
        <v>672</v>
      </c>
      <c r="O101" s="2" t="s">
        <v>1042</v>
      </c>
      <c r="P101" s="2">
        <v>0.35</v>
      </c>
      <c r="Q101" s="2">
        <v>0.63</v>
      </c>
      <c r="R101" s="2">
        <v>4979600</v>
      </c>
      <c r="S101" s="2">
        <v>23</v>
      </c>
      <c r="T101" s="2">
        <v>1278108</v>
      </c>
      <c r="U101" s="2">
        <v>2154345</v>
      </c>
      <c r="V101" s="2">
        <v>0</v>
      </c>
      <c r="W101" s="2">
        <v>1</v>
      </c>
      <c r="X101" s="2">
        <v>0</v>
      </c>
      <c r="Y101" s="2" t="s">
        <v>1047</v>
      </c>
      <c r="Z101" s="12">
        <f>SUMIF(Table1[product],Table1[[#This Row],[product]],Table1[loan_amount])</f>
        <v>403369500</v>
      </c>
      <c r="AA101" s="15">
        <f>SUMIF(Table1[region],Table1[[#This Row],[region]],Table1[current_balance])</f>
        <v>83297251</v>
      </c>
      <c r="AB101" s="2">
        <f>COUNTIF(Table1[loan_status],Table1[[#This Row],[loan_status]])</f>
        <v>139</v>
      </c>
      <c r="AC101" s="2">
        <f>COUNTIF(Table1[default_flag],1)/ROWS(Table1[loan_id])</f>
        <v>2.5999999999999999E-2</v>
      </c>
      <c r="AD101" s="2">
        <f>COUNTIFS(Table1[region],Table1[[#This Row],[region]],Table1[default_flag],1)/COUNTIF(Table1[region],Table1[[#This Row],[region]])</f>
        <v>3.1914893617021274E-2</v>
      </c>
      <c r="AE101" s="2">
        <f>COUNTIFS(Table1[channel],Table1[[#This Row],[channel]],Table1[prepayment_flag],1)/COUNTIF(Table1[channel],Table1[[#This Row],[channel]])</f>
        <v>0.1</v>
      </c>
      <c r="AF101" s="2">
        <f>AVERAGEIFS(Table1[interest_rate_pct],Table1[product],Table1[[#This Row],[product]],Table1[risk_band],Table1[[#This Row],[risk_band]])</f>
        <v>11.719736842105268</v>
      </c>
      <c r="AG101" s="2" t="str" cm="1">
        <f t="array" ref="AG101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101" s="2">
        <f>COUNTIF(Table1[DTI band],Table1[[#This Row],[DTI band]])</f>
        <v>260</v>
      </c>
      <c r="AI101" s="2" t="str" cm="1">
        <f t="array" ref="AI101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101" s="2">
        <f>COUNTIF(Table1[LTV band],Table1[[#This Row],[LTV band]])</f>
        <v>302</v>
      </c>
      <c r="AK101" s="19">
        <f>COUNTIFS(Table1[count_loan_perband],Table1[[#This Row],[count_loan_perband]],Table1[default_flag],1)/COUNTIF(Table1[count_loan_perband],Table1[[#This Row],[count_loan_perband]])</f>
        <v>3.6423841059602648E-2</v>
      </c>
      <c r="AL101" s="19" t="str" cm="1">
        <f t="array" ref="AL101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101" s="19">
        <f>IF(Table1[[#This Row],[dpd]] &gt;=30,1,0)</f>
        <v>0</v>
      </c>
      <c r="AN101" s="19">
        <f>COUNTIFS(Table1[Loan size],Table1[[#This Row],[Loan size]],Table1[dpd flag],1)/COUNTIF(Table1[Loan size],Table1[[#This Row],[Loan size]])</f>
        <v>0.15909090909090909</v>
      </c>
      <c r="AO101" s="19" t="str">
        <f>IF(OR(Table1[[#This Row],[credit_score]] &lt; 600, Table1[ [#This Row],[dti_ratio] ] &gt; 0.5, Table1[[#This Row],[dpd]] &gt;=30), "high risk", " not riskY")</f>
        <v xml:space="preserve"> not riskY</v>
      </c>
      <c r="AP101" s="29">
        <f>EOMONTH(Table1[[#This Row],[origination_date]],0)</f>
        <v>45322</v>
      </c>
      <c r="AQ101" s="19">
        <f>SUMIFS(Table1[loan_amount],Table1[origination month],Table1[[#This Row],[origination month]])</f>
        <v>24741500</v>
      </c>
      <c r="AR101" s="19">
        <f>AVERAGEIFS(Table1[months_on_book],Table1[product],Table1[[#This Row],[product]])</f>
        <v>20.516129032258064</v>
      </c>
      <c r="AS101" s="19" t="str">
        <f ca="1">IF(EDATE(Table1[[#This Row],[origination_date]],6) &gt;= TODAY(), "New Loan", "Old Loan")</f>
        <v>Old Loan</v>
      </c>
      <c r="AT101" s="19" t="str">
        <f>"Q"&amp;ROUNDUP(MONTH(Table1[[#This Row],[origination_date]])/3,0)&amp;YEAR(Table1[[#This Row],[origination_date]])</f>
        <v>Q12024</v>
      </c>
      <c r="AU101" s="19">
        <f>SUMIFS(Table1[loan_amount],Table1[quarter],Table1[[#This Row],[quarter]])</f>
        <v>48515800</v>
      </c>
    </row>
    <row r="102" spans="2:47" x14ac:dyDescent="0.2">
      <c r="B102" s="5" t="s">
        <v>188</v>
      </c>
      <c r="C102" s="2" t="s">
        <v>688</v>
      </c>
      <c r="D102" s="3">
        <v>45295</v>
      </c>
      <c r="E102" s="2" t="s">
        <v>1024</v>
      </c>
      <c r="F102" s="2" t="s">
        <v>1031</v>
      </c>
      <c r="G102" s="2" t="s">
        <v>1033</v>
      </c>
      <c r="H102" s="2" t="s">
        <v>1039</v>
      </c>
      <c r="I102" s="2">
        <v>72</v>
      </c>
      <c r="J102" s="2">
        <v>1352900</v>
      </c>
      <c r="K102" s="2">
        <v>10.49</v>
      </c>
      <c r="L102" s="2">
        <v>25399</v>
      </c>
      <c r="M102" s="2">
        <v>1006213</v>
      </c>
      <c r="N102" s="2">
        <v>718</v>
      </c>
      <c r="O102" s="2" t="s">
        <v>1044</v>
      </c>
      <c r="P102" s="2">
        <v>0.33</v>
      </c>
      <c r="Q102" s="2">
        <v>0.69</v>
      </c>
      <c r="R102" s="2">
        <v>1959200</v>
      </c>
      <c r="S102" s="2">
        <v>23</v>
      </c>
      <c r="T102" s="2">
        <v>549543</v>
      </c>
      <c r="U102" s="2">
        <v>912162</v>
      </c>
      <c r="V102" s="2">
        <v>45</v>
      </c>
      <c r="W102" s="2">
        <v>0</v>
      </c>
      <c r="X102" s="2">
        <v>0</v>
      </c>
      <c r="Y102" s="2" t="s">
        <v>1048</v>
      </c>
      <c r="Z102" s="12">
        <f>SUMIF(Table1[product],Table1[[#This Row],[product]],Table1[loan_amount])</f>
        <v>92273000</v>
      </c>
      <c r="AA102" s="15">
        <f>SUMIF(Table1[region],Table1[[#This Row],[region]],Table1[current_balance])</f>
        <v>83297251</v>
      </c>
      <c r="AB102" s="2">
        <f>COUNTIF(Table1[loan_status],Table1[[#This Row],[loan_status]])</f>
        <v>47</v>
      </c>
      <c r="AC102" s="2">
        <f>COUNTIF(Table1[default_flag],1)/ROWS(Table1[loan_id])</f>
        <v>2.5999999999999999E-2</v>
      </c>
      <c r="AD102" s="2">
        <f>COUNTIFS(Table1[region],Table1[[#This Row],[region]],Table1[default_flag],1)/COUNTIF(Table1[region],Table1[[#This Row],[region]])</f>
        <v>3.1914893617021274E-2</v>
      </c>
      <c r="AE102" s="2">
        <f>COUNTIFS(Table1[channel],Table1[[#This Row],[channel]],Table1[prepayment_flag],1)/COUNTIF(Table1[channel],Table1[[#This Row],[channel]])</f>
        <v>0.12</v>
      </c>
      <c r="AF102" s="2">
        <f>AVERAGEIFS(Table1[interest_rate_pct],Table1[product],Table1[[#This Row],[product]],Table1[risk_band],Table1[[#This Row],[risk_band]])</f>
        <v>10.611923076923079</v>
      </c>
      <c r="AG102" s="2" t="str" cm="1">
        <f t="array" ref="AG102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102" s="2">
        <f>COUNTIF(Table1[DTI band],Table1[[#This Row],[DTI band]])</f>
        <v>260</v>
      </c>
      <c r="AI102" s="2" t="str" cm="1">
        <f t="array" ref="AI102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102" s="2">
        <f>COUNTIF(Table1[LTV band],Table1[[#This Row],[LTV band]])</f>
        <v>302</v>
      </c>
      <c r="AK102" s="19">
        <f>COUNTIFS(Table1[count_loan_perband],Table1[[#This Row],[count_loan_perband]],Table1[default_flag],1)/COUNTIF(Table1[count_loan_perband],Table1[[#This Row],[count_loan_perband]])</f>
        <v>3.6423841059602648E-2</v>
      </c>
      <c r="AL102" s="19" t="str" cm="1">
        <f t="array" ref="AL102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102" s="19">
        <f>IF(Table1[[#This Row],[dpd]] &gt;=30,1,0)</f>
        <v>1</v>
      </c>
      <c r="AN102" s="19">
        <f>COUNTIFS(Table1[Loan size],Table1[[#This Row],[Loan size]],Table1[dpd flag],1)/COUNTIF(Table1[Loan size],Table1[[#This Row],[Loan size]])</f>
        <v>0.15909090909090909</v>
      </c>
      <c r="AO102" s="19" t="str">
        <f>IF(OR(Table1[[#This Row],[credit_score]] &lt; 600, Table1[ [#This Row],[dti_ratio] ] &gt; 0.5, Table1[[#This Row],[dpd]] &gt;=30), "high risk", " not riskY")</f>
        <v>high risk</v>
      </c>
      <c r="AP102" s="29">
        <f>EOMONTH(Table1[[#This Row],[origination_date]],0)</f>
        <v>45322</v>
      </c>
      <c r="AQ102" s="19">
        <f>SUMIFS(Table1[loan_amount],Table1[origination month],Table1[[#This Row],[origination month]])</f>
        <v>24741500</v>
      </c>
      <c r="AR102" s="19">
        <f>AVERAGEIFS(Table1[months_on_book],Table1[product],Table1[[#This Row],[product]])</f>
        <v>20.262135922330096</v>
      </c>
      <c r="AS102" s="19" t="str">
        <f ca="1">IF(EDATE(Table1[[#This Row],[origination_date]],6) &gt;= TODAY(), "New Loan", "Old Loan")</f>
        <v>Old Loan</v>
      </c>
      <c r="AT102" s="19" t="str">
        <f>"Q"&amp;ROUNDUP(MONTH(Table1[[#This Row],[origination_date]])/3,0)&amp;YEAR(Table1[[#This Row],[origination_date]])</f>
        <v>Q12024</v>
      </c>
      <c r="AU102" s="19">
        <f>SUMIFS(Table1[loan_amount],Table1[quarter],Table1[[#This Row],[quarter]])</f>
        <v>48515800</v>
      </c>
    </row>
    <row r="103" spans="2:47" x14ac:dyDescent="0.2">
      <c r="B103" s="5" t="s">
        <v>469</v>
      </c>
      <c r="C103" s="2" t="s">
        <v>969</v>
      </c>
      <c r="D103" s="3">
        <v>45350</v>
      </c>
      <c r="E103" s="2" t="s">
        <v>1027</v>
      </c>
      <c r="F103" s="2" t="s">
        <v>1029</v>
      </c>
      <c r="G103" s="2" t="s">
        <v>1035</v>
      </c>
      <c r="H103" s="2" t="s">
        <v>1038</v>
      </c>
      <c r="I103" s="2">
        <v>36</v>
      </c>
      <c r="J103" s="2">
        <v>6142300</v>
      </c>
      <c r="K103" s="2">
        <v>7</v>
      </c>
      <c r="L103" s="2">
        <v>189656</v>
      </c>
      <c r="M103" s="2">
        <v>1474931</v>
      </c>
      <c r="N103" s="2">
        <v>819</v>
      </c>
      <c r="O103" s="2" t="s">
        <v>1043</v>
      </c>
      <c r="P103" s="2">
        <v>0.33</v>
      </c>
      <c r="Q103" s="2">
        <v>0.78</v>
      </c>
      <c r="R103" s="2">
        <v>7841500</v>
      </c>
      <c r="S103" s="2">
        <v>22</v>
      </c>
      <c r="T103" s="2">
        <v>3844035</v>
      </c>
      <c r="U103" s="2">
        <v>2613570</v>
      </c>
      <c r="V103" s="2">
        <v>0</v>
      </c>
      <c r="W103" s="2">
        <v>0</v>
      </c>
      <c r="X103" s="2">
        <v>0</v>
      </c>
      <c r="Y103" s="2" t="s">
        <v>1049</v>
      </c>
      <c r="Z103" s="12">
        <f>SUMIF(Table1[product],Table1[[#This Row],[product]],Table1[loan_amount])</f>
        <v>403369500</v>
      </c>
      <c r="AA103" s="15">
        <f>SUMIF(Table1[region],Table1[[#This Row],[region]],Table1[current_balance])</f>
        <v>83903255</v>
      </c>
      <c r="AB103" s="2">
        <f>COUNTIF(Table1[loan_status],Table1[[#This Row],[loan_status]])</f>
        <v>301</v>
      </c>
      <c r="AC103" s="2">
        <f>COUNTIF(Table1[default_flag],1)/ROWS(Table1[loan_id])</f>
        <v>2.5999999999999999E-2</v>
      </c>
      <c r="AD103" s="2">
        <f>COUNTIFS(Table1[region],Table1[[#This Row],[region]],Table1[default_flag],1)/COUNTIF(Table1[region],Table1[[#This Row],[region]])</f>
        <v>4.2553191489361701E-2</v>
      </c>
      <c r="AE103" s="2">
        <f>COUNTIFS(Table1[channel],Table1[[#This Row],[channel]],Table1[prepayment_flag],1)/COUNTIF(Table1[channel],Table1[[#This Row],[channel]])</f>
        <v>7.1090047393364927E-2</v>
      </c>
      <c r="AF103" s="2">
        <f>AVERAGEIFS(Table1[interest_rate_pct],Table1[product],Table1[[#This Row],[product]],Table1[risk_band],Table1[[#This Row],[risk_band]])</f>
        <v>7.1876190476190471</v>
      </c>
      <c r="AG103" s="2" t="str" cm="1">
        <f t="array" ref="AG103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103" s="2">
        <f>COUNTIF(Table1[DTI band],Table1[[#This Row],[DTI band]])</f>
        <v>260</v>
      </c>
      <c r="AI103" s="2" t="str" cm="1">
        <f t="array" ref="AI103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103" s="2">
        <f>COUNTIF(Table1[LTV band],Table1[[#This Row],[LTV band]])</f>
        <v>302</v>
      </c>
      <c r="AK103" s="19">
        <f>COUNTIFS(Table1[count_loan_perband],Table1[[#This Row],[count_loan_perband]],Table1[default_flag],1)/COUNTIF(Table1[count_loan_perband],Table1[[#This Row],[count_loan_perband]])</f>
        <v>3.6423841059602648E-2</v>
      </c>
      <c r="AL103" s="19" t="str" cm="1">
        <f t="array" ref="AL103">_xlfn.IFS(Table1[[#This Row],[loan_amount]] &lt; 900000, "lower size (&lt; 9L)", Table1[[#This Row],[loan_amount]] &lt;=3300000, "medium size (&lt;=33L)", Table1[[#This Row],[loan_amount]] &gt; 3300000, "larger size (&gt; 33L)")</f>
        <v>larger size (&gt; 33L)</v>
      </c>
      <c r="AM103" s="19">
        <f>IF(Table1[[#This Row],[dpd]] &gt;=30,1,0)</f>
        <v>0</v>
      </c>
      <c r="AN103" s="19">
        <f>COUNTIFS(Table1[Loan size],Table1[[#This Row],[Loan size]],Table1[dpd flag],1)/COUNTIF(Table1[Loan size],Table1[[#This Row],[Loan size]])</f>
        <v>0.16250000000000001</v>
      </c>
      <c r="AO103" s="19" t="str">
        <f>IF(OR(Table1[[#This Row],[credit_score]] &lt; 600, Table1[ [#This Row],[dti_ratio] ] &gt; 0.5, Table1[[#This Row],[dpd]] &gt;=30), "high risk", " not riskY")</f>
        <v xml:space="preserve"> not riskY</v>
      </c>
      <c r="AP103" s="29">
        <f>EOMONTH(Table1[[#This Row],[origination_date]],0)</f>
        <v>45351</v>
      </c>
      <c r="AQ103" s="19">
        <f>SUMIFS(Table1[loan_amount],Table1[origination month],Table1[[#This Row],[origination month]])</f>
        <v>10064700</v>
      </c>
      <c r="AR103" s="19">
        <f>AVERAGEIFS(Table1[months_on_book],Table1[product],Table1[[#This Row],[product]])</f>
        <v>20.516129032258064</v>
      </c>
      <c r="AS103" s="19" t="str">
        <f ca="1">IF(EDATE(Table1[[#This Row],[origination_date]],6) &gt;= TODAY(), "New Loan", "Old Loan")</f>
        <v>Old Loan</v>
      </c>
      <c r="AT103" s="19" t="str">
        <f>"Q"&amp;ROUNDUP(MONTH(Table1[[#This Row],[origination_date]])/3,0)&amp;YEAR(Table1[[#This Row],[origination_date]])</f>
        <v>Q12024</v>
      </c>
      <c r="AU103" s="19">
        <f>SUMIFS(Table1[loan_amount],Table1[quarter],Table1[[#This Row],[quarter]])</f>
        <v>48515800</v>
      </c>
    </row>
    <row r="104" spans="2:47" x14ac:dyDescent="0.2">
      <c r="B104" s="5" t="s">
        <v>101</v>
      </c>
      <c r="C104" s="2" t="s">
        <v>601</v>
      </c>
      <c r="D104" s="3">
        <v>45312</v>
      </c>
      <c r="E104" s="2" t="s">
        <v>1024</v>
      </c>
      <c r="F104" s="2" t="s">
        <v>1029</v>
      </c>
      <c r="G104" s="2" t="s">
        <v>1036</v>
      </c>
      <c r="H104" s="2" t="s">
        <v>1038</v>
      </c>
      <c r="I104" s="2">
        <v>60</v>
      </c>
      <c r="J104" s="2">
        <v>842500</v>
      </c>
      <c r="K104" s="2">
        <v>8.89</v>
      </c>
      <c r="L104" s="2">
        <v>17444</v>
      </c>
      <c r="M104" s="2">
        <v>1402598</v>
      </c>
      <c r="N104" s="2">
        <v>759</v>
      </c>
      <c r="O104" s="2" t="s">
        <v>1043</v>
      </c>
      <c r="P104" s="2">
        <v>0.31</v>
      </c>
      <c r="Q104" s="2">
        <v>0.87</v>
      </c>
      <c r="R104" s="2">
        <v>973100</v>
      </c>
      <c r="S104" s="2">
        <v>23</v>
      </c>
      <c r="T104" s="2">
        <v>384839</v>
      </c>
      <c r="U104" s="2">
        <v>515083</v>
      </c>
      <c r="V104" s="2">
        <v>0</v>
      </c>
      <c r="W104" s="2">
        <v>0</v>
      </c>
      <c r="X104" s="2">
        <v>0</v>
      </c>
      <c r="Y104" s="2" t="s">
        <v>1049</v>
      </c>
      <c r="Z104" s="12">
        <f>SUMIF(Table1[product],Table1[[#This Row],[product]],Table1[loan_amount])</f>
        <v>92273000</v>
      </c>
      <c r="AA104" s="15">
        <f>SUMIF(Table1[region],Table1[[#This Row],[region]],Table1[current_balance])</f>
        <v>98928695</v>
      </c>
      <c r="AB104" s="2">
        <f>COUNTIF(Table1[loan_status],Table1[[#This Row],[loan_status]])</f>
        <v>301</v>
      </c>
      <c r="AC104" s="2">
        <f>COUNTIF(Table1[default_flag],1)/ROWS(Table1[loan_id])</f>
        <v>2.5999999999999999E-2</v>
      </c>
      <c r="AD104" s="2">
        <f>COUNTIFS(Table1[region],Table1[[#This Row],[region]],Table1[default_flag],1)/COUNTIF(Table1[region],Table1[[#This Row],[region]])</f>
        <v>2.8571428571428571E-2</v>
      </c>
      <c r="AE104" s="2">
        <f>COUNTIFS(Table1[channel],Table1[[#This Row],[channel]],Table1[prepayment_flag],1)/COUNTIF(Table1[channel],Table1[[#This Row],[channel]])</f>
        <v>7.1090047393364927E-2</v>
      </c>
      <c r="AF104" s="2">
        <f>AVERAGEIFS(Table1[interest_rate_pct],Table1[product],Table1[[#This Row],[product]],Table1[risk_band],Table1[[#This Row],[risk_band]])</f>
        <v>7.9444999999999997</v>
      </c>
      <c r="AG104" s="2" t="str" cm="1">
        <f t="array" ref="AG104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104" s="2">
        <f>COUNTIF(Table1[DTI band],Table1[[#This Row],[DTI band]])</f>
        <v>260</v>
      </c>
      <c r="AI104" s="2" t="str" cm="1">
        <f t="array" ref="AI104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104" s="2">
        <f>COUNTIF(Table1[LTV band],Table1[[#This Row],[LTV band]])</f>
        <v>141</v>
      </c>
      <c r="AK104" s="19">
        <f>COUNTIFS(Table1[count_loan_perband],Table1[[#This Row],[count_loan_perband]],Table1[default_flag],1)/COUNTIF(Table1[count_loan_perband],Table1[[#This Row],[count_loan_perband]])</f>
        <v>1.4184397163120567E-2</v>
      </c>
      <c r="AL104" s="19" t="str" cm="1">
        <f t="array" ref="AL104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104" s="19">
        <f>IF(Table1[[#This Row],[dpd]] &gt;=30,1,0)</f>
        <v>0</v>
      </c>
      <c r="AN104" s="19">
        <f>COUNTIFS(Table1[Loan size],Table1[[#This Row],[Loan size]],Table1[dpd flag],1)/COUNTIF(Table1[Loan size],Table1[[#This Row],[Loan size]])</f>
        <v>0.13934426229508196</v>
      </c>
      <c r="AO104" s="19" t="str">
        <f>IF(OR(Table1[[#This Row],[credit_score]] &lt; 600, Table1[ [#This Row],[dti_ratio] ] &gt; 0.5, Table1[[#This Row],[dpd]] &gt;=30), "high risk", " not riskY")</f>
        <v xml:space="preserve"> not riskY</v>
      </c>
      <c r="AP104" s="29">
        <f>EOMONTH(Table1[[#This Row],[origination_date]],0)</f>
        <v>45322</v>
      </c>
      <c r="AQ104" s="19">
        <f>SUMIFS(Table1[loan_amount],Table1[origination month],Table1[[#This Row],[origination month]])</f>
        <v>24741500</v>
      </c>
      <c r="AR104" s="19">
        <f>AVERAGEIFS(Table1[months_on_book],Table1[product],Table1[[#This Row],[product]])</f>
        <v>20.262135922330096</v>
      </c>
      <c r="AS104" s="19" t="str">
        <f ca="1">IF(EDATE(Table1[[#This Row],[origination_date]],6) &gt;= TODAY(), "New Loan", "Old Loan")</f>
        <v>Old Loan</v>
      </c>
      <c r="AT104" s="19" t="str">
        <f>"Q"&amp;ROUNDUP(MONTH(Table1[[#This Row],[origination_date]])/3,0)&amp;YEAR(Table1[[#This Row],[origination_date]])</f>
        <v>Q12024</v>
      </c>
      <c r="AU104" s="19">
        <f>SUMIFS(Table1[loan_amount],Table1[quarter],Table1[[#This Row],[quarter]])</f>
        <v>48515800</v>
      </c>
    </row>
    <row r="105" spans="2:47" x14ac:dyDescent="0.2">
      <c r="B105" s="5" t="s">
        <v>258</v>
      </c>
      <c r="C105" s="2" t="s">
        <v>758</v>
      </c>
      <c r="D105" s="3">
        <v>45355</v>
      </c>
      <c r="E105" s="2" t="s">
        <v>1028</v>
      </c>
      <c r="F105" s="2" t="s">
        <v>1030</v>
      </c>
      <c r="G105" s="2" t="s">
        <v>1036</v>
      </c>
      <c r="H105" s="2" t="s">
        <v>1038</v>
      </c>
      <c r="I105" s="2">
        <v>60</v>
      </c>
      <c r="J105" s="2">
        <v>1899500</v>
      </c>
      <c r="K105" s="2">
        <v>15.49</v>
      </c>
      <c r="L105" s="2">
        <v>45679</v>
      </c>
      <c r="M105" s="2">
        <v>997417</v>
      </c>
      <c r="N105" s="2">
        <v>624</v>
      </c>
      <c r="O105" s="2" t="s">
        <v>1045</v>
      </c>
      <c r="P105" s="2">
        <v>0.31</v>
      </c>
      <c r="Q105" s="2">
        <v>0.78</v>
      </c>
      <c r="R105" s="2">
        <v>0</v>
      </c>
      <c r="S105" s="2">
        <v>21</v>
      </c>
      <c r="T105" s="2">
        <v>824421</v>
      </c>
      <c r="U105" s="2">
        <v>1281042</v>
      </c>
      <c r="V105" s="2">
        <v>0</v>
      </c>
      <c r="W105" s="2">
        <v>0</v>
      </c>
      <c r="X105" s="2">
        <v>0</v>
      </c>
      <c r="Y105" s="2" t="s">
        <v>1049</v>
      </c>
      <c r="Z105" s="12">
        <f>SUMIF(Table1[product],Table1[[#This Row],[product]],Table1[loan_amount])</f>
        <v>62765800</v>
      </c>
      <c r="AA105" s="15">
        <f>SUMIF(Table1[region],Table1[[#This Row],[region]],Table1[current_balance])</f>
        <v>98928695</v>
      </c>
      <c r="AB105" s="2">
        <f>COUNTIF(Table1[loan_status],Table1[[#This Row],[loan_status]])</f>
        <v>301</v>
      </c>
      <c r="AC105" s="2">
        <f>COUNTIF(Table1[default_flag],1)/ROWS(Table1[loan_id])</f>
        <v>2.5999999999999999E-2</v>
      </c>
      <c r="AD105" s="2">
        <f>COUNTIFS(Table1[region],Table1[[#This Row],[region]],Table1[default_flag],1)/COUNTIF(Table1[region],Table1[[#This Row],[region]])</f>
        <v>2.8571428571428571E-2</v>
      </c>
      <c r="AE105" s="2">
        <f>COUNTIFS(Table1[channel],Table1[[#This Row],[channel]],Table1[prepayment_flag],1)/COUNTIF(Table1[channel],Table1[[#This Row],[channel]])</f>
        <v>5.8201058201058198E-2</v>
      </c>
      <c r="AF105" s="2">
        <f>AVERAGEIFS(Table1[interest_rate_pct],Table1[product],Table1[[#This Row],[product]],Table1[risk_band],Table1[[#This Row],[risk_band]])</f>
        <v>15.810000000000002</v>
      </c>
      <c r="AG105" s="2" t="str" cm="1">
        <f t="array" ref="AG105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105" s="2">
        <f>COUNTIF(Table1[DTI band],Table1[[#This Row],[DTI band]])</f>
        <v>260</v>
      </c>
      <c r="AI105" s="2" t="str" cm="1">
        <f t="array" ref="AI105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105" s="2">
        <f>COUNTIF(Table1[LTV band],Table1[[#This Row],[LTV band]])</f>
        <v>302</v>
      </c>
      <c r="AK105" s="19">
        <f>COUNTIFS(Table1[count_loan_perband],Table1[[#This Row],[count_loan_perband]],Table1[default_flag],1)/COUNTIF(Table1[count_loan_perband],Table1[[#This Row],[count_loan_perband]])</f>
        <v>3.6423841059602648E-2</v>
      </c>
      <c r="AL105" s="19" t="str" cm="1">
        <f t="array" ref="AL105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105" s="19">
        <f>IF(Table1[[#This Row],[dpd]] &gt;=30,1,0)</f>
        <v>0</v>
      </c>
      <c r="AN105" s="19">
        <f>COUNTIFS(Table1[Loan size],Table1[[#This Row],[Loan size]],Table1[dpd flag],1)/COUNTIF(Table1[Loan size],Table1[[#This Row],[Loan size]])</f>
        <v>0.15909090909090909</v>
      </c>
      <c r="AO105" s="19" t="str">
        <f>IF(OR(Table1[[#This Row],[credit_score]] &lt; 600, Table1[ [#This Row],[dti_ratio] ] &gt; 0.5, Table1[[#This Row],[dpd]] &gt;=30), "high risk", " not riskY")</f>
        <v xml:space="preserve"> not riskY</v>
      </c>
      <c r="AP105" s="29">
        <f>EOMONTH(Table1[[#This Row],[origination_date]],0)</f>
        <v>45382</v>
      </c>
      <c r="AQ105" s="19">
        <f>SUMIFS(Table1[loan_amount],Table1[origination month],Table1[[#This Row],[origination month]])</f>
        <v>13709600</v>
      </c>
      <c r="AR105" s="19">
        <f>AVERAGEIFS(Table1[months_on_book],Table1[product],Table1[[#This Row],[product]])</f>
        <v>21.962962962962962</v>
      </c>
      <c r="AS105" s="19" t="str">
        <f ca="1">IF(EDATE(Table1[[#This Row],[origination_date]],6) &gt;= TODAY(), "New Loan", "Old Loan")</f>
        <v>Old Loan</v>
      </c>
      <c r="AT105" s="19" t="str">
        <f>"Q"&amp;ROUNDUP(MONTH(Table1[[#This Row],[origination_date]])/3,0)&amp;YEAR(Table1[[#This Row],[origination_date]])</f>
        <v>Q12024</v>
      </c>
      <c r="AU105" s="19">
        <f>SUMIFS(Table1[loan_amount],Table1[quarter],Table1[[#This Row],[quarter]])</f>
        <v>48515800</v>
      </c>
    </row>
    <row r="106" spans="2:47" x14ac:dyDescent="0.2">
      <c r="B106" s="5" t="s">
        <v>359</v>
      </c>
      <c r="C106" s="2" t="s">
        <v>859</v>
      </c>
      <c r="D106" s="3">
        <v>45321</v>
      </c>
      <c r="E106" s="2" t="s">
        <v>1028</v>
      </c>
      <c r="F106" s="2" t="s">
        <v>1030</v>
      </c>
      <c r="G106" s="2" t="s">
        <v>1035</v>
      </c>
      <c r="H106" s="2" t="s">
        <v>1041</v>
      </c>
      <c r="I106" s="2">
        <v>120</v>
      </c>
      <c r="J106" s="2">
        <v>1141700</v>
      </c>
      <c r="K106" s="2">
        <v>7.97</v>
      </c>
      <c r="L106" s="2">
        <v>13834</v>
      </c>
      <c r="M106" s="2">
        <v>608358</v>
      </c>
      <c r="N106" s="2">
        <v>770</v>
      </c>
      <c r="O106" s="2" t="s">
        <v>1043</v>
      </c>
      <c r="P106" s="2">
        <v>0.31</v>
      </c>
      <c r="Q106" s="2">
        <v>1.04</v>
      </c>
      <c r="R106" s="2">
        <v>0</v>
      </c>
      <c r="S106" s="2">
        <v>23</v>
      </c>
      <c r="T106" s="2">
        <v>281299</v>
      </c>
      <c r="U106" s="2">
        <v>930163</v>
      </c>
      <c r="V106" s="2">
        <v>0</v>
      </c>
      <c r="W106" s="2">
        <v>0</v>
      </c>
      <c r="X106" s="2">
        <v>0</v>
      </c>
      <c r="Y106" s="2" t="s">
        <v>1049</v>
      </c>
      <c r="Z106" s="12">
        <f>SUMIF(Table1[product],Table1[[#This Row],[product]],Table1[loan_amount])</f>
        <v>62765800</v>
      </c>
      <c r="AA106" s="15">
        <f>SUMIF(Table1[region],Table1[[#This Row],[region]],Table1[current_balance])</f>
        <v>83903255</v>
      </c>
      <c r="AB106" s="2">
        <f>COUNTIF(Table1[loan_status],Table1[[#This Row],[loan_status]])</f>
        <v>301</v>
      </c>
      <c r="AC106" s="2">
        <f>COUNTIF(Table1[default_flag],1)/ROWS(Table1[loan_id])</f>
        <v>2.5999999999999999E-2</v>
      </c>
      <c r="AD106" s="2">
        <f>COUNTIFS(Table1[region],Table1[[#This Row],[region]],Table1[default_flag],1)/COUNTIF(Table1[region],Table1[[#This Row],[region]])</f>
        <v>4.2553191489361701E-2</v>
      </c>
      <c r="AE106" s="2">
        <f>COUNTIFS(Table1[channel],Table1[[#This Row],[channel]],Table1[prepayment_flag],1)/COUNTIF(Table1[channel],Table1[[#This Row],[channel]])</f>
        <v>5.8201058201058198E-2</v>
      </c>
      <c r="AF106" s="2">
        <f>AVERAGEIFS(Table1[interest_rate_pct],Table1[product],Table1[[#This Row],[product]],Table1[risk_band],Table1[[#This Row],[risk_band]])</f>
        <v>8.5057142857142871</v>
      </c>
      <c r="AG106" s="2" t="str" cm="1">
        <f t="array" ref="AG106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106" s="2">
        <f>COUNTIF(Table1[DTI band],Table1[[#This Row],[DTI band]])</f>
        <v>260</v>
      </c>
      <c r="AI106" s="2" t="str" cm="1">
        <f t="array" ref="AI106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106" s="2">
        <f>COUNTIF(Table1[LTV band],Table1[[#This Row],[LTV band]])</f>
        <v>141</v>
      </c>
      <c r="AK106" s="19">
        <f>COUNTIFS(Table1[count_loan_perband],Table1[[#This Row],[count_loan_perband]],Table1[default_flag],1)/COUNTIF(Table1[count_loan_perband],Table1[[#This Row],[count_loan_perband]])</f>
        <v>1.4184397163120567E-2</v>
      </c>
      <c r="AL106" s="19" t="str" cm="1">
        <f t="array" ref="AL106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106" s="19">
        <f>IF(Table1[[#This Row],[dpd]] &gt;=30,1,0)</f>
        <v>0</v>
      </c>
      <c r="AN106" s="19">
        <f>COUNTIFS(Table1[Loan size],Table1[[#This Row],[Loan size]],Table1[dpd flag],1)/COUNTIF(Table1[Loan size],Table1[[#This Row],[Loan size]])</f>
        <v>0.15909090909090909</v>
      </c>
      <c r="AO106" s="19" t="str">
        <f>IF(OR(Table1[[#This Row],[credit_score]] &lt; 600, Table1[ [#This Row],[dti_ratio] ] &gt; 0.5, Table1[[#This Row],[dpd]] &gt;=30), "high risk", " not riskY")</f>
        <v xml:space="preserve"> not riskY</v>
      </c>
      <c r="AP106" s="29">
        <f>EOMONTH(Table1[[#This Row],[origination_date]],0)</f>
        <v>45322</v>
      </c>
      <c r="AQ106" s="19">
        <f>SUMIFS(Table1[loan_amount],Table1[origination month],Table1[[#This Row],[origination month]])</f>
        <v>24741500</v>
      </c>
      <c r="AR106" s="19">
        <f>AVERAGEIFS(Table1[months_on_book],Table1[product],Table1[[#This Row],[product]])</f>
        <v>21.962962962962962</v>
      </c>
      <c r="AS106" s="19" t="str">
        <f ca="1">IF(EDATE(Table1[[#This Row],[origination_date]],6) &gt;= TODAY(), "New Loan", "Old Loan")</f>
        <v>Old Loan</v>
      </c>
      <c r="AT106" s="19" t="str">
        <f>"Q"&amp;ROUNDUP(MONTH(Table1[[#This Row],[origination_date]])/3,0)&amp;YEAR(Table1[[#This Row],[origination_date]])</f>
        <v>Q12024</v>
      </c>
      <c r="AU106" s="19">
        <f>SUMIFS(Table1[loan_amount],Table1[quarter],Table1[[#This Row],[quarter]])</f>
        <v>48515800</v>
      </c>
    </row>
    <row r="107" spans="2:47" x14ac:dyDescent="0.2">
      <c r="B107" s="5" t="s">
        <v>403</v>
      </c>
      <c r="C107" s="2" t="s">
        <v>903</v>
      </c>
      <c r="D107" s="3">
        <v>45333</v>
      </c>
      <c r="E107" s="2" t="s">
        <v>1026</v>
      </c>
      <c r="F107" s="2" t="s">
        <v>1030</v>
      </c>
      <c r="G107" s="2" t="s">
        <v>1036</v>
      </c>
      <c r="H107" s="2" t="s">
        <v>1041</v>
      </c>
      <c r="I107" s="2">
        <v>18</v>
      </c>
      <c r="J107" s="2">
        <v>565500</v>
      </c>
      <c r="K107" s="2">
        <v>20.309999999999999</v>
      </c>
      <c r="L107" s="2">
        <v>36708</v>
      </c>
      <c r="M107" s="2">
        <v>1018933</v>
      </c>
      <c r="N107" s="2">
        <v>656</v>
      </c>
      <c r="O107" s="2" t="s">
        <v>1042</v>
      </c>
      <c r="P107" s="2">
        <v>0.31</v>
      </c>
      <c r="Q107" s="2">
        <v>0.69</v>
      </c>
      <c r="R107" s="2">
        <v>0</v>
      </c>
      <c r="S107" s="2">
        <v>18</v>
      </c>
      <c r="T107" s="2">
        <v>639297</v>
      </c>
      <c r="U107" s="2">
        <v>0</v>
      </c>
      <c r="V107" s="2">
        <v>0</v>
      </c>
      <c r="W107" s="2">
        <v>0</v>
      </c>
      <c r="X107" s="2">
        <v>0</v>
      </c>
      <c r="Y107" s="2" t="s">
        <v>1047</v>
      </c>
      <c r="Z107" s="12">
        <f>SUMIF(Table1[product],Table1[[#This Row],[product]],Table1[loan_amount])</f>
        <v>74897600</v>
      </c>
      <c r="AA107" s="15">
        <f>SUMIF(Table1[region],Table1[[#This Row],[region]],Table1[current_balance])</f>
        <v>98928695</v>
      </c>
      <c r="AB107" s="2">
        <f>COUNTIF(Table1[loan_status],Table1[[#This Row],[loan_status]])</f>
        <v>139</v>
      </c>
      <c r="AC107" s="2">
        <f>COUNTIF(Table1[default_flag],1)/ROWS(Table1[loan_id])</f>
        <v>2.5999999999999999E-2</v>
      </c>
      <c r="AD107" s="2">
        <f>COUNTIFS(Table1[region],Table1[[#This Row],[region]],Table1[default_flag],1)/COUNTIF(Table1[region],Table1[[#This Row],[region]])</f>
        <v>2.8571428571428571E-2</v>
      </c>
      <c r="AE107" s="2">
        <f>COUNTIFS(Table1[channel],Table1[[#This Row],[channel]],Table1[prepayment_flag],1)/COUNTIF(Table1[channel],Table1[[#This Row],[channel]])</f>
        <v>5.8201058201058198E-2</v>
      </c>
      <c r="AF107" s="2">
        <f>AVERAGEIFS(Table1[interest_rate_pct],Table1[product],Table1[[#This Row],[product]],Table1[risk_band],Table1[[#This Row],[risk_band]])</f>
        <v>18.603181818181817</v>
      </c>
      <c r="AG107" s="2" t="str" cm="1">
        <f t="array" ref="AG107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107" s="2">
        <f>COUNTIF(Table1[DTI band],Table1[[#This Row],[DTI band]])</f>
        <v>260</v>
      </c>
      <c r="AI107" s="2" t="str" cm="1">
        <f t="array" ref="AI107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107" s="2">
        <f>COUNTIF(Table1[LTV band],Table1[[#This Row],[LTV band]])</f>
        <v>302</v>
      </c>
      <c r="AK107" s="19">
        <f>COUNTIFS(Table1[count_loan_perband],Table1[[#This Row],[count_loan_perband]],Table1[default_flag],1)/COUNTIF(Table1[count_loan_perband],Table1[[#This Row],[count_loan_perband]])</f>
        <v>3.6423841059602648E-2</v>
      </c>
      <c r="AL107" s="19" t="str" cm="1">
        <f t="array" ref="AL107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107" s="19">
        <f>IF(Table1[[#This Row],[dpd]] &gt;=30,1,0)</f>
        <v>0</v>
      </c>
      <c r="AN107" s="19">
        <f>COUNTIFS(Table1[Loan size],Table1[[#This Row],[Loan size]],Table1[dpd flag],1)/COUNTIF(Table1[Loan size],Table1[[#This Row],[Loan size]])</f>
        <v>0.13934426229508196</v>
      </c>
      <c r="AO107" s="19" t="str">
        <f>IF(OR(Table1[[#This Row],[credit_score]] &lt; 600, Table1[ [#This Row],[dti_ratio] ] &gt; 0.5, Table1[[#This Row],[dpd]] &gt;=30), "high risk", " not riskY")</f>
        <v xml:space="preserve"> not riskY</v>
      </c>
      <c r="AP107" s="29">
        <f>EOMONTH(Table1[[#This Row],[origination_date]],0)</f>
        <v>45351</v>
      </c>
      <c r="AQ107" s="19">
        <f>SUMIFS(Table1[loan_amount],Table1[origination month],Table1[[#This Row],[origination month]])</f>
        <v>10064700</v>
      </c>
      <c r="AR107" s="19">
        <f>AVERAGEIFS(Table1[months_on_book],Table1[product],Table1[[#This Row],[product]])</f>
        <v>21.092024539877301</v>
      </c>
      <c r="AS107" s="19" t="str">
        <f ca="1">IF(EDATE(Table1[[#This Row],[origination_date]],6) &gt;= TODAY(), "New Loan", "Old Loan")</f>
        <v>Old Loan</v>
      </c>
      <c r="AT107" s="19" t="str">
        <f>"Q"&amp;ROUNDUP(MONTH(Table1[[#This Row],[origination_date]])/3,0)&amp;YEAR(Table1[[#This Row],[origination_date]])</f>
        <v>Q12024</v>
      </c>
      <c r="AU107" s="19">
        <f>SUMIFS(Table1[loan_amount],Table1[quarter],Table1[[#This Row],[quarter]])</f>
        <v>48515800</v>
      </c>
    </row>
    <row r="108" spans="2:47" x14ac:dyDescent="0.2">
      <c r="B108" s="5" t="s">
        <v>511</v>
      </c>
      <c r="C108" s="2" t="s">
        <v>1011</v>
      </c>
      <c r="D108" s="3">
        <v>45325</v>
      </c>
      <c r="E108" s="2" t="s">
        <v>1024</v>
      </c>
      <c r="F108" s="2" t="s">
        <v>1029</v>
      </c>
      <c r="G108" s="2" t="s">
        <v>1036</v>
      </c>
      <c r="H108" s="2" t="s">
        <v>1040</v>
      </c>
      <c r="I108" s="2">
        <v>360</v>
      </c>
      <c r="J108" s="2">
        <v>790700</v>
      </c>
      <c r="K108" s="2">
        <v>13.98</v>
      </c>
      <c r="L108" s="2">
        <v>9356</v>
      </c>
      <c r="M108" s="2">
        <v>1062924</v>
      </c>
      <c r="N108" s="2">
        <v>640</v>
      </c>
      <c r="O108" s="2" t="s">
        <v>1045</v>
      </c>
      <c r="P108" s="2">
        <v>0.31</v>
      </c>
      <c r="Q108" s="2">
        <v>0.69</v>
      </c>
      <c r="R108" s="2">
        <v>1144600</v>
      </c>
      <c r="S108" s="2">
        <v>22</v>
      </c>
      <c r="T108" s="2">
        <v>180583</v>
      </c>
      <c r="U108" s="2">
        <v>691180</v>
      </c>
      <c r="V108" s="2">
        <v>0</v>
      </c>
      <c r="W108" s="2">
        <v>0</v>
      </c>
      <c r="X108" s="2">
        <v>0</v>
      </c>
      <c r="Y108" s="2" t="s">
        <v>1049</v>
      </c>
      <c r="Z108" s="12">
        <f>SUMIF(Table1[product],Table1[[#This Row],[product]],Table1[loan_amount])</f>
        <v>92273000</v>
      </c>
      <c r="AA108" s="15">
        <f>SUMIF(Table1[region],Table1[[#This Row],[region]],Table1[current_balance])</f>
        <v>98928695</v>
      </c>
      <c r="AB108" s="2">
        <f>COUNTIF(Table1[loan_status],Table1[[#This Row],[loan_status]])</f>
        <v>301</v>
      </c>
      <c r="AC108" s="2">
        <f>COUNTIF(Table1[default_flag],1)/ROWS(Table1[loan_id])</f>
        <v>2.5999999999999999E-2</v>
      </c>
      <c r="AD108" s="2">
        <f>COUNTIFS(Table1[region],Table1[[#This Row],[region]],Table1[default_flag],1)/COUNTIF(Table1[region],Table1[[#This Row],[region]])</f>
        <v>2.8571428571428571E-2</v>
      </c>
      <c r="AE108" s="2">
        <f>COUNTIFS(Table1[channel],Table1[[#This Row],[channel]],Table1[prepayment_flag],1)/COUNTIF(Table1[channel],Table1[[#This Row],[channel]])</f>
        <v>7.1090047393364927E-2</v>
      </c>
      <c r="AF108" s="2">
        <f>AVERAGEIFS(Table1[interest_rate_pct],Table1[product],Table1[[#This Row],[product]],Table1[risk_band],Table1[[#This Row],[risk_band]])</f>
        <v>15.092000000000001</v>
      </c>
      <c r="AG108" s="2" t="str" cm="1">
        <f t="array" ref="AG108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108" s="2">
        <f>COUNTIF(Table1[DTI band],Table1[[#This Row],[DTI band]])</f>
        <v>260</v>
      </c>
      <c r="AI108" s="2" t="str" cm="1">
        <f t="array" ref="AI108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108" s="2">
        <f>COUNTIF(Table1[LTV band],Table1[[#This Row],[LTV band]])</f>
        <v>302</v>
      </c>
      <c r="AK108" s="19">
        <f>COUNTIFS(Table1[count_loan_perband],Table1[[#This Row],[count_loan_perband]],Table1[default_flag],1)/COUNTIF(Table1[count_loan_perband],Table1[[#This Row],[count_loan_perband]])</f>
        <v>3.6423841059602648E-2</v>
      </c>
      <c r="AL108" s="19" t="str" cm="1">
        <f t="array" ref="AL108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108" s="19">
        <f>IF(Table1[[#This Row],[dpd]] &gt;=30,1,0)</f>
        <v>0</v>
      </c>
      <c r="AN108" s="19">
        <f>COUNTIFS(Table1[Loan size],Table1[[#This Row],[Loan size]],Table1[dpd flag],1)/COUNTIF(Table1[Loan size],Table1[[#This Row],[Loan size]])</f>
        <v>0.13934426229508196</v>
      </c>
      <c r="AO108" s="19" t="str">
        <f>IF(OR(Table1[[#This Row],[credit_score]] &lt; 600, Table1[ [#This Row],[dti_ratio] ] &gt; 0.5, Table1[[#This Row],[dpd]] &gt;=30), "high risk", " not riskY")</f>
        <v xml:space="preserve"> not riskY</v>
      </c>
      <c r="AP108" s="29">
        <f>EOMONTH(Table1[[#This Row],[origination_date]],0)</f>
        <v>45351</v>
      </c>
      <c r="AQ108" s="19">
        <f>SUMIFS(Table1[loan_amount],Table1[origination month],Table1[[#This Row],[origination month]])</f>
        <v>10064700</v>
      </c>
      <c r="AR108" s="19">
        <f>AVERAGEIFS(Table1[months_on_book],Table1[product],Table1[[#This Row],[product]])</f>
        <v>20.262135922330096</v>
      </c>
      <c r="AS108" s="19" t="str">
        <f ca="1">IF(EDATE(Table1[[#This Row],[origination_date]],6) &gt;= TODAY(), "New Loan", "Old Loan")</f>
        <v>Old Loan</v>
      </c>
      <c r="AT108" s="19" t="str">
        <f>"Q"&amp;ROUNDUP(MONTH(Table1[[#This Row],[origination_date]])/3,0)&amp;YEAR(Table1[[#This Row],[origination_date]])</f>
        <v>Q12024</v>
      </c>
      <c r="AU108" s="19">
        <f>SUMIFS(Table1[loan_amount],Table1[quarter],Table1[[#This Row],[quarter]])</f>
        <v>48515800</v>
      </c>
    </row>
    <row r="109" spans="2:47" x14ac:dyDescent="0.2">
      <c r="B109" s="5" t="s">
        <v>102</v>
      </c>
      <c r="C109" s="2" t="s">
        <v>602</v>
      </c>
      <c r="D109" s="3">
        <v>45300</v>
      </c>
      <c r="E109" s="2" t="s">
        <v>1024</v>
      </c>
      <c r="F109" s="2" t="s">
        <v>1029</v>
      </c>
      <c r="G109" s="2" t="s">
        <v>1036</v>
      </c>
      <c r="H109" s="2" t="s">
        <v>1038</v>
      </c>
      <c r="I109" s="2">
        <v>48</v>
      </c>
      <c r="J109" s="2">
        <v>830700</v>
      </c>
      <c r="K109" s="2">
        <v>7.96</v>
      </c>
      <c r="L109" s="2">
        <v>20264</v>
      </c>
      <c r="M109" s="2">
        <v>712016</v>
      </c>
      <c r="N109" s="2">
        <v>758</v>
      </c>
      <c r="O109" s="2" t="s">
        <v>1043</v>
      </c>
      <c r="P109" s="2">
        <v>0.28999999999999998</v>
      </c>
      <c r="Q109" s="2">
        <v>0.94</v>
      </c>
      <c r="R109" s="2">
        <v>882700</v>
      </c>
      <c r="S109" s="2">
        <v>23</v>
      </c>
      <c r="T109" s="2">
        <v>404246</v>
      </c>
      <c r="U109" s="2">
        <v>477149</v>
      </c>
      <c r="V109" s="2">
        <v>0</v>
      </c>
      <c r="W109" s="2">
        <v>0</v>
      </c>
      <c r="X109" s="2">
        <v>0</v>
      </c>
      <c r="Y109" s="2" t="s">
        <v>1049</v>
      </c>
      <c r="Z109" s="12">
        <f>SUMIF(Table1[product],Table1[[#This Row],[product]],Table1[loan_amount])</f>
        <v>92273000</v>
      </c>
      <c r="AA109" s="15">
        <f>SUMIF(Table1[region],Table1[[#This Row],[region]],Table1[current_balance])</f>
        <v>98928695</v>
      </c>
      <c r="AB109" s="2">
        <f>COUNTIF(Table1[loan_status],Table1[[#This Row],[loan_status]])</f>
        <v>301</v>
      </c>
      <c r="AC109" s="2">
        <f>COUNTIF(Table1[default_flag],1)/ROWS(Table1[loan_id])</f>
        <v>2.5999999999999999E-2</v>
      </c>
      <c r="AD109" s="2">
        <f>COUNTIFS(Table1[region],Table1[[#This Row],[region]],Table1[default_flag],1)/COUNTIF(Table1[region],Table1[[#This Row],[region]])</f>
        <v>2.8571428571428571E-2</v>
      </c>
      <c r="AE109" s="2">
        <f>COUNTIFS(Table1[channel],Table1[[#This Row],[channel]],Table1[prepayment_flag],1)/COUNTIF(Table1[channel],Table1[[#This Row],[channel]])</f>
        <v>7.1090047393364927E-2</v>
      </c>
      <c r="AF109" s="2">
        <f>AVERAGEIFS(Table1[interest_rate_pct],Table1[product],Table1[[#This Row],[product]],Table1[risk_band],Table1[[#This Row],[risk_band]])</f>
        <v>7.9444999999999997</v>
      </c>
      <c r="AG109" s="2" t="str" cm="1">
        <f t="array" ref="AG109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109" s="2">
        <f>COUNTIF(Table1[DTI band],Table1[[#This Row],[DTI band]])</f>
        <v>122</v>
      </c>
      <c r="AI109" s="2" t="str" cm="1">
        <f t="array" ref="AI109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109" s="2">
        <f>COUNTIF(Table1[LTV band],Table1[[#This Row],[LTV band]])</f>
        <v>141</v>
      </c>
      <c r="AK109" s="19">
        <f>COUNTIFS(Table1[count_loan_perband],Table1[[#This Row],[count_loan_perband]],Table1[default_flag],1)/COUNTIF(Table1[count_loan_perband],Table1[[#This Row],[count_loan_perband]])</f>
        <v>1.4184397163120567E-2</v>
      </c>
      <c r="AL109" s="19" t="str" cm="1">
        <f t="array" ref="AL109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109" s="19">
        <f>IF(Table1[[#This Row],[dpd]] &gt;=30,1,0)</f>
        <v>0</v>
      </c>
      <c r="AN109" s="19">
        <f>COUNTIFS(Table1[Loan size],Table1[[#This Row],[Loan size]],Table1[dpd flag],1)/COUNTIF(Table1[Loan size],Table1[[#This Row],[Loan size]])</f>
        <v>0.13934426229508196</v>
      </c>
      <c r="AO109" s="19" t="str">
        <f>IF(OR(Table1[[#This Row],[credit_score]] &lt; 600, Table1[ [#This Row],[dti_ratio] ] &gt; 0.5, Table1[[#This Row],[dpd]] &gt;=30), "high risk", " not riskY")</f>
        <v xml:space="preserve"> not riskY</v>
      </c>
      <c r="AP109" s="29">
        <f>EOMONTH(Table1[[#This Row],[origination_date]],0)</f>
        <v>45322</v>
      </c>
      <c r="AQ109" s="19">
        <f>SUMIFS(Table1[loan_amount],Table1[origination month],Table1[[#This Row],[origination month]])</f>
        <v>24741500</v>
      </c>
      <c r="AR109" s="19">
        <f>AVERAGEIFS(Table1[months_on_book],Table1[product],Table1[[#This Row],[product]])</f>
        <v>20.262135922330096</v>
      </c>
      <c r="AS109" s="19" t="str">
        <f ca="1">IF(EDATE(Table1[[#This Row],[origination_date]],6) &gt;= TODAY(), "New Loan", "Old Loan")</f>
        <v>Old Loan</v>
      </c>
      <c r="AT109" s="19" t="str">
        <f>"Q"&amp;ROUNDUP(MONTH(Table1[[#This Row],[origination_date]])/3,0)&amp;YEAR(Table1[[#This Row],[origination_date]])</f>
        <v>Q12024</v>
      </c>
      <c r="AU109" s="19">
        <f>SUMIFS(Table1[loan_amount],Table1[quarter],Table1[[#This Row],[quarter]])</f>
        <v>48515800</v>
      </c>
    </row>
    <row r="110" spans="2:47" x14ac:dyDescent="0.2">
      <c r="B110" s="5" t="s">
        <v>215</v>
      </c>
      <c r="C110" s="2" t="s">
        <v>715</v>
      </c>
      <c r="D110" s="3">
        <v>45335</v>
      </c>
      <c r="E110" s="2" t="s">
        <v>1026</v>
      </c>
      <c r="F110" s="2" t="s">
        <v>1030</v>
      </c>
      <c r="G110" s="2" t="s">
        <v>1035</v>
      </c>
      <c r="H110" s="2" t="s">
        <v>1038</v>
      </c>
      <c r="I110" s="2">
        <v>84</v>
      </c>
      <c r="J110" s="2">
        <v>570800</v>
      </c>
      <c r="K110" s="2">
        <v>16.03</v>
      </c>
      <c r="L110" s="2">
        <v>11347</v>
      </c>
      <c r="M110" s="2">
        <v>539079</v>
      </c>
      <c r="N110" s="2">
        <v>741</v>
      </c>
      <c r="O110" s="2" t="s">
        <v>1044</v>
      </c>
      <c r="P110" s="2">
        <v>0.28999999999999998</v>
      </c>
      <c r="Q110" s="2">
        <v>0.76</v>
      </c>
      <c r="R110" s="2">
        <v>0</v>
      </c>
      <c r="S110" s="2">
        <v>22</v>
      </c>
      <c r="T110" s="2">
        <v>237138</v>
      </c>
      <c r="U110" s="2">
        <v>400761</v>
      </c>
      <c r="V110" s="2">
        <v>30</v>
      </c>
      <c r="W110" s="2">
        <v>0</v>
      </c>
      <c r="X110" s="2">
        <v>0</v>
      </c>
      <c r="Y110" s="2" t="s">
        <v>1048</v>
      </c>
      <c r="Z110" s="12">
        <f>SUMIF(Table1[product],Table1[[#This Row],[product]],Table1[loan_amount])</f>
        <v>74897600</v>
      </c>
      <c r="AA110" s="15">
        <f>SUMIF(Table1[region],Table1[[#This Row],[region]],Table1[current_balance])</f>
        <v>83903255</v>
      </c>
      <c r="AB110" s="2">
        <f>COUNTIF(Table1[loan_status],Table1[[#This Row],[loan_status]])</f>
        <v>47</v>
      </c>
      <c r="AC110" s="2">
        <f>COUNTIF(Table1[default_flag],1)/ROWS(Table1[loan_id])</f>
        <v>2.5999999999999999E-2</v>
      </c>
      <c r="AD110" s="2">
        <f>COUNTIFS(Table1[region],Table1[[#This Row],[region]],Table1[default_flag],1)/COUNTIF(Table1[region],Table1[[#This Row],[region]])</f>
        <v>4.2553191489361701E-2</v>
      </c>
      <c r="AE110" s="2">
        <f>COUNTIFS(Table1[channel],Table1[[#This Row],[channel]],Table1[prepayment_flag],1)/COUNTIF(Table1[channel],Table1[[#This Row],[channel]])</f>
        <v>5.8201058201058198E-2</v>
      </c>
      <c r="AF110" s="2">
        <f>AVERAGEIFS(Table1[interest_rate_pct],Table1[product],Table1[[#This Row],[product]],Table1[risk_band],Table1[[#This Row],[risk_band]])</f>
        <v>16.500166666666669</v>
      </c>
      <c r="AG110" s="2" t="str" cm="1">
        <f t="array" ref="AG110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110" s="2">
        <f>COUNTIF(Table1[DTI band],Table1[[#This Row],[DTI band]])</f>
        <v>122</v>
      </c>
      <c r="AI110" s="2" t="str" cm="1">
        <f t="array" ref="AI110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110" s="2">
        <f>COUNTIF(Table1[LTV band],Table1[[#This Row],[LTV band]])</f>
        <v>302</v>
      </c>
      <c r="AK110" s="19">
        <f>COUNTIFS(Table1[count_loan_perband],Table1[[#This Row],[count_loan_perband]],Table1[default_flag],1)/COUNTIF(Table1[count_loan_perband],Table1[[#This Row],[count_loan_perband]])</f>
        <v>3.6423841059602648E-2</v>
      </c>
      <c r="AL110" s="19" t="str" cm="1">
        <f t="array" ref="AL110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110" s="19">
        <f>IF(Table1[[#This Row],[dpd]] &gt;=30,1,0)</f>
        <v>1</v>
      </c>
      <c r="AN110" s="19">
        <f>COUNTIFS(Table1[Loan size],Table1[[#This Row],[Loan size]],Table1[dpd flag],1)/COUNTIF(Table1[Loan size],Table1[[#This Row],[Loan size]])</f>
        <v>0.13934426229508196</v>
      </c>
      <c r="AO110" s="19" t="str">
        <f>IF(OR(Table1[[#This Row],[credit_score]] &lt; 600, Table1[ [#This Row],[dti_ratio] ] &gt; 0.5, Table1[[#This Row],[dpd]] &gt;=30), "high risk", " not riskY")</f>
        <v>high risk</v>
      </c>
      <c r="AP110" s="29">
        <f>EOMONTH(Table1[[#This Row],[origination_date]],0)</f>
        <v>45351</v>
      </c>
      <c r="AQ110" s="19">
        <f>SUMIFS(Table1[loan_amount],Table1[origination month],Table1[[#This Row],[origination month]])</f>
        <v>10064700</v>
      </c>
      <c r="AR110" s="19">
        <f>AVERAGEIFS(Table1[months_on_book],Table1[product],Table1[[#This Row],[product]])</f>
        <v>21.092024539877301</v>
      </c>
      <c r="AS110" s="19" t="str">
        <f ca="1">IF(EDATE(Table1[[#This Row],[origination_date]],6) &gt;= TODAY(), "New Loan", "Old Loan")</f>
        <v>Old Loan</v>
      </c>
      <c r="AT110" s="19" t="str">
        <f>"Q"&amp;ROUNDUP(MONTH(Table1[[#This Row],[origination_date]])/3,0)&amp;YEAR(Table1[[#This Row],[origination_date]])</f>
        <v>Q12024</v>
      </c>
      <c r="AU110" s="19">
        <f>SUMIFS(Table1[loan_amount],Table1[quarter],Table1[[#This Row],[quarter]])</f>
        <v>48515800</v>
      </c>
    </row>
    <row r="111" spans="2:47" x14ac:dyDescent="0.2">
      <c r="B111" s="5" t="s">
        <v>267</v>
      </c>
      <c r="C111" s="2" t="s">
        <v>767</v>
      </c>
      <c r="D111" s="3">
        <v>45304</v>
      </c>
      <c r="E111" s="2" t="s">
        <v>1026</v>
      </c>
      <c r="F111" s="2" t="s">
        <v>1030</v>
      </c>
      <c r="G111" s="2" t="s">
        <v>1036</v>
      </c>
      <c r="H111" s="2" t="s">
        <v>1038</v>
      </c>
      <c r="I111" s="2">
        <v>12</v>
      </c>
      <c r="J111" s="2">
        <v>236400</v>
      </c>
      <c r="K111" s="2">
        <v>16.899999999999999</v>
      </c>
      <c r="L111" s="2">
        <v>21550</v>
      </c>
      <c r="M111" s="2">
        <v>255165</v>
      </c>
      <c r="N111" s="2">
        <v>702</v>
      </c>
      <c r="O111" s="2" t="s">
        <v>1044</v>
      </c>
      <c r="P111" s="2">
        <v>0.28999999999999998</v>
      </c>
      <c r="Q111" s="2">
        <v>0.66</v>
      </c>
      <c r="R111" s="2">
        <v>0</v>
      </c>
      <c r="S111" s="2">
        <v>12</v>
      </c>
      <c r="T111" s="2">
        <v>250330</v>
      </c>
      <c r="U111" s="2">
        <v>2051</v>
      </c>
      <c r="V111" s="2">
        <v>0</v>
      </c>
      <c r="W111" s="2">
        <v>0</v>
      </c>
      <c r="X111" s="2">
        <v>0</v>
      </c>
      <c r="Y111" s="2" t="s">
        <v>1047</v>
      </c>
      <c r="Z111" s="12">
        <f>SUMIF(Table1[product],Table1[[#This Row],[product]],Table1[loan_amount])</f>
        <v>74897600</v>
      </c>
      <c r="AA111" s="15">
        <f>SUMIF(Table1[region],Table1[[#This Row],[region]],Table1[current_balance])</f>
        <v>98928695</v>
      </c>
      <c r="AB111" s="2">
        <f>COUNTIF(Table1[loan_status],Table1[[#This Row],[loan_status]])</f>
        <v>139</v>
      </c>
      <c r="AC111" s="2">
        <f>COUNTIF(Table1[default_flag],1)/ROWS(Table1[loan_id])</f>
        <v>2.5999999999999999E-2</v>
      </c>
      <c r="AD111" s="2">
        <f>COUNTIFS(Table1[region],Table1[[#This Row],[region]],Table1[default_flag],1)/COUNTIF(Table1[region],Table1[[#This Row],[region]])</f>
        <v>2.8571428571428571E-2</v>
      </c>
      <c r="AE111" s="2">
        <f>COUNTIFS(Table1[channel],Table1[[#This Row],[channel]],Table1[prepayment_flag],1)/COUNTIF(Table1[channel],Table1[[#This Row],[channel]])</f>
        <v>5.8201058201058198E-2</v>
      </c>
      <c r="AF111" s="2">
        <f>AVERAGEIFS(Table1[interest_rate_pct],Table1[product],Table1[[#This Row],[product]],Table1[risk_band],Table1[[#This Row],[risk_band]])</f>
        <v>16.500166666666669</v>
      </c>
      <c r="AG111" s="2" t="str" cm="1">
        <f t="array" ref="AG111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111" s="2">
        <f>COUNTIF(Table1[DTI band],Table1[[#This Row],[DTI band]])</f>
        <v>122</v>
      </c>
      <c r="AI111" s="2" t="str" cm="1">
        <f t="array" ref="AI111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111" s="2">
        <f>COUNTIF(Table1[LTV band],Table1[[#This Row],[LTV band]])</f>
        <v>302</v>
      </c>
      <c r="AK111" s="19">
        <f>COUNTIFS(Table1[count_loan_perband],Table1[[#This Row],[count_loan_perband]],Table1[default_flag],1)/COUNTIF(Table1[count_loan_perband],Table1[[#This Row],[count_loan_perband]])</f>
        <v>3.6423841059602648E-2</v>
      </c>
      <c r="AL111" s="19" t="str" cm="1">
        <f t="array" ref="AL111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111" s="19">
        <f>IF(Table1[[#This Row],[dpd]] &gt;=30,1,0)</f>
        <v>0</v>
      </c>
      <c r="AN111" s="19">
        <f>COUNTIFS(Table1[Loan size],Table1[[#This Row],[Loan size]],Table1[dpd flag],1)/COUNTIF(Table1[Loan size],Table1[[#This Row],[Loan size]])</f>
        <v>0.13934426229508196</v>
      </c>
      <c r="AO111" s="19" t="str">
        <f>IF(OR(Table1[[#This Row],[credit_score]] &lt; 600, Table1[ [#This Row],[dti_ratio] ] &gt; 0.5, Table1[[#This Row],[dpd]] &gt;=30), "high risk", " not riskY")</f>
        <v xml:space="preserve"> not riskY</v>
      </c>
      <c r="AP111" s="29">
        <f>EOMONTH(Table1[[#This Row],[origination_date]],0)</f>
        <v>45322</v>
      </c>
      <c r="AQ111" s="19">
        <f>SUMIFS(Table1[loan_amount],Table1[origination month],Table1[[#This Row],[origination month]])</f>
        <v>24741500</v>
      </c>
      <c r="AR111" s="19">
        <f>AVERAGEIFS(Table1[months_on_book],Table1[product],Table1[[#This Row],[product]])</f>
        <v>21.092024539877301</v>
      </c>
      <c r="AS111" s="19" t="str">
        <f ca="1">IF(EDATE(Table1[[#This Row],[origination_date]],6) &gt;= TODAY(), "New Loan", "Old Loan")</f>
        <v>Old Loan</v>
      </c>
      <c r="AT111" s="19" t="str">
        <f>"Q"&amp;ROUNDUP(MONTH(Table1[[#This Row],[origination_date]])/3,0)&amp;YEAR(Table1[[#This Row],[origination_date]])</f>
        <v>Q12024</v>
      </c>
      <c r="AU111" s="19">
        <f>SUMIFS(Table1[loan_amount],Table1[quarter],Table1[[#This Row],[quarter]])</f>
        <v>48515800</v>
      </c>
    </row>
    <row r="112" spans="2:47" x14ac:dyDescent="0.2">
      <c r="B112" s="5" t="s">
        <v>471</v>
      </c>
      <c r="C112" s="2" t="s">
        <v>971</v>
      </c>
      <c r="D112" s="3">
        <v>45311</v>
      </c>
      <c r="E112" s="2" t="s">
        <v>1027</v>
      </c>
      <c r="F112" s="2" t="s">
        <v>1030</v>
      </c>
      <c r="G112" s="2" t="s">
        <v>1037</v>
      </c>
      <c r="H112" s="2" t="s">
        <v>1038</v>
      </c>
      <c r="I112" s="2">
        <v>60</v>
      </c>
      <c r="J112" s="2">
        <v>8719200</v>
      </c>
      <c r="K112" s="2">
        <v>11.97</v>
      </c>
      <c r="L112" s="2">
        <v>193822</v>
      </c>
      <c r="M112" s="2">
        <v>1277653</v>
      </c>
      <c r="N112" s="2">
        <v>666</v>
      </c>
      <c r="O112" s="2" t="s">
        <v>1042</v>
      </c>
      <c r="P112" s="2">
        <v>0.28999999999999998</v>
      </c>
      <c r="Q112" s="2">
        <v>0.64</v>
      </c>
      <c r="R112" s="2">
        <v>13683000</v>
      </c>
      <c r="S112" s="2">
        <v>23</v>
      </c>
      <c r="T112" s="2">
        <v>3916304</v>
      </c>
      <c r="U112" s="2">
        <v>5603057</v>
      </c>
      <c r="V112" s="2">
        <v>5</v>
      </c>
      <c r="W112" s="2">
        <v>0</v>
      </c>
      <c r="X112" s="2">
        <v>0</v>
      </c>
      <c r="Y112" s="2" t="s">
        <v>1049</v>
      </c>
      <c r="Z112" s="12">
        <f>SUMIF(Table1[product],Table1[[#This Row],[product]],Table1[loan_amount])</f>
        <v>403369500</v>
      </c>
      <c r="AA112" s="15">
        <f>SUMIF(Table1[region],Table1[[#This Row],[region]],Table1[current_balance])</f>
        <v>94548000</v>
      </c>
      <c r="AB112" s="2">
        <f>COUNTIF(Table1[loan_status],Table1[[#This Row],[loan_status]])</f>
        <v>301</v>
      </c>
      <c r="AC112" s="2">
        <f>COUNTIF(Table1[default_flag],1)/ROWS(Table1[loan_id])</f>
        <v>2.5999999999999999E-2</v>
      </c>
      <c r="AD112" s="2">
        <f>COUNTIFS(Table1[region],Table1[[#This Row],[region]],Table1[default_flag],1)/COUNTIF(Table1[region],Table1[[#This Row],[region]])</f>
        <v>0</v>
      </c>
      <c r="AE112" s="2">
        <f>COUNTIFS(Table1[channel],Table1[[#This Row],[channel]],Table1[prepayment_flag],1)/COUNTIF(Table1[channel],Table1[[#This Row],[channel]])</f>
        <v>5.8201058201058198E-2</v>
      </c>
      <c r="AF112" s="2">
        <f>AVERAGEIFS(Table1[interest_rate_pct],Table1[product],Table1[[#This Row],[product]],Table1[risk_band],Table1[[#This Row],[risk_band]])</f>
        <v>11.719736842105268</v>
      </c>
      <c r="AG112" s="2" t="str" cm="1">
        <f t="array" ref="AG112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112" s="2">
        <f>COUNTIF(Table1[DTI band],Table1[[#This Row],[DTI band]])</f>
        <v>122</v>
      </c>
      <c r="AI112" s="2" t="str" cm="1">
        <f t="array" ref="AI112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112" s="2">
        <f>COUNTIF(Table1[LTV band],Table1[[#This Row],[LTV band]])</f>
        <v>302</v>
      </c>
      <c r="AK112" s="19">
        <f>COUNTIFS(Table1[count_loan_perband],Table1[[#This Row],[count_loan_perband]],Table1[default_flag],1)/COUNTIF(Table1[count_loan_perband],Table1[[#This Row],[count_loan_perband]])</f>
        <v>3.6423841059602648E-2</v>
      </c>
      <c r="AL112" s="19" t="str" cm="1">
        <f t="array" ref="AL112">_xlfn.IFS(Table1[[#This Row],[loan_amount]] &lt; 900000, "lower size (&lt; 9L)", Table1[[#This Row],[loan_amount]] &lt;=3300000, "medium size (&lt;=33L)", Table1[[#This Row],[loan_amount]] &gt; 3300000, "larger size (&gt; 33L)")</f>
        <v>larger size (&gt; 33L)</v>
      </c>
      <c r="AM112" s="19">
        <f>IF(Table1[[#This Row],[dpd]] &gt;=30,1,0)</f>
        <v>0</v>
      </c>
      <c r="AN112" s="19">
        <f>COUNTIFS(Table1[Loan size],Table1[[#This Row],[Loan size]],Table1[dpd flag],1)/COUNTIF(Table1[Loan size],Table1[[#This Row],[Loan size]])</f>
        <v>0.16250000000000001</v>
      </c>
      <c r="AO112" s="19" t="str">
        <f>IF(OR(Table1[[#This Row],[credit_score]] &lt; 600, Table1[ [#This Row],[dti_ratio] ] &gt; 0.5, Table1[[#This Row],[dpd]] &gt;=30), "high risk", " not riskY")</f>
        <v xml:space="preserve"> not riskY</v>
      </c>
      <c r="AP112" s="29">
        <f>EOMONTH(Table1[[#This Row],[origination_date]],0)</f>
        <v>45322</v>
      </c>
      <c r="AQ112" s="19">
        <f>SUMIFS(Table1[loan_amount],Table1[origination month],Table1[[#This Row],[origination month]])</f>
        <v>24741500</v>
      </c>
      <c r="AR112" s="19">
        <f>AVERAGEIFS(Table1[months_on_book],Table1[product],Table1[[#This Row],[product]])</f>
        <v>20.516129032258064</v>
      </c>
      <c r="AS112" s="19" t="str">
        <f ca="1">IF(EDATE(Table1[[#This Row],[origination_date]],6) &gt;= TODAY(), "New Loan", "Old Loan")</f>
        <v>Old Loan</v>
      </c>
      <c r="AT112" s="19" t="str">
        <f>"Q"&amp;ROUNDUP(MONTH(Table1[[#This Row],[origination_date]])/3,0)&amp;YEAR(Table1[[#This Row],[origination_date]])</f>
        <v>Q12024</v>
      </c>
      <c r="AU112" s="19">
        <f>SUMIFS(Table1[loan_amount],Table1[quarter],Table1[[#This Row],[quarter]])</f>
        <v>48515800</v>
      </c>
    </row>
    <row r="113" spans="2:47" x14ac:dyDescent="0.2">
      <c r="B113" s="5" t="s">
        <v>313</v>
      </c>
      <c r="C113" s="2" t="s">
        <v>813</v>
      </c>
      <c r="D113" s="3">
        <v>45297</v>
      </c>
      <c r="E113" s="2" t="s">
        <v>1026</v>
      </c>
      <c r="F113" s="2" t="s">
        <v>1031</v>
      </c>
      <c r="G113" s="2" t="s">
        <v>1034</v>
      </c>
      <c r="H113" s="2" t="s">
        <v>1039</v>
      </c>
      <c r="I113" s="2">
        <v>72</v>
      </c>
      <c r="J113" s="2">
        <v>266600</v>
      </c>
      <c r="K113" s="2">
        <v>21.55</v>
      </c>
      <c r="L113" s="2">
        <v>6628</v>
      </c>
      <c r="M113" s="2">
        <v>1387225</v>
      </c>
      <c r="N113" s="2">
        <v>615</v>
      </c>
      <c r="O113" s="2" t="s">
        <v>1045</v>
      </c>
      <c r="P113" s="2">
        <v>0.26</v>
      </c>
      <c r="Q113" s="2">
        <v>0.82</v>
      </c>
      <c r="R113" s="2">
        <v>0</v>
      </c>
      <c r="S113" s="2">
        <v>23</v>
      </c>
      <c r="T113" s="2">
        <v>134599</v>
      </c>
      <c r="U113" s="2">
        <v>176048</v>
      </c>
      <c r="V113" s="2">
        <v>0</v>
      </c>
      <c r="W113" s="2">
        <v>0</v>
      </c>
      <c r="X113" s="2">
        <v>0</v>
      </c>
      <c r="Y113" s="2" t="s">
        <v>1049</v>
      </c>
      <c r="Z113" s="12">
        <f>SUMIF(Table1[product],Table1[[#This Row],[product]],Table1[loan_amount])</f>
        <v>74897600</v>
      </c>
      <c r="AA113" s="15">
        <f>SUMIF(Table1[region],Table1[[#This Row],[region]],Table1[current_balance])</f>
        <v>105779369</v>
      </c>
      <c r="AB113" s="2">
        <f>COUNTIF(Table1[loan_status],Table1[[#This Row],[loan_status]])</f>
        <v>301</v>
      </c>
      <c r="AC113" s="2">
        <f>COUNTIF(Table1[default_flag],1)/ROWS(Table1[loan_id])</f>
        <v>2.5999999999999999E-2</v>
      </c>
      <c r="AD113" s="2">
        <f>COUNTIFS(Table1[region],Table1[[#This Row],[region]],Table1[default_flag],1)/COUNTIF(Table1[region],Table1[[#This Row],[region]])</f>
        <v>2.6548672566371681E-2</v>
      </c>
      <c r="AE113" s="2">
        <f>COUNTIFS(Table1[channel],Table1[[#This Row],[channel]],Table1[prepayment_flag],1)/COUNTIF(Table1[channel],Table1[[#This Row],[channel]])</f>
        <v>0.12</v>
      </c>
      <c r="AF113" s="2">
        <f>AVERAGEIFS(Table1[interest_rate_pct],Table1[product],Table1[[#This Row],[product]],Table1[risk_band],Table1[[#This Row],[risk_band]])</f>
        <v>20.962592592592593</v>
      </c>
      <c r="AG113" s="2" t="str" cm="1">
        <f t="array" ref="AG113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113" s="2">
        <f>COUNTIF(Table1[DTI band],Table1[[#This Row],[DTI band]])</f>
        <v>122</v>
      </c>
      <c r="AI113" s="2" t="str" cm="1">
        <f t="array" ref="AI113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113" s="2">
        <f>COUNTIF(Table1[LTV band],Table1[[#This Row],[LTV band]])</f>
        <v>141</v>
      </c>
      <c r="AK113" s="19">
        <f>COUNTIFS(Table1[count_loan_perband],Table1[[#This Row],[count_loan_perband]],Table1[default_flag],1)/COUNTIF(Table1[count_loan_perband],Table1[[#This Row],[count_loan_perband]])</f>
        <v>1.4184397163120567E-2</v>
      </c>
      <c r="AL113" s="19" t="str" cm="1">
        <f t="array" ref="AL113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113" s="19">
        <f>IF(Table1[[#This Row],[dpd]] &gt;=30,1,0)</f>
        <v>0</v>
      </c>
      <c r="AN113" s="19">
        <f>COUNTIFS(Table1[Loan size],Table1[[#This Row],[Loan size]],Table1[dpd flag],1)/COUNTIF(Table1[Loan size],Table1[[#This Row],[Loan size]])</f>
        <v>0.13934426229508196</v>
      </c>
      <c r="AO113" s="19" t="str">
        <f>IF(OR(Table1[[#This Row],[credit_score]] &lt; 600, Table1[ [#This Row],[dti_ratio] ] &gt; 0.5, Table1[[#This Row],[dpd]] &gt;=30), "high risk", " not riskY")</f>
        <v xml:space="preserve"> not riskY</v>
      </c>
      <c r="AP113" s="29">
        <f>EOMONTH(Table1[[#This Row],[origination_date]],0)</f>
        <v>45322</v>
      </c>
      <c r="AQ113" s="19">
        <f>SUMIFS(Table1[loan_amount],Table1[origination month],Table1[[#This Row],[origination month]])</f>
        <v>24741500</v>
      </c>
      <c r="AR113" s="19">
        <f>AVERAGEIFS(Table1[months_on_book],Table1[product],Table1[[#This Row],[product]])</f>
        <v>21.092024539877301</v>
      </c>
      <c r="AS113" s="19" t="str">
        <f ca="1">IF(EDATE(Table1[[#This Row],[origination_date]],6) &gt;= TODAY(), "New Loan", "Old Loan")</f>
        <v>Old Loan</v>
      </c>
      <c r="AT113" s="19" t="str">
        <f>"Q"&amp;ROUNDUP(MONTH(Table1[[#This Row],[origination_date]])/3,0)&amp;YEAR(Table1[[#This Row],[origination_date]])</f>
        <v>Q12024</v>
      </c>
      <c r="AU113" s="19">
        <f>SUMIFS(Table1[loan_amount],Table1[quarter],Table1[[#This Row],[quarter]])</f>
        <v>48515800</v>
      </c>
    </row>
    <row r="114" spans="2:47" x14ac:dyDescent="0.2">
      <c r="B114" s="5" t="s">
        <v>33</v>
      </c>
      <c r="C114" s="2" t="s">
        <v>533</v>
      </c>
      <c r="D114" s="3">
        <v>45380</v>
      </c>
      <c r="E114" s="2" t="s">
        <v>1024</v>
      </c>
      <c r="F114" s="2" t="s">
        <v>1032</v>
      </c>
      <c r="G114" s="2" t="s">
        <v>1037</v>
      </c>
      <c r="H114" s="2" t="s">
        <v>1039</v>
      </c>
      <c r="I114" s="2">
        <v>180</v>
      </c>
      <c r="J114" s="2">
        <v>245200</v>
      </c>
      <c r="K114" s="2">
        <v>17.52</v>
      </c>
      <c r="L114" s="2">
        <v>3864</v>
      </c>
      <c r="M114" s="2">
        <v>598020</v>
      </c>
      <c r="N114" s="2">
        <v>569</v>
      </c>
      <c r="O114" s="2" t="s">
        <v>1046</v>
      </c>
      <c r="P114" s="2">
        <v>0.24</v>
      </c>
      <c r="Q114" s="2">
        <v>0.61</v>
      </c>
      <c r="R114" s="2">
        <v>403200</v>
      </c>
      <c r="S114" s="2">
        <v>21</v>
      </c>
      <c r="T114" s="2">
        <v>70709</v>
      </c>
      <c r="U114" s="2">
        <v>204562</v>
      </c>
      <c r="V114" s="2">
        <v>15</v>
      </c>
      <c r="W114" s="2">
        <v>0</v>
      </c>
      <c r="X114" s="2">
        <v>0</v>
      </c>
      <c r="Y114" s="2" t="s">
        <v>1049</v>
      </c>
      <c r="Z114" s="12">
        <f>SUMIF(Table1[product],Table1[[#This Row],[product]],Table1[loan_amount])</f>
        <v>92273000</v>
      </c>
      <c r="AA114" s="15">
        <f>SUMIF(Table1[region],Table1[[#This Row],[region]],Table1[current_balance])</f>
        <v>94548000</v>
      </c>
      <c r="AB114" s="2">
        <f>COUNTIF(Table1[loan_status],Table1[[#This Row],[loan_status]])</f>
        <v>301</v>
      </c>
      <c r="AC114" s="2">
        <f>COUNTIF(Table1[default_flag],1)/ROWS(Table1[loan_id])</f>
        <v>2.5999999999999999E-2</v>
      </c>
      <c r="AD114" s="2">
        <f>COUNTIFS(Table1[region],Table1[[#This Row],[region]],Table1[default_flag],1)/COUNTIF(Table1[region],Table1[[#This Row],[region]])</f>
        <v>0</v>
      </c>
      <c r="AE114" s="2">
        <f>COUNTIFS(Table1[channel],Table1[[#This Row],[channel]],Table1[prepayment_flag],1)/COUNTIF(Table1[channel],Table1[[#This Row],[channel]])</f>
        <v>0.1</v>
      </c>
      <c r="AF114" s="2">
        <f>AVERAGEIFS(Table1[interest_rate_pct],Table1[product],Table1[[#This Row],[product]],Table1[risk_band],Table1[[#This Row],[risk_band]])</f>
        <v>17.744166666666668</v>
      </c>
      <c r="AG114" s="2" t="str" cm="1">
        <f t="array" ref="AG114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114" s="2">
        <f>COUNTIF(Table1[DTI band],Table1[[#This Row],[DTI band]])</f>
        <v>122</v>
      </c>
      <c r="AI114" s="2" t="str" cm="1">
        <f t="array" ref="AI114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114" s="2">
        <f>COUNTIF(Table1[LTV band],Table1[[#This Row],[LTV band]])</f>
        <v>302</v>
      </c>
      <c r="AK114" s="19">
        <f>COUNTIFS(Table1[count_loan_perband],Table1[[#This Row],[count_loan_perband]],Table1[default_flag],1)/COUNTIF(Table1[count_loan_perband],Table1[[#This Row],[count_loan_perband]])</f>
        <v>3.6423841059602648E-2</v>
      </c>
      <c r="AL114" s="19" t="str" cm="1">
        <f t="array" ref="AL114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114" s="19">
        <f>IF(Table1[[#This Row],[dpd]] &gt;=30,1,0)</f>
        <v>0</v>
      </c>
      <c r="AN114" s="19">
        <f>COUNTIFS(Table1[Loan size],Table1[[#This Row],[Loan size]],Table1[dpd flag],1)/COUNTIF(Table1[Loan size],Table1[[#This Row],[Loan size]])</f>
        <v>0.13934426229508196</v>
      </c>
      <c r="AO114" s="19" t="str">
        <f>IF(OR(Table1[[#This Row],[credit_score]] &lt; 600, Table1[ [#This Row],[dti_ratio] ] &gt; 0.5, Table1[[#This Row],[dpd]] &gt;=30), "high risk", " not riskY")</f>
        <v>high risk</v>
      </c>
      <c r="AP114" s="29">
        <f>EOMONTH(Table1[[#This Row],[origination_date]],0)</f>
        <v>45382</v>
      </c>
      <c r="AQ114" s="19">
        <f>SUMIFS(Table1[loan_amount],Table1[origination month],Table1[[#This Row],[origination month]])</f>
        <v>13709600</v>
      </c>
      <c r="AR114" s="19">
        <f>AVERAGEIFS(Table1[months_on_book],Table1[product],Table1[[#This Row],[product]])</f>
        <v>20.262135922330096</v>
      </c>
      <c r="AS114" s="19" t="str">
        <f ca="1">IF(EDATE(Table1[[#This Row],[origination_date]],6) &gt;= TODAY(), "New Loan", "Old Loan")</f>
        <v>Old Loan</v>
      </c>
      <c r="AT114" s="19" t="str">
        <f>"Q"&amp;ROUNDUP(MONTH(Table1[[#This Row],[origination_date]])/3,0)&amp;YEAR(Table1[[#This Row],[origination_date]])</f>
        <v>Q12024</v>
      </c>
      <c r="AU114" s="19">
        <f>SUMIFS(Table1[loan_amount],Table1[quarter],Table1[[#This Row],[quarter]])</f>
        <v>48515800</v>
      </c>
    </row>
    <row r="115" spans="2:47" x14ac:dyDescent="0.2">
      <c r="B115" s="5" t="s">
        <v>265</v>
      </c>
      <c r="C115" s="2" t="s">
        <v>765</v>
      </c>
      <c r="D115" s="3">
        <v>45372</v>
      </c>
      <c r="E115" s="2" t="s">
        <v>1026</v>
      </c>
      <c r="F115" s="2" t="s">
        <v>1029</v>
      </c>
      <c r="G115" s="2" t="s">
        <v>1034</v>
      </c>
      <c r="H115" s="2" t="s">
        <v>1039</v>
      </c>
      <c r="I115" s="2">
        <v>360</v>
      </c>
      <c r="J115" s="2">
        <v>347500</v>
      </c>
      <c r="K115" s="2">
        <v>17.72</v>
      </c>
      <c r="L115" s="2">
        <v>5158</v>
      </c>
      <c r="M115" s="2">
        <v>880510</v>
      </c>
      <c r="N115" s="2">
        <v>693</v>
      </c>
      <c r="O115" s="2" t="s">
        <v>1042</v>
      </c>
      <c r="P115" s="2">
        <v>0.24</v>
      </c>
      <c r="Q115" s="2">
        <v>0.79</v>
      </c>
      <c r="R115" s="2">
        <v>0</v>
      </c>
      <c r="S115" s="2">
        <v>21</v>
      </c>
      <c r="T115" s="2">
        <v>109984</v>
      </c>
      <c r="U115" s="2">
        <v>280620</v>
      </c>
      <c r="V115" s="2">
        <v>0</v>
      </c>
      <c r="W115" s="2">
        <v>0</v>
      </c>
      <c r="X115" s="2">
        <v>0</v>
      </c>
      <c r="Y115" s="2" t="s">
        <v>1049</v>
      </c>
      <c r="Z115" s="12">
        <f>SUMIF(Table1[product],Table1[[#This Row],[product]],Table1[loan_amount])</f>
        <v>74897600</v>
      </c>
      <c r="AA115" s="15">
        <f>SUMIF(Table1[region],Table1[[#This Row],[region]],Table1[current_balance])</f>
        <v>105779369</v>
      </c>
      <c r="AB115" s="2">
        <f>COUNTIF(Table1[loan_status],Table1[[#This Row],[loan_status]])</f>
        <v>301</v>
      </c>
      <c r="AC115" s="2">
        <f>COUNTIF(Table1[default_flag],1)/ROWS(Table1[loan_id])</f>
        <v>2.5999999999999999E-2</v>
      </c>
      <c r="AD115" s="2">
        <f>COUNTIFS(Table1[region],Table1[[#This Row],[region]],Table1[default_flag],1)/COUNTIF(Table1[region],Table1[[#This Row],[region]])</f>
        <v>2.6548672566371681E-2</v>
      </c>
      <c r="AE115" s="2">
        <f>COUNTIFS(Table1[channel],Table1[[#This Row],[channel]],Table1[prepayment_flag],1)/COUNTIF(Table1[channel],Table1[[#This Row],[channel]])</f>
        <v>7.1090047393364927E-2</v>
      </c>
      <c r="AF115" s="2">
        <f>AVERAGEIFS(Table1[interest_rate_pct],Table1[product],Table1[[#This Row],[product]],Table1[risk_band],Table1[[#This Row],[risk_band]])</f>
        <v>18.603181818181817</v>
      </c>
      <c r="AG115" s="2" t="str" cm="1">
        <f t="array" ref="AG115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115" s="2">
        <f>COUNTIF(Table1[DTI band],Table1[[#This Row],[DTI band]])</f>
        <v>122</v>
      </c>
      <c r="AI115" s="2" t="str" cm="1">
        <f t="array" ref="AI115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115" s="2">
        <f>COUNTIF(Table1[LTV band],Table1[[#This Row],[LTV band]])</f>
        <v>302</v>
      </c>
      <c r="AK115" s="19">
        <f>COUNTIFS(Table1[count_loan_perband],Table1[[#This Row],[count_loan_perband]],Table1[default_flag],1)/COUNTIF(Table1[count_loan_perband],Table1[[#This Row],[count_loan_perband]])</f>
        <v>3.6423841059602648E-2</v>
      </c>
      <c r="AL115" s="19" t="str" cm="1">
        <f t="array" ref="AL115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115" s="19">
        <f>IF(Table1[[#This Row],[dpd]] &gt;=30,1,0)</f>
        <v>0</v>
      </c>
      <c r="AN115" s="19">
        <f>COUNTIFS(Table1[Loan size],Table1[[#This Row],[Loan size]],Table1[dpd flag],1)/COUNTIF(Table1[Loan size],Table1[[#This Row],[Loan size]])</f>
        <v>0.13934426229508196</v>
      </c>
      <c r="AO115" s="19" t="str">
        <f>IF(OR(Table1[[#This Row],[credit_score]] &lt; 600, Table1[ [#This Row],[dti_ratio] ] &gt; 0.5, Table1[[#This Row],[dpd]] &gt;=30), "high risk", " not riskY")</f>
        <v xml:space="preserve"> not riskY</v>
      </c>
      <c r="AP115" s="29">
        <f>EOMONTH(Table1[[#This Row],[origination_date]],0)</f>
        <v>45382</v>
      </c>
      <c r="AQ115" s="19">
        <f>SUMIFS(Table1[loan_amount],Table1[origination month],Table1[[#This Row],[origination month]])</f>
        <v>13709600</v>
      </c>
      <c r="AR115" s="19">
        <f>AVERAGEIFS(Table1[months_on_book],Table1[product],Table1[[#This Row],[product]])</f>
        <v>21.092024539877301</v>
      </c>
      <c r="AS115" s="19" t="str">
        <f ca="1">IF(EDATE(Table1[[#This Row],[origination_date]],6) &gt;= TODAY(), "New Loan", "Old Loan")</f>
        <v>Old Loan</v>
      </c>
      <c r="AT115" s="19" t="str">
        <f>"Q"&amp;ROUNDUP(MONTH(Table1[[#This Row],[origination_date]])/3,0)&amp;YEAR(Table1[[#This Row],[origination_date]])</f>
        <v>Q12024</v>
      </c>
      <c r="AU115" s="19">
        <f>SUMIFS(Table1[loan_amount],Table1[quarter],Table1[[#This Row],[quarter]])</f>
        <v>48515800</v>
      </c>
    </row>
    <row r="116" spans="2:47" x14ac:dyDescent="0.2">
      <c r="B116" s="5" t="s">
        <v>374</v>
      </c>
      <c r="C116" s="2" t="s">
        <v>874</v>
      </c>
      <c r="D116" s="3">
        <v>45334</v>
      </c>
      <c r="E116" s="2" t="s">
        <v>1027</v>
      </c>
      <c r="F116" s="2" t="s">
        <v>1029</v>
      </c>
      <c r="G116" s="2" t="s">
        <v>1033</v>
      </c>
      <c r="H116" s="2" t="s">
        <v>1038</v>
      </c>
      <c r="I116" s="2">
        <v>360</v>
      </c>
      <c r="J116" s="2">
        <v>1365400</v>
      </c>
      <c r="K116" s="2">
        <v>12.08</v>
      </c>
      <c r="L116" s="2">
        <v>14129</v>
      </c>
      <c r="M116" s="2">
        <v>1192382</v>
      </c>
      <c r="N116" s="2">
        <v>670</v>
      </c>
      <c r="O116" s="2" t="s">
        <v>1042</v>
      </c>
      <c r="P116" s="2">
        <v>0.23</v>
      </c>
      <c r="Q116" s="2">
        <v>0.81</v>
      </c>
      <c r="R116" s="2">
        <v>1685100</v>
      </c>
      <c r="S116" s="2">
        <v>22</v>
      </c>
      <c r="T116" s="2">
        <v>301526</v>
      </c>
      <c r="U116" s="2">
        <v>1184830</v>
      </c>
      <c r="V116" s="2">
        <v>0</v>
      </c>
      <c r="W116" s="2">
        <v>0</v>
      </c>
      <c r="X116" s="2">
        <v>0</v>
      </c>
      <c r="Y116" s="2" t="s">
        <v>1049</v>
      </c>
      <c r="Z116" s="12">
        <f>SUMIF(Table1[product],Table1[[#This Row],[product]],Table1[loan_amount])</f>
        <v>403369500</v>
      </c>
      <c r="AA116" s="15">
        <f>SUMIF(Table1[region],Table1[[#This Row],[region]],Table1[current_balance])</f>
        <v>83297251</v>
      </c>
      <c r="AB116" s="2">
        <f>COUNTIF(Table1[loan_status],Table1[[#This Row],[loan_status]])</f>
        <v>301</v>
      </c>
      <c r="AC116" s="2">
        <f>COUNTIF(Table1[default_flag],1)/ROWS(Table1[loan_id])</f>
        <v>2.5999999999999999E-2</v>
      </c>
      <c r="AD116" s="2">
        <f>COUNTIFS(Table1[region],Table1[[#This Row],[region]],Table1[default_flag],1)/COUNTIF(Table1[region],Table1[[#This Row],[region]])</f>
        <v>3.1914893617021274E-2</v>
      </c>
      <c r="AE116" s="2">
        <f>COUNTIFS(Table1[channel],Table1[[#This Row],[channel]],Table1[prepayment_flag],1)/COUNTIF(Table1[channel],Table1[[#This Row],[channel]])</f>
        <v>7.1090047393364927E-2</v>
      </c>
      <c r="AF116" s="2">
        <f>AVERAGEIFS(Table1[interest_rate_pct],Table1[product],Table1[[#This Row],[product]],Table1[risk_band],Table1[[#This Row],[risk_band]])</f>
        <v>11.719736842105268</v>
      </c>
      <c r="AG116" s="2" t="str" cm="1">
        <f t="array" ref="AG116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116" s="2">
        <f>COUNTIF(Table1[DTI band],Table1[[#This Row],[DTI band]])</f>
        <v>122</v>
      </c>
      <c r="AI116" s="2" t="str" cm="1">
        <f t="array" ref="AI116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116" s="2">
        <f>COUNTIF(Table1[LTV band],Table1[[#This Row],[LTV band]])</f>
        <v>141</v>
      </c>
      <c r="AK116" s="19">
        <f>COUNTIFS(Table1[count_loan_perband],Table1[[#This Row],[count_loan_perband]],Table1[default_flag],1)/COUNTIF(Table1[count_loan_perband],Table1[[#This Row],[count_loan_perband]])</f>
        <v>1.4184397163120567E-2</v>
      </c>
      <c r="AL116" s="19" t="str" cm="1">
        <f t="array" ref="AL116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116" s="19">
        <f>IF(Table1[[#This Row],[dpd]] &gt;=30,1,0)</f>
        <v>0</v>
      </c>
      <c r="AN116" s="19">
        <f>COUNTIFS(Table1[Loan size],Table1[[#This Row],[Loan size]],Table1[dpd flag],1)/COUNTIF(Table1[Loan size],Table1[[#This Row],[Loan size]])</f>
        <v>0.15909090909090909</v>
      </c>
      <c r="AO116" s="19" t="str">
        <f>IF(OR(Table1[[#This Row],[credit_score]] &lt; 600, Table1[ [#This Row],[dti_ratio] ] &gt; 0.5, Table1[[#This Row],[dpd]] &gt;=30), "high risk", " not riskY")</f>
        <v xml:space="preserve"> not riskY</v>
      </c>
      <c r="AP116" s="29">
        <f>EOMONTH(Table1[[#This Row],[origination_date]],0)</f>
        <v>45351</v>
      </c>
      <c r="AQ116" s="19">
        <f>SUMIFS(Table1[loan_amount],Table1[origination month],Table1[[#This Row],[origination month]])</f>
        <v>10064700</v>
      </c>
      <c r="AR116" s="19">
        <f>AVERAGEIFS(Table1[months_on_book],Table1[product],Table1[[#This Row],[product]])</f>
        <v>20.516129032258064</v>
      </c>
      <c r="AS116" s="19" t="str">
        <f ca="1">IF(EDATE(Table1[[#This Row],[origination_date]],6) &gt;= TODAY(), "New Loan", "Old Loan")</f>
        <v>Old Loan</v>
      </c>
      <c r="AT116" s="19" t="str">
        <f>"Q"&amp;ROUNDUP(MONTH(Table1[[#This Row],[origination_date]])/3,0)&amp;YEAR(Table1[[#This Row],[origination_date]])</f>
        <v>Q12024</v>
      </c>
      <c r="AU116" s="19">
        <f>SUMIFS(Table1[loan_amount],Table1[quarter],Table1[[#This Row],[quarter]])</f>
        <v>48515800</v>
      </c>
    </row>
    <row r="117" spans="2:47" x14ac:dyDescent="0.2">
      <c r="B117" s="5" t="s">
        <v>168</v>
      </c>
      <c r="C117" s="2" t="s">
        <v>668</v>
      </c>
      <c r="D117" s="3">
        <v>45356</v>
      </c>
      <c r="E117" s="2" t="s">
        <v>1024</v>
      </c>
      <c r="F117" s="2" t="s">
        <v>1032</v>
      </c>
      <c r="G117" s="2" t="s">
        <v>1034</v>
      </c>
      <c r="H117" s="2" t="s">
        <v>1039</v>
      </c>
      <c r="I117" s="2">
        <v>36</v>
      </c>
      <c r="J117" s="2">
        <v>600800</v>
      </c>
      <c r="K117" s="2">
        <v>8.7200000000000006</v>
      </c>
      <c r="L117" s="2">
        <v>19027</v>
      </c>
      <c r="M117" s="2">
        <v>510785</v>
      </c>
      <c r="N117" s="2">
        <v>766</v>
      </c>
      <c r="O117" s="2" t="s">
        <v>1043</v>
      </c>
      <c r="P117" s="2">
        <v>0.21</v>
      </c>
      <c r="Q117" s="2">
        <v>0.48</v>
      </c>
      <c r="R117" s="2">
        <v>1248000</v>
      </c>
      <c r="S117" s="2">
        <v>21</v>
      </c>
      <c r="T117" s="2">
        <v>354531</v>
      </c>
      <c r="U117" s="2">
        <v>282942</v>
      </c>
      <c r="V117" s="2">
        <v>0</v>
      </c>
      <c r="W117" s="2">
        <v>0</v>
      </c>
      <c r="X117" s="2">
        <v>0</v>
      </c>
      <c r="Y117" s="2" t="s">
        <v>1049</v>
      </c>
      <c r="Z117" s="12">
        <f>SUMIF(Table1[product],Table1[[#This Row],[product]],Table1[loan_amount])</f>
        <v>92273000</v>
      </c>
      <c r="AA117" s="15">
        <f>SUMIF(Table1[region],Table1[[#This Row],[region]],Table1[current_balance])</f>
        <v>105779369</v>
      </c>
      <c r="AB117" s="2">
        <f>COUNTIF(Table1[loan_status],Table1[[#This Row],[loan_status]])</f>
        <v>301</v>
      </c>
      <c r="AC117" s="2">
        <f>COUNTIF(Table1[default_flag],1)/ROWS(Table1[loan_id])</f>
        <v>2.5999999999999999E-2</v>
      </c>
      <c r="AD117" s="2">
        <f>COUNTIFS(Table1[region],Table1[[#This Row],[region]],Table1[default_flag],1)/COUNTIF(Table1[region],Table1[[#This Row],[region]])</f>
        <v>2.6548672566371681E-2</v>
      </c>
      <c r="AE117" s="2">
        <f>COUNTIFS(Table1[channel],Table1[[#This Row],[channel]],Table1[prepayment_flag],1)/COUNTIF(Table1[channel],Table1[[#This Row],[channel]])</f>
        <v>0.1</v>
      </c>
      <c r="AF117" s="2">
        <f>AVERAGEIFS(Table1[interest_rate_pct],Table1[product],Table1[[#This Row],[product]],Table1[risk_band],Table1[[#This Row],[risk_band]])</f>
        <v>7.9444999999999997</v>
      </c>
      <c r="AG117" s="2" t="str" cm="1">
        <f t="array" ref="AG117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117" s="2">
        <f>COUNTIF(Table1[DTI band],Table1[[#This Row],[DTI band]])</f>
        <v>122</v>
      </c>
      <c r="AI117" s="2" t="str" cm="1">
        <f t="array" ref="AI117">_xlfn.IFS(Table1[[#This Row],[ltv_ratio]] &lt; 0.6, "less than 0.6 -less risky", Table1[[#This Row],[ltv_ratio]]  &lt;= 0.8, "0.6 - 0.8 -medium risky",Table1[[#This Row],[ltv_ratio]] &gt; 0.8, "greater than 0.8 -highly risky")</f>
        <v>less than 0.6 -less risky</v>
      </c>
      <c r="AJ117" s="2">
        <f>COUNTIF(Table1[LTV band],Table1[[#This Row],[LTV band]])</f>
        <v>57</v>
      </c>
      <c r="AK117" s="19">
        <f>COUNTIFS(Table1[count_loan_perband],Table1[[#This Row],[count_loan_perband]],Table1[default_flag],1)/COUNTIF(Table1[count_loan_perband],Table1[[#This Row],[count_loan_perband]])</f>
        <v>0</v>
      </c>
      <c r="AL117" s="19" t="str" cm="1">
        <f t="array" ref="AL117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117" s="19">
        <f>IF(Table1[[#This Row],[dpd]] &gt;=30,1,0)</f>
        <v>0</v>
      </c>
      <c r="AN117" s="19">
        <f>COUNTIFS(Table1[Loan size],Table1[[#This Row],[Loan size]],Table1[dpd flag],1)/COUNTIF(Table1[Loan size],Table1[[#This Row],[Loan size]])</f>
        <v>0.13934426229508196</v>
      </c>
      <c r="AO117" s="19" t="str">
        <f>IF(OR(Table1[[#This Row],[credit_score]] &lt; 600, Table1[ [#This Row],[dti_ratio] ] &gt; 0.5, Table1[[#This Row],[dpd]] &gt;=30), "high risk", " not riskY")</f>
        <v xml:space="preserve"> not riskY</v>
      </c>
      <c r="AP117" s="29">
        <f>EOMONTH(Table1[[#This Row],[origination_date]],0)</f>
        <v>45382</v>
      </c>
      <c r="AQ117" s="19">
        <f>SUMIFS(Table1[loan_amount],Table1[origination month],Table1[[#This Row],[origination month]])</f>
        <v>13709600</v>
      </c>
      <c r="AR117" s="19">
        <f>AVERAGEIFS(Table1[months_on_book],Table1[product],Table1[[#This Row],[product]])</f>
        <v>20.262135922330096</v>
      </c>
      <c r="AS117" s="19" t="str">
        <f ca="1">IF(EDATE(Table1[[#This Row],[origination_date]],6) &gt;= TODAY(), "New Loan", "Old Loan")</f>
        <v>Old Loan</v>
      </c>
      <c r="AT117" s="19" t="str">
        <f>"Q"&amp;ROUNDUP(MONTH(Table1[[#This Row],[origination_date]])/3,0)&amp;YEAR(Table1[[#This Row],[origination_date]])</f>
        <v>Q12024</v>
      </c>
      <c r="AU117" s="19">
        <f>SUMIFS(Table1[loan_amount],Table1[quarter],Table1[[#This Row],[quarter]])</f>
        <v>48515800</v>
      </c>
    </row>
    <row r="118" spans="2:47" x14ac:dyDescent="0.2">
      <c r="B118" s="5" t="s">
        <v>244</v>
      </c>
      <c r="C118" s="2" t="s">
        <v>744</v>
      </c>
      <c r="D118" s="3">
        <v>45363</v>
      </c>
      <c r="E118" s="2" t="s">
        <v>1025</v>
      </c>
      <c r="F118" s="2" t="s">
        <v>1029</v>
      </c>
      <c r="G118" s="2" t="s">
        <v>1035</v>
      </c>
      <c r="H118" s="2" t="s">
        <v>1041</v>
      </c>
      <c r="I118" s="2">
        <v>360</v>
      </c>
      <c r="J118" s="2">
        <v>1030100</v>
      </c>
      <c r="K118" s="2">
        <v>15</v>
      </c>
      <c r="L118" s="2">
        <v>13025</v>
      </c>
      <c r="M118" s="2">
        <v>579671</v>
      </c>
      <c r="N118" s="2">
        <v>691</v>
      </c>
      <c r="O118" s="2" t="s">
        <v>1042</v>
      </c>
      <c r="P118" s="2">
        <v>0.2</v>
      </c>
      <c r="Q118" s="2">
        <v>0.98</v>
      </c>
      <c r="R118" s="2">
        <v>1052400</v>
      </c>
      <c r="S118" s="2">
        <v>21</v>
      </c>
      <c r="T118" s="2">
        <v>268018</v>
      </c>
      <c r="U118" s="2">
        <v>870242</v>
      </c>
      <c r="V118" s="2">
        <v>45</v>
      </c>
      <c r="W118" s="2">
        <v>0</v>
      </c>
      <c r="X118" s="2">
        <v>0</v>
      </c>
      <c r="Y118" s="2" t="s">
        <v>1048</v>
      </c>
      <c r="Z118" s="12">
        <f>SUMIF(Table1[product],Table1[[#This Row],[product]],Table1[loan_amount])</f>
        <v>201475100</v>
      </c>
      <c r="AA118" s="15">
        <f>SUMIF(Table1[region],Table1[[#This Row],[region]],Table1[current_balance])</f>
        <v>83903255</v>
      </c>
      <c r="AB118" s="2">
        <f>COUNTIF(Table1[loan_status],Table1[[#This Row],[loan_status]])</f>
        <v>47</v>
      </c>
      <c r="AC118" s="2">
        <f>COUNTIF(Table1[default_flag],1)/ROWS(Table1[loan_id])</f>
        <v>2.5999999999999999E-2</v>
      </c>
      <c r="AD118" s="2">
        <f>COUNTIFS(Table1[region],Table1[[#This Row],[region]],Table1[default_flag],1)/COUNTIF(Table1[region],Table1[[#This Row],[region]])</f>
        <v>4.2553191489361701E-2</v>
      </c>
      <c r="AE118" s="2">
        <f>COUNTIFS(Table1[channel],Table1[[#This Row],[channel]],Table1[prepayment_flag],1)/COUNTIF(Table1[channel],Table1[[#This Row],[channel]])</f>
        <v>7.1090047393364927E-2</v>
      </c>
      <c r="AF118" s="2">
        <f>AVERAGEIFS(Table1[interest_rate_pct],Table1[product],Table1[[#This Row],[product]],Table1[risk_band],Table1[[#This Row],[risk_band]])</f>
        <v>15.841379310344831</v>
      </c>
      <c r="AG118" s="2" t="str" cm="1">
        <f t="array" ref="AG118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118" s="2">
        <f>COUNTIF(Table1[DTI band],Table1[[#This Row],[DTI band]])</f>
        <v>122</v>
      </c>
      <c r="AI118" s="2" t="str" cm="1">
        <f t="array" ref="AI118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118" s="2">
        <f>COUNTIF(Table1[LTV band],Table1[[#This Row],[LTV band]])</f>
        <v>141</v>
      </c>
      <c r="AK118" s="19">
        <f>COUNTIFS(Table1[count_loan_perband],Table1[[#This Row],[count_loan_perband]],Table1[default_flag],1)/COUNTIF(Table1[count_loan_perband],Table1[[#This Row],[count_loan_perband]])</f>
        <v>1.4184397163120567E-2</v>
      </c>
      <c r="AL118" s="19" t="str" cm="1">
        <f t="array" ref="AL118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118" s="19">
        <f>IF(Table1[[#This Row],[dpd]] &gt;=30,1,0)</f>
        <v>1</v>
      </c>
      <c r="AN118" s="19">
        <f>COUNTIFS(Table1[Loan size],Table1[[#This Row],[Loan size]],Table1[dpd flag],1)/COUNTIF(Table1[Loan size],Table1[[#This Row],[Loan size]])</f>
        <v>0.15909090909090909</v>
      </c>
      <c r="AO118" s="19" t="str">
        <f>IF(OR(Table1[[#This Row],[credit_score]] &lt; 600, Table1[ [#This Row],[dti_ratio] ] &gt; 0.5, Table1[[#This Row],[dpd]] &gt;=30), "high risk", " not riskY")</f>
        <v>high risk</v>
      </c>
      <c r="AP118" s="29">
        <f>EOMONTH(Table1[[#This Row],[origination_date]],0)</f>
        <v>45382</v>
      </c>
      <c r="AQ118" s="19">
        <f>SUMIFS(Table1[loan_amount],Table1[origination month],Table1[[#This Row],[origination month]])</f>
        <v>13709600</v>
      </c>
      <c r="AR118" s="19">
        <f>AVERAGEIFS(Table1[months_on_book],Table1[product],Table1[[#This Row],[product]])</f>
        <v>19.091954022988507</v>
      </c>
      <c r="AS118" s="19" t="str">
        <f ca="1">IF(EDATE(Table1[[#This Row],[origination_date]],6) &gt;= TODAY(), "New Loan", "Old Loan")</f>
        <v>Old Loan</v>
      </c>
      <c r="AT118" s="19" t="str">
        <f>"Q"&amp;ROUNDUP(MONTH(Table1[[#This Row],[origination_date]])/3,0)&amp;YEAR(Table1[[#This Row],[origination_date]])</f>
        <v>Q12024</v>
      </c>
      <c r="AU118" s="19">
        <f>SUMIFS(Table1[loan_amount],Table1[quarter],Table1[[#This Row],[quarter]])</f>
        <v>48515800</v>
      </c>
    </row>
    <row r="119" spans="2:47" x14ac:dyDescent="0.2">
      <c r="B119" s="5" t="s">
        <v>88</v>
      </c>
      <c r="C119" s="2" t="s">
        <v>588</v>
      </c>
      <c r="D119" s="3">
        <v>45357</v>
      </c>
      <c r="E119" s="2" t="s">
        <v>1024</v>
      </c>
      <c r="F119" s="2" t="s">
        <v>1031</v>
      </c>
      <c r="G119" s="2" t="s">
        <v>1035</v>
      </c>
      <c r="H119" s="2" t="s">
        <v>1038</v>
      </c>
      <c r="I119" s="2">
        <v>60</v>
      </c>
      <c r="J119" s="2">
        <v>795800</v>
      </c>
      <c r="K119" s="2">
        <v>16.54</v>
      </c>
      <c r="L119" s="2">
        <v>19581</v>
      </c>
      <c r="M119" s="2">
        <v>770004</v>
      </c>
      <c r="N119" s="2">
        <v>602</v>
      </c>
      <c r="O119" s="2" t="s">
        <v>1045</v>
      </c>
      <c r="P119" s="2">
        <v>0.16</v>
      </c>
      <c r="Q119" s="2">
        <v>0.82</v>
      </c>
      <c r="R119" s="2">
        <v>967500</v>
      </c>
      <c r="S119" s="2">
        <v>21</v>
      </c>
      <c r="T119" s="2">
        <v>366002</v>
      </c>
      <c r="U119" s="2">
        <v>521936</v>
      </c>
      <c r="V119" s="2">
        <v>0</v>
      </c>
      <c r="W119" s="2">
        <v>0</v>
      </c>
      <c r="X119" s="2">
        <v>0</v>
      </c>
      <c r="Y119" s="2" t="s">
        <v>1049</v>
      </c>
      <c r="Z119" s="12">
        <f>SUMIF(Table1[product],Table1[[#This Row],[product]],Table1[loan_amount])</f>
        <v>92273000</v>
      </c>
      <c r="AA119" s="15">
        <f>SUMIF(Table1[region],Table1[[#This Row],[region]],Table1[current_balance])</f>
        <v>83903255</v>
      </c>
      <c r="AB119" s="2">
        <f>COUNTIF(Table1[loan_status],Table1[[#This Row],[loan_status]])</f>
        <v>301</v>
      </c>
      <c r="AC119" s="2">
        <f>COUNTIF(Table1[default_flag],1)/ROWS(Table1[loan_id])</f>
        <v>2.5999999999999999E-2</v>
      </c>
      <c r="AD119" s="2">
        <f>COUNTIFS(Table1[region],Table1[[#This Row],[region]],Table1[default_flag],1)/COUNTIF(Table1[region],Table1[[#This Row],[region]])</f>
        <v>4.2553191489361701E-2</v>
      </c>
      <c r="AE119" s="2">
        <f>COUNTIFS(Table1[channel],Table1[[#This Row],[channel]],Table1[prepayment_flag],1)/COUNTIF(Table1[channel],Table1[[#This Row],[channel]])</f>
        <v>0.12</v>
      </c>
      <c r="AF119" s="2">
        <f>AVERAGEIFS(Table1[interest_rate_pct],Table1[product],Table1[[#This Row],[product]],Table1[risk_band],Table1[[#This Row],[risk_band]])</f>
        <v>15.092000000000001</v>
      </c>
      <c r="AG119" s="2" t="str" cm="1">
        <f t="array" ref="AG119">_xlfn.IFS(Table1[[#This Row],[dti_ratio]] &lt; 0.2, " less than 0.2", Table1[[#This Row],[dti_ratio]] &lt; 0.3, "0.2 - 0.3", Table1[[#This Row],[dti_ratio]] &lt;= 0.5, "0.35 - 0.5", Table1[[#This Row],[dti_ratio]] &gt; 0.5, "greater than 0.5")</f>
        <v xml:space="preserve"> less than 0.2</v>
      </c>
      <c r="AH119" s="2">
        <f>COUNTIF(Table1[DTI band],Table1[[#This Row],[DTI band]])</f>
        <v>86</v>
      </c>
      <c r="AI119" s="2" t="str" cm="1">
        <f t="array" ref="AI119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119" s="2">
        <f>COUNTIF(Table1[LTV band],Table1[[#This Row],[LTV band]])</f>
        <v>141</v>
      </c>
      <c r="AK119" s="19">
        <f>COUNTIFS(Table1[count_loan_perband],Table1[[#This Row],[count_loan_perband]],Table1[default_flag],1)/COUNTIF(Table1[count_loan_perband],Table1[[#This Row],[count_loan_perband]])</f>
        <v>1.4184397163120567E-2</v>
      </c>
      <c r="AL119" s="19" t="str" cm="1">
        <f t="array" ref="AL119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119" s="19">
        <f>IF(Table1[[#This Row],[dpd]] &gt;=30,1,0)</f>
        <v>0</v>
      </c>
      <c r="AN119" s="19">
        <f>COUNTIFS(Table1[Loan size],Table1[[#This Row],[Loan size]],Table1[dpd flag],1)/COUNTIF(Table1[Loan size],Table1[[#This Row],[Loan size]])</f>
        <v>0.13934426229508196</v>
      </c>
      <c r="AO119" s="19" t="str">
        <f>IF(OR(Table1[[#This Row],[credit_score]] &lt; 600, Table1[ [#This Row],[dti_ratio] ] &gt; 0.5, Table1[[#This Row],[dpd]] &gt;=30), "high risk", " not riskY")</f>
        <v xml:space="preserve"> not riskY</v>
      </c>
      <c r="AP119" s="29">
        <f>EOMONTH(Table1[[#This Row],[origination_date]],0)</f>
        <v>45382</v>
      </c>
      <c r="AQ119" s="19">
        <f>SUMIFS(Table1[loan_amount],Table1[origination month],Table1[[#This Row],[origination month]])</f>
        <v>13709600</v>
      </c>
      <c r="AR119" s="19">
        <f>AVERAGEIFS(Table1[months_on_book],Table1[product],Table1[[#This Row],[product]])</f>
        <v>20.262135922330096</v>
      </c>
      <c r="AS119" s="19" t="str">
        <f ca="1">IF(EDATE(Table1[[#This Row],[origination_date]],6) &gt;= TODAY(), "New Loan", "Old Loan")</f>
        <v>Old Loan</v>
      </c>
      <c r="AT119" s="19" t="str">
        <f>"Q"&amp;ROUNDUP(MONTH(Table1[[#This Row],[origination_date]])/3,0)&amp;YEAR(Table1[[#This Row],[origination_date]])</f>
        <v>Q12024</v>
      </c>
      <c r="AU119" s="19">
        <f>SUMIFS(Table1[loan_amount],Table1[quarter],Table1[[#This Row],[quarter]])</f>
        <v>48515800</v>
      </c>
    </row>
    <row r="120" spans="2:47" x14ac:dyDescent="0.2">
      <c r="B120" s="5" t="s">
        <v>436</v>
      </c>
      <c r="C120" s="2" t="s">
        <v>936</v>
      </c>
      <c r="D120" s="3">
        <v>45352</v>
      </c>
      <c r="E120" s="2" t="s">
        <v>1026</v>
      </c>
      <c r="F120" s="2" t="s">
        <v>1029</v>
      </c>
      <c r="G120" s="2" t="s">
        <v>1036</v>
      </c>
      <c r="H120" s="2" t="s">
        <v>1038</v>
      </c>
      <c r="I120" s="2">
        <v>24</v>
      </c>
      <c r="J120" s="2">
        <v>398000</v>
      </c>
      <c r="K120" s="2">
        <v>17.440000000000001</v>
      </c>
      <c r="L120" s="2">
        <v>19762</v>
      </c>
      <c r="M120" s="2">
        <v>941579</v>
      </c>
      <c r="N120" s="2">
        <v>712</v>
      </c>
      <c r="O120" s="2" t="s">
        <v>1044</v>
      </c>
      <c r="P120" s="2">
        <v>0.13</v>
      </c>
      <c r="Q120" s="2">
        <v>0.78</v>
      </c>
      <c r="R120" s="2">
        <v>0</v>
      </c>
      <c r="S120" s="2">
        <v>21</v>
      </c>
      <c r="T120" s="2">
        <v>411997</v>
      </c>
      <c r="U120" s="2">
        <v>34591</v>
      </c>
      <c r="V120" s="2">
        <v>30</v>
      </c>
      <c r="W120" s="2">
        <v>0</v>
      </c>
      <c r="X120" s="2">
        <v>0</v>
      </c>
      <c r="Y120" s="2" t="s">
        <v>1048</v>
      </c>
      <c r="Z120" s="12">
        <f>SUMIF(Table1[product],Table1[[#This Row],[product]],Table1[loan_amount])</f>
        <v>74897600</v>
      </c>
      <c r="AA120" s="15">
        <f>SUMIF(Table1[region],Table1[[#This Row],[region]],Table1[current_balance])</f>
        <v>98928695</v>
      </c>
      <c r="AB120" s="2">
        <f>COUNTIF(Table1[loan_status],Table1[[#This Row],[loan_status]])</f>
        <v>47</v>
      </c>
      <c r="AC120" s="2">
        <f>COUNTIF(Table1[default_flag],1)/ROWS(Table1[loan_id])</f>
        <v>2.5999999999999999E-2</v>
      </c>
      <c r="AD120" s="2">
        <f>COUNTIFS(Table1[region],Table1[[#This Row],[region]],Table1[default_flag],1)/COUNTIF(Table1[region],Table1[[#This Row],[region]])</f>
        <v>2.8571428571428571E-2</v>
      </c>
      <c r="AE120" s="2">
        <f>COUNTIFS(Table1[channel],Table1[[#This Row],[channel]],Table1[prepayment_flag],1)/COUNTIF(Table1[channel],Table1[[#This Row],[channel]])</f>
        <v>7.1090047393364927E-2</v>
      </c>
      <c r="AF120" s="2">
        <f>AVERAGEIFS(Table1[interest_rate_pct],Table1[product],Table1[[#This Row],[product]],Table1[risk_band],Table1[[#This Row],[risk_band]])</f>
        <v>16.500166666666669</v>
      </c>
      <c r="AG120" s="2" t="str" cm="1">
        <f t="array" ref="AG120">_xlfn.IFS(Table1[[#This Row],[dti_ratio]] &lt; 0.2, " less than 0.2", Table1[[#This Row],[dti_ratio]] &lt; 0.3, "0.2 - 0.3", Table1[[#This Row],[dti_ratio]] &lt;= 0.5, "0.35 - 0.5", Table1[[#This Row],[dti_ratio]] &gt; 0.5, "greater than 0.5")</f>
        <v xml:space="preserve"> less than 0.2</v>
      </c>
      <c r="AH120" s="2">
        <f>COUNTIF(Table1[DTI band],Table1[[#This Row],[DTI band]])</f>
        <v>86</v>
      </c>
      <c r="AI120" s="2" t="str" cm="1">
        <f t="array" ref="AI120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120" s="2">
        <f>COUNTIF(Table1[LTV band],Table1[[#This Row],[LTV band]])</f>
        <v>302</v>
      </c>
      <c r="AK120" s="19">
        <f>COUNTIFS(Table1[count_loan_perband],Table1[[#This Row],[count_loan_perband]],Table1[default_flag],1)/COUNTIF(Table1[count_loan_perband],Table1[[#This Row],[count_loan_perband]])</f>
        <v>3.6423841059602648E-2</v>
      </c>
      <c r="AL120" s="19" t="str" cm="1">
        <f t="array" ref="AL120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120" s="19">
        <f>IF(Table1[[#This Row],[dpd]] &gt;=30,1,0)</f>
        <v>1</v>
      </c>
      <c r="AN120" s="19">
        <f>COUNTIFS(Table1[Loan size],Table1[[#This Row],[Loan size]],Table1[dpd flag],1)/COUNTIF(Table1[Loan size],Table1[[#This Row],[Loan size]])</f>
        <v>0.13934426229508196</v>
      </c>
      <c r="AO120" s="19" t="str">
        <f>IF(OR(Table1[[#This Row],[credit_score]] &lt; 600, Table1[ [#This Row],[dti_ratio] ] &gt; 0.5, Table1[[#This Row],[dpd]] &gt;=30), "high risk", " not riskY")</f>
        <v>high risk</v>
      </c>
      <c r="AP120" s="29">
        <f>EOMONTH(Table1[[#This Row],[origination_date]],0)</f>
        <v>45382</v>
      </c>
      <c r="AQ120" s="19">
        <f>SUMIFS(Table1[loan_amount],Table1[origination month],Table1[[#This Row],[origination month]])</f>
        <v>13709600</v>
      </c>
      <c r="AR120" s="19">
        <f>AVERAGEIFS(Table1[months_on_book],Table1[product],Table1[[#This Row],[product]])</f>
        <v>21.092024539877301</v>
      </c>
      <c r="AS120" s="19" t="str">
        <f ca="1">IF(EDATE(Table1[[#This Row],[origination_date]],6) &gt;= TODAY(), "New Loan", "Old Loan")</f>
        <v>Old Loan</v>
      </c>
      <c r="AT120" s="19" t="str">
        <f>"Q"&amp;ROUNDUP(MONTH(Table1[[#This Row],[origination_date]])/3,0)&amp;YEAR(Table1[[#This Row],[origination_date]])</f>
        <v>Q12024</v>
      </c>
      <c r="AU120" s="19">
        <f>SUMIFS(Table1[loan_amount],Table1[quarter],Table1[[#This Row],[quarter]])</f>
        <v>48515800</v>
      </c>
    </row>
    <row r="121" spans="2:47" x14ac:dyDescent="0.2">
      <c r="B121" s="5" t="s">
        <v>315</v>
      </c>
      <c r="C121" s="2" t="s">
        <v>815</v>
      </c>
      <c r="D121" s="3">
        <v>45320</v>
      </c>
      <c r="E121" s="2" t="s">
        <v>1026</v>
      </c>
      <c r="F121" s="2" t="s">
        <v>1029</v>
      </c>
      <c r="G121" s="2" t="s">
        <v>1037</v>
      </c>
      <c r="H121" s="2" t="s">
        <v>1039</v>
      </c>
      <c r="I121" s="2">
        <v>24</v>
      </c>
      <c r="J121" s="2">
        <v>243200</v>
      </c>
      <c r="K121" s="2">
        <v>17.440000000000001</v>
      </c>
      <c r="L121" s="2">
        <v>12076</v>
      </c>
      <c r="M121" s="2">
        <v>608967</v>
      </c>
      <c r="N121" s="2">
        <v>707</v>
      </c>
      <c r="O121" s="2" t="s">
        <v>1044</v>
      </c>
      <c r="P121" s="2">
        <v>0.11</v>
      </c>
      <c r="Q121" s="2">
        <v>0.6</v>
      </c>
      <c r="R121" s="2">
        <v>0</v>
      </c>
      <c r="S121" s="2">
        <v>23</v>
      </c>
      <c r="T121" s="2">
        <v>236310</v>
      </c>
      <c r="U121" s="2">
        <v>39407</v>
      </c>
      <c r="V121" s="2">
        <v>60</v>
      </c>
      <c r="W121" s="2">
        <v>0</v>
      </c>
      <c r="X121" s="2">
        <v>0</v>
      </c>
      <c r="Y121" s="2" t="s">
        <v>1048</v>
      </c>
      <c r="Z121" s="12">
        <f>SUMIF(Table1[product],Table1[[#This Row],[product]],Table1[loan_amount])</f>
        <v>74897600</v>
      </c>
      <c r="AA121" s="15">
        <f>SUMIF(Table1[region],Table1[[#This Row],[region]],Table1[current_balance])</f>
        <v>94548000</v>
      </c>
      <c r="AB121" s="2">
        <f>COUNTIF(Table1[loan_status],Table1[[#This Row],[loan_status]])</f>
        <v>47</v>
      </c>
      <c r="AC121" s="2">
        <f>COUNTIF(Table1[default_flag],1)/ROWS(Table1[loan_id])</f>
        <v>2.5999999999999999E-2</v>
      </c>
      <c r="AD121" s="2">
        <f>COUNTIFS(Table1[region],Table1[[#This Row],[region]],Table1[default_flag],1)/COUNTIF(Table1[region],Table1[[#This Row],[region]])</f>
        <v>0</v>
      </c>
      <c r="AE121" s="2">
        <f>COUNTIFS(Table1[channel],Table1[[#This Row],[channel]],Table1[prepayment_flag],1)/COUNTIF(Table1[channel],Table1[[#This Row],[channel]])</f>
        <v>7.1090047393364927E-2</v>
      </c>
      <c r="AF121" s="2">
        <f>AVERAGEIFS(Table1[interest_rate_pct],Table1[product],Table1[[#This Row],[product]],Table1[risk_band],Table1[[#This Row],[risk_band]])</f>
        <v>16.500166666666669</v>
      </c>
      <c r="AG121" s="2" t="str" cm="1">
        <f t="array" ref="AG121">_xlfn.IFS(Table1[[#This Row],[dti_ratio]] &lt; 0.2, " less than 0.2", Table1[[#This Row],[dti_ratio]] &lt; 0.3, "0.2 - 0.3", Table1[[#This Row],[dti_ratio]] &lt;= 0.5, "0.35 - 0.5", Table1[[#This Row],[dti_ratio]] &gt; 0.5, "greater than 0.5")</f>
        <v xml:space="preserve"> less than 0.2</v>
      </c>
      <c r="AH121" s="2">
        <f>COUNTIF(Table1[DTI band],Table1[[#This Row],[DTI band]])</f>
        <v>86</v>
      </c>
      <c r="AI121" s="2" t="str" cm="1">
        <f t="array" ref="AI121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121" s="2">
        <f>COUNTIF(Table1[LTV band],Table1[[#This Row],[LTV band]])</f>
        <v>302</v>
      </c>
      <c r="AK121" s="19">
        <f>COUNTIFS(Table1[count_loan_perband],Table1[[#This Row],[count_loan_perband]],Table1[default_flag],1)/COUNTIF(Table1[count_loan_perband],Table1[[#This Row],[count_loan_perband]])</f>
        <v>3.6423841059602648E-2</v>
      </c>
      <c r="AL121" s="19" t="str" cm="1">
        <f t="array" ref="AL121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121" s="19">
        <f>IF(Table1[[#This Row],[dpd]] &gt;=30,1,0)</f>
        <v>1</v>
      </c>
      <c r="AN121" s="19">
        <f>COUNTIFS(Table1[Loan size],Table1[[#This Row],[Loan size]],Table1[dpd flag],1)/COUNTIF(Table1[Loan size],Table1[[#This Row],[Loan size]])</f>
        <v>0.13934426229508196</v>
      </c>
      <c r="AO121" s="19" t="str">
        <f>IF(OR(Table1[[#This Row],[credit_score]] &lt; 600, Table1[ [#This Row],[dti_ratio] ] &gt; 0.5, Table1[[#This Row],[dpd]] &gt;=30), "high risk", " not riskY")</f>
        <v>high risk</v>
      </c>
      <c r="AP121" s="29">
        <f>EOMONTH(Table1[[#This Row],[origination_date]],0)</f>
        <v>45322</v>
      </c>
      <c r="AQ121" s="19">
        <f>SUMIFS(Table1[loan_amount],Table1[origination month],Table1[[#This Row],[origination month]])</f>
        <v>24741500</v>
      </c>
      <c r="AR121" s="19">
        <f>AVERAGEIFS(Table1[months_on_book],Table1[product],Table1[[#This Row],[product]])</f>
        <v>21.092024539877301</v>
      </c>
      <c r="AS121" s="19" t="str">
        <f ca="1">IF(EDATE(Table1[[#This Row],[origination_date]],6) &gt;= TODAY(), "New Loan", "Old Loan")</f>
        <v>Old Loan</v>
      </c>
      <c r="AT121" s="19" t="str">
        <f>"Q"&amp;ROUNDUP(MONTH(Table1[[#This Row],[origination_date]])/3,0)&amp;YEAR(Table1[[#This Row],[origination_date]])</f>
        <v>Q12024</v>
      </c>
      <c r="AU121" s="19">
        <f>SUMIFS(Table1[loan_amount],Table1[quarter],Table1[[#This Row],[quarter]])</f>
        <v>48515800</v>
      </c>
    </row>
    <row r="122" spans="2:47" x14ac:dyDescent="0.2">
      <c r="B122" s="5" t="s">
        <v>292</v>
      </c>
      <c r="C122" s="2" t="s">
        <v>792</v>
      </c>
      <c r="D122" s="3">
        <v>45364</v>
      </c>
      <c r="E122" s="2" t="s">
        <v>1026</v>
      </c>
      <c r="F122" s="2" t="s">
        <v>1030</v>
      </c>
      <c r="G122" s="2" t="s">
        <v>1033</v>
      </c>
      <c r="H122" s="2" t="s">
        <v>1041</v>
      </c>
      <c r="I122" s="2">
        <v>120</v>
      </c>
      <c r="J122" s="2">
        <v>534900</v>
      </c>
      <c r="K122" s="2">
        <v>26.08</v>
      </c>
      <c r="L122" s="2">
        <v>12578</v>
      </c>
      <c r="M122" s="2">
        <v>1451382</v>
      </c>
      <c r="N122" s="2">
        <v>514</v>
      </c>
      <c r="O122" s="2" t="s">
        <v>1046</v>
      </c>
      <c r="P122" s="2">
        <v>0.1</v>
      </c>
      <c r="Q122" s="2">
        <v>0.64</v>
      </c>
      <c r="R122" s="2">
        <v>0</v>
      </c>
      <c r="S122" s="2">
        <v>21</v>
      </c>
      <c r="T122" s="2">
        <v>242956</v>
      </c>
      <c r="U122" s="2">
        <v>389595</v>
      </c>
      <c r="V122" s="2">
        <v>0</v>
      </c>
      <c r="W122" s="2">
        <v>0</v>
      </c>
      <c r="X122" s="2">
        <v>0</v>
      </c>
      <c r="Y122" s="2" t="s">
        <v>1049</v>
      </c>
      <c r="Z122" s="12">
        <f>SUMIF(Table1[product],Table1[[#This Row],[product]],Table1[loan_amount])</f>
        <v>74897600</v>
      </c>
      <c r="AA122" s="15">
        <f>SUMIF(Table1[region],Table1[[#This Row],[region]],Table1[current_balance])</f>
        <v>83297251</v>
      </c>
      <c r="AB122" s="2">
        <f>COUNTIF(Table1[loan_status],Table1[[#This Row],[loan_status]])</f>
        <v>301</v>
      </c>
      <c r="AC122" s="2">
        <f>COUNTIF(Table1[default_flag],1)/ROWS(Table1[loan_id])</f>
        <v>2.5999999999999999E-2</v>
      </c>
      <c r="AD122" s="2">
        <f>COUNTIFS(Table1[region],Table1[[#This Row],[region]],Table1[default_flag],1)/COUNTIF(Table1[region],Table1[[#This Row],[region]])</f>
        <v>3.1914893617021274E-2</v>
      </c>
      <c r="AE122" s="2">
        <f>COUNTIFS(Table1[channel],Table1[[#This Row],[channel]],Table1[prepayment_flag],1)/COUNTIF(Table1[channel],Table1[[#This Row],[channel]])</f>
        <v>5.8201058201058198E-2</v>
      </c>
      <c r="AF122" s="2">
        <f>AVERAGEIFS(Table1[interest_rate_pct],Table1[product],Table1[[#This Row],[product]],Table1[risk_band],Table1[[#This Row],[risk_band]])</f>
        <v>23.803750000000001</v>
      </c>
      <c r="AG122" s="2" t="str" cm="1">
        <f t="array" ref="AG122">_xlfn.IFS(Table1[[#This Row],[dti_ratio]] &lt; 0.2, " less than 0.2", Table1[[#This Row],[dti_ratio]] &lt; 0.3, "0.2 - 0.3", Table1[[#This Row],[dti_ratio]] &lt;= 0.5, "0.35 - 0.5", Table1[[#This Row],[dti_ratio]] &gt; 0.5, "greater than 0.5")</f>
        <v xml:space="preserve"> less than 0.2</v>
      </c>
      <c r="AH122" s="2">
        <f>COUNTIF(Table1[DTI band],Table1[[#This Row],[DTI band]])</f>
        <v>86</v>
      </c>
      <c r="AI122" s="2" t="str" cm="1">
        <f t="array" ref="AI122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122" s="2">
        <f>COUNTIF(Table1[LTV band],Table1[[#This Row],[LTV band]])</f>
        <v>302</v>
      </c>
      <c r="AK122" s="19">
        <f>COUNTIFS(Table1[count_loan_perband],Table1[[#This Row],[count_loan_perband]],Table1[default_flag],1)/COUNTIF(Table1[count_loan_perband],Table1[[#This Row],[count_loan_perband]])</f>
        <v>3.6423841059602648E-2</v>
      </c>
      <c r="AL122" s="19" t="str" cm="1">
        <f t="array" ref="AL122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122" s="19">
        <f>IF(Table1[[#This Row],[dpd]] &gt;=30,1,0)</f>
        <v>0</v>
      </c>
      <c r="AN122" s="19">
        <f>COUNTIFS(Table1[Loan size],Table1[[#This Row],[Loan size]],Table1[dpd flag],1)/COUNTIF(Table1[Loan size],Table1[[#This Row],[Loan size]])</f>
        <v>0.13934426229508196</v>
      </c>
      <c r="AO122" s="19" t="str">
        <f>IF(OR(Table1[[#This Row],[credit_score]] &lt; 600, Table1[ [#This Row],[dti_ratio] ] &gt; 0.5, Table1[[#This Row],[dpd]] &gt;=30), "high risk", " not riskY")</f>
        <v>high risk</v>
      </c>
      <c r="AP122" s="29">
        <f>EOMONTH(Table1[[#This Row],[origination_date]],0)</f>
        <v>45382</v>
      </c>
      <c r="AQ122" s="19">
        <f>SUMIFS(Table1[loan_amount],Table1[origination month],Table1[[#This Row],[origination month]])</f>
        <v>13709600</v>
      </c>
      <c r="AR122" s="19">
        <f>AVERAGEIFS(Table1[months_on_book],Table1[product],Table1[[#This Row],[product]])</f>
        <v>21.092024539877301</v>
      </c>
      <c r="AS122" s="19" t="str">
        <f ca="1">IF(EDATE(Table1[[#This Row],[origination_date]],6) &gt;= TODAY(), "New Loan", "Old Loan")</f>
        <v>Old Loan</v>
      </c>
      <c r="AT122" s="19" t="str">
        <f>"Q"&amp;ROUNDUP(MONTH(Table1[[#This Row],[origination_date]])/3,0)&amp;YEAR(Table1[[#This Row],[origination_date]])</f>
        <v>Q12024</v>
      </c>
      <c r="AU122" s="19">
        <f>SUMIFS(Table1[loan_amount],Table1[quarter],Table1[[#This Row],[quarter]])</f>
        <v>48515800</v>
      </c>
    </row>
    <row r="123" spans="2:47" x14ac:dyDescent="0.2">
      <c r="B123" s="5" t="s">
        <v>105</v>
      </c>
      <c r="C123" s="2" t="s">
        <v>605</v>
      </c>
      <c r="D123" s="3">
        <v>45708</v>
      </c>
      <c r="E123" s="2" t="s">
        <v>1025</v>
      </c>
      <c r="F123" s="2" t="s">
        <v>1030</v>
      </c>
      <c r="G123" s="2" t="s">
        <v>1037</v>
      </c>
      <c r="H123" s="2" t="s">
        <v>1040</v>
      </c>
      <c r="I123" s="2">
        <v>120</v>
      </c>
      <c r="J123" s="2">
        <v>1767000</v>
      </c>
      <c r="K123" s="2">
        <v>15.17</v>
      </c>
      <c r="L123" s="2">
        <v>28692</v>
      </c>
      <c r="M123" s="2">
        <v>1301890</v>
      </c>
      <c r="N123" s="2">
        <v>684</v>
      </c>
      <c r="O123" s="2" t="s">
        <v>1042</v>
      </c>
      <c r="P123" s="2">
        <v>0.51</v>
      </c>
      <c r="Q123" s="2">
        <v>0.57999999999999996</v>
      </c>
      <c r="R123" s="2">
        <v>3042100</v>
      </c>
      <c r="S123" s="2">
        <v>10</v>
      </c>
      <c r="T123" s="2">
        <v>270217</v>
      </c>
      <c r="U123" s="2">
        <v>1586134</v>
      </c>
      <c r="V123" s="2">
        <v>15</v>
      </c>
      <c r="W123" s="2">
        <v>0</v>
      </c>
      <c r="X123" s="2">
        <v>0</v>
      </c>
      <c r="Y123" s="2" t="s">
        <v>1049</v>
      </c>
      <c r="Z123" s="12">
        <f>SUMIF(Table1[product],Table1[[#This Row],[product]],Table1[loan_amount])</f>
        <v>201475100</v>
      </c>
      <c r="AA123" s="15">
        <f>SUMIF(Table1[region],Table1[[#This Row],[region]],Table1[current_balance])</f>
        <v>94548000</v>
      </c>
      <c r="AB123" s="2">
        <f>COUNTIF(Table1[loan_status],Table1[[#This Row],[loan_status]])</f>
        <v>301</v>
      </c>
      <c r="AC123" s="2">
        <f>COUNTIF(Table1[default_flag],1)/ROWS(Table1[loan_id])</f>
        <v>2.5999999999999999E-2</v>
      </c>
      <c r="AD123" s="2">
        <f>COUNTIFS(Table1[region],Table1[[#This Row],[region]],Table1[default_flag],1)/COUNTIF(Table1[region],Table1[[#This Row],[region]])</f>
        <v>0</v>
      </c>
      <c r="AE123" s="2">
        <f>COUNTIFS(Table1[channel],Table1[[#This Row],[channel]],Table1[prepayment_flag],1)/COUNTIF(Table1[channel],Table1[[#This Row],[channel]])</f>
        <v>5.8201058201058198E-2</v>
      </c>
      <c r="AF123" s="2">
        <f>AVERAGEIFS(Table1[interest_rate_pct],Table1[product],Table1[[#This Row],[product]],Table1[risk_band],Table1[[#This Row],[risk_band]])</f>
        <v>15.841379310344831</v>
      </c>
      <c r="AG123" s="2" t="str" cm="1">
        <f t="array" ref="AG123">_xlfn.IFS(Table1[[#This Row],[dti_ratio]] &lt; 0.2, " less than 0.2", Table1[[#This Row],[dti_ratio]] &lt; 0.3, "0.2 - 0.3", Table1[[#This Row],[dti_ratio]] &lt;= 0.5, "0.35 - 0.5", Table1[[#This Row],[dti_ratio]] &gt; 0.5, "greater than 0.5")</f>
        <v>greater than 0.5</v>
      </c>
      <c r="AH123" s="2">
        <f>COUNTIF(Table1[DTI band],Table1[[#This Row],[DTI band]])</f>
        <v>32</v>
      </c>
      <c r="AI123" s="2" t="str" cm="1">
        <f t="array" ref="AI123">_xlfn.IFS(Table1[[#This Row],[ltv_ratio]] &lt; 0.6, "less than 0.6 -less risky", Table1[[#This Row],[ltv_ratio]]  &lt;= 0.8, "0.6 - 0.8 -medium risky",Table1[[#This Row],[ltv_ratio]] &gt; 0.8, "greater than 0.8 -highly risky")</f>
        <v>less than 0.6 -less risky</v>
      </c>
      <c r="AJ123" s="2">
        <f>COUNTIF(Table1[LTV band],Table1[[#This Row],[LTV band]])</f>
        <v>57</v>
      </c>
      <c r="AK123" s="19">
        <f>COUNTIFS(Table1[count_loan_perband],Table1[[#This Row],[count_loan_perband]],Table1[default_flag],1)/COUNTIF(Table1[count_loan_perband],Table1[[#This Row],[count_loan_perband]])</f>
        <v>0</v>
      </c>
      <c r="AL123" s="19" t="str" cm="1">
        <f t="array" ref="AL123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123" s="19">
        <f>IF(Table1[[#This Row],[dpd]] &gt;=30,1,0)</f>
        <v>0</v>
      </c>
      <c r="AN123" s="19">
        <f>COUNTIFS(Table1[Loan size],Table1[[#This Row],[Loan size]],Table1[dpd flag],1)/COUNTIF(Table1[Loan size],Table1[[#This Row],[Loan size]])</f>
        <v>0.15909090909090909</v>
      </c>
      <c r="AO123" s="19" t="str">
        <f>IF(OR(Table1[[#This Row],[credit_score]] &lt; 600, Table1[ [#This Row],[dti_ratio] ] &gt; 0.5, Table1[[#This Row],[dpd]] &gt;=30), "high risk", " not riskY")</f>
        <v>high risk</v>
      </c>
      <c r="AP123" s="29">
        <f>EOMONTH(Table1[[#This Row],[origination_date]],0)</f>
        <v>45716</v>
      </c>
      <c r="AQ123" s="19">
        <f>SUMIFS(Table1[loan_amount],Table1[origination month],Table1[[#This Row],[origination month]])</f>
        <v>17968200</v>
      </c>
      <c r="AR123" s="19">
        <f>AVERAGEIFS(Table1[months_on_book],Table1[product],Table1[[#This Row],[product]])</f>
        <v>19.091954022988507</v>
      </c>
      <c r="AS123" s="19" t="str">
        <f ca="1">IF(EDATE(Table1[[#This Row],[origination_date]],6) &gt;= TODAY(), "New Loan", "Old Loan")</f>
        <v>Old Loan</v>
      </c>
      <c r="AT123" s="19" t="str">
        <f>"Q"&amp;ROUNDUP(MONTH(Table1[[#This Row],[origination_date]])/3,0)&amp;YEAR(Table1[[#This Row],[origination_date]])</f>
        <v>Q12025</v>
      </c>
      <c r="AU123" s="19">
        <f>SUMIFS(Table1[loan_amount],Table1[quarter],Table1[[#This Row],[quarter]])</f>
        <v>40328000</v>
      </c>
    </row>
    <row r="124" spans="2:47" x14ac:dyDescent="0.2">
      <c r="B124" s="5" t="s">
        <v>516</v>
      </c>
      <c r="C124" s="2" t="s">
        <v>1016</v>
      </c>
      <c r="D124" s="3">
        <v>45737</v>
      </c>
      <c r="E124" s="2" t="s">
        <v>1024</v>
      </c>
      <c r="F124" s="2" t="s">
        <v>1029</v>
      </c>
      <c r="G124" s="2" t="s">
        <v>1036</v>
      </c>
      <c r="H124" s="2" t="s">
        <v>1038</v>
      </c>
      <c r="I124" s="2">
        <v>60</v>
      </c>
      <c r="J124" s="2">
        <v>849000</v>
      </c>
      <c r="K124" s="2">
        <v>7.08</v>
      </c>
      <c r="L124" s="2">
        <v>16843</v>
      </c>
      <c r="M124" s="2">
        <v>1131682</v>
      </c>
      <c r="N124" s="2">
        <v>822</v>
      </c>
      <c r="O124" s="2" t="s">
        <v>1043</v>
      </c>
      <c r="P124" s="2">
        <v>0.49</v>
      </c>
      <c r="Q124" s="2">
        <v>0.66</v>
      </c>
      <c r="R124" s="2">
        <v>1287000</v>
      </c>
      <c r="S124" s="2">
        <v>9</v>
      </c>
      <c r="T124" s="2">
        <v>134370</v>
      </c>
      <c r="U124" s="2">
        <v>732663</v>
      </c>
      <c r="V124" s="2">
        <v>0</v>
      </c>
      <c r="W124" s="2">
        <v>0</v>
      </c>
      <c r="X124" s="2">
        <v>0</v>
      </c>
      <c r="Y124" s="2" t="s">
        <v>1049</v>
      </c>
      <c r="Z124" s="12">
        <f>SUMIF(Table1[product],Table1[[#This Row],[product]],Table1[loan_amount])</f>
        <v>92273000</v>
      </c>
      <c r="AA124" s="15">
        <f>SUMIF(Table1[region],Table1[[#This Row],[region]],Table1[current_balance])</f>
        <v>98928695</v>
      </c>
      <c r="AB124" s="2">
        <f>COUNTIF(Table1[loan_status],Table1[[#This Row],[loan_status]])</f>
        <v>301</v>
      </c>
      <c r="AC124" s="2">
        <f>COUNTIF(Table1[default_flag],1)/ROWS(Table1[loan_id])</f>
        <v>2.5999999999999999E-2</v>
      </c>
      <c r="AD124" s="2">
        <f>COUNTIFS(Table1[region],Table1[[#This Row],[region]],Table1[default_flag],1)/COUNTIF(Table1[region],Table1[[#This Row],[region]])</f>
        <v>2.8571428571428571E-2</v>
      </c>
      <c r="AE124" s="2">
        <f>COUNTIFS(Table1[channel],Table1[[#This Row],[channel]],Table1[prepayment_flag],1)/COUNTIF(Table1[channel],Table1[[#This Row],[channel]])</f>
        <v>7.1090047393364927E-2</v>
      </c>
      <c r="AF124" s="2">
        <f>AVERAGEIFS(Table1[interest_rate_pct],Table1[product],Table1[[#This Row],[product]],Table1[risk_band],Table1[[#This Row],[risk_band]])</f>
        <v>7.9444999999999997</v>
      </c>
      <c r="AG124" s="2" t="str" cm="1">
        <f t="array" ref="AG124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124" s="2">
        <f>COUNTIF(Table1[DTI band],Table1[[#This Row],[DTI band]])</f>
        <v>260</v>
      </c>
      <c r="AI124" s="2" t="str" cm="1">
        <f t="array" ref="AI124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124" s="2">
        <f>COUNTIF(Table1[LTV band],Table1[[#This Row],[LTV band]])</f>
        <v>302</v>
      </c>
      <c r="AK124" s="19">
        <f>COUNTIFS(Table1[count_loan_perband],Table1[[#This Row],[count_loan_perband]],Table1[default_flag],1)/COUNTIF(Table1[count_loan_perband],Table1[[#This Row],[count_loan_perband]])</f>
        <v>3.6423841059602648E-2</v>
      </c>
      <c r="AL124" s="19" t="str" cm="1">
        <f t="array" ref="AL124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124" s="19">
        <f>IF(Table1[[#This Row],[dpd]] &gt;=30,1,0)</f>
        <v>0</v>
      </c>
      <c r="AN124" s="19">
        <f>COUNTIFS(Table1[Loan size],Table1[[#This Row],[Loan size]],Table1[dpd flag],1)/COUNTIF(Table1[Loan size],Table1[[#This Row],[Loan size]])</f>
        <v>0.13934426229508196</v>
      </c>
      <c r="AO124" s="19" t="str">
        <f>IF(OR(Table1[[#This Row],[credit_score]] &lt; 600, Table1[ [#This Row],[dti_ratio] ] &gt; 0.5, Table1[[#This Row],[dpd]] &gt;=30), "high risk", " not riskY")</f>
        <v xml:space="preserve"> not riskY</v>
      </c>
      <c r="AP124" s="29">
        <f>EOMONTH(Table1[[#This Row],[origination_date]],0)</f>
        <v>45747</v>
      </c>
      <c r="AQ124" s="19">
        <f>SUMIFS(Table1[loan_amount],Table1[origination month],Table1[[#This Row],[origination month]])</f>
        <v>5573100</v>
      </c>
      <c r="AR124" s="19">
        <f>AVERAGEIFS(Table1[months_on_book],Table1[product],Table1[[#This Row],[product]])</f>
        <v>20.262135922330096</v>
      </c>
      <c r="AS124" s="19" t="str">
        <f ca="1">IF(EDATE(Table1[[#This Row],[origination_date]],6) &gt;= TODAY(), "New Loan", "Old Loan")</f>
        <v>Old Loan</v>
      </c>
      <c r="AT124" s="19" t="str">
        <f>"Q"&amp;ROUNDUP(MONTH(Table1[[#This Row],[origination_date]])/3,0)&amp;YEAR(Table1[[#This Row],[origination_date]])</f>
        <v>Q12025</v>
      </c>
      <c r="AU124" s="19">
        <f>SUMIFS(Table1[loan_amount],Table1[quarter],Table1[[#This Row],[quarter]])</f>
        <v>40328000</v>
      </c>
    </row>
    <row r="125" spans="2:47" x14ac:dyDescent="0.2">
      <c r="B125" s="5" t="s">
        <v>288</v>
      </c>
      <c r="C125" s="2" t="s">
        <v>788</v>
      </c>
      <c r="D125" s="3">
        <v>45661</v>
      </c>
      <c r="E125" s="2" t="s">
        <v>1026</v>
      </c>
      <c r="F125" s="2" t="s">
        <v>1030</v>
      </c>
      <c r="G125" s="2" t="s">
        <v>1034</v>
      </c>
      <c r="H125" s="2" t="s">
        <v>1038</v>
      </c>
      <c r="I125" s="2">
        <v>240</v>
      </c>
      <c r="J125" s="2">
        <v>1024900</v>
      </c>
      <c r="K125" s="2">
        <v>18.97</v>
      </c>
      <c r="L125" s="2">
        <v>16586</v>
      </c>
      <c r="M125" s="2">
        <v>1655531</v>
      </c>
      <c r="N125" s="2">
        <v>647</v>
      </c>
      <c r="O125" s="2" t="s">
        <v>1045</v>
      </c>
      <c r="P125" s="2">
        <v>0.48</v>
      </c>
      <c r="Q125" s="2">
        <v>0.75</v>
      </c>
      <c r="R125" s="2">
        <v>0</v>
      </c>
      <c r="S125" s="2">
        <v>11</v>
      </c>
      <c r="T125" s="2">
        <v>182176</v>
      </c>
      <c r="U125" s="2">
        <v>914013</v>
      </c>
      <c r="V125" s="2">
        <v>5</v>
      </c>
      <c r="W125" s="2">
        <v>0</v>
      </c>
      <c r="X125" s="2">
        <v>0</v>
      </c>
      <c r="Y125" s="2" t="s">
        <v>1049</v>
      </c>
      <c r="Z125" s="12">
        <f>SUMIF(Table1[product],Table1[[#This Row],[product]],Table1[loan_amount])</f>
        <v>74897600</v>
      </c>
      <c r="AA125" s="15">
        <f>SUMIF(Table1[region],Table1[[#This Row],[region]],Table1[current_balance])</f>
        <v>105779369</v>
      </c>
      <c r="AB125" s="2">
        <f>COUNTIF(Table1[loan_status],Table1[[#This Row],[loan_status]])</f>
        <v>301</v>
      </c>
      <c r="AC125" s="2">
        <f>COUNTIF(Table1[default_flag],1)/ROWS(Table1[loan_id])</f>
        <v>2.5999999999999999E-2</v>
      </c>
      <c r="AD125" s="2">
        <f>COUNTIFS(Table1[region],Table1[[#This Row],[region]],Table1[default_flag],1)/COUNTIF(Table1[region],Table1[[#This Row],[region]])</f>
        <v>2.6548672566371681E-2</v>
      </c>
      <c r="AE125" s="2">
        <f>COUNTIFS(Table1[channel],Table1[[#This Row],[channel]],Table1[prepayment_flag],1)/COUNTIF(Table1[channel],Table1[[#This Row],[channel]])</f>
        <v>5.8201058201058198E-2</v>
      </c>
      <c r="AF125" s="2">
        <f>AVERAGEIFS(Table1[interest_rate_pct],Table1[product],Table1[[#This Row],[product]],Table1[risk_band],Table1[[#This Row],[risk_band]])</f>
        <v>20.962592592592593</v>
      </c>
      <c r="AG125" s="2" t="str" cm="1">
        <f t="array" ref="AG125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125" s="2">
        <f>COUNTIF(Table1[DTI band],Table1[[#This Row],[DTI band]])</f>
        <v>260</v>
      </c>
      <c r="AI125" s="2" t="str" cm="1">
        <f t="array" ref="AI125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125" s="2">
        <f>COUNTIF(Table1[LTV band],Table1[[#This Row],[LTV band]])</f>
        <v>302</v>
      </c>
      <c r="AK125" s="19">
        <f>COUNTIFS(Table1[count_loan_perband],Table1[[#This Row],[count_loan_perband]],Table1[default_flag],1)/COUNTIF(Table1[count_loan_perband],Table1[[#This Row],[count_loan_perband]])</f>
        <v>3.6423841059602648E-2</v>
      </c>
      <c r="AL125" s="19" t="str" cm="1">
        <f t="array" ref="AL125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125" s="19">
        <f>IF(Table1[[#This Row],[dpd]] &gt;=30,1,0)</f>
        <v>0</v>
      </c>
      <c r="AN125" s="19">
        <f>COUNTIFS(Table1[Loan size],Table1[[#This Row],[Loan size]],Table1[dpd flag],1)/COUNTIF(Table1[Loan size],Table1[[#This Row],[Loan size]])</f>
        <v>0.15909090909090909</v>
      </c>
      <c r="AO125" s="19" t="str">
        <f>IF(OR(Table1[[#This Row],[credit_score]] &lt; 600, Table1[ [#This Row],[dti_ratio] ] &gt; 0.5, Table1[[#This Row],[dpd]] &gt;=30), "high risk", " not riskY")</f>
        <v xml:space="preserve"> not riskY</v>
      </c>
      <c r="AP125" s="29">
        <f>EOMONTH(Table1[[#This Row],[origination_date]],0)</f>
        <v>45688</v>
      </c>
      <c r="AQ125" s="19">
        <f>SUMIFS(Table1[loan_amount],Table1[origination month],Table1[[#This Row],[origination month]])</f>
        <v>16786700</v>
      </c>
      <c r="AR125" s="19">
        <f>AVERAGEIFS(Table1[months_on_book],Table1[product],Table1[[#This Row],[product]])</f>
        <v>21.092024539877301</v>
      </c>
      <c r="AS125" s="19" t="str">
        <f ca="1">IF(EDATE(Table1[[#This Row],[origination_date]],6) &gt;= TODAY(), "New Loan", "Old Loan")</f>
        <v>Old Loan</v>
      </c>
      <c r="AT125" s="19" t="str">
        <f>"Q"&amp;ROUNDUP(MONTH(Table1[[#This Row],[origination_date]])/3,0)&amp;YEAR(Table1[[#This Row],[origination_date]])</f>
        <v>Q12025</v>
      </c>
      <c r="AU125" s="19">
        <f>SUMIFS(Table1[loan_amount],Table1[quarter],Table1[[#This Row],[quarter]])</f>
        <v>40328000</v>
      </c>
    </row>
    <row r="126" spans="2:47" x14ac:dyDescent="0.2">
      <c r="B126" s="5" t="s">
        <v>356</v>
      </c>
      <c r="C126" s="2" t="s">
        <v>856</v>
      </c>
      <c r="D126" s="3">
        <v>45744</v>
      </c>
      <c r="E126" s="2" t="s">
        <v>1026</v>
      </c>
      <c r="F126" s="2" t="s">
        <v>1029</v>
      </c>
      <c r="G126" s="2" t="s">
        <v>1036</v>
      </c>
      <c r="H126" s="2" t="s">
        <v>1038</v>
      </c>
      <c r="I126" s="2">
        <v>36</v>
      </c>
      <c r="J126" s="2">
        <v>825200</v>
      </c>
      <c r="K126" s="2">
        <v>16.29</v>
      </c>
      <c r="L126" s="2">
        <v>29130</v>
      </c>
      <c r="M126" s="2">
        <v>887461</v>
      </c>
      <c r="N126" s="2">
        <v>707</v>
      </c>
      <c r="O126" s="2" t="s">
        <v>1044</v>
      </c>
      <c r="P126" s="2">
        <v>0.48</v>
      </c>
      <c r="Q126" s="2">
        <v>0.56000000000000005</v>
      </c>
      <c r="R126" s="2">
        <v>0</v>
      </c>
      <c r="S126" s="2">
        <v>9</v>
      </c>
      <c r="T126" s="2">
        <v>245651</v>
      </c>
      <c r="U126" s="2">
        <v>619877</v>
      </c>
      <c r="V126" s="2">
        <v>0</v>
      </c>
      <c r="W126" s="2">
        <v>0</v>
      </c>
      <c r="X126" s="2">
        <v>0</v>
      </c>
      <c r="Y126" s="2" t="s">
        <v>1049</v>
      </c>
      <c r="Z126" s="12">
        <f>SUMIF(Table1[product],Table1[[#This Row],[product]],Table1[loan_amount])</f>
        <v>74897600</v>
      </c>
      <c r="AA126" s="15">
        <f>SUMIF(Table1[region],Table1[[#This Row],[region]],Table1[current_balance])</f>
        <v>98928695</v>
      </c>
      <c r="AB126" s="2">
        <f>COUNTIF(Table1[loan_status],Table1[[#This Row],[loan_status]])</f>
        <v>301</v>
      </c>
      <c r="AC126" s="2">
        <f>COUNTIF(Table1[default_flag],1)/ROWS(Table1[loan_id])</f>
        <v>2.5999999999999999E-2</v>
      </c>
      <c r="AD126" s="2">
        <f>COUNTIFS(Table1[region],Table1[[#This Row],[region]],Table1[default_flag],1)/COUNTIF(Table1[region],Table1[[#This Row],[region]])</f>
        <v>2.8571428571428571E-2</v>
      </c>
      <c r="AE126" s="2">
        <f>COUNTIFS(Table1[channel],Table1[[#This Row],[channel]],Table1[prepayment_flag],1)/COUNTIF(Table1[channel],Table1[[#This Row],[channel]])</f>
        <v>7.1090047393364927E-2</v>
      </c>
      <c r="AF126" s="2">
        <f>AVERAGEIFS(Table1[interest_rate_pct],Table1[product],Table1[[#This Row],[product]],Table1[risk_band],Table1[[#This Row],[risk_band]])</f>
        <v>16.500166666666669</v>
      </c>
      <c r="AG126" s="2" t="str" cm="1">
        <f t="array" ref="AG126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126" s="2">
        <f>COUNTIF(Table1[DTI band],Table1[[#This Row],[DTI band]])</f>
        <v>260</v>
      </c>
      <c r="AI126" s="2" t="str" cm="1">
        <f t="array" ref="AI126">_xlfn.IFS(Table1[[#This Row],[ltv_ratio]] &lt; 0.6, "less than 0.6 -less risky", Table1[[#This Row],[ltv_ratio]]  &lt;= 0.8, "0.6 - 0.8 -medium risky",Table1[[#This Row],[ltv_ratio]] &gt; 0.8, "greater than 0.8 -highly risky")</f>
        <v>less than 0.6 -less risky</v>
      </c>
      <c r="AJ126" s="2">
        <f>COUNTIF(Table1[LTV band],Table1[[#This Row],[LTV band]])</f>
        <v>57</v>
      </c>
      <c r="AK126" s="19">
        <f>COUNTIFS(Table1[count_loan_perband],Table1[[#This Row],[count_loan_perband]],Table1[default_flag],1)/COUNTIF(Table1[count_loan_perband],Table1[[#This Row],[count_loan_perband]])</f>
        <v>0</v>
      </c>
      <c r="AL126" s="19" t="str" cm="1">
        <f t="array" ref="AL126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126" s="19">
        <f>IF(Table1[[#This Row],[dpd]] &gt;=30,1,0)</f>
        <v>0</v>
      </c>
      <c r="AN126" s="19">
        <f>COUNTIFS(Table1[Loan size],Table1[[#This Row],[Loan size]],Table1[dpd flag],1)/COUNTIF(Table1[Loan size],Table1[[#This Row],[Loan size]])</f>
        <v>0.13934426229508196</v>
      </c>
      <c r="AO126" s="19" t="str">
        <f>IF(OR(Table1[[#This Row],[credit_score]] &lt; 600, Table1[ [#This Row],[dti_ratio] ] &gt; 0.5, Table1[[#This Row],[dpd]] &gt;=30), "high risk", " not riskY")</f>
        <v xml:space="preserve"> not riskY</v>
      </c>
      <c r="AP126" s="29">
        <f>EOMONTH(Table1[[#This Row],[origination_date]],0)</f>
        <v>45747</v>
      </c>
      <c r="AQ126" s="19">
        <f>SUMIFS(Table1[loan_amount],Table1[origination month],Table1[[#This Row],[origination month]])</f>
        <v>5573100</v>
      </c>
      <c r="AR126" s="19">
        <f>AVERAGEIFS(Table1[months_on_book],Table1[product],Table1[[#This Row],[product]])</f>
        <v>21.092024539877301</v>
      </c>
      <c r="AS126" s="19" t="str">
        <f ca="1">IF(EDATE(Table1[[#This Row],[origination_date]],6) &gt;= TODAY(), "New Loan", "Old Loan")</f>
        <v>Old Loan</v>
      </c>
      <c r="AT126" s="19" t="str">
        <f>"Q"&amp;ROUNDUP(MONTH(Table1[[#This Row],[origination_date]])/3,0)&amp;YEAR(Table1[[#This Row],[origination_date]])</f>
        <v>Q12025</v>
      </c>
      <c r="AU126" s="19">
        <f>SUMIFS(Table1[loan_amount],Table1[quarter],Table1[[#This Row],[quarter]])</f>
        <v>40328000</v>
      </c>
    </row>
    <row r="127" spans="2:47" x14ac:dyDescent="0.2">
      <c r="B127" s="5" t="s">
        <v>442</v>
      </c>
      <c r="C127" s="2" t="s">
        <v>942</v>
      </c>
      <c r="D127" s="3">
        <v>45666</v>
      </c>
      <c r="E127" s="2" t="s">
        <v>1025</v>
      </c>
      <c r="F127" s="2" t="s">
        <v>1029</v>
      </c>
      <c r="G127" s="2" t="s">
        <v>1036</v>
      </c>
      <c r="H127" s="2" t="s">
        <v>1038</v>
      </c>
      <c r="I127" s="2">
        <v>18</v>
      </c>
      <c r="J127" s="2">
        <v>203700</v>
      </c>
      <c r="K127" s="2">
        <v>12.13</v>
      </c>
      <c r="L127" s="2">
        <v>12434</v>
      </c>
      <c r="M127" s="2">
        <v>987120</v>
      </c>
      <c r="N127" s="2">
        <v>735</v>
      </c>
      <c r="O127" s="2" t="s">
        <v>1044</v>
      </c>
      <c r="P127" s="2">
        <v>0.48</v>
      </c>
      <c r="Q127" s="2">
        <v>0.86</v>
      </c>
      <c r="R127" s="2">
        <v>237900</v>
      </c>
      <c r="S127" s="2">
        <v>11</v>
      </c>
      <c r="T127" s="2">
        <v>131911</v>
      </c>
      <c r="U127" s="2">
        <v>80849</v>
      </c>
      <c r="V127" s="2">
        <v>0</v>
      </c>
      <c r="W127" s="2">
        <v>0</v>
      </c>
      <c r="X127" s="2">
        <v>0</v>
      </c>
      <c r="Y127" s="2" t="s">
        <v>1049</v>
      </c>
      <c r="Z127" s="12">
        <f>SUMIF(Table1[product],Table1[[#This Row],[product]],Table1[loan_amount])</f>
        <v>201475100</v>
      </c>
      <c r="AA127" s="15">
        <f>SUMIF(Table1[region],Table1[[#This Row],[region]],Table1[current_balance])</f>
        <v>98928695</v>
      </c>
      <c r="AB127" s="2">
        <f>COUNTIF(Table1[loan_status],Table1[[#This Row],[loan_status]])</f>
        <v>301</v>
      </c>
      <c r="AC127" s="2">
        <f>COUNTIF(Table1[default_flag],1)/ROWS(Table1[loan_id])</f>
        <v>2.5999999999999999E-2</v>
      </c>
      <c r="AD127" s="2">
        <f>COUNTIFS(Table1[region],Table1[[#This Row],[region]],Table1[default_flag],1)/COUNTIF(Table1[region],Table1[[#This Row],[region]])</f>
        <v>2.8571428571428571E-2</v>
      </c>
      <c r="AE127" s="2">
        <f>COUNTIFS(Table1[channel],Table1[[#This Row],[channel]],Table1[prepayment_flag],1)/COUNTIF(Table1[channel],Table1[[#This Row],[channel]])</f>
        <v>7.1090047393364927E-2</v>
      </c>
      <c r="AF127" s="2">
        <f>AVERAGEIFS(Table1[interest_rate_pct],Table1[product],Table1[[#This Row],[product]],Table1[risk_band],Table1[[#This Row],[risk_band]])</f>
        <v>13.042631578947367</v>
      </c>
      <c r="AG127" s="2" t="str" cm="1">
        <f t="array" ref="AG127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127" s="2">
        <f>COUNTIF(Table1[DTI band],Table1[[#This Row],[DTI band]])</f>
        <v>260</v>
      </c>
      <c r="AI127" s="2" t="str" cm="1">
        <f t="array" ref="AI127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127" s="2">
        <f>COUNTIF(Table1[LTV band],Table1[[#This Row],[LTV band]])</f>
        <v>141</v>
      </c>
      <c r="AK127" s="19">
        <f>COUNTIFS(Table1[count_loan_perband],Table1[[#This Row],[count_loan_perband]],Table1[default_flag],1)/COUNTIF(Table1[count_loan_perband],Table1[[#This Row],[count_loan_perband]])</f>
        <v>1.4184397163120567E-2</v>
      </c>
      <c r="AL127" s="19" t="str" cm="1">
        <f t="array" ref="AL127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127" s="19">
        <f>IF(Table1[[#This Row],[dpd]] &gt;=30,1,0)</f>
        <v>0</v>
      </c>
      <c r="AN127" s="19">
        <f>COUNTIFS(Table1[Loan size],Table1[[#This Row],[Loan size]],Table1[dpd flag],1)/COUNTIF(Table1[Loan size],Table1[[#This Row],[Loan size]])</f>
        <v>0.13934426229508196</v>
      </c>
      <c r="AO127" s="19" t="str">
        <f>IF(OR(Table1[[#This Row],[credit_score]] &lt; 600, Table1[ [#This Row],[dti_ratio] ] &gt; 0.5, Table1[[#This Row],[dpd]] &gt;=30), "high risk", " not riskY")</f>
        <v xml:space="preserve"> not riskY</v>
      </c>
      <c r="AP127" s="29">
        <f>EOMONTH(Table1[[#This Row],[origination_date]],0)</f>
        <v>45688</v>
      </c>
      <c r="AQ127" s="19">
        <f>SUMIFS(Table1[loan_amount],Table1[origination month],Table1[[#This Row],[origination month]])</f>
        <v>16786700</v>
      </c>
      <c r="AR127" s="19">
        <f>AVERAGEIFS(Table1[months_on_book],Table1[product],Table1[[#This Row],[product]])</f>
        <v>19.091954022988507</v>
      </c>
      <c r="AS127" s="19" t="str">
        <f ca="1">IF(EDATE(Table1[[#This Row],[origination_date]],6) &gt;= TODAY(), "New Loan", "Old Loan")</f>
        <v>Old Loan</v>
      </c>
      <c r="AT127" s="19" t="str">
        <f>"Q"&amp;ROUNDUP(MONTH(Table1[[#This Row],[origination_date]])/3,0)&amp;YEAR(Table1[[#This Row],[origination_date]])</f>
        <v>Q12025</v>
      </c>
      <c r="AU127" s="19">
        <f>SUMIFS(Table1[loan_amount],Table1[quarter],Table1[[#This Row],[quarter]])</f>
        <v>40328000</v>
      </c>
    </row>
    <row r="128" spans="2:47" x14ac:dyDescent="0.2">
      <c r="B128" s="5" t="s">
        <v>418</v>
      </c>
      <c r="C128" s="2" t="s">
        <v>918</v>
      </c>
      <c r="D128" s="3">
        <v>45707</v>
      </c>
      <c r="E128" s="2" t="s">
        <v>1026</v>
      </c>
      <c r="F128" s="2" t="s">
        <v>1029</v>
      </c>
      <c r="G128" s="2" t="s">
        <v>1035</v>
      </c>
      <c r="H128" s="2" t="s">
        <v>1040</v>
      </c>
      <c r="I128" s="2">
        <v>84</v>
      </c>
      <c r="J128" s="2">
        <v>393500</v>
      </c>
      <c r="K128" s="2">
        <v>18.579999999999998</v>
      </c>
      <c r="L128" s="2">
        <v>8405</v>
      </c>
      <c r="M128" s="2">
        <v>840657</v>
      </c>
      <c r="N128" s="2">
        <v>686</v>
      </c>
      <c r="O128" s="2" t="s">
        <v>1042</v>
      </c>
      <c r="P128" s="2">
        <v>0.4</v>
      </c>
      <c r="Q128" s="2">
        <v>0.99</v>
      </c>
      <c r="R128" s="2">
        <v>0</v>
      </c>
      <c r="S128" s="2">
        <v>10</v>
      </c>
      <c r="T128" s="2">
        <v>83922</v>
      </c>
      <c r="U128" s="2">
        <v>333949</v>
      </c>
      <c r="V128" s="2">
        <v>0</v>
      </c>
      <c r="W128" s="2">
        <v>0</v>
      </c>
      <c r="X128" s="2">
        <v>0</v>
      </c>
      <c r="Y128" s="2" t="s">
        <v>1049</v>
      </c>
      <c r="Z128" s="12">
        <f>SUMIF(Table1[product],Table1[[#This Row],[product]],Table1[loan_amount])</f>
        <v>74897600</v>
      </c>
      <c r="AA128" s="15">
        <f>SUMIF(Table1[region],Table1[[#This Row],[region]],Table1[current_balance])</f>
        <v>83903255</v>
      </c>
      <c r="AB128" s="2">
        <f>COUNTIF(Table1[loan_status],Table1[[#This Row],[loan_status]])</f>
        <v>301</v>
      </c>
      <c r="AC128" s="2">
        <f>COUNTIF(Table1[default_flag],1)/ROWS(Table1[loan_id])</f>
        <v>2.5999999999999999E-2</v>
      </c>
      <c r="AD128" s="2">
        <f>COUNTIFS(Table1[region],Table1[[#This Row],[region]],Table1[default_flag],1)/COUNTIF(Table1[region],Table1[[#This Row],[region]])</f>
        <v>4.2553191489361701E-2</v>
      </c>
      <c r="AE128" s="2">
        <f>COUNTIFS(Table1[channel],Table1[[#This Row],[channel]],Table1[prepayment_flag],1)/COUNTIF(Table1[channel],Table1[[#This Row],[channel]])</f>
        <v>7.1090047393364927E-2</v>
      </c>
      <c r="AF128" s="2">
        <f>AVERAGEIFS(Table1[interest_rate_pct],Table1[product],Table1[[#This Row],[product]],Table1[risk_band],Table1[[#This Row],[risk_band]])</f>
        <v>18.603181818181817</v>
      </c>
      <c r="AG128" s="2" t="str" cm="1">
        <f t="array" ref="AG128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128" s="2">
        <f>COUNTIF(Table1[DTI band],Table1[[#This Row],[DTI band]])</f>
        <v>260</v>
      </c>
      <c r="AI128" s="2" t="str" cm="1">
        <f t="array" ref="AI128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128" s="2">
        <f>COUNTIF(Table1[LTV band],Table1[[#This Row],[LTV band]])</f>
        <v>141</v>
      </c>
      <c r="AK128" s="19">
        <f>COUNTIFS(Table1[count_loan_perband],Table1[[#This Row],[count_loan_perband]],Table1[default_flag],1)/COUNTIF(Table1[count_loan_perband],Table1[[#This Row],[count_loan_perband]])</f>
        <v>1.4184397163120567E-2</v>
      </c>
      <c r="AL128" s="19" t="str" cm="1">
        <f t="array" ref="AL128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128" s="19">
        <f>IF(Table1[[#This Row],[dpd]] &gt;=30,1,0)</f>
        <v>0</v>
      </c>
      <c r="AN128" s="19">
        <f>COUNTIFS(Table1[Loan size],Table1[[#This Row],[Loan size]],Table1[dpd flag],1)/COUNTIF(Table1[Loan size],Table1[[#This Row],[Loan size]])</f>
        <v>0.13934426229508196</v>
      </c>
      <c r="AO128" s="19" t="str">
        <f>IF(OR(Table1[[#This Row],[credit_score]] &lt; 600, Table1[ [#This Row],[dti_ratio] ] &gt; 0.5, Table1[[#This Row],[dpd]] &gt;=30), "high risk", " not riskY")</f>
        <v xml:space="preserve"> not riskY</v>
      </c>
      <c r="AP128" s="29">
        <f>EOMONTH(Table1[[#This Row],[origination_date]],0)</f>
        <v>45716</v>
      </c>
      <c r="AQ128" s="19">
        <f>SUMIFS(Table1[loan_amount],Table1[origination month],Table1[[#This Row],[origination month]])</f>
        <v>17968200</v>
      </c>
      <c r="AR128" s="19">
        <f>AVERAGEIFS(Table1[months_on_book],Table1[product],Table1[[#This Row],[product]])</f>
        <v>21.092024539877301</v>
      </c>
      <c r="AS128" s="19" t="str">
        <f ca="1">IF(EDATE(Table1[[#This Row],[origination_date]],6) &gt;= TODAY(), "New Loan", "Old Loan")</f>
        <v>Old Loan</v>
      </c>
      <c r="AT128" s="19" t="str">
        <f>"Q"&amp;ROUNDUP(MONTH(Table1[[#This Row],[origination_date]])/3,0)&amp;YEAR(Table1[[#This Row],[origination_date]])</f>
        <v>Q12025</v>
      </c>
      <c r="AU128" s="19">
        <f>SUMIFS(Table1[loan_amount],Table1[quarter],Table1[[#This Row],[quarter]])</f>
        <v>40328000</v>
      </c>
    </row>
    <row r="129" spans="2:47" x14ac:dyDescent="0.2">
      <c r="B129" s="5" t="s">
        <v>466</v>
      </c>
      <c r="C129" s="2" t="s">
        <v>966</v>
      </c>
      <c r="D129" s="3">
        <v>45668</v>
      </c>
      <c r="E129" s="2" t="s">
        <v>1026</v>
      </c>
      <c r="F129" s="2" t="s">
        <v>1029</v>
      </c>
      <c r="G129" s="2" t="s">
        <v>1035</v>
      </c>
      <c r="H129" s="2" t="s">
        <v>1038</v>
      </c>
      <c r="I129" s="2">
        <v>36</v>
      </c>
      <c r="J129" s="2">
        <v>803400</v>
      </c>
      <c r="K129" s="2">
        <v>17.649999999999999</v>
      </c>
      <c r="L129" s="2">
        <v>28904</v>
      </c>
      <c r="M129" s="2">
        <v>1351475</v>
      </c>
      <c r="N129" s="2">
        <v>696</v>
      </c>
      <c r="O129" s="2" t="s">
        <v>1042</v>
      </c>
      <c r="P129" s="2">
        <v>0.4</v>
      </c>
      <c r="Q129" s="2">
        <v>0.81</v>
      </c>
      <c r="R129" s="2">
        <v>0</v>
      </c>
      <c r="S129" s="2">
        <v>11</v>
      </c>
      <c r="T129" s="2">
        <v>315054</v>
      </c>
      <c r="U129" s="2">
        <v>540339</v>
      </c>
      <c r="V129" s="2">
        <v>0</v>
      </c>
      <c r="W129" s="2">
        <v>0</v>
      </c>
      <c r="X129" s="2">
        <v>0</v>
      </c>
      <c r="Y129" s="2" t="s">
        <v>1049</v>
      </c>
      <c r="Z129" s="12">
        <f>SUMIF(Table1[product],Table1[[#This Row],[product]],Table1[loan_amount])</f>
        <v>74897600</v>
      </c>
      <c r="AA129" s="15">
        <f>SUMIF(Table1[region],Table1[[#This Row],[region]],Table1[current_balance])</f>
        <v>83903255</v>
      </c>
      <c r="AB129" s="2">
        <f>COUNTIF(Table1[loan_status],Table1[[#This Row],[loan_status]])</f>
        <v>301</v>
      </c>
      <c r="AC129" s="2">
        <f>COUNTIF(Table1[default_flag],1)/ROWS(Table1[loan_id])</f>
        <v>2.5999999999999999E-2</v>
      </c>
      <c r="AD129" s="2">
        <f>COUNTIFS(Table1[region],Table1[[#This Row],[region]],Table1[default_flag],1)/COUNTIF(Table1[region],Table1[[#This Row],[region]])</f>
        <v>4.2553191489361701E-2</v>
      </c>
      <c r="AE129" s="2">
        <f>COUNTIFS(Table1[channel],Table1[[#This Row],[channel]],Table1[prepayment_flag],1)/COUNTIF(Table1[channel],Table1[[#This Row],[channel]])</f>
        <v>7.1090047393364927E-2</v>
      </c>
      <c r="AF129" s="2">
        <f>AVERAGEIFS(Table1[interest_rate_pct],Table1[product],Table1[[#This Row],[product]],Table1[risk_band],Table1[[#This Row],[risk_band]])</f>
        <v>18.603181818181817</v>
      </c>
      <c r="AG129" s="2" t="str" cm="1">
        <f t="array" ref="AG129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129" s="2">
        <f>COUNTIF(Table1[DTI band],Table1[[#This Row],[DTI band]])</f>
        <v>260</v>
      </c>
      <c r="AI129" s="2" t="str" cm="1">
        <f t="array" ref="AI129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129" s="2">
        <f>COUNTIF(Table1[LTV band],Table1[[#This Row],[LTV band]])</f>
        <v>141</v>
      </c>
      <c r="AK129" s="19">
        <f>COUNTIFS(Table1[count_loan_perband],Table1[[#This Row],[count_loan_perband]],Table1[default_flag],1)/COUNTIF(Table1[count_loan_perband],Table1[[#This Row],[count_loan_perband]])</f>
        <v>1.4184397163120567E-2</v>
      </c>
      <c r="AL129" s="19" t="str" cm="1">
        <f t="array" ref="AL129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129" s="19">
        <f>IF(Table1[[#This Row],[dpd]] &gt;=30,1,0)</f>
        <v>0</v>
      </c>
      <c r="AN129" s="19">
        <f>COUNTIFS(Table1[Loan size],Table1[[#This Row],[Loan size]],Table1[dpd flag],1)/COUNTIF(Table1[Loan size],Table1[[#This Row],[Loan size]])</f>
        <v>0.13934426229508196</v>
      </c>
      <c r="AO129" s="19" t="str">
        <f>IF(OR(Table1[[#This Row],[credit_score]] &lt; 600, Table1[ [#This Row],[dti_ratio] ] &gt; 0.5, Table1[[#This Row],[dpd]] &gt;=30), "high risk", " not riskY")</f>
        <v xml:space="preserve"> not riskY</v>
      </c>
      <c r="AP129" s="29">
        <f>EOMONTH(Table1[[#This Row],[origination_date]],0)</f>
        <v>45688</v>
      </c>
      <c r="AQ129" s="19">
        <f>SUMIFS(Table1[loan_amount],Table1[origination month],Table1[[#This Row],[origination month]])</f>
        <v>16786700</v>
      </c>
      <c r="AR129" s="19">
        <f>AVERAGEIFS(Table1[months_on_book],Table1[product],Table1[[#This Row],[product]])</f>
        <v>21.092024539877301</v>
      </c>
      <c r="AS129" s="19" t="str">
        <f ca="1">IF(EDATE(Table1[[#This Row],[origination_date]],6) &gt;= TODAY(), "New Loan", "Old Loan")</f>
        <v>Old Loan</v>
      </c>
      <c r="AT129" s="19" t="str">
        <f>"Q"&amp;ROUNDUP(MONTH(Table1[[#This Row],[origination_date]])/3,0)&amp;YEAR(Table1[[#This Row],[origination_date]])</f>
        <v>Q12025</v>
      </c>
      <c r="AU129" s="19">
        <f>SUMIFS(Table1[loan_amount],Table1[quarter],Table1[[#This Row],[quarter]])</f>
        <v>40328000</v>
      </c>
    </row>
    <row r="130" spans="2:47" x14ac:dyDescent="0.2">
      <c r="B130" s="5" t="s">
        <v>371</v>
      </c>
      <c r="C130" s="2" t="s">
        <v>871</v>
      </c>
      <c r="D130" s="3">
        <v>45726</v>
      </c>
      <c r="E130" s="2" t="s">
        <v>1026</v>
      </c>
      <c r="F130" s="2" t="s">
        <v>1030</v>
      </c>
      <c r="G130" s="2" t="s">
        <v>1034</v>
      </c>
      <c r="H130" s="2" t="s">
        <v>1038</v>
      </c>
      <c r="I130" s="2">
        <v>120</v>
      </c>
      <c r="J130" s="2">
        <v>739400</v>
      </c>
      <c r="K130" s="2">
        <v>18.05</v>
      </c>
      <c r="L130" s="2">
        <v>13347</v>
      </c>
      <c r="M130" s="2">
        <v>1100285</v>
      </c>
      <c r="N130" s="2">
        <v>698</v>
      </c>
      <c r="O130" s="2" t="s">
        <v>1042</v>
      </c>
      <c r="P130" s="2">
        <v>0.39</v>
      </c>
      <c r="Q130" s="2">
        <v>0.84</v>
      </c>
      <c r="R130" s="2">
        <v>0</v>
      </c>
      <c r="S130" s="2">
        <v>9</v>
      </c>
      <c r="T130" s="2">
        <v>114125</v>
      </c>
      <c r="U130" s="2">
        <v>665314</v>
      </c>
      <c r="V130" s="2">
        <v>0</v>
      </c>
      <c r="W130" s="2">
        <v>1</v>
      </c>
      <c r="X130" s="2">
        <v>0</v>
      </c>
      <c r="Y130" s="2" t="s">
        <v>1047</v>
      </c>
      <c r="Z130" s="12">
        <f>SUMIF(Table1[product],Table1[[#This Row],[product]],Table1[loan_amount])</f>
        <v>74897600</v>
      </c>
      <c r="AA130" s="15">
        <f>SUMIF(Table1[region],Table1[[#This Row],[region]],Table1[current_balance])</f>
        <v>105779369</v>
      </c>
      <c r="AB130" s="2">
        <f>COUNTIF(Table1[loan_status],Table1[[#This Row],[loan_status]])</f>
        <v>139</v>
      </c>
      <c r="AC130" s="2">
        <f>COUNTIF(Table1[default_flag],1)/ROWS(Table1[loan_id])</f>
        <v>2.5999999999999999E-2</v>
      </c>
      <c r="AD130" s="2">
        <f>COUNTIFS(Table1[region],Table1[[#This Row],[region]],Table1[default_flag],1)/COUNTIF(Table1[region],Table1[[#This Row],[region]])</f>
        <v>2.6548672566371681E-2</v>
      </c>
      <c r="AE130" s="2">
        <f>COUNTIFS(Table1[channel],Table1[[#This Row],[channel]],Table1[prepayment_flag],1)/COUNTIF(Table1[channel],Table1[[#This Row],[channel]])</f>
        <v>5.8201058201058198E-2</v>
      </c>
      <c r="AF130" s="2">
        <f>AVERAGEIFS(Table1[interest_rate_pct],Table1[product],Table1[[#This Row],[product]],Table1[risk_band],Table1[[#This Row],[risk_band]])</f>
        <v>18.603181818181817</v>
      </c>
      <c r="AG130" s="2" t="str" cm="1">
        <f t="array" ref="AG130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130" s="2">
        <f>COUNTIF(Table1[DTI band],Table1[[#This Row],[DTI band]])</f>
        <v>260</v>
      </c>
      <c r="AI130" s="2" t="str" cm="1">
        <f t="array" ref="AI130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130" s="2">
        <f>COUNTIF(Table1[LTV band],Table1[[#This Row],[LTV band]])</f>
        <v>141</v>
      </c>
      <c r="AK130" s="19">
        <f>COUNTIFS(Table1[count_loan_perband],Table1[[#This Row],[count_loan_perband]],Table1[default_flag],1)/COUNTIF(Table1[count_loan_perband],Table1[[#This Row],[count_loan_perband]])</f>
        <v>1.4184397163120567E-2</v>
      </c>
      <c r="AL130" s="19" t="str" cm="1">
        <f t="array" ref="AL130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130" s="19">
        <f>IF(Table1[[#This Row],[dpd]] &gt;=30,1,0)</f>
        <v>0</v>
      </c>
      <c r="AN130" s="19">
        <f>COUNTIFS(Table1[Loan size],Table1[[#This Row],[Loan size]],Table1[dpd flag],1)/COUNTIF(Table1[Loan size],Table1[[#This Row],[Loan size]])</f>
        <v>0.13934426229508196</v>
      </c>
      <c r="AO130" s="19" t="str">
        <f>IF(OR(Table1[[#This Row],[credit_score]] &lt; 600, Table1[ [#This Row],[dti_ratio] ] &gt; 0.5, Table1[[#This Row],[dpd]] &gt;=30), "high risk", " not riskY")</f>
        <v xml:space="preserve"> not riskY</v>
      </c>
      <c r="AP130" s="29">
        <f>EOMONTH(Table1[[#This Row],[origination_date]],0)</f>
        <v>45747</v>
      </c>
      <c r="AQ130" s="19">
        <f>SUMIFS(Table1[loan_amount],Table1[origination month],Table1[[#This Row],[origination month]])</f>
        <v>5573100</v>
      </c>
      <c r="AR130" s="19">
        <f>AVERAGEIFS(Table1[months_on_book],Table1[product],Table1[[#This Row],[product]])</f>
        <v>21.092024539877301</v>
      </c>
      <c r="AS130" s="19" t="str">
        <f ca="1">IF(EDATE(Table1[[#This Row],[origination_date]],6) &gt;= TODAY(), "New Loan", "Old Loan")</f>
        <v>Old Loan</v>
      </c>
      <c r="AT130" s="19" t="str">
        <f>"Q"&amp;ROUNDUP(MONTH(Table1[[#This Row],[origination_date]])/3,0)&amp;YEAR(Table1[[#This Row],[origination_date]])</f>
        <v>Q12025</v>
      </c>
      <c r="AU130" s="19">
        <f>SUMIFS(Table1[loan_amount],Table1[quarter],Table1[[#This Row],[quarter]])</f>
        <v>40328000</v>
      </c>
    </row>
    <row r="131" spans="2:47" x14ac:dyDescent="0.2">
      <c r="B131" s="5" t="s">
        <v>440</v>
      </c>
      <c r="C131" s="2" t="s">
        <v>940</v>
      </c>
      <c r="D131" s="3">
        <v>45738</v>
      </c>
      <c r="E131" s="2" t="s">
        <v>1026</v>
      </c>
      <c r="F131" s="2" t="s">
        <v>1030</v>
      </c>
      <c r="G131" s="2" t="s">
        <v>1037</v>
      </c>
      <c r="H131" s="2" t="s">
        <v>1038</v>
      </c>
      <c r="I131" s="2">
        <v>60</v>
      </c>
      <c r="J131" s="2">
        <v>200000</v>
      </c>
      <c r="K131" s="2">
        <v>17.489999999999998</v>
      </c>
      <c r="L131" s="2">
        <v>5023</v>
      </c>
      <c r="M131" s="2">
        <v>150000</v>
      </c>
      <c r="N131" s="2">
        <v>711</v>
      </c>
      <c r="O131" s="2" t="s">
        <v>1044</v>
      </c>
      <c r="P131" s="2">
        <v>0.39</v>
      </c>
      <c r="Q131" s="2">
        <v>0.86</v>
      </c>
      <c r="R131" s="2">
        <v>0</v>
      </c>
      <c r="S131" s="2">
        <v>9</v>
      </c>
      <c r="T131" s="2">
        <v>39576</v>
      </c>
      <c r="U131" s="2">
        <v>170918</v>
      </c>
      <c r="V131" s="2">
        <v>0</v>
      </c>
      <c r="W131" s="2">
        <v>0</v>
      </c>
      <c r="X131" s="2">
        <v>0</v>
      </c>
      <c r="Y131" s="2" t="s">
        <v>1049</v>
      </c>
      <c r="Z131" s="12">
        <f>SUMIF(Table1[product],Table1[[#This Row],[product]],Table1[loan_amount])</f>
        <v>74897600</v>
      </c>
      <c r="AA131" s="15">
        <f>SUMIF(Table1[region],Table1[[#This Row],[region]],Table1[current_balance])</f>
        <v>94548000</v>
      </c>
      <c r="AB131" s="2">
        <f>COUNTIF(Table1[loan_status],Table1[[#This Row],[loan_status]])</f>
        <v>301</v>
      </c>
      <c r="AC131" s="2">
        <f>COUNTIF(Table1[default_flag],1)/ROWS(Table1[loan_id])</f>
        <v>2.5999999999999999E-2</v>
      </c>
      <c r="AD131" s="2">
        <f>COUNTIFS(Table1[region],Table1[[#This Row],[region]],Table1[default_flag],1)/COUNTIF(Table1[region],Table1[[#This Row],[region]])</f>
        <v>0</v>
      </c>
      <c r="AE131" s="2">
        <f>COUNTIFS(Table1[channel],Table1[[#This Row],[channel]],Table1[prepayment_flag],1)/COUNTIF(Table1[channel],Table1[[#This Row],[channel]])</f>
        <v>5.8201058201058198E-2</v>
      </c>
      <c r="AF131" s="2">
        <f>AVERAGEIFS(Table1[interest_rate_pct],Table1[product],Table1[[#This Row],[product]],Table1[risk_band],Table1[[#This Row],[risk_band]])</f>
        <v>16.500166666666669</v>
      </c>
      <c r="AG131" s="2" t="str" cm="1">
        <f t="array" ref="AG131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131" s="2">
        <f>COUNTIF(Table1[DTI band],Table1[[#This Row],[DTI band]])</f>
        <v>260</v>
      </c>
      <c r="AI131" s="2" t="str" cm="1">
        <f t="array" ref="AI131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131" s="2">
        <f>COUNTIF(Table1[LTV band],Table1[[#This Row],[LTV band]])</f>
        <v>141</v>
      </c>
      <c r="AK131" s="19">
        <f>COUNTIFS(Table1[count_loan_perband],Table1[[#This Row],[count_loan_perband]],Table1[default_flag],1)/COUNTIF(Table1[count_loan_perband],Table1[[#This Row],[count_loan_perband]])</f>
        <v>1.4184397163120567E-2</v>
      </c>
      <c r="AL131" s="19" t="str" cm="1">
        <f t="array" ref="AL131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131" s="19">
        <f>IF(Table1[[#This Row],[dpd]] &gt;=30,1,0)</f>
        <v>0</v>
      </c>
      <c r="AN131" s="19">
        <f>COUNTIFS(Table1[Loan size],Table1[[#This Row],[Loan size]],Table1[dpd flag],1)/COUNTIF(Table1[Loan size],Table1[[#This Row],[Loan size]])</f>
        <v>0.13934426229508196</v>
      </c>
      <c r="AO131" s="19" t="str">
        <f>IF(OR(Table1[[#This Row],[credit_score]] &lt; 600, Table1[ [#This Row],[dti_ratio] ] &gt; 0.5, Table1[[#This Row],[dpd]] &gt;=30), "high risk", " not riskY")</f>
        <v xml:space="preserve"> not riskY</v>
      </c>
      <c r="AP131" s="29">
        <f>EOMONTH(Table1[[#This Row],[origination_date]],0)</f>
        <v>45747</v>
      </c>
      <c r="AQ131" s="19">
        <f>SUMIFS(Table1[loan_amount],Table1[origination month],Table1[[#This Row],[origination month]])</f>
        <v>5573100</v>
      </c>
      <c r="AR131" s="19">
        <f>AVERAGEIFS(Table1[months_on_book],Table1[product],Table1[[#This Row],[product]])</f>
        <v>21.092024539877301</v>
      </c>
      <c r="AS131" s="19" t="str">
        <f ca="1">IF(EDATE(Table1[[#This Row],[origination_date]],6) &gt;= TODAY(), "New Loan", "Old Loan")</f>
        <v>Old Loan</v>
      </c>
      <c r="AT131" s="19" t="str">
        <f>"Q"&amp;ROUNDUP(MONTH(Table1[[#This Row],[origination_date]])/3,0)&amp;YEAR(Table1[[#This Row],[origination_date]])</f>
        <v>Q12025</v>
      </c>
      <c r="AU131" s="19">
        <f>SUMIFS(Table1[loan_amount],Table1[quarter],Table1[[#This Row],[quarter]])</f>
        <v>40328000</v>
      </c>
    </row>
    <row r="132" spans="2:47" x14ac:dyDescent="0.2">
      <c r="B132" s="5" t="s">
        <v>153</v>
      </c>
      <c r="C132" s="2" t="s">
        <v>653</v>
      </c>
      <c r="D132" s="3">
        <v>45716</v>
      </c>
      <c r="E132" s="2" t="s">
        <v>1026</v>
      </c>
      <c r="F132" s="2" t="s">
        <v>1030</v>
      </c>
      <c r="G132" s="2" t="s">
        <v>1037</v>
      </c>
      <c r="H132" s="2" t="s">
        <v>1038</v>
      </c>
      <c r="I132" s="2">
        <v>360</v>
      </c>
      <c r="J132" s="2">
        <v>400300</v>
      </c>
      <c r="K132" s="2">
        <v>24.67</v>
      </c>
      <c r="L132" s="2">
        <v>8235</v>
      </c>
      <c r="M132" s="2">
        <v>737670</v>
      </c>
      <c r="N132" s="2">
        <v>553</v>
      </c>
      <c r="O132" s="2" t="s">
        <v>1046</v>
      </c>
      <c r="P132" s="2">
        <v>0.38</v>
      </c>
      <c r="Q132" s="2">
        <v>0.71</v>
      </c>
      <c r="R132" s="2">
        <v>0</v>
      </c>
      <c r="S132" s="2">
        <v>10</v>
      </c>
      <c r="T132" s="2">
        <v>79939</v>
      </c>
      <c r="U132" s="2">
        <v>353279</v>
      </c>
      <c r="V132" s="2">
        <v>15</v>
      </c>
      <c r="W132" s="2">
        <v>0</v>
      </c>
      <c r="X132" s="2">
        <v>0</v>
      </c>
      <c r="Y132" s="2" t="s">
        <v>1049</v>
      </c>
      <c r="Z132" s="12">
        <f>SUMIF(Table1[product],Table1[[#This Row],[product]],Table1[loan_amount])</f>
        <v>74897600</v>
      </c>
      <c r="AA132" s="15">
        <f>SUMIF(Table1[region],Table1[[#This Row],[region]],Table1[current_balance])</f>
        <v>94548000</v>
      </c>
      <c r="AB132" s="2">
        <f>COUNTIF(Table1[loan_status],Table1[[#This Row],[loan_status]])</f>
        <v>301</v>
      </c>
      <c r="AC132" s="2">
        <f>COUNTIF(Table1[default_flag],1)/ROWS(Table1[loan_id])</f>
        <v>2.5999999999999999E-2</v>
      </c>
      <c r="AD132" s="2">
        <f>COUNTIFS(Table1[region],Table1[[#This Row],[region]],Table1[default_flag],1)/COUNTIF(Table1[region],Table1[[#This Row],[region]])</f>
        <v>0</v>
      </c>
      <c r="AE132" s="2">
        <f>COUNTIFS(Table1[channel],Table1[[#This Row],[channel]],Table1[prepayment_flag],1)/COUNTIF(Table1[channel],Table1[[#This Row],[channel]])</f>
        <v>5.8201058201058198E-2</v>
      </c>
      <c r="AF132" s="2">
        <f>AVERAGEIFS(Table1[interest_rate_pct],Table1[product],Table1[[#This Row],[product]],Table1[risk_band],Table1[[#This Row],[risk_band]])</f>
        <v>23.803750000000001</v>
      </c>
      <c r="AG132" s="2" t="str" cm="1">
        <f t="array" ref="AG132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132" s="2">
        <f>COUNTIF(Table1[DTI band],Table1[[#This Row],[DTI band]])</f>
        <v>260</v>
      </c>
      <c r="AI132" s="2" t="str" cm="1">
        <f t="array" ref="AI132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132" s="2">
        <f>COUNTIF(Table1[LTV band],Table1[[#This Row],[LTV band]])</f>
        <v>302</v>
      </c>
      <c r="AK132" s="19">
        <f>COUNTIFS(Table1[count_loan_perband],Table1[[#This Row],[count_loan_perband]],Table1[default_flag],1)/COUNTIF(Table1[count_loan_perband],Table1[[#This Row],[count_loan_perband]])</f>
        <v>3.6423841059602648E-2</v>
      </c>
      <c r="AL132" s="19" t="str" cm="1">
        <f t="array" ref="AL132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132" s="19">
        <f>IF(Table1[[#This Row],[dpd]] &gt;=30,1,0)</f>
        <v>0</v>
      </c>
      <c r="AN132" s="19">
        <f>COUNTIFS(Table1[Loan size],Table1[[#This Row],[Loan size]],Table1[dpd flag],1)/COUNTIF(Table1[Loan size],Table1[[#This Row],[Loan size]])</f>
        <v>0.13934426229508196</v>
      </c>
      <c r="AO132" s="19" t="str">
        <f>IF(OR(Table1[[#This Row],[credit_score]] &lt; 600, Table1[ [#This Row],[dti_ratio] ] &gt; 0.5, Table1[[#This Row],[dpd]] &gt;=30), "high risk", " not riskY")</f>
        <v>high risk</v>
      </c>
      <c r="AP132" s="29">
        <f>EOMONTH(Table1[[#This Row],[origination_date]],0)</f>
        <v>45716</v>
      </c>
      <c r="AQ132" s="19">
        <f>SUMIFS(Table1[loan_amount],Table1[origination month],Table1[[#This Row],[origination month]])</f>
        <v>17968200</v>
      </c>
      <c r="AR132" s="19">
        <f>AVERAGEIFS(Table1[months_on_book],Table1[product],Table1[[#This Row],[product]])</f>
        <v>21.092024539877301</v>
      </c>
      <c r="AS132" s="19" t="str">
        <f ca="1">IF(EDATE(Table1[[#This Row],[origination_date]],6) &gt;= TODAY(), "New Loan", "Old Loan")</f>
        <v>Old Loan</v>
      </c>
      <c r="AT132" s="19" t="str">
        <f>"Q"&amp;ROUNDUP(MONTH(Table1[[#This Row],[origination_date]])/3,0)&amp;YEAR(Table1[[#This Row],[origination_date]])</f>
        <v>Q12025</v>
      </c>
      <c r="AU132" s="19">
        <f>SUMIFS(Table1[loan_amount],Table1[quarter],Table1[[#This Row],[quarter]])</f>
        <v>40328000</v>
      </c>
    </row>
    <row r="133" spans="2:47" x14ac:dyDescent="0.2">
      <c r="B133" s="5" t="s">
        <v>340</v>
      </c>
      <c r="C133" s="2" t="s">
        <v>840</v>
      </c>
      <c r="D133" s="3">
        <v>45682</v>
      </c>
      <c r="E133" s="2" t="s">
        <v>1026</v>
      </c>
      <c r="F133" s="2" t="s">
        <v>1029</v>
      </c>
      <c r="G133" s="2" t="s">
        <v>1034</v>
      </c>
      <c r="H133" s="2" t="s">
        <v>1038</v>
      </c>
      <c r="I133" s="2">
        <v>24</v>
      </c>
      <c r="J133" s="2">
        <v>478500</v>
      </c>
      <c r="K133" s="2">
        <v>17.920000000000002</v>
      </c>
      <c r="L133" s="2">
        <v>23870</v>
      </c>
      <c r="M133" s="2">
        <v>588573</v>
      </c>
      <c r="N133" s="2">
        <v>701</v>
      </c>
      <c r="O133" s="2" t="s">
        <v>1044</v>
      </c>
      <c r="P133" s="2">
        <v>0.37</v>
      </c>
      <c r="Q133" s="2">
        <v>0.99</v>
      </c>
      <c r="R133" s="2">
        <v>0</v>
      </c>
      <c r="S133" s="2">
        <v>11</v>
      </c>
      <c r="T133" s="2">
        <v>232528</v>
      </c>
      <c r="U133" s="2">
        <v>277413</v>
      </c>
      <c r="V133" s="2">
        <v>0</v>
      </c>
      <c r="W133" s="2">
        <v>0</v>
      </c>
      <c r="X133" s="2">
        <v>0</v>
      </c>
      <c r="Y133" s="2" t="s">
        <v>1049</v>
      </c>
      <c r="Z133" s="12">
        <f>SUMIF(Table1[product],Table1[[#This Row],[product]],Table1[loan_amount])</f>
        <v>74897600</v>
      </c>
      <c r="AA133" s="15">
        <f>SUMIF(Table1[region],Table1[[#This Row],[region]],Table1[current_balance])</f>
        <v>105779369</v>
      </c>
      <c r="AB133" s="2">
        <f>COUNTIF(Table1[loan_status],Table1[[#This Row],[loan_status]])</f>
        <v>301</v>
      </c>
      <c r="AC133" s="2">
        <f>COUNTIF(Table1[default_flag],1)/ROWS(Table1[loan_id])</f>
        <v>2.5999999999999999E-2</v>
      </c>
      <c r="AD133" s="2">
        <f>COUNTIFS(Table1[region],Table1[[#This Row],[region]],Table1[default_flag],1)/COUNTIF(Table1[region],Table1[[#This Row],[region]])</f>
        <v>2.6548672566371681E-2</v>
      </c>
      <c r="AE133" s="2">
        <f>COUNTIFS(Table1[channel],Table1[[#This Row],[channel]],Table1[prepayment_flag],1)/COUNTIF(Table1[channel],Table1[[#This Row],[channel]])</f>
        <v>7.1090047393364927E-2</v>
      </c>
      <c r="AF133" s="2">
        <f>AVERAGEIFS(Table1[interest_rate_pct],Table1[product],Table1[[#This Row],[product]],Table1[risk_band],Table1[[#This Row],[risk_band]])</f>
        <v>16.500166666666669</v>
      </c>
      <c r="AG133" s="2" t="str" cm="1">
        <f t="array" ref="AG133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133" s="2">
        <f>COUNTIF(Table1[DTI band],Table1[[#This Row],[DTI band]])</f>
        <v>260</v>
      </c>
      <c r="AI133" s="2" t="str" cm="1">
        <f t="array" ref="AI133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133" s="2">
        <f>COUNTIF(Table1[LTV band],Table1[[#This Row],[LTV band]])</f>
        <v>141</v>
      </c>
      <c r="AK133" s="19">
        <f>COUNTIFS(Table1[count_loan_perband],Table1[[#This Row],[count_loan_perband]],Table1[default_flag],1)/COUNTIF(Table1[count_loan_perband],Table1[[#This Row],[count_loan_perband]])</f>
        <v>1.4184397163120567E-2</v>
      </c>
      <c r="AL133" s="19" t="str" cm="1">
        <f t="array" ref="AL133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133" s="19">
        <f>IF(Table1[[#This Row],[dpd]] &gt;=30,1,0)</f>
        <v>0</v>
      </c>
      <c r="AN133" s="19">
        <f>COUNTIFS(Table1[Loan size],Table1[[#This Row],[Loan size]],Table1[dpd flag],1)/COUNTIF(Table1[Loan size],Table1[[#This Row],[Loan size]])</f>
        <v>0.13934426229508196</v>
      </c>
      <c r="AO133" s="19" t="str">
        <f>IF(OR(Table1[[#This Row],[credit_score]] &lt; 600, Table1[ [#This Row],[dti_ratio] ] &gt; 0.5, Table1[[#This Row],[dpd]] &gt;=30), "high risk", " not riskY")</f>
        <v xml:space="preserve"> not riskY</v>
      </c>
      <c r="AP133" s="29">
        <f>EOMONTH(Table1[[#This Row],[origination_date]],0)</f>
        <v>45688</v>
      </c>
      <c r="AQ133" s="19">
        <f>SUMIFS(Table1[loan_amount],Table1[origination month],Table1[[#This Row],[origination month]])</f>
        <v>16786700</v>
      </c>
      <c r="AR133" s="19">
        <f>AVERAGEIFS(Table1[months_on_book],Table1[product],Table1[[#This Row],[product]])</f>
        <v>21.092024539877301</v>
      </c>
      <c r="AS133" s="19" t="str">
        <f ca="1">IF(EDATE(Table1[[#This Row],[origination_date]],6) &gt;= TODAY(), "New Loan", "Old Loan")</f>
        <v>Old Loan</v>
      </c>
      <c r="AT133" s="19" t="str">
        <f>"Q"&amp;ROUNDUP(MONTH(Table1[[#This Row],[origination_date]])/3,0)&amp;YEAR(Table1[[#This Row],[origination_date]])</f>
        <v>Q12025</v>
      </c>
      <c r="AU133" s="19">
        <f>SUMIFS(Table1[loan_amount],Table1[quarter],Table1[[#This Row],[quarter]])</f>
        <v>40328000</v>
      </c>
    </row>
    <row r="134" spans="2:47" x14ac:dyDescent="0.2">
      <c r="B134" s="5" t="s">
        <v>404</v>
      </c>
      <c r="C134" s="2" t="s">
        <v>904</v>
      </c>
      <c r="D134" s="3">
        <v>45698</v>
      </c>
      <c r="E134" s="2" t="s">
        <v>1024</v>
      </c>
      <c r="F134" s="2" t="s">
        <v>1029</v>
      </c>
      <c r="G134" s="2" t="s">
        <v>1037</v>
      </c>
      <c r="H134" s="2" t="s">
        <v>1039</v>
      </c>
      <c r="I134" s="2">
        <v>36</v>
      </c>
      <c r="J134" s="2">
        <v>914700</v>
      </c>
      <c r="K134" s="2">
        <v>12.46</v>
      </c>
      <c r="L134" s="2">
        <v>30582</v>
      </c>
      <c r="M134" s="2">
        <v>614461</v>
      </c>
      <c r="N134" s="2">
        <v>689</v>
      </c>
      <c r="O134" s="2" t="s">
        <v>1042</v>
      </c>
      <c r="P134" s="2">
        <v>0.36</v>
      </c>
      <c r="Q134" s="2">
        <v>0.4</v>
      </c>
      <c r="R134" s="2">
        <v>2284400</v>
      </c>
      <c r="S134" s="2">
        <v>10</v>
      </c>
      <c r="T134" s="2">
        <v>273189</v>
      </c>
      <c r="U134" s="2">
        <v>679502</v>
      </c>
      <c r="V134" s="2">
        <v>10</v>
      </c>
      <c r="W134" s="2">
        <v>0</v>
      </c>
      <c r="X134" s="2">
        <v>0</v>
      </c>
      <c r="Y134" s="2" t="s">
        <v>1049</v>
      </c>
      <c r="Z134" s="12">
        <f>SUMIF(Table1[product],Table1[[#This Row],[product]],Table1[loan_amount])</f>
        <v>92273000</v>
      </c>
      <c r="AA134" s="15">
        <f>SUMIF(Table1[region],Table1[[#This Row],[region]],Table1[current_balance])</f>
        <v>94548000</v>
      </c>
      <c r="AB134" s="2">
        <f>COUNTIF(Table1[loan_status],Table1[[#This Row],[loan_status]])</f>
        <v>301</v>
      </c>
      <c r="AC134" s="2">
        <f>COUNTIF(Table1[default_flag],1)/ROWS(Table1[loan_id])</f>
        <v>2.5999999999999999E-2</v>
      </c>
      <c r="AD134" s="2">
        <f>COUNTIFS(Table1[region],Table1[[#This Row],[region]],Table1[default_flag],1)/COUNTIF(Table1[region],Table1[[#This Row],[region]])</f>
        <v>0</v>
      </c>
      <c r="AE134" s="2">
        <f>COUNTIFS(Table1[channel],Table1[[#This Row],[channel]],Table1[prepayment_flag],1)/COUNTIF(Table1[channel],Table1[[#This Row],[channel]])</f>
        <v>7.1090047393364927E-2</v>
      </c>
      <c r="AF134" s="2">
        <f>AVERAGEIFS(Table1[interest_rate_pct],Table1[product],Table1[[#This Row],[product]],Table1[risk_band],Table1[[#This Row],[risk_band]])</f>
        <v>13.246500000000001</v>
      </c>
      <c r="AG134" s="2" t="str" cm="1">
        <f t="array" ref="AG134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134" s="2">
        <f>COUNTIF(Table1[DTI band],Table1[[#This Row],[DTI band]])</f>
        <v>260</v>
      </c>
      <c r="AI134" s="2" t="str" cm="1">
        <f t="array" ref="AI134">_xlfn.IFS(Table1[[#This Row],[ltv_ratio]] &lt; 0.6, "less than 0.6 -less risky", Table1[[#This Row],[ltv_ratio]]  &lt;= 0.8, "0.6 - 0.8 -medium risky",Table1[[#This Row],[ltv_ratio]] &gt; 0.8, "greater than 0.8 -highly risky")</f>
        <v>less than 0.6 -less risky</v>
      </c>
      <c r="AJ134" s="2">
        <f>COUNTIF(Table1[LTV band],Table1[[#This Row],[LTV band]])</f>
        <v>57</v>
      </c>
      <c r="AK134" s="19">
        <f>COUNTIFS(Table1[count_loan_perband],Table1[[#This Row],[count_loan_perband]],Table1[default_flag],1)/COUNTIF(Table1[count_loan_perband],Table1[[#This Row],[count_loan_perband]])</f>
        <v>0</v>
      </c>
      <c r="AL134" s="19" t="str" cm="1">
        <f t="array" ref="AL134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134" s="19">
        <f>IF(Table1[[#This Row],[dpd]] &gt;=30,1,0)</f>
        <v>0</v>
      </c>
      <c r="AN134" s="19">
        <f>COUNTIFS(Table1[Loan size],Table1[[#This Row],[Loan size]],Table1[dpd flag],1)/COUNTIF(Table1[Loan size],Table1[[#This Row],[Loan size]])</f>
        <v>0.15909090909090909</v>
      </c>
      <c r="AO134" s="19" t="str">
        <f>IF(OR(Table1[[#This Row],[credit_score]] &lt; 600, Table1[ [#This Row],[dti_ratio] ] &gt; 0.5, Table1[[#This Row],[dpd]] &gt;=30), "high risk", " not riskY")</f>
        <v xml:space="preserve"> not riskY</v>
      </c>
      <c r="AP134" s="29">
        <f>EOMONTH(Table1[[#This Row],[origination_date]],0)</f>
        <v>45716</v>
      </c>
      <c r="AQ134" s="19">
        <f>SUMIFS(Table1[loan_amount],Table1[origination month],Table1[[#This Row],[origination month]])</f>
        <v>17968200</v>
      </c>
      <c r="AR134" s="19">
        <f>AVERAGEIFS(Table1[months_on_book],Table1[product],Table1[[#This Row],[product]])</f>
        <v>20.262135922330096</v>
      </c>
      <c r="AS134" s="19" t="str">
        <f ca="1">IF(EDATE(Table1[[#This Row],[origination_date]],6) &gt;= TODAY(), "New Loan", "Old Loan")</f>
        <v>Old Loan</v>
      </c>
      <c r="AT134" s="19" t="str">
        <f>"Q"&amp;ROUNDUP(MONTH(Table1[[#This Row],[origination_date]])/3,0)&amp;YEAR(Table1[[#This Row],[origination_date]])</f>
        <v>Q12025</v>
      </c>
      <c r="AU134" s="19">
        <f>SUMIFS(Table1[loan_amount],Table1[quarter],Table1[[#This Row],[quarter]])</f>
        <v>40328000</v>
      </c>
    </row>
    <row r="135" spans="2:47" x14ac:dyDescent="0.2">
      <c r="B135" s="5" t="s">
        <v>423</v>
      </c>
      <c r="C135" s="2" t="s">
        <v>923</v>
      </c>
      <c r="D135" s="3">
        <v>45680</v>
      </c>
      <c r="E135" s="2" t="s">
        <v>1024</v>
      </c>
      <c r="F135" s="2" t="s">
        <v>1029</v>
      </c>
      <c r="G135" s="2" t="s">
        <v>1035</v>
      </c>
      <c r="H135" s="2" t="s">
        <v>1038</v>
      </c>
      <c r="I135" s="2">
        <v>48</v>
      </c>
      <c r="J135" s="2">
        <v>542200</v>
      </c>
      <c r="K135" s="2">
        <v>15.1</v>
      </c>
      <c r="L135" s="2">
        <v>15117</v>
      </c>
      <c r="M135" s="2">
        <v>694929</v>
      </c>
      <c r="N135" s="2">
        <v>640</v>
      </c>
      <c r="O135" s="2" t="s">
        <v>1045</v>
      </c>
      <c r="P135" s="2">
        <v>0.36</v>
      </c>
      <c r="Q135" s="2">
        <v>0.67</v>
      </c>
      <c r="R135" s="2">
        <v>812600</v>
      </c>
      <c r="S135" s="2">
        <v>11</v>
      </c>
      <c r="T135" s="2">
        <v>148943</v>
      </c>
      <c r="U135" s="2">
        <v>423277</v>
      </c>
      <c r="V135" s="2">
        <v>0</v>
      </c>
      <c r="W135" s="2">
        <v>0</v>
      </c>
      <c r="X135" s="2">
        <v>0</v>
      </c>
      <c r="Y135" s="2" t="s">
        <v>1049</v>
      </c>
      <c r="Z135" s="12">
        <f>SUMIF(Table1[product],Table1[[#This Row],[product]],Table1[loan_amount])</f>
        <v>92273000</v>
      </c>
      <c r="AA135" s="15">
        <f>SUMIF(Table1[region],Table1[[#This Row],[region]],Table1[current_balance])</f>
        <v>83903255</v>
      </c>
      <c r="AB135" s="2">
        <f>COUNTIF(Table1[loan_status],Table1[[#This Row],[loan_status]])</f>
        <v>301</v>
      </c>
      <c r="AC135" s="2">
        <f>COUNTIF(Table1[default_flag],1)/ROWS(Table1[loan_id])</f>
        <v>2.5999999999999999E-2</v>
      </c>
      <c r="AD135" s="2">
        <f>COUNTIFS(Table1[region],Table1[[#This Row],[region]],Table1[default_flag],1)/COUNTIF(Table1[region],Table1[[#This Row],[region]])</f>
        <v>4.2553191489361701E-2</v>
      </c>
      <c r="AE135" s="2">
        <f>COUNTIFS(Table1[channel],Table1[[#This Row],[channel]],Table1[prepayment_flag],1)/COUNTIF(Table1[channel],Table1[[#This Row],[channel]])</f>
        <v>7.1090047393364927E-2</v>
      </c>
      <c r="AF135" s="2">
        <f>AVERAGEIFS(Table1[interest_rate_pct],Table1[product],Table1[[#This Row],[product]],Table1[risk_band],Table1[[#This Row],[risk_band]])</f>
        <v>15.092000000000001</v>
      </c>
      <c r="AG135" s="2" t="str" cm="1">
        <f t="array" ref="AG135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135" s="2">
        <f>COUNTIF(Table1[DTI band],Table1[[#This Row],[DTI band]])</f>
        <v>260</v>
      </c>
      <c r="AI135" s="2" t="str" cm="1">
        <f t="array" ref="AI135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135" s="2">
        <f>COUNTIF(Table1[LTV band],Table1[[#This Row],[LTV band]])</f>
        <v>302</v>
      </c>
      <c r="AK135" s="19">
        <f>COUNTIFS(Table1[count_loan_perband],Table1[[#This Row],[count_loan_perband]],Table1[default_flag],1)/COUNTIF(Table1[count_loan_perband],Table1[[#This Row],[count_loan_perband]])</f>
        <v>3.6423841059602648E-2</v>
      </c>
      <c r="AL135" s="19" t="str" cm="1">
        <f t="array" ref="AL135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135" s="19">
        <f>IF(Table1[[#This Row],[dpd]] &gt;=30,1,0)</f>
        <v>0</v>
      </c>
      <c r="AN135" s="19">
        <f>COUNTIFS(Table1[Loan size],Table1[[#This Row],[Loan size]],Table1[dpd flag],1)/COUNTIF(Table1[Loan size],Table1[[#This Row],[Loan size]])</f>
        <v>0.13934426229508196</v>
      </c>
      <c r="AO135" s="19" t="str">
        <f>IF(OR(Table1[[#This Row],[credit_score]] &lt; 600, Table1[ [#This Row],[dti_ratio] ] &gt; 0.5, Table1[[#This Row],[dpd]] &gt;=30), "high risk", " not riskY")</f>
        <v xml:space="preserve"> not riskY</v>
      </c>
      <c r="AP135" s="29">
        <f>EOMONTH(Table1[[#This Row],[origination_date]],0)</f>
        <v>45688</v>
      </c>
      <c r="AQ135" s="19">
        <f>SUMIFS(Table1[loan_amount],Table1[origination month],Table1[[#This Row],[origination month]])</f>
        <v>16786700</v>
      </c>
      <c r="AR135" s="19">
        <f>AVERAGEIFS(Table1[months_on_book],Table1[product],Table1[[#This Row],[product]])</f>
        <v>20.262135922330096</v>
      </c>
      <c r="AS135" s="19" t="str">
        <f ca="1">IF(EDATE(Table1[[#This Row],[origination_date]],6) &gt;= TODAY(), "New Loan", "Old Loan")</f>
        <v>Old Loan</v>
      </c>
      <c r="AT135" s="19" t="str">
        <f>"Q"&amp;ROUNDUP(MONTH(Table1[[#This Row],[origination_date]])/3,0)&amp;YEAR(Table1[[#This Row],[origination_date]])</f>
        <v>Q12025</v>
      </c>
      <c r="AU135" s="19">
        <f>SUMIFS(Table1[loan_amount],Table1[quarter],Table1[[#This Row],[quarter]])</f>
        <v>40328000</v>
      </c>
    </row>
    <row r="136" spans="2:47" x14ac:dyDescent="0.2">
      <c r="B136" s="5" t="s">
        <v>141</v>
      </c>
      <c r="C136" s="2" t="s">
        <v>641</v>
      </c>
      <c r="D136" s="3">
        <v>45673</v>
      </c>
      <c r="E136" s="2" t="s">
        <v>1024</v>
      </c>
      <c r="F136" s="2" t="s">
        <v>1030</v>
      </c>
      <c r="G136" s="2" t="s">
        <v>1033</v>
      </c>
      <c r="H136" s="2" t="s">
        <v>1038</v>
      </c>
      <c r="I136" s="2">
        <v>120</v>
      </c>
      <c r="J136" s="2">
        <v>998600</v>
      </c>
      <c r="K136" s="2">
        <v>16.87</v>
      </c>
      <c r="L136" s="2">
        <v>17273</v>
      </c>
      <c r="M136" s="2">
        <v>949409</v>
      </c>
      <c r="N136" s="2">
        <v>601</v>
      </c>
      <c r="O136" s="2" t="s">
        <v>1045</v>
      </c>
      <c r="P136" s="2">
        <v>0.35</v>
      </c>
      <c r="Q136" s="2">
        <v>0.79</v>
      </c>
      <c r="R136" s="2">
        <v>1264100</v>
      </c>
      <c r="S136" s="2">
        <v>11</v>
      </c>
      <c r="T136" s="2">
        <v>162902</v>
      </c>
      <c r="U136" s="2">
        <v>897468</v>
      </c>
      <c r="V136" s="2">
        <v>0</v>
      </c>
      <c r="W136" s="2">
        <v>0</v>
      </c>
      <c r="X136" s="2">
        <v>0</v>
      </c>
      <c r="Y136" s="2" t="s">
        <v>1049</v>
      </c>
      <c r="Z136" s="12">
        <f>SUMIF(Table1[product],Table1[[#This Row],[product]],Table1[loan_amount])</f>
        <v>92273000</v>
      </c>
      <c r="AA136" s="15">
        <f>SUMIF(Table1[region],Table1[[#This Row],[region]],Table1[current_balance])</f>
        <v>83297251</v>
      </c>
      <c r="AB136" s="2">
        <f>COUNTIF(Table1[loan_status],Table1[[#This Row],[loan_status]])</f>
        <v>301</v>
      </c>
      <c r="AC136" s="2">
        <f>COUNTIF(Table1[default_flag],1)/ROWS(Table1[loan_id])</f>
        <v>2.5999999999999999E-2</v>
      </c>
      <c r="AD136" s="2">
        <f>COUNTIFS(Table1[region],Table1[[#This Row],[region]],Table1[default_flag],1)/COUNTIF(Table1[region],Table1[[#This Row],[region]])</f>
        <v>3.1914893617021274E-2</v>
      </c>
      <c r="AE136" s="2">
        <f>COUNTIFS(Table1[channel],Table1[[#This Row],[channel]],Table1[prepayment_flag],1)/COUNTIF(Table1[channel],Table1[[#This Row],[channel]])</f>
        <v>5.8201058201058198E-2</v>
      </c>
      <c r="AF136" s="2">
        <f>AVERAGEIFS(Table1[interest_rate_pct],Table1[product],Table1[[#This Row],[product]],Table1[risk_band],Table1[[#This Row],[risk_band]])</f>
        <v>15.092000000000001</v>
      </c>
      <c r="AG136" s="2" t="str" cm="1">
        <f t="array" ref="AG136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136" s="2">
        <f>COUNTIF(Table1[DTI band],Table1[[#This Row],[DTI band]])</f>
        <v>260</v>
      </c>
      <c r="AI136" s="2" t="str" cm="1">
        <f t="array" ref="AI136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136" s="2">
        <f>COUNTIF(Table1[LTV band],Table1[[#This Row],[LTV band]])</f>
        <v>302</v>
      </c>
      <c r="AK136" s="19">
        <f>COUNTIFS(Table1[count_loan_perband],Table1[[#This Row],[count_loan_perband]],Table1[default_flag],1)/COUNTIF(Table1[count_loan_perband],Table1[[#This Row],[count_loan_perband]])</f>
        <v>3.6423841059602648E-2</v>
      </c>
      <c r="AL136" s="19" t="str" cm="1">
        <f t="array" ref="AL136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136" s="19">
        <f>IF(Table1[[#This Row],[dpd]] &gt;=30,1,0)</f>
        <v>0</v>
      </c>
      <c r="AN136" s="19">
        <f>COUNTIFS(Table1[Loan size],Table1[[#This Row],[Loan size]],Table1[dpd flag],1)/COUNTIF(Table1[Loan size],Table1[[#This Row],[Loan size]])</f>
        <v>0.15909090909090909</v>
      </c>
      <c r="AO136" s="19" t="str">
        <f>IF(OR(Table1[[#This Row],[credit_score]] &lt; 600, Table1[ [#This Row],[dti_ratio] ] &gt; 0.5, Table1[[#This Row],[dpd]] &gt;=30), "high risk", " not riskY")</f>
        <v xml:space="preserve"> not riskY</v>
      </c>
      <c r="AP136" s="29">
        <f>EOMONTH(Table1[[#This Row],[origination_date]],0)</f>
        <v>45688</v>
      </c>
      <c r="AQ136" s="19">
        <f>SUMIFS(Table1[loan_amount],Table1[origination month],Table1[[#This Row],[origination month]])</f>
        <v>16786700</v>
      </c>
      <c r="AR136" s="19">
        <f>AVERAGEIFS(Table1[months_on_book],Table1[product],Table1[[#This Row],[product]])</f>
        <v>20.262135922330096</v>
      </c>
      <c r="AS136" s="19" t="str">
        <f ca="1">IF(EDATE(Table1[[#This Row],[origination_date]],6) &gt;= TODAY(), "New Loan", "Old Loan")</f>
        <v>Old Loan</v>
      </c>
      <c r="AT136" s="19" t="str">
        <f>"Q"&amp;ROUNDUP(MONTH(Table1[[#This Row],[origination_date]])/3,0)&amp;YEAR(Table1[[#This Row],[origination_date]])</f>
        <v>Q12025</v>
      </c>
      <c r="AU136" s="19">
        <f>SUMIFS(Table1[loan_amount],Table1[quarter],Table1[[#This Row],[quarter]])</f>
        <v>40328000</v>
      </c>
    </row>
    <row r="137" spans="2:47" x14ac:dyDescent="0.2">
      <c r="B137" s="5" t="s">
        <v>129</v>
      </c>
      <c r="C137" s="2" t="s">
        <v>629</v>
      </c>
      <c r="D137" s="3">
        <v>45663</v>
      </c>
      <c r="E137" s="2" t="s">
        <v>1026</v>
      </c>
      <c r="F137" s="2" t="s">
        <v>1029</v>
      </c>
      <c r="G137" s="2" t="s">
        <v>1033</v>
      </c>
      <c r="H137" s="2" t="s">
        <v>1038</v>
      </c>
      <c r="I137" s="2">
        <v>48</v>
      </c>
      <c r="J137" s="2">
        <v>556500</v>
      </c>
      <c r="K137" s="2">
        <v>18.32</v>
      </c>
      <c r="L137" s="2">
        <v>16440</v>
      </c>
      <c r="M137" s="2">
        <v>1326204</v>
      </c>
      <c r="N137" s="2">
        <v>673</v>
      </c>
      <c r="O137" s="2" t="s">
        <v>1042</v>
      </c>
      <c r="P137" s="2">
        <v>0.34</v>
      </c>
      <c r="Q137" s="2">
        <v>0.93</v>
      </c>
      <c r="R137" s="2">
        <v>0</v>
      </c>
      <c r="S137" s="2">
        <v>11</v>
      </c>
      <c r="T137" s="2">
        <v>154689</v>
      </c>
      <c r="U137" s="2">
        <v>439193</v>
      </c>
      <c r="V137" s="2">
        <v>0</v>
      </c>
      <c r="W137" s="2">
        <v>0</v>
      </c>
      <c r="X137" s="2">
        <v>0</v>
      </c>
      <c r="Y137" s="2" t="s">
        <v>1049</v>
      </c>
      <c r="Z137" s="12">
        <f>SUMIF(Table1[product],Table1[[#This Row],[product]],Table1[loan_amount])</f>
        <v>74897600</v>
      </c>
      <c r="AA137" s="15">
        <f>SUMIF(Table1[region],Table1[[#This Row],[region]],Table1[current_balance])</f>
        <v>83297251</v>
      </c>
      <c r="AB137" s="2">
        <f>COUNTIF(Table1[loan_status],Table1[[#This Row],[loan_status]])</f>
        <v>301</v>
      </c>
      <c r="AC137" s="2">
        <f>COUNTIF(Table1[default_flag],1)/ROWS(Table1[loan_id])</f>
        <v>2.5999999999999999E-2</v>
      </c>
      <c r="AD137" s="2">
        <f>COUNTIFS(Table1[region],Table1[[#This Row],[region]],Table1[default_flag],1)/COUNTIF(Table1[region],Table1[[#This Row],[region]])</f>
        <v>3.1914893617021274E-2</v>
      </c>
      <c r="AE137" s="2">
        <f>COUNTIFS(Table1[channel],Table1[[#This Row],[channel]],Table1[prepayment_flag],1)/COUNTIF(Table1[channel],Table1[[#This Row],[channel]])</f>
        <v>7.1090047393364927E-2</v>
      </c>
      <c r="AF137" s="2">
        <f>AVERAGEIFS(Table1[interest_rate_pct],Table1[product],Table1[[#This Row],[product]],Table1[risk_band],Table1[[#This Row],[risk_band]])</f>
        <v>18.603181818181817</v>
      </c>
      <c r="AG137" s="2" t="str" cm="1">
        <f t="array" ref="AG137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137" s="2">
        <f>COUNTIF(Table1[DTI band],Table1[[#This Row],[DTI band]])</f>
        <v>260</v>
      </c>
      <c r="AI137" s="2" t="str" cm="1">
        <f t="array" ref="AI137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137" s="2">
        <f>COUNTIF(Table1[LTV band],Table1[[#This Row],[LTV band]])</f>
        <v>141</v>
      </c>
      <c r="AK137" s="19">
        <f>COUNTIFS(Table1[count_loan_perband],Table1[[#This Row],[count_loan_perband]],Table1[default_flag],1)/COUNTIF(Table1[count_loan_perband],Table1[[#This Row],[count_loan_perband]])</f>
        <v>1.4184397163120567E-2</v>
      </c>
      <c r="AL137" s="19" t="str" cm="1">
        <f t="array" ref="AL137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137" s="19">
        <f>IF(Table1[[#This Row],[dpd]] &gt;=30,1,0)</f>
        <v>0</v>
      </c>
      <c r="AN137" s="19">
        <f>COUNTIFS(Table1[Loan size],Table1[[#This Row],[Loan size]],Table1[dpd flag],1)/COUNTIF(Table1[Loan size],Table1[[#This Row],[Loan size]])</f>
        <v>0.13934426229508196</v>
      </c>
      <c r="AO137" s="19" t="str">
        <f>IF(OR(Table1[[#This Row],[credit_score]] &lt; 600, Table1[ [#This Row],[dti_ratio] ] &gt; 0.5, Table1[[#This Row],[dpd]] &gt;=30), "high risk", " not riskY")</f>
        <v xml:space="preserve"> not riskY</v>
      </c>
      <c r="AP137" s="29">
        <f>EOMONTH(Table1[[#This Row],[origination_date]],0)</f>
        <v>45688</v>
      </c>
      <c r="AQ137" s="19">
        <f>SUMIFS(Table1[loan_amount],Table1[origination month],Table1[[#This Row],[origination month]])</f>
        <v>16786700</v>
      </c>
      <c r="AR137" s="19">
        <f>AVERAGEIFS(Table1[months_on_book],Table1[product],Table1[[#This Row],[product]])</f>
        <v>21.092024539877301</v>
      </c>
      <c r="AS137" s="19" t="str">
        <f ca="1">IF(EDATE(Table1[[#This Row],[origination_date]],6) &gt;= TODAY(), "New Loan", "Old Loan")</f>
        <v>Old Loan</v>
      </c>
      <c r="AT137" s="19" t="str">
        <f>"Q"&amp;ROUNDUP(MONTH(Table1[[#This Row],[origination_date]])/3,0)&amp;YEAR(Table1[[#This Row],[origination_date]])</f>
        <v>Q12025</v>
      </c>
      <c r="AU137" s="19">
        <f>SUMIFS(Table1[loan_amount],Table1[quarter],Table1[[#This Row],[quarter]])</f>
        <v>40328000</v>
      </c>
    </row>
    <row r="138" spans="2:47" x14ac:dyDescent="0.2">
      <c r="B138" s="5" t="s">
        <v>60</v>
      </c>
      <c r="C138" s="2" t="s">
        <v>560</v>
      </c>
      <c r="D138" s="3">
        <v>45694</v>
      </c>
      <c r="E138" s="2" t="s">
        <v>1027</v>
      </c>
      <c r="F138" s="2" t="s">
        <v>1030</v>
      </c>
      <c r="G138" s="2" t="s">
        <v>1035</v>
      </c>
      <c r="H138" s="2" t="s">
        <v>1038</v>
      </c>
      <c r="I138" s="2">
        <v>72</v>
      </c>
      <c r="J138" s="2">
        <v>3397700</v>
      </c>
      <c r="K138" s="2">
        <v>12.15</v>
      </c>
      <c r="L138" s="2">
        <v>66691</v>
      </c>
      <c r="M138" s="2">
        <v>944158</v>
      </c>
      <c r="N138" s="2">
        <v>656</v>
      </c>
      <c r="O138" s="2" t="s">
        <v>1042</v>
      </c>
      <c r="P138" s="2">
        <v>0.32</v>
      </c>
      <c r="Q138" s="2">
        <v>0.69</v>
      </c>
      <c r="R138" s="2">
        <v>4903900</v>
      </c>
      <c r="S138" s="2">
        <v>10</v>
      </c>
      <c r="T138" s="2">
        <v>618775</v>
      </c>
      <c r="U138" s="2">
        <v>2916532</v>
      </c>
      <c r="V138" s="2">
        <v>90</v>
      </c>
      <c r="W138" s="2">
        <v>0</v>
      </c>
      <c r="X138" s="2">
        <v>1</v>
      </c>
      <c r="Y138" s="2" t="s">
        <v>1050</v>
      </c>
      <c r="Z138" s="12">
        <f>SUMIF(Table1[product],Table1[[#This Row],[product]],Table1[loan_amount])</f>
        <v>403369500</v>
      </c>
      <c r="AA138" s="15">
        <f>SUMIF(Table1[region],Table1[[#This Row],[region]],Table1[current_balance])</f>
        <v>83903255</v>
      </c>
      <c r="AB138" s="2">
        <f>COUNTIF(Table1[loan_status],Table1[[#This Row],[loan_status]])</f>
        <v>13</v>
      </c>
      <c r="AC138" s="2">
        <f>COUNTIF(Table1[default_flag],1)/ROWS(Table1[loan_id])</f>
        <v>2.5999999999999999E-2</v>
      </c>
      <c r="AD138" s="2">
        <f>COUNTIFS(Table1[region],Table1[[#This Row],[region]],Table1[default_flag],1)/COUNTIF(Table1[region],Table1[[#This Row],[region]])</f>
        <v>4.2553191489361701E-2</v>
      </c>
      <c r="AE138" s="2">
        <f>COUNTIFS(Table1[channel],Table1[[#This Row],[channel]],Table1[prepayment_flag],1)/COUNTIF(Table1[channel],Table1[[#This Row],[channel]])</f>
        <v>5.8201058201058198E-2</v>
      </c>
      <c r="AF138" s="2">
        <f>AVERAGEIFS(Table1[interest_rate_pct],Table1[product],Table1[[#This Row],[product]],Table1[risk_band],Table1[[#This Row],[risk_band]])</f>
        <v>11.719736842105268</v>
      </c>
      <c r="AG138" s="2" t="str" cm="1">
        <f t="array" ref="AG138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138" s="2">
        <f>COUNTIF(Table1[DTI band],Table1[[#This Row],[DTI band]])</f>
        <v>260</v>
      </c>
      <c r="AI138" s="2" t="str" cm="1">
        <f t="array" ref="AI138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138" s="2">
        <f>COUNTIF(Table1[LTV band],Table1[[#This Row],[LTV band]])</f>
        <v>302</v>
      </c>
      <c r="AK138" s="19">
        <f>COUNTIFS(Table1[count_loan_perband],Table1[[#This Row],[count_loan_perband]],Table1[default_flag],1)/COUNTIF(Table1[count_loan_perband],Table1[[#This Row],[count_loan_perband]])</f>
        <v>3.6423841059602648E-2</v>
      </c>
      <c r="AL138" s="19" t="str" cm="1">
        <f t="array" ref="AL138">_xlfn.IFS(Table1[[#This Row],[loan_amount]] &lt; 900000, "lower size (&lt; 9L)", Table1[[#This Row],[loan_amount]] &lt;=3300000, "medium size (&lt;=33L)", Table1[[#This Row],[loan_amount]] &gt; 3300000, "larger size (&gt; 33L)")</f>
        <v>larger size (&gt; 33L)</v>
      </c>
      <c r="AM138" s="19">
        <f>IF(Table1[[#This Row],[dpd]] &gt;=30,1,0)</f>
        <v>1</v>
      </c>
      <c r="AN138" s="19">
        <f>COUNTIFS(Table1[Loan size],Table1[[#This Row],[Loan size]],Table1[dpd flag],1)/COUNTIF(Table1[Loan size],Table1[[#This Row],[Loan size]])</f>
        <v>0.16250000000000001</v>
      </c>
      <c r="AO138" s="19" t="str">
        <f>IF(OR(Table1[[#This Row],[credit_score]] &lt; 600, Table1[ [#This Row],[dti_ratio] ] &gt; 0.5, Table1[[#This Row],[dpd]] &gt;=30), "high risk", " not riskY")</f>
        <v>high risk</v>
      </c>
      <c r="AP138" s="29">
        <f>EOMONTH(Table1[[#This Row],[origination_date]],0)</f>
        <v>45716</v>
      </c>
      <c r="AQ138" s="19">
        <f>SUMIFS(Table1[loan_amount],Table1[origination month],Table1[[#This Row],[origination month]])</f>
        <v>17968200</v>
      </c>
      <c r="AR138" s="19">
        <f>AVERAGEIFS(Table1[months_on_book],Table1[product],Table1[[#This Row],[product]])</f>
        <v>20.516129032258064</v>
      </c>
      <c r="AS138" s="19" t="str">
        <f ca="1">IF(EDATE(Table1[[#This Row],[origination_date]],6) &gt;= TODAY(), "New Loan", "Old Loan")</f>
        <v>Old Loan</v>
      </c>
      <c r="AT138" s="19" t="str">
        <f>"Q"&amp;ROUNDUP(MONTH(Table1[[#This Row],[origination_date]])/3,0)&amp;YEAR(Table1[[#This Row],[origination_date]])</f>
        <v>Q12025</v>
      </c>
      <c r="AU138" s="19">
        <f>SUMIFS(Table1[loan_amount],Table1[quarter],Table1[[#This Row],[quarter]])</f>
        <v>40328000</v>
      </c>
    </row>
    <row r="139" spans="2:47" x14ac:dyDescent="0.2">
      <c r="B139" s="5" t="s">
        <v>35</v>
      </c>
      <c r="C139" s="2" t="s">
        <v>535</v>
      </c>
      <c r="D139" s="3">
        <v>45709</v>
      </c>
      <c r="E139" s="2" t="s">
        <v>1025</v>
      </c>
      <c r="F139" s="2" t="s">
        <v>1030</v>
      </c>
      <c r="G139" s="2" t="s">
        <v>1037</v>
      </c>
      <c r="H139" s="2" t="s">
        <v>1038</v>
      </c>
      <c r="I139" s="2">
        <v>84</v>
      </c>
      <c r="J139" s="2">
        <v>2391900</v>
      </c>
      <c r="K139" s="2">
        <v>15.11</v>
      </c>
      <c r="L139" s="2">
        <v>46304</v>
      </c>
      <c r="M139" s="2">
        <v>560710</v>
      </c>
      <c r="N139" s="2">
        <v>675</v>
      </c>
      <c r="O139" s="2" t="s">
        <v>1042</v>
      </c>
      <c r="P139" s="2">
        <v>0.31</v>
      </c>
      <c r="Q139" s="2">
        <v>0.78</v>
      </c>
      <c r="R139" s="2">
        <v>3078100</v>
      </c>
      <c r="S139" s="2">
        <v>10</v>
      </c>
      <c r="T139" s="2">
        <v>456900</v>
      </c>
      <c r="U139" s="2">
        <v>2055472</v>
      </c>
      <c r="V139" s="2">
        <v>10</v>
      </c>
      <c r="W139" s="2">
        <v>0</v>
      </c>
      <c r="X139" s="2">
        <v>0</v>
      </c>
      <c r="Y139" s="2" t="s">
        <v>1049</v>
      </c>
      <c r="Z139" s="12">
        <f>SUMIF(Table1[product],Table1[[#This Row],[product]],Table1[loan_amount])</f>
        <v>201475100</v>
      </c>
      <c r="AA139" s="15">
        <f>SUMIF(Table1[region],Table1[[#This Row],[region]],Table1[current_balance])</f>
        <v>94548000</v>
      </c>
      <c r="AB139" s="2">
        <f>COUNTIF(Table1[loan_status],Table1[[#This Row],[loan_status]])</f>
        <v>301</v>
      </c>
      <c r="AC139" s="2">
        <f>COUNTIF(Table1[default_flag],1)/ROWS(Table1[loan_id])</f>
        <v>2.5999999999999999E-2</v>
      </c>
      <c r="AD139" s="2">
        <f>COUNTIFS(Table1[region],Table1[[#This Row],[region]],Table1[default_flag],1)/COUNTIF(Table1[region],Table1[[#This Row],[region]])</f>
        <v>0</v>
      </c>
      <c r="AE139" s="2">
        <f>COUNTIFS(Table1[channel],Table1[[#This Row],[channel]],Table1[prepayment_flag],1)/COUNTIF(Table1[channel],Table1[[#This Row],[channel]])</f>
        <v>5.8201058201058198E-2</v>
      </c>
      <c r="AF139" s="2">
        <f>AVERAGEIFS(Table1[interest_rate_pct],Table1[product],Table1[[#This Row],[product]],Table1[risk_band],Table1[[#This Row],[risk_band]])</f>
        <v>15.841379310344831</v>
      </c>
      <c r="AG139" s="2" t="str" cm="1">
        <f t="array" ref="AG139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139" s="2">
        <f>COUNTIF(Table1[DTI band],Table1[[#This Row],[DTI band]])</f>
        <v>260</v>
      </c>
      <c r="AI139" s="2" t="str" cm="1">
        <f t="array" ref="AI139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139" s="2">
        <f>COUNTIF(Table1[LTV band],Table1[[#This Row],[LTV band]])</f>
        <v>302</v>
      </c>
      <c r="AK139" s="19">
        <f>COUNTIFS(Table1[count_loan_perband],Table1[[#This Row],[count_loan_perband]],Table1[default_flag],1)/COUNTIF(Table1[count_loan_perband],Table1[[#This Row],[count_loan_perband]])</f>
        <v>3.6423841059602648E-2</v>
      </c>
      <c r="AL139" s="19" t="str" cm="1">
        <f t="array" ref="AL139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139" s="19">
        <f>IF(Table1[[#This Row],[dpd]] &gt;=30,1,0)</f>
        <v>0</v>
      </c>
      <c r="AN139" s="19">
        <f>COUNTIFS(Table1[Loan size],Table1[[#This Row],[Loan size]],Table1[dpd flag],1)/COUNTIF(Table1[Loan size],Table1[[#This Row],[Loan size]])</f>
        <v>0.15909090909090909</v>
      </c>
      <c r="AO139" s="19" t="str">
        <f>IF(OR(Table1[[#This Row],[credit_score]] &lt; 600, Table1[ [#This Row],[dti_ratio] ] &gt; 0.5, Table1[[#This Row],[dpd]] &gt;=30), "high risk", " not riskY")</f>
        <v xml:space="preserve"> not riskY</v>
      </c>
      <c r="AP139" s="29">
        <f>EOMONTH(Table1[[#This Row],[origination_date]],0)</f>
        <v>45716</v>
      </c>
      <c r="AQ139" s="19">
        <f>SUMIFS(Table1[loan_amount],Table1[origination month],Table1[[#This Row],[origination month]])</f>
        <v>17968200</v>
      </c>
      <c r="AR139" s="19">
        <f>AVERAGEIFS(Table1[months_on_book],Table1[product],Table1[[#This Row],[product]])</f>
        <v>19.091954022988507</v>
      </c>
      <c r="AS139" s="19" t="str">
        <f ca="1">IF(EDATE(Table1[[#This Row],[origination_date]],6) &gt;= TODAY(), "New Loan", "Old Loan")</f>
        <v>Old Loan</v>
      </c>
      <c r="AT139" s="19" t="str">
        <f>"Q"&amp;ROUNDUP(MONTH(Table1[[#This Row],[origination_date]])/3,0)&amp;YEAR(Table1[[#This Row],[origination_date]])</f>
        <v>Q12025</v>
      </c>
      <c r="AU139" s="19">
        <f>SUMIFS(Table1[loan_amount],Table1[quarter],Table1[[#This Row],[quarter]])</f>
        <v>40328000</v>
      </c>
    </row>
    <row r="140" spans="2:47" x14ac:dyDescent="0.2">
      <c r="B140" s="5" t="s">
        <v>124</v>
      </c>
      <c r="C140" s="2" t="s">
        <v>624</v>
      </c>
      <c r="D140" s="3">
        <v>45696</v>
      </c>
      <c r="E140" s="2" t="s">
        <v>1025</v>
      </c>
      <c r="F140" s="2" t="s">
        <v>1029</v>
      </c>
      <c r="G140" s="2" t="s">
        <v>1036</v>
      </c>
      <c r="H140" s="2" t="s">
        <v>1041</v>
      </c>
      <c r="I140" s="2">
        <v>48</v>
      </c>
      <c r="J140" s="2">
        <v>1878500</v>
      </c>
      <c r="K140" s="2">
        <v>15.52</v>
      </c>
      <c r="L140" s="2">
        <v>52777</v>
      </c>
      <c r="M140" s="2">
        <v>950971</v>
      </c>
      <c r="N140" s="2">
        <v>677</v>
      </c>
      <c r="O140" s="2" t="s">
        <v>1042</v>
      </c>
      <c r="P140" s="2">
        <v>0.3</v>
      </c>
      <c r="Q140" s="2">
        <v>0.53</v>
      </c>
      <c r="R140" s="2">
        <v>3565300</v>
      </c>
      <c r="S140" s="2">
        <v>10</v>
      </c>
      <c r="T140" s="2">
        <v>512170</v>
      </c>
      <c r="U140" s="2">
        <v>1463511</v>
      </c>
      <c r="V140" s="2">
        <v>0</v>
      </c>
      <c r="W140" s="2">
        <v>0</v>
      </c>
      <c r="X140" s="2">
        <v>0</v>
      </c>
      <c r="Y140" s="2" t="s">
        <v>1049</v>
      </c>
      <c r="Z140" s="12">
        <f>SUMIF(Table1[product],Table1[[#This Row],[product]],Table1[loan_amount])</f>
        <v>201475100</v>
      </c>
      <c r="AA140" s="15">
        <f>SUMIF(Table1[region],Table1[[#This Row],[region]],Table1[current_balance])</f>
        <v>98928695</v>
      </c>
      <c r="AB140" s="2">
        <f>COUNTIF(Table1[loan_status],Table1[[#This Row],[loan_status]])</f>
        <v>301</v>
      </c>
      <c r="AC140" s="2">
        <f>COUNTIF(Table1[default_flag],1)/ROWS(Table1[loan_id])</f>
        <v>2.5999999999999999E-2</v>
      </c>
      <c r="AD140" s="2">
        <f>COUNTIFS(Table1[region],Table1[[#This Row],[region]],Table1[default_flag],1)/COUNTIF(Table1[region],Table1[[#This Row],[region]])</f>
        <v>2.8571428571428571E-2</v>
      </c>
      <c r="AE140" s="2">
        <f>COUNTIFS(Table1[channel],Table1[[#This Row],[channel]],Table1[prepayment_flag],1)/COUNTIF(Table1[channel],Table1[[#This Row],[channel]])</f>
        <v>7.1090047393364927E-2</v>
      </c>
      <c r="AF140" s="2">
        <f>AVERAGEIFS(Table1[interest_rate_pct],Table1[product],Table1[[#This Row],[product]],Table1[risk_band],Table1[[#This Row],[risk_band]])</f>
        <v>15.841379310344831</v>
      </c>
      <c r="AG140" s="2" t="str" cm="1">
        <f t="array" ref="AG140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140" s="2">
        <f>COUNTIF(Table1[DTI band],Table1[[#This Row],[DTI band]])</f>
        <v>260</v>
      </c>
      <c r="AI140" s="2" t="str" cm="1">
        <f t="array" ref="AI140">_xlfn.IFS(Table1[[#This Row],[ltv_ratio]] &lt; 0.6, "less than 0.6 -less risky", Table1[[#This Row],[ltv_ratio]]  &lt;= 0.8, "0.6 - 0.8 -medium risky",Table1[[#This Row],[ltv_ratio]] &gt; 0.8, "greater than 0.8 -highly risky")</f>
        <v>less than 0.6 -less risky</v>
      </c>
      <c r="AJ140" s="2">
        <f>COUNTIF(Table1[LTV band],Table1[[#This Row],[LTV band]])</f>
        <v>57</v>
      </c>
      <c r="AK140" s="19">
        <f>COUNTIFS(Table1[count_loan_perband],Table1[[#This Row],[count_loan_perband]],Table1[default_flag],1)/COUNTIF(Table1[count_loan_perband],Table1[[#This Row],[count_loan_perband]])</f>
        <v>0</v>
      </c>
      <c r="AL140" s="19" t="str" cm="1">
        <f t="array" ref="AL140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140" s="19">
        <f>IF(Table1[[#This Row],[dpd]] &gt;=30,1,0)</f>
        <v>0</v>
      </c>
      <c r="AN140" s="19">
        <f>COUNTIFS(Table1[Loan size],Table1[[#This Row],[Loan size]],Table1[dpd flag],1)/COUNTIF(Table1[Loan size],Table1[[#This Row],[Loan size]])</f>
        <v>0.15909090909090909</v>
      </c>
      <c r="AO140" s="19" t="str">
        <f>IF(OR(Table1[[#This Row],[credit_score]] &lt; 600, Table1[ [#This Row],[dti_ratio] ] &gt; 0.5, Table1[[#This Row],[dpd]] &gt;=30), "high risk", " not riskY")</f>
        <v xml:space="preserve"> not riskY</v>
      </c>
      <c r="AP140" s="29">
        <f>EOMONTH(Table1[[#This Row],[origination_date]],0)</f>
        <v>45716</v>
      </c>
      <c r="AQ140" s="19">
        <f>SUMIFS(Table1[loan_amount],Table1[origination month],Table1[[#This Row],[origination month]])</f>
        <v>17968200</v>
      </c>
      <c r="AR140" s="19">
        <f>AVERAGEIFS(Table1[months_on_book],Table1[product],Table1[[#This Row],[product]])</f>
        <v>19.091954022988507</v>
      </c>
      <c r="AS140" s="19" t="str">
        <f ca="1">IF(EDATE(Table1[[#This Row],[origination_date]],6) &gt;= TODAY(), "New Loan", "Old Loan")</f>
        <v>Old Loan</v>
      </c>
      <c r="AT140" s="19" t="str">
        <f>"Q"&amp;ROUNDUP(MONTH(Table1[[#This Row],[origination_date]])/3,0)&amp;YEAR(Table1[[#This Row],[origination_date]])</f>
        <v>Q12025</v>
      </c>
      <c r="AU140" s="19">
        <f>SUMIFS(Table1[loan_amount],Table1[quarter],Table1[[#This Row],[quarter]])</f>
        <v>40328000</v>
      </c>
    </row>
    <row r="141" spans="2:47" x14ac:dyDescent="0.2">
      <c r="B141" s="5" t="s">
        <v>502</v>
      </c>
      <c r="C141" s="2" t="s">
        <v>1002</v>
      </c>
      <c r="D141" s="3">
        <v>45676</v>
      </c>
      <c r="E141" s="2" t="s">
        <v>1025</v>
      </c>
      <c r="F141" s="2" t="s">
        <v>1031</v>
      </c>
      <c r="G141" s="2" t="s">
        <v>1033</v>
      </c>
      <c r="H141" s="2" t="s">
        <v>1039</v>
      </c>
      <c r="I141" s="2">
        <v>360</v>
      </c>
      <c r="J141" s="2">
        <v>1553000</v>
      </c>
      <c r="K141" s="2">
        <v>18.27</v>
      </c>
      <c r="L141" s="2">
        <v>23748</v>
      </c>
      <c r="M141" s="2">
        <v>1123566</v>
      </c>
      <c r="N141" s="2">
        <v>648</v>
      </c>
      <c r="O141" s="2" t="s">
        <v>1045</v>
      </c>
      <c r="P141" s="2">
        <v>0.3</v>
      </c>
      <c r="Q141" s="2">
        <v>0.51</v>
      </c>
      <c r="R141" s="2">
        <v>3020600</v>
      </c>
      <c r="S141" s="2">
        <v>11</v>
      </c>
      <c r="T141" s="2">
        <v>252592</v>
      </c>
      <c r="U141" s="2">
        <v>1404443</v>
      </c>
      <c r="V141" s="2">
        <v>0</v>
      </c>
      <c r="W141" s="2">
        <v>0</v>
      </c>
      <c r="X141" s="2">
        <v>0</v>
      </c>
      <c r="Y141" s="2" t="s">
        <v>1049</v>
      </c>
      <c r="Z141" s="12">
        <f>SUMIF(Table1[product],Table1[[#This Row],[product]],Table1[loan_amount])</f>
        <v>201475100</v>
      </c>
      <c r="AA141" s="15">
        <f>SUMIF(Table1[region],Table1[[#This Row],[region]],Table1[current_balance])</f>
        <v>83297251</v>
      </c>
      <c r="AB141" s="2">
        <f>COUNTIF(Table1[loan_status],Table1[[#This Row],[loan_status]])</f>
        <v>301</v>
      </c>
      <c r="AC141" s="2">
        <f>COUNTIF(Table1[default_flag],1)/ROWS(Table1[loan_id])</f>
        <v>2.5999999999999999E-2</v>
      </c>
      <c r="AD141" s="2">
        <f>COUNTIFS(Table1[region],Table1[[#This Row],[region]],Table1[default_flag],1)/COUNTIF(Table1[region],Table1[[#This Row],[region]])</f>
        <v>3.1914893617021274E-2</v>
      </c>
      <c r="AE141" s="2">
        <f>COUNTIFS(Table1[channel],Table1[[#This Row],[channel]],Table1[prepayment_flag],1)/COUNTIF(Table1[channel],Table1[[#This Row],[channel]])</f>
        <v>0.12</v>
      </c>
      <c r="AF141" s="2">
        <f>AVERAGEIFS(Table1[interest_rate_pct],Table1[product],Table1[[#This Row],[product]],Table1[risk_band],Table1[[#This Row],[risk_band]])</f>
        <v>18.241249999999997</v>
      </c>
      <c r="AG141" s="2" t="str" cm="1">
        <f t="array" ref="AG141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141" s="2">
        <f>COUNTIF(Table1[DTI band],Table1[[#This Row],[DTI band]])</f>
        <v>260</v>
      </c>
      <c r="AI141" s="2" t="str" cm="1">
        <f t="array" ref="AI141">_xlfn.IFS(Table1[[#This Row],[ltv_ratio]] &lt; 0.6, "less than 0.6 -less risky", Table1[[#This Row],[ltv_ratio]]  &lt;= 0.8, "0.6 - 0.8 -medium risky",Table1[[#This Row],[ltv_ratio]] &gt; 0.8, "greater than 0.8 -highly risky")</f>
        <v>less than 0.6 -less risky</v>
      </c>
      <c r="AJ141" s="2">
        <f>COUNTIF(Table1[LTV band],Table1[[#This Row],[LTV band]])</f>
        <v>57</v>
      </c>
      <c r="AK141" s="19">
        <f>COUNTIFS(Table1[count_loan_perband],Table1[[#This Row],[count_loan_perband]],Table1[default_flag],1)/COUNTIF(Table1[count_loan_perband],Table1[[#This Row],[count_loan_perband]])</f>
        <v>0</v>
      </c>
      <c r="AL141" s="19" t="str" cm="1">
        <f t="array" ref="AL141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141" s="19">
        <f>IF(Table1[[#This Row],[dpd]] &gt;=30,1,0)</f>
        <v>0</v>
      </c>
      <c r="AN141" s="19">
        <f>COUNTIFS(Table1[Loan size],Table1[[#This Row],[Loan size]],Table1[dpd flag],1)/COUNTIF(Table1[Loan size],Table1[[#This Row],[Loan size]])</f>
        <v>0.15909090909090909</v>
      </c>
      <c r="AO141" s="19" t="str">
        <f>IF(OR(Table1[[#This Row],[credit_score]] &lt; 600, Table1[ [#This Row],[dti_ratio] ] &gt; 0.5, Table1[[#This Row],[dpd]] &gt;=30), "high risk", " not riskY")</f>
        <v xml:space="preserve"> not riskY</v>
      </c>
      <c r="AP141" s="29">
        <f>EOMONTH(Table1[[#This Row],[origination_date]],0)</f>
        <v>45688</v>
      </c>
      <c r="AQ141" s="19">
        <f>SUMIFS(Table1[loan_amount],Table1[origination month],Table1[[#This Row],[origination month]])</f>
        <v>16786700</v>
      </c>
      <c r="AR141" s="19">
        <f>AVERAGEIFS(Table1[months_on_book],Table1[product],Table1[[#This Row],[product]])</f>
        <v>19.091954022988507</v>
      </c>
      <c r="AS141" s="19" t="str">
        <f ca="1">IF(EDATE(Table1[[#This Row],[origination_date]],6) &gt;= TODAY(), "New Loan", "Old Loan")</f>
        <v>Old Loan</v>
      </c>
      <c r="AT141" s="19" t="str">
        <f>"Q"&amp;ROUNDUP(MONTH(Table1[[#This Row],[origination_date]])/3,0)&amp;YEAR(Table1[[#This Row],[origination_date]])</f>
        <v>Q12025</v>
      </c>
      <c r="AU141" s="19">
        <f>SUMIFS(Table1[loan_amount],Table1[quarter],Table1[[#This Row],[quarter]])</f>
        <v>40328000</v>
      </c>
    </row>
    <row r="142" spans="2:47" x14ac:dyDescent="0.2">
      <c r="B142" s="5" t="s">
        <v>214</v>
      </c>
      <c r="C142" s="2" t="s">
        <v>714</v>
      </c>
      <c r="D142" s="3">
        <v>45678</v>
      </c>
      <c r="E142" s="2" t="s">
        <v>1027</v>
      </c>
      <c r="F142" s="2" t="s">
        <v>1030</v>
      </c>
      <c r="G142" s="2" t="s">
        <v>1036</v>
      </c>
      <c r="H142" s="2" t="s">
        <v>1038</v>
      </c>
      <c r="I142" s="2">
        <v>24</v>
      </c>
      <c r="J142" s="2">
        <v>4096400</v>
      </c>
      <c r="K142" s="2">
        <v>10.25</v>
      </c>
      <c r="L142" s="2">
        <v>189501</v>
      </c>
      <c r="M142" s="2">
        <v>1342806</v>
      </c>
      <c r="N142" s="2">
        <v>693</v>
      </c>
      <c r="O142" s="2" t="s">
        <v>1042</v>
      </c>
      <c r="P142" s="2">
        <v>0.28000000000000003</v>
      </c>
      <c r="Q142" s="2">
        <v>0.46</v>
      </c>
      <c r="R142" s="2">
        <v>8916300</v>
      </c>
      <c r="S142" s="2">
        <v>11</v>
      </c>
      <c r="T142" s="2">
        <v>2019365</v>
      </c>
      <c r="U142" s="2">
        <v>2230991</v>
      </c>
      <c r="V142" s="2">
        <v>30</v>
      </c>
      <c r="W142" s="2">
        <v>0</v>
      </c>
      <c r="X142" s="2">
        <v>0</v>
      </c>
      <c r="Y142" s="2" t="s">
        <v>1048</v>
      </c>
      <c r="Z142" s="12">
        <f>SUMIF(Table1[product],Table1[[#This Row],[product]],Table1[loan_amount])</f>
        <v>403369500</v>
      </c>
      <c r="AA142" s="15">
        <f>SUMIF(Table1[region],Table1[[#This Row],[region]],Table1[current_balance])</f>
        <v>98928695</v>
      </c>
      <c r="AB142" s="2">
        <f>COUNTIF(Table1[loan_status],Table1[[#This Row],[loan_status]])</f>
        <v>47</v>
      </c>
      <c r="AC142" s="2">
        <f>COUNTIF(Table1[default_flag],1)/ROWS(Table1[loan_id])</f>
        <v>2.5999999999999999E-2</v>
      </c>
      <c r="AD142" s="2">
        <f>COUNTIFS(Table1[region],Table1[[#This Row],[region]],Table1[default_flag],1)/COUNTIF(Table1[region],Table1[[#This Row],[region]])</f>
        <v>2.8571428571428571E-2</v>
      </c>
      <c r="AE142" s="2">
        <f>COUNTIFS(Table1[channel],Table1[[#This Row],[channel]],Table1[prepayment_flag],1)/COUNTIF(Table1[channel],Table1[[#This Row],[channel]])</f>
        <v>5.8201058201058198E-2</v>
      </c>
      <c r="AF142" s="2">
        <f>AVERAGEIFS(Table1[interest_rate_pct],Table1[product],Table1[[#This Row],[product]],Table1[risk_band],Table1[[#This Row],[risk_band]])</f>
        <v>11.719736842105268</v>
      </c>
      <c r="AG142" s="2" t="str" cm="1">
        <f t="array" ref="AG142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142" s="2">
        <f>COUNTIF(Table1[DTI band],Table1[[#This Row],[DTI band]])</f>
        <v>122</v>
      </c>
      <c r="AI142" s="2" t="str" cm="1">
        <f t="array" ref="AI142">_xlfn.IFS(Table1[[#This Row],[ltv_ratio]] &lt; 0.6, "less than 0.6 -less risky", Table1[[#This Row],[ltv_ratio]]  &lt;= 0.8, "0.6 - 0.8 -medium risky",Table1[[#This Row],[ltv_ratio]] &gt; 0.8, "greater than 0.8 -highly risky")</f>
        <v>less than 0.6 -less risky</v>
      </c>
      <c r="AJ142" s="2">
        <f>COUNTIF(Table1[LTV band],Table1[[#This Row],[LTV band]])</f>
        <v>57</v>
      </c>
      <c r="AK142" s="19">
        <f>COUNTIFS(Table1[count_loan_perband],Table1[[#This Row],[count_loan_perband]],Table1[default_flag],1)/COUNTIF(Table1[count_loan_perband],Table1[[#This Row],[count_loan_perband]])</f>
        <v>0</v>
      </c>
      <c r="AL142" s="19" t="str" cm="1">
        <f t="array" ref="AL142">_xlfn.IFS(Table1[[#This Row],[loan_amount]] &lt; 900000, "lower size (&lt; 9L)", Table1[[#This Row],[loan_amount]] &lt;=3300000, "medium size (&lt;=33L)", Table1[[#This Row],[loan_amount]] &gt; 3300000, "larger size (&gt; 33L)")</f>
        <v>larger size (&gt; 33L)</v>
      </c>
      <c r="AM142" s="19">
        <f>IF(Table1[[#This Row],[dpd]] &gt;=30,1,0)</f>
        <v>1</v>
      </c>
      <c r="AN142" s="19">
        <f>COUNTIFS(Table1[Loan size],Table1[[#This Row],[Loan size]],Table1[dpd flag],1)/COUNTIF(Table1[Loan size],Table1[[#This Row],[Loan size]])</f>
        <v>0.16250000000000001</v>
      </c>
      <c r="AO142" s="19" t="str">
        <f>IF(OR(Table1[[#This Row],[credit_score]] &lt; 600, Table1[ [#This Row],[dti_ratio] ] &gt; 0.5, Table1[[#This Row],[dpd]] &gt;=30), "high risk", " not riskY")</f>
        <v>high risk</v>
      </c>
      <c r="AP142" s="29">
        <f>EOMONTH(Table1[[#This Row],[origination_date]],0)</f>
        <v>45688</v>
      </c>
      <c r="AQ142" s="19">
        <f>SUMIFS(Table1[loan_amount],Table1[origination month],Table1[[#This Row],[origination month]])</f>
        <v>16786700</v>
      </c>
      <c r="AR142" s="19">
        <f>AVERAGEIFS(Table1[months_on_book],Table1[product],Table1[[#This Row],[product]])</f>
        <v>20.516129032258064</v>
      </c>
      <c r="AS142" s="19" t="str">
        <f ca="1">IF(EDATE(Table1[[#This Row],[origination_date]],6) &gt;= TODAY(), "New Loan", "Old Loan")</f>
        <v>Old Loan</v>
      </c>
      <c r="AT142" s="19" t="str">
        <f>"Q"&amp;ROUNDUP(MONTH(Table1[[#This Row],[origination_date]])/3,0)&amp;YEAR(Table1[[#This Row],[origination_date]])</f>
        <v>Q12025</v>
      </c>
      <c r="AU142" s="19">
        <f>SUMIFS(Table1[loan_amount],Table1[quarter],Table1[[#This Row],[quarter]])</f>
        <v>40328000</v>
      </c>
    </row>
    <row r="143" spans="2:47" x14ac:dyDescent="0.2">
      <c r="B143" s="5" t="s">
        <v>512</v>
      </c>
      <c r="C143" s="2" t="s">
        <v>1012</v>
      </c>
      <c r="D143" s="3">
        <v>45719</v>
      </c>
      <c r="E143" s="2" t="s">
        <v>1024</v>
      </c>
      <c r="F143" s="2" t="s">
        <v>1029</v>
      </c>
      <c r="G143" s="2" t="s">
        <v>1033</v>
      </c>
      <c r="H143" s="2" t="s">
        <v>1039</v>
      </c>
      <c r="I143" s="2">
        <v>360</v>
      </c>
      <c r="J143" s="2">
        <v>1393100</v>
      </c>
      <c r="K143" s="2">
        <v>9.91</v>
      </c>
      <c r="L143" s="2">
        <v>12133</v>
      </c>
      <c r="M143" s="2">
        <v>778416</v>
      </c>
      <c r="N143" s="2">
        <v>726</v>
      </c>
      <c r="O143" s="2" t="s">
        <v>1044</v>
      </c>
      <c r="P143" s="2">
        <v>0.27</v>
      </c>
      <c r="Q143" s="2">
        <v>0.81</v>
      </c>
      <c r="R143" s="2">
        <v>1721300</v>
      </c>
      <c r="S143" s="2">
        <v>9</v>
      </c>
      <c r="T143" s="2">
        <v>96809</v>
      </c>
      <c r="U143" s="2">
        <v>1337708</v>
      </c>
      <c r="V143" s="2">
        <v>0</v>
      </c>
      <c r="W143" s="2">
        <v>0</v>
      </c>
      <c r="X143" s="2">
        <v>0</v>
      </c>
      <c r="Y143" s="2" t="s">
        <v>1049</v>
      </c>
      <c r="Z143" s="12">
        <f>SUMIF(Table1[product],Table1[[#This Row],[product]],Table1[loan_amount])</f>
        <v>92273000</v>
      </c>
      <c r="AA143" s="15">
        <f>SUMIF(Table1[region],Table1[[#This Row],[region]],Table1[current_balance])</f>
        <v>83297251</v>
      </c>
      <c r="AB143" s="2">
        <f>COUNTIF(Table1[loan_status],Table1[[#This Row],[loan_status]])</f>
        <v>301</v>
      </c>
      <c r="AC143" s="2">
        <f>COUNTIF(Table1[default_flag],1)/ROWS(Table1[loan_id])</f>
        <v>2.5999999999999999E-2</v>
      </c>
      <c r="AD143" s="2">
        <f>COUNTIFS(Table1[region],Table1[[#This Row],[region]],Table1[default_flag],1)/COUNTIF(Table1[region],Table1[[#This Row],[region]])</f>
        <v>3.1914893617021274E-2</v>
      </c>
      <c r="AE143" s="2">
        <f>COUNTIFS(Table1[channel],Table1[[#This Row],[channel]],Table1[prepayment_flag],1)/COUNTIF(Table1[channel],Table1[[#This Row],[channel]])</f>
        <v>7.1090047393364927E-2</v>
      </c>
      <c r="AF143" s="2">
        <f>AVERAGEIFS(Table1[interest_rate_pct],Table1[product],Table1[[#This Row],[product]],Table1[risk_band],Table1[[#This Row],[risk_band]])</f>
        <v>10.611923076923079</v>
      </c>
      <c r="AG143" s="2" t="str" cm="1">
        <f t="array" ref="AG143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143" s="2">
        <f>COUNTIF(Table1[DTI band],Table1[[#This Row],[DTI band]])</f>
        <v>122</v>
      </c>
      <c r="AI143" s="2" t="str" cm="1">
        <f t="array" ref="AI143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143" s="2">
        <f>COUNTIF(Table1[LTV band],Table1[[#This Row],[LTV band]])</f>
        <v>141</v>
      </c>
      <c r="AK143" s="19">
        <f>COUNTIFS(Table1[count_loan_perband],Table1[[#This Row],[count_loan_perband]],Table1[default_flag],1)/COUNTIF(Table1[count_loan_perband],Table1[[#This Row],[count_loan_perband]])</f>
        <v>1.4184397163120567E-2</v>
      </c>
      <c r="AL143" s="19" t="str" cm="1">
        <f t="array" ref="AL143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143" s="19">
        <f>IF(Table1[[#This Row],[dpd]] &gt;=30,1,0)</f>
        <v>0</v>
      </c>
      <c r="AN143" s="19">
        <f>COUNTIFS(Table1[Loan size],Table1[[#This Row],[Loan size]],Table1[dpd flag],1)/COUNTIF(Table1[Loan size],Table1[[#This Row],[Loan size]])</f>
        <v>0.15909090909090909</v>
      </c>
      <c r="AO143" s="19" t="str">
        <f>IF(OR(Table1[[#This Row],[credit_score]] &lt; 600, Table1[ [#This Row],[dti_ratio] ] &gt; 0.5, Table1[[#This Row],[dpd]] &gt;=30), "high risk", " not riskY")</f>
        <v xml:space="preserve"> not riskY</v>
      </c>
      <c r="AP143" s="29">
        <f>EOMONTH(Table1[[#This Row],[origination_date]],0)</f>
        <v>45747</v>
      </c>
      <c r="AQ143" s="19">
        <f>SUMIFS(Table1[loan_amount],Table1[origination month],Table1[[#This Row],[origination month]])</f>
        <v>5573100</v>
      </c>
      <c r="AR143" s="19">
        <f>AVERAGEIFS(Table1[months_on_book],Table1[product],Table1[[#This Row],[product]])</f>
        <v>20.262135922330096</v>
      </c>
      <c r="AS143" s="19" t="str">
        <f ca="1">IF(EDATE(Table1[[#This Row],[origination_date]],6) &gt;= TODAY(), "New Loan", "Old Loan")</f>
        <v>Old Loan</v>
      </c>
      <c r="AT143" s="19" t="str">
        <f>"Q"&amp;ROUNDUP(MONTH(Table1[[#This Row],[origination_date]])/3,0)&amp;YEAR(Table1[[#This Row],[origination_date]])</f>
        <v>Q12025</v>
      </c>
      <c r="AU143" s="19">
        <f>SUMIFS(Table1[loan_amount],Table1[quarter],Table1[[#This Row],[quarter]])</f>
        <v>40328000</v>
      </c>
    </row>
    <row r="144" spans="2:47" x14ac:dyDescent="0.2">
      <c r="B144" s="5" t="s">
        <v>138</v>
      </c>
      <c r="C144" s="2" t="s">
        <v>638</v>
      </c>
      <c r="D144" s="3">
        <v>45673</v>
      </c>
      <c r="E144" s="2" t="s">
        <v>1026</v>
      </c>
      <c r="F144" s="2" t="s">
        <v>1030</v>
      </c>
      <c r="G144" s="2" t="s">
        <v>1034</v>
      </c>
      <c r="H144" s="2" t="s">
        <v>1039</v>
      </c>
      <c r="I144" s="2">
        <v>36</v>
      </c>
      <c r="J144" s="2">
        <v>600600</v>
      </c>
      <c r="K144" s="2">
        <v>17.27</v>
      </c>
      <c r="L144" s="2">
        <v>21494</v>
      </c>
      <c r="M144" s="2">
        <v>899608</v>
      </c>
      <c r="N144" s="2">
        <v>698</v>
      </c>
      <c r="O144" s="2" t="s">
        <v>1042</v>
      </c>
      <c r="P144" s="2">
        <v>0.26</v>
      </c>
      <c r="Q144" s="2">
        <v>0.84</v>
      </c>
      <c r="R144" s="2">
        <v>0</v>
      </c>
      <c r="S144" s="2">
        <v>11</v>
      </c>
      <c r="T144" s="2">
        <v>219141</v>
      </c>
      <c r="U144" s="2">
        <v>419491</v>
      </c>
      <c r="V144" s="2">
        <v>0</v>
      </c>
      <c r="W144" s="2">
        <v>0</v>
      </c>
      <c r="X144" s="2">
        <v>0</v>
      </c>
      <c r="Y144" s="2" t="s">
        <v>1049</v>
      </c>
      <c r="Z144" s="12">
        <f>SUMIF(Table1[product],Table1[[#This Row],[product]],Table1[loan_amount])</f>
        <v>74897600</v>
      </c>
      <c r="AA144" s="15">
        <f>SUMIF(Table1[region],Table1[[#This Row],[region]],Table1[current_balance])</f>
        <v>105779369</v>
      </c>
      <c r="AB144" s="2">
        <f>COUNTIF(Table1[loan_status],Table1[[#This Row],[loan_status]])</f>
        <v>301</v>
      </c>
      <c r="AC144" s="2">
        <f>COUNTIF(Table1[default_flag],1)/ROWS(Table1[loan_id])</f>
        <v>2.5999999999999999E-2</v>
      </c>
      <c r="AD144" s="2">
        <f>COUNTIFS(Table1[region],Table1[[#This Row],[region]],Table1[default_flag],1)/COUNTIF(Table1[region],Table1[[#This Row],[region]])</f>
        <v>2.6548672566371681E-2</v>
      </c>
      <c r="AE144" s="2">
        <f>COUNTIFS(Table1[channel],Table1[[#This Row],[channel]],Table1[prepayment_flag],1)/COUNTIF(Table1[channel],Table1[[#This Row],[channel]])</f>
        <v>5.8201058201058198E-2</v>
      </c>
      <c r="AF144" s="2">
        <f>AVERAGEIFS(Table1[interest_rate_pct],Table1[product],Table1[[#This Row],[product]],Table1[risk_band],Table1[[#This Row],[risk_band]])</f>
        <v>18.603181818181817</v>
      </c>
      <c r="AG144" s="2" t="str" cm="1">
        <f t="array" ref="AG144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144" s="2">
        <f>COUNTIF(Table1[DTI band],Table1[[#This Row],[DTI band]])</f>
        <v>122</v>
      </c>
      <c r="AI144" s="2" t="str" cm="1">
        <f t="array" ref="AI144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144" s="2">
        <f>COUNTIF(Table1[LTV band],Table1[[#This Row],[LTV band]])</f>
        <v>141</v>
      </c>
      <c r="AK144" s="19">
        <f>COUNTIFS(Table1[count_loan_perband],Table1[[#This Row],[count_loan_perband]],Table1[default_flag],1)/COUNTIF(Table1[count_loan_perband],Table1[[#This Row],[count_loan_perband]])</f>
        <v>1.4184397163120567E-2</v>
      </c>
      <c r="AL144" s="19" t="str" cm="1">
        <f t="array" ref="AL144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144" s="19">
        <f>IF(Table1[[#This Row],[dpd]] &gt;=30,1,0)</f>
        <v>0</v>
      </c>
      <c r="AN144" s="19">
        <f>COUNTIFS(Table1[Loan size],Table1[[#This Row],[Loan size]],Table1[dpd flag],1)/COUNTIF(Table1[Loan size],Table1[[#This Row],[Loan size]])</f>
        <v>0.13934426229508196</v>
      </c>
      <c r="AO144" s="19" t="str">
        <f>IF(OR(Table1[[#This Row],[credit_score]] &lt; 600, Table1[ [#This Row],[dti_ratio] ] &gt; 0.5, Table1[[#This Row],[dpd]] &gt;=30), "high risk", " not riskY")</f>
        <v xml:space="preserve"> not riskY</v>
      </c>
      <c r="AP144" s="29">
        <f>EOMONTH(Table1[[#This Row],[origination_date]],0)</f>
        <v>45688</v>
      </c>
      <c r="AQ144" s="19">
        <f>SUMIFS(Table1[loan_amount],Table1[origination month],Table1[[#This Row],[origination month]])</f>
        <v>16786700</v>
      </c>
      <c r="AR144" s="19">
        <f>AVERAGEIFS(Table1[months_on_book],Table1[product],Table1[[#This Row],[product]])</f>
        <v>21.092024539877301</v>
      </c>
      <c r="AS144" s="19" t="str">
        <f ca="1">IF(EDATE(Table1[[#This Row],[origination_date]],6) &gt;= TODAY(), "New Loan", "Old Loan")</f>
        <v>Old Loan</v>
      </c>
      <c r="AT144" s="19" t="str">
        <f>"Q"&amp;ROUNDUP(MONTH(Table1[[#This Row],[origination_date]])/3,0)&amp;YEAR(Table1[[#This Row],[origination_date]])</f>
        <v>Q12025</v>
      </c>
      <c r="AU144" s="19">
        <f>SUMIFS(Table1[loan_amount],Table1[quarter],Table1[[#This Row],[quarter]])</f>
        <v>40328000</v>
      </c>
    </row>
    <row r="145" spans="2:47" x14ac:dyDescent="0.2">
      <c r="B145" s="5" t="s">
        <v>238</v>
      </c>
      <c r="C145" s="2" t="s">
        <v>738</v>
      </c>
      <c r="D145" s="3">
        <v>45708</v>
      </c>
      <c r="E145" s="2" t="s">
        <v>1024</v>
      </c>
      <c r="F145" s="2" t="s">
        <v>1030</v>
      </c>
      <c r="G145" s="2" t="s">
        <v>1035</v>
      </c>
      <c r="H145" s="2" t="s">
        <v>1038</v>
      </c>
      <c r="I145" s="2">
        <v>36</v>
      </c>
      <c r="J145" s="2">
        <v>552900</v>
      </c>
      <c r="K145" s="2">
        <v>8.4499999999999993</v>
      </c>
      <c r="L145" s="2">
        <v>17441</v>
      </c>
      <c r="M145" s="2">
        <v>1315150</v>
      </c>
      <c r="N145" s="2">
        <v>762</v>
      </c>
      <c r="O145" s="2" t="s">
        <v>1043</v>
      </c>
      <c r="P145" s="2">
        <v>0.23</v>
      </c>
      <c r="Q145" s="2">
        <v>1.02</v>
      </c>
      <c r="R145" s="2">
        <v>544400</v>
      </c>
      <c r="S145" s="2">
        <v>10</v>
      </c>
      <c r="T145" s="2">
        <v>167791</v>
      </c>
      <c r="U145" s="2">
        <v>400682</v>
      </c>
      <c r="V145" s="2">
        <v>0</v>
      </c>
      <c r="W145" s="2">
        <v>0</v>
      </c>
      <c r="X145" s="2">
        <v>0</v>
      </c>
      <c r="Y145" s="2" t="s">
        <v>1049</v>
      </c>
      <c r="Z145" s="12">
        <f>SUMIF(Table1[product],Table1[[#This Row],[product]],Table1[loan_amount])</f>
        <v>92273000</v>
      </c>
      <c r="AA145" s="15">
        <f>SUMIF(Table1[region],Table1[[#This Row],[region]],Table1[current_balance])</f>
        <v>83903255</v>
      </c>
      <c r="AB145" s="2">
        <f>COUNTIF(Table1[loan_status],Table1[[#This Row],[loan_status]])</f>
        <v>301</v>
      </c>
      <c r="AC145" s="2">
        <f>COUNTIF(Table1[default_flag],1)/ROWS(Table1[loan_id])</f>
        <v>2.5999999999999999E-2</v>
      </c>
      <c r="AD145" s="2">
        <f>COUNTIFS(Table1[region],Table1[[#This Row],[region]],Table1[default_flag],1)/COUNTIF(Table1[region],Table1[[#This Row],[region]])</f>
        <v>4.2553191489361701E-2</v>
      </c>
      <c r="AE145" s="2">
        <f>COUNTIFS(Table1[channel],Table1[[#This Row],[channel]],Table1[prepayment_flag],1)/COUNTIF(Table1[channel],Table1[[#This Row],[channel]])</f>
        <v>5.8201058201058198E-2</v>
      </c>
      <c r="AF145" s="2">
        <f>AVERAGEIFS(Table1[interest_rate_pct],Table1[product],Table1[[#This Row],[product]],Table1[risk_band],Table1[[#This Row],[risk_band]])</f>
        <v>7.9444999999999997</v>
      </c>
      <c r="AG145" s="2" t="str" cm="1">
        <f t="array" ref="AG145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145" s="2">
        <f>COUNTIF(Table1[DTI band],Table1[[#This Row],[DTI band]])</f>
        <v>122</v>
      </c>
      <c r="AI145" s="2" t="str" cm="1">
        <f t="array" ref="AI145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145" s="2">
        <f>COUNTIF(Table1[LTV band],Table1[[#This Row],[LTV band]])</f>
        <v>141</v>
      </c>
      <c r="AK145" s="19">
        <f>COUNTIFS(Table1[count_loan_perband],Table1[[#This Row],[count_loan_perband]],Table1[default_flag],1)/COUNTIF(Table1[count_loan_perband],Table1[[#This Row],[count_loan_perband]])</f>
        <v>1.4184397163120567E-2</v>
      </c>
      <c r="AL145" s="19" t="str" cm="1">
        <f t="array" ref="AL145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145" s="19">
        <f>IF(Table1[[#This Row],[dpd]] &gt;=30,1,0)</f>
        <v>0</v>
      </c>
      <c r="AN145" s="19">
        <f>COUNTIFS(Table1[Loan size],Table1[[#This Row],[Loan size]],Table1[dpd flag],1)/COUNTIF(Table1[Loan size],Table1[[#This Row],[Loan size]])</f>
        <v>0.13934426229508196</v>
      </c>
      <c r="AO145" s="19" t="str">
        <f>IF(OR(Table1[[#This Row],[credit_score]] &lt; 600, Table1[ [#This Row],[dti_ratio] ] &gt; 0.5, Table1[[#This Row],[dpd]] &gt;=30), "high risk", " not riskY")</f>
        <v xml:space="preserve"> not riskY</v>
      </c>
      <c r="AP145" s="29">
        <f>EOMONTH(Table1[[#This Row],[origination_date]],0)</f>
        <v>45716</v>
      </c>
      <c r="AQ145" s="19">
        <f>SUMIFS(Table1[loan_amount],Table1[origination month],Table1[[#This Row],[origination month]])</f>
        <v>17968200</v>
      </c>
      <c r="AR145" s="19">
        <f>AVERAGEIFS(Table1[months_on_book],Table1[product],Table1[[#This Row],[product]])</f>
        <v>20.262135922330096</v>
      </c>
      <c r="AS145" s="19" t="str">
        <f ca="1">IF(EDATE(Table1[[#This Row],[origination_date]],6) &gt;= TODAY(), "New Loan", "Old Loan")</f>
        <v>Old Loan</v>
      </c>
      <c r="AT145" s="19" t="str">
        <f>"Q"&amp;ROUNDUP(MONTH(Table1[[#This Row],[origination_date]])/3,0)&amp;YEAR(Table1[[#This Row],[origination_date]])</f>
        <v>Q12025</v>
      </c>
      <c r="AU145" s="19">
        <f>SUMIFS(Table1[loan_amount],Table1[quarter],Table1[[#This Row],[quarter]])</f>
        <v>40328000</v>
      </c>
    </row>
    <row r="146" spans="2:47" x14ac:dyDescent="0.2">
      <c r="B146" s="5" t="s">
        <v>256</v>
      </c>
      <c r="C146" s="2" t="s">
        <v>756</v>
      </c>
      <c r="D146" s="3">
        <v>45676</v>
      </c>
      <c r="E146" s="2" t="s">
        <v>1027</v>
      </c>
      <c r="F146" s="2" t="s">
        <v>1030</v>
      </c>
      <c r="G146" s="2" t="s">
        <v>1035</v>
      </c>
      <c r="H146" s="2" t="s">
        <v>1038</v>
      </c>
      <c r="I146" s="2">
        <v>18</v>
      </c>
      <c r="J146" s="2">
        <v>5293100</v>
      </c>
      <c r="K146" s="2">
        <v>11.71</v>
      </c>
      <c r="L146" s="2">
        <v>322071</v>
      </c>
      <c r="M146" s="2">
        <v>899329</v>
      </c>
      <c r="N146" s="2">
        <v>685</v>
      </c>
      <c r="O146" s="2" t="s">
        <v>1042</v>
      </c>
      <c r="P146" s="2">
        <v>0.23</v>
      </c>
      <c r="Q146" s="2">
        <v>0.83</v>
      </c>
      <c r="R146" s="2">
        <v>6347400</v>
      </c>
      <c r="S146" s="2">
        <v>11</v>
      </c>
      <c r="T146" s="2">
        <v>3266911</v>
      </c>
      <c r="U146" s="2">
        <v>2253457</v>
      </c>
      <c r="V146" s="2">
        <v>0</v>
      </c>
      <c r="W146" s="2">
        <v>0</v>
      </c>
      <c r="X146" s="2">
        <v>0</v>
      </c>
      <c r="Y146" s="2" t="s">
        <v>1049</v>
      </c>
      <c r="Z146" s="12">
        <f>SUMIF(Table1[product],Table1[[#This Row],[product]],Table1[loan_amount])</f>
        <v>403369500</v>
      </c>
      <c r="AA146" s="15">
        <f>SUMIF(Table1[region],Table1[[#This Row],[region]],Table1[current_balance])</f>
        <v>83903255</v>
      </c>
      <c r="AB146" s="2">
        <f>COUNTIF(Table1[loan_status],Table1[[#This Row],[loan_status]])</f>
        <v>301</v>
      </c>
      <c r="AC146" s="2">
        <f>COUNTIF(Table1[default_flag],1)/ROWS(Table1[loan_id])</f>
        <v>2.5999999999999999E-2</v>
      </c>
      <c r="AD146" s="2">
        <f>COUNTIFS(Table1[region],Table1[[#This Row],[region]],Table1[default_flag],1)/COUNTIF(Table1[region],Table1[[#This Row],[region]])</f>
        <v>4.2553191489361701E-2</v>
      </c>
      <c r="AE146" s="2">
        <f>COUNTIFS(Table1[channel],Table1[[#This Row],[channel]],Table1[prepayment_flag],1)/COUNTIF(Table1[channel],Table1[[#This Row],[channel]])</f>
        <v>5.8201058201058198E-2</v>
      </c>
      <c r="AF146" s="2">
        <f>AVERAGEIFS(Table1[interest_rate_pct],Table1[product],Table1[[#This Row],[product]],Table1[risk_band],Table1[[#This Row],[risk_band]])</f>
        <v>11.719736842105268</v>
      </c>
      <c r="AG146" s="2" t="str" cm="1">
        <f t="array" ref="AG146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146" s="2">
        <f>COUNTIF(Table1[DTI band],Table1[[#This Row],[DTI band]])</f>
        <v>122</v>
      </c>
      <c r="AI146" s="2" t="str" cm="1">
        <f t="array" ref="AI146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146" s="2">
        <f>COUNTIF(Table1[LTV band],Table1[[#This Row],[LTV band]])</f>
        <v>141</v>
      </c>
      <c r="AK146" s="19">
        <f>COUNTIFS(Table1[count_loan_perband],Table1[[#This Row],[count_loan_perband]],Table1[default_flag],1)/COUNTIF(Table1[count_loan_perband],Table1[[#This Row],[count_loan_perband]])</f>
        <v>1.4184397163120567E-2</v>
      </c>
      <c r="AL146" s="19" t="str" cm="1">
        <f t="array" ref="AL146">_xlfn.IFS(Table1[[#This Row],[loan_amount]] &lt; 900000, "lower size (&lt; 9L)", Table1[[#This Row],[loan_amount]] &lt;=3300000, "medium size (&lt;=33L)", Table1[[#This Row],[loan_amount]] &gt; 3300000, "larger size (&gt; 33L)")</f>
        <v>larger size (&gt; 33L)</v>
      </c>
      <c r="AM146" s="19">
        <f>IF(Table1[[#This Row],[dpd]] &gt;=30,1,0)</f>
        <v>0</v>
      </c>
      <c r="AN146" s="19">
        <f>COUNTIFS(Table1[Loan size],Table1[[#This Row],[Loan size]],Table1[dpd flag],1)/COUNTIF(Table1[Loan size],Table1[[#This Row],[Loan size]])</f>
        <v>0.16250000000000001</v>
      </c>
      <c r="AO146" s="19" t="str">
        <f>IF(OR(Table1[[#This Row],[credit_score]] &lt; 600, Table1[ [#This Row],[dti_ratio] ] &gt; 0.5, Table1[[#This Row],[dpd]] &gt;=30), "high risk", " not riskY")</f>
        <v xml:space="preserve"> not riskY</v>
      </c>
      <c r="AP146" s="29">
        <f>EOMONTH(Table1[[#This Row],[origination_date]],0)</f>
        <v>45688</v>
      </c>
      <c r="AQ146" s="19">
        <f>SUMIFS(Table1[loan_amount],Table1[origination month],Table1[[#This Row],[origination month]])</f>
        <v>16786700</v>
      </c>
      <c r="AR146" s="19">
        <f>AVERAGEIFS(Table1[months_on_book],Table1[product],Table1[[#This Row],[product]])</f>
        <v>20.516129032258064</v>
      </c>
      <c r="AS146" s="19" t="str">
        <f ca="1">IF(EDATE(Table1[[#This Row],[origination_date]],6) &gt;= TODAY(), "New Loan", "Old Loan")</f>
        <v>Old Loan</v>
      </c>
      <c r="AT146" s="19" t="str">
        <f>"Q"&amp;ROUNDUP(MONTH(Table1[[#This Row],[origination_date]])/3,0)&amp;YEAR(Table1[[#This Row],[origination_date]])</f>
        <v>Q12025</v>
      </c>
      <c r="AU146" s="19">
        <f>SUMIFS(Table1[loan_amount],Table1[quarter],Table1[[#This Row],[quarter]])</f>
        <v>40328000</v>
      </c>
    </row>
    <row r="147" spans="2:47" x14ac:dyDescent="0.2">
      <c r="B147" s="5" t="s">
        <v>191</v>
      </c>
      <c r="C147" s="2" t="s">
        <v>691</v>
      </c>
      <c r="D147" s="3">
        <v>45705</v>
      </c>
      <c r="E147" s="2" t="s">
        <v>1025</v>
      </c>
      <c r="F147" s="2" t="s">
        <v>1031</v>
      </c>
      <c r="G147" s="2" t="s">
        <v>1033</v>
      </c>
      <c r="H147" s="2" t="s">
        <v>1041</v>
      </c>
      <c r="I147" s="2">
        <v>48</v>
      </c>
      <c r="J147" s="2">
        <v>2745700</v>
      </c>
      <c r="K147" s="2">
        <v>18.27</v>
      </c>
      <c r="L147" s="2">
        <v>81043</v>
      </c>
      <c r="M147" s="2">
        <v>931357</v>
      </c>
      <c r="N147" s="2">
        <v>624</v>
      </c>
      <c r="O147" s="2" t="s">
        <v>1045</v>
      </c>
      <c r="P147" s="2">
        <v>0.22</v>
      </c>
      <c r="Q147" s="2">
        <v>0.48</v>
      </c>
      <c r="R147" s="2">
        <v>5724600</v>
      </c>
      <c r="S147" s="2">
        <v>10</v>
      </c>
      <c r="T147" s="2">
        <v>814925</v>
      </c>
      <c r="U147" s="2">
        <v>2097988</v>
      </c>
      <c r="V147" s="2">
        <v>0</v>
      </c>
      <c r="W147" s="2">
        <v>1</v>
      </c>
      <c r="X147" s="2">
        <v>0</v>
      </c>
      <c r="Y147" s="2" t="s">
        <v>1047</v>
      </c>
      <c r="Z147" s="12">
        <f>SUMIF(Table1[product],Table1[[#This Row],[product]],Table1[loan_amount])</f>
        <v>201475100</v>
      </c>
      <c r="AA147" s="15">
        <f>SUMIF(Table1[region],Table1[[#This Row],[region]],Table1[current_balance])</f>
        <v>83297251</v>
      </c>
      <c r="AB147" s="2">
        <f>COUNTIF(Table1[loan_status],Table1[[#This Row],[loan_status]])</f>
        <v>139</v>
      </c>
      <c r="AC147" s="2">
        <f>COUNTIF(Table1[default_flag],1)/ROWS(Table1[loan_id])</f>
        <v>2.5999999999999999E-2</v>
      </c>
      <c r="AD147" s="2">
        <f>COUNTIFS(Table1[region],Table1[[#This Row],[region]],Table1[default_flag],1)/COUNTIF(Table1[region],Table1[[#This Row],[region]])</f>
        <v>3.1914893617021274E-2</v>
      </c>
      <c r="AE147" s="2">
        <f>COUNTIFS(Table1[channel],Table1[[#This Row],[channel]],Table1[prepayment_flag],1)/COUNTIF(Table1[channel],Table1[[#This Row],[channel]])</f>
        <v>0.12</v>
      </c>
      <c r="AF147" s="2">
        <f>AVERAGEIFS(Table1[interest_rate_pct],Table1[product],Table1[[#This Row],[product]],Table1[risk_band],Table1[[#This Row],[risk_band]])</f>
        <v>18.241249999999997</v>
      </c>
      <c r="AG147" s="2" t="str" cm="1">
        <f t="array" ref="AG147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147" s="2">
        <f>COUNTIF(Table1[DTI band],Table1[[#This Row],[DTI band]])</f>
        <v>122</v>
      </c>
      <c r="AI147" s="2" t="str" cm="1">
        <f t="array" ref="AI147">_xlfn.IFS(Table1[[#This Row],[ltv_ratio]] &lt; 0.6, "less than 0.6 -less risky", Table1[[#This Row],[ltv_ratio]]  &lt;= 0.8, "0.6 - 0.8 -medium risky",Table1[[#This Row],[ltv_ratio]] &gt; 0.8, "greater than 0.8 -highly risky")</f>
        <v>less than 0.6 -less risky</v>
      </c>
      <c r="AJ147" s="2">
        <f>COUNTIF(Table1[LTV band],Table1[[#This Row],[LTV band]])</f>
        <v>57</v>
      </c>
      <c r="AK147" s="19">
        <f>COUNTIFS(Table1[count_loan_perband],Table1[[#This Row],[count_loan_perband]],Table1[default_flag],1)/COUNTIF(Table1[count_loan_perband],Table1[[#This Row],[count_loan_perband]])</f>
        <v>0</v>
      </c>
      <c r="AL147" s="19" t="str" cm="1">
        <f t="array" ref="AL147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147" s="19">
        <f>IF(Table1[[#This Row],[dpd]] &gt;=30,1,0)</f>
        <v>0</v>
      </c>
      <c r="AN147" s="19">
        <f>COUNTIFS(Table1[Loan size],Table1[[#This Row],[Loan size]],Table1[dpd flag],1)/COUNTIF(Table1[Loan size],Table1[[#This Row],[Loan size]])</f>
        <v>0.15909090909090909</v>
      </c>
      <c r="AO147" s="19" t="str">
        <f>IF(OR(Table1[[#This Row],[credit_score]] &lt; 600, Table1[ [#This Row],[dti_ratio] ] &gt; 0.5, Table1[[#This Row],[dpd]] &gt;=30), "high risk", " not riskY")</f>
        <v xml:space="preserve"> not riskY</v>
      </c>
      <c r="AP147" s="29">
        <f>EOMONTH(Table1[[#This Row],[origination_date]],0)</f>
        <v>45716</v>
      </c>
      <c r="AQ147" s="19">
        <f>SUMIFS(Table1[loan_amount],Table1[origination month],Table1[[#This Row],[origination month]])</f>
        <v>17968200</v>
      </c>
      <c r="AR147" s="19">
        <f>AVERAGEIFS(Table1[months_on_book],Table1[product],Table1[[#This Row],[product]])</f>
        <v>19.091954022988507</v>
      </c>
      <c r="AS147" s="19" t="str">
        <f ca="1">IF(EDATE(Table1[[#This Row],[origination_date]],6) &gt;= TODAY(), "New Loan", "Old Loan")</f>
        <v>Old Loan</v>
      </c>
      <c r="AT147" s="19" t="str">
        <f>"Q"&amp;ROUNDUP(MONTH(Table1[[#This Row],[origination_date]])/3,0)&amp;YEAR(Table1[[#This Row],[origination_date]])</f>
        <v>Q12025</v>
      </c>
      <c r="AU147" s="19">
        <f>SUMIFS(Table1[loan_amount],Table1[quarter],Table1[[#This Row],[quarter]])</f>
        <v>40328000</v>
      </c>
    </row>
    <row r="148" spans="2:47" x14ac:dyDescent="0.2">
      <c r="B148" s="5" t="s">
        <v>53</v>
      </c>
      <c r="C148" s="2" t="s">
        <v>553</v>
      </c>
      <c r="D148" s="3">
        <v>45670</v>
      </c>
      <c r="E148" s="2" t="s">
        <v>1026</v>
      </c>
      <c r="F148" s="2" t="s">
        <v>1029</v>
      </c>
      <c r="G148" s="2" t="s">
        <v>1036</v>
      </c>
      <c r="H148" s="2" t="s">
        <v>1038</v>
      </c>
      <c r="I148" s="2">
        <v>120</v>
      </c>
      <c r="J148" s="2">
        <v>208700</v>
      </c>
      <c r="K148" s="2">
        <v>20.67</v>
      </c>
      <c r="L148" s="2">
        <v>4126</v>
      </c>
      <c r="M148" s="2">
        <v>1075380</v>
      </c>
      <c r="N148" s="2">
        <v>654</v>
      </c>
      <c r="O148" s="2" t="s">
        <v>1042</v>
      </c>
      <c r="P148" s="2">
        <v>0.21</v>
      </c>
      <c r="Q148" s="2">
        <v>0.84</v>
      </c>
      <c r="R148" s="2">
        <v>0</v>
      </c>
      <c r="S148" s="2">
        <v>11</v>
      </c>
      <c r="T148" s="2">
        <v>39252</v>
      </c>
      <c r="U148" s="2">
        <v>185265</v>
      </c>
      <c r="V148" s="2">
        <v>0</v>
      </c>
      <c r="W148" s="2">
        <v>0</v>
      </c>
      <c r="X148" s="2">
        <v>0</v>
      </c>
      <c r="Y148" s="2" t="s">
        <v>1049</v>
      </c>
      <c r="Z148" s="12">
        <f>SUMIF(Table1[product],Table1[[#This Row],[product]],Table1[loan_amount])</f>
        <v>74897600</v>
      </c>
      <c r="AA148" s="15">
        <f>SUMIF(Table1[region],Table1[[#This Row],[region]],Table1[current_balance])</f>
        <v>98928695</v>
      </c>
      <c r="AB148" s="2">
        <f>COUNTIF(Table1[loan_status],Table1[[#This Row],[loan_status]])</f>
        <v>301</v>
      </c>
      <c r="AC148" s="2">
        <f>COUNTIF(Table1[default_flag],1)/ROWS(Table1[loan_id])</f>
        <v>2.5999999999999999E-2</v>
      </c>
      <c r="AD148" s="2">
        <f>COUNTIFS(Table1[region],Table1[[#This Row],[region]],Table1[default_flag],1)/COUNTIF(Table1[region],Table1[[#This Row],[region]])</f>
        <v>2.8571428571428571E-2</v>
      </c>
      <c r="AE148" s="2">
        <f>COUNTIFS(Table1[channel],Table1[[#This Row],[channel]],Table1[prepayment_flag],1)/COUNTIF(Table1[channel],Table1[[#This Row],[channel]])</f>
        <v>7.1090047393364927E-2</v>
      </c>
      <c r="AF148" s="2">
        <f>AVERAGEIFS(Table1[interest_rate_pct],Table1[product],Table1[[#This Row],[product]],Table1[risk_band],Table1[[#This Row],[risk_band]])</f>
        <v>18.603181818181817</v>
      </c>
      <c r="AG148" s="2" t="str" cm="1">
        <f t="array" ref="AG148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148" s="2">
        <f>COUNTIF(Table1[DTI band],Table1[[#This Row],[DTI band]])</f>
        <v>122</v>
      </c>
      <c r="AI148" s="2" t="str" cm="1">
        <f t="array" ref="AI148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148" s="2">
        <f>COUNTIF(Table1[LTV band],Table1[[#This Row],[LTV band]])</f>
        <v>141</v>
      </c>
      <c r="AK148" s="19">
        <f>COUNTIFS(Table1[count_loan_perband],Table1[[#This Row],[count_loan_perband]],Table1[default_flag],1)/COUNTIF(Table1[count_loan_perband],Table1[[#This Row],[count_loan_perband]])</f>
        <v>1.4184397163120567E-2</v>
      </c>
      <c r="AL148" s="19" t="str" cm="1">
        <f t="array" ref="AL148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148" s="19">
        <f>IF(Table1[[#This Row],[dpd]] &gt;=30,1,0)</f>
        <v>0</v>
      </c>
      <c r="AN148" s="19">
        <f>COUNTIFS(Table1[Loan size],Table1[[#This Row],[Loan size]],Table1[dpd flag],1)/COUNTIF(Table1[Loan size],Table1[[#This Row],[Loan size]])</f>
        <v>0.13934426229508196</v>
      </c>
      <c r="AO148" s="19" t="str">
        <f>IF(OR(Table1[[#This Row],[credit_score]] &lt; 600, Table1[ [#This Row],[dti_ratio] ] &gt; 0.5, Table1[[#This Row],[dpd]] &gt;=30), "high risk", " not riskY")</f>
        <v xml:space="preserve"> not riskY</v>
      </c>
      <c r="AP148" s="29">
        <f>EOMONTH(Table1[[#This Row],[origination_date]],0)</f>
        <v>45688</v>
      </c>
      <c r="AQ148" s="19">
        <f>SUMIFS(Table1[loan_amount],Table1[origination month],Table1[[#This Row],[origination month]])</f>
        <v>16786700</v>
      </c>
      <c r="AR148" s="19">
        <f>AVERAGEIFS(Table1[months_on_book],Table1[product],Table1[[#This Row],[product]])</f>
        <v>21.092024539877301</v>
      </c>
      <c r="AS148" s="19" t="str">
        <f ca="1">IF(EDATE(Table1[[#This Row],[origination_date]],6) &gt;= TODAY(), "New Loan", "Old Loan")</f>
        <v>Old Loan</v>
      </c>
      <c r="AT148" s="19" t="str">
        <f>"Q"&amp;ROUNDUP(MONTH(Table1[[#This Row],[origination_date]])/3,0)&amp;YEAR(Table1[[#This Row],[origination_date]])</f>
        <v>Q12025</v>
      </c>
      <c r="AU148" s="19">
        <f>SUMIFS(Table1[loan_amount],Table1[quarter],Table1[[#This Row],[quarter]])</f>
        <v>40328000</v>
      </c>
    </row>
    <row r="149" spans="2:47" x14ac:dyDescent="0.2">
      <c r="B149" s="5" t="s">
        <v>400</v>
      </c>
      <c r="C149" s="2" t="s">
        <v>900</v>
      </c>
      <c r="D149" s="3">
        <v>45688</v>
      </c>
      <c r="E149" s="2" t="s">
        <v>1024</v>
      </c>
      <c r="F149" s="2" t="s">
        <v>1032</v>
      </c>
      <c r="G149" s="2" t="s">
        <v>1037</v>
      </c>
      <c r="H149" s="2" t="s">
        <v>1039</v>
      </c>
      <c r="I149" s="2">
        <v>36</v>
      </c>
      <c r="J149" s="2">
        <v>427100</v>
      </c>
      <c r="K149" s="2">
        <v>13.29</v>
      </c>
      <c r="L149" s="2">
        <v>14450</v>
      </c>
      <c r="M149" s="2">
        <v>236734</v>
      </c>
      <c r="N149" s="2">
        <v>652</v>
      </c>
      <c r="O149" s="2" t="s">
        <v>1042</v>
      </c>
      <c r="P149" s="2">
        <v>0.17</v>
      </c>
      <c r="Q149" s="2">
        <v>0.97</v>
      </c>
      <c r="R149" s="2">
        <v>440200</v>
      </c>
      <c r="S149" s="2">
        <v>11</v>
      </c>
      <c r="T149" s="2">
        <v>158939</v>
      </c>
      <c r="U149" s="2">
        <v>288974</v>
      </c>
      <c r="V149" s="2">
        <v>30</v>
      </c>
      <c r="W149" s="2">
        <v>0</v>
      </c>
      <c r="X149" s="2">
        <v>0</v>
      </c>
      <c r="Y149" s="2" t="s">
        <v>1048</v>
      </c>
      <c r="Z149" s="12">
        <f>SUMIF(Table1[product],Table1[[#This Row],[product]],Table1[loan_amount])</f>
        <v>92273000</v>
      </c>
      <c r="AA149" s="15">
        <f>SUMIF(Table1[region],Table1[[#This Row],[region]],Table1[current_balance])</f>
        <v>94548000</v>
      </c>
      <c r="AB149" s="2">
        <f>COUNTIF(Table1[loan_status],Table1[[#This Row],[loan_status]])</f>
        <v>47</v>
      </c>
      <c r="AC149" s="2">
        <f>COUNTIF(Table1[default_flag],1)/ROWS(Table1[loan_id])</f>
        <v>2.5999999999999999E-2</v>
      </c>
      <c r="AD149" s="2">
        <f>COUNTIFS(Table1[region],Table1[[#This Row],[region]],Table1[default_flag],1)/COUNTIF(Table1[region],Table1[[#This Row],[region]])</f>
        <v>0</v>
      </c>
      <c r="AE149" s="2">
        <f>COUNTIFS(Table1[channel],Table1[[#This Row],[channel]],Table1[prepayment_flag],1)/COUNTIF(Table1[channel],Table1[[#This Row],[channel]])</f>
        <v>0.1</v>
      </c>
      <c r="AF149" s="2">
        <f>AVERAGEIFS(Table1[interest_rate_pct],Table1[product],Table1[[#This Row],[product]],Table1[risk_band],Table1[[#This Row],[risk_band]])</f>
        <v>13.246500000000001</v>
      </c>
      <c r="AG149" s="2" t="str" cm="1">
        <f t="array" ref="AG149">_xlfn.IFS(Table1[[#This Row],[dti_ratio]] &lt; 0.2, " less than 0.2", Table1[[#This Row],[dti_ratio]] &lt; 0.3, "0.2 - 0.3", Table1[[#This Row],[dti_ratio]] &lt;= 0.5, "0.35 - 0.5", Table1[[#This Row],[dti_ratio]] &gt; 0.5, "greater than 0.5")</f>
        <v xml:space="preserve"> less than 0.2</v>
      </c>
      <c r="AH149" s="2">
        <f>COUNTIF(Table1[DTI band],Table1[[#This Row],[DTI band]])</f>
        <v>86</v>
      </c>
      <c r="AI149" s="2" t="str" cm="1">
        <f t="array" ref="AI149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149" s="2">
        <f>COUNTIF(Table1[LTV band],Table1[[#This Row],[LTV band]])</f>
        <v>141</v>
      </c>
      <c r="AK149" s="19">
        <f>COUNTIFS(Table1[count_loan_perband],Table1[[#This Row],[count_loan_perband]],Table1[default_flag],1)/COUNTIF(Table1[count_loan_perband],Table1[[#This Row],[count_loan_perband]])</f>
        <v>1.4184397163120567E-2</v>
      </c>
      <c r="AL149" s="19" t="str" cm="1">
        <f t="array" ref="AL149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149" s="19">
        <f>IF(Table1[[#This Row],[dpd]] &gt;=30,1,0)</f>
        <v>1</v>
      </c>
      <c r="AN149" s="19">
        <f>COUNTIFS(Table1[Loan size],Table1[[#This Row],[Loan size]],Table1[dpd flag],1)/COUNTIF(Table1[Loan size],Table1[[#This Row],[Loan size]])</f>
        <v>0.13934426229508196</v>
      </c>
      <c r="AO149" s="19" t="str">
        <f>IF(OR(Table1[[#This Row],[credit_score]] &lt; 600, Table1[ [#This Row],[dti_ratio] ] &gt; 0.5, Table1[[#This Row],[dpd]] &gt;=30), "high risk", " not riskY")</f>
        <v>high risk</v>
      </c>
      <c r="AP149" s="29">
        <f>EOMONTH(Table1[[#This Row],[origination_date]],0)</f>
        <v>45688</v>
      </c>
      <c r="AQ149" s="19">
        <f>SUMIFS(Table1[loan_amount],Table1[origination month],Table1[[#This Row],[origination month]])</f>
        <v>16786700</v>
      </c>
      <c r="AR149" s="19">
        <f>AVERAGEIFS(Table1[months_on_book],Table1[product],Table1[[#This Row],[product]])</f>
        <v>20.262135922330096</v>
      </c>
      <c r="AS149" s="19" t="str">
        <f ca="1">IF(EDATE(Table1[[#This Row],[origination_date]],6) &gt;= TODAY(), "New Loan", "Old Loan")</f>
        <v>Old Loan</v>
      </c>
      <c r="AT149" s="19" t="str">
        <f>"Q"&amp;ROUNDUP(MONTH(Table1[[#This Row],[origination_date]])/3,0)&amp;YEAR(Table1[[#This Row],[origination_date]])</f>
        <v>Q12025</v>
      </c>
      <c r="AU149" s="19">
        <f>SUMIFS(Table1[loan_amount],Table1[quarter],Table1[[#This Row],[quarter]])</f>
        <v>40328000</v>
      </c>
    </row>
    <row r="150" spans="2:47" x14ac:dyDescent="0.2">
      <c r="B150" s="5" t="s">
        <v>380</v>
      </c>
      <c r="C150" s="2" t="s">
        <v>880</v>
      </c>
      <c r="D150" s="3">
        <v>45736</v>
      </c>
      <c r="E150" s="2" t="s">
        <v>1024</v>
      </c>
      <c r="F150" s="2" t="s">
        <v>1029</v>
      </c>
      <c r="G150" s="2" t="s">
        <v>1036</v>
      </c>
      <c r="H150" s="2" t="s">
        <v>1038</v>
      </c>
      <c r="I150" s="2">
        <v>60</v>
      </c>
      <c r="J150" s="2">
        <v>1566400</v>
      </c>
      <c r="K150" s="2">
        <v>10.58</v>
      </c>
      <c r="L150" s="2">
        <v>33730</v>
      </c>
      <c r="M150" s="2">
        <v>816134</v>
      </c>
      <c r="N150" s="2">
        <v>740</v>
      </c>
      <c r="O150" s="2" t="s">
        <v>1044</v>
      </c>
      <c r="P150" s="2">
        <v>0.16</v>
      </c>
      <c r="Q150" s="2">
        <v>0.6</v>
      </c>
      <c r="R150" s="2">
        <v>2607300</v>
      </c>
      <c r="S150" s="2">
        <v>9</v>
      </c>
      <c r="T150" s="2">
        <v>289663</v>
      </c>
      <c r="U150" s="2">
        <v>1326455</v>
      </c>
      <c r="V150" s="2">
        <v>0</v>
      </c>
      <c r="W150" s="2">
        <v>0</v>
      </c>
      <c r="X150" s="2">
        <v>0</v>
      </c>
      <c r="Y150" s="2" t="s">
        <v>1049</v>
      </c>
      <c r="Z150" s="12">
        <f>SUMIF(Table1[product],Table1[[#This Row],[product]],Table1[loan_amount])</f>
        <v>92273000</v>
      </c>
      <c r="AA150" s="15">
        <f>SUMIF(Table1[region],Table1[[#This Row],[region]],Table1[current_balance])</f>
        <v>98928695</v>
      </c>
      <c r="AB150" s="2">
        <f>COUNTIF(Table1[loan_status],Table1[[#This Row],[loan_status]])</f>
        <v>301</v>
      </c>
      <c r="AC150" s="2">
        <f>COUNTIF(Table1[default_flag],1)/ROWS(Table1[loan_id])</f>
        <v>2.5999999999999999E-2</v>
      </c>
      <c r="AD150" s="2">
        <f>COUNTIFS(Table1[region],Table1[[#This Row],[region]],Table1[default_flag],1)/COUNTIF(Table1[region],Table1[[#This Row],[region]])</f>
        <v>2.8571428571428571E-2</v>
      </c>
      <c r="AE150" s="2">
        <f>COUNTIFS(Table1[channel],Table1[[#This Row],[channel]],Table1[prepayment_flag],1)/COUNTIF(Table1[channel],Table1[[#This Row],[channel]])</f>
        <v>7.1090047393364927E-2</v>
      </c>
      <c r="AF150" s="2">
        <f>AVERAGEIFS(Table1[interest_rate_pct],Table1[product],Table1[[#This Row],[product]],Table1[risk_band],Table1[[#This Row],[risk_band]])</f>
        <v>10.611923076923079</v>
      </c>
      <c r="AG150" s="2" t="str" cm="1">
        <f t="array" ref="AG150">_xlfn.IFS(Table1[[#This Row],[dti_ratio]] &lt; 0.2, " less than 0.2", Table1[[#This Row],[dti_ratio]] &lt; 0.3, "0.2 - 0.3", Table1[[#This Row],[dti_ratio]] &lt;= 0.5, "0.35 - 0.5", Table1[[#This Row],[dti_ratio]] &gt; 0.5, "greater than 0.5")</f>
        <v xml:space="preserve"> less than 0.2</v>
      </c>
      <c r="AH150" s="2">
        <f>COUNTIF(Table1[DTI band],Table1[[#This Row],[DTI band]])</f>
        <v>86</v>
      </c>
      <c r="AI150" s="2" t="str" cm="1">
        <f t="array" ref="AI150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150" s="2">
        <f>COUNTIF(Table1[LTV band],Table1[[#This Row],[LTV band]])</f>
        <v>302</v>
      </c>
      <c r="AK150" s="19">
        <f>COUNTIFS(Table1[count_loan_perband],Table1[[#This Row],[count_loan_perband]],Table1[default_flag],1)/COUNTIF(Table1[count_loan_perband],Table1[[#This Row],[count_loan_perband]])</f>
        <v>3.6423841059602648E-2</v>
      </c>
      <c r="AL150" s="19" t="str" cm="1">
        <f t="array" ref="AL150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150" s="19">
        <f>IF(Table1[[#This Row],[dpd]] &gt;=30,1,0)</f>
        <v>0</v>
      </c>
      <c r="AN150" s="19">
        <f>COUNTIFS(Table1[Loan size],Table1[[#This Row],[Loan size]],Table1[dpd flag],1)/COUNTIF(Table1[Loan size],Table1[[#This Row],[Loan size]])</f>
        <v>0.15909090909090909</v>
      </c>
      <c r="AO150" s="19" t="str">
        <f>IF(OR(Table1[[#This Row],[credit_score]] &lt; 600, Table1[ [#This Row],[dti_ratio] ] &gt; 0.5, Table1[[#This Row],[dpd]] &gt;=30), "high risk", " not riskY")</f>
        <v xml:space="preserve"> not riskY</v>
      </c>
      <c r="AP150" s="29">
        <f>EOMONTH(Table1[[#This Row],[origination_date]],0)</f>
        <v>45747</v>
      </c>
      <c r="AQ150" s="19">
        <f>SUMIFS(Table1[loan_amount],Table1[origination month],Table1[[#This Row],[origination month]])</f>
        <v>5573100</v>
      </c>
      <c r="AR150" s="19">
        <f>AVERAGEIFS(Table1[months_on_book],Table1[product],Table1[[#This Row],[product]])</f>
        <v>20.262135922330096</v>
      </c>
      <c r="AS150" s="19" t="str">
        <f ca="1">IF(EDATE(Table1[[#This Row],[origination_date]],6) &gt;= TODAY(), "New Loan", "Old Loan")</f>
        <v>Old Loan</v>
      </c>
      <c r="AT150" s="19" t="str">
        <f>"Q"&amp;ROUNDUP(MONTH(Table1[[#This Row],[origination_date]])/3,0)&amp;YEAR(Table1[[#This Row],[origination_date]])</f>
        <v>Q12025</v>
      </c>
      <c r="AU150" s="19">
        <f>SUMIFS(Table1[loan_amount],Table1[quarter],Table1[[#This Row],[quarter]])</f>
        <v>40328000</v>
      </c>
    </row>
    <row r="151" spans="2:47" x14ac:dyDescent="0.2">
      <c r="B151" s="5" t="s">
        <v>478</v>
      </c>
      <c r="C151" s="2" t="s">
        <v>978</v>
      </c>
      <c r="D151" s="3">
        <v>45691</v>
      </c>
      <c r="E151" s="2" t="s">
        <v>1025</v>
      </c>
      <c r="F151" s="2" t="s">
        <v>1030</v>
      </c>
      <c r="G151" s="2" t="s">
        <v>1037</v>
      </c>
      <c r="H151" s="2" t="s">
        <v>1039</v>
      </c>
      <c r="I151" s="2">
        <v>24</v>
      </c>
      <c r="J151" s="2">
        <v>3526000</v>
      </c>
      <c r="K151" s="2">
        <v>21.91</v>
      </c>
      <c r="L151" s="2">
        <v>182766</v>
      </c>
      <c r="M151" s="2">
        <v>756885</v>
      </c>
      <c r="N151" s="2">
        <v>591</v>
      </c>
      <c r="O151" s="2" t="s">
        <v>1046</v>
      </c>
      <c r="P151" s="2">
        <v>0.13</v>
      </c>
      <c r="Q151" s="2">
        <v>0.73</v>
      </c>
      <c r="R151" s="2">
        <v>4834800</v>
      </c>
      <c r="S151" s="2">
        <v>10</v>
      </c>
      <c r="T151" s="2">
        <v>1658883</v>
      </c>
      <c r="U151" s="2">
        <v>2124633</v>
      </c>
      <c r="V151" s="2">
        <v>0</v>
      </c>
      <c r="W151" s="2">
        <v>0</v>
      </c>
      <c r="X151" s="2">
        <v>0</v>
      </c>
      <c r="Y151" s="2" t="s">
        <v>1049</v>
      </c>
      <c r="Z151" s="12">
        <f>SUMIF(Table1[product],Table1[[#This Row],[product]],Table1[loan_amount])</f>
        <v>201475100</v>
      </c>
      <c r="AA151" s="15">
        <f>SUMIF(Table1[region],Table1[[#This Row],[region]],Table1[current_balance])</f>
        <v>94548000</v>
      </c>
      <c r="AB151" s="2">
        <f>COUNTIF(Table1[loan_status],Table1[[#This Row],[loan_status]])</f>
        <v>301</v>
      </c>
      <c r="AC151" s="2">
        <f>COUNTIF(Table1[default_flag],1)/ROWS(Table1[loan_id])</f>
        <v>2.5999999999999999E-2</v>
      </c>
      <c r="AD151" s="2">
        <f>COUNTIFS(Table1[region],Table1[[#This Row],[region]],Table1[default_flag],1)/COUNTIF(Table1[region],Table1[[#This Row],[region]])</f>
        <v>0</v>
      </c>
      <c r="AE151" s="2">
        <f>COUNTIFS(Table1[channel],Table1[[#This Row],[channel]],Table1[prepayment_flag],1)/COUNTIF(Table1[channel],Table1[[#This Row],[channel]])</f>
        <v>5.8201058201058198E-2</v>
      </c>
      <c r="AF151" s="2">
        <f>AVERAGEIFS(Table1[interest_rate_pct],Table1[product],Table1[[#This Row],[product]],Table1[risk_band],Table1[[#This Row],[risk_band]])</f>
        <v>20.521428571428572</v>
      </c>
      <c r="AG151" s="2" t="str" cm="1">
        <f t="array" ref="AG151">_xlfn.IFS(Table1[[#This Row],[dti_ratio]] &lt; 0.2, " less than 0.2", Table1[[#This Row],[dti_ratio]] &lt; 0.3, "0.2 - 0.3", Table1[[#This Row],[dti_ratio]] &lt;= 0.5, "0.35 - 0.5", Table1[[#This Row],[dti_ratio]] &gt; 0.5, "greater than 0.5")</f>
        <v xml:space="preserve"> less than 0.2</v>
      </c>
      <c r="AH151" s="2">
        <f>COUNTIF(Table1[DTI band],Table1[[#This Row],[DTI band]])</f>
        <v>86</v>
      </c>
      <c r="AI151" s="2" t="str" cm="1">
        <f t="array" ref="AI151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151" s="2">
        <f>COUNTIF(Table1[LTV band],Table1[[#This Row],[LTV band]])</f>
        <v>302</v>
      </c>
      <c r="AK151" s="19">
        <f>COUNTIFS(Table1[count_loan_perband],Table1[[#This Row],[count_loan_perband]],Table1[default_flag],1)/COUNTIF(Table1[count_loan_perband],Table1[[#This Row],[count_loan_perband]])</f>
        <v>3.6423841059602648E-2</v>
      </c>
      <c r="AL151" s="19" t="str" cm="1">
        <f t="array" ref="AL151">_xlfn.IFS(Table1[[#This Row],[loan_amount]] &lt; 900000, "lower size (&lt; 9L)", Table1[[#This Row],[loan_amount]] &lt;=3300000, "medium size (&lt;=33L)", Table1[[#This Row],[loan_amount]] &gt; 3300000, "larger size (&gt; 33L)")</f>
        <v>larger size (&gt; 33L)</v>
      </c>
      <c r="AM151" s="19">
        <f>IF(Table1[[#This Row],[dpd]] &gt;=30,1,0)</f>
        <v>0</v>
      </c>
      <c r="AN151" s="19">
        <f>COUNTIFS(Table1[Loan size],Table1[[#This Row],[Loan size]],Table1[dpd flag],1)/COUNTIF(Table1[Loan size],Table1[[#This Row],[Loan size]])</f>
        <v>0.16250000000000001</v>
      </c>
      <c r="AO151" s="19" t="str">
        <f>IF(OR(Table1[[#This Row],[credit_score]] &lt; 600, Table1[ [#This Row],[dti_ratio] ] &gt; 0.5, Table1[[#This Row],[dpd]] &gt;=30), "high risk", " not riskY")</f>
        <v>high risk</v>
      </c>
      <c r="AP151" s="29">
        <f>EOMONTH(Table1[[#This Row],[origination_date]],0)</f>
        <v>45716</v>
      </c>
      <c r="AQ151" s="19">
        <f>SUMIFS(Table1[loan_amount],Table1[origination month],Table1[[#This Row],[origination month]])</f>
        <v>17968200</v>
      </c>
      <c r="AR151" s="19">
        <f>AVERAGEIFS(Table1[months_on_book],Table1[product],Table1[[#This Row],[product]])</f>
        <v>19.091954022988507</v>
      </c>
      <c r="AS151" s="19" t="str">
        <f ca="1">IF(EDATE(Table1[[#This Row],[origination_date]],6) &gt;= TODAY(), "New Loan", "Old Loan")</f>
        <v>Old Loan</v>
      </c>
      <c r="AT151" s="19" t="str">
        <f>"Q"&amp;ROUNDUP(MONTH(Table1[[#This Row],[origination_date]])/3,0)&amp;YEAR(Table1[[#This Row],[origination_date]])</f>
        <v>Q12025</v>
      </c>
      <c r="AU151" s="19">
        <f>SUMIFS(Table1[loan_amount],Table1[quarter],Table1[[#This Row],[quarter]])</f>
        <v>40328000</v>
      </c>
    </row>
    <row r="152" spans="2:47" x14ac:dyDescent="0.2">
      <c r="B152" s="5" t="s">
        <v>302</v>
      </c>
      <c r="C152" s="2" t="s">
        <v>802</v>
      </c>
      <c r="D152" s="3">
        <v>44707</v>
      </c>
      <c r="E152" s="2" t="s">
        <v>1028</v>
      </c>
      <c r="F152" s="2" t="s">
        <v>1031</v>
      </c>
      <c r="G152" s="2" t="s">
        <v>1037</v>
      </c>
      <c r="H152" s="2" t="s">
        <v>1038</v>
      </c>
      <c r="I152" s="2">
        <v>36</v>
      </c>
      <c r="J152" s="2">
        <v>1376700</v>
      </c>
      <c r="K152" s="2">
        <v>15.41</v>
      </c>
      <c r="L152" s="2">
        <v>48001</v>
      </c>
      <c r="M152" s="2">
        <v>1504596</v>
      </c>
      <c r="N152" s="2">
        <v>620</v>
      </c>
      <c r="O152" s="2" t="s">
        <v>1045</v>
      </c>
      <c r="P152" s="2">
        <v>0.66</v>
      </c>
      <c r="Q152" s="2">
        <v>0.62</v>
      </c>
      <c r="R152" s="2">
        <v>0</v>
      </c>
      <c r="S152" s="2">
        <v>36</v>
      </c>
      <c r="T152" s="2">
        <v>1741964</v>
      </c>
      <c r="U152" s="2">
        <v>0</v>
      </c>
      <c r="V152" s="2">
        <v>0</v>
      </c>
      <c r="W152" s="2">
        <v>0</v>
      </c>
      <c r="X152" s="2">
        <v>0</v>
      </c>
      <c r="Y152" s="2" t="s">
        <v>1047</v>
      </c>
      <c r="Z152" s="12">
        <f>SUMIF(Table1[product],Table1[[#This Row],[product]],Table1[loan_amount])</f>
        <v>62765800</v>
      </c>
      <c r="AA152" s="15">
        <f>SUMIF(Table1[region],Table1[[#This Row],[region]],Table1[current_balance])</f>
        <v>94548000</v>
      </c>
      <c r="AB152" s="2">
        <f>COUNTIF(Table1[loan_status],Table1[[#This Row],[loan_status]])</f>
        <v>139</v>
      </c>
      <c r="AC152" s="2">
        <f>COUNTIF(Table1[default_flag],1)/ROWS(Table1[loan_id])</f>
        <v>2.5999999999999999E-2</v>
      </c>
      <c r="AD152" s="2">
        <f>COUNTIFS(Table1[region],Table1[[#This Row],[region]],Table1[default_flag],1)/COUNTIF(Table1[region],Table1[[#This Row],[region]])</f>
        <v>0</v>
      </c>
      <c r="AE152" s="2">
        <f>COUNTIFS(Table1[channel],Table1[[#This Row],[channel]],Table1[prepayment_flag],1)/COUNTIF(Table1[channel],Table1[[#This Row],[channel]])</f>
        <v>0.12</v>
      </c>
      <c r="AF152" s="2">
        <f>AVERAGEIFS(Table1[interest_rate_pct],Table1[product],Table1[[#This Row],[product]],Table1[risk_band],Table1[[#This Row],[risk_band]])</f>
        <v>15.810000000000002</v>
      </c>
      <c r="AG152" s="2" t="str" cm="1">
        <f t="array" ref="AG152">_xlfn.IFS(Table1[[#This Row],[dti_ratio]] &lt; 0.2, " less than 0.2", Table1[[#This Row],[dti_ratio]] &lt; 0.3, "0.2 - 0.3", Table1[[#This Row],[dti_ratio]] &lt;= 0.5, "0.35 - 0.5", Table1[[#This Row],[dti_ratio]] &gt; 0.5, "greater than 0.5")</f>
        <v>greater than 0.5</v>
      </c>
      <c r="AH152" s="2">
        <f>COUNTIF(Table1[DTI band],Table1[[#This Row],[DTI band]])</f>
        <v>32</v>
      </c>
      <c r="AI152" s="2" t="str" cm="1">
        <f t="array" ref="AI152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152" s="2">
        <f>COUNTIF(Table1[LTV band],Table1[[#This Row],[LTV band]])</f>
        <v>302</v>
      </c>
      <c r="AK152" s="19">
        <f>COUNTIFS(Table1[count_loan_perband],Table1[[#This Row],[count_loan_perband]],Table1[default_flag],1)/COUNTIF(Table1[count_loan_perband],Table1[[#This Row],[count_loan_perband]])</f>
        <v>3.6423841059602648E-2</v>
      </c>
      <c r="AL152" s="19" t="str" cm="1">
        <f t="array" ref="AL152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152" s="19">
        <f>IF(Table1[[#This Row],[dpd]] &gt;=30,1,0)</f>
        <v>0</v>
      </c>
      <c r="AN152" s="19">
        <f>COUNTIFS(Table1[Loan size],Table1[[#This Row],[Loan size]],Table1[dpd flag],1)/COUNTIF(Table1[Loan size],Table1[[#This Row],[Loan size]])</f>
        <v>0.15909090909090909</v>
      </c>
      <c r="AO152" s="19" t="str">
        <f>IF(OR(Table1[[#This Row],[credit_score]] &lt; 600, Table1[ [#This Row],[dti_ratio] ] &gt; 0.5, Table1[[#This Row],[dpd]] &gt;=30), "high risk", " not riskY")</f>
        <v>high risk</v>
      </c>
      <c r="AP152" s="29">
        <f>EOMONTH(Table1[[#This Row],[origination_date]],0)</f>
        <v>44712</v>
      </c>
      <c r="AQ152" s="19">
        <f>SUMIFS(Table1[loan_amount],Table1[origination month],Table1[[#This Row],[origination month]])</f>
        <v>10302800</v>
      </c>
      <c r="AR152" s="19">
        <f>AVERAGEIFS(Table1[months_on_book],Table1[product],Table1[[#This Row],[product]])</f>
        <v>21.962962962962962</v>
      </c>
      <c r="AS152" s="19" t="str">
        <f ca="1">IF(EDATE(Table1[[#This Row],[origination_date]],6) &gt;= TODAY(), "New Loan", "Old Loan")</f>
        <v>Old Loan</v>
      </c>
      <c r="AT152" s="19" t="str">
        <f>"Q"&amp;ROUNDUP(MONTH(Table1[[#This Row],[origination_date]])/3,0)&amp;YEAR(Table1[[#This Row],[origination_date]])</f>
        <v>Q22022</v>
      </c>
      <c r="AU152" s="19">
        <f>SUMIFS(Table1[loan_amount],Table1[quarter],Table1[[#This Row],[quarter]])</f>
        <v>45395100</v>
      </c>
    </row>
    <row r="153" spans="2:47" x14ac:dyDescent="0.2">
      <c r="B153" s="5" t="s">
        <v>162</v>
      </c>
      <c r="C153" s="2" t="s">
        <v>662</v>
      </c>
      <c r="D153" s="3">
        <v>44665</v>
      </c>
      <c r="E153" s="2" t="s">
        <v>1024</v>
      </c>
      <c r="F153" s="2" t="s">
        <v>1032</v>
      </c>
      <c r="G153" s="2" t="s">
        <v>1035</v>
      </c>
      <c r="H153" s="2" t="s">
        <v>1038</v>
      </c>
      <c r="I153" s="2">
        <v>60</v>
      </c>
      <c r="J153" s="2">
        <v>832800</v>
      </c>
      <c r="K153" s="2">
        <v>17.41</v>
      </c>
      <c r="L153" s="2">
        <v>20881</v>
      </c>
      <c r="M153" s="2">
        <v>629070</v>
      </c>
      <c r="N153" s="2">
        <v>586</v>
      </c>
      <c r="O153" s="2" t="s">
        <v>1046</v>
      </c>
      <c r="P153" s="2">
        <v>0.56999999999999995</v>
      </c>
      <c r="Q153" s="2">
        <v>0.64</v>
      </c>
      <c r="R153" s="2">
        <v>1310500</v>
      </c>
      <c r="S153" s="2">
        <v>44</v>
      </c>
      <c r="T153" s="2">
        <v>815693</v>
      </c>
      <c r="U153" s="2">
        <v>229760</v>
      </c>
      <c r="V153" s="2">
        <v>0</v>
      </c>
      <c r="W153" s="2">
        <v>1</v>
      </c>
      <c r="X153" s="2">
        <v>0</v>
      </c>
      <c r="Y153" s="2" t="s">
        <v>1047</v>
      </c>
      <c r="Z153" s="12">
        <f>SUMIF(Table1[product],Table1[[#This Row],[product]],Table1[loan_amount])</f>
        <v>92273000</v>
      </c>
      <c r="AA153" s="15">
        <f>SUMIF(Table1[region],Table1[[#This Row],[region]],Table1[current_balance])</f>
        <v>83903255</v>
      </c>
      <c r="AB153" s="2">
        <f>COUNTIF(Table1[loan_status],Table1[[#This Row],[loan_status]])</f>
        <v>139</v>
      </c>
      <c r="AC153" s="2">
        <f>COUNTIF(Table1[default_flag],1)/ROWS(Table1[loan_id])</f>
        <v>2.5999999999999999E-2</v>
      </c>
      <c r="AD153" s="2">
        <f>COUNTIFS(Table1[region],Table1[[#This Row],[region]],Table1[default_flag],1)/COUNTIF(Table1[region],Table1[[#This Row],[region]])</f>
        <v>4.2553191489361701E-2</v>
      </c>
      <c r="AE153" s="2">
        <f>COUNTIFS(Table1[channel],Table1[[#This Row],[channel]],Table1[prepayment_flag],1)/COUNTIF(Table1[channel],Table1[[#This Row],[channel]])</f>
        <v>0.1</v>
      </c>
      <c r="AF153" s="2">
        <f>AVERAGEIFS(Table1[interest_rate_pct],Table1[product],Table1[[#This Row],[product]],Table1[risk_band],Table1[[#This Row],[risk_band]])</f>
        <v>17.744166666666668</v>
      </c>
      <c r="AG153" s="2" t="str" cm="1">
        <f t="array" ref="AG153">_xlfn.IFS(Table1[[#This Row],[dti_ratio]] &lt; 0.2, " less than 0.2", Table1[[#This Row],[dti_ratio]] &lt; 0.3, "0.2 - 0.3", Table1[[#This Row],[dti_ratio]] &lt;= 0.5, "0.35 - 0.5", Table1[[#This Row],[dti_ratio]] &gt; 0.5, "greater than 0.5")</f>
        <v>greater than 0.5</v>
      </c>
      <c r="AH153" s="2">
        <f>COUNTIF(Table1[DTI band],Table1[[#This Row],[DTI band]])</f>
        <v>32</v>
      </c>
      <c r="AI153" s="2" t="str" cm="1">
        <f t="array" ref="AI153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153" s="2">
        <f>COUNTIF(Table1[LTV band],Table1[[#This Row],[LTV band]])</f>
        <v>302</v>
      </c>
      <c r="AK153" s="19">
        <f>COUNTIFS(Table1[count_loan_perband],Table1[[#This Row],[count_loan_perband]],Table1[default_flag],1)/COUNTIF(Table1[count_loan_perband],Table1[[#This Row],[count_loan_perband]])</f>
        <v>3.6423841059602648E-2</v>
      </c>
      <c r="AL153" s="19" t="str" cm="1">
        <f t="array" ref="AL153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153" s="19">
        <f>IF(Table1[[#This Row],[dpd]] &gt;=30,1,0)</f>
        <v>0</v>
      </c>
      <c r="AN153" s="19">
        <f>COUNTIFS(Table1[Loan size],Table1[[#This Row],[Loan size]],Table1[dpd flag],1)/COUNTIF(Table1[Loan size],Table1[[#This Row],[Loan size]])</f>
        <v>0.13934426229508196</v>
      </c>
      <c r="AO153" s="19" t="str">
        <f>IF(OR(Table1[[#This Row],[credit_score]] &lt; 600, Table1[ [#This Row],[dti_ratio] ] &gt; 0.5, Table1[[#This Row],[dpd]] &gt;=30), "high risk", " not riskY")</f>
        <v>high risk</v>
      </c>
      <c r="AP153" s="29">
        <f>EOMONTH(Table1[[#This Row],[origination_date]],0)</f>
        <v>44681</v>
      </c>
      <c r="AQ153" s="19">
        <f>SUMIFS(Table1[loan_amount],Table1[origination month],Table1[[#This Row],[origination month]])</f>
        <v>23903900</v>
      </c>
      <c r="AR153" s="19">
        <f>AVERAGEIFS(Table1[months_on_book],Table1[product],Table1[[#This Row],[product]])</f>
        <v>20.262135922330096</v>
      </c>
      <c r="AS153" s="19" t="str">
        <f ca="1">IF(EDATE(Table1[[#This Row],[origination_date]],6) &gt;= TODAY(), "New Loan", "Old Loan")</f>
        <v>Old Loan</v>
      </c>
      <c r="AT153" s="19" t="str">
        <f>"Q"&amp;ROUNDUP(MONTH(Table1[[#This Row],[origination_date]])/3,0)&amp;YEAR(Table1[[#This Row],[origination_date]])</f>
        <v>Q22022</v>
      </c>
      <c r="AU153" s="19">
        <f>SUMIFS(Table1[loan_amount],Table1[quarter],Table1[[#This Row],[quarter]])</f>
        <v>45395100</v>
      </c>
    </row>
    <row r="154" spans="2:47" x14ac:dyDescent="0.2">
      <c r="B154" s="5" t="s">
        <v>142</v>
      </c>
      <c r="C154" s="2" t="s">
        <v>642</v>
      </c>
      <c r="D154" s="3">
        <v>44682</v>
      </c>
      <c r="E154" s="2" t="s">
        <v>1026</v>
      </c>
      <c r="F154" s="2" t="s">
        <v>1032</v>
      </c>
      <c r="G154" s="2" t="s">
        <v>1036</v>
      </c>
      <c r="H154" s="2" t="s">
        <v>1038</v>
      </c>
      <c r="I154" s="2">
        <v>24</v>
      </c>
      <c r="J154" s="2">
        <v>494500</v>
      </c>
      <c r="K154" s="2">
        <v>18.309999999999999</v>
      </c>
      <c r="L154" s="2">
        <v>24762</v>
      </c>
      <c r="M154" s="2">
        <v>570462</v>
      </c>
      <c r="N154" s="2">
        <v>690</v>
      </c>
      <c r="O154" s="2" t="s">
        <v>1042</v>
      </c>
      <c r="P154" s="2">
        <v>0.52</v>
      </c>
      <c r="Q154" s="2">
        <v>0.79</v>
      </c>
      <c r="R154" s="2">
        <v>0</v>
      </c>
      <c r="S154" s="2">
        <v>24</v>
      </c>
      <c r="T154" s="2">
        <v>532141</v>
      </c>
      <c r="U154" s="2">
        <v>34793</v>
      </c>
      <c r="V154" s="2">
        <v>0</v>
      </c>
      <c r="W154" s="2">
        <v>0</v>
      </c>
      <c r="X154" s="2">
        <v>0</v>
      </c>
      <c r="Y154" s="2" t="s">
        <v>1047</v>
      </c>
      <c r="Z154" s="12">
        <f>SUMIF(Table1[product],Table1[[#This Row],[product]],Table1[loan_amount])</f>
        <v>74897600</v>
      </c>
      <c r="AA154" s="15">
        <f>SUMIF(Table1[region],Table1[[#This Row],[region]],Table1[current_balance])</f>
        <v>98928695</v>
      </c>
      <c r="AB154" s="2">
        <f>COUNTIF(Table1[loan_status],Table1[[#This Row],[loan_status]])</f>
        <v>139</v>
      </c>
      <c r="AC154" s="2">
        <f>COUNTIF(Table1[default_flag],1)/ROWS(Table1[loan_id])</f>
        <v>2.5999999999999999E-2</v>
      </c>
      <c r="AD154" s="2">
        <f>COUNTIFS(Table1[region],Table1[[#This Row],[region]],Table1[default_flag],1)/COUNTIF(Table1[region],Table1[[#This Row],[region]])</f>
        <v>2.8571428571428571E-2</v>
      </c>
      <c r="AE154" s="2">
        <f>COUNTIFS(Table1[channel],Table1[[#This Row],[channel]],Table1[prepayment_flag],1)/COUNTIF(Table1[channel],Table1[[#This Row],[channel]])</f>
        <v>0.1</v>
      </c>
      <c r="AF154" s="2">
        <f>AVERAGEIFS(Table1[interest_rate_pct],Table1[product],Table1[[#This Row],[product]],Table1[risk_band],Table1[[#This Row],[risk_band]])</f>
        <v>18.603181818181817</v>
      </c>
      <c r="AG154" s="2" t="str" cm="1">
        <f t="array" ref="AG154">_xlfn.IFS(Table1[[#This Row],[dti_ratio]] &lt; 0.2, " less than 0.2", Table1[[#This Row],[dti_ratio]] &lt; 0.3, "0.2 - 0.3", Table1[[#This Row],[dti_ratio]] &lt;= 0.5, "0.35 - 0.5", Table1[[#This Row],[dti_ratio]] &gt; 0.5, "greater than 0.5")</f>
        <v>greater than 0.5</v>
      </c>
      <c r="AH154" s="2">
        <f>COUNTIF(Table1[DTI band],Table1[[#This Row],[DTI band]])</f>
        <v>32</v>
      </c>
      <c r="AI154" s="2" t="str" cm="1">
        <f t="array" ref="AI154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154" s="2">
        <f>COUNTIF(Table1[LTV band],Table1[[#This Row],[LTV band]])</f>
        <v>302</v>
      </c>
      <c r="AK154" s="19">
        <f>COUNTIFS(Table1[count_loan_perband],Table1[[#This Row],[count_loan_perband]],Table1[default_flag],1)/COUNTIF(Table1[count_loan_perband],Table1[[#This Row],[count_loan_perband]])</f>
        <v>3.6423841059602648E-2</v>
      </c>
      <c r="AL154" s="19" t="str" cm="1">
        <f t="array" ref="AL154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154" s="19">
        <f>IF(Table1[[#This Row],[dpd]] &gt;=30,1,0)</f>
        <v>0</v>
      </c>
      <c r="AN154" s="19">
        <f>COUNTIFS(Table1[Loan size],Table1[[#This Row],[Loan size]],Table1[dpd flag],1)/COUNTIF(Table1[Loan size],Table1[[#This Row],[Loan size]])</f>
        <v>0.13934426229508196</v>
      </c>
      <c r="AO154" s="19" t="str">
        <f>IF(OR(Table1[[#This Row],[credit_score]] &lt; 600, Table1[ [#This Row],[dti_ratio] ] &gt; 0.5, Table1[[#This Row],[dpd]] &gt;=30), "high risk", " not riskY")</f>
        <v>high risk</v>
      </c>
      <c r="AP154" s="29">
        <f>EOMONTH(Table1[[#This Row],[origination_date]],0)</f>
        <v>44712</v>
      </c>
      <c r="AQ154" s="19">
        <f>SUMIFS(Table1[loan_amount],Table1[origination month],Table1[[#This Row],[origination month]])</f>
        <v>10302800</v>
      </c>
      <c r="AR154" s="19">
        <f>AVERAGEIFS(Table1[months_on_book],Table1[product],Table1[[#This Row],[product]])</f>
        <v>21.092024539877301</v>
      </c>
      <c r="AS154" s="19" t="str">
        <f ca="1">IF(EDATE(Table1[[#This Row],[origination_date]],6) &gt;= TODAY(), "New Loan", "Old Loan")</f>
        <v>Old Loan</v>
      </c>
      <c r="AT154" s="19" t="str">
        <f>"Q"&amp;ROUNDUP(MONTH(Table1[[#This Row],[origination_date]])/3,0)&amp;YEAR(Table1[[#This Row],[origination_date]])</f>
        <v>Q22022</v>
      </c>
      <c r="AU154" s="19">
        <f>SUMIFS(Table1[loan_amount],Table1[quarter],Table1[[#This Row],[quarter]])</f>
        <v>45395100</v>
      </c>
    </row>
    <row r="155" spans="2:47" x14ac:dyDescent="0.2">
      <c r="B155" s="5" t="s">
        <v>41</v>
      </c>
      <c r="C155" s="2" t="s">
        <v>541</v>
      </c>
      <c r="D155" s="3">
        <v>44657</v>
      </c>
      <c r="E155" s="2" t="s">
        <v>1024</v>
      </c>
      <c r="F155" s="2" t="s">
        <v>1030</v>
      </c>
      <c r="G155" s="2" t="s">
        <v>1034</v>
      </c>
      <c r="H155" s="2" t="s">
        <v>1038</v>
      </c>
      <c r="I155" s="2">
        <v>48</v>
      </c>
      <c r="J155" s="2">
        <v>1417500</v>
      </c>
      <c r="K155" s="2">
        <v>15.38</v>
      </c>
      <c r="L155" s="2">
        <v>39724</v>
      </c>
      <c r="M155" s="2">
        <v>1166752</v>
      </c>
      <c r="N155" s="2">
        <v>650</v>
      </c>
      <c r="O155" s="2" t="s">
        <v>1042</v>
      </c>
      <c r="P155" s="2">
        <v>0.46</v>
      </c>
      <c r="Q155" s="2">
        <v>0.84</v>
      </c>
      <c r="R155" s="2">
        <v>1694000</v>
      </c>
      <c r="S155" s="2">
        <v>44</v>
      </c>
      <c r="T155" s="2">
        <v>1528866</v>
      </c>
      <c r="U155" s="2">
        <v>208384</v>
      </c>
      <c r="V155" s="2">
        <v>0</v>
      </c>
      <c r="W155" s="2">
        <v>0</v>
      </c>
      <c r="X155" s="2">
        <v>0</v>
      </c>
      <c r="Y155" s="2" t="s">
        <v>1049</v>
      </c>
      <c r="Z155" s="12">
        <f>SUMIF(Table1[product],Table1[[#This Row],[product]],Table1[loan_amount])</f>
        <v>92273000</v>
      </c>
      <c r="AA155" s="15">
        <f>SUMIF(Table1[region],Table1[[#This Row],[region]],Table1[current_balance])</f>
        <v>105779369</v>
      </c>
      <c r="AB155" s="2">
        <f>COUNTIF(Table1[loan_status],Table1[[#This Row],[loan_status]])</f>
        <v>301</v>
      </c>
      <c r="AC155" s="2">
        <f>COUNTIF(Table1[default_flag],1)/ROWS(Table1[loan_id])</f>
        <v>2.5999999999999999E-2</v>
      </c>
      <c r="AD155" s="2">
        <f>COUNTIFS(Table1[region],Table1[[#This Row],[region]],Table1[default_flag],1)/COUNTIF(Table1[region],Table1[[#This Row],[region]])</f>
        <v>2.6548672566371681E-2</v>
      </c>
      <c r="AE155" s="2">
        <f>COUNTIFS(Table1[channel],Table1[[#This Row],[channel]],Table1[prepayment_flag],1)/COUNTIF(Table1[channel],Table1[[#This Row],[channel]])</f>
        <v>5.8201058201058198E-2</v>
      </c>
      <c r="AF155" s="2">
        <f>AVERAGEIFS(Table1[interest_rate_pct],Table1[product],Table1[[#This Row],[product]],Table1[risk_band],Table1[[#This Row],[risk_band]])</f>
        <v>13.246500000000001</v>
      </c>
      <c r="AG155" s="2" t="str" cm="1">
        <f t="array" ref="AG155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155" s="2">
        <f>COUNTIF(Table1[DTI band],Table1[[#This Row],[DTI band]])</f>
        <v>260</v>
      </c>
      <c r="AI155" s="2" t="str" cm="1">
        <f t="array" ref="AI155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155" s="2">
        <f>COUNTIF(Table1[LTV band],Table1[[#This Row],[LTV band]])</f>
        <v>141</v>
      </c>
      <c r="AK155" s="19">
        <f>COUNTIFS(Table1[count_loan_perband],Table1[[#This Row],[count_loan_perband]],Table1[default_flag],1)/COUNTIF(Table1[count_loan_perband],Table1[[#This Row],[count_loan_perband]])</f>
        <v>1.4184397163120567E-2</v>
      </c>
      <c r="AL155" s="19" t="str" cm="1">
        <f t="array" ref="AL155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155" s="19">
        <f>IF(Table1[[#This Row],[dpd]] &gt;=30,1,0)</f>
        <v>0</v>
      </c>
      <c r="AN155" s="19">
        <f>COUNTIFS(Table1[Loan size],Table1[[#This Row],[Loan size]],Table1[dpd flag],1)/COUNTIF(Table1[Loan size],Table1[[#This Row],[Loan size]])</f>
        <v>0.15909090909090909</v>
      </c>
      <c r="AO155" s="19" t="str">
        <f>IF(OR(Table1[[#This Row],[credit_score]] &lt; 600, Table1[ [#This Row],[dti_ratio] ] &gt; 0.5, Table1[[#This Row],[dpd]] &gt;=30), "high risk", " not riskY")</f>
        <v xml:space="preserve"> not riskY</v>
      </c>
      <c r="AP155" s="29">
        <f>EOMONTH(Table1[[#This Row],[origination_date]],0)</f>
        <v>44681</v>
      </c>
      <c r="AQ155" s="19">
        <f>SUMIFS(Table1[loan_amount],Table1[origination month],Table1[[#This Row],[origination month]])</f>
        <v>23903900</v>
      </c>
      <c r="AR155" s="19">
        <f>AVERAGEIFS(Table1[months_on_book],Table1[product],Table1[[#This Row],[product]])</f>
        <v>20.262135922330096</v>
      </c>
      <c r="AS155" s="19" t="str">
        <f ca="1">IF(EDATE(Table1[[#This Row],[origination_date]],6) &gt;= TODAY(), "New Loan", "Old Loan")</f>
        <v>Old Loan</v>
      </c>
      <c r="AT155" s="19" t="str">
        <f>"Q"&amp;ROUNDUP(MONTH(Table1[[#This Row],[origination_date]])/3,0)&amp;YEAR(Table1[[#This Row],[origination_date]])</f>
        <v>Q22022</v>
      </c>
      <c r="AU155" s="19">
        <f>SUMIFS(Table1[loan_amount],Table1[quarter],Table1[[#This Row],[quarter]])</f>
        <v>45395100</v>
      </c>
    </row>
    <row r="156" spans="2:47" x14ac:dyDescent="0.2">
      <c r="B156" s="5" t="s">
        <v>47</v>
      </c>
      <c r="C156" s="2" t="s">
        <v>547</v>
      </c>
      <c r="D156" s="3">
        <v>44679</v>
      </c>
      <c r="E156" s="2" t="s">
        <v>1024</v>
      </c>
      <c r="F156" s="2" t="s">
        <v>1030</v>
      </c>
      <c r="G156" s="2" t="s">
        <v>1034</v>
      </c>
      <c r="H156" s="2" t="s">
        <v>1038</v>
      </c>
      <c r="I156" s="2">
        <v>360</v>
      </c>
      <c r="J156" s="2">
        <v>1240600</v>
      </c>
      <c r="K156" s="2">
        <v>7</v>
      </c>
      <c r="L156" s="2">
        <v>8254</v>
      </c>
      <c r="M156" s="2">
        <v>600566</v>
      </c>
      <c r="N156" s="2">
        <v>850</v>
      </c>
      <c r="O156" s="2" t="s">
        <v>1043</v>
      </c>
      <c r="P156" s="2">
        <v>0.44</v>
      </c>
      <c r="Q156" s="2">
        <v>0.74</v>
      </c>
      <c r="R156" s="2">
        <v>1673500</v>
      </c>
      <c r="S156" s="2">
        <v>44</v>
      </c>
      <c r="T156" s="2">
        <v>343347</v>
      </c>
      <c r="U156" s="2">
        <v>1024621</v>
      </c>
      <c r="V156" s="2">
        <v>0</v>
      </c>
      <c r="W156" s="2">
        <v>0</v>
      </c>
      <c r="X156" s="2">
        <v>0</v>
      </c>
      <c r="Y156" s="2" t="s">
        <v>1049</v>
      </c>
      <c r="Z156" s="12">
        <f>SUMIF(Table1[product],Table1[[#This Row],[product]],Table1[loan_amount])</f>
        <v>92273000</v>
      </c>
      <c r="AA156" s="15">
        <f>SUMIF(Table1[region],Table1[[#This Row],[region]],Table1[current_balance])</f>
        <v>105779369</v>
      </c>
      <c r="AB156" s="2">
        <f>COUNTIF(Table1[loan_status],Table1[[#This Row],[loan_status]])</f>
        <v>301</v>
      </c>
      <c r="AC156" s="2">
        <f>COUNTIF(Table1[default_flag],1)/ROWS(Table1[loan_id])</f>
        <v>2.5999999999999999E-2</v>
      </c>
      <c r="AD156" s="2">
        <f>COUNTIFS(Table1[region],Table1[[#This Row],[region]],Table1[default_flag],1)/COUNTIF(Table1[region],Table1[[#This Row],[region]])</f>
        <v>2.6548672566371681E-2</v>
      </c>
      <c r="AE156" s="2">
        <f>COUNTIFS(Table1[channel],Table1[[#This Row],[channel]],Table1[prepayment_flag],1)/COUNTIF(Table1[channel],Table1[[#This Row],[channel]])</f>
        <v>5.8201058201058198E-2</v>
      </c>
      <c r="AF156" s="2">
        <f>AVERAGEIFS(Table1[interest_rate_pct],Table1[product],Table1[[#This Row],[product]],Table1[risk_band],Table1[[#This Row],[risk_band]])</f>
        <v>7.9444999999999997</v>
      </c>
      <c r="AG156" s="2" t="str" cm="1">
        <f t="array" ref="AG156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156" s="2">
        <f>COUNTIF(Table1[DTI band],Table1[[#This Row],[DTI band]])</f>
        <v>260</v>
      </c>
      <c r="AI156" s="2" t="str" cm="1">
        <f t="array" ref="AI156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156" s="2">
        <f>COUNTIF(Table1[LTV band],Table1[[#This Row],[LTV band]])</f>
        <v>302</v>
      </c>
      <c r="AK156" s="19">
        <f>COUNTIFS(Table1[count_loan_perband],Table1[[#This Row],[count_loan_perband]],Table1[default_flag],1)/COUNTIF(Table1[count_loan_perband],Table1[[#This Row],[count_loan_perband]])</f>
        <v>3.6423841059602648E-2</v>
      </c>
      <c r="AL156" s="19" t="str" cm="1">
        <f t="array" ref="AL156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156" s="19">
        <f>IF(Table1[[#This Row],[dpd]] &gt;=30,1,0)</f>
        <v>0</v>
      </c>
      <c r="AN156" s="19">
        <f>COUNTIFS(Table1[Loan size],Table1[[#This Row],[Loan size]],Table1[dpd flag],1)/COUNTIF(Table1[Loan size],Table1[[#This Row],[Loan size]])</f>
        <v>0.15909090909090909</v>
      </c>
      <c r="AO156" s="19" t="str">
        <f>IF(OR(Table1[[#This Row],[credit_score]] &lt; 600, Table1[ [#This Row],[dti_ratio] ] &gt; 0.5, Table1[[#This Row],[dpd]] &gt;=30), "high risk", " not riskY")</f>
        <v xml:space="preserve"> not riskY</v>
      </c>
      <c r="AP156" s="29">
        <f>EOMONTH(Table1[[#This Row],[origination_date]],0)</f>
        <v>44681</v>
      </c>
      <c r="AQ156" s="19">
        <f>SUMIFS(Table1[loan_amount],Table1[origination month],Table1[[#This Row],[origination month]])</f>
        <v>23903900</v>
      </c>
      <c r="AR156" s="19">
        <f>AVERAGEIFS(Table1[months_on_book],Table1[product],Table1[[#This Row],[product]])</f>
        <v>20.262135922330096</v>
      </c>
      <c r="AS156" s="19" t="str">
        <f ca="1">IF(EDATE(Table1[[#This Row],[origination_date]],6) &gt;= TODAY(), "New Loan", "Old Loan")</f>
        <v>Old Loan</v>
      </c>
      <c r="AT156" s="19" t="str">
        <f>"Q"&amp;ROUNDUP(MONTH(Table1[[#This Row],[origination_date]])/3,0)&amp;YEAR(Table1[[#This Row],[origination_date]])</f>
        <v>Q22022</v>
      </c>
      <c r="AU156" s="19">
        <f>SUMIFS(Table1[loan_amount],Table1[quarter],Table1[[#This Row],[quarter]])</f>
        <v>45395100</v>
      </c>
    </row>
    <row r="157" spans="2:47" x14ac:dyDescent="0.2">
      <c r="B157" s="5" t="s">
        <v>222</v>
      </c>
      <c r="C157" s="2" t="s">
        <v>722</v>
      </c>
      <c r="D157" s="3">
        <v>44733</v>
      </c>
      <c r="E157" s="2" t="s">
        <v>1026</v>
      </c>
      <c r="F157" s="2" t="s">
        <v>1029</v>
      </c>
      <c r="G157" s="2" t="s">
        <v>1034</v>
      </c>
      <c r="H157" s="2" t="s">
        <v>1041</v>
      </c>
      <c r="I157" s="2">
        <v>360</v>
      </c>
      <c r="J157" s="2">
        <v>592900</v>
      </c>
      <c r="K157" s="2">
        <v>22.17</v>
      </c>
      <c r="L157" s="2">
        <v>10969</v>
      </c>
      <c r="M157" s="2">
        <v>709676</v>
      </c>
      <c r="N157" s="2">
        <v>624</v>
      </c>
      <c r="O157" s="2" t="s">
        <v>1045</v>
      </c>
      <c r="P157" s="2">
        <v>0.44</v>
      </c>
      <c r="Q157" s="2">
        <v>0.81</v>
      </c>
      <c r="R157" s="2">
        <v>0</v>
      </c>
      <c r="S157" s="2">
        <v>42</v>
      </c>
      <c r="T157" s="2">
        <v>445879</v>
      </c>
      <c r="U157" s="2">
        <v>331045</v>
      </c>
      <c r="V157" s="2">
        <v>0</v>
      </c>
      <c r="W157" s="2">
        <v>0</v>
      </c>
      <c r="X157" s="2">
        <v>0</v>
      </c>
      <c r="Y157" s="2" t="s">
        <v>1049</v>
      </c>
      <c r="Z157" s="12">
        <f>SUMIF(Table1[product],Table1[[#This Row],[product]],Table1[loan_amount])</f>
        <v>74897600</v>
      </c>
      <c r="AA157" s="15">
        <f>SUMIF(Table1[region],Table1[[#This Row],[region]],Table1[current_balance])</f>
        <v>105779369</v>
      </c>
      <c r="AB157" s="2">
        <f>COUNTIF(Table1[loan_status],Table1[[#This Row],[loan_status]])</f>
        <v>301</v>
      </c>
      <c r="AC157" s="2">
        <f>COUNTIF(Table1[default_flag],1)/ROWS(Table1[loan_id])</f>
        <v>2.5999999999999999E-2</v>
      </c>
      <c r="AD157" s="2">
        <f>COUNTIFS(Table1[region],Table1[[#This Row],[region]],Table1[default_flag],1)/COUNTIF(Table1[region],Table1[[#This Row],[region]])</f>
        <v>2.6548672566371681E-2</v>
      </c>
      <c r="AE157" s="2">
        <f>COUNTIFS(Table1[channel],Table1[[#This Row],[channel]],Table1[prepayment_flag],1)/COUNTIF(Table1[channel],Table1[[#This Row],[channel]])</f>
        <v>7.1090047393364927E-2</v>
      </c>
      <c r="AF157" s="2">
        <f>AVERAGEIFS(Table1[interest_rate_pct],Table1[product],Table1[[#This Row],[product]],Table1[risk_band],Table1[[#This Row],[risk_band]])</f>
        <v>20.962592592592593</v>
      </c>
      <c r="AG157" s="2" t="str" cm="1">
        <f t="array" ref="AG157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157" s="2">
        <f>COUNTIF(Table1[DTI band],Table1[[#This Row],[DTI band]])</f>
        <v>260</v>
      </c>
      <c r="AI157" s="2" t="str" cm="1">
        <f t="array" ref="AI157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157" s="2">
        <f>COUNTIF(Table1[LTV band],Table1[[#This Row],[LTV band]])</f>
        <v>141</v>
      </c>
      <c r="AK157" s="19">
        <f>COUNTIFS(Table1[count_loan_perband],Table1[[#This Row],[count_loan_perband]],Table1[default_flag],1)/COUNTIF(Table1[count_loan_perband],Table1[[#This Row],[count_loan_perband]])</f>
        <v>1.4184397163120567E-2</v>
      </c>
      <c r="AL157" s="19" t="str" cm="1">
        <f t="array" ref="AL157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157" s="19">
        <f>IF(Table1[[#This Row],[dpd]] &gt;=30,1,0)</f>
        <v>0</v>
      </c>
      <c r="AN157" s="19">
        <f>COUNTIFS(Table1[Loan size],Table1[[#This Row],[Loan size]],Table1[dpd flag],1)/COUNTIF(Table1[Loan size],Table1[[#This Row],[Loan size]])</f>
        <v>0.13934426229508196</v>
      </c>
      <c r="AO157" s="19" t="str">
        <f>IF(OR(Table1[[#This Row],[credit_score]] &lt; 600, Table1[ [#This Row],[dti_ratio] ] &gt; 0.5, Table1[[#This Row],[dpd]] &gt;=30), "high risk", " not riskY")</f>
        <v xml:space="preserve"> not riskY</v>
      </c>
      <c r="AP157" s="29">
        <f>EOMONTH(Table1[[#This Row],[origination_date]],0)</f>
        <v>44742</v>
      </c>
      <c r="AQ157" s="19">
        <f>SUMIFS(Table1[loan_amount],Table1[origination month],Table1[[#This Row],[origination month]])</f>
        <v>11188400</v>
      </c>
      <c r="AR157" s="19">
        <f>AVERAGEIFS(Table1[months_on_book],Table1[product],Table1[[#This Row],[product]])</f>
        <v>21.092024539877301</v>
      </c>
      <c r="AS157" s="19" t="str">
        <f ca="1">IF(EDATE(Table1[[#This Row],[origination_date]],6) &gt;= TODAY(), "New Loan", "Old Loan")</f>
        <v>Old Loan</v>
      </c>
      <c r="AT157" s="19" t="str">
        <f>"Q"&amp;ROUNDUP(MONTH(Table1[[#This Row],[origination_date]])/3,0)&amp;YEAR(Table1[[#This Row],[origination_date]])</f>
        <v>Q22022</v>
      </c>
      <c r="AU157" s="19">
        <f>SUMIFS(Table1[loan_amount],Table1[quarter],Table1[[#This Row],[quarter]])</f>
        <v>45395100</v>
      </c>
    </row>
    <row r="158" spans="2:47" x14ac:dyDescent="0.2">
      <c r="B158" s="5" t="s">
        <v>325</v>
      </c>
      <c r="C158" s="2" t="s">
        <v>825</v>
      </c>
      <c r="D158" s="3">
        <v>44739</v>
      </c>
      <c r="E158" s="2" t="s">
        <v>1026</v>
      </c>
      <c r="F158" s="2" t="s">
        <v>1031</v>
      </c>
      <c r="G158" s="2" t="s">
        <v>1037</v>
      </c>
      <c r="H158" s="2" t="s">
        <v>1039</v>
      </c>
      <c r="I158" s="2">
        <v>360</v>
      </c>
      <c r="J158" s="2">
        <v>112400</v>
      </c>
      <c r="K158" s="2">
        <v>23.09</v>
      </c>
      <c r="L158" s="2">
        <v>2165</v>
      </c>
      <c r="M158" s="2">
        <v>822441</v>
      </c>
      <c r="N158" s="2">
        <v>593</v>
      </c>
      <c r="O158" s="2" t="s">
        <v>1046</v>
      </c>
      <c r="P158" s="2">
        <v>0.39</v>
      </c>
      <c r="Q158" s="2">
        <v>0.75</v>
      </c>
      <c r="R158" s="2">
        <v>0</v>
      </c>
      <c r="S158" s="2">
        <v>42</v>
      </c>
      <c r="T158" s="2">
        <v>80139</v>
      </c>
      <c r="U158" s="2">
        <v>68595</v>
      </c>
      <c r="V158" s="2">
        <v>5</v>
      </c>
      <c r="W158" s="2">
        <v>0</v>
      </c>
      <c r="X158" s="2">
        <v>0</v>
      </c>
      <c r="Y158" s="2" t="s">
        <v>1049</v>
      </c>
      <c r="Z158" s="12">
        <f>SUMIF(Table1[product],Table1[[#This Row],[product]],Table1[loan_amount])</f>
        <v>74897600</v>
      </c>
      <c r="AA158" s="15">
        <f>SUMIF(Table1[region],Table1[[#This Row],[region]],Table1[current_balance])</f>
        <v>94548000</v>
      </c>
      <c r="AB158" s="2">
        <f>COUNTIF(Table1[loan_status],Table1[[#This Row],[loan_status]])</f>
        <v>301</v>
      </c>
      <c r="AC158" s="2">
        <f>COUNTIF(Table1[default_flag],1)/ROWS(Table1[loan_id])</f>
        <v>2.5999999999999999E-2</v>
      </c>
      <c r="AD158" s="2">
        <f>COUNTIFS(Table1[region],Table1[[#This Row],[region]],Table1[default_flag],1)/COUNTIF(Table1[region],Table1[[#This Row],[region]])</f>
        <v>0</v>
      </c>
      <c r="AE158" s="2">
        <f>COUNTIFS(Table1[channel],Table1[[#This Row],[channel]],Table1[prepayment_flag],1)/COUNTIF(Table1[channel],Table1[[#This Row],[channel]])</f>
        <v>0.12</v>
      </c>
      <c r="AF158" s="2">
        <f>AVERAGEIFS(Table1[interest_rate_pct],Table1[product],Table1[[#This Row],[product]],Table1[risk_band],Table1[[#This Row],[risk_band]])</f>
        <v>23.803750000000001</v>
      </c>
      <c r="AG158" s="2" t="str" cm="1">
        <f t="array" ref="AG158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158" s="2">
        <f>COUNTIF(Table1[DTI band],Table1[[#This Row],[DTI band]])</f>
        <v>260</v>
      </c>
      <c r="AI158" s="2" t="str" cm="1">
        <f t="array" ref="AI158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158" s="2">
        <f>COUNTIF(Table1[LTV band],Table1[[#This Row],[LTV band]])</f>
        <v>302</v>
      </c>
      <c r="AK158" s="19">
        <f>COUNTIFS(Table1[count_loan_perband],Table1[[#This Row],[count_loan_perband]],Table1[default_flag],1)/COUNTIF(Table1[count_loan_perband],Table1[[#This Row],[count_loan_perband]])</f>
        <v>3.6423841059602648E-2</v>
      </c>
      <c r="AL158" s="19" t="str" cm="1">
        <f t="array" ref="AL158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158" s="19">
        <f>IF(Table1[[#This Row],[dpd]] &gt;=30,1,0)</f>
        <v>0</v>
      </c>
      <c r="AN158" s="19">
        <f>COUNTIFS(Table1[Loan size],Table1[[#This Row],[Loan size]],Table1[dpd flag],1)/COUNTIF(Table1[Loan size],Table1[[#This Row],[Loan size]])</f>
        <v>0.13934426229508196</v>
      </c>
      <c r="AO158" s="19" t="str">
        <f>IF(OR(Table1[[#This Row],[credit_score]] &lt; 600, Table1[ [#This Row],[dti_ratio] ] &gt; 0.5, Table1[[#This Row],[dpd]] &gt;=30), "high risk", " not riskY")</f>
        <v>high risk</v>
      </c>
      <c r="AP158" s="29">
        <f>EOMONTH(Table1[[#This Row],[origination_date]],0)</f>
        <v>44742</v>
      </c>
      <c r="AQ158" s="19">
        <f>SUMIFS(Table1[loan_amount],Table1[origination month],Table1[[#This Row],[origination month]])</f>
        <v>11188400</v>
      </c>
      <c r="AR158" s="19">
        <f>AVERAGEIFS(Table1[months_on_book],Table1[product],Table1[[#This Row],[product]])</f>
        <v>21.092024539877301</v>
      </c>
      <c r="AS158" s="19" t="str">
        <f ca="1">IF(EDATE(Table1[[#This Row],[origination_date]],6) &gt;= TODAY(), "New Loan", "Old Loan")</f>
        <v>Old Loan</v>
      </c>
      <c r="AT158" s="19" t="str">
        <f>"Q"&amp;ROUNDUP(MONTH(Table1[[#This Row],[origination_date]])/3,0)&amp;YEAR(Table1[[#This Row],[origination_date]])</f>
        <v>Q22022</v>
      </c>
      <c r="AU158" s="19">
        <f>SUMIFS(Table1[loan_amount],Table1[quarter],Table1[[#This Row],[quarter]])</f>
        <v>45395100</v>
      </c>
    </row>
    <row r="159" spans="2:47" x14ac:dyDescent="0.2">
      <c r="B159" s="5" t="s">
        <v>171</v>
      </c>
      <c r="C159" s="2" t="s">
        <v>671</v>
      </c>
      <c r="D159" s="3">
        <v>44715</v>
      </c>
      <c r="E159" s="2" t="s">
        <v>1024</v>
      </c>
      <c r="F159" s="2" t="s">
        <v>1030</v>
      </c>
      <c r="G159" s="2" t="s">
        <v>1034</v>
      </c>
      <c r="H159" s="2" t="s">
        <v>1040</v>
      </c>
      <c r="I159" s="2">
        <v>36</v>
      </c>
      <c r="J159" s="2">
        <v>1254500</v>
      </c>
      <c r="K159" s="2">
        <v>8.4499999999999993</v>
      </c>
      <c r="L159" s="2">
        <v>39572</v>
      </c>
      <c r="M159" s="2">
        <v>1141872</v>
      </c>
      <c r="N159" s="2">
        <v>759</v>
      </c>
      <c r="O159" s="2" t="s">
        <v>1043</v>
      </c>
      <c r="P159" s="2">
        <v>0.38</v>
      </c>
      <c r="Q159" s="2">
        <v>0.88</v>
      </c>
      <c r="R159" s="2">
        <v>1428800</v>
      </c>
      <c r="S159" s="2">
        <v>36</v>
      </c>
      <c r="T159" s="2">
        <v>1258582</v>
      </c>
      <c r="U159" s="2">
        <v>123124</v>
      </c>
      <c r="V159" s="2">
        <v>0</v>
      </c>
      <c r="W159" s="2">
        <v>0</v>
      </c>
      <c r="X159" s="2">
        <v>0</v>
      </c>
      <c r="Y159" s="2" t="s">
        <v>1047</v>
      </c>
      <c r="Z159" s="12">
        <f>SUMIF(Table1[product],Table1[[#This Row],[product]],Table1[loan_amount])</f>
        <v>92273000</v>
      </c>
      <c r="AA159" s="15">
        <f>SUMIF(Table1[region],Table1[[#This Row],[region]],Table1[current_balance])</f>
        <v>105779369</v>
      </c>
      <c r="AB159" s="2">
        <f>COUNTIF(Table1[loan_status],Table1[[#This Row],[loan_status]])</f>
        <v>139</v>
      </c>
      <c r="AC159" s="2">
        <f>COUNTIF(Table1[default_flag],1)/ROWS(Table1[loan_id])</f>
        <v>2.5999999999999999E-2</v>
      </c>
      <c r="AD159" s="2">
        <f>COUNTIFS(Table1[region],Table1[[#This Row],[region]],Table1[default_flag],1)/COUNTIF(Table1[region],Table1[[#This Row],[region]])</f>
        <v>2.6548672566371681E-2</v>
      </c>
      <c r="AE159" s="2">
        <f>COUNTIFS(Table1[channel],Table1[[#This Row],[channel]],Table1[prepayment_flag],1)/COUNTIF(Table1[channel],Table1[[#This Row],[channel]])</f>
        <v>5.8201058201058198E-2</v>
      </c>
      <c r="AF159" s="2">
        <f>AVERAGEIFS(Table1[interest_rate_pct],Table1[product],Table1[[#This Row],[product]],Table1[risk_band],Table1[[#This Row],[risk_band]])</f>
        <v>7.9444999999999997</v>
      </c>
      <c r="AG159" s="2" t="str" cm="1">
        <f t="array" ref="AG159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159" s="2">
        <f>COUNTIF(Table1[DTI band],Table1[[#This Row],[DTI band]])</f>
        <v>260</v>
      </c>
      <c r="AI159" s="2" t="str" cm="1">
        <f t="array" ref="AI159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159" s="2">
        <f>COUNTIF(Table1[LTV band],Table1[[#This Row],[LTV band]])</f>
        <v>141</v>
      </c>
      <c r="AK159" s="19">
        <f>COUNTIFS(Table1[count_loan_perband],Table1[[#This Row],[count_loan_perband]],Table1[default_flag],1)/COUNTIF(Table1[count_loan_perband],Table1[[#This Row],[count_loan_perband]])</f>
        <v>1.4184397163120567E-2</v>
      </c>
      <c r="AL159" s="19" t="str" cm="1">
        <f t="array" ref="AL159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159" s="19">
        <f>IF(Table1[[#This Row],[dpd]] &gt;=30,1,0)</f>
        <v>0</v>
      </c>
      <c r="AN159" s="19">
        <f>COUNTIFS(Table1[Loan size],Table1[[#This Row],[Loan size]],Table1[dpd flag],1)/COUNTIF(Table1[Loan size],Table1[[#This Row],[Loan size]])</f>
        <v>0.15909090909090909</v>
      </c>
      <c r="AO159" s="19" t="str">
        <f>IF(OR(Table1[[#This Row],[credit_score]] &lt; 600, Table1[ [#This Row],[dti_ratio] ] &gt; 0.5, Table1[[#This Row],[dpd]] &gt;=30), "high risk", " not riskY")</f>
        <v xml:space="preserve"> not riskY</v>
      </c>
      <c r="AP159" s="29">
        <f>EOMONTH(Table1[[#This Row],[origination_date]],0)</f>
        <v>44742</v>
      </c>
      <c r="AQ159" s="19">
        <f>SUMIFS(Table1[loan_amount],Table1[origination month],Table1[[#This Row],[origination month]])</f>
        <v>11188400</v>
      </c>
      <c r="AR159" s="19">
        <f>AVERAGEIFS(Table1[months_on_book],Table1[product],Table1[[#This Row],[product]])</f>
        <v>20.262135922330096</v>
      </c>
      <c r="AS159" s="19" t="str">
        <f ca="1">IF(EDATE(Table1[[#This Row],[origination_date]],6) &gt;= TODAY(), "New Loan", "Old Loan")</f>
        <v>Old Loan</v>
      </c>
      <c r="AT159" s="19" t="str">
        <f>"Q"&amp;ROUNDUP(MONTH(Table1[[#This Row],[origination_date]])/3,0)&amp;YEAR(Table1[[#This Row],[origination_date]])</f>
        <v>Q22022</v>
      </c>
      <c r="AU159" s="19">
        <f>SUMIFS(Table1[loan_amount],Table1[quarter],Table1[[#This Row],[quarter]])</f>
        <v>45395100</v>
      </c>
    </row>
    <row r="160" spans="2:47" x14ac:dyDescent="0.2">
      <c r="B160" s="5" t="s">
        <v>90</v>
      </c>
      <c r="C160" s="2" t="s">
        <v>590</v>
      </c>
      <c r="D160" s="3">
        <v>44655</v>
      </c>
      <c r="E160" s="2" t="s">
        <v>1027</v>
      </c>
      <c r="F160" s="2" t="s">
        <v>1030</v>
      </c>
      <c r="G160" s="2" t="s">
        <v>1034</v>
      </c>
      <c r="H160" s="2" t="s">
        <v>1041</v>
      </c>
      <c r="I160" s="2">
        <v>84</v>
      </c>
      <c r="J160" s="2">
        <v>4069100</v>
      </c>
      <c r="K160" s="2">
        <v>12.31</v>
      </c>
      <c r="L160" s="2">
        <v>72507</v>
      </c>
      <c r="M160" s="2">
        <v>1182992</v>
      </c>
      <c r="N160" s="2">
        <v>658</v>
      </c>
      <c r="O160" s="2" t="s">
        <v>1042</v>
      </c>
      <c r="P160" s="2">
        <v>0.36</v>
      </c>
      <c r="Q160" s="2">
        <v>0.57999999999999996</v>
      </c>
      <c r="R160" s="2">
        <v>7072500</v>
      </c>
      <c r="S160" s="2">
        <v>44</v>
      </c>
      <c r="T160" s="2">
        <v>3155765</v>
      </c>
      <c r="U160" s="2">
        <v>1647997</v>
      </c>
      <c r="V160" s="2">
        <v>0</v>
      </c>
      <c r="W160" s="2">
        <v>0</v>
      </c>
      <c r="X160" s="2">
        <v>0</v>
      </c>
      <c r="Y160" s="2" t="s">
        <v>1049</v>
      </c>
      <c r="Z160" s="12">
        <f>SUMIF(Table1[product],Table1[[#This Row],[product]],Table1[loan_amount])</f>
        <v>403369500</v>
      </c>
      <c r="AA160" s="15">
        <f>SUMIF(Table1[region],Table1[[#This Row],[region]],Table1[current_balance])</f>
        <v>105779369</v>
      </c>
      <c r="AB160" s="2">
        <f>COUNTIF(Table1[loan_status],Table1[[#This Row],[loan_status]])</f>
        <v>301</v>
      </c>
      <c r="AC160" s="2">
        <f>COUNTIF(Table1[default_flag],1)/ROWS(Table1[loan_id])</f>
        <v>2.5999999999999999E-2</v>
      </c>
      <c r="AD160" s="2">
        <f>COUNTIFS(Table1[region],Table1[[#This Row],[region]],Table1[default_flag],1)/COUNTIF(Table1[region],Table1[[#This Row],[region]])</f>
        <v>2.6548672566371681E-2</v>
      </c>
      <c r="AE160" s="2">
        <f>COUNTIFS(Table1[channel],Table1[[#This Row],[channel]],Table1[prepayment_flag],1)/COUNTIF(Table1[channel],Table1[[#This Row],[channel]])</f>
        <v>5.8201058201058198E-2</v>
      </c>
      <c r="AF160" s="2">
        <f>AVERAGEIFS(Table1[interest_rate_pct],Table1[product],Table1[[#This Row],[product]],Table1[risk_band],Table1[[#This Row],[risk_band]])</f>
        <v>11.719736842105268</v>
      </c>
      <c r="AG160" s="2" t="str" cm="1">
        <f t="array" ref="AG160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160" s="2">
        <f>COUNTIF(Table1[DTI band],Table1[[#This Row],[DTI band]])</f>
        <v>260</v>
      </c>
      <c r="AI160" s="2" t="str" cm="1">
        <f t="array" ref="AI160">_xlfn.IFS(Table1[[#This Row],[ltv_ratio]] &lt; 0.6, "less than 0.6 -less risky", Table1[[#This Row],[ltv_ratio]]  &lt;= 0.8, "0.6 - 0.8 -medium risky",Table1[[#This Row],[ltv_ratio]] &gt; 0.8, "greater than 0.8 -highly risky")</f>
        <v>less than 0.6 -less risky</v>
      </c>
      <c r="AJ160" s="2">
        <f>COUNTIF(Table1[LTV band],Table1[[#This Row],[LTV band]])</f>
        <v>57</v>
      </c>
      <c r="AK160" s="19">
        <f>COUNTIFS(Table1[count_loan_perband],Table1[[#This Row],[count_loan_perband]],Table1[default_flag],1)/COUNTIF(Table1[count_loan_perband],Table1[[#This Row],[count_loan_perband]])</f>
        <v>0</v>
      </c>
      <c r="AL160" s="19" t="str" cm="1">
        <f t="array" ref="AL160">_xlfn.IFS(Table1[[#This Row],[loan_amount]] &lt; 900000, "lower size (&lt; 9L)", Table1[[#This Row],[loan_amount]] &lt;=3300000, "medium size (&lt;=33L)", Table1[[#This Row],[loan_amount]] &gt; 3300000, "larger size (&gt; 33L)")</f>
        <v>larger size (&gt; 33L)</v>
      </c>
      <c r="AM160" s="19">
        <f>IF(Table1[[#This Row],[dpd]] &gt;=30,1,0)</f>
        <v>0</v>
      </c>
      <c r="AN160" s="19">
        <f>COUNTIFS(Table1[Loan size],Table1[[#This Row],[Loan size]],Table1[dpd flag],1)/COUNTIF(Table1[Loan size],Table1[[#This Row],[Loan size]])</f>
        <v>0.16250000000000001</v>
      </c>
      <c r="AO160" s="19" t="str">
        <f>IF(OR(Table1[[#This Row],[credit_score]] &lt; 600, Table1[ [#This Row],[dti_ratio] ] &gt; 0.5, Table1[[#This Row],[dpd]] &gt;=30), "high risk", " not riskY")</f>
        <v xml:space="preserve"> not riskY</v>
      </c>
      <c r="AP160" s="29">
        <f>EOMONTH(Table1[[#This Row],[origination_date]],0)</f>
        <v>44681</v>
      </c>
      <c r="AQ160" s="19">
        <f>SUMIFS(Table1[loan_amount],Table1[origination month],Table1[[#This Row],[origination month]])</f>
        <v>23903900</v>
      </c>
      <c r="AR160" s="19">
        <f>AVERAGEIFS(Table1[months_on_book],Table1[product],Table1[[#This Row],[product]])</f>
        <v>20.516129032258064</v>
      </c>
      <c r="AS160" s="19" t="str">
        <f ca="1">IF(EDATE(Table1[[#This Row],[origination_date]],6) &gt;= TODAY(), "New Loan", "Old Loan")</f>
        <v>Old Loan</v>
      </c>
      <c r="AT160" s="19" t="str">
        <f>"Q"&amp;ROUNDUP(MONTH(Table1[[#This Row],[origination_date]])/3,0)&amp;YEAR(Table1[[#This Row],[origination_date]])</f>
        <v>Q22022</v>
      </c>
      <c r="AU160" s="19">
        <f>SUMIFS(Table1[loan_amount],Table1[quarter],Table1[[#This Row],[quarter]])</f>
        <v>45395100</v>
      </c>
    </row>
    <row r="161" spans="2:47" x14ac:dyDescent="0.2">
      <c r="B161" s="5" t="s">
        <v>118</v>
      </c>
      <c r="C161" s="2" t="s">
        <v>618</v>
      </c>
      <c r="D161" s="3">
        <v>44707</v>
      </c>
      <c r="E161" s="2" t="s">
        <v>1026</v>
      </c>
      <c r="F161" s="2" t="s">
        <v>1030</v>
      </c>
      <c r="G161" s="2" t="s">
        <v>1033</v>
      </c>
      <c r="H161" s="2" t="s">
        <v>1038</v>
      </c>
      <c r="I161" s="2">
        <v>24</v>
      </c>
      <c r="J161" s="2">
        <v>501200</v>
      </c>
      <c r="K161" s="2">
        <v>18.72</v>
      </c>
      <c r="L161" s="2">
        <v>25197</v>
      </c>
      <c r="M161" s="2">
        <v>1038743</v>
      </c>
      <c r="N161" s="2">
        <v>672</v>
      </c>
      <c r="O161" s="2" t="s">
        <v>1042</v>
      </c>
      <c r="P161" s="2">
        <v>0.36</v>
      </c>
      <c r="Q161" s="2">
        <v>0.56999999999999995</v>
      </c>
      <c r="R161" s="2">
        <v>0</v>
      </c>
      <c r="S161" s="2">
        <v>24</v>
      </c>
      <c r="T161" s="2">
        <v>530117</v>
      </c>
      <c r="U161" s="2">
        <v>46143</v>
      </c>
      <c r="V161" s="2">
        <v>0</v>
      </c>
      <c r="W161" s="2">
        <v>0</v>
      </c>
      <c r="X161" s="2">
        <v>0</v>
      </c>
      <c r="Y161" s="2" t="s">
        <v>1047</v>
      </c>
      <c r="Z161" s="12">
        <f>SUMIF(Table1[product],Table1[[#This Row],[product]],Table1[loan_amount])</f>
        <v>74897600</v>
      </c>
      <c r="AA161" s="15">
        <f>SUMIF(Table1[region],Table1[[#This Row],[region]],Table1[current_balance])</f>
        <v>83297251</v>
      </c>
      <c r="AB161" s="2">
        <f>COUNTIF(Table1[loan_status],Table1[[#This Row],[loan_status]])</f>
        <v>139</v>
      </c>
      <c r="AC161" s="2">
        <f>COUNTIF(Table1[default_flag],1)/ROWS(Table1[loan_id])</f>
        <v>2.5999999999999999E-2</v>
      </c>
      <c r="AD161" s="2">
        <f>COUNTIFS(Table1[region],Table1[[#This Row],[region]],Table1[default_flag],1)/COUNTIF(Table1[region],Table1[[#This Row],[region]])</f>
        <v>3.1914893617021274E-2</v>
      </c>
      <c r="AE161" s="2">
        <f>COUNTIFS(Table1[channel],Table1[[#This Row],[channel]],Table1[prepayment_flag],1)/COUNTIF(Table1[channel],Table1[[#This Row],[channel]])</f>
        <v>5.8201058201058198E-2</v>
      </c>
      <c r="AF161" s="2">
        <f>AVERAGEIFS(Table1[interest_rate_pct],Table1[product],Table1[[#This Row],[product]],Table1[risk_band],Table1[[#This Row],[risk_band]])</f>
        <v>18.603181818181817</v>
      </c>
      <c r="AG161" s="2" t="str" cm="1">
        <f t="array" ref="AG161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161" s="2">
        <f>COUNTIF(Table1[DTI band],Table1[[#This Row],[DTI band]])</f>
        <v>260</v>
      </c>
      <c r="AI161" s="2" t="str" cm="1">
        <f t="array" ref="AI161">_xlfn.IFS(Table1[[#This Row],[ltv_ratio]] &lt; 0.6, "less than 0.6 -less risky", Table1[[#This Row],[ltv_ratio]]  &lt;= 0.8, "0.6 - 0.8 -medium risky",Table1[[#This Row],[ltv_ratio]] &gt; 0.8, "greater than 0.8 -highly risky")</f>
        <v>less than 0.6 -less risky</v>
      </c>
      <c r="AJ161" s="2">
        <f>COUNTIF(Table1[LTV band],Table1[[#This Row],[LTV band]])</f>
        <v>57</v>
      </c>
      <c r="AK161" s="19">
        <f>COUNTIFS(Table1[count_loan_perband],Table1[[#This Row],[count_loan_perband]],Table1[default_flag],1)/COUNTIF(Table1[count_loan_perband],Table1[[#This Row],[count_loan_perband]])</f>
        <v>0</v>
      </c>
      <c r="AL161" s="19" t="str" cm="1">
        <f t="array" ref="AL161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161" s="19">
        <f>IF(Table1[[#This Row],[dpd]] &gt;=30,1,0)</f>
        <v>0</v>
      </c>
      <c r="AN161" s="19">
        <f>COUNTIFS(Table1[Loan size],Table1[[#This Row],[Loan size]],Table1[dpd flag],1)/COUNTIF(Table1[Loan size],Table1[[#This Row],[Loan size]])</f>
        <v>0.13934426229508196</v>
      </c>
      <c r="AO161" s="19" t="str">
        <f>IF(OR(Table1[[#This Row],[credit_score]] &lt; 600, Table1[ [#This Row],[dti_ratio] ] &gt; 0.5, Table1[[#This Row],[dpd]] &gt;=30), "high risk", " not riskY")</f>
        <v xml:space="preserve"> not riskY</v>
      </c>
      <c r="AP161" s="29">
        <f>EOMONTH(Table1[[#This Row],[origination_date]],0)</f>
        <v>44712</v>
      </c>
      <c r="AQ161" s="19">
        <f>SUMIFS(Table1[loan_amount],Table1[origination month],Table1[[#This Row],[origination month]])</f>
        <v>10302800</v>
      </c>
      <c r="AR161" s="19">
        <f>AVERAGEIFS(Table1[months_on_book],Table1[product],Table1[[#This Row],[product]])</f>
        <v>21.092024539877301</v>
      </c>
      <c r="AS161" s="19" t="str">
        <f ca="1">IF(EDATE(Table1[[#This Row],[origination_date]],6) &gt;= TODAY(), "New Loan", "Old Loan")</f>
        <v>Old Loan</v>
      </c>
      <c r="AT161" s="19" t="str">
        <f>"Q"&amp;ROUNDUP(MONTH(Table1[[#This Row],[origination_date]])/3,0)&amp;YEAR(Table1[[#This Row],[origination_date]])</f>
        <v>Q22022</v>
      </c>
      <c r="AU161" s="19">
        <f>SUMIFS(Table1[loan_amount],Table1[quarter],Table1[[#This Row],[quarter]])</f>
        <v>45395100</v>
      </c>
    </row>
    <row r="162" spans="2:47" x14ac:dyDescent="0.2">
      <c r="B162" s="5" t="s">
        <v>366</v>
      </c>
      <c r="C162" s="2" t="s">
        <v>866</v>
      </c>
      <c r="D162" s="3">
        <v>44720</v>
      </c>
      <c r="E162" s="2" t="s">
        <v>1025</v>
      </c>
      <c r="F162" s="2" t="s">
        <v>1030</v>
      </c>
      <c r="G162" s="2" t="s">
        <v>1036</v>
      </c>
      <c r="H162" s="2" t="s">
        <v>1038</v>
      </c>
      <c r="I162" s="2">
        <v>24</v>
      </c>
      <c r="J162" s="2">
        <v>2259800</v>
      </c>
      <c r="K162" s="2">
        <v>17.11</v>
      </c>
      <c r="L162" s="2">
        <v>111849</v>
      </c>
      <c r="M162" s="2">
        <v>1312365</v>
      </c>
      <c r="N162" s="2">
        <v>668</v>
      </c>
      <c r="O162" s="2" t="s">
        <v>1042</v>
      </c>
      <c r="P162" s="2">
        <v>0.36</v>
      </c>
      <c r="Q162" s="2">
        <v>0.81</v>
      </c>
      <c r="R162" s="2">
        <v>2794200</v>
      </c>
      <c r="S162" s="2">
        <v>24</v>
      </c>
      <c r="T162" s="2">
        <v>2462952</v>
      </c>
      <c r="U162" s="2">
        <v>106169</v>
      </c>
      <c r="V162" s="2">
        <v>0</v>
      </c>
      <c r="W162" s="2">
        <v>0</v>
      </c>
      <c r="X162" s="2">
        <v>0</v>
      </c>
      <c r="Y162" s="2" t="s">
        <v>1047</v>
      </c>
      <c r="Z162" s="12">
        <f>SUMIF(Table1[product],Table1[[#This Row],[product]],Table1[loan_amount])</f>
        <v>201475100</v>
      </c>
      <c r="AA162" s="15">
        <f>SUMIF(Table1[region],Table1[[#This Row],[region]],Table1[current_balance])</f>
        <v>98928695</v>
      </c>
      <c r="AB162" s="2">
        <f>COUNTIF(Table1[loan_status],Table1[[#This Row],[loan_status]])</f>
        <v>139</v>
      </c>
      <c r="AC162" s="2">
        <f>COUNTIF(Table1[default_flag],1)/ROWS(Table1[loan_id])</f>
        <v>2.5999999999999999E-2</v>
      </c>
      <c r="AD162" s="2">
        <f>COUNTIFS(Table1[region],Table1[[#This Row],[region]],Table1[default_flag],1)/COUNTIF(Table1[region],Table1[[#This Row],[region]])</f>
        <v>2.8571428571428571E-2</v>
      </c>
      <c r="AE162" s="2">
        <f>COUNTIFS(Table1[channel],Table1[[#This Row],[channel]],Table1[prepayment_flag],1)/COUNTIF(Table1[channel],Table1[[#This Row],[channel]])</f>
        <v>5.8201058201058198E-2</v>
      </c>
      <c r="AF162" s="2">
        <f>AVERAGEIFS(Table1[interest_rate_pct],Table1[product],Table1[[#This Row],[product]],Table1[risk_band],Table1[[#This Row],[risk_band]])</f>
        <v>15.841379310344831</v>
      </c>
      <c r="AG162" s="2" t="str" cm="1">
        <f t="array" ref="AG162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162" s="2">
        <f>COUNTIF(Table1[DTI band],Table1[[#This Row],[DTI band]])</f>
        <v>260</v>
      </c>
      <c r="AI162" s="2" t="str" cm="1">
        <f t="array" ref="AI162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162" s="2">
        <f>COUNTIF(Table1[LTV band],Table1[[#This Row],[LTV band]])</f>
        <v>141</v>
      </c>
      <c r="AK162" s="19">
        <f>COUNTIFS(Table1[count_loan_perband],Table1[[#This Row],[count_loan_perband]],Table1[default_flag],1)/COUNTIF(Table1[count_loan_perband],Table1[[#This Row],[count_loan_perband]])</f>
        <v>1.4184397163120567E-2</v>
      </c>
      <c r="AL162" s="19" t="str" cm="1">
        <f t="array" ref="AL162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162" s="19">
        <f>IF(Table1[[#This Row],[dpd]] &gt;=30,1,0)</f>
        <v>0</v>
      </c>
      <c r="AN162" s="19">
        <f>COUNTIFS(Table1[Loan size],Table1[[#This Row],[Loan size]],Table1[dpd flag],1)/COUNTIF(Table1[Loan size],Table1[[#This Row],[Loan size]])</f>
        <v>0.15909090909090909</v>
      </c>
      <c r="AO162" s="19" t="str">
        <f>IF(OR(Table1[[#This Row],[credit_score]] &lt; 600, Table1[ [#This Row],[dti_ratio] ] &gt; 0.5, Table1[[#This Row],[dpd]] &gt;=30), "high risk", " not riskY")</f>
        <v xml:space="preserve"> not riskY</v>
      </c>
      <c r="AP162" s="29">
        <f>EOMONTH(Table1[[#This Row],[origination_date]],0)</f>
        <v>44742</v>
      </c>
      <c r="AQ162" s="19">
        <f>SUMIFS(Table1[loan_amount],Table1[origination month],Table1[[#This Row],[origination month]])</f>
        <v>11188400</v>
      </c>
      <c r="AR162" s="19">
        <f>AVERAGEIFS(Table1[months_on_book],Table1[product],Table1[[#This Row],[product]])</f>
        <v>19.091954022988507</v>
      </c>
      <c r="AS162" s="19" t="str">
        <f ca="1">IF(EDATE(Table1[[#This Row],[origination_date]],6) &gt;= TODAY(), "New Loan", "Old Loan")</f>
        <v>Old Loan</v>
      </c>
      <c r="AT162" s="19" t="str">
        <f>"Q"&amp;ROUNDUP(MONTH(Table1[[#This Row],[origination_date]])/3,0)&amp;YEAR(Table1[[#This Row],[origination_date]])</f>
        <v>Q22022</v>
      </c>
      <c r="AU162" s="19">
        <f>SUMIFS(Table1[loan_amount],Table1[quarter],Table1[[#This Row],[quarter]])</f>
        <v>45395100</v>
      </c>
    </row>
    <row r="163" spans="2:47" x14ac:dyDescent="0.2">
      <c r="B163" s="5" t="s">
        <v>176</v>
      </c>
      <c r="C163" s="2" t="s">
        <v>676</v>
      </c>
      <c r="D163" s="3">
        <v>44733</v>
      </c>
      <c r="E163" s="2" t="s">
        <v>1026</v>
      </c>
      <c r="F163" s="2" t="s">
        <v>1030</v>
      </c>
      <c r="G163" s="2" t="s">
        <v>1036</v>
      </c>
      <c r="H163" s="2" t="s">
        <v>1038</v>
      </c>
      <c r="I163" s="2">
        <v>24</v>
      </c>
      <c r="J163" s="2">
        <v>389500</v>
      </c>
      <c r="K163" s="2">
        <v>10.27</v>
      </c>
      <c r="L163" s="2">
        <v>18022</v>
      </c>
      <c r="M163" s="2">
        <v>633303</v>
      </c>
      <c r="N163" s="2">
        <v>845</v>
      </c>
      <c r="O163" s="2" t="s">
        <v>1043</v>
      </c>
      <c r="P163" s="2">
        <v>0.35</v>
      </c>
      <c r="Q163" s="2">
        <v>0.65</v>
      </c>
      <c r="R163" s="2">
        <v>0</v>
      </c>
      <c r="S163" s="2">
        <v>24</v>
      </c>
      <c r="T163" s="2">
        <v>439186</v>
      </c>
      <c r="U163" s="2">
        <v>0</v>
      </c>
      <c r="V163" s="2">
        <v>0</v>
      </c>
      <c r="W163" s="2">
        <v>0</v>
      </c>
      <c r="X163" s="2">
        <v>0</v>
      </c>
      <c r="Y163" s="2" t="s">
        <v>1047</v>
      </c>
      <c r="Z163" s="12">
        <f>SUMIF(Table1[product],Table1[[#This Row],[product]],Table1[loan_amount])</f>
        <v>74897600</v>
      </c>
      <c r="AA163" s="15">
        <f>SUMIF(Table1[region],Table1[[#This Row],[region]],Table1[current_balance])</f>
        <v>98928695</v>
      </c>
      <c r="AB163" s="2">
        <f>COUNTIF(Table1[loan_status],Table1[[#This Row],[loan_status]])</f>
        <v>139</v>
      </c>
      <c r="AC163" s="2">
        <f>COUNTIF(Table1[default_flag],1)/ROWS(Table1[loan_id])</f>
        <v>2.5999999999999999E-2</v>
      </c>
      <c r="AD163" s="2">
        <f>COUNTIFS(Table1[region],Table1[[#This Row],[region]],Table1[default_flag],1)/COUNTIF(Table1[region],Table1[[#This Row],[region]])</f>
        <v>2.8571428571428571E-2</v>
      </c>
      <c r="AE163" s="2">
        <f>COUNTIFS(Table1[channel],Table1[[#This Row],[channel]],Table1[prepayment_flag],1)/COUNTIF(Table1[channel],Table1[[#This Row],[channel]])</f>
        <v>5.8201058201058198E-2</v>
      </c>
      <c r="AF163" s="2">
        <f>AVERAGEIFS(Table1[interest_rate_pct],Table1[product],Table1[[#This Row],[product]],Table1[risk_band],Table1[[#This Row],[risk_band]])</f>
        <v>13.328333333333335</v>
      </c>
      <c r="AG163" s="2" t="str" cm="1">
        <f t="array" ref="AG163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163" s="2">
        <f>COUNTIF(Table1[DTI band],Table1[[#This Row],[DTI band]])</f>
        <v>260</v>
      </c>
      <c r="AI163" s="2" t="str" cm="1">
        <f t="array" ref="AI163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163" s="2">
        <f>COUNTIF(Table1[LTV band],Table1[[#This Row],[LTV band]])</f>
        <v>302</v>
      </c>
      <c r="AK163" s="19">
        <f>COUNTIFS(Table1[count_loan_perband],Table1[[#This Row],[count_loan_perband]],Table1[default_flag],1)/COUNTIF(Table1[count_loan_perband],Table1[[#This Row],[count_loan_perband]])</f>
        <v>3.6423841059602648E-2</v>
      </c>
      <c r="AL163" s="19" t="str" cm="1">
        <f t="array" ref="AL163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163" s="19">
        <f>IF(Table1[[#This Row],[dpd]] &gt;=30,1,0)</f>
        <v>0</v>
      </c>
      <c r="AN163" s="19">
        <f>COUNTIFS(Table1[Loan size],Table1[[#This Row],[Loan size]],Table1[dpd flag],1)/COUNTIF(Table1[Loan size],Table1[[#This Row],[Loan size]])</f>
        <v>0.13934426229508196</v>
      </c>
      <c r="AO163" s="19" t="str">
        <f>IF(OR(Table1[[#This Row],[credit_score]] &lt; 600, Table1[ [#This Row],[dti_ratio] ] &gt; 0.5, Table1[[#This Row],[dpd]] &gt;=30), "high risk", " not riskY")</f>
        <v xml:space="preserve"> not riskY</v>
      </c>
      <c r="AP163" s="29">
        <f>EOMONTH(Table1[[#This Row],[origination_date]],0)</f>
        <v>44742</v>
      </c>
      <c r="AQ163" s="19">
        <f>SUMIFS(Table1[loan_amount],Table1[origination month],Table1[[#This Row],[origination month]])</f>
        <v>11188400</v>
      </c>
      <c r="AR163" s="19">
        <f>AVERAGEIFS(Table1[months_on_book],Table1[product],Table1[[#This Row],[product]])</f>
        <v>21.092024539877301</v>
      </c>
      <c r="AS163" s="19" t="str">
        <f ca="1">IF(EDATE(Table1[[#This Row],[origination_date]],6) &gt;= TODAY(), "New Loan", "Old Loan")</f>
        <v>Old Loan</v>
      </c>
      <c r="AT163" s="19" t="str">
        <f>"Q"&amp;ROUNDUP(MONTH(Table1[[#This Row],[origination_date]])/3,0)&amp;YEAR(Table1[[#This Row],[origination_date]])</f>
        <v>Q22022</v>
      </c>
      <c r="AU163" s="19">
        <f>SUMIFS(Table1[loan_amount],Table1[quarter],Table1[[#This Row],[quarter]])</f>
        <v>45395100</v>
      </c>
    </row>
    <row r="164" spans="2:47" x14ac:dyDescent="0.2">
      <c r="B164" s="5" t="s">
        <v>51</v>
      </c>
      <c r="C164" s="2" t="s">
        <v>551</v>
      </c>
      <c r="D164" s="3">
        <v>44725</v>
      </c>
      <c r="E164" s="2" t="s">
        <v>1026</v>
      </c>
      <c r="F164" s="2" t="s">
        <v>1030</v>
      </c>
      <c r="G164" s="2" t="s">
        <v>1033</v>
      </c>
      <c r="H164" s="2" t="s">
        <v>1038</v>
      </c>
      <c r="I164" s="2">
        <v>18</v>
      </c>
      <c r="J164" s="2">
        <v>54700</v>
      </c>
      <c r="K164" s="2">
        <v>19.37</v>
      </c>
      <c r="L164" s="2">
        <v>3526</v>
      </c>
      <c r="M164" s="2">
        <v>1057435</v>
      </c>
      <c r="N164" s="2">
        <v>645</v>
      </c>
      <c r="O164" s="2" t="s">
        <v>1045</v>
      </c>
      <c r="P164" s="2">
        <v>0.32</v>
      </c>
      <c r="Q164" s="2">
        <v>0.8</v>
      </c>
      <c r="R164" s="2">
        <v>0</v>
      </c>
      <c r="S164" s="2">
        <v>18</v>
      </c>
      <c r="T164" s="2">
        <v>56933</v>
      </c>
      <c r="U164" s="2">
        <v>4124</v>
      </c>
      <c r="V164" s="2">
        <v>0</v>
      </c>
      <c r="W164" s="2">
        <v>0</v>
      </c>
      <c r="X164" s="2">
        <v>0</v>
      </c>
      <c r="Y164" s="2" t="s">
        <v>1047</v>
      </c>
      <c r="Z164" s="12">
        <f>SUMIF(Table1[product],Table1[[#This Row],[product]],Table1[loan_amount])</f>
        <v>74897600</v>
      </c>
      <c r="AA164" s="15">
        <f>SUMIF(Table1[region],Table1[[#This Row],[region]],Table1[current_balance])</f>
        <v>83297251</v>
      </c>
      <c r="AB164" s="2">
        <f>COUNTIF(Table1[loan_status],Table1[[#This Row],[loan_status]])</f>
        <v>139</v>
      </c>
      <c r="AC164" s="2">
        <f>COUNTIF(Table1[default_flag],1)/ROWS(Table1[loan_id])</f>
        <v>2.5999999999999999E-2</v>
      </c>
      <c r="AD164" s="2">
        <f>COUNTIFS(Table1[region],Table1[[#This Row],[region]],Table1[default_flag],1)/COUNTIF(Table1[region],Table1[[#This Row],[region]])</f>
        <v>3.1914893617021274E-2</v>
      </c>
      <c r="AE164" s="2">
        <f>COUNTIFS(Table1[channel],Table1[[#This Row],[channel]],Table1[prepayment_flag],1)/COUNTIF(Table1[channel],Table1[[#This Row],[channel]])</f>
        <v>5.8201058201058198E-2</v>
      </c>
      <c r="AF164" s="2">
        <f>AVERAGEIFS(Table1[interest_rate_pct],Table1[product],Table1[[#This Row],[product]],Table1[risk_band],Table1[[#This Row],[risk_band]])</f>
        <v>20.962592592592593</v>
      </c>
      <c r="AG164" s="2" t="str" cm="1">
        <f t="array" ref="AG164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164" s="2">
        <f>COUNTIF(Table1[DTI band],Table1[[#This Row],[DTI band]])</f>
        <v>260</v>
      </c>
      <c r="AI164" s="2" t="str" cm="1">
        <f t="array" ref="AI164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164" s="2">
        <f>COUNTIF(Table1[LTV band],Table1[[#This Row],[LTV band]])</f>
        <v>302</v>
      </c>
      <c r="AK164" s="19">
        <f>COUNTIFS(Table1[count_loan_perband],Table1[[#This Row],[count_loan_perband]],Table1[default_flag],1)/COUNTIF(Table1[count_loan_perband],Table1[[#This Row],[count_loan_perband]])</f>
        <v>3.6423841059602648E-2</v>
      </c>
      <c r="AL164" s="19" t="str" cm="1">
        <f t="array" ref="AL164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164" s="19">
        <f>IF(Table1[[#This Row],[dpd]] &gt;=30,1,0)</f>
        <v>0</v>
      </c>
      <c r="AN164" s="19">
        <f>COUNTIFS(Table1[Loan size],Table1[[#This Row],[Loan size]],Table1[dpd flag],1)/COUNTIF(Table1[Loan size],Table1[[#This Row],[Loan size]])</f>
        <v>0.13934426229508196</v>
      </c>
      <c r="AO164" s="19" t="str">
        <f>IF(OR(Table1[[#This Row],[credit_score]] &lt; 600, Table1[ [#This Row],[dti_ratio] ] &gt; 0.5, Table1[[#This Row],[dpd]] &gt;=30), "high risk", " not riskY")</f>
        <v xml:space="preserve"> not riskY</v>
      </c>
      <c r="AP164" s="29">
        <f>EOMONTH(Table1[[#This Row],[origination_date]],0)</f>
        <v>44742</v>
      </c>
      <c r="AQ164" s="19">
        <f>SUMIFS(Table1[loan_amount],Table1[origination month],Table1[[#This Row],[origination month]])</f>
        <v>11188400</v>
      </c>
      <c r="AR164" s="19">
        <f>AVERAGEIFS(Table1[months_on_book],Table1[product],Table1[[#This Row],[product]])</f>
        <v>21.092024539877301</v>
      </c>
      <c r="AS164" s="19" t="str">
        <f ca="1">IF(EDATE(Table1[[#This Row],[origination_date]],6) &gt;= TODAY(), "New Loan", "Old Loan")</f>
        <v>Old Loan</v>
      </c>
      <c r="AT164" s="19" t="str">
        <f>"Q"&amp;ROUNDUP(MONTH(Table1[[#This Row],[origination_date]])/3,0)&amp;YEAR(Table1[[#This Row],[origination_date]])</f>
        <v>Q22022</v>
      </c>
      <c r="AU164" s="19">
        <f>SUMIFS(Table1[loan_amount],Table1[quarter],Table1[[#This Row],[quarter]])</f>
        <v>45395100</v>
      </c>
    </row>
    <row r="165" spans="2:47" x14ac:dyDescent="0.2">
      <c r="B165" s="5" t="s">
        <v>434</v>
      </c>
      <c r="C165" s="2" t="s">
        <v>934</v>
      </c>
      <c r="D165" s="3">
        <v>44712</v>
      </c>
      <c r="E165" s="2" t="s">
        <v>1025</v>
      </c>
      <c r="F165" s="2" t="s">
        <v>1029</v>
      </c>
      <c r="G165" s="2" t="s">
        <v>1036</v>
      </c>
      <c r="H165" s="2" t="s">
        <v>1038</v>
      </c>
      <c r="I165" s="2">
        <v>360</v>
      </c>
      <c r="J165" s="2">
        <v>2032000</v>
      </c>
      <c r="K165" s="2">
        <v>18.04</v>
      </c>
      <c r="L165" s="2">
        <v>30690</v>
      </c>
      <c r="M165" s="2">
        <v>434193</v>
      </c>
      <c r="N165" s="2">
        <v>637</v>
      </c>
      <c r="O165" s="2" t="s">
        <v>1045</v>
      </c>
      <c r="P165" s="2">
        <v>0.32</v>
      </c>
      <c r="Q165" s="2">
        <v>0.74</v>
      </c>
      <c r="R165" s="2">
        <v>2731600</v>
      </c>
      <c r="S165" s="2">
        <v>43</v>
      </c>
      <c r="T165" s="2">
        <v>1286687</v>
      </c>
      <c r="U165" s="2">
        <v>1270734</v>
      </c>
      <c r="V165" s="2">
        <v>0</v>
      </c>
      <c r="W165" s="2">
        <v>0</v>
      </c>
      <c r="X165" s="2">
        <v>0</v>
      </c>
      <c r="Y165" s="2" t="s">
        <v>1049</v>
      </c>
      <c r="Z165" s="12">
        <f>SUMIF(Table1[product],Table1[[#This Row],[product]],Table1[loan_amount])</f>
        <v>201475100</v>
      </c>
      <c r="AA165" s="15">
        <f>SUMIF(Table1[region],Table1[[#This Row],[region]],Table1[current_balance])</f>
        <v>98928695</v>
      </c>
      <c r="AB165" s="2">
        <f>COUNTIF(Table1[loan_status],Table1[[#This Row],[loan_status]])</f>
        <v>301</v>
      </c>
      <c r="AC165" s="2">
        <f>COUNTIF(Table1[default_flag],1)/ROWS(Table1[loan_id])</f>
        <v>2.5999999999999999E-2</v>
      </c>
      <c r="AD165" s="2">
        <f>COUNTIFS(Table1[region],Table1[[#This Row],[region]],Table1[default_flag],1)/COUNTIF(Table1[region],Table1[[#This Row],[region]])</f>
        <v>2.8571428571428571E-2</v>
      </c>
      <c r="AE165" s="2">
        <f>COUNTIFS(Table1[channel],Table1[[#This Row],[channel]],Table1[prepayment_flag],1)/COUNTIF(Table1[channel],Table1[[#This Row],[channel]])</f>
        <v>7.1090047393364927E-2</v>
      </c>
      <c r="AF165" s="2">
        <f>AVERAGEIFS(Table1[interest_rate_pct],Table1[product],Table1[[#This Row],[product]],Table1[risk_band],Table1[[#This Row],[risk_band]])</f>
        <v>18.241249999999997</v>
      </c>
      <c r="AG165" s="2" t="str" cm="1">
        <f t="array" ref="AG165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165" s="2">
        <f>COUNTIF(Table1[DTI band],Table1[[#This Row],[DTI band]])</f>
        <v>260</v>
      </c>
      <c r="AI165" s="2" t="str" cm="1">
        <f t="array" ref="AI165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165" s="2">
        <f>COUNTIF(Table1[LTV band],Table1[[#This Row],[LTV band]])</f>
        <v>302</v>
      </c>
      <c r="AK165" s="19">
        <f>COUNTIFS(Table1[count_loan_perband],Table1[[#This Row],[count_loan_perband]],Table1[default_flag],1)/COUNTIF(Table1[count_loan_perband],Table1[[#This Row],[count_loan_perband]])</f>
        <v>3.6423841059602648E-2</v>
      </c>
      <c r="AL165" s="19" t="str" cm="1">
        <f t="array" ref="AL165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165" s="19">
        <f>IF(Table1[[#This Row],[dpd]] &gt;=30,1,0)</f>
        <v>0</v>
      </c>
      <c r="AN165" s="19">
        <f>COUNTIFS(Table1[Loan size],Table1[[#This Row],[Loan size]],Table1[dpd flag],1)/COUNTIF(Table1[Loan size],Table1[[#This Row],[Loan size]])</f>
        <v>0.15909090909090909</v>
      </c>
      <c r="AO165" s="19" t="str">
        <f>IF(OR(Table1[[#This Row],[credit_score]] &lt; 600, Table1[ [#This Row],[dti_ratio] ] &gt; 0.5, Table1[[#This Row],[dpd]] &gt;=30), "high risk", " not riskY")</f>
        <v xml:space="preserve"> not riskY</v>
      </c>
      <c r="AP165" s="29">
        <f>EOMONTH(Table1[[#This Row],[origination_date]],0)</f>
        <v>44712</v>
      </c>
      <c r="AQ165" s="19">
        <f>SUMIFS(Table1[loan_amount],Table1[origination month],Table1[[#This Row],[origination month]])</f>
        <v>10302800</v>
      </c>
      <c r="AR165" s="19">
        <f>AVERAGEIFS(Table1[months_on_book],Table1[product],Table1[[#This Row],[product]])</f>
        <v>19.091954022988507</v>
      </c>
      <c r="AS165" s="19" t="str">
        <f ca="1">IF(EDATE(Table1[[#This Row],[origination_date]],6) &gt;= TODAY(), "New Loan", "Old Loan")</f>
        <v>Old Loan</v>
      </c>
      <c r="AT165" s="19" t="str">
        <f>"Q"&amp;ROUNDUP(MONTH(Table1[[#This Row],[origination_date]])/3,0)&amp;YEAR(Table1[[#This Row],[origination_date]])</f>
        <v>Q22022</v>
      </c>
      <c r="AU165" s="19">
        <f>SUMIFS(Table1[loan_amount],Table1[quarter],Table1[[#This Row],[quarter]])</f>
        <v>45395100</v>
      </c>
    </row>
    <row r="166" spans="2:47" x14ac:dyDescent="0.2">
      <c r="B166" s="5" t="s">
        <v>42</v>
      </c>
      <c r="C166" s="2" t="s">
        <v>542</v>
      </c>
      <c r="D166" s="3">
        <v>44725</v>
      </c>
      <c r="E166" s="2" t="s">
        <v>1024</v>
      </c>
      <c r="F166" s="2" t="s">
        <v>1030</v>
      </c>
      <c r="G166" s="2" t="s">
        <v>1033</v>
      </c>
      <c r="H166" s="2" t="s">
        <v>1041</v>
      </c>
      <c r="I166" s="2">
        <v>12</v>
      </c>
      <c r="J166" s="2">
        <v>511200</v>
      </c>
      <c r="K166" s="2">
        <v>13.99</v>
      </c>
      <c r="L166" s="2">
        <v>45897</v>
      </c>
      <c r="M166" s="2">
        <v>710299</v>
      </c>
      <c r="N166" s="2">
        <v>658</v>
      </c>
      <c r="O166" s="2" t="s">
        <v>1042</v>
      </c>
      <c r="P166" s="2">
        <v>0.31</v>
      </c>
      <c r="Q166" s="2">
        <v>0.65</v>
      </c>
      <c r="R166" s="2">
        <v>783100</v>
      </c>
      <c r="S166" s="2">
        <v>12</v>
      </c>
      <c r="T166" s="2">
        <v>529504</v>
      </c>
      <c r="U166" s="2">
        <v>10303</v>
      </c>
      <c r="V166" s="2">
        <v>45</v>
      </c>
      <c r="W166" s="2">
        <v>0</v>
      </c>
      <c r="X166" s="2">
        <v>0</v>
      </c>
      <c r="Y166" s="2" t="s">
        <v>1047</v>
      </c>
      <c r="Z166" s="12">
        <f>SUMIF(Table1[product],Table1[[#This Row],[product]],Table1[loan_amount])</f>
        <v>92273000</v>
      </c>
      <c r="AA166" s="15">
        <f>SUMIF(Table1[region],Table1[[#This Row],[region]],Table1[current_balance])</f>
        <v>83297251</v>
      </c>
      <c r="AB166" s="2">
        <f>COUNTIF(Table1[loan_status],Table1[[#This Row],[loan_status]])</f>
        <v>139</v>
      </c>
      <c r="AC166" s="2">
        <f>COUNTIF(Table1[default_flag],1)/ROWS(Table1[loan_id])</f>
        <v>2.5999999999999999E-2</v>
      </c>
      <c r="AD166" s="2">
        <f>COUNTIFS(Table1[region],Table1[[#This Row],[region]],Table1[default_flag],1)/COUNTIF(Table1[region],Table1[[#This Row],[region]])</f>
        <v>3.1914893617021274E-2</v>
      </c>
      <c r="AE166" s="2">
        <f>COUNTIFS(Table1[channel],Table1[[#This Row],[channel]],Table1[prepayment_flag],1)/COUNTIF(Table1[channel],Table1[[#This Row],[channel]])</f>
        <v>5.8201058201058198E-2</v>
      </c>
      <c r="AF166" s="2">
        <f>AVERAGEIFS(Table1[interest_rate_pct],Table1[product],Table1[[#This Row],[product]],Table1[risk_band],Table1[[#This Row],[risk_band]])</f>
        <v>13.246500000000001</v>
      </c>
      <c r="AG166" s="2" t="str" cm="1">
        <f t="array" ref="AG166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166" s="2">
        <f>COUNTIF(Table1[DTI band],Table1[[#This Row],[DTI band]])</f>
        <v>260</v>
      </c>
      <c r="AI166" s="2" t="str" cm="1">
        <f t="array" ref="AI166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166" s="2">
        <f>COUNTIF(Table1[LTV band],Table1[[#This Row],[LTV band]])</f>
        <v>302</v>
      </c>
      <c r="AK166" s="19">
        <f>COUNTIFS(Table1[count_loan_perband],Table1[[#This Row],[count_loan_perband]],Table1[default_flag],1)/COUNTIF(Table1[count_loan_perband],Table1[[#This Row],[count_loan_perband]])</f>
        <v>3.6423841059602648E-2</v>
      </c>
      <c r="AL166" s="19" t="str" cm="1">
        <f t="array" ref="AL166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166" s="19">
        <f>IF(Table1[[#This Row],[dpd]] &gt;=30,1,0)</f>
        <v>1</v>
      </c>
      <c r="AN166" s="19">
        <f>COUNTIFS(Table1[Loan size],Table1[[#This Row],[Loan size]],Table1[dpd flag],1)/COUNTIF(Table1[Loan size],Table1[[#This Row],[Loan size]])</f>
        <v>0.13934426229508196</v>
      </c>
      <c r="AO166" s="19" t="str">
        <f>IF(OR(Table1[[#This Row],[credit_score]] &lt; 600, Table1[ [#This Row],[dti_ratio] ] &gt; 0.5, Table1[[#This Row],[dpd]] &gt;=30), "high risk", " not riskY")</f>
        <v>high risk</v>
      </c>
      <c r="AP166" s="29">
        <f>EOMONTH(Table1[[#This Row],[origination_date]],0)</f>
        <v>44742</v>
      </c>
      <c r="AQ166" s="19">
        <f>SUMIFS(Table1[loan_amount],Table1[origination month],Table1[[#This Row],[origination month]])</f>
        <v>11188400</v>
      </c>
      <c r="AR166" s="19">
        <f>AVERAGEIFS(Table1[months_on_book],Table1[product],Table1[[#This Row],[product]])</f>
        <v>20.262135922330096</v>
      </c>
      <c r="AS166" s="19" t="str">
        <f ca="1">IF(EDATE(Table1[[#This Row],[origination_date]],6) &gt;= TODAY(), "New Loan", "Old Loan")</f>
        <v>Old Loan</v>
      </c>
      <c r="AT166" s="19" t="str">
        <f>"Q"&amp;ROUNDUP(MONTH(Table1[[#This Row],[origination_date]])/3,0)&amp;YEAR(Table1[[#This Row],[origination_date]])</f>
        <v>Q22022</v>
      </c>
      <c r="AU166" s="19">
        <f>SUMIFS(Table1[loan_amount],Table1[quarter],Table1[[#This Row],[quarter]])</f>
        <v>45395100</v>
      </c>
    </row>
    <row r="167" spans="2:47" x14ac:dyDescent="0.2">
      <c r="B167" s="5" t="s">
        <v>239</v>
      </c>
      <c r="C167" s="2" t="s">
        <v>739</v>
      </c>
      <c r="D167" s="3">
        <v>44709</v>
      </c>
      <c r="E167" s="2" t="s">
        <v>1025</v>
      </c>
      <c r="F167" s="2" t="s">
        <v>1029</v>
      </c>
      <c r="G167" s="2" t="s">
        <v>1037</v>
      </c>
      <c r="H167" s="2" t="s">
        <v>1041</v>
      </c>
      <c r="I167" s="2">
        <v>18</v>
      </c>
      <c r="J167" s="2">
        <v>3136300</v>
      </c>
      <c r="K167" s="2">
        <v>11.56</v>
      </c>
      <c r="L167" s="2">
        <v>190618</v>
      </c>
      <c r="M167" s="2">
        <v>1205997</v>
      </c>
      <c r="N167" s="2">
        <v>751</v>
      </c>
      <c r="O167" s="2" t="s">
        <v>1043</v>
      </c>
      <c r="P167" s="2">
        <v>0.28999999999999998</v>
      </c>
      <c r="Q167" s="2">
        <v>0.65</v>
      </c>
      <c r="R167" s="2">
        <v>4854300</v>
      </c>
      <c r="S167" s="2">
        <v>18</v>
      </c>
      <c r="T167" s="2">
        <v>3305004</v>
      </c>
      <c r="U167" s="2">
        <v>48830</v>
      </c>
      <c r="V167" s="2">
        <v>10</v>
      </c>
      <c r="W167" s="2">
        <v>0</v>
      </c>
      <c r="X167" s="2">
        <v>0</v>
      </c>
      <c r="Y167" s="2" t="s">
        <v>1047</v>
      </c>
      <c r="Z167" s="12">
        <f>SUMIF(Table1[product],Table1[[#This Row],[product]],Table1[loan_amount])</f>
        <v>201475100</v>
      </c>
      <c r="AA167" s="15">
        <f>SUMIF(Table1[region],Table1[[#This Row],[region]],Table1[current_balance])</f>
        <v>94548000</v>
      </c>
      <c r="AB167" s="2">
        <f>COUNTIF(Table1[loan_status],Table1[[#This Row],[loan_status]])</f>
        <v>139</v>
      </c>
      <c r="AC167" s="2">
        <f>COUNTIF(Table1[default_flag],1)/ROWS(Table1[loan_id])</f>
        <v>2.5999999999999999E-2</v>
      </c>
      <c r="AD167" s="2">
        <f>COUNTIFS(Table1[region],Table1[[#This Row],[region]],Table1[default_flag],1)/COUNTIF(Table1[region],Table1[[#This Row],[region]])</f>
        <v>0</v>
      </c>
      <c r="AE167" s="2">
        <f>COUNTIFS(Table1[channel],Table1[[#This Row],[channel]],Table1[prepayment_flag],1)/COUNTIF(Table1[channel],Table1[[#This Row],[channel]])</f>
        <v>7.1090047393364927E-2</v>
      </c>
      <c r="AF167" s="2">
        <f>AVERAGEIFS(Table1[interest_rate_pct],Table1[product],Table1[[#This Row],[product]],Table1[risk_band],Table1[[#This Row],[risk_band]])</f>
        <v>10.537499999999998</v>
      </c>
      <c r="AG167" s="2" t="str" cm="1">
        <f t="array" ref="AG167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167" s="2">
        <f>COUNTIF(Table1[DTI band],Table1[[#This Row],[DTI band]])</f>
        <v>122</v>
      </c>
      <c r="AI167" s="2" t="str" cm="1">
        <f t="array" ref="AI167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167" s="2">
        <f>COUNTIF(Table1[LTV band],Table1[[#This Row],[LTV band]])</f>
        <v>302</v>
      </c>
      <c r="AK167" s="19">
        <f>COUNTIFS(Table1[count_loan_perband],Table1[[#This Row],[count_loan_perband]],Table1[default_flag],1)/COUNTIF(Table1[count_loan_perband],Table1[[#This Row],[count_loan_perband]])</f>
        <v>3.6423841059602648E-2</v>
      </c>
      <c r="AL167" s="19" t="str" cm="1">
        <f t="array" ref="AL167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167" s="19">
        <f>IF(Table1[[#This Row],[dpd]] &gt;=30,1,0)</f>
        <v>0</v>
      </c>
      <c r="AN167" s="19">
        <f>COUNTIFS(Table1[Loan size],Table1[[#This Row],[Loan size]],Table1[dpd flag],1)/COUNTIF(Table1[Loan size],Table1[[#This Row],[Loan size]])</f>
        <v>0.15909090909090909</v>
      </c>
      <c r="AO167" s="19" t="str">
        <f>IF(OR(Table1[[#This Row],[credit_score]] &lt; 600, Table1[ [#This Row],[dti_ratio] ] &gt; 0.5, Table1[[#This Row],[dpd]] &gt;=30), "high risk", " not riskY")</f>
        <v xml:space="preserve"> not riskY</v>
      </c>
      <c r="AP167" s="29">
        <f>EOMONTH(Table1[[#This Row],[origination_date]],0)</f>
        <v>44712</v>
      </c>
      <c r="AQ167" s="19">
        <f>SUMIFS(Table1[loan_amount],Table1[origination month],Table1[[#This Row],[origination month]])</f>
        <v>10302800</v>
      </c>
      <c r="AR167" s="19">
        <f>AVERAGEIFS(Table1[months_on_book],Table1[product],Table1[[#This Row],[product]])</f>
        <v>19.091954022988507</v>
      </c>
      <c r="AS167" s="19" t="str">
        <f ca="1">IF(EDATE(Table1[[#This Row],[origination_date]],6) &gt;= TODAY(), "New Loan", "Old Loan")</f>
        <v>Old Loan</v>
      </c>
      <c r="AT167" s="19" t="str">
        <f>"Q"&amp;ROUNDUP(MONTH(Table1[[#This Row],[origination_date]])/3,0)&amp;YEAR(Table1[[#This Row],[origination_date]])</f>
        <v>Q22022</v>
      </c>
      <c r="AU167" s="19">
        <f>SUMIFS(Table1[loan_amount],Table1[quarter],Table1[[#This Row],[quarter]])</f>
        <v>45395100</v>
      </c>
    </row>
    <row r="168" spans="2:47" x14ac:dyDescent="0.2">
      <c r="B168" s="5" t="s">
        <v>477</v>
      </c>
      <c r="C168" s="2" t="s">
        <v>977</v>
      </c>
      <c r="D168" s="3">
        <v>44671</v>
      </c>
      <c r="E168" s="2" t="s">
        <v>1028</v>
      </c>
      <c r="F168" s="2" t="s">
        <v>1030</v>
      </c>
      <c r="G168" s="2" t="s">
        <v>1035</v>
      </c>
      <c r="H168" s="2" t="s">
        <v>1039</v>
      </c>
      <c r="I168" s="2">
        <v>240</v>
      </c>
      <c r="J168" s="2">
        <v>1196800</v>
      </c>
      <c r="K168" s="2">
        <v>10.1</v>
      </c>
      <c r="L168" s="2">
        <v>11629</v>
      </c>
      <c r="M168" s="2">
        <v>708174</v>
      </c>
      <c r="N168" s="2">
        <v>743</v>
      </c>
      <c r="O168" s="2" t="s">
        <v>1044</v>
      </c>
      <c r="P168" s="2">
        <v>0.28999999999999998</v>
      </c>
      <c r="Q168" s="2">
        <v>0.66</v>
      </c>
      <c r="R168" s="2">
        <v>0</v>
      </c>
      <c r="S168" s="2">
        <v>44</v>
      </c>
      <c r="T168" s="2">
        <v>436995</v>
      </c>
      <c r="U168" s="2">
        <v>937091</v>
      </c>
      <c r="V168" s="2">
        <v>0</v>
      </c>
      <c r="W168" s="2">
        <v>0</v>
      </c>
      <c r="X168" s="2">
        <v>0</v>
      </c>
      <c r="Y168" s="2" t="s">
        <v>1049</v>
      </c>
      <c r="Z168" s="12">
        <f>SUMIF(Table1[product],Table1[[#This Row],[product]],Table1[loan_amount])</f>
        <v>62765800</v>
      </c>
      <c r="AA168" s="15">
        <f>SUMIF(Table1[region],Table1[[#This Row],[region]],Table1[current_balance])</f>
        <v>83903255</v>
      </c>
      <c r="AB168" s="2">
        <f>COUNTIF(Table1[loan_status],Table1[[#This Row],[loan_status]])</f>
        <v>301</v>
      </c>
      <c r="AC168" s="2">
        <f>COUNTIF(Table1[default_flag],1)/ROWS(Table1[loan_id])</f>
        <v>2.5999999999999999E-2</v>
      </c>
      <c r="AD168" s="2">
        <f>COUNTIFS(Table1[region],Table1[[#This Row],[region]],Table1[default_flag],1)/COUNTIF(Table1[region],Table1[[#This Row],[region]])</f>
        <v>4.2553191489361701E-2</v>
      </c>
      <c r="AE168" s="2">
        <f>COUNTIFS(Table1[channel],Table1[[#This Row],[channel]],Table1[prepayment_flag],1)/COUNTIF(Table1[channel],Table1[[#This Row],[channel]])</f>
        <v>5.8201058201058198E-2</v>
      </c>
      <c r="AF168" s="2">
        <f>AVERAGEIFS(Table1[interest_rate_pct],Table1[product],Table1[[#This Row],[product]],Table1[risk_band],Table1[[#This Row],[risk_band]])</f>
        <v>10.832666666666663</v>
      </c>
      <c r="AG168" s="2" t="str" cm="1">
        <f t="array" ref="AG168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168" s="2">
        <f>COUNTIF(Table1[DTI band],Table1[[#This Row],[DTI band]])</f>
        <v>122</v>
      </c>
      <c r="AI168" s="2" t="str" cm="1">
        <f t="array" ref="AI168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168" s="2">
        <f>COUNTIF(Table1[LTV band],Table1[[#This Row],[LTV band]])</f>
        <v>302</v>
      </c>
      <c r="AK168" s="19">
        <f>COUNTIFS(Table1[count_loan_perband],Table1[[#This Row],[count_loan_perband]],Table1[default_flag],1)/COUNTIF(Table1[count_loan_perband],Table1[[#This Row],[count_loan_perband]])</f>
        <v>3.6423841059602648E-2</v>
      </c>
      <c r="AL168" s="19" t="str" cm="1">
        <f t="array" ref="AL168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168" s="19">
        <f>IF(Table1[[#This Row],[dpd]] &gt;=30,1,0)</f>
        <v>0</v>
      </c>
      <c r="AN168" s="19">
        <f>COUNTIFS(Table1[Loan size],Table1[[#This Row],[Loan size]],Table1[dpd flag],1)/COUNTIF(Table1[Loan size],Table1[[#This Row],[Loan size]])</f>
        <v>0.15909090909090909</v>
      </c>
      <c r="AO168" s="19" t="str">
        <f>IF(OR(Table1[[#This Row],[credit_score]] &lt; 600, Table1[ [#This Row],[dti_ratio] ] &gt; 0.5, Table1[[#This Row],[dpd]] &gt;=30), "high risk", " not riskY")</f>
        <v xml:space="preserve"> not riskY</v>
      </c>
      <c r="AP168" s="29">
        <f>EOMONTH(Table1[[#This Row],[origination_date]],0)</f>
        <v>44681</v>
      </c>
      <c r="AQ168" s="19">
        <f>SUMIFS(Table1[loan_amount],Table1[origination month],Table1[[#This Row],[origination month]])</f>
        <v>23903900</v>
      </c>
      <c r="AR168" s="19">
        <f>AVERAGEIFS(Table1[months_on_book],Table1[product],Table1[[#This Row],[product]])</f>
        <v>21.962962962962962</v>
      </c>
      <c r="AS168" s="19" t="str">
        <f ca="1">IF(EDATE(Table1[[#This Row],[origination_date]],6) &gt;= TODAY(), "New Loan", "Old Loan")</f>
        <v>Old Loan</v>
      </c>
      <c r="AT168" s="19" t="str">
        <f>"Q"&amp;ROUNDUP(MONTH(Table1[[#This Row],[origination_date]])/3,0)&amp;YEAR(Table1[[#This Row],[origination_date]])</f>
        <v>Q22022</v>
      </c>
      <c r="AU168" s="19">
        <f>SUMIFS(Table1[loan_amount],Table1[quarter],Table1[[#This Row],[quarter]])</f>
        <v>45395100</v>
      </c>
    </row>
    <row r="169" spans="2:47" x14ac:dyDescent="0.2">
      <c r="B169" s="5" t="s">
        <v>260</v>
      </c>
      <c r="C169" s="2" t="s">
        <v>760</v>
      </c>
      <c r="D169" s="3">
        <v>44732</v>
      </c>
      <c r="E169" s="2" t="s">
        <v>1026</v>
      </c>
      <c r="F169" s="2" t="s">
        <v>1029</v>
      </c>
      <c r="G169" s="2" t="s">
        <v>1034</v>
      </c>
      <c r="H169" s="2" t="s">
        <v>1038</v>
      </c>
      <c r="I169" s="2">
        <v>24</v>
      </c>
      <c r="J169" s="2">
        <v>62400</v>
      </c>
      <c r="K169" s="2">
        <v>22.12</v>
      </c>
      <c r="L169" s="2">
        <v>3241</v>
      </c>
      <c r="M169" s="2">
        <v>903781</v>
      </c>
      <c r="N169" s="2">
        <v>602</v>
      </c>
      <c r="O169" s="2" t="s">
        <v>1045</v>
      </c>
      <c r="P169" s="2">
        <v>0.28000000000000003</v>
      </c>
      <c r="Q169" s="2">
        <v>0.65</v>
      </c>
      <c r="R169" s="2">
        <v>0</v>
      </c>
      <c r="S169" s="2">
        <v>24</v>
      </c>
      <c r="T169" s="2">
        <v>73058</v>
      </c>
      <c r="U169" s="2">
        <v>384</v>
      </c>
      <c r="V169" s="2">
        <v>0</v>
      </c>
      <c r="W169" s="2">
        <v>0</v>
      </c>
      <c r="X169" s="2">
        <v>0</v>
      </c>
      <c r="Y169" s="2" t="s">
        <v>1047</v>
      </c>
      <c r="Z169" s="12">
        <f>SUMIF(Table1[product],Table1[[#This Row],[product]],Table1[loan_amount])</f>
        <v>74897600</v>
      </c>
      <c r="AA169" s="15">
        <f>SUMIF(Table1[region],Table1[[#This Row],[region]],Table1[current_balance])</f>
        <v>105779369</v>
      </c>
      <c r="AB169" s="2">
        <f>COUNTIF(Table1[loan_status],Table1[[#This Row],[loan_status]])</f>
        <v>139</v>
      </c>
      <c r="AC169" s="2">
        <f>COUNTIF(Table1[default_flag],1)/ROWS(Table1[loan_id])</f>
        <v>2.5999999999999999E-2</v>
      </c>
      <c r="AD169" s="2">
        <f>COUNTIFS(Table1[region],Table1[[#This Row],[region]],Table1[default_flag],1)/COUNTIF(Table1[region],Table1[[#This Row],[region]])</f>
        <v>2.6548672566371681E-2</v>
      </c>
      <c r="AE169" s="2">
        <f>COUNTIFS(Table1[channel],Table1[[#This Row],[channel]],Table1[prepayment_flag],1)/COUNTIF(Table1[channel],Table1[[#This Row],[channel]])</f>
        <v>7.1090047393364927E-2</v>
      </c>
      <c r="AF169" s="2">
        <f>AVERAGEIFS(Table1[interest_rate_pct],Table1[product],Table1[[#This Row],[product]],Table1[risk_band],Table1[[#This Row],[risk_band]])</f>
        <v>20.962592592592593</v>
      </c>
      <c r="AG169" s="2" t="str" cm="1">
        <f t="array" ref="AG169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169" s="2">
        <f>COUNTIF(Table1[DTI band],Table1[[#This Row],[DTI band]])</f>
        <v>122</v>
      </c>
      <c r="AI169" s="2" t="str" cm="1">
        <f t="array" ref="AI169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169" s="2">
        <f>COUNTIF(Table1[LTV band],Table1[[#This Row],[LTV band]])</f>
        <v>302</v>
      </c>
      <c r="AK169" s="19">
        <f>COUNTIFS(Table1[count_loan_perband],Table1[[#This Row],[count_loan_perband]],Table1[default_flag],1)/COUNTIF(Table1[count_loan_perband],Table1[[#This Row],[count_loan_perband]])</f>
        <v>3.6423841059602648E-2</v>
      </c>
      <c r="AL169" s="19" t="str" cm="1">
        <f t="array" ref="AL169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169" s="19">
        <f>IF(Table1[[#This Row],[dpd]] &gt;=30,1,0)</f>
        <v>0</v>
      </c>
      <c r="AN169" s="19">
        <f>COUNTIFS(Table1[Loan size],Table1[[#This Row],[Loan size]],Table1[dpd flag],1)/COUNTIF(Table1[Loan size],Table1[[#This Row],[Loan size]])</f>
        <v>0.13934426229508196</v>
      </c>
      <c r="AO169" s="19" t="str">
        <f>IF(OR(Table1[[#This Row],[credit_score]] &lt; 600, Table1[ [#This Row],[dti_ratio] ] &gt; 0.5, Table1[[#This Row],[dpd]] &gt;=30), "high risk", " not riskY")</f>
        <v xml:space="preserve"> not riskY</v>
      </c>
      <c r="AP169" s="29">
        <f>EOMONTH(Table1[[#This Row],[origination_date]],0)</f>
        <v>44742</v>
      </c>
      <c r="AQ169" s="19">
        <f>SUMIFS(Table1[loan_amount],Table1[origination month],Table1[[#This Row],[origination month]])</f>
        <v>11188400</v>
      </c>
      <c r="AR169" s="19">
        <f>AVERAGEIFS(Table1[months_on_book],Table1[product],Table1[[#This Row],[product]])</f>
        <v>21.092024539877301</v>
      </c>
      <c r="AS169" s="19" t="str">
        <f ca="1">IF(EDATE(Table1[[#This Row],[origination_date]],6) &gt;= TODAY(), "New Loan", "Old Loan")</f>
        <v>Old Loan</v>
      </c>
      <c r="AT169" s="19" t="str">
        <f>"Q"&amp;ROUNDUP(MONTH(Table1[[#This Row],[origination_date]])/3,0)&amp;YEAR(Table1[[#This Row],[origination_date]])</f>
        <v>Q22022</v>
      </c>
      <c r="AU169" s="19">
        <f>SUMIFS(Table1[loan_amount],Table1[quarter],Table1[[#This Row],[quarter]])</f>
        <v>45395100</v>
      </c>
    </row>
    <row r="170" spans="2:47" x14ac:dyDescent="0.2">
      <c r="B170" s="5" t="s">
        <v>219</v>
      </c>
      <c r="C170" s="2" t="s">
        <v>719</v>
      </c>
      <c r="D170" s="3">
        <v>44667</v>
      </c>
      <c r="E170" s="2" t="s">
        <v>1027</v>
      </c>
      <c r="F170" s="2" t="s">
        <v>1032</v>
      </c>
      <c r="G170" s="2" t="s">
        <v>1036</v>
      </c>
      <c r="H170" s="2" t="s">
        <v>1038</v>
      </c>
      <c r="I170" s="2">
        <v>12</v>
      </c>
      <c r="J170" s="2">
        <v>6157300</v>
      </c>
      <c r="K170" s="2">
        <v>14.55</v>
      </c>
      <c r="L170" s="2">
        <v>554441</v>
      </c>
      <c r="M170" s="2">
        <v>1073346</v>
      </c>
      <c r="N170" s="2">
        <v>605</v>
      </c>
      <c r="O170" s="2" t="s">
        <v>1045</v>
      </c>
      <c r="P170" s="2">
        <v>0.24</v>
      </c>
      <c r="Q170" s="2">
        <v>0.78</v>
      </c>
      <c r="R170" s="2">
        <v>7926200</v>
      </c>
      <c r="S170" s="2">
        <v>12</v>
      </c>
      <c r="T170" s="2">
        <v>6027883</v>
      </c>
      <c r="U170" s="2">
        <v>487772</v>
      </c>
      <c r="V170" s="2">
        <v>0</v>
      </c>
      <c r="W170" s="2">
        <v>0</v>
      </c>
      <c r="X170" s="2">
        <v>0</v>
      </c>
      <c r="Y170" s="2" t="s">
        <v>1047</v>
      </c>
      <c r="Z170" s="12">
        <f>SUMIF(Table1[product],Table1[[#This Row],[product]],Table1[loan_amount])</f>
        <v>403369500</v>
      </c>
      <c r="AA170" s="15">
        <f>SUMIF(Table1[region],Table1[[#This Row],[region]],Table1[current_balance])</f>
        <v>98928695</v>
      </c>
      <c r="AB170" s="2">
        <f>COUNTIF(Table1[loan_status],Table1[[#This Row],[loan_status]])</f>
        <v>139</v>
      </c>
      <c r="AC170" s="2">
        <f>COUNTIF(Table1[default_flag],1)/ROWS(Table1[loan_id])</f>
        <v>2.5999999999999999E-2</v>
      </c>
      <c r="AD170" s="2">
        <f>COUNTIFS(Table1[region],Table1[[#This Row],[region]],Table1[default_flag],1)/COUNTIF(Table1[region],Table1[[#This Row],[region]])</f>
        <v>2.8571428571428571E-2</v>
      </c>
      <c r="AE170" s="2">
        <f>COUNTIFS(Table1[channel],Table1[[#This Row],[channel]],Table1[prepayment_flag],1)/COUNTIF(Table1[channel],Table1[[#This Row],[channel]])</f>
        <v>0.1</v>
      </c>
      <c r="AF170" s="2">
        <f>AVERAGEIFS(Table1[interest_rate_pct],Table1[product],Table1[[#This Row],[product]],Table1[risk_band],Table1[[#This Row],[risk_band]])</f>
        <v>13.406874999999999</v>
      </c>
      <c r="AG170" s="2" t="str" cm="1">
        <f t="array" ref="AG170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170" s="2">
        <f>COUNTIF(Table1[DTI band],Table1[[#This Row],[DTI band]])</f>
        <v>122</v>
      </c>
      <c r="AI170" s="2" t="str" cm="1">
        <f t="array" ref="AI170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170" s="2">
        <f>COUNTIF(Table1[LTV band],Table1[[#This Row],[LTV band]])</f>
        <v>302</v>
      </c>
      <c r="AK170" s="19">
        <f>COUNTIFS(Table1[count_loan_perband],Table1[[#This Row],[count_loan_perband]],Table1[default_flag],1)/COUNTIF(Table1[count_loan_perband],Table1[[#This Row],[count_loan_perband]])</f>
        <v>3.6423841059602648E-2</v>
      </c>
      <c r="AL170" s="19" t="str" cm="1">
        <f t="array" ref="AL170">_xlfn.IFS(Table1[[#This Row],[loan_amount]] &lt; 900000, "lower size (&lt; 9L)", Table1[[#This Row],[loan_amount]] &lt;=3300000, "medium size (&lt;=33L)", Table1[[#This Row],[loan_amount]] &gt; 3300000, "larger size (&gt; 33L)")</f>
        <v>larger size (&gt; 33L)</v>
      </c>
      <c r="AM170" s="19">
        <f>IF(Table1[[#This Row],[dpd]] &gt;=30,1,0)</f>
        <v>0</v>
      </c>
      <c r="AN170" s="19">
        <f>COUNTIFS(Table1[Loan size],Table1[[#This Row],[Loan size]],Table1[dpd flag],1)/COUNTIF(Table1[Loan size],Table1[[#This Row],[Loan size]])</f>
        <v>0.16250000000000001</v>
      </c>
      <c r="AO170" s="19" t="str">
        <f>IF(OR(Table1[[#This Row],[credit_score]] &lt; 600, Table1[ [#This Row],[dti_ratio] ] &gt; 0.5, Table1[[#This Row],[dpd]] &gt;=30), "high risk", " not riskY")</f>
        <v xml:space="preserve"> not riskY</v>
      </c>
      <c r="AP170" s="29">
        <f>EOMONTH(Table1[[#This Row],[origination_date]],0)</f>
        <v>44681</v>
      </c>
      <c r="AQ170" s="19">
        <f>SUMIFS(Table1[loan_amount],Table1[origination month],Table1[[#This Row],[origination month]])</f>
        <v>23903900</v>
      </c>
      <c r="AR170" s="19">
        <f>AVERAGEIFS(Table1[months_on_book],Table1[product],Table1[[#This Row],[product]])</f>
        <v>20.516129032258064</v>
      </c>
      <c r="AS170" s="19" t="str">
        <f ca="1">IF(EDATE(Table1[[#This Row],[origination_date]],6) &gt;= TODAY(), "New Loan", "Old Loan")</f>
        <v>Old Loan</v>
      </c>
      <c r="AT170" s="19" t="str">
        <f>"Q"&amp;ROUNDUP(MONTH(Table1[[#This Row],[origination_date]])/3,0)&amp;YEAR(Table1[[#This Row],[origination_date]])</f>
        <v>Q22022</v>
      </c>
      <c r="AU170" s="19">
        <f>SUMIFS(Table1[loan_amount],Table1[quarter],Table1[[#This Row],[quarter]])</f>
        <v>45395100</v>
      </c>
    </row>
    <row r="171" spans="2:47" x14ac:dyDescent="0.2">
      <c r="B171" s="5" t="s">
        <v>390</v>
      </c>
      <c r="C171" s="2" t="s">
        <v>890</v>
      </c>
      <c r="D171" s="3">
        <v>44718</v>
      </c>
      <c r="E171" s="2" t="s">
        <v>1026</v>
      </c>
      <c r="F171" s="2" t="s">
        <v>1029</v>
      </c>
      <c r="G171" s="2" t="s">
        <v>1035</v>
      </c>
      <c r="H171" s="2" t="s">
        <v>1039</v>
      </c>
      <c r="I171" s="2">
        <v>48</v>
      </c>
      <c r="J171" s="2">
        <v>199600</v>
      </c>
      <c r="K171" s="2">
        <v>15.46</v>
      </c>
      <c r="L171" s="2">
        <v>5602</v>
      </c>
      <c r="M171" s="2">
        <v>923644</v>
      </c>
      <c r="N171" s="2">
        <v>720</v>
      </c>
      <c r="O171" s="2" t="s">
        <v>1044</v>
      </c>
      <c r="P171" s="2">
        <v>0.22</v>
      </c>
      <c r="Q171" s="2">
        <v>0.92</v>
      </c>
      <c r="R171" s="2">
        <v>0</v>
      </c>
      <c r="S171" s="2">
        <v>42</v>
      </c>
      <c r="T171" s="2">
        <v>224936</v>
      </c>
      <c r="U171" s="2">
        <v>17865</v>
      </c>
      <c r="V171" s="2">
        <v>0</v>
      </c>
      <c r="W171" s="2">
        <v>0</v>
      </c>
      <c r="X171" s="2">
        <v>0</v>
      </c>
      <c r="Y171" s="2" t="s">
        <v>1049</v>
      </c>
      <c r="Z171" s="12">
        <f>SUMIF(Table1[product],Table1[[#This Row],[product]],Table1[loan_amount])</f>
        <v>74897600</v>
      </c>
      <c r="AA171" s="15">
        <f>SUMIF(Table1[region],Table1[[#This Row],[region]],Table1[current_balance])</f>
        <v>83903255</v>
      </c>
      <c r="AB171" s="2">
        <f>COUNTIF(Table1[loan_status],Table1[[#This Row],[loan_status]])</f>
        <v>301</v>
      </c>
      <c r="AC171" s="2">
        <f>COUNTIF(Table1[default_flag],1)/ROWS(Table1[loan_id])</f>
        <v>2.5999999999999999E-2</v>
      </c>
      <c r="AD171" s="2">
        <f>COUNTIFS(Table1[region],Table1[[#This Row],[region]],Table1[default_flag],1)/COUNTIF(Table1[region],Table1[[#This Row],[region]])</f>
        <v>4.2553191489361701E-2</v>
      </c>
      <c r="AE171" s="2">
        <f>COUNTIFS(Table1[channel],Table1[[#This Row],[channel]],Table1[prepayment_flag],1)/COUNTIF(Table1[channel],Table1[[#This Row],[channel]])</f>
        <v>7.1090047393364927E-2</v>
      </c>
      <c r="AF171" s="2">
        <f>AVERAGEIFS(Table1[interest_rate_pct],Table1[product],Table1[[#This Row],[product]],Table1[risk_band],Table1[[#This Row],[risk_band]])</f>
        <v>16.500166666666669</v>
      </c>
      <c r="AG171" s="2" t="str" cm="1">
        <f t="array" ref="AG171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171" s="2">
        <f>COUNTIF(Table1[DTI band],Table1[[#This Row],[DTI band]])</f>
        <v>122</v>
      </c>
      <c r="AI171" s="2" t="str" cm="1">
        <f t="array" ref="AI171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171" s="2">
        <f>COUNTIF(Table1[LTV band],Table1[[#This Row],[LTV band]])</f>
        <v>141</v>
      </c>
      <c r="AK171" s="19">
        <f>COUNTIFS(Table1[count_loan_perband],Table1[[#This Row],[count_loan_perband]],Table1[default_flag],1)/COUNTIF(Table1[count_loan_perband],Table1[[#This Row],[count_loan_perband]])</f>
        <v>1.4184397163120567E-2</v>
      </c>
      <c r="AL171" s="19" t="str" cm="1">
        <f t="array" ref="AL171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171" s="19">
        <f>IF(Table1[[#This Row],[dpd]] &gt;=30,1,0)</f>
        <v>0</v>
      </c>
      <c r="AN171" s="19">
        <f>COUNTIFS(Table1[Loan size],Table1[[#This Row],[Loan size]],Table1[dpd flag],1)/COUNTIF(Table1[Loan size],Table1[[#This Row],[Loan size]])</f>
        <v>0.13934426229508196</v>
      </c>
      <c r="AO171" s="19" t="str">
        <f>IF(OR(Table1[[#This Row],[credit_score]] &lt; 600, Table1[ [#This Row],[dti_ratio] ] &gt; 0.5, Table1[[#This Row],[dpd]] &gt;=30), "high risk", " not riskY")</f>
        <v xml:space="preserve"> not riskY</v>
      </c>
      <c r="AP171" s="29">
        <f>EOMONTH(Table1[[#This Row],[origination_date]],0)</f>
        <v>44742</v>
      </c>
      <c r="AQ171" s="19">
        <f>SUMIFS(Table1[loan_amount],Table1[origination month],Table1[[#This Row],[origination month]])</f>
        <v>11188400</v>
      </c>
      <c r="AR171" s="19">
        <f>AVERAGEIFS(Table1[months_on_book],Table1[product],Table1[[#This Row],[product]])</f>
        <v>21.092024539877301</v>
      </c>
      <c r="AS171" s="19" t="str">
        <f ca="1">IF(EDATE(Table1[[#This Row],[origination_date]],6) &gt;= TODAY(), "New Loan", "Old Loan")</f>
        <v>Old Loan</v>
      </c>
      <c r="AT171" s="19" t="str">
        <f>"Q"&amp;ROUNDUP(MONTH(Table1[[#This Row],[origination_date]])/3,0)&amp;YEAR(Table1[[#This Row],[origination_date]])</f>
        <v>Q22022</v>
      </c>
      <c r="AU171" s="19">
        <f>SUMIFS(Table1[loan_amount],Table1[quarter],Table1[[#This Row],[quarter]])</f>
        <v>45395100</v>
      </c>
    </row>
    <row r="172" spans="2:47" x14ac:dyDescent="0.2">
      <c r="B172" s="5" t="s">
        <v>455</v>
      </c>
      <c r="C172" s="2" t="s">
        <v>955</v>
      </c>
      <c r="D172" s="3">
        <v>44676</v>
      </c>
      <c r="E172" s="2" t="s">
        <v>1027</v>
      </c>
      <c r="F172" s="2" t="s">
        <v>1031</v>
      </c>
      <c r="G172" s="2" t="s">
        <v>1034</v>
      </c>
      <c r="H172" s="2" t="s">
        <v>1041</v>
      </c>
      <c r="I172" s="2">
        <v>36</v>
      </c>
      <c r="J172" s="2">
        <v>6201600</v>
      </c>
      <c r="K172" s="2">
        <v>10.039999999999999</v>
      </c>
      <c r="L172" s="2">
        <v>200225</v>
      </c>
      <c r="M172" s="2">
        <v>1120933</v>
      </c>
      <c r="N172" s="2">
        <v>685</v>
      </c>
      <c r="O172" s="2" t="s">
        <v>1042</v>
      </c>
      <c r="P172" s="2">
        <v>0.22</v>
      </c>
      <c r="Q172" s="2">
        <v>0.72</v>
      </c>
      <c r="R172" s="2">
        <v>8644400</v>
      </c>
      <c r="S172" s="2">
        <v>36</v>
      </c>
      <c r="T172" s="2">
        <v>6608675</v>
      </c>
      <c r="U172" s="2">
        <v>340094</v>
      </c>
      <c r="V172" s="2">
        <v>0</v>
      </c>
      <c r="W172" s="2">
        <v>1</v>
      </c>
      <c r="X172" s="2">
        <v>0</v>
      </c>
      <c r="Y172" s="2" t="s">
        <v>1047</v>
      </c>
      <c r="Z172" s="12">
        <f>SUMIF(Table1[product],Table1[[#This Row],[product]],Table1[loan_amount])</f>
        <v>403369500</v>
      </c>
      <c r="AA172" s="15">
        <f>SUMIF(Table1[region],Table1[[#This Row],[region]],Table1[current_balance])</f>
        <v>105779369</v>
      </c>
      <c r="AB172" s="2">
        <f>COUNTIF(Table1[loan_status],Table1[[#This Row],[loan_status]])</f>
        <v>139</v>
      </c>
      <c r="AC172" s="2">
        <f>COUNTIF(Table1[default_flag],1)/ROWS(Table1[loan_id])</f>
        <v>2.5999999999999999E-2</v>
      </c>
      <c r="AD172" s="2">
        <f>COUNTIFS(Table1[region],Table1[[#This Row],[region]],Table1[default_flag],1)/COUNTIF(Table1[region],Table1[[#This Row],[region]])</f>
        <v>2.6548672566371681E-2</v>
      </c>
      <c r="AE172" s="2">
        <f>COUNTIFS(Table1[channel],Table1[[#This Row],[channel]],Table1[prepayment_flag],1)/COUNTIF(Table1[channel],Table1[[#This Row],[channel]])</f>
        <v>0.12</v>
      </c>
      <c r="AF172" s="2">
        <f>AVERAGEIFS(Table1[interest_rate_pct],Table1[product],Table1[[#This Row],[product]],Table1[risk_band],Table1[[#This Row],[risk_band]])</f>
        <v>11.719736842105268</v>
      </c>
      <c r="AG172" s="2" t="str" cm="1">
        <f t="array" ref="AG172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172" s="2">
        <f>COUNTIF(Table1[DTI band],Table1[[#This Row],[DTI band]])</f>
        <v>122</v>
      </c>
      <c r="AI172" s="2" t="str" cm="1">
        <f t="array" ref="AI172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172" s="2">
        <f>COUNTIF(Table1[LTV band],Table1[[#This Row],[LTV band]])</f>
        <v>302</v>
      </c>
      <c r="AK172" s="19">
        <f>COUNTIFS(Table1[count_loan_perband],Table1[[#This Row],[count_loan_perband]],Table1[default_flag],1)/COUNTIF(Table1[count_loan_perband],Table1[[#This Row],[count_loan_perband]])</f>
        <v>3.6423841059602648E-2</v>
      </c>
      <c r="AL172" s="19" t="str" cm="1">
        <f t="array" ref="AL172">_xlfn.IFS(Table1[[#This Row],[loan_amount]] &lt; 900000, "lower size (&lt; 9L)", Table1[[#This Row],[loan_amount]] &lt;=3300000, "medium size (&lt;=33L)", Table1[[#This Row],[loan_amount]] &gt; 3300000, "larger size (&gt; 33L)")</f>
        <v>larger size (&gt; 33L)</v>
      </c>
      <c r="AM172" s="19">
        <f>IF(Table1[[#This Row],[dpd]] &gt;=30,1,0)</f>
        <v>0</v>
      </c>
      <c r="AN172" s="19">
        <f>COUNTIFS(Table1[Loan size],Table1[[#This Row],[Loan size]],Table1[dpd flag],1)/COUNTIF(Table1[Loan size],Table1[[#This Row],[Loan size]])</f>
        <v>0.16250000000000001</v>
      </c>
      <c r="AO172" s="19" t="str">
        <f>IF(OR(Table1[[#This Row],[credit_score]] &lt; 600, Table1[ [#This Row],[dti_ratio] ] &gt; 0.5, Table1[[#This Row],[dpd]] &gt;=30), "high risk", " not riskY")</f>
        <v xml:space="preserve"> not riskY</v>
      </c>
      <c r="AP172" s="29">
        <f>EOMONTH(Table1[[#This Row],[origination_date]],0)</f>
        <v>44681</v>
      </c>
      <c r="AQ172" s="19">
        <f>SUMIFS(Table1[loan_amount],Table1[origination month],Table1[[#This Row],[origination month]])</f>
        <v>23903900</v>
      </c>
      <c r="AR172" s="19">
        <f>AVERAGEIFS(Table1[months_on_book],Table1[product],Table1[[#This Row],[product]])</f>
        <v>20.516129032258064</v>
      </c>
      <c r="AS172" s="19" t="str">
        <f ca="1">IF(EDATE(Table1[[#This Row],[origination_date]],6) &gt;= TODAY(), "New Loan", "Old Loan")</f>
        <v>Old Loan</v>
      </c>
      <c r="AT172" s="19" t="str">
        <f>"Q"&amp;ROUNDUP(MONTH(Table1[[#This Row],[origination_date]])/3,0)&amp;YEAR(Table1[[#This Row],[origination_date]])</f>
        <v>Q22022</v>
      </c>
      <c r="AU172" s="19">
        <f>SUMIFS(Table1[loan_amount],Table1[quarter],Table1[[#This Row],[quarter]])</f>
        <v>45395100</v>
      </c>
    </row>
    <row r="173" spans="2:47" x14ac:dyDescent="0.2">
      <c r="B173" s="5" t="s">
        <v>212</v>
      </c>
      <c r="C173" s="2" t="s">
        <v>712</v>
      </c>
      <c r="D173" s="3">
        <v>44668</v>
      </c>
      <c r="E173" s="2" t="s">
        <v>1026</v>
      </c>
      <c r="F173" s="2" t="s">
        <v>1029</v>
      </c>
      <c r="G173" s="2" t="s">
        <v>1034</v>
      </c>
      <c r="H173" s="2" t="s">
        <v>1039</v>
      </c>
      <c r="I173" s="2">
        <v>18</v>
      </c>
      <c r="J173" s="2">
        <v>668600</v>
      </c>
      <c r="K173" s="2">
        <v>22.85</v>
      </c>
      <c r="L173" s="2">
        <v>44222</v>
      </c>
      <c r="M173" s="2">
        <v>837021</v>
      </c>
      <c r="N173" s="2">
        <v>595</v>
      </c>
      <c r="O173" s="2" t="s">
        <v>1046</v>
      </c>
      <c r="P173" s="2">
        <v>0.21</v>
      </c>
      <c r="Q173" s="2">
        <v>0.88</v>
      </c>
      <c r="R173" s="2">
        <v>0</v>
      </c>
      <c r="S173" s="2">
        <v>18</v>
      </c>
      <c r="T173" s="2">
        <v>691085</v>
      </c>
      <c r="U173" s="2">
        <v>69180</v>
      </c>
      <c r="V173" s="2">
        <v>15</v>
      </c>
      <c r="W173" s="2">
        <v>0</v>
      </c>
      <c r="X173" s="2">
        <v>0</v>
      </c>
      <c r="Y173" s="2" t="s">
        <v>1047</v>
      </c>
      <c r="Z173" s="12">
        <f>SUMIF(Table1[product],Table1[[#This Row],[product]],Table1[loan_amount])</f>
        <v>74897600</v>
      </c>
      <c r="AA173" s="15">
        <f>SUMIF(Table1[region],Table1[[#This Row],[region]],Table1[current_balance])</f>
        <v>105779369</v>
      </c>
      <c r="AB173" s="2">
        <f>COUNTIF(Table1[loan_status],Table1[[#This Row],[loan_status]])</f>
        <v>139</v>
      </c>
      <c r="AC173" s="2">
        <f>COUNTIF(Table1[default_flag],1)/ROWS(Table1[loan_id])</f>
        <v>2.5999999999999999E-2</v>
      </c>
      <c r="AD173" s="2">
        <f>COUNTIFS(Table1[region],Table1[[#This Row],[region]],Table1[default_flag],1)/COUNTIF(Table1[region],Table1[[#This Row],[region]])</f>
        <v>2.6548672566371681E-2</v>
      </c>
      <c r="AE173" s="2">
        <f>COUNTIFS(Table1[channel],Table1[[#This Row],[channel]],Table1[prepayment_flag],1)/COUNTIF(Table1[channel],Table1[[#This Row],[channel]])</f>
        <v>7.1090047393364927E-2</v>
      </c>
      <c r="AF173" s="2">
        <f>AVERAGEIFS(Table1[interest_rate_pct],Table1[product],Table1[[#This Row],[product]],Table1[risk_band],Table1[[#This Row],[risk_band]])</f>
        <v>23.803750000000001</v>
      </c>
      <c r="AG173" s="2" t="str" cm="1">
        <f t="array" ref="AG173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173" s="2">
        <f>COUNTIF(Table1[DTI band],Table1[[#This Row],[DTI band]])</f>
        <v>122</v>
      </c>
      <c r="AI173" s="2" t="str" cm="1">
        <f t="array" ref="AI173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173" s="2">
        <f>COUNTIF(Table1[LTV band],Table1[[#This Row],[LTV band]])</f>
        <v>141</v>
      </c>
      <c r="AK173" s="19">
        <f>COUNTIFS(Table1[count_loan_perband],Table1[[#This Row],[count_loan_perband]],Table1[default_flag],1)/COUNTIF(Table1[count_loan_perband],Table1[[#This Row],[count_loan_perband]])</f>
        <v>1.4184397163120567E-2</v>
      </c>
      <c r="AL173" s="19" t="str" cm="1">
        <f t="array" ref="AL173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173" s="19">
        <f>IF(Table1[[#This Row],[dpd]] &gt;=30,1,0)</f>
        <v>0</v>
      </c>
      <c r="AN173" s="19">
        <f>COUNTIFS(Table1[Loan size],Table1[[#This Row],[Loan size]],Table1[dpd flag],1)/COUNTIF(Table1[Loan size],Table1[[#This Row],[Loan size]])</f>
        <v>0.13934426229508196</v>
      </c>
      <c r="AO173" s="19" t="str">
        <f>IF(OR(Table1[[#This Row],[credit_score]] &lt; 600, Table1[ [#This Row],[dti_ratio] ] &gt; 0.5, Table1[[#This Row],[dpd]] &gt;=30), "high risk", " not riskY")</f>
        <v>high risk</v>
      </c>
      <c r="AP173" s="29">
        <f>EOMONTH(Table1[[#This Row],[origination_date]],0)</f>
        <v>44681</v>
      </c>
      <c r="AQ173" s="19">
        <f>SUMIFS(Table1[loan_amount],Table1[origination month],Table1[[#This Row],[origination month]])</f>
        <v>23903900</v>
      </c>
      <c r="AR173" s="19">
        <f>AVERAGEIFS(Table1[months_on_book],Table1[product],Table1[[#This Row],[product]])</f>
        <v>21.092024539877301</v>
      </c>
      <c r="AS173" s="19" t="str">
        <f ca="1">IF(EDATE(Table1[[#This Row],[origination_date]],6) &gt;= TODAY(), "New Loan", "Old Loan")</f>
        <v>Old Loan</v>
      </c>
      <c r="AT173" s="19" t="str">
        <f>"Q"&amp;ROUNDUP(MONTH(Table1[[#This Row],[origination_date]])/3,0)&amp;YEAR(Table1[[#This Row],[origination_date]])</f>
        <v>Q22022</v>
      </c>
      <c r="AU173" s="19">
        <f>SUMIFS(Table1[loan_amount],Table1[quarter],Table1[[#This Row],[quarter]])</f>
        <v>45395100</v>
      </c>
    </row>
    <row r="174" spans="2:47" x14ac:dyDescent="0.2">
      <c r="B174" s="5" t="s">
        <v>480</v>
      </c>
      <c r="C174" s="2" t="s">
        <v>980</v>
      </c>
      <c r="D174" s="3">
        <v>44709</v>
      </c>
      <c r="E174" s="2" t="s">
        <v>1028</v>
      </c>
      <c r="F174" s="2" t="s">
        <v>1029</v>
      </c>
      <c r="G174" s="2" t="s">
        <v>1037</v>
      </c>
      <c r="H174" s="2" t="s">
        <v>1038</v>
      </c>
      <c r="I174" s="2">
        <v>72</v>
      </c>
      <c r="J174" s="2">
        <v>1076500</v>
      </c>
      <c r="K174" s="2">
        <v>16.37</v>
      </c>
      <c r="L174" s="2">
        <v>23571</v>
      </c>
      <c r="M174" s="2">
        <v>667889</v>
      </c>
      <c r="N174" s="2">
        <v>622</v>
      </c>
      <c r="O174" s="2" t="s">
        <v>1045</v>
      </c>
      <c r="P174" s="2">
        <v>0.19</v>
      </c>
      <c r="Q174" s="2">
        <v>0.62</v>
      </c>
      <c r="R174" s="2">
        <v>0</v>
      </c>
      <c r="S174" s="2">
        <v>43</v>
      </c>
      <c r="T174" s="2">
        <v>1031940</v>
      </c>
      <c r="U174" s="2">
        <v>297146</v>
      </c>
      <c r="V174" s="2">
        <v>0</v>
      </c>
      <c r="W174" s="2">
        <v>0</v>
      </c>
      <c r="X174" s="2">
        <v>0</v>
      </c>
      <c r="Y174" s="2" t="s">
        <v>1049</v>
      </c>
      <c r="Z174" s="12">
        <f>SUMIF(Table1[product],Table1[[#This Row],[product]],Table1[loan_amount])</f>
        <v>62765800</v>
      </c>
      <c r="AA174" s="15">
        <f>SUMIF(Table1[region],Table1[[#This Row],[region]],Table1[current_balance])</f>
        <v>94548000</v>
      </c>
      <c r="AB174" s="2">
        <f>COUNTIF(Table1[loan_status],Table1[[#This Row],[loan_status]])</f>
        <v>301</v>
      </c>
      <c r="AC174" s="2">
        <f>COUNTIF(Table1[default_flag],1)/ROWS(Table1[loan_id])</f>
        <v>2.5999999999999999E-2</v>
      </c>
      <c r="AD174" s="2">
        <f>COUNTIFS(Table1[region],Table1[[#This Row],[region]],Table1[default_flag],1)/COUNTIF(Table1[region],Table1[[#This Row],[region]])</f>
        <v>0</v>
      </c>
      <c r="AE174" s="2">
        <f>COUNTIFS(Table1[channel],Table1[[#This Row],[channel]],Table1[prepayment_flag],1)/COUNTIF(Table1[channel],Table1[[#This Row],[channel]])</f>
        <v>7.1090047393364927E-2</v>
      </c>
      <c r="AF174" s="2">
        <f>AVERAGEIFS(Table1[interest_rate_pct],Table1[product],Table1[[#This Row],[product]],Table1[risk_band],Table1[[#This Row],[risk_band]])</f>
        <v>15.810000000000002</v>
      </c>
      <c r="AG174" s="2" t="str" cm="1">
        <f t="array" ref="AG174">_xlfn.IFS(Table1[[#This Row],[dti_ratio]] &lt; 0.2, " less than 0.2", Table1[[#This Row],[dti_ratio]] &lt; 0.3, "0.2 - 0.3", Table1[[#This Row],[dti_ratio]] &lt;= 0.5, "0.35 - 0.5", Table1[[#This Row],[dti_ratio]] &gt; 0.5, "greater than 0.5")</f>
        <v xml:space="preserve"> less than 0.2</v>
      </c>
      <c r="AH174" s="2">
        <f>COUNTIF(Table1[DTI band],Table1[[#This Row],[DTI band]])</f>
        <v>86</v>
      </c>
      <c r="AI174" s="2" t="str" cm="1">
        <f t="array" ref="AI174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174" s="2">
        <f>COUNTIF(Table1[LTV band],Table1[[#This Row],[LTV band]])</f>
        <v>302</v>
      </c>
      <c r="AK174" s="19">
        <f>COUNTIFS(Table1[count_loan_perband],Table1[[#This Row],[count_loan_perband]],Table1[default_flag],1)/COUNTIF(Table1[count_loan_perband],Table1[[#This Row],[count_loan_perband]])</f>
        <v>3.6423841059602648E-2</v>
      </c>
      <c r="AL174" s="19" t="str" cm="1">
        <f t="array" ref="AL174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174" s="19">
        <f>IF(Table1[[#This Row],[dpd]] &gt;=30,1,0)</f>
        <v>0</v>
      </c>
      <c r="AN174" s="19">
        <f>COUNTIFS(Table1[Loan size],Table1[[#This Row],[Loan size]],Table1[dpd flag],1)/COUNTIF(Table1[Loan size],Table1[[#This Row],[Loan size]])</f>
        <v>0.15909090909090909</v>
      </c>
      <c r="AO174" s="19" t="str">
        <f>IF(OR(Table1[[#This Row],[credit_score]] &lt; 600, Table1[ [#This Row],[dti_ratio] ] &gt; 0.5, Table1[[#This Row],[dpd]] &gt;=30), "high risk", " not riskY")</f>
        <v xml:space="preserve"> not riskY</v>
      </c>
      <c r="AP174" s="29">
        <f>EOMONTH(Table1[[#This Row],[origination_date]],0)</f>
        <v>44712</v>
      </c>
      <c r="AQ174" s="19">
        <f>SUMIFS(Table1[loan_amount],Table1[origination month],Table1[[#This Row],[origination month]])</f>
        <v>10302800</v>
      </c>
      <c r="AR174" s="19">
        <f>AVERAGEIFS(Table1[months_on_book],Table1[product],Table1[[#This Row],[product]])</f>
        <v>21.962962962962962</v>
      </c>
      <c r="AS174" s="19" t="str">
        <f ca="1">IF(EDATE(Table1[[#This Row],[origination_date]],6) &gt;= TODAY(), "New Loan", "Old Loan")</f>
        <v>Old Loan</v>
      </c>
      <c r="AT174" s="19" t="str">
        <f>"Q"&amp;ROUNDUP(MONTH(Table1[[#This Row],[origination_date]])/3,0)&amp;YEAR(Table1[[#This Row],[origination_date]])</f>
        <v>Q22022</v>
      </c>
      <c r="AU174" s="19">
        <f>SUMIFS(Table1[loan_amount],Table1[quarter],Table1[[#This Row],[quarter]])</f>
        <v>45395100</v>
      </c>
    </row>
    <row r="175" spans="2:47" x14ac:dyDescent="0.2">
      <c r="B175" s="5" t="s">
        <v>427</v>
      </c>
      <c r="C175" s="2" t="s">
        <v>927</v>
      </c>
      <c r="D175" s="3">
        <v>44683</v>
      </c>
      <c r="E175" s="2" t="s">
        <v>1024</v>
      </c>
      <c r="F175" s="2" t="s">
        <v>1029</v>
      </c>
      <c r="G175" s="2" t="s">
        <v>1035</v>
      </c>
      <c r="H175" s="2" t="s">
        <v>1038</v>
      </c>
      <c r="I175" s="2">
        <v>24</v>
      </c>
      <c r="J175" s="2">
        <v>713500</v>
      </c>
      <c r="K175" s="2">
        <v>13.93</v>
      </c>
      <c r="L175" s="2">
        <v>34234</v>
      </c>
      <c r="M175" s="2">
        <v>598306</v>
      </c>
      <c r="N175" s="2">
        <v>663</v>
      </c>
      <c r="O175" s="2" t="s">
        <v>1042</v>
      </c>
      <c r="P175" s="2">
        <v>0.17</v>
      </c>
      <c r="Q175" s="2">
        <v>0.78</v>
      </c>
      <c r="R175" s="2">
        <v>913100</v>
      </c>
      <c r="S175" s="2">
        <v>24</v>
      </c>
      <c r="T175" s="2">
        <v>748616</v>
      </c>
      <c r="U175" s="2">
        <v>44396</v>
      </c>
      <c r="V175" s="2">
        <v>0</v>
      </c>
      <c r="W175" s="2">
        <v>0</v>
      </c>
      <c r="X175" s="2">
        <v>0</v>
      </c>
      <c r="Y175" s="2" t="s">
        <v>1047</v>
      </c>
      <c r="Z175" s="12">
        <f>SUMIF(Table1[product],Table1[[#This Row],[product]],Table1[loan_amount])</f>
        <v>92273000</v>
      </c>
      <c r="AA175" s="15">
        <f>SUMIF(Table1[region],Table1[[#This Row],[region]],Table1[current_balance])</f>
        <v>83903255</v>
      </c>
      <c r="AB175" s="2">
        <f>COUNTIF(Table1[loan_status],Table1[[#This Row],[loan_status]])</f>
        <v>139</v>
      </c>
      <c r="AC175" s="2">
        <f>COUNTIF(Table1[default_flag],1)/ROWS(Table1[loan_id])</f>
        <v>2.5999999999999999E-2</v>
      </c>
      <c r="AD175" s="2">
        <f>COUNTIFS(Table1[region],Table1[[#This Row],[region]],Table1[default_flag],1)/COUNTIF(Table1[region],Table1[[#This Row],[region]])</f>
        <v>4.2553191489361701E-2</v>
      </c>
      <c r="AE175" s="2">
        <f>COUNTIFS(Table1[channel],Table1[[#This Row],[channel]],Table1[prepayment_flag],1)/COUNTIF(Table1[channel],Table1[[#This Row],[channel]])</f>
        <v>7.1090047393364927E-2</v>
      </c>
      <c r="AF175" s="2">
        <f>AVERAGEIFS(Table1[interest_rate_pct],Table1[product],Table1[[#This Row],[product]],Table1[risk_band],Table1[[#This Row],[risk_band]])</f>
        <v>13.246500000000001</v>
      </c>
      <c r="AG175" s="2" t="str" cm="1">
        <f t="array" ref="AG175">_xlfn.IFS(Table1[[#This Row],[dti_ratio]] &lt; 0.2, " less than 0.2", Table1[[#This Row],[dti_ratio]] &lt; 0.3, "0.2 - 0.3", Table1[[#This Row],[dti_ratio]] &lt;= 0.5, "0.35 - 0.5", Table1[[#This Row],[dti_ratio]] &gt; 0.5, "greater than 0.5")</f>
        <v xml:space="preserve"> less than 0.2</v>
      </c>
      <c r="AH175" s="2">
        <f>COUNTIF(Table1[DTI band],Table1[[#This Row],[DTI band]])</f>
        <v>86</v>
      </c>
      <c r="AI175" s="2" t="str" cm="1">
        <f t="array" ref="AI175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175" s="2">
        <f>COUNTIF(Table1[LTV band],Table1[[#This Row],[LTV band]])</f>
        <v>302</v>
      </c>
      <c r="AK175" s="19">
        <f>COUNTIFS(Table1[count_loan_perband],Table1[[#This Row],[count_loan_perband]],Table1[default_flag],1)/COUNTIF(Table1[count_loan_perband],Table1[[#This Row],[count_loan_perband]])</f>
        <v>3.6423841059602648E-2</v>
      </c>
      <c r="AL175" s="19" t="str" cm="1">
        <f t="array" ref="AL175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175" s="19">
        <f>IF(Table1[[#This Row],[dpd]] &gt;=30,1,0)</f>
        <v>0</v>
      </c>
      <c r="AN175" s="19">
        <f>COUNTIFS(Table1[Loan size],Table1[[#This Row],[Loan size]],Table1[dpd flag],1)/COUNTIF(Table1[Loan size],Table1[[#This Row],[Loan size]])</f>
        <v>0.13934426229508196</v>
      </c>
      <c r="AO175" s="19" t="str">
        <f>IF(OR(Table1[[#This Row],[credit_score]] &lt; 600, Table1[ [#This Row],[dti_ratio] ] &gt; 0.5, Table1[[#This Row],[dpd]] &gt;=30), "high risk", " not riskY")</f>
        <v xml:space="preserve"> not riskY</v>
      </c>
      <c r="AP175" s="29">
        <f>EOMONTH(Table1[[#This Row],[origination_date]],0)</f>
        <v>44712</v>
      </c>
      <c r="AQ175" s="19">
        <f>SUMIFS(Table1[loan_amount],Table1[origination month],Table1[[#This Row],[origination month]])</f>
        <v>10302800</v>
      </c>
      <c r="AR175" s="19">
        <f>AVERAGEIFS(Table1[months_on_book],Table1[product],Table1[[#This Row],[product]])</f>
        <v>20.262135922330096</v>
      </c>
      <c r="AS175" s="19" t="str">
        <f ca="1">IF(EDATE(Table1[[#This Row],[origination_date]],6) &gt;= TODAY(), "New Loan", "Old Loan")</f>
        <v>Old Loan</v>
      </c>
      <c r="AT175" s="19" t="str">
        <f>"Q"&amp;ROUNDUP(MONTH(Table1[[#This Row],[origination_date]])/3,0)&amp;YEAR(Table1[[#This Row],[origination_date]])</f>
        <v>Q22022</v>
      </c>
      <c r="AU175" s="19">
        <f>SUMIFS(Table1[loan_amount],Table1[quarter],Table1[[#This Row],[quarter]])</f>
        <v>45395100</v>
      </c>
    </row>
    <row r="176" spans="2:47" x14ac:dyDescent="0.2">
      <c r="B176" s="5" t="s">
        <v>86</v>
      </c>
      <c r="C176" s="2" t="s">
        <v>586</v>
      </c>
      <c r="D176" s="3">
        <v>44683</v>
      </c>
      <c r="E176" s="2" t="s">
        <v>1026</v>
      </c>
      <c r="F176" s="2" t="s">
        <v>1029</v>
      </c>
      <c r="G176" s="2" t="s">
        <v>1033</v>
      </c>
      <c r="H176" s="2" t="s">
        <v>1038</v>
      </c>
      <c r="I176" s="2">
        <v>36</v>
      </c>
      <c r="J176" s="2">
        <v>972100</v>
      </c>
      <c r="K176" s="2">
        <v>19.52</v>
      </c>
      <c r="L176" s="2">
        <v>35889</v>
      </c>
      <c r="M176" s="2">
        <v>1101848</v>
      </c>
      <c r="N176" s="2">
        <v>669</v>
      </c>
      <c r="O176" s="2" t="s">
        <v>1042</v>
      </c>
      <c r="P176" s="2">
        <v>0.16</v>
      </c>
      <c r="Q176" s="2">
        <v>0.6</v>
      </c>
      <c r="R176" s="2">
        <v>0</v>
      </c>
      <c r="S176" s="2">
        <v>36</v>
      </c>
      <c r="T176" s="2">
        <v>1154509</v>
      </c>
      <c r="U176" s="2">
        <v>45296</v>
      </c>
      <c r="V176" s="2">
        <v>30</v>
      </c>
      <c r="W176" s="2">
        <v>0</v>
      </c>
      <c r="X176" s="2">
        <v>0</v>
      </c>
      <c r="Y176" s="2" t="s">
        <v>1047</v>
      </c>
      <c r="Z176" s="12">
        <f>SUMIF(Table1[product],Table1[[#This Row],[product]],Table1[loan_amount])</f>
        <v>74897600</v>
      </c>
      <c r="AA176" s="15">
        <f>SUMIF(Table1[region],Table1[[#This Row],[region]],Table1[current_balance])</f>
        <v>83297251</v>
      </c>
      <c r="AB176" s="2">
        <f>COUNTIF(Table1[loan_status],Table1[[#This Row],[loan_status]])</f>
        <v>139</v>
      </c>
      <c r="AC176" s="2">
        <f>COUNTIF(Table1[default_flag],1)/ROWS(Table1[loan_id])</f>
        <v>2.5999999999999999E-2</v>
      </c>
      <c r="AD176" s="2">
        <f>COUNTIFS(Table1[region],Table1[[#This Row],[region]],Table1[default_flag],1)/COUNTIF(Table1[region],Table1[[#This Row],[region]])</f>
        <v>3.1914893617021274E-2</v>
      </c>
      <c r="AE176" s="2">
        <f>COUNTIFS(Table1[channel],Table1[[#This Row],[channel]],Table1[prepayment_flag],1)/COUNTIF(Table1[channel],Table1[[#This Row],[channel]])</f>
        <v>7.1090047393364927E-2</v>
      </c>
      <c r="AF176" s="2">
        <f>AVERAGEIFS(Table1[interest_rate_pct],Table1[product],Table1[[#This Row],[product]],Table1[risk_band],Table1[[#This Row],[risk_band]])</f>
        <v>18.603181818181817</v>
      </c>
      <c r="AG176" s="2" t="str" cm="1">
        <f t="array" ref="AG176">_xlfn.IFS(Table1[[#This Row],[dti_ratio]] &lt; 0.2, " less than 0.2", Table1[[#This Row],[dti_ratio]] &lt; 0.3, "0.2 - 0.3", Table1[[#This Row],[dti_ratio]] &lt;= 0.5, "0.35 - 0.5", Table1[[#This Row],[dti_ratio]] &gt; 0.5, "greater than 0.5")</f>
        <v xml:space="preserve"> less than 0.2</v>
      </c>
      <c r="AH176" s="2">
        <f>COUNTIF(Table1[DTI band],Table1[[#This Row],[DTI band]])</f>
        <v>86</v>
      </c>
      <c r="AI176" s="2" t="str" cm="1">
        <f t="array" ref="AI176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176" s="2">
        <f>COUNTIF(Table1[LTV band],Table1[[#This Row],[LTV band]])</f>
        <v>302</v>
      </c>
      <c r="AK176" s="19">
        <f>COUNTIFS(Table1[count_loan_perband],Table1[[#This Row],[count_loan_perband]],Table1[default_flag],1)/COUNTIF(Table1[count_loan_perband],Table1[[#This Row],[count_loan_perband]])</f>
        <v>3.6423841059602648E-2</v>
      </c>
      <c r="AL176" s="19" t="str" cm="1">
        <f t="array" ref="AL176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176" s="19">
        <f>IF(Table1[[#This Row],[dpd]] &gt;=30,1,0)</f>
        <v>1</v>
      </c>
      <c r="AN176" s="19">
        <f>COUNTIFS(Table1[Loan size],Table1[[#This Row],[Loan size]],Table1[dpd flag],1)/COUNTIF(Table1[Loan size],Table1[[#This Row],[Loan size]])</f>
        <v>0.15909090909090909</v>
      </c>
      <c r="AO176" s="19" t="str">
        <f>IF(OR(Table1[[#This Row],[credit_score]] &lt; 600, Table1[ [#This Row],[dti_ratio] ] &gt; 0.5, Table1[[#This Row],[dpd]] &gt;=30), "high risk", " not riskY")</f>
        <v>high risk</v>
      </c>
      <c r="AP176" s="29">
        <f>EOMONTH(Table1[[#This Row],[origination_date]],0)</f>
        <v>44712</v>
      </c>
      <c r="AQ176" s="19">
        <f>SUMIFS(Table1[loan_amount],Table1[origination month],Table1[[#This Row],[origination month]])</f>
        <v>10302800</v>
      </c>
      <c r="AR176" s="19">
        <f>AVERAGEIFS(Table1[months_on_book],Table1[product],Table1[[#This Row],[product]])</f>
        <v>21.092024539877301</v>
      </c>
      <c r="AS176" s="19" t="str">
        <f ca="1">IF(EDATE(Table1[[#This Row],[origination_date]],6) &gt;= TODAY(), "New Loan", "Old Loan")</f>
        <v>Old Loan</v>
      </c>
      <c r="AT176" s="19" t="str">
        <f>"Q"&amp;ROUNDUP(MONTH(Table1[[#This Row],[origination_date]])/3,0)&amp;YEAR(Table1[[#This Row],[origination_date]])</f>
        <v>Q22022</v>
      </c>
      <c r="AU176" s="19">
        <f>SUMIFS(Table1[loan_amount],Table1[quarter],Table1[[#This Row],[quarter]])</f>
        <v>45395100</v>
      </c>
    </row>
    <row r="177" spans="2:47" x14ac:dyDescent="0.2">
      <c r="B177" s="5" t="s">
        <v>123</v>
      </c>
      <c r="C177" s="2" t="s">
        <v>623</v>
      </c>
      <c r="D177" s="3">
        <v>44727</v>
      </c>
      <c r="E177" s="2" t="s">
        <v>1025</v>
      </c>
      <c r="F177" s="2" t="s">
        <v>1030</v>
      </c>
      <c r="G177" s="2" t="s">
        <v>1033</v>
      </c>
      <c r="H177" s="2" t="s">
        <v>1038</v>
      </c>
      <c r="I177" s="2">
        <v>12</v>
      </c>
      <c r="J177" s="2">
        <v>1669100</v>
      </c>
      <c r="K177" s="2">
        <v>17.72</v>
      </c>
      <c r="L177" s="2">
        <v>152801</v>
      </c>
      <c r="M177" s="2">
        <v>483892</v>
      </c>
      <c r="N177" s="2">
        <v>642</v>
      </c>
      <c r="O177" s="2" t="s">
        <v>1045</v>
      </c>
      <c r="P177" s="2">
        <v>0.15</v>
      </c>
      <c r="Q177" s="2">
        <v>0.68</v>
      </c>
      <c r="R177" s="2">
        <v>2451500</v>
      </c>
      <c r="S177" s="2">
        <v>12</v>
      </c>
      <c r="T177" s="2">
        <v>1776850</v>
      </c>
      <c r="U177" s="2">
        <v>10556</v>
      </c>
      <c r="V177" s="2">
        <v>0</v>
      </c>
      <c r="W177" s="2">
        <v>0</v>
      </c>
      <c r="X177" s="2">
        <v>0</v>
      </c>
      <c r="Y177" s="2" t="s">
        <v>1047</v>
      </c>
      <c r="Z177" s="12">
        <f>SUMIF(Table1[product],Table1[[#This Row],[product]],Table1[loan_amount])</f>
        <v>201475100</v>
      </c>
      <c r="AA177" s="15">
        <f>SUMIF(Table1[region],Table1[[#This Row],[region]],Table1[current_balance])</f>
        <v>83297251</v>
      </c>
      <c r="AB177" s="2">
        <f>COUNTIF(Table1[loan_status],Table1[[#This Row],[loan_status]])</f>
        <v>139</v>
      </c>
      <c r="AC177" s="2">
        <f>COUNTIF(Table1[default_flag],1)/ROWS(Table1[loan_id])</f>
        <v>2.5999999999999999E-2</v>
      </c>
      <c r="AD177" s="2">
        <f>COUNTIFS(Table1[region],Table1[[#This Row],[region]],Table1[default_flag],1)/COUNTIF(Table1[region],Table1[[#This Row],[region]])</f>
        <v>3.1914893617021274E-2</v>
      </c>
      <c r="AE177" s="2">
        <f>COUNTIFS(Table1[channel],Table1[[#This Row],[channel]],Table1[prepayment_flag],1)/COUNTIF(Table1[channel],Table1[[#This Row],[channel]])</f>
        <v>5.8201058201058198E-2</v>
      </c>
      <c r="AF177" s="2">
        <f>AVERAGEIFS(Table1[interest_rate_pct],Table1[product],Table1[[#This Row],[product]],Table1[risk_band],Table1[[#This Row],[risk_band]])</f>
        <v>18.241249999999997</v>
      </c>
      <c r="AG177" s="2" t="str" cm="1">
        <f t="array" ref="AG177">_xlfn.IFS(Table1[[#This Row],[dti_ratio]] &lt; 0.2, " less than 0.2", Table1[[#This Row],[dti_ratio]] &lt; 0.3, "0.2 - 0.3", Table1[[#This Row],[dti_ratio]] &lt;= 0.5, "0.35 - 0.5", Table1[[#This Row],[dti_ratio]] &gt; 0.5, "greater than 0.5")</f>
        <v xml:space="preserve"> less than 0.2</v>
      </c>
      <c r="AH177" s="2">
        <f>COUNTIF(Table1[DTI band],Table1[[#This Row],[DTI band]])</f>
        <v>86</v>
      </c>
      <c r="AI177" s="2" t="str" cm="1">
        <f t="array" ref="AI177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177" s="2">
        <f>COUNTIF(Table1[LTV band],Table1[[#This Row],[LTV band]])</f>
        <v>302</v>
      </c>
      <c r="AK177" s="19">
        <f>COUNTIFS(Table1[count_loan_perband],Table1[[#This Row],[count_loan_perband]],Table1[default_flag],1)/COUNTIF(Table1[count_loan_perband],Table1[[#This Row],[count_loan_perband]])</f>
        <v>3.6423841059602648E-2</v>
      </c>
      <c r="AL177" s="19" t="str" cm="1">
        <f t="array" ref="AL177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177" s="19">
        <f>IF(Table1[[#This Row],[dpd]] &gt;=30,1,0)</f>
        <v>0</v>
      </c>
      <c r="AN177" s="19">
        <f>COUNTIFS(Table1[Loan size],Table1[[#This Row],[Loan size]],Table1[dpd flag],1)/COUNTIF(Table1[Loan size],Table1[[#This Row],[Loan size]])</f>
        <v>0.15909090909090909</v>
      </c>
      <c r="AO177" s="19" t="str">
        <f>IF(OR(Table1[[#This Row],[credit_score]] &lt; 600, Table1[ [#This Row],[dti_ratio] ] &gt; 0.5, Table1[[#This Row],[dpd]] &gt;=30), "high risk", " not riskY")</f>
        <v xml:space="preserve"> not riskY</v>
      </c>
      <c r="AP177" s="29">
        <f>EOMONTH(Table1[[#This Row],[origination_date]],0)</f>
        <v>44742</v>
      </c>
      <c r="AQ177" s="19">
        <f>SUMIFS(Table1[loan_amount],Table1[origination month],Table1[[#This Row],[origination month]])</f>
        <v>11188400</v>
      </c>
      <c r="AR177" s="19">
        <f>AVERAGEIFS(Table1[months_on_book],Table1[product],Table1[[#This Row],[product]])</f>
        <v>19.091954022988507</v>
      </c>
      <c r="AS177" s="19" t="str">
        <f ca="1">IF(EDATE(Table1[[#This Row],[origination_date]],6) &gt;= TODAY(), "New Loan", "Old Loan")</f>
        <v>Old Loan</v>
      </c>
      <c r="AT177" s="19" t="str">
        <f>"Q"&amp;ROUNDUP(MONTH(Table1[[#This Row],[origination_date]])/3,0)&amp;YEAR(Table1[[#This Row],[origination_date]])</f>
        <v>Q22022</v>
      </c>
      <c r="AU177" s="19">
        <f>SUMIFS(Table1[loan_amount],Table1[quarter],Table1[[#This Row],[quarter]])</f>
        <v>45395100</v>
      </c>
    </row>
    <row r="178" spans="2:47" x14ac:dyDescent="0.2">
      <c r="B178" s="5" t="s">
        <v>166</v>
      </c>
      <c r="C178" s="2" t="s">
        <v>666</v>
      </c>
      <c r="D178" s="3">
        <v>44722</v>
      </c>
      <c r="E178" s="2" t="s">
        <v>1026</v>
      </c>
      <c r="F178" s="2" t="s">
        <v>1029</v>
      </c>
      <c r="G178" s="2" t="s">
        <v>1033</v>
      </c>
      <c r="H178" s="2" t="s">
        <v>1038</v>
      </c>
      <c r="I178" s="2">
        <v>60</v>
      </c>
      <c r="J178" s="2">
        <v>414000</v>
      </c>
      <c r="K178" s="2">
        <v>16.07</v>
      </c>
      <c r="L178" s="2">
        <v>10083</v>
      </c>
      <c r="M178" s="2">
        <v>996887</v>
      </c>
      <c r="N178" s="2">
        <v>724</v>
      </c>
      <c r="O178" s="2" t="s">
        <v>1044</v>
      </c>
      <c r="P178" s="2">
        <v>0.15</v>
      </c>
      <c r="Q178" s="2">
        <v>0.56000000000000005</v>
      </c>
      <c r="R178" s="2">
        <v>0</v>
      </c>
      <c r="S178" s="2">
        <v>42</v>
      </c>
      <c r="T178" s="2">
        <v>412356</v>
      </c>
      <c r="U178" s="2">
        <v>94786</v>
      </c>
      <c r="V178" s="2">
        <v>0</v>
      </c>
      <c r="W178" s="2">
        <v>0</v>
      </c>
      <c r="X178" s="2">
        <v>0</v>
      </c>
      <c r="Y178" s="2" t="s">
        <v>1049</v>
      </c>
      <c r="Z178" s="12">
        <f>SUMIF(Table1[product],Table1[[#This Row],[product]],Table1[loan_amount])</f>
        <v>74897600</v>
      </c>
      <c r="AA178" s="15">
        <f>SUMIF(Table1[region],Table1[[#This Row],[region]],Table1[current_balance])</f>
        <v>83297251</v>
      </c>
      <c r="AB178" s="2">
        <f>COUNTIF(Table1[loan_status],Table1[[#This Row],[loan_status]])</f>
        <v>301</v>
      </c>
      <c r="AC178" s="2">
        <f>COUNTIF(Table1[default_flag],1)/ROWS(Table1[loan_id])</f>
        <v>2.5999999999999999E-2</v>
      </c>
      <c r="AD178" s="2">
        <f>COUNTIFS(Table1[region],Table1[[#This Row],[region]],Table1[default_flag],1)/COUNTIF(Table1[region],Table1[[#This Row],[region]])</f>
        <v>3.1914893617021274E-2</v>
      </c>
      <c r="AE178" s="2">
        <f>COUNTIFS(Table1[channel],Table1[[#This Row],[channel]],Table1[prepayment_flag],1)/COUNTIF(Table1[channel],Table1[[#This Row],[channel]])</f>
        <v>7.1090047393364927E-2</v>
      </c>
      <c r="AF178" s="2">
        <f>AVERAGEIFS(Table1[interest_rate_pct],Table1[product],Table1[[#This Row],[product]],Table1[risk_band],Table1[[#This Row],[risk_band]])</f>
        <v>16.500166666666669</v>
      </c>
      <c r="AG178" s="2" t="str" cm="1">
        <f t="array" ref="AG178">_xlfn.IFS(Table1[[#This Row],[dti_ratio]] &lt; 0.2, " less than 0.2", Table1[[#This Row],[dti_ratio]] &lt; 0.3, "0.2 - 0.3", Table1[[#This Row],[dti_ratio]] &lt;= 0.5, "0.35 - 0.5", Table1[[#This Row],[dti_ratio]] &gt; 0.5, "greater than 0.5")</f>
        <v xml:space="preserve"> less than 0.2</v>
      </c>
      <c r="AH178" s="2">
        <f>COUNTIF(Table1[DTI band],Table1[[#This Row],[DTI band]])</f>
        <v>86</v>
      </c>
      <c r="AI178" s="2" t="str" cm="1">
        <f t="array" ref="AI178">_xlfn.IFS(Table1[[#This Row],[ltv_ratio]] &lt; 0.6, "less than 0.6 -less risky", Table1[[#This Row],[ltv_ratio]]  &lt;= 0.8, "0.6 - 0.8 -medium risky",Table1[[#This Row],[ltv_ratio]] &gt; 0.8, "greater than 0.8 -highly risky")</f>
        <v>less than 0.6 -less risky</v>
      </c>
      <c r="AJ178" s="2">
        <f>COUNTIF(Table1[LTV band],Table1[[#This Row],[LTV band]])</f>
        <v>57</v>
      </c>
      <c r="AK178" s="19">
        <f>COUNTIFS(Table1[count_loan_perband],Table1[[#This Row],[count_loan_perband]],Table1[default_flag],1)/COUNTIF(Table1[count_loan_perband],Table1[[#This Row],[count_loan_perband]])</f>
        <v>0</v>
      </c>
      <c r="AL178" s="19" t="str" cm="1">
        <f t="array" ref="AL178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178" s="19">
        <f>IF(Table1[[#This Row],[dpd]] &gt;=30,1,0)</f>
        <v>0</v>
      </c>
      <c r="AN178" s="19">
        <f>COUNTIFS(Table1[Loan size],Table1[[#This Row],[Loan size]],Table1[dpd flag],1)/COUNTIF(Table1[Loan size],Table1[[#This Row],[Loan size]])</f>
        <v>0.13934426229508196</v>
      </c>
      <c r="AO178" s="19" t="str">
        <f>IF(OR(Table1[[#This Row],[credit_score]] &lt; 600, Table1[ [#This Row],[dti_ratio] ] &gt; 0.5, Table1[[#This Row],[dpd]] &gt;=30), "high risk", " not riskY")</f>
        <v xml:space="preserve"> not riskY</v>
      </c>
      <c r="AP178" s="29">
        <f>EOMONTH(Table1[[#This Row],[origination_date]],0)</f>
        <v>44742</v>
      </c>
      <c r="AQ178" s="19">
        <f>SUMIFS(Table1[loan_amount],Table1[origination month],Table1[[#This Row],[origination month]])</f>
        <v>11188400</v>
      </c>
      <c r="AR178" s="19">
        <f>AVERAGEIFS(Table1[months_on_book],Table1[product],Table1[[#This Row],[product]])</f>
        <v>21.092024539877301</v>
      </c>
      <c r="AS178" s="19" t="str">
        <f ca="1">IF(EDATE(Table1[[#This Row],[origination_date]],6) &gt;= TODAY(), "New Loan", "Old Loan")</f>
        <v>Old Loan</v>
      </c>
      <c r="AT178" s="19" t="str">
        <f>"Q"&amp;ROUNDUP(MONTH(Table1[[#This Row],[origination_date]])/3,0)&amp;YEAR(Table1[[#This Row],[origination_date]])</f>
        <v>Q22022</v>
      </c>
      <c r="AU178" s="19">
        <f>SUMIFS(Table1[loan_amount],Table1[quarter],Table1[[#This Row],[quarter]])</f>
        <v>45395100</v>
      </c>
    </row>
    <row r="179" spans="2:47" x14ac:dyDescent="0.2">
      <c r="B179" s="5" t="s">
        <v>49</v>
      </c>
      <c r="C179" s="2" t="s">
        <v>549</v>
      </c>
      <c r="D179" s="3">
        <v>44721</v>
      </c>
      <c r="E179" s="2" t="s">
        <v>1025</v>
      </c>
      <c r="F179" s="2" t="s">
        <v>1029</v>
      </c>
      <c r="G179" s="2" t="s">
        <v>1034</v>
      </c>
      <c r="H179" s="2" t="s">
        <v>1038</v>
      </c>
      <c r="I179" s="2">
        <v>36</v>
      </c>
      <c r="J179" s="2">
        <v>3668300</v>
      </c>
      <c r="K179" s="2">
        <v>15.32</v>
      </c>
      <c r="L179" s="2">
        <v>127738</v>
      </c>
      <c r="M179" s="2">
        <v>1090357</v>
      </c>
      <c r="N179" s="2">
        <v>687</v>
      </c>
      <c r="O179" s="2" t="s">
        <v>1042</v>
      </c>
      <c r="P179" s="2">
        <v>0.14000000000000001</v>
      </c>
      <c r="Q179" s="2">
        <v>0.52</v>
      </c>
      <c r="R179" s="2">
        <v>7063800</v>
      </c>
      <c r="S179" s="2">
        <v>36</v>
      </c>
      <c r="T179" s="2">
        <v>4580287</v>
      </c>
      <c r="U179" s="2">
        <v>0</v>
      </c>
      <c r="V179" s="2">
        <v>5</v>
      </c>
      <c r="W179" s="2">
        <v>0</v>
      </c>
      <c r="X179" s="2">
        <v>0</v>
      </c>
      <c r="Y179" s="2" t="s">
        <v>1047</v>
      </c>
      <c r="Z179" s="12">
        <f>SUMIF(Table1[product],Table1[[#This Row],[product]],Table1[loan_amount])</f>
        <v>201475100</v>
      </c>
      <c r="AA179" s="15">
        <f>SUMIF(Table1[region],Table1[[#This Row],[region]],Table1[current_balance])</f>
        <v>105779369</v>
      </c>
      <c r="AB179" s="2">
        <f>COUNTIF(Table1[loan_status],Table1[[#This Row],[loan_status]])</f>
        <v>139</v>
      </c>
      <c r="AC179" s="2">
        <f>COUNTIF(Table1[default_flag],1)/ROWS(Table1[loan_id])</f>
        <v>2.5999999999999999E-2</v>
      </c>
      <c r="AD179" s="2">
        <f>COUNTIFS(Table1[region],Table1[[#This Row],[region]],Table1[default_flag],1)/COUNTIF(Table1[region],Table1[[#This Row],[region]])</f>
        <v>2.6548672566371681E-2</v>
      </c>
      <c r="AE179" s="2">
        <f>COUNTIFS(Table1[channel],Table1[[#This Row],[channel]],Table1[prepayment_flag],1)/COUNTIF(Table1[channel],Table1[[#This Row],[channel]])</f>
        <v>7.1090047393364927E-2</v>
      </c>
      <c r="AF179" s="2">
        <f>AVERAGEIFS(Table1[interest_rate_pct],Table1[product],Table1[[#This Row],[product]],Table1[risk_band],Table1[[#This Row],[risk_band]])</f>
        <v>15.841379310344831</v>
      </c>
      <c r="AG179" s="2" t="str" cm="1">
        <f t="array" ref="AG179">_xlfn.IFS(Table1[[#This Row],[dti_ratio]] &lt; 0.2, " less than 0.2", Table1[[#This Row],[dti_ratio]] &lt; 0.3, "0.2 - 0.3", Table1[[#This Row],[dti_ratio]] &lt;= 0.5, "0.35 - 0.5", Table1[[#This Row],[dti_ratio]] &gt; 0.5, "greater than 0.5")</f>
        <v xml:space="preserve"> less than 0.2</v>
      </c>
      <c r="AH179" s="2">
        <f>COUNTIF(Table1[DTI band],Table1[[#This Row],[DTI band]])</f>
        <v>86</v>
      </c>
      <c r="AI179" s="2" t="str" cm="1">
        <f t="array" ref="AI179">_xlfn.IFS(Table1[[#This Row],[ltv_ratio]] &lt; 0.6, "less than 0.6 -less risky", Table1[[#This Row],[ltv_ratio]]  &lt;= 0.8, "0.6 - 0.8 -medium risky",Table1[[#This Row],[ltv_ratio]] &gt; 0.8, "greater than 0.8 -highly risky")</f>
        <v>less than 0.6 -less risky</v>
      </c>
      <c r="AJ179" s="2">
        <f>COUNTIF(Table1[LTV band],Table1[[#This Row],[LTV band]])</f>
        <v>57</v>
      </c>
      <c r="AK179" s="19">
        <f>COUNTIFS(Table1[count_loan_perband],Table1[[#This Row],[count_loan_perband]],Table1[default_flag],1)/COUNTIF(Table1[count_loan_perband],Table1[[#This Row],[count_loan_perband]])</f>
        <v>0</v>
      </c>
      <c r="AL179" s="19" t="str" cm="1">
        <f t="array" ref="AL179">_xlfn.IFS(Table1[[#This Row],[loan_amount]] &lt; 900000, "lower size (&lt; 9L)", Table1[[#This Row],[loan_amount]] &lt;=3300000, "medium size (&lt;=33L)", Table1[[#This Row],[loan_amount]] &gt; 3300000, "larger size (&gt; 33L)")</f>
        <v>larger size (&gt; 33L)</v>
      </c>
      <c r="AM179" s="19">
        <f>IF(Table1[[#This Row],[dpd]] &gt;=30,1,0)</f>
        <v>0</v>
      </c>
      <c r="AN179" s="19">
        <f>COUNTIFS(Table1[Loan size],Table1[[#This Row],[Loan size]],Table1[dpd flag],1)/COUNTIF(Table1[Loan size],Table1[[#This Row],[Loan size]])</f>
        <v>0.16250000000000001</v>
      </c>
      <c r="AO179" s="19" t="str">
        <f>IF(OR(Table1[[#This Row],[credit_score]] &lt; 600, Table1[ [#This Row],[dti_ratio] ] &gt; 0.5, Table1[[#This Row],[dpd]] &gt;=30), "high risk", " not riskY")</f>
        <v xml:space="preserve"> not riskY</v>
      </c>
      <c r="AP179" s="29">
        <f>EOMONTH(Table1[[#This Row],[origination_date]],0)</f>
        <v>44742</v>
      </c>
      <c r="AQ179" s="19">
        <f>SUMIFS(Table1[loan_amount],Table1[origination month],Table1[[#This Row],[origination month]])</f>
        <v>11188400</v>
      </c>
      <c r="AR179" s="19">
        <f>AVERAGEIFS(Table1[months_on_book],Table1[product],Table1[[#This Row],[product]])</f>
        <v>19.091954022988507</v>
      </c>
      <c r="AS179" s="19" t="str">
        <f ca="1">IF(EDATE(Table1[[#This Row],[origination_date]],6) &gt;= TODAY(), "New Loan", "Old Loan")</f>
        <v>Old Loan</v>
      </c>
      <c r="AT179" s="19" t="str">
        <f>"Q"&amp;ROUNDUP(MONTH(Table1[[#This Row],[origination_date]])/3,0)&amp;YEAR(Table1[[#This Row],[origination_date]])</f>
        <v>Q22022</v>
      </c>
      <c r="AU179" s="19">
        <f>SUMIFS(Table1[loan_amount],Table1[quarter],Table1[[#This Row],[quarter]])</f>
        <v>45395100</v>
      </c>
    </row>
    <row r="180" spans="2:47" x14ac:dyDescent="0.2">
      <c r="B180" s="5" t="s">
        <v>73</v>
      </c>
      <c r="C180" s="2" t="s">
        <v>573</v>
      </c>
      <c r="D180" s="3">
        <v>44673</v>
      </c>
      <c r="E180" s="2" t="s">
        <v>1026</v>
      </c>
      <c r="F180" s="2" t="s">
        <v>1029</v>
      </c>
      <c r="G180" s="2" t="s">
        <v>1034</v>
      </c>
      <c r="H180" s="2" t="s">
        <v>1038</v>
      </c>
      <c r="I180" s="2">
        <v>12</v>
      </c>
      <c r="J180" s="2">
        <v>565900</v>
      </c>
      <c r="K180" s="2">
        <v>14.8</v>
      </c>
      <c r="L180" s="2">
        <v>51024</v>
      </c>
      <c r="M180" s="2">
        <v>738641</v>
      </c>
      <c r="N180" s="2">
        <v>757</v>
      </c>
      <c r="O180" s="2" t="s">
        <v>1043</v>
      </c>
      <c r="P180" s="2">
        <v>0.13</v>
      </c>
      <c r="Q180" s="2">
        <v>0.54</v>
      </c>
      <c r="R180" s="2">
        <v>0</v>
      </c>
      <c r="S180" s="2">
        <v>12</v>
      </c>
      <c r="T180" s="2">
        <v>603029</v>
      </c>
      <c r="U180" s="2">
        <v>0</v>
      </c>
      <c r="V180" s="2">
        <v>30</v>
      </c>
      <c r="W180" s="2">
        <v>0</v>
      </c>
      <c r="X180" s="2">
        <v>0</v>
      </c>
      <c r="Y180" s="2" t="s">
        <v>1047</v>
      </c>
      <c r="Z180" s="12">
        <f>SUMIF(Table1[product],Table1[[#This Row],[product]],Table1[loan_amount])</f>
        <v>74897600</v>
      </c>
      <c r="AA180" s="15">
        <f>SUMIF(Table1[region],Table1[[#This Row],[region]],Table1[current_balance])</f>
        <v>105779369</v>
      </c>
      <c r="AB180" s="2">
        <f>COUNTIF(Table1[loan_status],Table1[[#This Row],[loan_status]])</f>
        <v>139</v>
      </c>
      <c r="AC180" s="2">
        <f>COUNTIF(Table1[default_flag],1)/ROWS(Table1[loan_id])</f>
        <v>2.5999999999999999E-2</v>
      </c>
      <c r="AD180" s="2">
        <f>COUNTIFS(Table1[region],Table1[[#This Row],[region]],Table1[default_flag],1)/COUNTIF(Table1[region],Table1[[#This Row],[region]])</f>
        <v>2.6548672566371681E-2</v>
      </c>
      <c r="AE180" s="2">
        <f>COUNTIFS(Table1[channel],Table1[[#This Row],[channel]],Table1[prepayment_flag],1)/COUNTIF(Table1[channel],Table1[[#This Row],[channel]])</f>
        <v>7.1090047393364927E-2</v>
      </c>
      <c r="AF180" s="2">
        <f>AVERAGEIFS(Table1[interest_rate_pct],Table1[product],Table1[[#This Row],[product]],Table1[risk_band],Table1[[#This Row],[risk_band]])</f>
        <v>13.328333333333335</v>
      </c>
      <c r="AG180" s="2" t="str" cm="1">
        <f t="array" ref="AG180">_xlfn.IFS(Table1[[#This Row],[dti_ratio]] &lt; 0.2, " less than 0.2", Table1[[#This Row],[dti_ratio]] &lt; 0.3, "0.2 - 0.3", Table1[[#This Row],[dti_ratio]] &lt;= 0.5, "0.35 - 0.5", Table1[[#This Row],[dti_ratio]] &gt; 0.5, "greater than 0.5")</f>
        <v xml:space="preserve"> less than 0.2</v>
      </c>
      <c r="AH180" s="2">
        <f>COUNTIF(Table1[DTI band],Table1[[#This Row],[DTI band]])</f>
        <v>86</v>
      </c>
      <c r="AI180" s="2" t="str" cm="1">
        <f t="array" ref="AI180">_xlfn.IFS(Table1[[#This Row],[ltv_ratio]] &lt; 0.6, "less than 0.6 -less risky", Table1[[#This Row],[ltv_ratio]]  &lt;= 0.8, "0.6 - 0.8 -medium risky",Table1[[#This Row],[ltv_ratio]] &gt; 0.8, "greater than 0.8 -highly risky")</f>
        <v>less than 0.6 -less risky</v>
      </c>
      <c r="AJ180" s="2">
        <f>COUNTIF(Table1[LTV band],Table1[[#This Row],[LTV band]])</f>
        <v>57</v>
      </c>
      <c r="AK180" s="19">
        <f>COUNTIFS(Table1[count_loan_perband],Table1[[#This Row],[count_loan_perband]],Table1[default_flag],1)/COUNTIF(Table1[count_loan_perband],Table1[[#This Row],[count_loan_perband]])</f>
        <v>0</v>
      </c>
      <c r="AL180" s="19" t="str" cm="1">
        <f t="array" ref="AL180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180" s="19">
        <f>IF(Table1[[#This Row],[dpd]] &gt;=30,1,0)</f>
        <v>1</v>
      </c>
      <c r="AN180" s="19">
        <f>COUNTIFS(Table1[Loan size],Table1[[#This Row],[Loan size]],Table1[dpd flag],1)/COUNTIF(Table1[Loan size],Table1[[#This Row],[Loan size]])</f>
        <v>0.13934426229508196</v>
      </c>
      <c r="AO180" s="19" t="str">
        <f>IF(OR(Table1[[#This Row],[credit_score]] &lt; 600, Table1[ [#This Row],[dti_ratio] ] &gt; 0.5, Table1[[#This Row],[dpd]] &gt;=30), "high risk", " not riskY")</f>
        <v>high risk</v>
      </c>
      <c r="AP180" s="29">
        <f>EOMONTH(Table1[[#This Row],[origination_date]],0)</f>
        <v>44681</v>
      </c>
      <c r="AQ180" s="19">
        <f>SUMIFS(Table1[loan_amount],Table1[origination month],Table1[[#This Row],[origination month]])</f>
        <v>23903900</v>
      </c>
      <c r="AR180" s="19">
        <f>AVERAGEIFS(Table1[months_on_book],Table1[product],Table1[[#This Row],[product]])</f>
        <v>21.092024539877301</v>
      </c>
      <c r="AS180" s="19" t="str">
        <f ca="1">IF(EDATE(Table1[[#This Row],[origination_date]],6) &gt;= TODAY(), "New Loan", "Old Loan")</f>
        <v>Old Loan</v>
      </c>
      <c r="AT180" s="19" t="str">
        <f>"Q"&amp;ROUNDUP(MONTH(Table1[[#This Row],[origination_date]])/3,0)&amp;YEAR(Table1[[#This Row],[origination_date]])</f>
        <v>Q22022</v>
      </c>
      <c r="AU180" s="19">
        <f>SUMIFS(Table1[loan_amount],Table1[quarter],Table1[[#This Row],[quarter]])</f>
        <v>45395100</v>
      </c>
    </row>
    <row r="181" spans="2:47" x14ac:dyDescent="0.2">
      <c r="B181" s="5" t="s">
        <v>179</v>
      </c>
      <c r="C181" s="2" t="s">
        <v>679</v>
      </c>
      <c r="D181" s="3">
        <v>44658</v>
      </c>
      <c r="E181" s="2" t="s">
        <v>1024</v>
      </c>
      <c r="F181" s="2" t="s">
        <v>1030</v>
      </c>
      <c r="G181" s="2" t="s">
        <v>1036</v>
      </c>
      <c r="H181" s="2" t="s">
        <v>1041</v>
      </c>
      <c r="I181" s="2">
        <v>24</v>
      </c>
      <c r="J181" s="2">
        <v>1553700</v>
      </c>
      <c r="K181" s="2">
        <v>9.99</v>
      </c>
      <c r="L181" s="2">
        <v>71688</v>
      </c>
      <c r="M181" s="2">
        <v>938046</v>
      </c>
      <c r="N181" s="2">
        <v>724</v>
      </c>
      <c r="O181" s="2" t="s">
        <v>1044</v>
      </c>
      <c r="P181" s="2">
        <v>0.05</v>
      </c>
      <c r="Q181" s="2">
        <v>0.74</v>
      </c>
      <c r="R181" s="2">
        <v>2099500</v>
      </c>
      <c r="S181" s="2">
        <v>24</v>
      </c>
      <c r="T181" s="2">
        <v>1738580</v>
      </c>
      <c r="U181" s="2">
        <v>0</v>
      </c>
      <c r="V181" s="2">
        <v>45</v>
      </c>
      <c r="W181" s="2">
        <v>0</v>
      </c>
      <c r="X181" s="2">
        <v>0</v>
      </c>
      <c r="Y181" s="2" t="s">
        <v>1047</v>
      </c>
      <c r="Z181" s="12">
        <f>SUMIF(Table1[product],Table1[[#This Row],[product]],Table1[loan_amount])</f>
        <v>92273000</v>
      </c>
      <c r="AA181" s="15">
        <f>SUMIF(Table1[region],Table1[[#This Row],[region]],Table1[current_balance])</f>
        <v>98928695</v>
      </c>
      <c r="AB181" s="2">
        <f>COUNTIF(Table1[loan_status],Table1[[#This Row],[loan_status]])</f>
        <v>139</v>
      </c>
      <c r="AC181" s="2">
        <f>COUNTIF(Table1[default_flag],1)/ROWS(Table1[loan_id])</f>
        <v>2.5999999999999999E-2</v>
      </c>
      <c r="AD181" s="2">
        <f>COUNTIFS(Table1[region],Table1[[#This Row],[region]],Table1[default_flag],1)/COUNTIF(Table1[region],Table1[[#This Row],[region]])</f>
        <v>2.8571428571428571E-2</v>
      </c>
      <c r="AE181" s="2">
        <f>COUNTIFS(Table1[channel],Table1[[#This Row],[channel]],Table1[prepayment_flag],1)/COUNTIF(Table1[channel],Table1[[#This Row],[channel]])</f>
        <v>5.8201058201058198E-2</v>
      </c>
      <c r="AF181" s="2">
        <f>AVERAGEIFS(Table1[interest_rate_pct],Table1[product],Table1[[#This Row],[product]],Table1[risk_band],Table1[[#This Row],[risk_band]])</f>
        <v>10.611923076923079</v>
      </c>
      <c r="AG181" s="2" t="str" cm="1">
        <f t="array" ref="AG181">_xlfn.IFS(Table1[[#This Row],[dti_ratio]] &lt; 0.2, " less than 0.2", Table1[[#This Row],[dti_ratio]] &lt; 0.3, "0.2 - 0.3", Table1[[#This Row],[dti_ratio]] &lt;= 0.5, "0.35 - 0.5", Table1[[#This Row],[dti_ratio]] &gt; 0.5, "greater than 0.5")</f>
        <v xml:space="preserve"> less than 0.2</v>
      </c>
      <c r="AH181" s="2">
        <f>COUNTIF(Table1[DTI band],Table1[[#This Row],[DTI band]])</f>
        <v>86</v>
      </c>
      <c r="AI181" s="2" t="str" cm="1">
        <f t="array" ref="AI181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181" s="2">
        <f>COUNTIF(Table1[LTV band],Table1[[#This Row],[LTV band]])</f>
        <v>302</v>
      </c>
      <c r="AK181" s="19">
        <f>COUNTIFS(Table1[count_loan_perband],Table1[[#This Row],[count_loan_perband]],Table1[default_flag],1)/COUNTIF(Table1[count_loan_perband],Table1[[#This Row],[count_loan_perband]])</f>
        <v>3.6423841059602648E-2</v>
      </c>
      <c r="AL181" s="19" t="str" cm="1">
        <f t="array" ref="AL181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181" s="19">
        <f>IF(Table1[[#This Row],[dpd]] &gt;=30,1,0)</f>
        <v>1</v>
      </c>
      <c r="AN181" s="19">
        <f>COUNTIFS(Table1[Loan size],Table1[[#This Row],[Loan size]],Table1[dpd flag],1)/COUNTIF(Table1[Loan size],Table1[[#This Row],[Loan size]])</f>
        <v>0.15909090909090909</v>
      </c>
      <c r="AO181" s="19" t="str">
        <f>IF(OR(Table1[[#This Row],[credit_score]] &lt; 600, Table1[ [#This Row],[dti_ratio] ] &gt; 0.5, Table1[[#This Row],[dpd]] &gt;=30), "high risk", " not riskY")</f>
        <v>high risk</v>
      </c>
      <c r="AP181" s="29">
        <f>EOMONTH(Table1[[#This Row],[origination_date]],0)</f>
        <v>44681</v>
      </c>
      <c r="AQ181" s="19">
        <f>SUMIFS(Table1[loan_amount],Table1[origination month],Table1[[#This Row],[origination month]])</f>
        <v>23903900</v>
      </c>
      <c r="AR181" s="19">
        <f>AVERAGEIFS(Table1[months_on_book],Table1[product],Table1[[#This Row],[product]])</f>
        <v>20.262135922330096</v>
      </c>
      <c r="AS181" s="19" t="str">
        <f ca="1">IF(EDATE(Table1[[#This Row],[origination_date]],6) &gt;= TODAY(), "New Loan", "Old Loan")</f>
        <v>Old Loan</v>
      </c>
      <c r="AT181" s="19" t="str">
        <f>"Q"&amp;ROUNDUP(MONTH(Table1[[#This Row],[origination_date]])/3,0)&amp;YEAR(Table1[[#This Row],[origination_date]])</f>
        <v>Q22022</v>
      </c>
      <c r="AU181" s="19">
        <f>SUMIFS(Table1[loan_amount],Table1[quarter],Table1[[#This Row],[quarter]])</f>
        <v>45395100</v>
      </c>
    </row>
    <row r="182" spans="2:47" x14ac:dyDescent="0.2">
      <c r="B182" s="5" t="s">
        <v>240</v>
      </c>
      <c r="C182" s="2" t="s">
        <v>740</v>
      </c>
      <c r="D182" s="3">
        <v>45023</v>
      </c>
      <c r="E182" s="2" t="s">
        <v>1026</v>
      </c>
      <c r="F182" s="2" t="s">
        <v>1030</v>
      </c>
      <c r="G182" s="2" t="s">
        <v>1035</v>
      </c>
      <c r="H182" s="2" t="s">
        <v>1038</v>
      </c>
      <c r="I182" s="2">
        <v>240</v>
      </c>
      <c r="J182" s="2">
        <v>50000</v>
      </c>
      <c r="K182" s="2">
        <v>17.16</v>
      </c>
      <c r="L182" s="2">
        <v>739</v>
      </c>
      <c r="M182" s="2">
        <v>682713</v>
      </c>
      <c r="N182" s="2">
        <v>702</v>
      </c>
      <c r="O182" s="2" t="s">
        <v>1044</v>
      </c>
      <c r="P182" s="2">
        <v>0.65</v>
      </c>
      <c r="Q182" s="2">
        <v>0.45</v>
      </c>
      <c r="R182" s="2">
        <v>0</v>
      </c>
      <c r="S182" s="2">
        <v>32</v>
      </c>
      <c r="T182" s="2">
        <v>21385</v>
      </c>
      <c r="U182" s="2">
        <v>37767</v>
      </c>
      <c r="V182" s="2">
        <v>45</v>
      </c>
      <c r="W182" s="2">
        <v>0</v>
      </c>
      <c r="X182" s="2">
        <v>0</v>
      </c>
      <c r="Y182" s="2" t="s">
        <v>1048</v>
      </c>
      <c r="Z182" s="12">
        <f>SUMIF(Table1[product],Table1[[#This Row],[product]],Table1[loan_amount])</f>
        <v>74897600</v>
      </c>
      <c r="AA182" s="15">
        <f>SUMIF(Table1[region],Table1[[#This Row],[region]],Table1[current_balance])</f>
        <v>83903255</v>
      </c>
      <c r="AB182" s="2">
        <f>COUNTIF(Table1[loan_status],Table1[[#This Row],[loan_status]])</f>
        <v>47</v>
      </c>
      <c r="AC182" s="2">
        <f>COUNTIF(Table1[default_flag],1)/ROWS(Table1[loan_id])</f>
        <v>2.5999999999999999E-2</v>
      </c>
      <c r="AD182" s="2">
        <f>COUNTIFS(Table1[region],Table1[[#This Row],[region]],Table1[default_flag],1)/COUNTIF(Table1[region],Table1[[#This Row],[region]])</f>
        <v>4.2553191489361701E-2</v>
      </c>
      <c r="AE182" s="2">
        <f>COUNTIFS(Table1[channel],Table1[[#This Row],[channel]],Table1[prepayment_flag],1)/COUNTIF(Table1[channel],Table1[[#This Row],[channel]])</f>
        <v>5.8201058201058198E-2</v>
      </c>
      <c r="AF182" s="2">
        <f>AVERAGEIFS(Table1[interest_rate_pct],Table1[product],Table1[[#This Row],[product]],Table1[risk_band],Table1[[#This Row],[risk_band]])</f>
        <v>16.500166666666669</v>
      </c>
      <c r="AG182" s="2" t="str" cm="1">
        <f t="array" ref="AG182">_xlfn.IFS(Table1[[#This Row],[dti_ratio]] &lt; 0.2, " less than 0.2", Table1[[#This Row],[dti_ratio]] &lt; 0.3, "0.2 - 0.3", Table1[[#This Row],[dti_ratio]] &lt;= 0.5, "0.35 - 0.5", Table1[[#This Row],[dti_ratio]] &gt; 0.5, "greater than 0.5")</f>
        <v>greater than 0.5</v>
      </c>
      <c r="AH182" s="2">
        <f>COUNTIF(Table1[DTI band],Table1[[#This Row],[DTI band]])</f>
        <v>32</v>
      </c>
      <c r="AI182" s="2" t="str" cm="1">
        <f t="array" ref="AI182">_xlfn.IFS(Table1[[#This Row],[ltv_ratio]] &lt; 0.6, "less than 0.6 -less risky", Table1[[#This Row],[ltv_ratio]]  &lt;= 0.8, "0.6 - 0.8 -medium risky",Table1[[#This Row],[ltv_ratio]] &gt; 0.8, "greater than 0.8 -highly risky")</f>
        <v>less than 0.6 -less risky</v>
      </c>
      <c r="AJ182" s="2">
        <f>COUNTIF(Table1[LTV band],Table1[[#This Row],[LTV band]])</f>
        <v>57</v>
      </c>
      <c r="AK182" s="19">
        <f>COUNTIFS(Table1[count_loan_perband],Table1[[#This Row],[count_loan_perband]],Table1[default_flag],1)/COUNTIF(Table1[count_loan_perband],Table1[[#This Row],[count_loan_perband]])</f>
        <v>0</v>
      </c>
      <c r="AL182" s="19" t="str" cm="1">
        <f t="array" ref="AL182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182" s="19">
        <f>IF(Table1[[#This Row],[dpd]] &gt;=30,1,0)</f>
        <v>1</v>
      </c>
      <c r="AN182" s="19">
        <f>COUNTIFS(Table1[Loan size],Table1[[#This Row],[Loan size]],Table1[dpd flag],1)/COUNTIF(Table1[Loan size],Table1[[#This Row],[Loan size]])</f>
        <v>0.13934426229508196</v>
      </c>
      <c r="AO182" s="19" t="str">
        <f>IF(OR(Table1[[#This Row],[credit_score]] &lt; 600, Table1[ [#This Row],[dti_ratio] ] &gt; 0.5, Table1[[#This Row],[dpd]] &gt;=30), "high risk", " not riskY")</f>
        <v>high risk</v>
      </c>
      <c r="AP182" s="29">
        <f>EOMONTH(Table1[[#This Row],[origination_date]],0)</f>
        <v>45046</v>
      </c>
      <c r="AQ182" s="19">
        <f>SUMIFS(Table1[loan_amount],Table1[origination month],Table1[[#This Row],[origination month]])</f>
        <v>19321000</v>
      </c>
      <c r="AR182" s="19">
        <f>AVERAGEIFS(Table1[months_on_book],Table1[product],Table1[[#This Row],[product]])</f>
        <v>21.092024539877301</v>
      </c>
      <c r="AS182" s="19" t="str">
        <f ca="1">IF(EDATE(Table1[[#This Row],[origination_date]],6) &gt;= TODAY(), "New Loan", "Old Loan")</f>
        <v>Old Loan</v>
      </c>
      <c r="AT182" s="19" t="str">
        <f>"Q"&amp;ROUNDUP(MONTH(Table1[[#This Row],[origination_date]])/3,0)&amp;YEAR(Table1[[#This Row],[origination_date]])</f>
        <v>Q22023</v>
      </c>
      <c r="AU182" s="19">
        <f>SUMIFS(Table1[loan_amount],Table1[quarter],Table1[[#This Row],[quarter]])</f>
        <v>42051000</v>
      </c>
    </row>
    <row r="183" spans="2:47" x14ac:dyDescent="0.2">
      <c r="B183" s="5" t="s">
        <v>353</v>
      </c>
      <c r="C183" s="2" t="s">
        <v>853</v>
      </c>
      <c r="D183" s="3">
        <v>45027</v>
      </c>
      <c r="E183" s="2" t="s">
        <v>1024</v>
      </c>
      <c r="F183" s="2" t="s">
        <v>1029</v>
      </c>
      <c r="G183" s="2" t="s">
        <v>1033</v>
      </c>
      <c r="H183" s="2" t="s">
        <v>1038</v>
      </c>
      <c r="I183" s="2">
        <v>36</v>
      </c>
      <c r="J183" s="2">
        <v>1164100</v>
      </c>
      <c r="K183" s="2">
        <v>13.85</v>
      </c>
      <c r="L183" s="2">
        <v>39701</v>
      </c>
      <c r="M183" s="2">
        <v>1243236</v>
      </c>
      <c r="N183" s="2">
        <v>688</v>
      </c>
      <c r="O183" s="2" t="s">
        <v>1042</v>
      </c>
      <c r="P183" s="2">
        <v>0.57999999999999996</v>
      </c>
      <c r="Q183" s="2">
        <v>0.59</v>
      </c>
      <c r="R183" s="2">
        <v>1989700</v>
      </c>
      <c r="S183" s="2">
        <v>32</v>
      </c>
      <c r="T183" s="2">
        <v>1233181</v>
      </c>
      <c r="U183" s="2">
        <v>102895</v>
      </c>
      <c r="V183" s="2">
        <v>0</v>
      </c>
      <c r="W183" s="2">
        <v>0</v>
      </c>
      <c r="X183" s="2">
        <v>0</v>
      </c>
      <c r="Y183" s="2" t="s">
        <v>1049</v>
      </c>
      <c r="Z183" s="12">
        <f>SUMIF(Table1[product],Table1[[#This Row],[product]],Table1[loan_amount])</f>
        <v>92273000</v>
      </c>
      <c r="AA183" s="15">
        <f>SUMIF(Table1[region],Table1[[#This Row],[region]],Table1[current_balance])</f>
        <v>83297251</v>
      </c>
      <c r="AB183" s="2">
        <f>COUNTIF(Table1[loan_status],Table1[[#This Row],[loan_status]])</f>
        <v>301</v>
      </c>
      <c r="AC183" s="2">
        <f>COUNTIF(Table1[default_flag],1)/ROWS(Table1[loan_id])</f>
        <v>2.5999999999999999E-2</v>
      </c>
      <c r="AD183" s="2">
        <f>COUNTIFS(Table1[region],Table1[[#This Row],[region]],Table1[default_flag],1)/COUNTIF(Table1[region],Table1[[#This Row],[region]])</f>
        <v>3.1914893617021274E-2</v>
      </c>
      <c r="AE183" s="2">
        <f>COUNTIFS(Table1[channel],Table1[[#This Row],[channel]],Table1[prepayment_flag],1)/COUNTIF(Table1[channel],Table1[[#This Row],[channel]])</f>
        <v>7.1090047393364927E-2</v>
      </c>
      <c r="AF183" s="2">
        <f>AVERAGEIFS(Table1[interest_rate_pct],Table1[product],Table1[[#This Row],[product]],Table1[risk_band],Table1[[#This Row],[risk_band]])</f>
        <v>13.246500000000001</v>
      </c>
      <c r="AG183" s="2" t="str" cm="1">
        <f t="array" ref="AG183">_xlfn.IFS(Table1[[#This Row],[dti_ratio]] &lt; 0.2, " less than 0.2", Table1[[#This Row],[dti_ratio]] &lt; 0.3, "0.2 - 0.3", Table1[[#This Row],[dti_ratio]] &lt;= 0.5, "0.35 - 0.5", Table1[[#This Row],[dti_ratio]] &gt; 0.5, "greater than 0.5")</f>
        <v>greater than 0.5</v>
      </c>
      <c r="AH183" s="2">
        <f>COUNTIF(Table1[DTI band],Table1[[#This Row],[DTI band]])</f>
        <v>32</v>
      </c>
      <c r="AI183" s="2" t="str" cm="1">
        <f t="array" ref="AI183">_xlfn.IFS(Table1[[#This Row],[ltv_ratio]] &lt; 0.6, "less than 0.6 -less risky", Table1[[#This Row],[ltv_ratio]]  &lt;= 0.8, "0.6 - 0.8 -medium risky",Table1[[#This Row],[ltv_ratio]] &gt; 0.8, "greater than 0.8 -highly risky")</f>
        <v>less than 0.6 -less risky</v>
      </c>
      <c r="AJ183" s="2">
        <f>COUNTIF(Table1[LTV band],Table1[[#This Row],[LTV band]])</f>
        <v>57</v>
      </c>
      <c r="AK183" s="19">
        <f>COUNTIFS(Table1[count_loan_perband],Table1[[#This Row],[count_loan_perband]],Table1[default_flag],1)/COUNTIF(Table1[count_loan_perband],Table1[[#This Row],[count_loan_perband]])</f>
        <v>0</v>
      </c>
      <c r="AL183" s="19" t="str" cm="1">
        <f t="array" ref="AL183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183" s="19">
        <f>IF(Table1[[#This Row],[dpd]] &gt;=30,1,0)</f>
        <v>0</v>
      </c>
      <c r="AN183" s="19">
        <f>COUNTIFS(Table1[Loan size],Table1[[#This Row],[Loan size]],Table1[dpd flag],1)/COUNTIF(Table1[Loan size],Table1[[#This Row],[Loan size]])</f>
        <v>0.15909090909090909</v>
      </c>
      <c r="AO183" s="19" t="str">
        <f>IF(OR(Table1[[#This Row],[credit_score]] &lt; 600, Table1[ [#This Row],[dti_ratio] ] &gt; 0.5, Table1[[#This Row],[dpd]] &gt;=30), "high risk", " not riskY")</f>
        <v>high risk</v>
      </c>
      <c r="AP183" s="29">
        <f>EOMONTH(Table1[[#This Row],[origination_date]],0)</f>
        <v>45046</v>
      </c>
      <c r="AQ183" s="19">
        <f>SUMIFS(Table1[loan_amount],Table1[origination month],Table1[[#This Row],[origination month]])</f>
        <v>19321000</v>
      </c>
      <c r="AR183" s="19">
        <f>AVERAGEIFS(Table1[months_on_book],Table1[product],Table1[[#This Row],[product]])</f>
        <v>20.262135922330096</v>
      </c>
      <c r="AS183" s="19" t="str">
        <f ca="1">IF(EDATE(Table1[[#This Row],[origination_date]],6) &gt;= TODAY(), "New Loan", "Old Loan")</f>
        <v>Old Loan</v>
      </c>
      <c r="AT183" s="19" t="str">
        <f>"Q"&amp;ROUNDUP(MONTH(Table1[[#This Row],[origination_date]])/3,0)&amp;YEAR(Table1[[#This Row],[origination_date]])</f>
        <v>Q22023</v>
      </c>
      <c r="AU183" s="19">
        <f>SUMIFS(Table1[loan_amount],Table1[quarter],Table1[[#This Row],[quarter]])</f>
        <v>42051000</v>
      </c>
    </row>
    <row r="184" spans="2:47" x14ac:dyDescent="0.2">
      <c r="B184" s="5" t="s">
        <v>344</v>
      </c>
      <c r="C184" s="2" t="s">
        <v>844</v>
      </c>
      <c r="D184" s="3">
        <v>45086</v>
      </c>
      <c r="E184" s="2" t="s">
        <v>1026</v>
      </c>
      <c r="F184" s="2" t="s">
        <v>1030</v>
      </c>
      <c r="G184" s="2" t="s">
        <v>1033</v>
      </c>
      <c r="H184" s="2" t="s">
        <v>1041</v>
      </c>
      <c r="I184" s="2">
        <v>36</v>
      </c>
      <c r="J184" s="2">
        <v>393300</v>
      </c>
      <c r="K184" s="2">
        <v>22.33</v>
      </c>
      <c r="L184" s="2">
        <v>15088</v>
      </c>
      <c r="M184" s="2">
        <v>1238800</v>
      </c>
      <c r="N184" s="2">
        <v>618</v>
      </c>
      <c r="O184" s="2" t="s">
        <v>1045</v>
      </c>
      <c r="P184" s="2">
        <v>0.56999999999999995</v>
      </c>
      <c r="Q184" s="2">
        <v>0.85</v>
      </c>
      <c r="R184" s="2">
        <v>0</v>
      </c>
      <c r="S184" s="2">
        <v>30</v>
      </c>
      <c r="T184" s="2">
        <v>413790</v>
      </c>
      <c r="U184" s="2">
        <v>67334</v>
      </c>
      <c r="V184" s="2">
        <v>0</v>
      </c>
      <c r="W184" s="2">
        <v>1</v>
      </c>
      <c r="X184" s="2">
        <v>0</v>
      </c>
      <c r="Y184" s="2" t="s">
        <v>1047</v>
      </c>
      <c r="Z184" s="12">
        <f>SUMIF(Table1[product],Table1[[#This Row],[product]],Table1[loan_amount])</f>
        <v>74897600</v>
      </c>
      <c r="AA184" s="15">
        <f>SUMIF(Table1[region],Table1[[#This Row],[region]],Table1[current_balance])</f>
        <v>83297251</v>
      </c>
      <c r="AB184" s="2">
        <f>COUNTIF(Table1[loan_status],Table1[[#This Row],[loan_status]])</f>
        <v>139</v>
      </c>
      <c r="AC184" s="2">
        <f>COUNTIF(Table1[default_flag],1)/ROWS(Table1[loan_id])</f>
        <v>2.5999999999999999E-2</v>
      </c>
      <c r="AD184" s="2">
        <f>COUNTIFS(Table1[region],Table1[[#This Row],[region]],Table1[default_flag],1)/COUNTIF(Table1[region],Table1[[#This Row],[region]])</f>
        <v>3.1914893617021274E-2</v>
      </c>
      <c r="AE184" s="2">
        <f>COUNTIFS(Table1[channel],Table1[[#This Row],[channel]],Table1[prepayment_flag],1)/COUNTIF(Table1[channel],Table1[[#This Row],[channel]])</f>
        <v>5.8201058201058198E-2</v>
      </c>
      <c r="AF184" s="2">
        <f>AVERAGEIFS(Table1[interest_rate_pct],Table1[product],Table1[[#This Row],[product]],Table1[risk_band],Table1[[#This Row],[risk_band]])</f>
        <v>20.962592592592593</v>
      </c>
      <c r="AG184" s="2" t="str" cm="1">
        <f t="array" ref="AG184">_xlfn.IFS(Table1[[#This Row],[dti_ratio]] &lt; 0.2, " less than 0.2", Table1[[#This Row],[dti_ratio]] &lt; 0.3, "0.2 - 0.3", Table1[[#This Row],[dti_ratio]] &lt;= 0.5, "0.35 - 0.5", Table1[[#This Row],[dti_ratio]] &gt; 0.5, "greater than 0.5")</f>
        <v>greater than 0.5</v>
      </c>
      <c r="AH184" s="2">
        <f>COUNTIF(Table1[DTI band],Table1[[#This Row],[DTI band]])</f>
        <v>32</v>
      </c>
      <c r="AI184" s="2" t="str" cm="1">
        <f t="array" ref="AI184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184" s="2">
        <f>COUNTIF(Table1[LTV band],Table1[[#This Row],[LTV band]])</f>
        <v>141</v>
      </c>
      <c r="AK184" s="19">
        <f>COUNTIFS(Table1[count_loan_perband],Table1[[#This Row],[count_loan_perband]],Table1[default_flag],1)/COUNTIF(Table1[count_loan_perband],Table1[[#This Row],[count_loan_perband]])</f>
        <v>1.4184397163120567E-2</v>
      </c>
      <c r="AL184" s="19" t="str" cm="1">
        <f t="array" ref="AL184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184" s="19">
        <f>IF(Table1[[#This Row],[dpd]] &gt;=30,1,0)</f>
        <v>0</v>
      </c>
      <c r="AN184" s="19">
        <f>COUNTIFS(Table1[Loan size],Table1[[#This Row],[Loan size]],Table1[dpd flag],1)/COUNTIF(Table1[Loan size],Table1[[#This Row],[Loan size]])</f>
        <v>0.13934426229508196</v>
      </c>
      <c r="AO184" s="19" t="str">
        <f>IF(OR(Table1[[#This Row],[credit_score]] &lt; 600, Table1[ [#This Row],[dti_ratio] ] &gt; 0.5, Table1[[#This Row],[dpd]] &gt;=30), "high risk", " not riskY")</f>
        <v>high risk</v>
      </c>
      <c r="AP184" s="29">
        <f>EOMONTH(Table1[[#This Row],[origination_date]],0)</f>
        <v>45107</v>
      </c>
      <c r="AQ184" s="19">
        <f>SUMIFS(Table1[loan_amount],Table1[origination month],Table1[[#This Row],[origination month]])</f>
        <v>10134900</v>
      </c>
      <c r="AR184" s="19">
        <f>AVERAGEIFS(Table1[months_on_book],Table1[product],Table1[[#This Row],[product]])</f>
        <v>21.092024539877301</v>
      </c>
      <c r="AS184" s="19" t="str">
        <f ca="1">IF(EDATE(Table1[[#This Row],[origination_date]],6) &gt;= TODAY(), "New Loan", "Old Loan")</f>
        <v>Old Loan</v>
      </c>
      <c r="AT184" s="19" t="str">
        <f>"Q"&amp;ROUNDUP(MONTH(Table1[[#This Row],[origination_date]])/3,0)&amp;YEAR(Table1[[#This Row],[origination_date]])</f>
        <v>Q22023</v>
      </c>
      <c r="AU184" s="19">
        <f>SUMIFS(Table1[loan_amount],Table1[quarter],Table1[[#This Row],[quarter]])</f>
        <v>42051000</v>
      </c>
    </row>
    <row r="185" spans="2:47" x14ac:dyDescent="0.2">
      <c r="B185" s="5" t="s">
        <v>134</v>
      </c>
      <c r="C185" s="2" t="s">
        <v>634</v>
      </c>
      <c r="D185" s="3">
        <v>45045</v>
      </c>
      <c r="E185" s="2" t="s">
        <v>1026</v>
      </c>
      <c r="F185" s="2" t="s">
        <v>1029</v>
      </c>
      <c r="G185" s="2" t="s">
        <v>1034</v>
      </c>
      <c r="H185" s="2" t="s">
        <v>1039</v>
      </c>
      <c r="I185" s="2">
        <v>84</v>
      </c>
      <c r="J185" s="2">
        <v>414300</v>
      </c>
      <c r="K185" s="2">
        <v>15.54</v>
      </c>
      <c r="L185" s="2">
        <v>8121</v>
      </c>
      <c r="M185" s="2">
        <v>1248023</v>
      </c>
      <c r="N185" s="2">
        <v>738</v>
      </c>
      <c r="O185" s="2" t="s">
        <v>1044</v>
      </c>
      <c r="P185" s="2">
        <v>0.56000000000000005</v>
      </c>
      <c r="Q185" s="2">
        <v>0.74</v>
      </c>
      <c r="R185" s="2">
        <v>0</v>
      </c>
      <c r="S185" s="2">
        <v>32</v>
      </c>
      <c r="T185" s="2">
        <v>224983</v>
      </c>
      <c r="U185" s="2">
        <v>257991</v>
      </c>
      <c r="V185" s="2">
        <v>0</v>
      </c>
      <c r="W185" s="2">
        <v>1</v>
      </c>
      <c r="X185" s="2">
        <v>0</v>
      </c>
      <c r="Y185" s="2" t="s">
        <v>1047</v>
      </c>
      <c r="Z185" s="12">
        <f>SUMIF(Table1[product],Table1[[#This Row],[product]],Table1[loan_amount])</f>
        <v>74897600</v>
      </c>
      <c r="AA185" s="15">
        <f>SUMIF(Table1[region],Table1[[#This Row],[region]],Table1[current_balance])</f>
        <v>105779369</v>
      </c>
      <c r="AB185" s="2">
        <f>COUNTIF(Table1[loan_status],Table1[[#This Row],[loan_status]])</f>
        <v>139</v>
      </c>
      <c r="AC185" s="2">
        <f>COUNTIF(Table1[default_flag],1)/ROWS(Table1[loan_id])</f>
        <v>2.5999999999999999E-2</v>
      </c>
      <c r="AD185" s="2">
        <f>COUNTIFS(Table1[region],Table1[[#This Row],[region]],Table1[default_flag],1)/COUNTIF(Table1[region],Table1[[#This Row],[region]])</f>
        <v>2.6548672566371681E-2</v>
      </c>
      <c r="AE185" s="2">
        <f>COUNTIFS(Table1[channel],Table1[[#This Row],[channel]],Table1[prepayment_flag],1)/COUNTIF(Table1[channel],Table1[[#This Row],[channel]])</f>
        <v>7.1090047393364927E-2</v>
      </c>
      <c r="AF185" s="2">
        <f>AVERAGEIFS(Table1[interest_rate_pct],Table1[product],Table1[[#This Row],[product]],Table1[risk_band],Table1[[#This Row],[risk_band]])</f>
        <v>16.500166666666669</v>
      </c>
      <c r="AG185" s="2" t="str" cm="1">
        <f t="array" ref="AG185">_xlfn.IFS(Table1[[#This Row],[dti_ratio]] &lt; 0.2, " less than 0.2", Table1[[#This Row],[dti_ratio]] &lt; 0.3, "0.2 - 0.3", Table1[[#This Row],[dti_ratio]] &lt;= 0.5, "0.35 - 0.5", Table1[[#This Row],[dti_ratio]] &gt; 0.5, "greater than 0.5")</f>
        <v>greater than 0.5</v>
      </c>
      <c r="AH185" s="2">
        <f>COUNTIF(Table1[DTI band],Table1[[#This Row],[DTI band]])</f>
        <v>32</v>
      </c>
      <c r="AI185" s="2" t="str" cm="1">
        <f t="array" ref="AI185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185" s="2">
        <f>COUNTIF(Table1[LTV band],Table1[[#This Row],[LTV band]])</f>
        <v>302</v>
      </c>
      <c r="AK185" s="19">
        <f>COUNTIFS(Table1[count_loan_perband],Table1[[#This Row],[count_loan_perband]],Table1[default_flag],1)/COUNTIF(Table1[count_loan_perband],Table1[[#This Row],[count_loan_perband]])</f>
        <v>3.6423841059602648E-2</v>
      </c>
      <c r="AL185" s="19" t="str" cm="1">
        <f t="array" ref="AL185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185" s="19">
        <f>IF(Table1[[#This Row],[dpd]] &gt;=30,1,0)</f>
        <v>0</v>
      </c>
      <c r="AN185" s="19">
        <f>COUNTIFS(Table1[Loan size],Table1[[#This Row],[Loan size]],Table1[dpd flag],1)/COUNTIF(Table1[Loan size],Table1[[#This Row],[Loan size]])</f>
        <v>0.13934426229508196</v>
      </c>
      <c r="AO185" s="19" t="str">
        <f>IF(OR(Table1[[#This Row],[credit_score]] &lt; 600, Table1[ [#This Row],[dti_ratio] ] &gt; 0.5, Table1[[#This Row],[dpd]] &gt;=30), "high risk", " not riskY")</f>
        <v>high risk</v>
      </c>
      <c r="AP185" s="29">
        <f>EOMONTH(Table1[[#This Row],[origination_date]],0)</f>
        <v>45046</v>
      </c>
      <c r="AQ185" s="19">
        <f>SUMIFS(Table1[loan_amount],Table1[origination month],Table1[[#This Row],[origination month]])</f>
        <v>19321000</v>
      </c>
      <c r="AR185" s="19">
        <f>AVERAGEIFS(Table1[months_on_book],Table1[product],Table1[[#This Row],[product]])</f>
        <v>21.092024539877301</v>
      </c>
      <c r="AS185" s="19" t="str">
        <f ca="1">IF(EDATE(Table1[[#This Row],[origination_date]],6) &gt;= TODAY(), "New Loan", "Old Loan")</f>
        <v>Old Loan</v>
      </c>
      <c r="AT185" s="19" t="str">
        <f>"Q"&amp;ROUNDUP(MONTH(Table1[[#This Row],[origination_date]])/3,0)&amp;YEAR(Table1[[#This Row],[origination_date]])</f>
        <v>Q22023</v>
      </c>
      <c r="AU185" s="19">
        <f>SUMIFS(Table1[loan_amount],Table1[quarter],Table1[[#This Row],[quarter]])</f>
        <v>42051000</v>
      </c>
    </row>
    <row r="186" spans="2:47" x14ac:dyDescent="0.2">
      <c r="B186" s="5" t="s">
        <v>27</v>
      </c>
      <c r="C186" s="2" t="s">
        <v>527</v>
      </c>
      <c r="D186" s="3">
        <v>45049</v>
      </c>
      <c r="E186" s="2" t="s">
        <v>1026</v>
      </c>
      <c r="F186" s="2" t="s">
        <v>1030</v>
      </c>
      <c r="G186" s="2" t="s">
        <v>1033</v>
      </c>
      <c r="H186" s="2" t="s">
        <v>1038</v>
      </c>
      <c r="I186" s="2">
        <v>18</v>
      </c>
      <c r="J186" s="2">
        <v>512600</v>
      </c>
      <c r="K186" s="2">
        <v>15.32</v>
      </c>
      <c r="L186" s="2">
        <v>32056</v>
      </c>
      <c r="M186" s="2">
        <v>971647</v>
      </c>
      <c r="N186" s="2">
        <v>758</v>
      </c>
      <c r="O186" s="2" t="s">
        <v>1043</v>
      </c>
      <c r="P186" s="2">
        <v>0.49</v>
      </c>
      <c r="Q186" s="2">
        <v>0.98</v>
      </c>
      <c r="R186" s="2">
        <v>0</v>
      </c>
      <c r="S186" s="2">
        <v>18</v>
      </c>
      <c r="T186" s="2">
        <v>513905</v>
      </c>
      <c r="U186" s="2">
        <v>45813</v>
      </c>
      <c r="V186" s="2">
        <v>0</v>
      </c>
      <c r="W186" s="2">
        <v>0</v>
      </c>
      <c r="X186" s="2">
        <v>0</v>
      </c>
      <c r="Y186" s="2" t="s">
        <v>1047</v>
      </c>
      <c r="Z186" s="12">
        <f>SUMIF(Table1[product],Table1[[#This Row],[product]],Table1[loan_amount])</f>
        <v>74897600</v>
      </c>
      <c r="AA186" s="15">
        <f>SUMIF(Table1[region],Table1[[#This Row],[region]],Table1[current_balance])</f>
        <v>83297251</v>
      </c>
      <c r="AB186" s="2">
        <f>COUNTIF(Table1[loan_status],Table1[[#This Row],[loan_status]])</f>
        <v>139</v>
      </c>
      <c r="AC186" s="2">
        <f>COUNTIF(Table1[default_flag],1)/ROWS(Table1[loan_id])</f>
        <v>2.5999999999999999E-2</v>
      </c>
      <c r="AD186" s="2">
        <f>COUNTIFS(Table1[region],Table1[[#This Row],[region]],Table1[default_flag],1)/COUNTIF(Table1[region],Table1[[#This Row],[region]])</f>
        <v>3.1914893617021274E-2</v>
      </c>
      <c r="AE186" s="2">
        <f>COUNTIFS(Table1[channel],Table1[[#This Row],[channel]],Table1[prepayment_flag],1)/COUNTIF(Table1[channel],Table1[[#This Row],[channel]])</f>
        <v>5.8201058201058198E-2</v>
      </c>
      <c r="AF186" s="2">
        <f>AVERAGEIFS(Table1[interest_rate_pct],Table1[product],Table1[[#This Row],[product]],Table1[risk_band],Table1[[#This Row],[risk_band]])</f>
        <v>13.328333333333335</v>
      </c>
      <c r="AG186" s="2" t="str" cm="1">
        <f t="array" ref="AG186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186" s="2">
        <f>COUNTIF(Table1[DTI band],Table1[[#This Row],[DTI band]])</f>
        <v>260</v>
      </c>
      <c r="AI186" s="2" t="str" cm="1">
        <f t="array" ref="AI186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186" s="2">
        <f>COUNTIF(Table1[LTV band],Table1[[#This Row],[LTV band]])</f>
        <v>141</v>
      </c>
      <c r="AK186" s="19">
        <f>COUNTIFS(Table1[count_loan_perband],Table1[[#This Row],[count_loan_perband]],Table1[default_flag],1)/COUNTIF(Table1[count_loan_perband],Table1[[#This Row],[count_loan_perband]])</f>
        <v>1.4184397163120567E-2</v>
      </c>
      <c r="AL186" s="19" t="str" cm="1">
        <f t="array" ref="AL186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186" s="19">
        <f>IF(Table1[[#This Row],[dpd]] &gt;=30,1,0)</f>
        <v>0</v>
      </c>
      <c r="AN186" s="19">
        <f>COUNTIFS(Table1[Loan size],Table1[[#This Row],[Loan size]],Table1[dpd flag],1)/COUNTIF(Table1[Loan size],Table1[[#This Row],[Loan size]])</f>
        <v>0.13934426229508196</v>
      </c>
      <c r="AO186" s="19" t="str">
        <f>IF(OR(Table1[[#This Row],[credit_score]] &lt; 600, Table1[ [#This Row],[dti_ratio] ] &gt; 0.5, Table1[[#This Row],[dpd]] &gt;=30), "high risk", " not riskY")</f>
        <v xml:space="preserve"> not riskY</v>
      </c>
      <c r="AP186" s="29">
        <f>EOMONTH(Table1[[#This Row],[origination_date]],0)</f>
        <v>45077</v>
      </c>
      <c r="AQ186" s="19">
        <f>SUMIFS(Table1[loan_amount],Table1[origination month],Table1[[#This Row],[origination month]])</f>
        <v>12595100</v>
      </c>
      <c r="AR186" s="19">
        <f>AVERAGEIFS(Table1[months_on_book],Table1[product],Table1[[#This Row],[product]])</f>
        <v>21.092024539877301</v>
      </c>
      <c r="AS186" s="19" t="str">
        <f ca="1">IF(EDATE(Table1[[#This Row],[origination_date]],6) &gt;= TODAY(), "New Loan", "Old Loan")</f>
        <v>Old Loan</v>
      </c>
      <c r="AT186" s="19" t="str">
        <f>"Q"&amp;ROUNDUP(MONTH(Table1[[#This Row],[origination_date]])/3,0)&amp;YEAR(Table1[[#This Row],[origination_date]])</f>
        <v>Q22023</v>
      </c>
      <c r="AU186" s="19">
        <f>SUMIFS(Table1[loan_amount],Table1[quarter],Table1[[#This Row],[quarter]])</f>
        <v>42051000</v>
      </c>
    </row>
    <row r="187" spans="2:47" x14ac:dyDescent="0.2">
      <c r="B187" s="5" t="s">
        <v>109</v>
      </c>
      <c r="C187" s="2" t="s">
        <v>609</v>
      </c>
      <c r="D187" s="3">
        <v>45031</v>
      </c>
      <c r="E187" s="2" t="s">
        <v>1024</v>
      </c>
      <c r="F187" s="2" t="s">
        <v>1030</v>
      </c>
      <c r="G187" s="2" t="s">
        <v>1035</v>
      </c>
      <c r="H187" s="2" t="s">
        <v>1038</v>
      </c>
      <c r="I187" s="2">
        <v>48</v>
      </c>
      <c r="J187" s="2">
        <v>347100</v>
      </c>
      <c r="K187" s="2">
        <v>15.47</v>
      </c>
      <c r="L187" s="2">
        <v>9743</v>
      </c>
      <c r="M187" s="2">
        <v>1115054</v>
      </c>
      <c r="N187" s="2">
        <v>636</v>
      </c>
      <c r="O187" s="2" t="s">
        <v>1045</v>
      </c>
      <c r="P187" s="2">
        <v>0.42</v>
      </c>
      <c r="Q187" s="2">
        <v>0.65</v>
      </c>
      <c r="R187" s="2">
        <v>534100</v>
      </c>
      <c r="S187" s="2">
        <v>32</v>
      </c>
      <c r="T187" s="2">
        <v>310412</v>
      </c>
      <c r="U187" s="2">
        <v>93964</v>
      </c>
      <c r="V187" s="2">
        <v>0</v>
      </c>
      <c r="W187" s="2">
        <v>0</v>
      </c>
      <c r="X187" s="2">
        <v>0</v>
      </c>
      <c r="Y187" s="2" t="s">
        <v>1049</v>
      </c>
      <c r="Z187" s="12">
        <f>SUMIF(Table1[product],Table1[[#This Row],[product]],Table1[loan_amount])</f>
        <v>92273000</v>
      </c>
      <c r="AA187" s="15">
        <f>SUMIF(Table1[region],Table1[[#This Row],[region]],Table1[current_balance])</f>
        <v>83903255</v>
      </c>
      <c r="AB187" s="2">
        <f>COUNTIF(Table1[loan_status],Table1[[#This Row],[loan_status]])</f>
        <v>301</v>
      </c>
      <c r="AC187" s="2">
        <f>COUNTIF(Table1[default_flag],1)/ROWS(Table1[loan_id])</f>
        <v>2.5999999999999999E-2</v>
      </c>
      <c r="AD187" s="2">
        <f>COUNTIFS(Table1[region],Table1[[#This Row],[region]],Table1[default_flag],1)/COUNTIF(Table1[region],Table1[[#This Row],[region]])</f>
        <v>4.2553191489361701E-2</v>
      </c>
      <c r="AE187" s="2">
        <f>COUNTIFS(Table1[channel],Table1[[#This Row],[channel]],Table1[prepayment_flag],1)/COUNTIF(Table1[channel],Table1[[#This Row],[channel]])</f>
        <v>5.8201058201058198E-2</v>
      </c>
      <c r="AF187" s="2">
        <f>AVERAGEIFS(Table1[interest_rate_pct],Table1[product],Table1[[#This Row],[product]],Table1[risk_band],Table1[[#This Row],[risk_band]])</f>
        <v>15.092000000000001</v>
      </c>
      <c r="AG187" s="2" t="str" cm="1">
        <f t="array" ref="AG187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187" s="2">
        <f>COUNTIF(Table1[DTI band],Table1[[#This Row],[DTI band]])</f>
        <v>260</v>
      </c>
      <c r="AI187" s="2" t="str" cm="1">
        <f t="array" ref="AI187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187" s="2">
        <f>COUNTIF(Table1[LTV band],Table1[[#This Row],[LTV band]])</f>
        <v>302</v>
      </c>
      <c r="AK187" s="19">
        <f>COUNTIFS(Table1[count_loan_perband],Table1[[#This Row],[count_loan_perband]],Table1[default_flag],1)/COUNTIF(Table1[count_loan_perband],Table1[[#This Row],[count_loan_perband]])</f>
        <v>3.6423841059602648E-2</v>
      </c>
      <c r="AL187" s="19" t="str" cm="1">
        <f t="array" ref="AL187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187" s="19">
        <f>IF(Table1[[#This Row],[dpd]] &gt;=30,1,0)</f>
        <v>0</v>
      </c>
      <c r="AN187" s="19">
        <f>COUNTIFS(Table1[Loan size],Table1[[#This Row],[Loan size]],Table1[dpd flag],1)/COUNTIF(Table1[Loan size],Table1[[#This Row],[Loan size]])</f>
        <v>0.13934426229508196</v>
      </c>
      <c r="AO187" s="19" t="str">
        <f>IF(OR(Table1[[#This Row],[credit_score]] &lt; 600, Table1[ [#This Row],[dti_ratio] ] &gt; 0.5, Table1[[#This Row],[dpd]] &gt;=30), "high risk", " not riskY")</f>
        <v xml:space="preserve"> not riskY</v>
      </c>
      <c r="AP187" s="29">
        <f>EOMONTH(Table1[[#This Row],[origination_date]],0)</f>
        <v>45046</v>
      </c>
      <c r="AQ187" s="19">
        <f>SUMIFS(Table1[loan_amount],Table1[origination month],Table1[[#This Row],[origination month]])</f>
        <v>19321000</v>
      </c>
      <c r="AR187" s="19">
        <f>AVERAGEIFS(Table1[months_on_book],Table1[product],Table1[[#This Row],[product]])</f>
        <v>20.262135922330096</v>
      </c>
      <c r="AS187" s="19" t="str">
        <f ca="1">IF(EDATE(Table1[[#This Row],[origination_date]],6) &gt;= TODAY(), "New Loan", "Old Loan")</f>
        <v>Old Loan</v>
      </c>
      <c r="AT187" s="19" t="str">
        <f>"Q"&amp;ROUNDUP(MONTH(Table1[[#This Row],[origination_date]])/3,0)&amp;YEAR(Table1[[#This Row],[origination_date]])</f>
        <v>Q22023</v>
      </c>
      <c r="AU187" s="19">
        <f>SUMIFS(Table1[loan_amount],Table1[quarter],Table1[[#This Row],[quarter]])</f>
        <v>42051000</v>
      </c>
    </row>
    <row r="188" spans="2:47" x14ac:dyDescent="0.2">
      <c r="B188" s="5" t="s">
        <v>367</v>
      </c>
      <c r="C188" s="2" t="s">
        <v>867</v>
      </c>
      <c r="D188" s="3">
        <v>45057</v>
      </c>
      <c r="E188" s="2" t="s">
        <v>1024</v>
      </c>
      <c r="F188" s="2" t="s">
        <v>1030</v>
      </c>
      <c r="G188" s="2" t="s">
        <v>1033</v>
      </c>
      <c r="H188" s="2" t="s">
        <v>1038</v>
      </c>
      <c r="I188" s="2">
        <v>360</v>
      </c>
      <c r="J188" s="2">
        <v>1942600</v>
      </c>
      <c r="K188" s="2">
        <v>10.57</v>
      </c>
      <c r="L188" s="2">
        <v>17871</v>
      </c>
      <c r="M188" s="2">
        <v>1544753</v>
      </c>
      <c r="N188" s="2">
        <v>728</v>
      </c>
      <c r="O188" s="2" t="s">
        <v>1044</v>
      </c>
      <c r="P188" s="2">
        <v>0.42</v>
      </c>
      <c r="Q188" s="2">
        <v>0.88</v>
      </c>
      <c r="R188" s="2">
        <v>2217900</v>
      </c>
      <c r="S188" s="2">
        <v>31</v>
      </c>
      <c r="T188" s="2">
        <v>534649</v>
      </c>
      <c r="U188" s="2">
        <v>1620128</v>
      </c>
      <c r="V188" s="2">
        <v>0</v>
      </c>
      <c r="W188" s="2">
        <v>0</v>
      </c>
      <c r="X188" s="2">
        <v>0</v>
      </c>
      <c r="Y188" s="2" t="s">
        <v>1049</v>
      </c>
      <c r="Z188" s="12">
        <f>SUMIF(Table1[product],Table1[[#This Row],[product]],Table1[loan_amount])</f>
        <v>92273000</v>
      </c>
      <c r="AA188" s="15">
        <f>SUMIF(Table1[region],Table1[[#This Row],[region]],Table1[current_balance])</f>
        <v>83297251</v>
      </c>
      <c r="AB188" s="2">
        <f>COUNTIF(Table1[loan_status],Table1[[#This Row],[loan_status]])</f>
        <v>301</v>
      </c>
      <c r="AC188" s="2">
        <f>COUNTIF(Table1[default_flag],1)/ROWS(Table1[loan_id])</f>
        <v>2.5999999999999999E-2</v>
      </c>
      <c r="AD188" s="2">
        <f>COUNTIFS(Table1[region],Table1[[#This Row],[region]],Table1[default_flag],1)/COUNTIF(Table1[region],Table1[[#This Row],[region]])</f>
        <v>3.1914893617021274E-2</v>
      </c>
      <c r="AE188" s="2">
        <f>COUNTIFS(Table1[channel],Table1[[#This Row],[channel]],Table1[prepayment_flag],1)/COUNTIF(Table1[channel],Table1[[#This Row],[channel]])</f>
        <v>5.8201058201058198E-2</v>
      </c>
      <c r="AF188" s="2">
        <f>AVERAGEIFS(Table1[interest_rate_pct],Table1[product],Table1[[#This Row],[product]],Table1[risk_band],Table1[[#This Row],[risk_band]])</f>
        <v>10.611923076923079</v>
      </c>
      <c r="AG188" s="2" t="str" cm="1">
        <f t="array" ref="AG188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188" s="2">
        <f>COUNTIF(Table1[DTI band],Table1[[#This Row],[DTI band]])</f>
        <v>260</v>
      </c>
      <c r="AI188" s="2" t="str" cm="1">
        <f t="array" ref="AI188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188" s="2">
        <f>COUNTIF(Table1[LTV band],Table1[[#This Row],[LTV band]])</f>
        <v>141</v>
      </c>
      <c r="AK188" s="19">
        <f>COUNTIFS(Table1[count_loan_perband],Table1[[#This Row],[count_loan_perband]],Table1[default_flag],1)/COUNTIF(Table1[count_loan_perband],Table1[[#This Row],[count_loan_perband]])</f>
        <v>1.4184397163120567E-2</v>
      </c>
      <c r="AL188" s="19" t="str" cm="1">
        <f t="array" ref="AL188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188" s="19">
        <f>IF(Table1[[#This Row],[dpd]] &gt;=30,1,0)</f>
        <v>0</v>
      </c>
      <c r="AN188" s="19">
        <f>COUNTIFS(Table1[Loan size],Table1[[#This Row],[Loan size]],Table1[dpd flag],1)/COUNTIF(Table1[Loan size],Table1[[#This Row],[Loan size]])</f>
        <v>0.15909090909090909</v>
      </c>
      <c r="AO188" s="19" t="str">
        <f>IF(OR(Table1[[#This Row],[credit_score]] &lt; 600, Table1[ [#This Row],[dti_ratio] ] &gt; 0.5, Table1[[#This Row],[dpd]] &gt;=30), "high risk", " not riskY")</f>
        <v xml:space="preserve"> not riskY</v>
      </c>
      <c r="AP188" s="29">
        <f>EOMONTH(Table1[[#This Row],[origination_date]],0)</f>
        <v>45077</v>
      </c>
      <c r="AQ188" s="19">
        <f>SUMIFS(Table1[loan_amount],Table1[origination month],Table1[[#This Row],[origination month]])</f>
        <v>12595100</v>
      </c>
      <c r="AR188" s="19">
        <f>AVERAGEIFS(Table1[months_on_book],Table1[product],Table1[[#This Row],[product]])</f>
        <v>20.262135922330096</v>
      </c>
      <c r="AS188" s="19" t="str">
        <f ca="1">IF(EDATE(Table1[[#This Row],[origination_date]],6) &gt;= TODAY(), "New Loan", "Old Loan")</f>
        <v>Old Loan</v>
      </c>
      <c r="AT188" s="19" t="str">
        <f>"Q"&amp;ROUNDUP(MONTH(Table1[[#This Row],[origination_date]])/3,0)&amp;YEAR(Table1[[#This Row],[origination_date]])</f>
        <v>Q22023</v>
      </c>
      <c r="AU188" s="19">
        <f>SUMIFS(Table1[loan_amount],Table1[quarter],Table1[[#This Row],[quarter]])</f>
        <v>42051000</v>
      </c>
    </row>
    <row r="189" spans="2:47" x14ac:dyDescent="0.2">
      <c r="B189" s="5" t="s">
        <v>452</v>
      </c>
      <c r="C189" s="2" t="s">
        <v>952</v>
      </c>
      <c r="D189" s="3">
        <v>45094</v>
      </c>
      <c r="E189" s="2" t="s">
        <v>1026</v>
      </c>
      <c r="F189" s="2" t="s">
        <v>1029</v>
      </c>
      <c r="G189" s="2" t="s">
        <v>1034</v>
      </c>
      <c r="H189" s="2" t="s">
        <v>1041</v>
      </c>
      <c r="I189" s="2">
        <v>24</v>
      </c>
      <c r="J189" s="2">
        <v>392900</v>
      </c>
      <c r="K189" s="2">
        <v>17.41</v>
      </c>
      <c r="L189" s="2">
        <v>19503</v>
      </c>
      <c r="M189" s="2">
        <v>1147286</v>
      </c>
      <c r="N189" s="2">
        <v>686</v>
      </c>
      <c r="O189" s="2" t="s">
        <v>1042</v>
      </c>
      <c r="P189" s="2">
        <v>0.4</v>
      </c>
      <c r="Q189" s="2">
        <v>0.78</v>
      </c>
      <c r="R189" s="2">
        <v>0</v>
      </c>
      <c r="S189" s="2">
        <v>24</v>
      </c>
      <c r="T189" s="2">
        <v>403753</v>
      </c>
      <c r="U189" s="2">
        <v>43870</v>
      </c>
      <c r="V189" s="2">
        <v>5</v>
      </c>
      <c r="W189" s="2">
        <v>0</v>
      </c>
      <c r="X189" s="2">
        <v>0</v>
      </c>
      <c r="Y189" s="2" t="s">
        <v>1047</v>
      </c>
      <c r="Z189" s="12">
        <f>SUMIF(Table1[product],Table1[[#This Row],[product]],Table1[loan_amount])</f>
        <v>74897600</v>
      </c>
      <c r="AA189" s="15">
        <f>SUMIF(Table1[region],Table1[[#This Row],[region]],Table1[current_balance])</f>
        <v>105779369</v>
      </c>
      <c r="AB189" s="2">
        <f>COUNTIF(Table1[loan_status],Table1[[#This Row],[loan_status]])</f>
        <v>139</v>
      </c>
      <c r="AC189" s="2">
        <f>COUNTIF(Table1[default_flag],1)/ROWS(Table1[loan_id])</f>
        <v>2.5999999999999999E-2</v>
      </c>
      <c r="AD189" s="2">
        <f>COUNTIFS(Table1[region],Table1[[#This Row],[region]],Table1[default_flag],1)/COUNTIF(Table1[region],Table1[[#This Row],[region]])</f>
        <v>2.6548672566371681E-2</v>
      </c>
      <c r="AE189" s="2">
        <f>COUNTIFS(Table1[channel],Table1[[#This Row],[channel]],Table1[prepayment_flag],1)/COUNTIF(Table1[channel],Table1[[#This Row],[channel]])</f>
        <v>7.1090047393364927E-2</v>
      </c>
      <c r="AF189" s="2">
        <f>AVERAGEIFS(Table1[interest_rate_pct],Table1[product],Table1[[#This Row],[product]],Table1[risk_band],Table1[[#This Row],[risk_band]])</f>
        <v>18.603181818181817</v>
      </c>
      <c r="AG189" s="2" t="str" cm="1">
        <f t="array" ref="AG189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189" s="2">
        <f>COUNTIF(Table1[DTI band],Table1[[#This Row],[DTI band]])</f>
        <v>260</v>
      </c>
      <c r="AI189" s="2" t="str" cm="1">
        <f t="array" ref="AI189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189" s="2">
        <f>COUNTIF(Table1[LTV band],Table1[[#This Row],[LTV band]])</f>
        <v>302</v>
      </c>
      <c r="AK189" s="19">
        <f>COUNTIFS(Table1[count_loan_perband],Table1[[#This Row],[count_loan_perband]],Table1[default_flag],1)/COUNTIF(Table1[count_loan_perband],Table1[[#This Row],[count_loan_perband]])</f>
        <v>3.6423841059602648E-2</v>
      </c>
      <c r="AL189" s="19" t="str" cm="1">
        <f t="array" ref="AL189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189" s="19">
        <f>IF(Table1[[#This Row],[dpd]] &gt;=30,1,0)</f>
        <v>0</v>
      </c>
      <c r="AN189" s="19">
        <f>COUNTIFS(Table1[Loan size],Table1[[#This Row],[Loan size]],Table1[dpd flag],1)/COUNTIF(Table1[Loan size],Table1[[#This Row],[Loan size]])</f>
        <v>0.13934426229508196</v>
      </c>
      <c r="AO189" s="19" t="str">
        <f>IF(OR(Table1[[#This Row],[credit_score]] &lt; 600, Table1[ [#This Row],[dti_ratio] ] &gt; 0.5, Table1[[#This Row],[dpd]] &gt;=30), "high risk", " not riskY")</f>
        <v xml:space="preserve"> not riskY</v>
      </c>
      <c r="AP189" s="29">
        <f>EOMONTH(Table1[[#This Row],[origination_date]],0)</f>
        <v>45107</v>
      </c>
      <c r="AQ189" s="19">
        <f>SUMIFS(Table1[loan_amount],Table1[origination month],Table1[[#This Row],[origination month]])</f>
        <v>10134900</v>
      </c>
      <c r="AR189" s="19">
        <f>AVERAGEIFS(Table1[months_on_book],Table1[product],Table1[[#This Row],[product]])</f>
        <v>21.092024539877301</v>
      </c>
      <c r="AS189" s="19" t="str">
        <f ca="1">IF(EDATE(Table1[[#This Row],[origination_date]],6) &gt;= TODAY(), "New Loan", "Old Loan")</f>
        <v>Old Loan</v>
      </c>
      <c r="AT189" s="19" t="str">
        <f>"Q"&amp;ROUNDUP(MONTH(Table1[[#This Row],[origination_date]])/3,0)&amp;YEAR(Table1[[#This Row],[origination_date]])</f>
        <v>Q22023</v>
      </c>
      <c r="AU189" s="19">
        <f>SUMIFS(Table1[loan_amount],Table1[quarter],Table1[[#This Row],[quarter]])</f>
        <v>42051000</v>
      </c>
    </row>
    <row r="190" spans="2:47" x14ac:dyDescent="0.2">
      <c r="B190" s="5" t="s">
        <v>137</v>
      </c>
      <c r="C190" s="2" t="s">
        <v>637</v>
      </c>
      <c r="D190" s="3">
        <v>45039</v>
      </c>
      <c r="E190" s="2" t="s">
        <v>1026</v>
      </c>
      <c r="F190" s="2" t="s">
        <v>1029</v>
      </c>
      <c r="G190" s="2" t="s">
        <v>1033</v>
      </c>
      <c r="H190" s="2" t="s">
        <v>1038</v>
      </c>
      <c r="I190" s="2">
        <v>24</v>
      </c>
      <c r="J190" s="2">
        <v>246200</v>
      </c>
      <c r="K190" s="2">
        <v>19.7</v>
      </c>
      <c r="L190" s="2">
        <v>12494</v>
      </c>
      <c r="M190" s="2">
        <v>1104459</v>
      </c>
      <c r="N190" s="2">
        <v>652</v>
      </c>
      <c r="O190" s="2" t="s">
        <v>1042</v>
      </c>
      <c r="P190" s="2">
        <v>0.39</v>
      </c>
      <c r="Q190" s="2">
        <v>0.96</v>
      </c>
      <c r="R190" s="2">
        <v>0</v>
      </c>
      <c r="S190" s="2">
        <v>24</v>
      </c>
      <c r="T190" s="2">
        <v>282967</v>
      </c>
      <c r="U190" s="2">
        <v>2034</v>
      </c>
      <c r="V190" s="2">
        <v>0</v>
      </c>
      <c r="W190" s="2">
        <v>0</v>
      </c>
      <c r="X190" s="2">
        <v>0</v>
      </c>
      <c r="Y190" s="2" t="s">
        <v>1047</v>
      </c>
      <c r="Z190" s="12">
        <f>SUMIF(Table1[product],Table1[[#This Row],[product]],Table1[loan_amount])</f>
        <v>74897600</v>
      </c>
      <c r="AA190" s="15">
        <f>SUMIF(Table1[region],Table1[[#This Row],[region]],Table1[current_balance])</f>
        <v>83297251</v>
      </c>
      <c r="AB190" s="2">
        <f>COUNTIF(Table1[loan_status],Table1[[#This Row],[loan_status]])</f>
        <v>139</v>
      </c>
      <c r="AC190" s="2">
        <f>COUNTIF(Table1[default_flag],1)/ROWS(Table1[loan_id])</f>
        <v>2.5999999999999999E-2</v>
      </c>
      <c r="AD190" s="2">
        <f>COUNTIFS(Table1[region],Table1[[#This Row],[region]],Table1[default_flag],1)/COUNTIF(Table1[region],Table1[[#This Row],[region]])</f>
        <v>3.1914893617021274E-2</v>
      </c>
      <c r="AE190" s="2">
        <f>COUNTIFS(Table1[channel],Table1[[#This Row],[channel]],Table1[prepayment_flag],1)/COUNTIF(Table1[channel],Table1[[#This Row],[channel]])</f>
        <v>7.1090047393364927E-2</v>
      </c>
      <c r="AF190" s="2">
        <f>AVERAGEIFS(Table1[interest_rate_pct],Table1[product],Table1[[#This Row],[product]],Table1[risk_band],Table1[[#This Row],[risk_band]])</f>
        <v>18.603181818181817</v>
      </c>
      <c r="AG190" s="2" t="str" cm="1">
        <f t="array" ref="AG190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190" s="2">
        <f>COUNTIF(Table1[DTI band],Table1[[#This Row],[DTI band]])</f>
        <v>260</v>
      </c>
      <c r="AI190" s="2" t="str" cm="1">
        <f t="array" ref="AI190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190" s="2">
        <f>COUNTIF(Table1[LTV band],Table1[[#This Row],[LTV band]])</f>
        <v>141</v>
      </c>
      <c r="AK190" s="19">
        <f>COUNTIFS(Table1[count_loan_perband],Table1[[#This Row],[count_loan_perband]],Table1[default_flag],1)/COUNTIF(Table1[count_loan_perband],Table1[[#This Row],[count_loan_perband]])</f>
        <v>1.4184397163120567E-2</v>
      </c>
      <c r="AL190" s="19" t="str" cm="1">
        <f t="array" ref="AL190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190" s="19">
        <f>IF(Table1[[#This Row],[dpd]] &gt;=30,1,0)</f>
        <v>0</v>
      </c>
      <c r="AN190" s="19">
        <f>COUNTIFS(Table1[Loan size],Table1[[#This Row],[Loan size]],Table1[dpd flag],1)/COUNTIF(Table1[Loan size],Table1[[#This Row],[Loan size]])</f>
        <v>0.13934426229508196</v>
      </c>
      <c r="AO190" s="19" t="str">
        <f>IF(OR(Table1[[#This Row],[credit_score]] &lt; 600, Table1[ [#This Row],[dti_ratio] ] &gt; 0.5, Table1[[#This Row],[dpd]] &gt;=30), "high risk", " not riskY")</f>
        <v xml:space="preserve"> not riskY</v>
      </c>
      <c r="AP190" s="29">
        <f>EOMONTH(Table1[[#This Row],[origination_date]],0)</f>
        <v>45046</v>
      </c>
      <c r="AQ190" s="19">
        <f>SUMIFS(Table1[loan_amount],Table1[origination month],Table1[[#This Row],[origination month]])</f>
        <v>19321000</v>
      </c>
      <c r="AR190" s="19">
        <f>AVERAGEIFS(Table1[months_on_book],Table1[product],Table1[[#This Row],[product]])</f>
        <v>21.092024539877301</v>
      </c>
      <c r="AS190" s="19" t="str">
        <f ca="1">IF(EDATE(Table1[[#This Row],[origination_date]],6) &gt;= TODAY(), "New Loan", "Old Loan")</f>
        <v>Old Loan</v>
      </c>
      <c r="AT190" s="19" t="str">
        <f>"Q"&amp;ROUNDUP(MONTH(Table1[[#This Row],[origination_date]])/3,0)&amp;YEAR(Table1[[#This Row],[origination_date]])</f>
        <v>Q22023</v>
      </c>
      <c r="AU190" s="19">
        <f>SUMIFS(Table1[loan_amount],Table1[quarter],Table1[[#This Row],[quarter]])</f>
        <v>42051000</v>
      </c>
    </row>
    <row r="191" spans="2:47" x14ac:dyDescent="0.2">
      <c r="B191" s="5" t="s">
        <v>336</v>
      </c>
      <c r="C191" s="2" t="s">
        <v>836</v>
      </c>
      <c r="D191" s="3">
        <v>45058</v>
      </c>
      <c r="E191" s="2" t="s">
        <v>1025</v>
      </c>
      <c r="F191" s="2" t="s">
        <v>1029</v>
      </c>
      <c r="G191" s="2" t="s">
        <v>1037</v>
      </c>
      <c r="H191" s="2" t="s">
        <v>1041</v>
      </c>
      <c r="I191" s="2">
        <v>60</v>
      </c>
      <c r="J191" s="2">
        <v>3041200</v>
      </c>
      <c r="K191" s="2">
        <v>15.76</v>
      </c>
      <c r="L191" s="2">
        <v>73569</v>
      </c>
      <c r="M191" s="2">
        <v>845704</v>
      </c>
      <c r="N191" s="2">
        <v>694</v>
      </c>
      <c r="O191" s="2" t="s">
        <v>1042</v>
      </c>
      <c r="P191" s="2">
        <v>0.39</v>
      </c>
      <c r="Q191" s="2">
        <v>0.71</v>
      </c>
      <c r="R191" s="2">
        <v>4259100</v>
      </c>
      <c r="S191" s="2">
        <v>31</v>
      </c>
      <c r="T191" s="2">
        <v>2105042</v>
      </c>
      <c r="U191" s="2">
        <v>1431428</v>
      </c>
      <c r="V191" s="2">
        <v>0</v>
      </c>
      <c r="W191" s="2">
        <v>0</v>
      </c>
      <c r="X191" s="2">
        <v>0</v>
      </c>
      <c r="Y191" s="2" t="s">
        <v>1049</v>
      </c>
      <c r="Z191" s="12">
        <f>SUMIF(Table1[product],Table1[[#This Row],[product]],Table1[loan_amount])</f>
        <v>201475100</v>
      </c>
      <c r="AA191" s="15">
        <f>SUMIF(Table1[region],Table1[[#This Row],[region]],Table1[current_balance])</f>
        <v>94548000</v>
      </c>
      <c r="AB191" s="2">
        <f>COUNTIF(Table1[loan_status],Table1[[#This Row],[loan_status]])</f>
        <v>301</v>
      </c>
      <c r="AC191" s="2">
        <f>COUNTIF(Table1[default_flag],1)/ROWS(Table1[loan_id])</f>
        <v>2.5999999999999999E-2</v>
      </c>
      <c r="AD191" s="2">
        <f>COUNTIFS(Table1[region],Table1[[#This Row],[region]],Table1[default_flag],1)/COUNTIF(Table1[region],Table1[[#This Row],[region]])</f>
        <v>0</v>
      </c>
      <c r="AE191" s="2">
        <f>COUNTIFS(Table1[channel],Table1[[#This Row],[channel]],Table1[prepayment_flag],1)/COUNTIF(Table1[channel],Table1[[#This Row],[channel]])</f>
        <v>7.1090047393364927E-2</v>
      </c>
      <c r="AF191" s="2">
        <f>AVERAGEIFS(Table1[interest_rate_pct],Table1[product],Table1[[#This Row],[product]],Table1[risk_band],Table1[[#This Row],[risk_band]])</f>
        <v>15.841379310344831</v>
      </c>
      <c r="AG191" s="2" t="str" cm="1">
        <f t="array" ref="AG191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191" s="2">
        <f>COUNTIF(Table1[DTI band],Table1[[#This Row],[DTI band]])</f>
        <v>260</v>
      </c>
      <c r="AI191" s="2" t="str" cm="1">
        <f t="array" ref="AI191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191" s="2">
        <f>COUNTIF(Table1[LTV band],Table1[[#This Row],[LTV band]])</f>
        <v>302</v>
      </c>
      <c r="AK191" s="19">
        <f>COUNTIFS(Table1[count_loan_perband],Table1[[#This Row],[count_loan_perband]],Table1[default_flag],1)/COUNTIF(Table1[count_loan_perband],Table1[[#This Row],[count_loan_perband]])</f>
        <v>3.6423841059602648E-2</v>
      </c>
      <c r="AL191" s="19" t="str" cm="1">
        <f t="array" ref="AL191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191" s="19">
        <f>IF(Table1[[#This Row],[dpd]] &gt;=30,1,0)</f>
        <v>0</v>
      </c>
      <c r="AN191" s="19">
        <f>COUNTIFS(Table1[Loan size],Table1[[#This Row],[Loan size]],Table1[dpd flag],1)/COUNTIF(Table1[Loan size],Table1[[#This Row],[Loan size]])</f>
        <v>0.15909090909090909</v>
      </c>
      <c r="AO191" s="19" t="str">
        <f>IF(OR(Table1[[#This Row],[credit_score]] &lt; 600, Table1[ [#This Row],[dti_ratio] ] &gt; 0.5, Table1[[#This Row],[dpd]] &gt;=30), "high risk", " not riskY")</f>
        <v xml:space="preserve"> not riskY</v>
      </c>
      <c r="AP191" s="29">
        <f>EOMONTH(Table1[[#This Row],[origination_date]],0)</f>
        <v>45077</v>
      </c>
      <c r="AQ191" s="19">
        <f>SUMIFS(Table1[loan_amount],Table1[origination month],Table1[[#This Row],[origination month]])</f>
        <v>12595100</v>
      </c>
      <c r="AR191" s="19">
        <f>AVERAGEIFS(Table1[months_on_book],Table1[product],Table1[[#This Row],[product]])</f>
        <v>19.091954022988507</v>
      </c>
      <c r="AS191" s="19" t="str">
        <f ca="1">IF(EDATE(Table1[[#This Row],[origination_date]],6) &gt;= TODAY(), "New Loan", "Old Loan")</f>
        <v>Old Loan</v>
      </c>
      <c r="AT191" s="19" t="str">
        <f>"Q"&amp;ROUNDUP(MONTH(Table1[[#This Row],[origination_date]])/3,0)&amp;YEAR(Table1[[#This Row],[origination_date]])</f>
        <v>Q22023</v>
      </c>
      <c r="AU191" s="19">
        <f>SUMIFS(Table1[loan_amount],Table1[quarter],Table1[[#This Row],[quarter]])</f>
        <v>42051000</v>
      </c>
    </row>
    <row r="192" spans="2:47" x14ac:dyDescent="0.2">
      <c r="B192" s="5" t="s">
        <v>343</v>
      </c>
      <c r="C192" s="2" t="s">
        <v>843</v>
      </c>
      <c r="D192" s="3">
        <v>45050</v>
      </c>
      <c r="E192" s="2" t="s">
        <v>1028</v>
      </c>
      <c r="F192" s="2" t="s">
        <v>1030</v>
      </c>
      <c r="G192" s="2" t="s">
        <v>1033</v>
      </c>
      <c r="H192" s="2" t="s">
        <v>1040</v>
      </c>
      <c r="I192" s="2">
        <v>48</v>
      </c>
      <c r="J192" s="2">
        <v>2688300</v>
      </c>
      <c r="K192" s="2">
        <v>14.27</v>
      </c>
      <c r="L192" s="2">
        <v>73826</v>
      </c>
      <c r="M192" s="2">
        <v>842683</v>
      </c>
      <c r="N192" s="2">
        <v>665</v>
      </c>
      <c r="O192" s="2" t="s">
        <v>1042</v>
      </c>
      <c r="P192" s="2">
        <v>0.39</v>
      </c>
      <c r="Q192" s="2">
        <v>0.98</v>
      </c>
      <c r="R192" s="2">
        <v>0</v>
      </c>
      <c r="S192" s="2">
        <v>31</v>
      </c>
      <c r="T192" s="2">
        <v>2311452</v>
      </c>
      <c r="U192" s="2">
        <v>773256</v>
      </c>
      <c r="V192" s="2">
        <v>0</v>
      </c>
      <c r="W192" s="2">
        <v>0</v>
      </c>
      <c r="X192" s="2">
        <v>0</v>
      </c>
      <c r="Y192" s="2" t="s">
        <v>1049</v>
      </c>
      <c r="Z192" s="12">
        <f>SUMIF(Table1[product],Table1[[#This Row],[product]],Table1[loan_amount])</f>
        <v>62765800</v>
      </c>
      <c r="AA192" s="15">
        <f>SUMIF(Table1[region],Table1[[#This Row],[region]],Table1[current_balance])</f>
        <v>83297251</v>
      </c>
      <c r="AB192" s="2">
        <f>COUNTIF(Table1[loan_status],Table1[[#This Row],[loan_status]])</f>
        <v>301</v>
      </c>
      <c r="AC192" s="2">
        <f>COUNTIF(Table1[default_flag],1)/ROWS(Table1[loan_id])</f>
        <v>2.5999999999999999E-2</v>
      </c>
      <c r="AD192" s="2">
        <f>COUNTIFS(Table1[region],Table1[[#This Row],[region]],Table1[default_flag],1)/COUNTIF(Table1[region],Table1[[#This Row],[region]])</f>
        <v>3.1914893617021274E-2</v>
      </c>
      <c r="AE192" s="2">
        <f>COUNTIFS(Table1[channel],Table1[[#This Row],[channel]],Table1[prepayment_flag],1)/COUNTIF(Table1[channel],Table1[[#This Row],[channel]])</f>
        <v>5.8201058201058198E-2</v>
      </c>
      <c r="AF192" s="2">
        <f>AVERAGEIFS(Table1[interest_rate_pct],Table1[product],Table1[[#This Row],[product]],Table1[risk_band],Table1[[#This Row],[risk_band]])</f>
        <v>13.463888888888889</v>
      </c>
      <c r="AG192" s="2" t="str" cm="1">
        <f t="array" ref="AG192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192" s="2">
        <f>COUNTIF(Table1[DTI band],Table1[[#This Row],[DTI band]])</f>
        <v>260</v>
      </c>
      <c r="AI192" s="2" t="str" cm="1">
        <f t="array" ref="AI192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192" s="2">
        <f>COUNTIF(Table1[LTV band],Table1[[#This Row],[LTV band]])</f>
        <v>141</v>
      </c>
      <c r="AK192" s="19">
        <f>COUNTIFS(Table1[count_loan_perband],Table1[[#This Row],[count_loan_perband]],Table1[default_flag],1)/COUNTIF(Table1[count_loan_perband],Table1[[#This Row],[count_loan_perband]])</f>
        <v>1.4184397163120567E-2</v>
      </c>
      <c r="AL192" s="19" t="str" cm="1">
        <f t="array" ref="AL192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192" s="19">
        <f>IF(Table1[[#This Row],[dpd]] &gt;=30,1,0)</f>
        <v>0</v>
      </c>
      <c r="AN192" s="19">
        <f>COUNTIFS(Table1[Loan size],Table1[[#This Row],[Loan size]],Table1[dpd flag],1)/COUNTIF(Table1[Loan size],Table1[[#This Row],[Loan size]])</f>
        <v>0.15909090909090909</v>
      </c>
      <c r="AO192" s="19" t="str">
        <f>IF(OR(Table1[[#This Row],[credit_score]] &lt; 600, Table1[ [#This Row],[dti_ratio] ] &gt; 0.5, Table1[[#This Row],[dpd]] &gt;=30), "high risk", " not riskY")</f>
        <v xml:space="preserve"> not riskY</v>
      </c>
      <c r="AP192" s="29">
        <f>EOMONTH(Table1[[#This Row],[origination_date]],0)</f>
        <v>45077</v>
      </c>
      <c r="AQ192" s="19">
        <f>SUMIFS(Table1[loan_amount],Table1[origination month],Table1[[#This Row],[origination month]])</f>
        <v>12595100</v>
      </c>
      <c r="AR192" s="19">
        <f>AVERAGEIFS(Table1[months_on_book],Table1[product],Table1[[#This Row],[product]])</f>
        <v>21.962962962962962</v>
      </c>
      <c r="AS192" s="19" t="str">
        <f ca="1">IF(EDATE(Table1[[#This Row],[origination_date]],6) &gt;= TODAY(), "New Loan", "Old Loan")</f>
        <v>Old Loan</v>
      </c>
      <c r="AT192" s="19" t="str">
        <f>"Q"&amp;ROUNDUP(MONTH(Table1[[#This Row],[origination_date]])/3,0)&amp;YEAR(Table1[[#This Row],[origination_date]])</f>
        <v>Q22023</v>
      </c>
      <c r="AU192" s="19">
        <f>SUMIFS(Table1[loan_amount],Table1[quarter],Table1[[#This Row],[quarter]])</f>
        <v>42051000</v>
      </c>
    </row>
    <row r="193" spans="2:47" x14ac:dyDescent="0.2">
      <c r="B193" s="5" t="s">
        <v>196</v>
      </c>
      <c r="C193" s="2" t="s">
        <v>696</v>
      </c>
      <c r="D193" s="3">
        <v>45038</v>
      </c>
      <c r="E193" s="2" t="s">
        <v>1026</v>
      </c>
      <c r="F193" s="2" t="s">
        <v>1030</v>
      </c>
      <c r="G193" s="2" t="s">
        <v>1033</v>
      </c>
      <c r="H193" s="2" t="s">
        <v>1039</v>
      </c>
      <c r="I193" s="2">
        <v>36</v>
      </c>
      <c r="J193" s="2">
        <v>384400</v>
      </c>
      <c r="K193" s="2">
        <v>17.73</v>
      </c>
      <c r="L193" s="2">
        <v>13845</v>
      </c>
      <c r="M193" s="2">
        <v>1397569</v>
      </c>
      <c r="N193" s="2">
        <v>697</v>
      </c>
      <c r="O193" s="2" t="s">
        <v>1042</v>
      </c>
      <c r="P193" s="2">
        <v>0.38</v>
      </c>
      <c r="Q193" s="2">
        <v>0.85</v>
      </c>
      <c r="R193" s="2">
        <v>0</v>
      </c>
      <c r="S193" s="2">
        <v>32</v>
      </c>
      <c r="T193" s="2">
        <v>391299</v>
      </c>
      <c r="U193" s="2">
        <v>65799</v>
      </c>
      <c r="V193" s="2">
        <v>0</v>
      </c>
      <c r="W193" s="2">
        <v>0</v>
      </c>
      <c r="X193" s="2">
        <v>0</v>
      </c>
      <c r="Y193" s="2" t="s">
        <v>1049</v>
      </c>
      <c r="Z193" s="12">
        <f>SUMIF(Table1[product],Table1[[#This Row],[product]],Table1[loan_amount])</f>
        <v>74897600</v>
      </c>
      <c r="AA193" s="15">
        <f>SUMIF(Table1[region],Table1[[#This Row],[region]],Table1[current_balance])</f>
        <v>83297251</v>
      </c>
      <c r="AB193" s="2">
        <f>COUNTIF(Table1[loan_status],Table1[[#This Row],[loan_status]])</f>
        <v>301</v>
      </c>
      <c r="AC193" s="2">
        <f>COUNTIF(Table1[default_flag],1)/ROWS(Table1[loan_id])</f>
        <v>2.5999999999999999E-2</v>
      </c>
      <c r="AD193" s="2">
        <f>COUNTIFS(Table1[region],Table1[[#This Row],[region]],Table1[default_flag],1)/COUNTIF(Table1[region],Table1[[#This Row],[region]])</f>
        <v>3.1914893617021274E-2</v>
      </c>
      <c r="AE193" s="2">
        <f>COUNTIFS(Table1[channel],Table1[[#This Row],[channel]],Table1[prepayment_flag],1)/COUNTIF(Table1[channel],Table1[[#This Row],[channel]])</f>
        <v>5.8201058201058198E-2</v>
      </c>
      <c r="AF193" s="2">
        <f>AVERAGEIFS(Table1[interest_rate_pct],Table1[product],Table1[[#This Row],[product]],Table1[risk_band],Table1[[#This Row],[risk_band]])</f>
        <v>18.603181818181817</v>
      </c>
      <c r="AG193" s="2" t="str" cm="1">
        <f t="array" ref="AG193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193" s="2">
        <f>COUNTIF(Table1[DTI band],Table1[[#This Row],[DTI band]])</f>
        <v>260</v>
      </c>
      <c r="AI193" s="2" t="str" cm="1">
        <f t="array" ref="AI193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193" s="2">
        <f>COUNTIF(Table1[LTV band],Table1[[#This Row],[LTV band]])</f>
        <v>141</v>
      </c>
      <c r="AK193" s="19">
        <f>COUNTIFS(Table1[count_loan_perband],Table1[[#This Row],[count_loan_perband]],Table1[default_flag],1)/COUNTIF(Table1[count_loan_perband],Table1[[#This Row],[count_loan_perband]])</f>
        <v>1.4184397163120567E-2</v>
      </c>
      <c r="AL193" s="19" t="str" cm="1">
        <f t="array" ref="AL193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193" s="19">
        <f>IF(Table1[[#This Row],[dpd]] &gt;=30,1,0)</f>
        <v>0</v>
      </c>
      <c r="AN193" s="19">
        <f>COUNTIFS(Table1[Loan size],Table1[[#This Row],[Loan size]],Table1[dpd flag],1)/COUNTIF(Table1[Loan size],Table1[[#This Row],[Loan size]])</f>
        <v>0.13934426229508196</v>
      </c>
      <c r="AO193" s="19" t="str">
        <f>IF(OR(Table1[[#This Row],[credit_score]] &lt; 600, Table1[ [#This Row],[dti_ratio] ] &gt; 0.5, Table1[[#This Row],[dpd]] &gt;=30), "high risk", " not riskY")</f>
        <v xml:space="preserve"> not riskY</v>
      </c>
      <c r="AP193" s="29">
        <f>EOMONTH(Table1[[#This Row],[origination_date]],0)</f>
        <v>45046</v>
      </c>
      <c r="AQ193" s="19">
        <f>SUMIFS(Table1[loan_amount],Table1[origination month],Table1[[#This Row],[origination month]])</f>
        <v>19321000</v>
      </c>
      <c r="AR193" s="19">
        <f>AVERAGEIFS(Table1[months_on_book],Table1[product],Table1[[#This Row],[product]])</f>
        <v>21.092024539877301</v>
      </c>
      <c r="AS193" s="19" t="str">
        <f ca="1">IF(EDATE(Table1[[#This Row],[origination_date]],6) &gt;= TODAY(), "New Loan", "Old Loan")</f>
        <v>Old Loan</v>
      </c>
      <c r="AT193" s="19" t="str">
        <f>"Q"&amp;ROUNDUP(MONTH(Table1[[#This Row],[origination_date]])/3,0)&amp;YEAR(Table1[[#This Row],[origination_date]])</f>
        <v>Q22023</v>
      </c>
      <c r="AU193" s="19">
        <f>SUMIFS(Table1[loan_amount],Table1[quarter],Table1[[#This Row],[quarter]])</f>
        <v>42051000</v>
      </c>
    </row>
    <row r="194" spans="2:47" x14ac:dyDescent="0.2">
      <c r="B194" s="5" t="s">
        <v>314</v>
      </c>
      <c r="C194" s="2" t="s">
        <v>814</v>
      </c>
      <c r="D194" s="3">
        <v>45084</v>
      </c>
      <c r="E194" s="2" t="s">
        <v>1026</v>
      </c>
      <c r="F194" s="2" t="s">
        <v>1031</v>
      </c>
      <c r="G194" s="2" t="s">
        <v>1035</v>
      </c>
      <c r="H194" s="2" t="s">
        <v>1041</v>
      </c>
      <c r="I194" s="2">
        <v>36</v>
      </c>
      <c r="J194" s="2">
        <v>494000</v>
      </c>
      <c r="K194" s="2">
        <v>14.77</v>
      </c>
      <c r="L194" s="2">
        <v>17069</v>
      </c>
      <c r="M194" s="2">
        <v>556332</v>
      </c>
      <c r="N194" s="2">
        <v>753</v>
      </c>
      <c r="O194" s="2" t="s">
        <v>1043</v>
      </c>
      <c r="P194" s="2">
        <v>0.36</v>
      </c>
      <c r="Q194" s="2">
        <v>0.66</v>
      </c>
      <c r="R194" s="2">
        <v>0</v>
      </c>
      <c r="S194" s="2">
        <v>30</v>
      </c>
      <c r="T194" s="2">
        <v>509887</v>
      </c>
      <c r="U194" s="2">
        <v>57077</v>
      </c>
      <c r="V194" s="2">
        <v>0</v>
      </c>
      <c r="W194" s="2">
        <v>0</v>
      </c>
      <c r="X194" s="2">
        <v>0</v>
      </c>
      <c r="Y194" s="2" t="s">
        <v>1049</v>
      </c>
      <c r="Z194" s="12">
        <f>SUMIF(Table1[product],Table1[[#This Row],[product]],Table1[loan_amount])</f>
        <v>74897600</v>
      </c>
      <c r="AA194" s="15">
        <f>SUMIF(Table1[region],Table1[[#This Row],[region]],Table1[current_balance])</f>
        <v>83903255</v>
      </c>
      <c r="AB194" s="2">
        <f>COUNTIF(Table1[loan_status],Table1[[#This Row],[loan_status]])</f>
        <v>301</v>
      </c>
      <c r="AC194" s="2">
        <f>COUNTIF(Table1[default_flag],1)/ROWS(Table1[loan_id])</f>
        <v>2.5999999999999999E-2</v>
      </c>
      <c r="AD194" s="2">
        <f>COUNTIFS(Table1[region],Table1[[#This Row],[region]],Table1[default_flag],1)/COUNTIF(Table1[region],Table1[[#This Row],[region]])</f>
        <v>4.2553191489361701E-2</v>
      </c>
      <c r="AE194" s="2">
        <f>COUNTIFS(Table1[channel],Table1[[#This Row],[channel]],Table1[prepayment_flag],1)/COUNTIF(Table1[channel],Table1[[#This Row],[channel]])</f>
        <v>0.12</v>
      </c>
      <c r="AF194" s="2">
        <f>AVERAGEIFS(Table1[interest_rate_pct],Table1[product],Table1[[#This Row],[product]],Table1[risk_band],Table1[[#This Row],[risk_band]])</f>
        <v>13.328333333333335</v>
      </c>
      <c r="AG194" s="2" t="str" cm="1">
        <f t="array" ref="AG194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194" s="2">
        <f>COUNTIF(Table1[DTI band],Table1[[#This Row],[DTI band]])</f>
        <v>260</v>
      </c>
      <c r="AI194" s="2" t="str" cm="1">
        <f t="array" ref="AI194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194" s="2">
        <f>COUNTIF(Table1[LTV band],Table1[[#This Row],[LTV band]])</f>
        <v>302</v>
      </c>
      <c r="AK194" s="19">
        <f>COUNTIFS(Table1[count_loan_perband],Table1[[#This Row],[count_loan_perband]],Table1[default_flag],1)/COUNTIF(Table1[count_loan_perband],Table1[[#This Row],[count_loan_perband]])</f>
        <v>3.6423841059602648E-2</v>
      </c>
      <c r="AL194" s="19" t="str" cm="1">
        <f t="array" ref="AL194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194" s="19">
        <f>IF(Table1[[#This Row],[dpd]] &gt;=30,1,0)</f>
        <v>0</v>
      </c>
      <c r="AN194" s="19">
        <f>COUNTIFS(Table1[Loan size],Table1[[#This Row],[Loan size]],Table1[dpd flag],1)/COUNTIF(Table1[Loan size],Table1[[#This Row],[Loan size]])</f>
        <v>0.13934426229508196</v>
      </c>
      <c r="AO194" s="19" t="str">
        <f>IF(OR(Table1[[#This Row],[credit_score]] &lt; 600, Table1[ [#This Row],[dti_ratio] ] &gt; 0.5, Table1[[#This Row],[dpd]] &gt;=30), "high risk", " not riskY")</f>
        <v xml:space="preserve"> not riskY</v>
      </c>
      <c r="AP194" s="29">
        <f>EOMONTH(Table1[[#This Row],[origination_date]],0)</f>
        <v>45107</v>
      </c>
      <c r="AQ194" s="19">
        <f>SUMIFS(Table1[loan_amount],Table1[origination month],Table1[[#This Row],[origination month]])</f>
        <v>10134900</v>
      </c>
      <c r="AR194" s="19">
        <f>AVERAGEIFS(Table1[months_on_book],Table1[product],Table1[[#This Row],[product]])</f>
        <v>21.092024539877301</v>
      </c>
      <c r="AS194" s="19" t="str">
        <f ca="1">IF(EDATE(Table1[[#This Row],[origination_date]],6) &gt;= TODAY(), "New Loan", "Old Loan")</f>
        <v>Old Loan</v>
      </c>
      <c r="AT194" s="19" t="str">
        <f>"Q"&amp;ROUNDUP(MONTH(Table1[[#This Row],[origination_date]])/3,0)&amp;YEAR(Table1[[#This Row],[origination_date]])</f>
        <v>Q22023</v>
      </c>
      <c r="AU194" s="19">
        <f>SUMIFS(Table1[loan_amount],Table1[quarter],Table1[[#This Row],[quarter]])</f>
        <v>42051000</v>
      </c>
    </row>
    <row r="195" spans="2:47" x14ac:dyDescent="0.2">
      <c r="B195" s="5" t="s">
        <v>419</v>
      </c>
      <c r="C195" s="2" t="s">
        <v>919</v>
      </c>
      <c r="D195" s="3">
        <v>45018</v>
      </c>
      <c r="E195" s="2" t="s">
        <v>1024</v>
      </c>
      <c r="F195" s="2" t="s">
        <v>1032</v>
      </c>
      <c r="G195" s="2" t="s">
        <v>1037</v>
      </c>
      <c r="H195" s="2" t="s">
        <v>1038</v>
      </c>
      <c r="I195" s="2">
        <v>36</v>
      </c>
      <c r="J195" s="2">
        <v>728600</v>
      </c>
      <c r="K195" s="2">
        <v>7</v>
      </c>
      <c r="L195" s="2">
        <v>22497</v>
      </c>
      <c r="M195" s="2">
        <v>1163334</v>
      </c>
      <c r="N195" s="2">
        <v>812</v>
      </c>
      <c r="O195" s="2" t="s">
        <v>1043</v>
      </c>
      <c r="P195" s="2">
        <v>0.36</v>
      </c>
      <c r="Q195" s="2">
        <v>0.8</v>
      </c>
      <c r="R195" s="2">
        <v>908800</v>
      </c>
      <c r="S195" s="2">
        <v>32</v>
      </c>
      <c r="T195" s="2">
        <v>627291</v>
      </c>
      <c r="U195" s="2">
        <v>155711</v>
      </c>
      <c r="V195" s="2">
        <v>0</v>
      </c>
      <c r="W195" s="2">
        <v>0</v>
      </c>
      <c r="X195" s="2">
        <v>0</v>
      </c>
      <c r="Y195" s="2" t="s">
        <v>1049</v>
      </c>
      <c r="Z195" s="12">
        <f>SUMIF(Table1[product],Table1[[#This Row],[product]],Table1[loan_amount])</f>
        <v>92273000</v>
      </c>
      <c r="AA195" s="15">
        <f>SUMIF(Table1[region],Table1[[#This Row],[region]],Table1[current_balance])</f>
        <v>94548000</v>
      </c>
      <c r="AB195" s="2">
        <f>COUNTIF(Table1[loan_status],Table1[[#This Row],[loan_status]])</f>
        <v>301</v>
      </c>
      <c r="AC195" s="2">
        <f>COUNTIF(Table1[default_flag],1)/ROWS(Table1[loan_id])</f>
        <v>2.5999999999999999E-2</v>
      </c>
      <c r="AD195" s="2">
        <f>COUNTIFS(Table1[region],Table1[[#This Row],[region]],Table1[default_flag],1)/COUNTIF(Table1[region],Table1[[#This Row],[region]])</f>
        <v>0</v>
      </c>
      <c r="AE195" s="2">
        <f>COUNTIFS(Table1[channel],Table1[[#This Row],[channel]],Table1[prepayment_flag],1)/COUNTIF(Table1[channel],Table1[[#This Row],[channel]])</f>
        <v>0.1</v>
      </c>
      <c r="AF195" s="2">
        <f>AVERAGEIFS(Table1[interest_rate_pct],Table1[product],Table1[[#This Row],[product]],Table1[risk_band],Table1[[#This Row],[risk_band]])</f>
        <v>7.9444999999999997</v>
      </c>
      <c r="AG195" s="2" t="str" cm="1">
        <f t="array" ref="AG195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195" s="2">
        <f>COUNTIF(Table1[DTI band],Table1[[#This Row],[DTI band]])</f>
        <v>260</v>
      </c>
      <c r="AI195" s="2" t="str" cm="1">
        <f t="array" ref="AI195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195" s="2">
        <f>COUNTIF(Table1[LTV band],Table1[[#This Row],[LTV band]])</f>
        <v>302</v>
      </c>
      <c r="AK195" s="19">
        <f>COUNTIFS(Table1[count_loan_perband],Table1[[#This Row],[count_loan_perband]],Table1[default_flag],1)/COUNTIF(Table1[count_loan_perband],Table1[[#This Row],[count_loan_perband]])</f>
        <v>3.6423841059602648E-2</v>
      </c>
      <c r="AL195" s="19" t="str" cm="1">
        <f t="array" ref="AL195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195" s="19">
        <f>IF(Table1[[#This Row],[dpd]] &gt;=30,1,0)</f>
        <v>0</v>
      </c>
      <c r="AN195" s="19">
        <f>COUNTIFS(Table1[Loan size],Table1[[#This Row],[Loan size]],Table1[dpd flag],1)/COUNTIF(Table1[Loan size],Table1[[#This Row],[Loan size]])</f>
        <v>0.13934426229508196</v>
      </c>
      <c r="AO195" s="19" t="str">
        <f>IF(OR(Table1[[#This Row],[credit_score]] &lt; 600, Table1[ [#This Row],[dti_ratio] ] &gt; 0.5, Table1[[#This Row],[dpd]] &gt;=30), "high risk", " not riskY")</f>
        <v xml:space="preserve"> not riskY</v>
      </c>
      <c r="AP195" s="29">
        <f>EOMONTH(Table1[[#This Row],[origination_date]],0)</f>
        <v>45046</v>
      </c>
      <c r="AQ195" s="19">
        <f>SUMIFS(Table1[loan_amount],Table1[origination month],Table1[[#This Row],[origination month]])</f>
        <v>19321000</v>
      </c>
      <c r="AR195" s="19">
        <f>AVERAGEIFS(Table1[months_on_book],Table1[product],Table1[[#This Row],[product]])</f>
        <v>20.262135922330096</v>
      </c>
      <c r="AS195" s="19" t="str">
        <f ca="1">IF(EDATE(Table1[[#This Row],[origination_date]],6) &gt;= TODAY(), "New Loan", "Old Loan")</f>
        <v>Old Loan</v>
      </c>
      <c r="AT195" s="19" t="str">
        <f>"Q"&amp;ROUNDUP(MONTH(Table1[[#This Row],[origination_date]])/3,0)&amp;YEAR(Table1[[#This Row],[origination_date]])</f>
        <v>Q22023</v>
      </c>
      <c r="AU195" s="19">
        <f>SUMIFS(Table1[loan_amount],Table1[quarter],Table1[[#This Row],[quarter]])</f>
        <v>42051000</v>
      </c>
    </row>
    <row r="196" spans="2:47" x14ac:dyDescent="0.2">
      <c r="B196" s="5" t="s">
        <v>89</v>
      </c>
      <c r="C196" s="2" t="s">
        <v>589</v>
      </c>
      <c r="D196" s="3">
        <v>45094</v>
      </c>
      <c r="E196" s="2" t="s">
        <v>1027</v>
      </c>
      <c r="F196" s="2" t="s">
        <v>1030</v>
      </c>
      <c r="G196" s="2" t="s">
        <v>1035</v>
      </c>
      <c r="H196" s="2" t="s">
        <v>1038</v>
      </c>
      <c r="I196" s="2">
        <v>36</v>
      </c>
      <c r="J196" s="2">
        <v>2882900</v>
      </c>
      <c r="K196" s="2">
        <v>7</v>
      </c>
      <c r="L196" s="2">
        <v>89016</v>
      </c>
      <c r="M196" s="2">
        <v>1196786</v>
      </c>
      <c r="N196" s="2">
        <v>793</v>
      </c>
      <c r="O196" s="2" t="s">
        <v>1043</v>
      </c>
      <c r="P196" s="2">
        <v>0.35</v>
      </c>
      <c r="Q196" s="2">
        <v>0.8</v>
      </c>
      <c r="R196" s="2">
        <v>3616300</v>
      </c>
      <c r="S196" s="2">
        <v>30</v>
      </c>
      <c r="T196" s="2">
        <v>2452214</v>
      </c>
      <c r="U196" s="2">
        <v>632489</v>
      </c>
      <c r="V196" s="2">
        <v>0</v>
      </c>
      <c r="W196" s="2">
        <v>0</v>
      </c>
      <c r="X196" s="2">
        <v>0</v>
      </c>
      <c r="Y196" s="2" t="s">
        <v>1049</v>
      </c>
      <c r="Z196" s="12">
        <f>SUMIF(Table1[product],Table1[[#This Row],[product]],Table1[loan_amount])</f>
        <v>403369500</v>
      </c>
      <c r="AA196" s="15">
        <f>SUMIF(Table1[region],Table1[[#This Row],[region]],Table1[current_balance])</f>
        <v>83903255</v>
      </c>
      <c r="AB196" s="2">
        <f>COUNTIF(Table1[loan_status],Table1[[#This Row],[loan_status]])</f>
        <v>301</v>
      </c>
      <c r="AC196" s="2">
        <f>COUNTIF(Table1[default_flag],1)/ROWS(Table1[loan_id])</f>
        <v>2.5999999999999999E-2</v>
      </c>
      <c r="AD196" s="2">
        <f>COUNTIFS(Table1[region],Table1[[#This Row],[region]],Table1[default_flag],1)/COUNTIF(Table1[region],Table1[[#This Row],[region]])</f>
        <v>4.2553191489361701E-2</v>
      </c>
      <c r="AE196" s="2">
        <f>COUNTIFS(Table1[channel],Table1[[#This Row],[channel]],Table1[prepayment_flag],1)/COUNTIF(Table1[channel],Table1[[#This Row],[channel]])</f>
        <v>5.8201058201058198E-2</v>
      </c>
      <c r="AF196" s="2">
        <f>AVERAGEIFS(Table1[interest_rate_pct],Table1[product],Table1[[#This Row],[product]],Table1[risk_band],Table1[[#This Row],[risk_band]])</f>
        <v>7.1876190476190471</v>
      </c>
      <c r="AG196" s="2" t="str" cm="1">
        <f t="array" ref="AG196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196" s="2">
        <f>COUNTIF(Table1[DTI band],Table1[[#This Row],[DTI band]])</f>
        <v>260</v>
      </c>
      <c r="AI196" s="2" t="str" cm="1">
        <f t="array" ref="AI196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196" s="2">
        <f>COUNTIF(Table1[LTV band],Table1[[#This Row],[LTV band]])</f>
        <v>302</v>
      </c>
      <c r="AK196" s="19">
        <f>COUNTIFS(Table1[count_loan_perband],Table1[[#This Row],[count_loan_perband]],Table1[default_flag],1)/COUNTIF(Table1[count_loan_perband],Table1[[#This Row],[count_loan_perband]])</f>
        <v>3.6423841059602648E-2</v>
      </c>
      <c r="AL196" s="19" t="str" cm="1">
        <f t="array" ref="AL196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196" s="19">
        <f>IF(Table1[[#This Row],[dpd]] &gt;=30,1,0)</f>
        <v>0</v>
      </c>
      <c r="AN196" s="19">
        <f>COUNTIFS(Table1[Loan size],Table1[[#This Row],[Loan size]],Table1[dpd flag],1)/COUNTIF(Table1[Loan size],Table1[[#This Row],[Loan size]])</f>
        <v>0.15909090909090909</v>
      </c>
      <c r="AO196" s="19" t="str">
        <f>IF(OR(Table1[[#This Row],[credit_score]] &lt; 600, Table1[ [#This Row],[dti_ratio] ] &gt; 0.5, Table1[[#This Row],[dpd]] &gt;=30), "high risk", " not riskY")</f>
        <v xml:space="preserve"> not riskY</v>
      </c>
      <c r="AP196" s="29">
        <f>EOMONTH(Table1[[#This Row],[origination_date]],0)</f>
        <v>45107</v>
      </c>
      <c r="AQ196" s="19">
        <f>SUMIFS(Table1[loan_amount],Table1[origination month],Table1[[#This Row],[origination month]])</f>
        <v>10134900</v>
      </c>
      <c r="AR196" s="19">
        <f>AVERAGEIFS(Table1[months_on_book],Table1[product],Table1[[#This Row],[product]])</f>
        <v>20.516129032258064</v>
      </c>
      <c r="AS196" s="19" t="str">
        <f ca="1">IF(EDATE(Table1[[#This Row],[origination_date]],6) &gt;= TODAY(), "New Loan", "Old Loan")</f>
        <v>Old Loan</v>
      </c>
      <c r="AT196" s="19" t="str">
        <f>"Q"&amp;ROUNDUP(MONTH(Table1[[#This Row],[origination_date]])/3,0)&amp;YEAR(Table1[[#This Row],[origination_date]])</f>
        <v>Q22023</v>
      </c>
      <c r="AU196" s="19">
        <f>SUMIFS(Table1[loan_amount],Table1[quarter],Table1[[#This Row],[quarter]])</f>
        <v>42051000</v>
      </c>
    </row>
    <row r="197" spans="2:47" x14ac:dyDescent="0.2">
      <c r="B197" s="5" t="s">
        <v>148</v>
      </c>
      <c r="C197" s="2" t="s">
        <v>648</v>
      </c>
      <c r="D197" s="3">
        <v>45057</v>
      </c>
      <c r="E197" s="2" t="s">
        <v>1026</v>
      </c>
      <c r="F197" s="2" t="s">
        <v>1030</v>
      </c>
      <c r="G197" s="2" t="s">
        <v>1033</v>
      </c>
      <c r="H197" s="2" t="s">
        <v>1038</v>
      </c>
      <c r="I197" s="2">
        <v>48</v>
      </c>
      <c r="J197" s="2">
        <v>889200</v>
      </c>
      <c r="K197" s="2">
        <v>16.8</v>
      </c>
      <c r="L197" s="2">
        <v>25566</v>
      </c>
      <c r="M197" s="2">
        <v>1058898</v>
      </c>
      <c r="N197" s="2">
        <v>715</v>
      </c>
      <c r="O197" s="2" t="s">
        <v>1044</v>
      </c>
      <c r="P197" s="2">
        <v>0.33</v>
      </c>
      <c r="Q197" s="2">
        <v>0.64</v>
      </c>
      <c r="R197" s="2">
        <v>0</v>
      </c>
      <c r="S197" s="2">
        <v>31</v>
      </c>
      <c r="T197" s="2">
        <v>736194</v>
      </c>
      <c r="U197" s="2">
        <v>307371</v>
      </c>
      <c r="V197" s="2">
        <v>90</v>
      </c>
      <c r="W197" s="2">
        <v>0</v>
      </c>
      <c r="X197" s="2">
        <v>1</v>
      </c>
      <c r="Y197" s="2" t="s">
        <v>1050</v>
      </c>
      <c r="Z197" s="12">
        <f>SUMIF(Table1[product],Table1[[#This Row],[product]],Table1[loan_amount])</f>
        <v>74897600</v>
      </c>
      <c r="AA197" s="15">
        <f>SUMIF(Table1[region],Table1[[#This Row],[region]],Table1[current_balance])</f>
        <v>83297251</v>
      </c>
      <c r="AB197" s="2">
        <f>COUNTIF(Table1[loan_status],Table1[[#This Row],[loan_status]])</f>
        <v>13</v>
      </c>
      <c r="AC197" s="2">
        <f>COUNTIF(Table1[default_flag],1)/ROWS(Table1[loan_id])</f>
        <v>2.5999999999999999E-2</v>
      </c>
      <c r="AD197" s="2">
        <f>COUNTIFS(Table1[region],Table1[[#This Row],[region]],Table1[default_flag],1)/COUNTIF(Table1[region],Table1[[#This Row],[region]])</f>
        <v>3.1914893617021274E-2</v>
      </c>
      <c r="AE197" s="2">
        <f>COUNTIFS(Table1[channel],Table1[[#This Row],[channel]],Table1[prepayment_flag],1)/COUNTIF(Table1[channel],Table1[[#This Row],[channel]])</f>
        <v>5.8201058201058198E-2</v>
      </c>
      <c r="AF197" s="2">
        <f>AVERAGEIFS(Table1[interest_rate_pct],Table1[product],Table1[[#This Row],[product]],Table1[risk_band],Table1[[#This Row],[risk_band]])</f>
        <v>16.500166666666669</v>
      </c>
      <c r="AG197" s="2" t="str" cm="1">
        <f t="array" ref="AG197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197" s="2">
        <f>COUNTIF(Table1[DTI band],Table1[[#This Row],[DTI band]])</f>
        <v>260</v>
      </c>
      <c r="AI197" s="2" t="str" cm="1">
        <f t="array" ref="AI197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197" s="2">
        <f>COUNTIF(Table1[LTV band],Table1[[#This Row],[LTV band]])</f>
        <v>302</v>
      </c>
      <c r="AK197" s="19">
        <f>COUNTIFS(Table1[count_loan_perband],Table1[[#This Row],[count_loan_perband]],Table1[default_flag],1)/COUNTIF(Table1[count_loan_perband],Table1[[#This Row],[count_loan_perband]])</f>
        <v>3.6423841059602648E-2</v>
      </c>
      <c r="AL197" s="19" t="str" cm="1">
        <f t="array" ref="AL197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197" s="19">
        <f>IF(Table1[[#This Row],[dpd]] &gt;=30,1,0)</f>
        <v>1</v>
      </c>
      <c r="AN197" s="19">
        <f>COUNTIFS(Table1[Loan size],Table1[[#This Row],[Loan size]],Table1[dpd flag],1)/COUNTIF(Table1[Loan size],Table1[[#This Row],[Loan size]])</f>
        <v>0.13934426229508196</v>
      </c>
      <c r="AO197" s="19" t="str">
        <f>IF(OR(Table1[[#This Row],[credit_score]] &lt; 600, Table1[ [#This Row],[dti_ratio] ] &gt; 0.5, Table1[[#This Row],[dpd]] &gt;=30), "high risk", " not riskY")</f>
        <v>high risk</v>
      </c>
      <c r="AP197" s="29">
        <f>EOMONTH(Table1[[#This Row],[origination_date]],0)</f>
        <v>45077</v>
      </c>
      <c r="AQ197" s="19">
        <f>SUMIFS(Table1[loan_amount],Table1[origination month],Table1[[#This Row],[origination month]])</f>
        <v>12595100</v>
      </c>
      <c r="AR197" s="19">
        <f>AVERAGEIFS(Table1[months_on_book],Table1[product],Table1[[#This Row],[product]])</f>
        <v>21.092024539877301</v>
      </c>
      <c r="AS197" s="19" t="str">
        <f ca="1">IF(EDATE(Table1[[#This Row],[origination_date]],6) &gt;= TODAY(), "New Loan", "Old Loan")</f>
        <v>Old Loan</v>
      </c>
      <c r="AT197" s="19" t="str">
        <f>"Q"&amp;ROUNDUP(MONTH(Table1[[#This Row],[origination_date]])/3,0)&amp;YEAR(Table1[[#This Row],[origination_date]])</f>
        <v>Q22023</v>
      </c>
      <c r="AU197" s="19">
        <f>SUMIFS(Table1[loan_amount],Table1[quarter],Table1[[#This Row],[quarter]])</f>
        <v>42051000</v>
      </c>
    </row>
    <row r="198" spans="2:47" x14ac:dyDescent="0.2">
      <c r="B198" s="5" t="s">
        <v>388</v>
      </c>
      <c r="C198" s="2" t="s">
        <v>888</v>
      </c>
      <c r="D198" s="3">
        <v>45083</v>
      </c>
      <c r="E198" s="2" t="s">
        <v>1024</v>
      </c>
      <c r="F198" s="2" t="s">
        <v>1029</v>
      </c>
      <c r="G198" s="2" t="s">
        <v>1034</v>
      </c>
      <c r="H198" s="2" t="s">
        <v>1038</v>
      </c>
      <c r="I198" s="2">
        <v>84</v>
      </c>
      <c r="J198" s="2">
        <v>1586800</v>
      </c>
      <c r="K198" s="2">
        <v>15.26</v>
      </c>
      <c r="L198" s="2">
        <v>30852</v>
      </c>
      <c r="M198" s="2">
        <v>1673724</v>
      </c>
      <c r="N198" s="2">
        <v>640</v>
      </c>
      <c r="O198" s="2" t="s">
        <v>1045</v>
      </c>
      <c r="P198" s="2">
        <v>0.31</v>
      </c>
      <c r="Q198" s="2">
        <v>0.65</v>
      </c>
      <c r="R198" s="2">
        <v>2434600</v>
      </c>
      <c r="S198" s="2">
        <v>30</v>
      </c>
      <c r="T198" s="2">
        <v>892116</v>
      </c>
      <c r="U198" s="2">
        <v>936830</v>
      </c>
      <c r="V198" s="2">
        <v>5</v>
      </c>
      <c r="W198" s="2">
        <v>0</v>
      </c>
      <c r="X198" s="2">
        <v>0</v>
      </c>
      <c r="Y198" s="2" t="s">
        <v>1049</v>
      </c>
      <c r="Z198" s="12">
        <f>SUMIF(Table1[product],Table1[[#This Row],[product]],Table1[loan_amount])</f>
        <v>92273000</v>
      </c>
      <c r="AA198" s="15">
        <f>SUMIF(Table1[region],Table1[[#This Row],[region]],Table1[current_balance])</f>
        <v>105779369</v>
      </c>
      <c r="AB198" s="2">
        <f>COUNTIF(Table1[loan_status],Table1[[#This Row],[loan_status]])</f>
        <v>301</v>
      </c>
      <c r="AC198" s="2">
        <f>COUNTIF(Table1[default_flag],1)/ROWS(Table1[loan_id])</f>
        <v>2.5999999999999999E-2</v>
      </c>
      <c r="AD198" s="2">
        <f>COUNTIFS(Table1[region],Table1[[#This Row],[region]],Table1[default_flag],1)/COUNTIF(Table1[region],Table1[[#This Row],[region]])</f>
        <v>2.6548672566371681E-2</v>
      </c>
      <c r="AE198" s="2">
        <f>COUNTIFS(Table1[channel],Table1[[#This Row],[channel]],Table1[prepayment_flag],1)/COUNTIF(Table1[channel],Table1[[#This Row],[channel]])</f>
        <v>7.1090047393364927E-2</v>
      </c>
      <c r="AF198" s="2">
        <f>AVERAGEIFS(Table1[interest_rate_pct],Table1[product],Table1[[#This Row],[product]],Table1[risk_band],Table1[[#This Row],[risk_band]])</f>
        <v>15.092000000000001</v>
      </c>
      <c r="AG198" s="2" t="str" cm="1">
        <f t="array" ref="AG198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198" s="2">
        <f>COUNTIF(Table1[DTI band],Table1[[#This Row],[DTI band]])</f>
        <v>260</v>
      </c>
      <c r="AI198" s="2" t="str" cm="1">
        <f t="array" ref="AI198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198" s="2">
        <f>COUNTIF(Table1[LTV band],Table1[[#This Row],[LTV band]])</f>
        <v>302</v>
      </c>
      <c r="AK198" s="19">
        <f>COUNTIFS(Table1[count_loan_perband],Table1[[#This Row],[count_loan_perband]],Table1[default_flag],1)/COUNTIF(Table1[count_loan_perband],Table1[[#This Row],[count_loan_perband]])</f>
        <v>3.6423841059602648E-2</v>
      </c>
      <c r="AL198" s="19" t="str" cm="1">
        <f t="array" ref="AL198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198" s="19">
        <f>IF(Table1[[#This Row],[dpd]] &gt;=30,1,0)</f>
        <v>0</v>
      </c>
      <c r="AN198" s="19">
        <f>COUNTIFS(Table1[Loan size],Table1[[#This Row],[Loan size]],Table1[dpd flag],1)/COUNTIF(Table1[Loan size],Table1[[#This Row],[Loan size]])</f>
        <v>0.15909090909090909</v>
      </c>
      <c r="AO198" s="19" t="str">
        <f>IF(OR(Table1[[#This Row],[credit_score]] &lt; 600, Table1[ [#This Row],[dti_ratio] ] &gt; 0.5, Table1[[#This Row],[dpd]] &gt;=30), "high risk", " not riskY")</f>
        <v xml:space="preserve"> not riskY</v>
      </c>
      <c r="AP198" s="29">
        <f>EOMONTH(Table1[[#This Row],[origination_date]],0)</f>
        <v>45107</v>
      </c>
      <c r="AQ198" s="19">
        <f>SUMIFS(Table1[loan_amount],Table1[origination month],Table1[[#This Row],[origination month]])</f>
        <v>10134900</v>
      </c>
      <c r="AR198" s="19">
        <f>AVERAGEIFS(Table1[months_on_book],Table1[product],Table1[[#This Row],[product]])</f>
        <v>20.262135922330096</v>
      </c>
      <c r="AS198" s="19" t="str">
        <f ca="1">IF(EDATE(Table1[[#This Row],[origination_date]],6) &gt;= TODAY(), "New Loan", "Old Loan")</f>
        <v>Old Loan</v>
      </c>
      <c r="AT198" s="19" t="str">
        <f>"Q"&amp;ROUNDUP(MONTH(Table1[[#This Row],[origination_date]])/3,0)&amp;YEAR(Table1[[#This Row],[origination_date]])</f>
        <v>Q22023</v>
      </c>
      <c r="AU198" s="19">
        <f>SUMIFS(Table1[loan_amount],Table1[quarter],Table1[[#This Row],[quarter]])</f>
        <v>42051000</v>
      </c>
    </row>
    <row r="199" spans="2:47" x14ac:dyDescent="0.2">
      <c r="B199" s="5" t="s">
        <v>383</v>
      </c>
      <c r="C199" s="2" t="s">
        <v>883</v>
      </c>
      <c r="D199" s="3">
        <v>45046</v>
      </c>
      <c r="E199" s="2" t="s">
        <v>1024</v>
      </c>
      <c r="F199" s="2" t="s">
        <v>1029</v>
      </c>
      <c r="G199" s="2" t="s">
        <v>1037</v>
      </c>
      <c r="H199" s="2" t="s">
        <v>1038</v>
      </c>
      <c r="I199" s="2">
        <v>60</v>
      </c>
      <c r="J199" s="2">
        <v>1343600</v>
      </c>
      <c r="K199" s="2">
        <v>15.06</v>
      </c>
      <c r="L199" s="2">
        <v>32006</v>
      </c>
      <c r="M199" s="2">
        <v>1480082</v>
      </c>
      <c r="N199" s="2">
        <v>609</v>
      </c>
      <c r="O199" s="2" t="s">
        <v>1045</v>
      </c>
      <c r="P199" s="2">
        <v>0.28999999999999998</v>
      </c>
      <c r="Q199" s="2">
        <v>0.64</v>
      </c>
      <c r="R199" s="2">
        <v>2084300</v>
      </c>
      <c r="S199" s="2">
        <v>32</v>
      </c>
      <c r="T199" s="2">
        <v>990020</v>
      </c>
      <c r="U199" s="2">
        <v>569416</v>
      </c>
      <c r="V199" s="2">
        <v>0</v>
      </c>
      <c r="W199" s="2">
        <v>0</v>
      </c>
      <c r="X199" s="2">
        <v>0</v>
      </c>
      <c r="Y199" s="2" t="s">
        <v>1049</v>
      </c>
      <c r="Z199" s="12">
        <f>SUMIF(Table1[product],Table1[[#This Row],[product]],Table1[loan_amount])</f>
        <v>92273000</v>
      </c>
      <c r="AA199" s="15">
        <f>SUMIF(Table1[region],Table1[[#This Row],[region]],Table1[current_balance])</f>
        <v>94548000</v>
      </c>
      <c r="AB199" s="2">
        <f>COUNTIF(Table1[loan_status],Table1[[#This Row],[loan_status]])</f>
        <v>301</v>
      </c>
      <c r="AC199" s="2">
        <f>COUNTIF(Table1[default_flag],1)/ROWS(Table1[loan_id])</f>
        <v>2.5999999999999999E-2</v>
      </c>
      <c r="AD199" s="2">
        <f>COUNTIFS(Table1[region],Table1[[#This Row],[region]],Table1[default_flag],1)/COUNTIF(Table1[region],Table1[[#This Row],[region]])</f>
        <v>0</v>
      </c>
      <c r="AE199" s="2">
        <f>COUNTIFS(Table1[channel],Table1[[#This Row],[channel]],Table1[prepayment_flag],1)/COUNTIF(Table1[channel],Table1[[#This Row],[channel]])</f>
        <v>7.1090047393364927E-2</v>
      </c>
      <c r="AF199" s="2">
        <f>AVERAGEIFS(Table1[interest_rate_pct],Table1[product],Table1[[#This Row],[product]],Table1[risk_band],Table1[[#This Row],[risk_band]])</f>
        <v>15.092000000000001</v>
      </c>
      <c r="AG199" s="2" t="str" cm="1">
        <f t="array" ref="AG199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199" s="2">
        <f>COUNTIF(Table1[DTI band],Table1[[#This Row],[DTI band]])</f>
        <v>122</v>
      </c>
      <c r="AI199" s="2" t="str" cm="1">
        <f t="array" ref="AI199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199" s="2">
        <f>COUNTIF(Table1[LTV band],Table1[[#This Row],[LTV band]])</f>
        <v>302</v>
      </c>
      <c r="AK199" s="19">
        <f>COUNTIFS(Table1[count_loan_perband],Table1[[#This Row],[count_loan_perband]],Table1[default_flag],1)/COUNTIF(Table1[count_loan_perband],Table1[[#This Row],[count_loan_perband]])</f>
        <v>3.6423841059602648E-2</v>
      </c>
      <c r="AL199" s="19" t="str" cm="1">
        <f t="array" ref="AL199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199" s="19">
        <f>IF(Table1[[#This Row],[dpd]] &gt;=30,1,0)</f>
        <v>0</v>
      </c>
      <c r="AN199" s="19">
        <f>COUNTIFS(Table1[Loan size],Table1[[#This Row],[Loan size]],Table1[dpd flag],1)/COUNTIF(Table1[Loan size],Table1[[#This Row],[Loan size]])</f>
        <v>0.15909090909090909</v>
      </c>
      <c r="AO199" s="19" t="str">
        <f>IF(OR(Table1[[#This Row],[credit_score]] &lt; 600, Table1[ [#This Row],[dti_ratio] ] &gt; 0.5, Table1[[#This Row],[dpd]] &gt;=30), "high risk", " not riskY")</f>
        <v xml:space="preserve"> not riskY</v>
      </c>
      <c r="AP199" s="29">
        <f>EOMONTH(Table1[[#This Row],[origination_date]],0)</f>
        <v>45046</v>
      </c>
      <c r="AQ199" s="19">
        <f>SUMIFS(Table1[loan_amount],Table1[origination month],Table1[[#This Row],[origination month]])</f>
        <v>19321000</v>
      </c>
      <c r="AR199" s="19">
        <f>AVERAGEIFS(Table1[months_on_book],Table1[product],Table1[[#This Row],[product]])</f>
        <v>20.262135922330096</v>
      </c>
      <c r="AS199" s="19" t="str">
        <f ca="1">IF(EDATE(Table1[[#This Row],[origination_date]],6) &gt;= TODAY(), "New Loan", "Old Loan")</f>
        <v>Old Loan</v>
      </c>
      <c r="AT199" s="19" t="str">
        <f>"Q"&amp;ROUNDUP(MONTH(Table1[[#This Row],[origination_date]])/3,0)&amp;YEAR(Table1[[#This Row],[origination_date]])</f>
        <v>Q22023</v>
      </c>
      <c r="AU199" s="19">
        <f>SUMIFS(Table1[loan_amount],Table1[quarter],Table1[[#This Row],[quarter]])</f>
        <v>42051000</v>
      </c>
    </row>
    <row r="200" spans="2:47" x14ac:dyDescent="0.2">
      <c r="B200" s="5" t="s">
        <v>94</v>
      </c>
      <c r="C200" s="2" t="s">
        <v>594</v>
      </c>
      <c r="D200" s="3">
        <v>45054</v>
      </c>
      <c r="E200" s="2" t="s">
        <v>1026</v>
      </c>
      <c r="F200" s="2" t="s">
        <v>1029</v>
      </c>
      <c r="G200" s="2" t="s">
        <v>1036</v>
      </c>
      <c r="H200" s="2" t="s">
        <v>1039</v>
      </c>
      <c r="I200" s="2">
        <v>18</v>
      </c>
      <c r="J200" s="2">
        <v>332400</v>
      </c>
      <c r="K200" s="2">
        <v>16.309999999999999</v>
      </c>
      <c r="L200" s="2">
        <v>20942</v>
      </c>
      <c r="M200" s="2">
        <v>809135</v>
      </c>
      <c r="N200" s="2">
        <v>726</v>
      </c>
      <c r="O200" s="2" t="s">
        <v>1044</v>
      </c>
      <c r="P200" s="2">
        <v>0.28000000000000003</v>
      </c>
      <c r="Q200" s="2">
        <v>0.68</v>
      </c>
      <c r="R200" s="2">
        <v>0</v>
      </c>
      <c r="S200" s="2">
        <v>18</v>
      </c>
      <c r="T200" s="2">
        <v>380968</v>
      </c>
      <c r="U200" s="2">
        <v>0</v>
      </c>
      <c r="V200" s="2">
        <v>45</v>
      </c>
      <c r="W200" s="2">
        <v>0</v>
      </c>
      <c r="X200" s="2">
        <v>0</v>
      </c>
      <c r="Y200" s="2" t="s">
        <v>1047</v>
      </c>
      <c r="Z200" s="12">
        <f>SUMIF(Table1[product],Table1[[#This Row],[product]],Table1[loan_amount])</f>
        <v>74897600</v>
      </c>
      <c r="AA200" s="15">
        <f>SUMIF(Table1[region],Table1[[#This Row],[region]],Table1[current_balance])</f>
        <v>98928695</v>
      </c>
      <c r="AB200" s="2">
        <f>COUNTIF(Table1[loan_status],Table1[[#This Row],[loan_status]])</f>
        <v>139</v>
      </c>
      <c r="AC200" s="2">
        <f>COUNTIF(Table1[default_flag],1)/ROWS(Table1[loan_id])</f>
        <v>2.5999999999999999E-2</v>
      </c>
      <c r="AD200" s="2">
        <f>COUNTIFS(Table1[region],Table1[[#This Row],[region]],Table1[default_flag],1)/COUNTIF(Table1[region],Table1[[#This Row],[region]])</f>
        <v>2.8571428571428571E-2</v>
      </c>
      <c r="AE200" s="2">
        <f>COUNTIFS(Table1[channel],Table1[[#This Row],[channel]],Table1[prepayment_flag],1)/COUNTIF(Table1[channel],Table1[[#This Row],[channel]])</f>
        <v>7.1090047393364927E-2</v>
      </c>
      <c r="AF200" s="2">
        <f>AVERAGEIFS(Table1[interest_rate_pct],Table1[product],Table1[[#This Row],[product]],Table1[risk_band],Table1[[#This Row],[risk_band]])</f>
        <v>16.500166666666669</v>
      </c>
      <c r="AG200" s="2" t="str" cm="1">
        <f t="array" ref="AG200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200" s="2">
        <f>COUNTIF(Table1[DTI band],Table1[[#This Row],[DTI band]])</f>
        <v>122</v>
      </c>
      <c r="AI200" s="2" t="str" cm="1">
        <f t="array" ref="AI200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200" s="2">
        <f>COUNTIF(Table1[LTV band],Table1[[#This Row],[LTV band]])</f>
        <v>302</v>
      </c>
      <c r="AK200" s="19">
        <f>COUNTIFS(Table1[count_loan_perband],Table1[[#This Row],[count_loan_perband]],Table1[default_flag],1)/COUNTIF(Table1[count_loan_perband],Table1[[#This Row],[count_loan_perband]])</f>
        <v>3.6423841059602648E-2</v>
      </c>
      <c r="AL200" s="19" t="str" cm="1">
        <f t="array" ref="AL200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200" s="19">
        <f>IF(Table1[[#This Row],[dpd]] &gt;=30,1,0)</f>
        <v>1</v>
      </c>
      <c r="AN200" s="19">
        <f>COUNTIFS(Table1[Loan size],Table1[[#This Row],[Loan size]],Table1[dpd flag],1)/COUNTIF(Table1[Loan size],Table1[[#This Row],[Loan size]])</f>
        <v>0.13934426229508196</v>
      </c>
      <c r="AO200" s="19" t="str">
        <f>IF(OR(Table1[[#This Row],[credit_score]] &lt; 600, Table1[ [#This Row],[dti_ratio] ] &gt; 0.5, Table1[[#This Row],[dpd]] &gt;=30), "high risk", " not riskY")</f>
        <v>high risk</v>
      </c>
      <c r="AP200" s="29">
        <f>EOMONTH(Table1[[#This Row],[origination_date]],0)</f>
        <v>45077</v>
      </c>
      <c r="AQ200" s="19">
        <f>SUMIFS(Table1[loan_amount],Table1[origination month],Table1[[#This Row],[origination month]])</f>
        <v>12595100</v>
      </c>
      <c r="AR200" s="19">
        <f>AVERAGEIFS(Table1[months_on_book],Table1[product],Table1[[#This Row],[product]])</f>
        <v>21.092024539877301</v>
      </c>
      <c r="AS200" s="19" t="str">
        <f ca="1">IF(EDATE(Table1[[#This Row],[origination_date]],6) &gt;= TODAY(), "New Loan", "Old Loan")</f>
        <v>Old Loan</v>
      </c>
      <c r="AT200" s="19" t="str">
        <f>"Q"&amp;ROUNDUP(MONTH(Table1[[#This Row],[origination_date]])/3,0)&amp;YEAR(Table1[[#This Row],[origination_date]])</f>
        <v>Q22023</v>
      </c>
      <c r="AU200" s="19">
        <f>SUMIFS(Table1[loan_amount],Table1[quarter],Table1[[#This Row],[quarter]])</f>
        <v>42051000</v>
      </c>
    </row>
    <row r="201" spans="2:47" x14ac:dyDescent="0.2">
      <c r="B201" s="5" t="s">
        <v>280</v>
      </c>
      <c r="C201" s="2" t="s">
        <v>780</v>
      </c>
      <c r="D201" s="3">
        <v>45090</v>
      </c>
      <c r="E201" s="2" t="s">
        <v>1027</v>
      </c>
      <c r="F201" s="2" t="s">
        <v>1030</v>
      </c>
      <c r="G201" s="2" t="s">
        <v>1037</v>
      </c>
      <c r="H201" s="2" t="s">
        <v>1041</v>
      </c>
      <c r="I201" s="2">
        <v>24</v>
      </c>
      <c r="J201" s="2">
        <v>4157700</v>
      </c>
      <c r="K201" s="2">
        <v>7</v>
      </c>
      <c r="L201" s="2">
        <v>186151</v>
      </c>
      <c r="M201" s="2">
        <v>337135</v>
      </c>
      <c r="N201" s="2">
        <v>809</v>
      </c>
      <c r="O201" s="2" t="s">
        <v>1043</v>
      </c>
      <c r="P201" s="2">
        <v>0.27</v>
      </c>
      <c r="Q201" s="2">
        <v>0.81</v>
      </c>
      <c r="R201" s="2">
        <v>5121900</v>
      </c>
      <c r="S201" s="2">
        <v>24</v>
      </c>
      <c r="T201" s="2">
        <v>4377222</v>
      </c>
      <c r="U201" s="2">
        <v>13309</v>
      </c>
      <c r="V201" s="2">
        <v>0</v>
      </c>
      <c r="W201" s="2">
        <v>0</v>
      </c>
      <c r="X201" s="2">
        <v>0</v>
      </c>
      <c r="Y201" s="2" t="s">
        <v>1047</v>
      </c>
      <c r="Z201" s="12">
        <f>SUMIF(Table1[product],Table1[[#This Row],[product]],Table1[loan_amount])</f>
        <v>403369500</v>
      </c>
      <c r="AA201" s="15">
        <f>SUMIF(Table1[region],Table1[[#This Row],[region]],Table1[current_balance])</f>
        <v>94548000</v>
      </c>
      <c r="AB201" s="2">
        <f>COUNTIF(Table1[loan_status],Table1[[#This Row],[loan_status]])</f>
        <v>139</v>
      </c>
      <c r="AC201" s="2">
        <f>COUNTIF(Table1[default_flag],1)/ROWS(Table1[loan_id])</f>
        <v>2.5999999999999999E-2</v>
      </c>
      <c r="AD201" s="2">
        <f>COUNTIFS(Table1[region],Table1[[#This Row],[region]],Table1[default_flag],1)/COUNTIF(Table1[region],Table1[[#This Row],[region]])</f>
        <v>0</v>
      </c>
      <c r="AE201" s="2">
        <f>COUNTIFS(Table1[channel],Table1[[#This Row],[channel]],Table1[prepayment_flag],1)/COUNTIF(Table1[channel],Table1[[#This Row],[channel]])</f>
        <v>5.8201058201058198E-2</v>
      </c>
      <c r="AF201" s="2">
        <f>AVERAGEIFS(Table1[interest_rate_pct],Table1[product],Table1[[#This Row],[product]],Table1[risk_band],Table1[[#This Row],[risk_band]])</f>
        <v>7.1876190476190471</v>
      </c>
      <c r="AG201" s="2" t="str" cm="1">
        <f t="array" ref="AG201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201" s="2">
        <f>COUNTIF(Table1[DTI band],Table1[[#This Row],[DTI band]])</f>
        <v>122</v>
      </c>
      <c r="AI201" s="2" t="str" cm="1">
        <f t="array" ref="AI201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201" s="2">
        <f>COUNTIF(Table1[LTV band],Table1[[#This Row],[LTV band]])</f>
        <v>141</v>
      </c>
      <c r="AK201" s="19">
        <f>COUNTIFS(Table1[count_loan_perband],Table1[[#This Row],[count_loan_perband]],Table1[default_flag],1)/COUNTIF(Table1[count_loan_perband],Table1[[#This Row],[count_loan_perband]])</f>
        <v>1.4184397163120567E-2</v>
      </c>
      <c r="AL201" s="19" t="str" cm="1">
        <f t="array" ref="AL201">_xlfn.IFS(Table1[[#This Row],[loan_amount]] &lt; 900000, "lower size (&lt; 9L)", Table1[[#This Row],[loan_amount]] &lt;=3300000, "medium size (&lt;=33L)", Table1[[#This Row],[loan_amount]] &gt; 3300000, "larger size (&gt; 33L)")</f>
        <v>larger size (&gt; 33L)</v>
      </c>
      <c r="AM201" s="19">
        <f>IF(Table1[[#This Row],[dpd]] &gt;=30,1,0)</f>
        <v>0</v>
      </c>
      <c r="AN201" s="19">
        <f>COUNTIFS(Table1[Loan size],Table1[[#This Row],[Loan size]],Table1[dpd flag],1)/COUNTIF(Table1[Loan size],Table1[[#This Row],[Loan size]])</f>
        <v>0.16250000000000001</v>
      </c>
      <c r="AO201" s="19" t="str">
        <f>IF(OR(Table1[[#This Row],[credit_score]] &lt; 600, Table1[ [#This Row],[dti_ratio] ] &gt; 0.5, Table1[[#This Row],[dpd]] &gt;=30), "high risk", " not riskY")</f>
        <v xml:space="preserve"> not riskY</v>
      </c>
      <c r="AP201" s="29">
        <f>EOMONTH(Table1[[#This Row],[origination_date]],0)</f>
        <v>45107</v>
      </c>
      <c r="AQ201" s="19">
        <f>SUMIFS(Table1[loan_amount],Table1[origination month],Table1[[#This Row],[origination month]])</f>
        <v>10134900</v>
      </c>
      <c r="AR201" s="19">
        <f>AVERAGEIFS(Table1[months_on_book],Table1[product],Table1[[#This Row],[product]])</f>
        <v>20.516129032258064</v>
      </c>
      <c r="AS201" s="19" t="str">
        <f ca="1">IF(EDATE(Table1[[#This Row],[origination_date]],6) &gt;= TODAY(), "New Loan", "Old Loan")</f>
        <v>Old Loan</v>
      </c>
      <c r="AT201" s="19" t="str">
        <f>"Q"&amp;ROUNDUP(MONTH(Table1[[#This Row],[origination_date]])/3,0)&amp;YEAR(Table1[[#This Row],[origination_date]])</f>
        <v>Q22023</v>
      </c>
      <c r="AU201" s="19">
        <f>SUMIFS(Table1[loan_amount],Table1[quarter],Table1[[#This Row],[quarter]])</f>
        <v>42051000</v>
      </c>
    </row>
    <row r="202" spans="2:47" x14ac:dyDescent="0.2">
      <c r="B202" s="5" t="s">
        <v>320</v>
      </c>
      <c r="C202" s="2" t="s">
        <v>820</v>
      </c>
      <c r="D202" s="3">
        <v>45059</v>
      </c>
      <c r="E202" s="2" t="s">
        <v>1025</v>
      </c>
      <c r="F202" s="2" t="s">
        <v>1030</v>
      </c>
      <c r="G202" s="2" t="s">
        <v>1037</v>
      </c>
      <c r="H202" s="2" t="s">
        <v>1041</v>
      </c>
      <c r="I202" s="2">
        <v>84</v>
      </c>
      <c r="J202" s="2">
        <v>1939000</v>
      </c>
      <c r="K202" s="2">
        <v>13.69</v>
      </c>
      <c r="L202" s="2">
        <v>36006</v>
      </c>
      <c r="M202" s="2">
        <v>480844</v>
      </c>
      <c r="N202" s="2">
        <v>712</v>
      </c>
      <c r="O202" s="2" t="s">
        <v>1044</v>
      </c>
      <c r="P202" s="2">
        <v>0.26</v>
      </c>
      <c r="Q202" s="2">
        <v>0.87</v>
      </c>
      <c r="R202" s="2">
        <v>2235100</v>
      </c>
      <c r="S202" s="2">
        <v>31</v>
      </c>
      <c r="T202" s="2">
        <v>1017582</v>
      </c>
      <c r="U202" s="2">
        <v>1195715</v>
      </c>
      <c r="V202" s="2">
        <v>0</v>
      </c>
      <c r="W202" s="2">
        <v>0</v>
      </c>
      <c r="X202" s="2">
        <v>0</v>
      </c>
      <c r="Y202" s="2" t="s">
        <v>1049</v>
      </c>
      <c r="Z202" s="12">
        <f>SUMIF(Table1[product],Table1[[#This Row],[product]],Table1[loan_amount])</f>
        <v>201475100</v>
      </c>
      <c r="AA202" s="15">
        <f>SUMIF(Table1[region],Table1[[#This Row],[region]],Table1[current_balance])</f>
        <v>94548000</v>
      </c>
      <c r="AB202" s="2">
        <f>COUNTIF(Table1[loan_status],Table1[[#This Row],[loan_status]])</f>
        <v>301</v>
      </c>
      <c r="AC202" s="2">
        <f>COUNTIF(Table1[default_flag],1)/ROWS(Table1[loan_id])</f>
        <v>2.5999999999999999E-2</v>
      </c>
      <c r="AD202" s="2">
        <f>COUNTIFS(Table1[region],Table1[[#This Row],[region]],Table1[default_flag],1)/COUNTIF(Table1[region],Table1[[#This Row],[region]])</f>
        <v>0</v>
      </c>
      <c r="AE202" s="2">
        <f>COUNTIFS(Table1[channel],Table1[[#This Row],[channel]],Table1[prepayment_flag],1)/COUNTIF(Table1[channel],Table1[[#This Row],[channel]])</f>
        <v>5.8201058201058198E-2</v>
      </c>
      <c r="AF202" s="2">
        <f>AVERAGEIFS(Table1[interest_rate_pct],Table1[product],Table1[[#This Row],[product]],Table1[risk_band],Table1[[#This Row],[risk_band]])</f>
        <v>13.042631578947367</v>
      </c>
      <c r="AG202" s="2" t="str" cm="1">
        <f t="array" ref="AG202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202" s="2">
        <f>COUNTIF(Table1[DTI band],Table1[[#This Row],[DTI band]])</f>
        <v>122</v>
      </c>
      <c r="AI202" s="2" t="str" cm="1">
        <f t="array" ref="AI202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202" s="2">
        <f>COUNTIF(Table1[LTV band],Table1[[#This Row],[LTV band]])</f>
        <v>141</v>
      </c>
      <c r="AK202" s="19">
        <f>COUNTIFS(Table1[count_loan_perband],Table1[[#This Row],[count_loan_perband]],Table1[default_flag],1)/COUNTIF(Table1[count_loan_perband],Table1[[#This Row],[count_loan_perband]])</f>
        <v>1.4184397163120567E-2</v>
      </c>
      <c r="AL202" s="19" t="str" cm="1">
        <f t="array" ref="AL202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202" s="19">
        <f>IF(Table1[[#This Row],[dpd]] &gt;=30,1,0)</f>
        <v>0</v>
      </c>
      <c r="AN202" s="19">
        <f>COUNTIFS(Table1[Loan size],Table1[[#This Row],[Loan size]],Table1[dpd flag],1)/COUNTIF(Table1[Loan size],Table1[[#This Row],[Loan size]])</f>
        <v>0.15909090909090909</v>
      </c>
      <c r="AO202" s="19" t="str">
        <f>IF(OR(Table1[[#This Row],[credit_score]] &lt; 600, Table1[ [#This Row],[dti_ratio] ] &gt; 0.5, Table1[[#This Row],[dpd]] &gt;=30), "high risk", " not riskY")</f>
        <v xml:space="preserve"> not riskY</v>
      </c>
      <c r="AP202" s="29">
        <f>EOMONTH(Table1[[#This Row],[origination_date]],0)</f>
        <v>45077</v>
      </c>
      <c r="AQ202" s="19">
        <f>SUMIFS(Table1[loan_amount],Table1[origination month],Table1[[#This Row],[origination month]])</f>
        <v>12595100</v>
      </c>
      <c r="AR202" s="19">
        <f>AVERAGEIFS(Table1[months_on_book],Table1[product],Table1[[#This Row],[product]])</f>
        <v>19.091954022988507</v>
      </c>
      <c r="AS202" s="19" t="str">
        <f ca="1">IF(EDATE(Table1[[#This Row],[origination_date]],6) &gt;= TODAY(), "New Loan", "Old Loan")</f>
        <v>Old Loan</v>
      </c>
      <c r="AT202" s="19" t="str">
        <f>"Q"&amp;ROUNDUP(MONTH(Table1[[#This Row],[origination_date]])/3,0)&amp;YEAR(Table1[[#This Row],[origination_date]])</f>
        <v>Q22023</v>
      </c>
      <c r="AU202" s="19">
        <f>SUMIFS(Table1[loan_amount],Table1[quarter],Table1[[#This Row],[quarter]])</f>
        <v>42051000</v>
      </c>
    </row>
    <row r="203" spans="2:47" x14ac:dyDescent="0.2">
      <c r="B203" s="5" t="s">
        <v>409</v>
      </c>
      <c r="C203" s="2" t="s">
        <v>909</v>
      </c>
      <c r="D203" s="3">
        <v>45039</v>
      </c>
      <c r="E203" s="2" t="s">
        <v>1027</v>
      </c>
      <c r="F203" s="2" t="s">
        <v>1029</v>
      </c>
      <c r="G203" s="2" t="s">
        <v>1037</v>
      </c>
      <c r="H203" s="2" t="s">
        <v>1038</v>
      </c>
      <c r="I203" s="2">
        <v>240</v>
      </c>
      <c r="J203" s="2">
        <v>6984600</v>
      </c>
      <c r="K203" s="2">
        <v>11.77</v>
      </c>
      <c r="L203" s="2">
        <v>75789</v>
      </c>
      <c r="M203" s="2">
        <v>975672</v>
      </c>
      <c r="N203" s="2">
        <v>663</v>
      </c>
      <c r="O203" s="2" t="s">
        <v>1042</v>
      </c>
      <c r="P203" s="2">
        <v>0.24</v>
      </c>
      <c r="Q203" s="2">
        <v>0.83</v>
      </c>
      <c r="R203" s="2">
        <v>8422200</v>
      </c>
      <c r="S203" s="2">
        <v>32</v>
      </c>
      <c r="T203" s="2">
        <v>2107384</v>
      </c>
      <c r="U203" s="2">
        <v>5754109</v>
      </c>
      <c r="V203" s="2">
        <v>0</v>
      </c>
      <c r="W203" s="2">
        <v>0</v>
      </c>
      <c r="X203" s="2">
        <v>0</v>
      </c>
      <c r="Y203" s="2" t="s">
        <v>1049</v>
      </c>
      <c r="Z203" s="12">
        <f>SUMIF(Table1[product],Table1[[#This Row],[product]],Table1[loan_amount])</f>
        <v>403369500</v>
      </c>
      <c r="AA203" s="15">
        <f>SUMIF(Table1[region],Table1[[#This Row],[region]],Table1[current_balance])</f>
        <v>94548000</v>
      </c>
      <c r="AB203" s="2">
        <f>COUNTIF(Table1[loan_status],Table1[[#This Row],[loan_status]])</f>
        <v>301</v>
      </c>
      <c r="AC203" s="2">
        <f>COUNTIF(Table1[default_flag],1)/ROWS(Table1[loan_id])</f>
        <v>2.5999999999999999E-2</v>
      </c>
      <c r="AD203" s="2">
        <f>COUNTIFS(Table1[region],Table1[[#This Row],[region]],Table1[default_flag],1)/COUNTIF(Table1[region],Table1[[#This Row],[region]])</f>
        <v>0</v>
      </c>
      <c r="AE203" s="2">
        <f>COUNTIFS(Table1[channel],Table1[[#This Row],[channel]],Table1[prepayment_flag],1)/COUNTIF(Table1[channel],Table1[[#This Row],[channel]])</f>
        <v>7.1090047393364927E-2</v>
      </c>
      <c r="AF203" s="2">
        <f>AVERAGEIFS(Table1[interest_rate_pct],Table1[product],Table1[[#This Row],[product]],Table1[risk_band],Table1[[#This Row],[risk_band]])</f>
        <v>11.719736842105268</v>
      </c>
      <c r="AG203" s="2" t="str" cm="1">
        <f t="array" ref="AG203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203" s="2">
        <f>COUNTIF(Table1[DTI band],Table1[[#This Row],[DTI band]])</f>
        <v>122</v>
      </c>
      <c r="AI203" s="2" t="str" cm="1">
        <f t="array" ref="AI203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203" s="2">
        <f>COUNTIF(Table1[LTV band],Table1[[#This Row],[LTV band]])</f>
        <v>141</v>
      </c>
      <c r="AK203" s="19">
        <f>COUNTIFS(Table1[count_loan_perband],Table1[[#This Row],[count_loan_perband]],Table1[default_flag],1)/COUNTIF(Table1[count_loan_perband],Table1[[#This Row],[count_loan_perband]])</f>
        <v>1.4184397163120567E-2</v>
      </c>
      <c r="AL203" s="19" t="str" cm="1">
        <f t="array" ref="AL203">_xlfn.IFS(Table1[[#This Row],[loan_amount]] &lt; 900000, "lower size (&lt; 9L)", Table1[[#This Row],[loan_amount]] &lt;=3300000, "medium size (&lt;=33L)", Table1[[#This Row],[loan_amount]] &gt; 3300000, "larger size (&gt; 33L)")</f>
        <v>larger size (&gt; 33L)</v>
      </c>
      <c r="AM203" s="19">
        <f>IF(Table1[[#This Row],[dpd]] &gt;=30,1,0)</f>
        <v>0</v>
      </c>
      <c r="AN203" s="19">
        <f>COUNTIFS(Table1[Loan size],Table1[[#This Row],[Loan size]],Table1[dpd flag],1)/COUNTIF(Table1[Loan size],Table1[[#This Row],[Loan size]])</f>
        <v>0.16250000000000001</v>
      </c>
      <c r="AO203" s="19" t="str">
        <f>IF(OR(Table1[[#This Row],[credit_score]] &lt; 600, Table1[ [#This Row],[dti_ratio] ] &gt; 0.5, Table1[[#This Row],[dpd]] &gt;=30), "high risk", " not riskY")</f>
        <v xml:space="preserve"> not riskY</v>
      </c>
      <c r="AP203" s="29">
        <f>EOMONTH(Table1[[#This Row],[origination_date]],0)</f>
        <v>45046</v>
      </c>
      <c r="AQ203" s="19">
        <f>SUMIFS(Table1[loan_amount],Table1[origination month],Table1[[#This Row],[origination month]])</f>
        <v>19321000</v>
      </c>
      <c r="AR203" s="19">
        <f>AVERAGEIFS(Table1[months_on_book],Table1[product],Table1[[#This Row],[product]])</f>
        <v>20.516129032258064</v>
      </c>
      <c r="AS203" s="19" t="str">
        <f ca="1">IF(EDATE(Table1[[#This Row],[origination_date]],6) &gt;= TODAY(), "New Loan", "Old Loan")</f>
        <v>Old Loan</v>
      </c>
      <c r="AT203" s="19" t="str">
        <f>"Q"&amp;ROUNDUP(MONTH(Table1[[#This Row],[origination_date]])/3,0)&amp;YEAR(Table1[[#This Row],[origination_date]])</f>
        <v>Q22023</v>
      </c>
      <c r="AU203" s="19">
        <f>SUMIFS(Table1[loan_amount],Table1[quarter],Table1[[#This Row],[quarter]])</f>
        <v>42051000</v>
      </c>
    </row>
    <row r="204" spans="2:47" x14ac:dyDescent="0.2">
      <c r="B204" s="5" t="s">
        <v>169</v>
      </c>
      <c r="C204" s="2" t="s">
        <v>669</v>
      </c>
      <c r="D204" s="3">
        <v>45089</v>
      </c>
      <c r="E204" s="2" t="s">
        <v>1026</v>
      </c>
      <c r="F204" s="2" t="s">
        <v>1029</v>
      </c>
      <c r="G204" s="2" t="s">
        <v>1037</v>
      </c>
      <c r="H204" s="2" t="s">
        <v>1039</v>
      </c>
      <c r="I204" s="2">
        <v>12</v>
      </c>
      <c r="J204" s="2">
        <v>227300</v>
      </c>
      <c r="K204" s="2">
        <v>14.03</v>
      </c>
      <c r="L204" s="2">
        <v>20412</v>
      </c>
      <c r="M204" s="2">
        <v>850509</v>
      </c>
      <c r="N204" s="2">
        <v>756</v>
      </c>
      <c r="O204" s="2" t="s">
        <v>1043</v>
      </c>
      <c r="P204" s="2">
        <v>0.23</v>
      </c>
      <c r="Q204" s="2">
        <v>0.72</v>
      </c>
      <c r="R204" s="2">
        <v>0</v>
      </c>
      <c r="S204" s="2">
        <v>12</v>
      </c>
      <c r="T204" s="2">
        <v>223150</v>
      </c>
      <c r="U204" s="2">
        <v>16906</v>
      </c>
      <c r="V204" s="2">
        <v>0</v>
      </c>
      <c r="W204" s="2">
        <v>0</v>
      </c>
      <c r="X204" s="2">
        <v>0</v>
      </c>
      <c r="Y204" s="2" t="s">
        <v>1047</v>
      </c>
      <c r="Z204" s="12">
        <f>SUMIF(Table1[product],Table1[[#This Row],[product]],Table1[loan_amount])</f>
        <v>74897600</v>
      </c>
      <c r="AA204" s="15">
        <f>SUMIF(Table1[region],Table1[[#This Row],[region]],Table1[current_balance])</f>
        <v>94548000</v>
      </c>
      <c r="AB204" s="2">
        <f>COUNTIF(Table1[loan_status],Table1[[#This Row],[loan_status]])</f>
        <v>139</v>
      </c>
      <c r="AC204" s="2">
        <f>COUNTIF(Table1[default_flag],1)/ROWS(Table1[loan_id])</f>
        <v>2.5999999999999999E-2</v>
      </c>
      <c r="AD204" s="2">
        <f>COUNTIFS(Table1[region],Table1[[#This Row],[region]],Table1[default_flag],1)/COUNTIF(Table1[region],Table1[[#This Row],[region]])</f>
        <v>0</v>
      </c>
      <c r="AE204" s="2">
        <f>COUNTIFS(Table1[channel],Table1[[#This Row],[channel]],Table1[prepayment_flag],1)/COUNTIF(Table1[channel],Table1[[#This Row],[channel]])</f>
        <v>7.1090047393364927E-2</v>
      </c>
      <c r="AF204" s="2">
        <f>AVERAGEIFS(Table1[interest_rate_pct],Table1[product],Table1[[#This Row],[product]],Table1[risk_band],Table1[[#This Row],[risk_band]])</f>
        <v>13.328333333333335</v>
      </c>
      <c r="AG204" s="2" t="str" cm="1">
        <f t="array" ref="AG204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204" s="2">
        <f>COUNTIF(Table1[DTI band],Table1[[#This Row],[DTI band]])</f>
        <v>122</v>
      </c>
      <c r="AI204" s="2" t="str" cm="1">
        <f t="array" ref="AI204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204" s="2">
        <f>COUNTIF(Table1[LTV band],Table1[[#This Row],[LTV band]])</f>
        <v>302</v>
      </c>
      <c r="AK204" s="19">
        <f>COUNTIFS(Table1[count_loan_perband],Table1[[#This Row],[count_loan_perband]],Table1[default_flag],1)/COUNTIF(Table1[count_loan_perband],Table1[[#This Row],[count_loan_perband]])</f>
        <v>3.6423841059602648E-2</v>
      </c>
      <c r="AL204" s="19" t="str" cm="1">
        <f t="array" ref="AL204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204" s="19">
        <f>IF(Table1[[#This Row],[dpd]] &gt;=30,1,0)</f>
        <v>0</v>
      </c>
      <c r="AN204" s="19">
        <f>COUNTIFS(Table1[Loan size],Table1[[#This Row],[Loan size]],Table1[dpd flag],1)/COUNTIF(Table1[Loan size],Table1[[#This Row],[Loan size]])</f>
        <v>0.13934426229508196</v>
      </c>
      <c r="AO204" s="19" t="str">
        <f>IF(OR(Table1[[#This Row],[credit_score]] &lt; 600, Table1[ [#This Row],[dti_ratio] ] &gt; 0.5, Table1[[#This Row],[dpd]] &gt;=30), "high risk", " not riskY")</f>
        <v xml:space="preserve"> not riskY</v>
      </c>
      <c r="AP204" s="29">
        <f>EOMONTH(Table1[[#This Row],[origination_date]],0)</f>
        <v>45107</v>
      </c>
      <c r="AQ204" s="19">
        <f>SUMIFS(Table1[loan_amount],Table1[origination month],Table1[[#This Row],[origination month]])</f>
        <v>10134900</v>
      </c>
      <c r="AR204" s="19">
        <f>AVERAGEIFS(Table1[months_on_book],Table1[product],Table1[[#This Row],[product]])</f>
        <v>21.092024539877301</v>
      </c>
      <c r="AS204" s="19" t="str">
        <f ca="1">IF(EDATE(Table1[[#This Row],[origination_date]],6) &gt;= TODAY(), "New Loan", "Old Loan")</f>
        <v>Old Loan</v>
      </c>
      <c r="AT204" s="19" t="str">
        <f>"Q"&amp;ROUNDUP(MONTH(Table1[[#This Row],[origination_date]])/3,0)&amp;YEAR(Table1[[#This Row],[origination_date]])</f>
        <v>Q22023</v>
      </c>
      <c r="AU204" s="19">
        <f>SUMIFS(Table1[loan_amount],Table1[quarter],Table1[[#This Row],[quarter]])</f>
        <v>42051000</v>
      </c>
    </row>
    <row r="205" spans="2:47" x14ac:dyDescent="0.2">
      <c r="B205" s="5" t="s">
        <v>223</v>
      </c>
      <c r="C205" s="2" t="s">
        <v>723</v>
      </c>
      <c r="D205" s="3">
        <v>45052</v>
      </c>
      <c r="E205" s="2" t="s">
        <v>1026</v>
      </c>
      <c r="F205" s="2" t="s">
        <v>1030</v>
      </c>
      <c r="G205" s="2" t="s">
        <v>1036</v>
      </c>
      <c r="H205" s="2" t="s">
        <v>1039</v>
      </c>
      <c r="I205" s="2">
        <v>240</v>
      </c>
      <c r="J205" s="2">
        <v>423700</v>
      </c>
      <c r="K205" s="2">
        <v>15.19</v>
      </c>
      <c r="L205" s="2">
        <v>5639</v>
      </c>
      <c r="M205" s="2">
        <v>712661</v>
      </c>
      <c r="N205" s="2">
        <v>746</v>
      </c>
      <c r="O205" s="2" t="s">
        <v>1044</v>
      </c>
      <c r="P205" s="2">
        <v>0.23</v>
      </c>
      <c r="Q205" s="2">
        <v>0.73</v>
      </c>
      <c r="R205" s="2">
        <v>0</v>
      </c>
      <c r="S205" s="2">
        <v>31</v>
      </c>
      <c r="T205" s="2">
        <v>175266</v>
      </c>
      <c r="U205" s="2">
        <v>314939</v>
      </c>
      <c r="V205" s="2">
        <v>5</v>
      </c>
      <c r="W205" s="2">
        <v>0</v>
      </c>
      <c r="X205" s="2">
        <v>0</v>
      </c>
      <c r="Y205" s="2" t="s">
        <v>1049</v>
      </c>
      <c r="Z205" s="12">
        <f>SUMIF(Table1[product],Table1[[#This Row],[product]],Table1[loan_amount])</f>
        <v>74897600</v>
      </c>
      <c r="AA205" s="15">
        <f>SUMIF(Table1[region],Table1[[#This Row],[region]],Table1[current_balance])</f>
        <v>98928695</v>
      </c>
      <c r="AB205" s="2">
        <f>COUNTIF(Table1[loan_status],Table1[[#This Row],[loan_status]])</f>
        <v>301</v>
      </c>
      <c r="AC205" s="2">
        <f>COUNTIF(Table1[default_flag],1)/ROWS(Table1[loan_id])</f>
        <v>2.5999999999999999E-2</v>
      </c>
      <c r="AD205" s="2">
        <f>COUNTIFS(Table1[region],Table1[[#This Row],[region]],Table1[default_flag],1)/COUNTIF(Table1[region],Table1[[#This Row],[region]])</f>
        <v>2.8571428571428571E-2</v>
      </c>
      <c r="AE205" s="2">
        <f>COUNTIFS(Table1[channel],Table1[[#This Row],[channel]],Table1[prepayment_flag],1)/COUNTIF(Table1[channel],Table1[[#This Row],[channel]])</f>
        <v>5.8201058201058198E-2</v>
      </c>
      <c r="AF205" s="2">
        <f>AVERAGEIFS(Table1[interest_rate_pct],Table1[product],Table1[[#This Row],[product]],Table1[risk_band],Table1[[#This Row],[risk_band]])</f>
        <v>16.500166666666669</v>
      </c>
      <c r="AG205" s="2" t="str" cm="1">
        <f t="array" ref="AG205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205" s="2">
        <f>COUNTIF(Table1[DTI band],Table1[[#This Row],[DTI band]])</f>
        <v>122</v>
      </c>
      <c r="AI205" s="2" t="str" cm="1">
        <f t="array" ref="AI205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205" s="2">
        <f>COUNTIF(Table1[LTV band],Table1[[#This Row],[LTV band]])</f>
        <v>302</v>
      </c>
      <c r="AK205" s="19">
        <f>COUNTIFS(Table1[count_loan_perband],Table1[[#This Row],[count_loan_perband]],Table1[default_flag],1)/COUNTIF(Table1[count_loan_perband],Table1[[#This Row],[count_loan_perband]])</f>
        <v>3.6423841059602648E-2</v>
      </c>
      <c r="AL205" s="19" t="str" cm="1">
        <f t="array" ref="AL205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205" s="19">
        <f>IF(Table1[[#This Row],[dpd]] &gt;=30,1,0)</f>
        <v>0</v>
      </c>
      <c r="AN205" s="19">
        <f>COUNTIFS(Table1[Loan size],Table1[[#This Row],[Loan size]],Table1[dpd flag],1)/COUNTIF(Table1[Loan size],Table1[[#This Row],[Loan size]])</f>
        <v>0.13934426229508196</v>
      </c>
      <c r="AO205" s="19" t="str">
        <f>IF(OR(Table1[[#This Row],[credit_score]] &lt; 600, Table1[ [#This Row],[dti_ratio] ] &gt; 0.5, Table1[[#This Row],[dpd]] &gt;=30), "high risk", " not riskY")</f>
        <v xml:space="preserve"> not riskY</v>
      </c>
      <c r="AP205" s="29">
        <f>EOMONTH(Table1[[#This Row],[origination_date]],0)</f>
        <v>45077</v>
      </c>
      <c r="AQ205" s="19">
        <f>SUMIFS(Table1[loan_amount],Table1[origination month],Table1[[#This Row],[origination month]])</f>
        <v>12595100</v>
      </c>
      <c r="AR205" s="19">
        <f>AVERAGEIFS(Table1[months_on_book],Table1[product],Table1[[#This Row],[product]])</f>
        <v>21.092024539877301</v>
      </c>
      <c r="AS205" s="19" t="str">
        <f ca="1">IF(EDATE(Table1[[#This Row],[origination_date]],6) &gt;= TODAY(), "New Loan", "Old Loan")</f>
        <v>Old Loan</v>
      </c>
      <c r="AT205" s="19" t="str">
        <f>"Q"&amp;ROUNDUP(MONTH(Table1[[#This Row],[origination_date]])/3,0)&amp;YEAR(Table1[[#This Row],[origination_date]])</f>
        <v>Q22023</v>
      </c>
      <c r="AU205" s="19">
        <f>SUMIFS(Table1[loan_amount],Table1[quarter],Table1[[#This Row],[quarter]])</f>
        <v>42051000</v>
      </c>
    </row>
    <row r="206" spans="2:47" x14ac:dyDescent="0.2">
      <c r="B206" s="5" t="s">
        <v>158</v>
      </c>
      <c r="C206" s="2" t="s">
        <v>658</v>
      </c>
      <c r="D206" s="3">
        <v>45035</v>
      </c>
      <c r="E206" s="2" t="s">
        <v>1026</v>
      </c>
      <c r="F206" s="2" t="s">
        <v>1029</v>
      </c>
      <c r="G206" s="2" t="s">
        <v>1034</v>
      </c>
      <c r="H206" s="2" t="s">
        <v>1038</v>
      </c>
      <c r="I206" s="2">
        <v>24</v>
      </c>
      <c r="J206" s="2">
        <v>320100</v>
      </c>
      <c r="K206" s="2">
        <v>18.09</v>
      </c>
      <c r="L206" s="2">
        <v>15995</v>
      </c>
      <c r="M206" s="2">
        <v>1008294</v>
      </c>
      <c r="N206" s="2">
        <v>700</v>
      </c>
      <c r="O206" s="2" t="s">
        <v>1044</v>
      </c>
      <c r="P206" s="2">
        <v>0.22</v>
      </c>
      <c r="Q206" s="2">
        <v>0.68</v>
      </c>
      <c r="R206" s="2">
        <v>0</v>
      </c>
      <c r="S206" s="2">
        <v>24</v>
      </c>
      <c r="T206" s="2">
        <v>370939</v>
      </c>
      <c r="U206" s="2">
        <v>0</v>
      </c>
      <c r="V206" s="2">
        <v>0</v>
      </c>
      <c r="W206" s="2">
        <v>0</v>
      </c>
      <c r="X206" s="2">
        <v>0</v>
      </c>
      <c r="Y206" s="2" t="s">
        <v>1047</v>
      </c>
      <c r="Z206" s="12">
        <f>SUMIF(Table1[product],Table1[[#This Row],[product]],Table1[loan_amount])</f>
        <v>74897600</v>
      </c>
      <c r="AA206" s="15">
        <f>SUMIF(Table1[region],Table1[[#This Row],[region]],Table1[current_balance])</f>
        <v>105779369</v>
      </c>
      <c r="AB206" s="2">
        <f>COUNTIF(Table1[loan_status],Table1[[#This Row],[loan_status]])</f>
        <v>139</v>
      </c>
      <c r="AC206" s="2">
        <f>COUNTIF(Table1[default_flag],1)/ROWS(Table1[loan_id])</f>
        <v>2.5999999999999999E-2</v>
      </c>
      <c r="AD206" s="2">
        <f>COUNTIFS(Table1[region],Table1[[#This Row],[region]],Table1[default_flag],1)/COUNTIF(Table1[region],Table1[[#This Row],[region]])</f>
        <v>2.6548672566371681E-2</v>
      </c>
      <c r="AE206" s="2">
        <f>COUNTIFS(Table1[channel],Table1[[#This Row],[channel]],Table1[prepayment_flag],1)/COUNTIF(Table1[channel],Table1[[#This Row],[channel]])</f>
        <v>7.1090047393364927E-2</v>
      </c>
      <c r="AF206" s="2">
        <f>AVERAGEIFS(Table1[interest_rate_pct],Table1[product],Table1[[#This Row],[product]],Table1[risk_band],Table1[[#This Row],[risk_band]])</f>
        <v>16.500166666666669</v>
      </c>
      <c r="AG206" s="2" t="str" cm="1">
        <f t="array" ref="AG206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206" s="2">
        <f>COUNTIF(Table1[DTI band],Table1[[#This Row],[DTI band]])</f>
        <v>122</v>
      </c>
      <c r="AI206" s="2" t="str" cm="1">
        <f t="array" ref="AI206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206" s="2">
        <f>COUNTIF(Table1[LTV band],Table1[[#This Row],[LTV band]])</f>
        <v>302</v>
      </c>
      <c r="AK206" s="19">
        <f>COUNTIFS(Table1[count_loan_perband],Table1[[#This Row],[count_loan_perband]],Table1[default_flag],1)/COUNTIF(Table1[count_loan_perband],Table1[[#This Row],[count_loan_perband]])</f>
        <v>3.6423841059602648E-2</v>
      </c>
      <c r="AL206" s="19" t="str" cm="1">
        <f t="array" ref="AL206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206" s="19">
        <f>IF(Table1[[#This Row],[dpd]] &gt;=30,1,0)</f>
        <v>0</v>
      </c>
      <c r="AN206" s="19">
        <f>COUNTIFS(Table1[Loan size],Table1[[#This Row],[Loan size]],Table1[dpd flag],1)/COUNTIF(Table1[Loan size],Table1[[#This Row],[Loan size]])</f>
        <v>0.13934426229508196</v>
      </c>
      <c r="AO206" s="19" t="str">
        <f>IF(OR(Table1[[#This Row],[credit_score]] &lt; 600, Table1[ [#This Row],[dti_ratio] ] &gt; 0.5, Table1[[#This Row],[dpd]] &gt;=30), "high risk", " not riskY")</f>
        <v xml:space="preserve"> not riskY</v>
      </c>
      <c r="AP206" s="29">
        <f>EOMONTH(Table1[[#This Row],[origination_date]],0)</f>
        <v>45046</v>
      </c>
      <c r="AQ206" s="19">
        <f>SUMIFS(Table1[loan_amount],Table1[origination month],Table1[[#This Row],[origination month]])</f>
        <v>19321000</v>
      </c>
      <c r="AR206" s="19">
        <f>AVERAGEIFS(Table1[months_on_book],Table1[product],Table1[[#This Row],[product]])</f>
        <v>21.092024539877301</v>
      </c>
      <c r="AS206" s="19" t="str">
        <f ca="1">IF(EDATE(Table1[[#This Row],[origination_date]],6) &gt;= TODAY(), "New Loan", "Old Loan")</f>
        <v>Old Loan</v>
      </c>
      <c r="AT206" s="19" t="str">
        <f>"Q"&amp;ROUNDUP(MONTH(Table1[[#This Row],[origination_date]])/3,0)&amp;YEAR(Table1[[#This Row],[origination_date]])</f>
        <v>Q22023</v>
      </c>
      <c r="AU206" s="19">
        <f>SUMIFS(Table1[loan_amount],Table1[quarter],Table1[[#This Row],[quarter]])</f>
        <v>42051000</v>
      </c>
    </row>
    <row r="207" spans="2:47" x14ac:dyDescent="0.2">
      <c r="B207" s="5" t="s">
        <v>233</v>
      </c>
      <c r="C207" s="2" t="s">
        <v>733</v>
      </c>
      <c r="D207" s="3">
        <v>45063</v>
      </c>
      <c r="E207" s="2" t="s">
        <v>1026</v>
      </c>
      <c r="F207" s="2" t="s">
        <v>1029</v>
      </c>
      <c r="G207" s="2" t="s">
        <v>1036</v>
      </c>
      <c r="H207" s="2" t="s">
        <v>1041</v>
      </c>
      <c r="I207" s="2">
        <v>24</v>
      </c>
      <c r="J207" s="2">
        <v>826100</v>
      </c>
      <c r="K207" s="2">
        <v>16.63</v>
      </c>
      <c r="L207" s="2">
        <v>40698</v>
      </c>
      <c r="M207" s="2">
        <v>1504146</v>
      </c>
      <c r="N207" s="2">
        <v>722</v>
      </c>
      <c r="O207" s="2" t="s">
        <v>1044</v>
      </c>
      <c r="P207" s="2">
        <v>0.22</v>
      </c>
      <c r="Q207" s="2">
        <v>0.77</v>
      </c>
      <c r="R207" s="2">
        <v>0</v>
      </c>
      <c r="S207" s="2">
        <v>24</v>
      </c>
      <c r="T207" s="2">
        <v>845837</v>
      </c>
      <c r="U207" s="2">
        <v>90167</v>
      </c>
      <c r="V207" s="2">
        <v>0</v>
      </c>
      <c r="W207" s="2">
        <v>0</v>
      </c>
      <c r="X207" s="2">
        <v>0</v>
      </c>
      <c r="Y207" s="2" t="s">
        <v>1047</v>
      </c>
      <c r="Z207" s="12">
        <f>SUMIF(Table1[product],Table1[[#This Row],[product]],Table1[loan_amount])</f>
        <v>74897600</v>
      </c>
      <c r="AA207" s="15">
        <f>SUMIF(Table1[region],Table1[[#This Row],[region]],Table1[current_balance])</f>
        <v>98928695</v>
      </c>
      <c r="AB207" s="2">
        <f>COUNTIF(Table1[loan_status],Table1[[#This Row],[loan_status]])</f>
        <v>139</v>
      </c>
      <c r="AC207" s="2">
        <f>COUNTIF(Table1[default_flag],1)/ROWS(Table1[loan_id])</f>
        <v>2.5999999999999999E-2</v>
      </c>
      <c r="AD207" s="2">
        <f>COUNTIFS(Table1[region],Table1[[#This Row],[region]],Table1[default_flag],1)/COUNTIF(Table1[region],Table1[[#This Row],[region]])</f>
        <v>2.8571428571428571E-2</v>
      </c>
      <c r="AE207" s="2">
        <f>COUNTIFS(Table1[channel],Table1[[#This Row],[channel]],Table1[prepayment_flag],1)/COUNTIF(Table1[channel],Table1[[#This Row],[channel]])</f>
        <v>7.1090047393364927E-2</v>
      </c>
      <c r="AF207" s="2">
        <f>AVERAGEIFS(Table1[interest_rate_pct],Table1[product],Table1[[#This Row],[product]],Table1[risk_band],Table1[[#This Row],[risk_band]])</f>
        <v>16.500166666666669</v>
      </c>
      <c r="AG207" s="2" t="str" cm="1">
        <f t="array" ref="AG207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207" s="2">
        <f>COUNTIF(Table1[DTI band],Table1[[#This Row],[DTI band]])</f>
        <v>122</v>
      </c>
      <c r="AI207" s="2" t="str" cm="1">
        <f t="array" ref="AI207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207" s="2">
        <f>COUNTIF(Table1[LTV band],Table1[[#This Row],[LTV band]])</f>
        <v>302</v>
      </c>
      <c r="AK207" s="19">
        <f>COUNTIFS(Table1[count_loan_perband],Table1[[#This Row],[count_loan_perband]],Table1[default_flag],1)/COUNTIF(Table1[count_loan_perband],Table1[[#This Row],[count_loan_perband]])</f>
        <v>3.6423841059602648E-2</v>
      </c>
      <c r="AL207" s="19" t="str" cm="1">
        <f t="array" ref="AL207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207" s="19">
        <f>IF(Table1[[#This Row],[dpd]] &gt;=30,1,0)</f>
        <v>0</v>
      </c>
      <c r="AN207" s="19">
        <f>COUNTIFS(Table1[Loan size],Table1[[#This Row],[Loan size]],Table1[dpd flag],1)/COUNTIF(Table1[Loan size],Table1[[#This Row],[Loan size]])</f>
        <v>0.13934426229508196</v>
      </c>
      <c r="AO207" s="19" t="str">
        <f>IF(OR(Table1[[#This Row],[credit_score]] &lt; 600, Table1[ [#This Row],[dti_ratio] ] &gt; 0.5, Table1[[#This Row],[dpd]] &gt;=30), "high risk", " not riskY")</f>
        <v xml:space="preserve"> not riskY</v>
      </c>
      <c r="AP207" s="29">
        <f>EOMONTH(Table1[[#This Row],[origination_date]],0)</f>
        <v>45077</v>
      </c>
      <c r="AQ207" s="19">
        <f>SUMIFS(Table1[loan_amount],Table1[origination month],Table1[[#This Row],[origination month]])</f>
        <v>12595100</v>
      </c>
      <c r="AR207" s="19">
        <f>AVERAGEIFS(Table1[months_on_book],Table1[product],Table1[[#This Row],[product]])</f>
        <v>21.092024539877301</v>
      </c>
      <c r="AS207" s="19" t="str">
        <f ca="1">IF(EDATE(Table1[[#This Row],[origination_date]],6) &gt;= TODAY(), "New Loan", "Old Loan")</f>
        <v>Old Loan</v>
      </c>
      <c r="AT207" s="19" t="str">
        <f>"Q"&amp;ROUNDUP(MONTH(Table1[[#This Row],[origination_date]])/3,0)&amp;YEAR(Table1[[#This Row],[origination_date]])</f>
        <v>Q22023</v>
      </c>
      <c r="AU207" s="19">
        <f>SUMIFS(Table1[loan_amount],Table1[quarter],Table1[[#This Row],[quarter]])</f>
        <v>42051000</v>
      </c>
    </row>
    <row r="208" spans="2:47" x14ac:dyDescent="0.2">
      <c r="B208" s="5" t="s">
        <v>420</v>
      </c>
      <c r="C208" s="2" t="s">
        <v>920</v>
      </c>
      <c r="D208" s="3">
        <v>45018</v>
      </c>
      <c r="E208" s="2" t="s">
        <v>1027</v>
      </c>
      <c r="F208" s="2" t="s">
        <v>1032</v>
      </c>
      <c r="G208" s="2" t="s">
        <v>1037</v>
      </c>
      <c r="H208" s="2" t="s">
        <v>1039</v>
      </c>
      <c r="I208" s="2">
        <v>12</v>
      </c>
      <c r="J208" s="2">
        <v>4746300</v>
      </c>
      <c r="K208" s="2">
        <v>12.91</v>
      </c>
      <c r="L208" s="2">
        <v>423726</v>
      </c>
      <c r="M208" s="2">
        <v>609050</v>
      </c>
      <c r="N208" s="2">
        <v>627</v>
      </c>
      <c r="O208" s="2" t="s">
        <v>1045</v>
      </c>
      <c r="P208" s="2">
        <v>0.16</v>
      </c>
      <c r="Q208" s="2">
        <v>0.68</v>
      </c>
      <c r="R208" s="2">
        <v>6994400</v>
      </c>
      <c r="S208" s="2">
        <v>12</v>
      </c>
      <c r="T208" s="2">
        <v>5133992</v>
      </c>
      <c r="U208" s="2">
        <v>0</v>
      </c>
      <c r="V208" s="2">
        <v>0</v>
      </c>
      <c r="W208" s="2">
        <v>0</v>
      </c>
      <c r="X208" s="2">
        <v>0</v>
      </c>
      <c r="Y208" s="2" t="s">
        <v>1047</v>
      </c>
      <c r="Z208" s="12">
        <f>SUMIF(Table1[product],Table1[[#This Row],[product]],Table1[loan_amount])</f>
        <v>403369500</v>
      </c>
      <c r="AA208" s="15">
        <f>SUMIF(Table1[region],Table1[[#This Row],[region]],Table1[current_balance])</f>
        <v>94548000</v>
      </c>
      <c r="AB208" s="2">
        <f>COUNTIF(Table1[loan_status],Table1[[#This Row],[loan_status]])</f>
        <v>139</v>
      </c>
      <c r="AC208" s="2">
        <f>COUNTIF(Table1[default_flag],1)/ROWS(Table1[loan_id])</f>
        <v>2.5999999999999999E-2</v>
      </c>
      <c r="AD208" s="2">
        <f>COUNTIFS(Table1[region],Table1[[#This Row],[region]],Table1[default_flag],1)/COUNTIF(Table1[region],Table1[[#This Row],[region]])</f>
        <v>0</v>
      </c>
      <c r="AE208" s="2">
        <f>COUNTIFS(Table1[channel],Table1[[#This Row],[channel]],Table1[prepayment_flag],1)/COUNTIF(Table1[channel],Table1[[#This Row],[channel]])</f>
        <v>0.1</v>
      </c>
      <c r="AF208" s="2">
        <f>AVERAGEIFS(Table1[interest_rate_pct],Table1[product],Table1[[#This Row],[product]],Table1[risk_band],Table1[[#This Row],[risk_band]])</f>
        <v>13.406874999999999</v>
      </c>
      <c r="AG208" s="2" t="str" cm="1">
        <f t="array" ref="AG208">_xlfn.IFS(Table1[[#This Row],[dti_ratio]] &lt; 0.2, " less than 0.2", Table1[[#This Row],[dti_ratio]] &lt; 0.3, "0.2 - 0.3", Table1[[#This Row],[dti_ratio]] &lt;= 0.5, "0.35 - 0.5", Table1[[#This Row],[dti_ratio]] &gt; 0.5, "greater than 0.5")</f>
        <v xml:space="preserve"> less than 0.2</v>
      </c>
      <c r="AH208" s="2">
        <f>COUNTIF(Table1[DTI band],Table1[[#This Row],[DTI band]])</f>
        <v>86</v>
      </c>
      <c r="AI208" s="2" t="str" cm="1">
        <f t="array" ref="AI208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208" s="2">
        <f>COUNTIF(Table1[LTV band],Table1[[#This Row],[LTV band]])</f>
        <v>302</v>
      </c>
      <c r="AK208" s="19">
        <f>COUNTIFS(Table1[count_loan_perband],Table1[[#This Row],[count_loan_perband]],Table1[default_flag],1)/COUNTIF(Table1[count_loan_perband],Table1[[#This Row],[count_loan_perband]])</f>
        <v>3.6423841059602648E-2</v>
      </c>
      <c r="AL208" s="19" t="str" cm="1">
        <f t="array" ref="AL208">_xlfn.IFS(Table1[[#This Row],[loan_amount]] &lt; 900000, "lower size (&lt; 9L)", Table1[[#This Row],[loan_amount]] &lt;=3300000, "medium size (&lt;=33L)", Table1[[#This Row],[loan_amount]] &gt; 3300000, "larger size (&gt; 33L)")</f>
        <v>larger size (&gt; 33L)</v>
      </c>
      <c r="AM208" s="19">
        <f>IF(Table1[[#This Row],[dpd]] &gt;=30,1,0)</f>
        <v>0</v>
      </c>
      <c r="AN208" s="19">
        <f>COUNTIFS(Table1[Loan size],Table1[[#This Row],[Loan size]],Table1[dpd flag],1)/COUNTIF(Table1[Loan size],Table1[[#This Row],[Loan size]])</f>
        <v>0.16250000000000001</v>
      </c>
      <c r="AO208" s="19" t="str">
        <f>IF(OR(Table1[[#This Row],[credit_score]] &lt; 600, Table1[ [#This Row],[dti_ratio] ] &gt; 0.5, Table1[[#This Row],[dpd]] &gt;=30), "high risk", " not riskY")</f>
        <v xml:space="preserve"> not riskY</v>
      </c>
      <c r="AP208" s="29">
        <f>EOMONTH(Table1[[#This Row],[origination_date]],0)</f>
        <v>45046</v>
      </c>
      <c r="AQ208" s="19">
        <f>SUMIFS(Table1[loan_amount],Table1[origination month],Table1[[#This Row],[origination month]])</f>
        <v>19321000</v>
      </c>
      <c r="AR208" s="19">
        <f>AVERAGEIFS(Table1[months_on_book],Table1[product],Table1[[#This Row],[product]])</f>
        <v>20.516129032258064</v>
      </c>
      <c r="AS208" s="19" t="str">
        <f ca="1">IF(EDATE(Table1[[#This Row],[origination_date]],6) &gt;= TODAY(), "New Loan", "Old Loan")</f>
        <v>Old Loan</v>
      </c>
      <c r="AT208" s="19" t="str">
        <f>"Q"&amp;ROUNDUP(MONTH(Table1[[#This Row],[origination_date]])/3,0)&amp;YEAR(Table1[[#This Row],[origination_date]])</f>
        <v>Q22023</v>
      </c>
      <c r="AU208" s="19">
        <f>SUMIFS(Table1[loan_amount],Table1[quarter],Table1[[#This Row],[quarter]])</f>
        <v>42051000</v>
      </c>
    </row>
    <row r="209" spans="2:47" x14ac:dyDescent="0.2">
      <c r="B209" s="5" t="s">
        <v>250</v>
      </c>
      <c r="C209" s="2" t="s">
        <v>750</v>
      </c>
      <c r="D209" s="3">
        <v>45027</v>
      </c>
      <c r="E209" s="2" t="s">
        <v>1025</v>
      </c>
      <c r="F209" s="2" t="s">
        <v>1030</v>
      </c>
      <c r="G209" s="2" t="s">
        <v>1036</v>
      </c>
      <c r="H209" s="2" t="s">
        <v>1038</v>
      </c>
      <c r="I209" s="2">
        <v>72</v>
      </c>
      <c r="J209" s="2">
        <v>1940900</v>
      </c>
      <c r="K209" s="2">
        <v>15.41</v>
      </c>
      <c r="L209" s="2">
        <v>41474</v>
      </c>
      <c r="M209" s="2">
        <v>877838</v>
      </c>
      <c r="N209" s="2">
        <v>696</v>
      </c>
      <c r="O209" s="2" t="s">
        <v>1042</v>
      </c>
      <c r="P209" s="2">
        <v>0.09</v>
      </c>
      <c r="Q209" s="2">
        <v>0.81</v>
      </c>
      <c r="R209" s="2">
        <v>2381700</v>
      </c>
      <c r="S209" s="2">
        <v>32</v>
      </c>
      <c r="T209" s="2">
        <v>1347059</v>
      </c>
      <c r="U209" s="2">
        <v>912873</v>
      </c>
      <c r="V209" s="2">
        <v>0</v>
      </c>
      <c r="W209" s="2">
        <v>0</v>
      </c>
      <c r="X209" s="2">
        <v>0</v>
      </c>
      <c r="Y209" s="2" t="s">
        <v>1049</v>
      </c>
      <c r="Z209" s="12">
        <f>SUMIF(Table1[product],Table1[[#This Row],[product]],Table1[loan_amount])</f>
        <v>201475100</v>
      </c>
      <c r="AA209" s="15">
        <f>SUMIF(Table1[region],Table1[[#This Row],[region]],Table1[current_balance])</f>
        <v>98928695</v>
      </c>
      <c r="AB209" s="2">
        <f>COUNTIF(Table1[loan_status],Table1[[#This Row],[loan_status]])</f>
        <v>301</v>
      </c>
      <c r="AC209" s="2">
        <f>COUNTIF(Table1[default_flag],1)/ROWS(Table1[loan_id])</f>
        <v>2.5999999999999999E-2</v>
      </c>
      <c r="AD209" s="2">
        <f>COUNTIFS(Table1[region],Table1[[#This Row],[region]],Table1[default_flag],1)/COUNTIF(Table1[region],Table1[[#This Row],[region]])</f>
        <v>2.8571428571428571E-2</v>
      </c>
      <c r="AE209" s="2">
        <f>COUNTIFS(Table1[channel],Table1[[#This Row],[channel]],Table1[prepayment_flag],1)/COUNTIF(Table1[channel],Table1[[#This Row],[channel]])</f>
        <v>5.8201058201058198E-2</v>
      </c>
      <c r="AF209" s="2">
        <f>AVERAGEIFS(Table1[interest_rate_pct],Table1[product],Table1[[#This Row],[product]],Table1[risk_band],Table1[[#This Row],[risk_band]])</f>
        <v>15.841379310344831</v>
      </c>
      <c r="AG209" s="2" t="str" cm="1">
        <f t="array" ref="AG209">_xlfn.IFS(Table1[[#This Row],[dti_ratio]] &lt; 0.2, " less than 0.2", Table1[[#This Row],[dti_ratio]] &lt; 0.3, "0.2 - 0.3", Table1[[#This Row],[dti_ratio]] &lt;= 0.5, "0.35 - 0.5", Table1[[#This Row],[dti_ratio]] &gt; 0.5, "greater than 0.5")</f>
        <v xml:space="preserve"> less than 0.2</v>
      </c>
      <c r="AH209" s="2">
        <f>COUNTIF(Table1[DTI band],Table1[[#This Row],[DTI band]])</f>
        <v>86</v>
      </c>
      <c r="AI209" s="2" t="str" cm="1">
        <f t="array" ref="AI209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209" s="2">
        <f>COUNTIF(Table1[LTV band],Table1[[#This Row],[LTV band]])</f>
        <v>141</v>
      </c>
      <c r="AK209" s="19">
        <f>COUNTIFS(Table1[count_loan_perband],Table1[[#This Row],[count_loan_perband]],Table1[default_flag],1)/COUNTIF(Table1[count_loan_perband],Table1[[#This Row],[count_loan_perband]])</f>
        <v>1.4184397163120567E-2</v>
      </c>
      <c r="AL209" s="19" t="str" cm="1">
        <f t="array" ref="AL209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209" s="19">
        <f>IF(Table1[[#This Row],[dpd]] &gt;=30,1,0)</f>
        <v>0</v>
      </c>
      <c r="AN209" s="19">
        <f>COUNTIFS(Table1[Loan size],Table1[[#This Row],[Loan size]],Table1[dpd flag],1)/COUNTIF(Table1[Loan size],Table1[[#This Row],[Loan size]])</f>
        <v>0.15909090909090909</v>
      </c>
      <c r="AO209" s="19" t="str">
        <f>IF(OR(Table1[[#This Row],[credit_score]] &lt; 600, Table1[ [#This Row],[dti_ratio] ] &gt; 0.5, Table1[[#This Row],[dpd]] &gt;=30), "high risk", " not riskY")</f>
        <v xml:space="preserve"> not riskY</v>
      </c>
      <c r="AP209" s="29">
        <f>EOMONTH(Table1[[#This Row],[origination_date]],0)</f>
        <v>45046</v>
      </c>
      <c r="AQ209" s="19">
        <f>SUMIFS(Table1[loan_amount],Table1[origination month],Table1[[#This Row],[origination month]])</f>
        <v>19321000</v>
      </c>
      <c r="AR209" s="19">
        <f>AVERAGEIFS(Table1[months_on_book],Table1[product],Table1[[#This Row],[product]])</f>
        <v>19.091954022988507</v>
      </c>
      <c r="AS209" s="19" t="str">
        <f ca="1">IF(EDATE(Table1[[#This Row],[origination_date]],6) &gt;= TODAY(), "New Loan", "Old Loan")</f>
        <v>Old Loan</v>
      </c>
      <c r="AT209" s="19" t="str">
        <f>"Q"&amp;ROUNDUP(MONTH(Table1[[#This Row],[origination_date]])/3,0)&amp;YEAR(Table1[[#This Row],[origination_date]])</f>
        <v>Q22023</v>
      </c>
      <c r="AU209" s="19">
        <f>SUMIFS(Table1[loan_amount],Table1[quarter],Table1[[#This Row],[quarter]])</f>
        <v>42051000</v>
      </c>
    </row>
    <row r="210" spans="2:47" x14ac:dyDescent="0.2">
      <c r="B210" s="5" t="s">
        <v>515</v>
      </c>
      <c r="C210" s="2" t="s">
        <v>1015</v>
      </c>
      <c r="D210" s="3">
        <v>45023</v>
      </c>
      <c r="E210" s="2" t="s">
        <v>1026</v>
      </c>
      <c r="F210" s="2" t="s">
        <v>1029</v>
      </c>
      <c r="G210" s="2" t="s">
        <v>1035</v>
      </c>
      <c r="H210" s="2" t="s">
        <v>1038</v>
      </c>
      <c r="I210" s="2">
        <v>18</v>
      </c>
      <c r="J210" s="2">
        <v>650800</v>
      </c>
      <c r="K210" s="2">
        <v>15.67</v>
      </c>
      <c r="L210" s="2">
        <v>40806</v>
      </c>
      <c r="M210" s="2">
        <v>1047864</v>
      </c>
      <c r="N210" s="2">
        <v>754</v>
      </c>
      <c r="O210" s="2" t="s">
        <v>1043</v>
      </c>
      <c r="P210" s="2">
        <v>0.08</v>
      </c>
      <c r="Q210" s="2">
        <v>0.74</v>
      </c>
      <c r="R210" s="2">
        <v>0</v>
      </c>
      <c r="S210" s="2">
        <v>18</v>
      </c>
      <c r="T210" s="2">
        <v>727254</v>
      </c>
      <c r="U210" s="2">
        <v>0</v>
      </c>
      <c r="V210" s="2">
        <v>0</v>
      </c>
      <c r="W210" s="2">
        <v>0</v>
      </c>
      <c r="X210" s="2">
        <v>0</v>
      </c>
      <c r="Y210" s="2" t="s">
        <v>1047</v>
      </c>
      <c r="Z210" s="12">
        <f>SUMIF(Table1[product],Table1[[#This Row],[product]],Table1[loan_amount])</f>
        <v>74897600</v>
      </c>
      <c r="AA210" s="15">
        <f>SUMIF(Table1[region],Table1[[#This Row],[region]],Table1[current_balance])</f>
        <v>83903255</v>
      </c>
      <c r="AB210" s="2">
        <f>COUNTIF(Table1[loan_status],Table1[[#This Row],[loan_status]])</f>
        <v>139</v>
      </c>
      <c r="AC210" s="2">
        <f>COUNTIF(Table1[default_flag],1)/ROWS(Table1[loan_id])</f>
        <v>2.5999999999999999E-2</v>
      </c>
      <c r="AD210" s="2">
        <f>COUNTIFS(Table1[region],Table1[[#This Row],[region]],Table1[default_flag],1)/COUNTIF(Table1[region],Table1[[#This Row],[region]])</f>
        <v>4.2553191489361701E-2</v>
      </c>
      <c r="AE210" s="2">
        <f>COUNTIFS(Table1[channel],Table1[[#This Row],[channel]],Table1[prepayment_flag],1)/COUNTIF(Table1[channel],Table1[[#This Row],[channel]])</f>
        <v>7.1090047393364927E-2</v>
      </c>
      <c r="AF210" s="2">
        <f>AVERAGEIFS(Table1[interest_rate_pct],Table1[product],Table1[[#This Row],[product]],Table1[risk_band],Table1[[#This Row],[risk_band]])</f>
        <v>13.328333333333335</v>
      </c>
      <c r="AG210" s="2" t="str" cm="1">
        <f t="array" ref="AG210">_xlfn.IFS(Table1[[#This Row],[dti_ratio]] &lt; 0.2, " less than 0.2", Table1[[#This Row],[dti_ratio]] &lt; 0.3, "0.2 - 0.3", Table1[[#This Row],[dti_ratio]] &lt;= 0.5, "0.35 - 0.5", Table1[[#This Row],[dti_ratio]] &gt; 0.5, "greater than 0.5")</f>
        <v xml:space="preserve"> less than 0.2</v>
      </c>
      <c r="AH210" s="2">
        <f>COUNTIF(Table1[DTI band],Table1[[#This Row],[DTI band]])</f>
        <v>86</v>
      </c>
      <c r="AI210" s="2" t="str" cm="1">
        <f t="array" ref="AI210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210" s="2">
        <f>COUNTIF(Table1[LTV band],Table1[[#This Row],[LTV band]])</f>
        <v>302</v>
      </c>
      <c r="AK210" s="19">
        <f>COUNTIFS(Table1[count_loan_perband],Table1[[#This Row],[count_loan_perband]],Table1[default_flag],1)/COUNTIF(Table1[count_loan_perband],Table1[[#This Row],[count_loan_perband]])</f>
        <v>3.6423841059602648E-2</v>
      </c>
      <c r="AL210" s="19" t="str" cm="1">
        <f t="array" ref="AL210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210" s="19">
        <f>IF(Table1[[#This Row],[dpd]] &gt;=30,1,0)</f>
        <v>0</v>
      </c>
      <c r="AN210" s="19">
        <f>COUNTIFS(Table1[Loan size],Table1[[#This Row],[Loan size]],Table1[dpd flag],1)/COUNTIF(Table1[Loan size],Table1[[#This Row],[Loan size]])</f>
        <v>0.13934426229508196</v>
      </c>
      <c r="AO210" s="19" t="str">
        <f>IF(OR(Table1[[#This Row],[credit_score]] &lt; 600, Table1[ [#This Row],[dti_ratio] ] &gt; 0.5, Table1[[#This Row],[dpd]] &gt;=30), "high risk", " not riskY")</f>
        <v xml:space="preserve"> not riskY</v>
      </c>
      <c r="AP210" s="29">
        <f>EOMONTH(Table1[[#This Row],[origination_date]],0)</f>
        <v>45046</v>
      </c>
      <c r="AQ210" s="19">
        <f>SUMIFS(Table1[loan_amount],Table1[origination month],Table1[[#This Row],[origination month]])</f>
        <v>19321000</v>
      </c>
      <c r="AR210" s="19">
        <f>AVERAGEIFS(Table1[months_on_book],Table1[product],Table1[[#This Row],[product]])</f>
        <v>21.092024539877301</v>
      </c>
      <c r="AS210" s="19" t="str">
        <f ca="1">IF(EDATE(Table1[[#This Row],[origination_date]],6) &gt;= TODAY(), "New Loan", "Old Loan")</f>
        <v>Old Loan</v>
      </c>
      <c r="AT210" s="19" t="str">
        <f>"Q"&amp;ROUNDUP(MONTH(Table1[[#This Row],[origination_date]])/3,0)&amp;YEAR(Table1[[#This Row],[origination_date]])</f>
        <v>Q22023</v>
      </c>
      <c r="AU210" s="19">
        <f>SUMIFS(Table1[loan_amount],Table1[quarter],Table1[[#This Row],[quarter]])</f>
        <v>42051000</v>
      </c>
    </row>
    <row r="211" spans="2:47" x14ac:dyDescent="0.2">
      <c r="B211" s="5" t="s">
        <v>505</v>
      </c>
      <c r="C211" s="2" t="s">
        <v>1005</v>
      </c>
      <c r="D211" s="3">
        <v>45401</v>
      </c>
      <c r="E211" s="2" t="s">
        <v>1026</v>
      </c>
      <c r="F211" s="2" t="s">
        <v>1030</v>
      </c>
      <c r="G211" s="2" t="s">
        <v>1034</v>
      </c>
      <c r="H211" s="2" t="s">
        <v>1038</v>
      </c>
      <c r="I211" s="2">
        <v>48</v>
      </c>
      <c r="J211" s="2">
        <v>820300</v>
      </c>
      <c r="K211" s="2">
        <v>16.37</v>
      </c>
      <c r="L211" s="2">
        <v>23403</v>
      </c>
      <c r="M211" s="2">
        <v>1263401</v>
      </c>
      <c r="N211" s="2">
        <v>728</v>
      </c>
      <c r="O211" s="2" t="s">
        <v>1044</v>
      </c>
      <c r="P211" s="2">
        <v>0.49</v>
      </c>
      <c r="Q211" s="2">
        <v>0.71</v>
      </c>
      <c r="R211" s="2">
        <v>0</v>
      </c>
      <c r="S211" s="2">
        <v>20</v>
      </c>
      <c r="T211" s="2">
        <v>474647</v>
      </c>
      <c r="U211" s="2">
        <v>435175</v>
      </c>
      <c r="V211" s="2">
        <v>0</v>
      </c>
      <c r="W211" s="2">
        <v>0</v>
      </c>
      <c r="X211" s="2">
        <v>0</v>
      </c>
      <c r="Y211" s="2" t="s">
        <v>1049</v>
      </c>
      <c r="Z211" s="12">
        <f>SUMIF(Table1[product],Table1[[#This Row],[product]],Table1[loan_amount])</f>
        <v>74897600</v>
      </c>
      <c r="AA211" s="15">
        <f>SUMIF(Table1[region],Table1[[#This Row],[region]],Table1[current_balance])</f>
        <v>105779369</v>
      </c>
      <c r="AB211" s="2">
        <f>COUNTIF(Table1[loan_status],Table1[[#This Row],[loan_status]])</f>
        <v>301</v>
      </c>
      <c r="AC211" s="2">
        <f>COUNTIF(Table1[default_flag],1)/ROWS(Table1[loan_id])</f>
        <v>2.5999999999999999E-2</v>
      </c>
      <c r="AD211" s="2">
        <f>COUNTIFS(Table1[region],Table1[[#This Row],[region]],Table1[default_flag],1)/COUNTIF(Table1[region],Table1[[#This Row],[region]])</f>
        <v>2.6548672566371681E-2</v>
      </c>
      <c r="AE211" s="2">
        <f>COUNTIFS(Table1[channel],Table1[[#This Row],[channel]],Table1[prepayment_flag],1)/COUNTIF(Table1[channel],Table1[[#This Row],[channel]])</f>
        <v>5.8201058201058198E-2</v>
      </c>
      <c r="AF211" s="2">
        <f>AVERAGEIFS(Table1[interest_rate_pct],Table1[product],Table1[[#This Row],[product]],Table1[risk_band],Table1[[#This Row],[risk_band]])</f>
        <v>16.500166666666669</v>
      </c>
      <c r="AG211" s="2" t="str" cm="1">
        <f t="array" ref="AG211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211" s="2">
        <f>COUNTIF(Table1[DTI band],Table1[[#This Row],[DTI band]])</f>
        <v>260</v>
      </c>
      <c r="AI211" s="2" t="str" cm="1">
        <f t="array" ref="AI211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211" s="2">
        <f>COUNTIF(Table1[LTV band],Table1[[#This Row],[LTV band]])</f>
        <v>302</v>
      </c>
      <c r="AK211" s="19">
        <f>COUNTIFS(Table1[count_loan_perband],Table1[[#This Row],[count_loan_perband]],Table1[default_flag],1)/COUNTIF(Table1[count_loan_perband],Table1[[#This Row],[count_loan_perband]])</f>
        <v>3.6423841059602648E-2</v>
      </c>
      <c r="AL211" s="19" t="str" cm="1">
        <f t="array" ref="AL211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211" s="19">
        <f>IF(Table1[[#This Row],[dpd]] &gt;=30,1,0)</f>
        <v>0</v>
      </c>
      <c r="AN211" s="19">
        <f>COUNTIFS(Table1[Loan size],Table1[[#This Row],[Loan size]],Table1[dpd flag],1)/COUNTIF(Table1[Loan size],Table1[[#This Row],[Loan size]])</f>
        <v>0.13934426229508196</v>
      </c>
      <c r="AO211" s="19" t="str">
        <f>IF(OR(Table1[[#This Row],[credit_score]] &lt; 600, Table1[ [#This Row],[dti_ratio] ] &gt; 0.5, Table1[[#This Row],[dpd]] &gt;=30), "high risk", " not riskY")</f>
        <v xml:space="preserve"> not riskY</v>
      </c>
      <c r="AP211" s="29">
        <f>EOMONTH(Table1[[#This Row],[origination_date]],0)</f>
        <v>45412</v>
      </c>
      <c r="AQ211" s="19">
        <f>SUMIFS(Table1[loan_amount],Table1[origination month],Table1[[#This Row],[origination month]])</f>
        <v>8055200</v>
      </c>
      <c r="AR211" s="19">
        <f>AVERAGEIFS(Table1[months_on_book],Table1[product],Table1[[#This Row],[product]])</f>
        <v>21.092024539877301</v>
      </c>
      <c r="AS211" s="19" t="str">
        <f ca="1">IF(EDATE(Table1[[#This Row],[origination_date]],6) &gt;= TODAY(), "New Loan", "Old Loan")</f>
        <v>Old Loan</v>
      </c>
      <c r="AT211" s="19" t="str">
        <f>"Q"&amp;ROUNDUP(MONTH(Table1[[#This Row],[origination_date]])/3,0)&amp;YEAR(Table1[[#This Row],[origination_date]])</f>
        <v>Q22024</v>
      </c>
      <c r="AU211" s="19">
        <f>SUMIFS(Table1[loan_amount],Table1[quarter],Table1[[#This Row],[quarter]])</f>
        <v>46342100</v>
      </c>
    </row>
    <row r="212" spans="2:47" x14ac:dyDescent="0.2">
      <c r="B212" s="5" t="s">
        <v>178</v>
      </c>
      <c r="C212" s="2" t="s">
        <v>678</v>
      </c>
      <c r="D212" s="3">
        <v>45470</v>
      </c>
      <c r="E212" s="2" t="s">
        <v>1026</v>
      </c>
      <c r="F212" s="2" t="s">
        <v>1031</v>
      </c>
      <c r="G212" s="2" t="s">
        <v>1037</v>
      </c>
      <c r="H212" s="2" t="s">
        <v>1038</v>
      </c>
      <c r="I212" s="2">
        <v>36</v>
      </c>
      <c r="J212" s="2">
        <v>547200</v>
      </c>
      <c r="K212" s="2">
        <v>25.72</v>
      </c>
      <c r="L212" s="2">
        <v>21965</v>
      </c>
      <c r="M212" s="2">
        <v>730254</v>
      </c>
      <c r="N212" s="2">
        <v>547</v>
      </c>
      <c r="O212" s="2" t="s">
        <v>1046</v>
      </c>
      <c r="P212" s="2">
        <v>0.48</v>
      </c>
      <c r="Q212" s="2">
        <v>0.93</v>
      </c>
      <c r="R212" s="2">
        <v>0</v>
      </c>
      <c r="S212" s="2">
        <v>18</v>
      </c>
      <c r="T212" s="2">
        <v>341270</v>
      </c>
      <c r="U212" s="2">
        <v>290374</v>
      </c>
      <c r="V212" s="2">
        <v>0</v>
      </c>
      <c r="W212" s="2">
        <v>0</v>
      </c>
      <c r="X212" s="2">
        <v>0</v>
      </c>
      <c r="Y212" s="2" t="s">
        <v>1049</v>
      </c>
      <c r="Z212" s="12">
        <f>SUMIF(Table1[product],Table1[[#This Row],[product]],Table1[loan_amount])</f>
        <v>74897600</v>
      </c>
      <c r="AA212" s="15">
        <f>SUMIF(Table1[region],Table1[[#This Row],[region]],Table1[current_balance])</f>
        <v>94548000</v>
      </c>
      <c r="AB212" s="2">
        <f>COUNTIF(Table1[loan_status],Table1[[#This Row],[loan_status]])</f>
        <v>301</v>
      </c>
      <c r="AC212" s="2">
        <f>COUNTIF(Table1[default_flag],1)/ROWS(Table1[loan_id])</f>
        <v>2.5999999999999999E-2</v>
      </c>
      <c r="AD212" s="2">
        <f>COUNTIFS(Table1[region],Table1[[#This Row],[region]],Table1[default_flag],1)/COUNTIF(Table1[region],Table1[[#This Row],[region]])</f>
        <v>0</v>
      </c>
      <c r="AE212" s="2">
        <f>COUNTIFS(Table1[channel],Table1[[#This Row],[channel]],Table1[prepayment_flag],1)/COUNTIF(Table1[channel],Table1[[#This Row],[channel]])</f>
        <v>0.12</v>
      </c>
      <c r="AF212" s="2">
        <f>AVERAGEIFS(Table1[interest_rate_pct],Table1[product],Table1[[#This Row],[product]],Table1[risk_band],Table1[[#This Row],[risk_band]])</f>
        <v>23.803750000000001</v>
      </c>
      <c r="AG212" s="2" t="str" cm="1">
        <f t="array" ref="AG212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212" s="2">
        <f>COUNTIF(Table1[DTI band],Table1[[#This Row],[DTI band]])</f>
        <v>260</v>
      </c>
      <c r="AI212" s="2" t="str" cm="1">
        <f t="array" ref="AI212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212" s="2">
        <f>COUNTIF(Table1[LTV band],Table1[[#This Row],[LTV band]])</f>
        <v>141</v>
      </c>
      <c r="AK212" s="19">
        <f>COUNTIFS(Table1[count_loan_perband],Table1[[#This Row],[count_loan_perband]],Table1[default_flag],1)/COUNTIF(Table1[count_loan_perband],Table1[[#This Row],[count_loan_perband]])</f>
        <v>1.4184397163120567E-2</v>
      </c>
      <c r="AL212" s="19" t="str" cm="1">
        <f t="array" ref="AL212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212" s="19">
        <f>IF(Table1[[#This Row],[dpd]] &gt;=30,1,0)</f>
        <v>0</v>
      </c>
      <c r="AN212" s="19">
        <f>COUNTIFS(Table1[Loan size],Table1[[#This Row],[Loan size]],Table1[dpd flag],1)/COUNTIF(Table1[Loan size],Table1[[#This Row],[Loan size]])</f>
        <v>0.13934426229508196</v>
      </c>
      <c r="AO212" s="19" t="str">
        <f>IF(OR(Table1[[#This Row],[credit_score]] &lt; 600, Table1[ [#This Row],[dti_ratio] ] &gt; 0.5, Table1[[#This Row],[dpd]] &gt;=30), "high risk", " not riskY")</f>
        <v>high risk</v>
      </c>
      <c r="AP212" s="29">
        <f>EOMONTH(Table1[[#This Row],[origination_date]],0)</f>
        <v>45473</v>
      </c>
      <c r="AQ212" s="19">
        <f>SUMIFS(Table1[loan_amount],Table1[origination month],Table1[[#This Row],[origination month]])</f>
        <v>28625500</v>
      </c>
      <c r="AR212" s="19">
        <f>AVERAGEIFS(Table1[months_on_book],Table1[product],Table1[[#This Row],[product]])</f>
        <v>21.092024539877301</v>
      </c>
      <c r="AS212" s="19" t="str">
        <f ca="1">IF(EDATE(Table1[[#This Row],[origination_date]],6) &gt;= TODAY(), "New Loan", "Old Loan")</f>
        <v>Old Loan</v>
      </c>
      <c r="AT212" s="19" t="str">
        <f>"Q"&amp;ROUNDUP(MONTH(Table1[[#This Row],[origination_date]])/3,0)&amp;YEAR(Table1[[#This Row],[origination_date]])</f>
        <v>Q22024</v>
      </c>
      <c r="AU212" s="19">
        <f>SUMIFS(Table1[loan_amount],Table1[quarter],Table1[[#This Row],[quarter]])</f>
        <v>46342100</v>
      </c>
    </row>
    <row r="213" spans="2:47" x14ac:dyDescent="0.2">
      <c r="B213" s="5" t="s">
        <v>294</v>
      </c>
      <c r="C213" s="2" t="s">
        <v>794</v>
      </c>
      <c r="D213" s="3">
        <v>45417</v>
      </c>
      <c r="E213" s="2" t="s">
        <v>1025</v>
      </c>
      <c r="F213" s="2" t="s">
        <v>1030</v>
      </c>
      <c r="G213" s="2" t="s">
        <v>1037</v>
      </c>
      <c r="H213" s="2" t="s">
        <v>1038</v>
      </c>
      <c r="I213" s="2">
        <v>24</v>
      </c>
      <c r="J213" s="2">
        <v>3011800</v>
      </c>
      <c r="K213" s="2">
        <v>17.3</v>
      </c>
      <c r="L213" s="2">
        <v>149345</v>
      </c>
      <c r="M213" s="2">
        <v>554816</v>
      </c>
      <c r="N213" s="2">
        <v>646</v>
      </c>
      <c r="O213" s="2" t="s">
        <v>1045</v>
      </c>
      <c r="P213" s="2">
        <v>0.46</v>
      </c>
      <c r="Q213" s="2">
        <v>0.64</v>
      </c>
      <c r="R213" s="2">
        <v>4703300</v>
      </c>
      <c r="S213" s="2">
        <v>19</v>
      </c>
      <c r="T213" s="2">
        <v>2729971</v>
      </c>
      <c r="U213" s="2">
        <v>611822</v>
      </c>
      <c r="V213" s="2">
        <v>30</v>
      </c>
      <c r="W213" s="2">
        <v>0</v>
      </c>
      <c r="X213" s="2">
        <v>0</v>
      </c>
      <c r="Y213" s="2" t="s">
        <v>1048</v>
      </c>
      <c r="Z213" s="12">
        <f>SUMIF(Table1[product],Table1[[#This Row],[product]],Table1[loan_amount])</f>
        <v>201475100</v>
      </c>
      <c r="AA213" s="15">
        <f>SUMIF(Table1[region],Table1[[#This Row],[region]],Table1[current_balance])</f>
        <v>94548000</v>
      </c>
      <c r="AB213" s="2">
        <f>COUNTIF(Table1[loan_status],Table1[[#This Row],[loan_status]])</f>
        <v>47</v>
      </c>
      <c r="AC213" s="2">
        <f>COUNTIF(Table1[default_flag],1)/ROWS(Table1[loan_id])</f>
        <v>2.5999999999999999E-2</v>
      </c>
      <c r="AD213" s="2">
        <f>COUNTIFS(Table1[region],Table1[[#This Row],[region]],Table1[default_flag],1)/COUNTIF(Table1[region],Table1[[#This Row],[region]])</f>
        <v>0</v>
      </c>
      <c r="AE213" s="2">
        <f>COUNTIFS(Table1[channel],Table1[[#This Row],[channel]],Table1[prepayment_flag],1)/COUNTIF(Table1[channel],Table1[[#This Row],[channel]])</f>
        <v>5.8201058201058198E-2</v>
      </c>
      <c r="AF213" s="2">
        <f>AVERAGEIFS(Table1[interest_rate_pct],Table1[product],Table1[[#This Row],[product]],Table1[risk_band],Table1[[#This Row],[risk_band]])</f>
        <v>18.241249999999997</v>
      </c>
      <c r="AG213" s="2" t="str" cm="1">
        <f t="array" ref="AG213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213" s="2">
        <f>COUNTIF(Table1[DTI band],Table1[[#This Row],[DTI band]])</f>
        <v>260</v>
      </c>
      <c r="AI213" s="2" t="str" cm="1">
        <f t="array" ref="AI213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213" s="2">
        <f>COUNTIF(Table1[LTV band],Table1[[#This Row],[LTV band]])</f>
        <v>302</v>
      </c>
      <c r="AK213" s="19">
        <f>COUNTIFS(Table1[count_loan_perband],Table1[[#This Row],[count_loan_perband]],Table1[default_flag],1)/COUNTIF(Table1[count_loan_perband],Table1[[#This Row],[count_loan_perband]])</f>
        <v>3.6423841059602648E-2</v>
      </c>
      <c r="AL213" s="19" t="str" cm="1">
        <f t="array" ref="AL213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213" s="19">
        <f>IF(Table1[[#This Row],[dpd]] &gt;=30,1,0)</f>
        <v>1</v>
      </c>
      <c r="AN213" s="19">
        <f>COUNTIFS(Table1[Loan size],Table1[[#This Row],[Loan size]],Table1[dpd flag],1)/COUNTIF(Table1[Loan size],Table1[[#This Row],[Loan size]])</f>
        <v>0.15909090909090909</v>
      </c>
      <c r="AO213" s="19" t="str">
        <f>IF(OR(Table1[[#This Row],[credit_score]] &lt; 600, Table1[ [#This Row],[dti_ratio] ] &gt; 0.5, Table1[[#This Row],[dpd]] &gt;=30), "high risk", " not riskY")</f>
        <v>high risk</v>
      </c>
      <c r="AP213" s="29">
        <f>EOMONTH(Table1[[#This Row],[origination_date]],0)</f>
        <v>45443</v>
      </c>
      <c r="AQ213" s="19">
        <f>SUMIFS(Table1[loan_amount],Table1[origination month],Table1[[#This Row],[origination month]])</f>
        <v>9661400</v>
      </c>
      <c r="AR213" s="19">
        <f>AVERAGEIFS(Table1[months_on_book],Table1[product],Table1[[#This Row],[product]])</f>
        <v>19.091954022988507</v>
      </c>
      <c r="AS213" s="19" t="str">
        <f ca="1">IF(EDATE(Table1[[#This Row],[origination_date]],6) &gt;= TODAY(), "New Loan", "Old Loan")</f>
        <v>Old Loan</v>
      </c>
      <c r="AT213" s="19" t="str">
        <f>"Q"&amp;ROUNDUP(MONTH(Table1[[#This Row],[origination_date]])/3,0)&amp;YEAR(Table1[[#This Row],[origination_date]])</f>
        <v>Q22024</v>
      </c>
      <c r="AU213" s="19">
        <f>SUMIFS(Table1[loan_amount],Table1[quarter],Table1[[#This Row],[quarter]])</f>
        <v>46342100</v>
      </c>
    </row>
    <row r="214" spans="2:47" x14ac:dyDescent="0.2">
      <c r="B214" s="5" t="s">
        <v>519</v>
      </c>
      <c r="C214" s="2" t="s">
        <v>1019</v>
      </c>
      <c r="D214" s="3">
        <v>45465</v>
      </c>
      <c r="E214" s="2" t="s">
        <v>1027</v>
      </c>
      <c r="F214" s="2" t="s">
        <v>1030</v>
      </c>
      <c r="G214" s="2" t="s">
        <v>1034</v>
      </c>
      <c r="H214" s="2" t="s">
        <v>1038</v>
      </c>
      <c r="I214" s="2">
        <v>36</v>
      </c>
      <c r="J214" s="2">
        <v>8095400</v>
      </c>
      <c r="K214" s="2">
        <v>12.78</v>
      </c>
      <c r="L214" s="2">
        <v>271909</v>
      </c>
      <c r="M214" s="2">
        <v>1036163</v>
      </c>
      <c r="N214" s="2">
        <v>661</v>
      </c>
      <c r="O214" s="2" t="s">
        <v>1042</v>
      </c>
      <c r="P214" s="2">
        <v>0.43</v>
      </c>
      <c r="Q214" s="2">
        <v>0.81</v>
      </c>
      <c r="R214" s="2">
        <v>9940700</v>
      </c>
      <c r="S214" s="2">
        <v>18</v>
      </c>
      <c r="T214" s="2">
        <v>4582625</v>
      </c>
      <c r="U214" s="2">
        <v>4133530</v>
      </c>
      <c r="V214" s="2">
        <v>0</v>
      </c>
      <c r="W214" s="2">
        <v>0</v>
      </c>
      <c r="X214" s="2">
        <v>0</v>
      </c>
      <c r="Y214" s="2" t="s">
        <v>1049</v>
      </c>
      <c r="Z214" s="12">
        <f>SUMIF(Table1[product],Table1[[#This Row],[product]],Table1[loan_amount])</f>
        <v>403369500</v>
      </c>
      <c r="AA214" s="15">
        <f>SUMIF(Table1[region],Table1[[#This Row],[region]],Table1[current_balance])</f>
        <v>105779369</v>
      </c>
      <c r="AB214" s="2">
        <f>COUNTIF(Table1[loan_status],Table1[[#This Row],[loan_status]])</f>
        <v>301</v>
      </c>
      <c r="AC214" s="2">
        <f>COUNTIF(Table1[default_flag],1)/ROWS(Table1[loan_id])</f>
        <v>2.5999999999999999E-2</v>
      </c>
      <c r="AD214" s="2">
        <f>COUNTIFS(Table1[region],Table1[[#This Row],[region]],Table1[default_flag],1)/COUNTIF(Table1[region],Table1[[#This Row],[region]])</f>
        <v>2.6548672566371681E-2</v>
      </c>
      <c r="AE214" s="2">
        <f>COUNTIFS(Table1[channel],Table1[[#This Row],[channel]],Table1[prepayment_flag],1)/COUNTIF(Table1[channel],Table1[[#This Row],[channel]])</f>
        <v>5.8201058201058198E-2</v>
      </c>
      <c r="AF214" s="2">
        <f>AVERAGEIFS(Table1[interest_rate_pct],Table1[product],Table1[[#This Row],[product]],Table1[risk_band],Table1[[#This Row],[risk_band]])</f>
        <v>11.719736842105268</v>
      </c>
      <c r="AG214" s="2" t="str" cm="1">
        <f t="array" ref="AG214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214" s="2">
        <f>COUNTIF(Table1[DTI band],Table1[[#This Row],[DTI band]])</f>
        <v>260</v>
      </c>
      <c r="AI214" s="2" t="str" cm="1">
        <f t="array" ref="AI214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214" s="2">
        <f>COUNTIF(Table1[LTV band],Table1[[#This Row],[LTV band]])</f>
        <v>141</v>
      </c>
      <c r="AK214" s="19">
        <f>COUNTIFS(Table1[count_loan_perband],Table1[[#This Row],[count_loan_perband]],Table1[default_flag],1)/COUNTIF(Table1[count_loan_perband],Table1[[#This Row],[count_loan_perband]])</f>
        <v>1.4184397163120567E-2</v>
      </c>
      <c r="AL214" s="19" t="str" cm="1">
        <f t="array" ref="AL214">_xlfn.IFS(Table1[[#This Row],[loan_amount]] &lt; 900000, "lower size (&lt; 9L)", Table1[[#This Row],[loan_amount]] &lt;=3300000, "medium size (&lt;=33L)", Table1[[#This Row],[loan_amount]] &gt; 3300000, "larger size (&gt; 33L)")</f>
        <v>larger size (&gt; 33L)</v>
      </c>
      <c r="AM214" s="19">
        <f>IF(Table1[[#This Row],[dpd]] &gt;=30,1,0)</f>
        <v>0</v>
      </c>
      <c r="AN214" s="19">
        <f>COUNTIFS(Table1[Loan size],Table1[[#This Row],[Loan size]],Table1[dpd flag],1)/COUNTIF(Table1[Loan size],Table1[[#This Row],[Loan size]])</f>
        <v>0.16250000000000001</v>
      </c>
      <c r="AO214" s="19" t="str">
        <f>IF(OR(Table1[[#This Row],[credit_score]] &lt; 600, Table1[ [#This Row],[dti_ratio] ] &gt; 0.5, Table1[[#This Row],[dpd]] &gt;=30), "high risk", " not riskY")</f>
        <v xml:space="preserve"> not riskY</v>
      </c>
      <c r="AP214" s="29">
        <f>EOMONTH(Table1[[#This Row],[origination_date]],0)</f>
        <v>45473</v>
      </c>
      <c r="AQ214" s="19">
        <f>SUMIFS(Table1[loan_amount],Table1[origination month],Table1[[#This Row],[origination month]])</f>
        <v>28625500</v>
      </c>
      <c r="AR214" s="19">
        <f>AVERAGEIFS(Table1[months_on_book],Table1[product],Table1[[#This Row],[product]])</f>
        <v>20.516129032258064</v>
      </c>
      <c r="AS214" s="19" t="str">
        <f ca="1">IF(EDATE(Table1[[#This Row],[origination_date]],6) &gt;= TODAY(), "New Loan", "Old Loan")</f>
        <v>Old Loan</v>
      </c>
      <c r="AT214" s="19" t="str">
        <f>"Q"&amp;ROUNDUP(MONTH(Table1[[#This Row],[origination_date]])/3,0)&amp;YEAR(Table1[[#This Row],[origination_date]])</f>
        <v>Q22024</v>
      </c>
      <c r="AU214" s="19">
        <f>SUMIFS(Table1[loan_amount],Table1[quarter],Table1[[#This Row],[quarter]])</f>
        <v>46342100</v>
      </c>
    </row>
    <row r="215" spans="2:47" x14ac:dyDescent="0.2">
      <c r="B215" s="5" t="s">
        <v>273</v>
      </c>
      <c r="C215" s="2" t="s">
        <v>773</v>
      </c>
      <c r="D215" s="3">
        <v>45464</v>
      </c>
      <c r="E215" s="2" t="s">
        <v>1025</v>
      </c>
      <c r="F215" s="2" t="s">
        <v>1031</v>
      </c>
      <c r="G215" s="2" t="s">
        <v>1035</v>
      </c>
      <c r="H215" s="2" t="s">
        <v>1038</v>
      </c>
      <c r="I215" s="2">
        <v>60</v>
      </c>
      <c r="J215" s="2">
        <v>1660200</v>
      </c>
      <c r="K215" s="2">
        <v>12.47</v>
      </c>
      <c r="L215" s="2">
        <v>37326</v>
      </c>
      <c r="M215" s="2">
        <v>662357</v>
      </c>
      <c r="N215" s="2">
        <v>739</v>
      </c>
      <c r="O215" s="2" t="s">
        <v>1044</v>
      </c>
      <c r="P215" s="2">
        <v>0.42</v>
      </c>
      <c r="Q215" s="2">
        <v>0.66</v>
      </c>
      <c r="R215" s="2">
        <v>2512200</v>
      </c>
      <c r="S215" s="2">
        <v>18</v>
      </c>
      <c r="T215" s="2">
        <v>662938</v>
      </c>
      <c r="U215" s="2">
        <v>1121478</v>
      </c>
      <c r="V215" s="2">
        <v>0</v>
      </c>
      <c r="W215" s="2">
        <v>0</v>
      </c>
      <c r="X215" s="2">
        <v>0</v>
      </c>
      <c r="Y215" s="2" t="s">
        <v>1049</v>
      </c>
      <c r="Z215" s="12">
        <f>SUMIF(Table1[product],Table1[[#This Row],[product]],Table1[loan_amount])</f>
        <v>201475100</v>
      </c>
      <c r="AA215" s="15">
        <f>SUMIF(Table1[region],Table1[[#This Row],[region]],Table1[current_balance])</f>
        <v>83903255</v>
      </c>
      <c r="AB215" s="2">
        <f>COUNTIF(Table1[loan_status],Table1[[#This Row],[loan_status]])</f>
        <v>301</v>
      </c>
      <c r="AC215" s="2">
        <f>COUNTIF(Table1[default_flag],1)/ROWS(Table1[loan_id])</f>
        <v>2.5999999999999999E-2</v>
      </c>
      <c r="AD215" s="2">
        <f>COUNTIFS(Table1[region],Table1[[#This Row],[region]],Table1[default_flag],1)/COUNTIF(Table1[region],Table1[[#This Row],[region]])</f>
        <v>4.2553191489361701E-2</v>
      </c>
      <c r="AE215" s="2">
        <f>COUNTIFS(Table1[channel],Table1[[#This Row],[channel]],Table1[prepayment_flag],1)/COUNTIF(Table1[channel],Table1[[#This Row],[channel]])</f>
        <v>0.12</v>
      </c>
      <c r="AF215" s="2">
        <f>AVERAGEIFS(Table1[interest_rate_pct],Table1[product],Table1[[#This Row],[product]],Table1[risk_band],Table1[[#This Row],[risk_band]])</f>
        <v>13.042631578947367</v>
      </c>
      <c r="AG215" s="2" t="str" cm="1">
        <f t="array" ref="AG215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215" s="2">
        <f>COUNTIF(Table1[DTI band],Table1[[#This Row],[DTI band]])</f>
        <v>260</v>
      </c>
      <c r="AI215" s="2" t="str" cm="1">
        <f t="array" ref="AI215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215" s="2">
        <f>COUNTIF(Table1[LTV band],Table1[[#This Row],[LTV band]])</f>
        <v>302</v>
      </c>
      <c r="AK215" s="19">
        <f>COUNTIFS(Table1[count_loan_perband],Table1[[#This Row],[count_loan_perband]],Table1[default_flag],1)/COUNTIF(Table1[count_loan_perband],Table1[[#This Row],[count_loan_perband]])</f>
        <v>3.6423841059602648E-2</v>
      </c>
      <c r="AL215" s="19" t="str" cm="1">
        <f t="array" ref="AL215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215" s="19">
        <f>IF(Table1[[#This Row],[dpd]] &gt;=30,1,0)</f>
        <v>0</v>
      </c>
      <c r="AN215" s="19">
        <f>COUNTIFS(Table1[Loan size],Table1[[#This Row],[Loan size]],Table1[dpd flag],1)/COUNTIF(Table1[Loan size],Table1[[#This Row],[Loan size]])</f>
        <v>0.15909090909090909</v>
      </c>
      <c r="AO215" s="19" t="str">
        <f>IF(OR(Table1[[#This Row],[credit_score]] &lt; 600, Table1[ [#This Row],[dti_ratio] ] &gt; 0.5, Table1[[#This Row],[dpd]] &gt;=30), "high risk", " not riskY")</f>
        <v xml:space="preserve"> not riskY</v>
      </c>
      <c r="AP215" s="29">
        <f>EOMONTH(Table1[[#This Row],[origination_date]],0)</f>
        <v>45473</v>
      </c>
      <c r="AQ215" s="19">
        <f>SUMIFS(Table1[loan_amount],Table1[origination month],Table1[[#This Row],[origination month]])</f>
        <v>28625500</v>
      </c>
      <c r="AR215" s="19">
        <f>AVERAGEIFS(Table1[months_on_book],Table1[product],Table1[[#This Row],[product]])</f>
        <v>19.091954022988507</v>
      </c>
      <c r="AS215" s="19" t="str">
        <f ca="1">IF(EDATE(Table1[[#This Row],[origination_date]],6) &gt;= TODAY(), "New Loan", "Old Loan")</f>
        <v>Old Loan</v>
      </c>
      <c r="AT215" s="19" t="str">
        <f>"Q"&amp;ROUNDUP(MONTH(Table1[[#This Row],[origination_date]])/3,0)&amp;YEAR(Table1[[#This Row],[origination_date]])</f>
        <v>Q22024</v>
      </c>
      <c r="AU215" s="19">
        <f>SUMIFS(Table1[loan_amount],Table1[quarter],Table1[[#This Row],[quarter]])</f>
        <v>46342100</v>
      </c>
    </row>
    <row r="216" spans="2:47" x14ac:dyDescent="0.2">
      <c r="B216" s="5" t="s">
        <v>285</v>
      </c>
      <c r="C216" s="2" t="s">
        <v>785</v>
      </c>
      <c r="D216" s="3">
        <v>45473</v>
      </c>
      <c r="E216" s="2" t="s">
        <v>1026</v>
      </c>
      <c r="F216" s="2" t="s">
        <v>1029</v>
      </c>
      <c r="G216" s="2" t="s">
        <v>1034</v>
      </c>
      <c r="H216" s="2" t="s">
        <v>1041</v>
      </c>
      <c r="I216" s="2">
        <v>240</v>
      </c>
      <c r="J216" s="2">
        <v>784100</v>
      </c>
      <c r="K216" s="2">
        <v>17.97</v>
      </c>
      <c r="L216" s="2">
        <v>12083</v>
      </c>
      <c r="M216" s="2">
        <v>1123978</v>
      </c>
      <c r="N216" s="2">
        <v>704</v>
      </c>
      <c r="O216" s="2" t="s">
        <v>1044</v>
      </c>
      <c r="P216" s="2">
        <v>0.41</v>
      </c>
      <c r="Q216" s="2">
        <v>0.72</v>
      </c>
      <c r="R216" s="2">
        <v>0</v>
      </c>
      <c r="S216" s="2">
        <v>18</v>
      </c>
      <c r="T216" s="2">
        <v>185905</v>
      </c>
      <c r="U216" s="2">
        <v>682737</v>
      </c>
      <c r="V216" s="2">
        <v>0</v>
      </c>
      <c r="W216" s="2">
        <v>0</v>
      </c>
      <c r="X216" s="2">
        <v>0</v>
      </c>
      <c r="Y216" s="2" t="s">
        <v>1049</v>
      </c>
      <c r="Z216" s="12">
        <f>SUMIF(Table1[product],Table1[[#This Row],[product]],Table1[loan_amount])</f>
        <v>74897600</v>
      </c>
      <c r="AA216" s="15">
        <f>SUMIF(Table1[region],Table1[[#This Row],[region]],Table1[current_balance])</f>
        <v>105779369</v>
      </c>
      <c r="AB216" s="2">
        <f>COUNTIF(Table1[loan_status],Table1[[#This Row],[loan_status]])</f>
        <v>301</v>
      </c>
      <c r="AC216" s="2">
        <f>COUNTIF(Table1[default_flag],1)/ROWS(Table1[loan_id])</f>
        <v>2.5999999999999999E-2</v>
      </c>
      <c r="AD216" s="2">
        <f>COUNTIFS(Table1[region],Table1[[#This Row],[region]],Table1[default_flag],1)/COUNTIF(Table1[region],Table1[[#This Row],[region]])</f>
        <v>2.6548672566371681E-2</v>
      </c>
      <c r="AE216" s="2">
        <f>COUNTIFS(Table1[channel],Table1[[#This Row],[channel]],Table1[prepayment_flag],1)/COUNTIF(Table1[channel],Table1[[#This Row],[channel]])</f>
        <v>7.1090047393364927E-2</v>
      </c>
      <c r="AF216" s="2">
        <f>AVERAGEIFS(Table1[interest_rate_pct],Table1[product],Table1[[#This Row],[product]],Table1[risk_band],Table1[[#This Row],[risk_band]])</f>
        <v>16.500166666666669</v>
      </c>
      <c r="AG216" s="2" t="str" cm="1">
        <f t="array" ref="AG216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216" s="2">
        <f>COUNTIF(Table1[DTI band],Table1[[#This Row],[DTI band]])</f>
        <v>260</v>
      </c>
      <c r="AI216" s="2" t="str" cm="1">
        <f t="array" ref="AI216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216" s="2">
        <f>COUNTIF(Table1[LTV band],Table1[[#This Row],[LTV band]])</f>
        <v>302</v>
      </c>
      <c r="AK216" s="19">
        <f>COUNTIFS(Table1[count_loan_perband],Table1[[#This Row],[count_loan_perband]],Table1[default_flag],1)/COUNTIF(Table1[count_loan_perband],Table1[[#This Row],[count_loan_perband]])</f>
        <v>3.6423841059602648E-2</v>
      </c>
      <c r="AL216" s="19" t="str" cm="1">
        <f t="array" ref="AL216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216" s="19">
        <f>IF(Table1[[#This Row],[dpd]] &gt;=30,1,0)</f>
        <v>0</v>
      </c>
      <c r="AN216" s="19">
        <f>COUNTIFS(Table1[Loan size],Table1[[#This Row],[Loan size]],Table1[dpd flag],1)/COUNTIF(Table1[Loan size],Table1[[#This Row],[Loan size]])</f>
        <v>0.13934426229508196</v>
      </c>
      <c r="AO216" s="19" t="str">
        <f>IF(OR(Table1[[#This Row],[credit_score]] &lt; 600, Table1[ [#This Row],[dti_ratio] ] &gt; 0.5, Table1[[#This Row],[dpd]] &gt;=30), "high risk", " not riskY")</f>
        <v xml:space="preserve"> not riskY</v>
      </c>
      <c r="AP216" s="29">
        <f>EOMONTH(Table1[[#This Row],[origination_date]],0)</f>
        <v>45473</v>
      </c>
      <c r="AQ216" s="19">
        <f>SUMIFS(Table1[loan_amount],Table1[origination month],Table1[[#This Row],[origination month]])</f>
        <v>28625500</v>
      </c>
      <c r="AR216" s="19">
        <f>AVERAGEIFS(Table1[months_on_book],Table1[product],Table1[[#This Row],[product]])</f>
        <v>21.092024539877301</v>
      </c>
      <c r="AS216" s="19" t="str">
        <f ca="1">IF(EDATE(Table1[[#This Row],[origination_date]],6) &gt;= TODAY(), "New Loan", "Old Loan")</f>
        <v>Old Loan</v>
      </c>
      <c r="AT216" s="19" t="str">
        <f>"Q"&amp;ROUNDUP(MONTH(Table1[[#This Row],[origination_date]])/3,0)&amp;YEAR(Table1[[#This Row],[origination_date]])</f>
        <v>Q22024</v>
      </c>
      <c r="AU216" s="19">
        <f>SUMIFS(Table1[loan_amount],Table1[quarter],Table1[[#This Row],[quarter]])</f>
        <v>46342100</v>
      </c>
    </row>
    <row r="217" spans="2:47" x14ac:dyDescent="0.2">
      <c r="B217" s="5" t="s">
        <v>459</v>
      </c>
      <c r="C217" s="2" t="s">
        <v>959</v>
      </c>
      <c r="D217" s="3">
        <v>45413</v>
      </c>
      <c r="E217" s="2" t="s">
        <v>1026</v>
      </c>
      <c r="F217" s="2" t="s">
        <v>1029</v>
      </c>
      <c r="G217" s="2" t="s">
        <v>1036</v>
      </c>
      <c r="H217" s="2" t="s">
        <v>1039</v>
      </c>
      <c r="I217" s="2">
        <v>180</v>
      </c>
      <c r="J217" s="2">
        <v>268900</v>
      </c>
      <c r="K217" s="2">
        <v>16.47</v>
      </c>
      <c r="L217" s="2">
        <v>4038</v>
      </c>
      <c r="M217" s="2">
        <v>719296</v>
      </c>
      <c r="N217" s="2">
        <v>726</v>
      </c>
      <c r="O217" s="2" t="s">
        <v>1044</v>
      </c>
      <c r="P217" s="2">
        <v>0.41</v>
      </c>
      <c r="Q217" s="2">
        <v>0.91</v>
      </c>
      <c r="R217" s="2">
        <v>0</v>
      </c>
      <c r="S217" s="2">
        <v>19</v>
      </c>
      <c r="T217" s="2">
        <v>71005</v>
      </c>
      <c r="U217" s="2">
        <v>225944</v>
      </c>
      <c r="V217" s="2">
        <v>10</v>
      </c>
      <c r="W217" s="2">
        <v>0</v>
      </c>
      <c r="X217" s="2">
        <v>0</v>
      </c>
      <c r="Y217" s="2" t="s">
        <v>1049</v>
      </c>
      <c r="Z217" s="12">
        <f>SUMIF(Table1[product],Table1[[#This Row],[product]],Table1[loan_amount])</f>
        <v>74897600</v>
      </c>
      <c r="AA217" s="15">
        <f>SUMIF(Table1[region],Table1[[#This Row],[region]],Table1[current_balance])</f>
        <v>98928695</v>
      </c>
      <c r="AB217" s="2">
        <f>COUNTIF(Table1[loan_status],Table1[[#This Row],[loan_status]])</f>
        <v>301</v>
      </c>
      <c r="AC217" s="2">
        <f>COUNTIF(Table1[default_flag],1)/ROWS(Table1[loan_id])</f>
        <v>2.5999999999999999E-2</v>
      </c>
      <c r="AD217" s="2">
        <f>COUNTIFS(Table1[region],Table1[[#This Row],[region]],Table1[default_flag],1)/COUNTIF(Table1[region],Table1[[#This Row],[region]])</f>
        <v>2.8571428571428571E-2</v>
      </c>
      <c r="AE217" s="2">
        <f>COUNTIFS(Table1[channel],Table1[[#This Row],[channel]],Table1[prepayment_flag],1)/COUNTIF(Table1[channel],Table1[[#This Row],[channel]])</f>
        <v>7.1090047393364927E-2</v>
      </c>
      <c r="AF217" s="2">
        <f>AVERAGEIFS(Table1[interest_rate_pct],Table1[product],Table1[[#This Row],[product]],Table1[risk_band],Table1[[#This Row],[risk_band]])</f>
        <v>16.500166666666669</v>
      </c>
      <c r="AG217" s="2" t="str" cm="1">
        <f t="array" ref="AG217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217" s="2">
        <f>COUNTIF(Table1[DTI band],Table1[[#This Row],[DTI band]])</f>
        <v>260</v>
      </c>
      <c r="AI217" s="2" t="str" cm="1">
        <f t="array" ref="AI217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217" s="2">
        <f>COUNTIF(Table1[LTV band],Table1[[#This Row],[LTV band]])</f>
        <v>141</v>
      </c>
      <c r="AK217" s="19">
        <f>COUNTIFS(Table1[count_loan_perband],Table1[[#This Row],[count_loan_perband]],Table1[default_flag],1)/COUNTIF(Table1[count_loan_perband],Table1[[#This Row],[count_loan_perband]])</f>
        <v>1.4184397163120567E-2</v>
      </c>
      <c r="AL217" s="19" t="str" cm="1">
        <f t="array" ref="AL217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217" s="19">
        <f>IF(Table1[[#This Row],[dpd]] &gt;=30,1,0)</f>
        <v>0</v>
      </c>
      <c r="AN217" s="19">
        <f>COUNTIFS(Table1[Loan size],Table1[[#This Row],[Loan size]],Table1[dpd flag],1)/COUNTIF(Table1[Loan size],Table1[[#This Row],[Loan size]])</f>
        <v>0.13934426229508196</v>
      </c>
      <c r="AO217" s="19" t="str">
        <f>IF(OR(Table1[[#This Row],[credit_score]] &lt; 600, Table1[ [#This Row],[dti_ratio] ] &gt; 0.5, Table1[[#This Row],[dpd]] &gt;=30), "high risk", " not riskY")</f>
        <v xml:space="preserve"> not riskY</v>
      </c>
      <c r="AP217" s="29">
        <f>EOMONTH(Table1[[#This Row],[origination_date]],0)</f>
        <v>45443</v>
      </c>
      <c r="AQ217" s="19">
        <f>SUMIFS(Table1[loan_amount],Table1[origination month],Table1[[#This Row],[origination month]])</f>
        <v>9661400</v>
      </c>
      <c r="AR217" s="19">
        <f>AVERAGEIFS(Table1[months_on_book],Table1[product],Table1[[#This Row],[product]])</f>
        <v>21.092024539877301</v>
      </c>
      <c r="AS217" s="19" t="str">
        <f ca="1">IF(EDATE(Table1[[#This Row],[origination_date]],6) &gt;= TODAY(), "New Loan", "Old Loan")</f>
        <v>Old Loan</v>
      </c>
      <c r="AT217" s="19" t="str">
        <f>"Q"&amp;ROUNDUP(MONTH(Table1[[#This Row],[origination_date]])/3,0)&amp;YEAR(Table1[[#This Row],[origination_date]])</f>
        <v>Q22024</v>
      </c>
      <c r="AU217" s="19">
        <f>SUMIFS(Table1[loan_amount],Table1[quarter],Table1[[#This Row],[quarter]])</f>
        <v>46342100</v>
      </c>
    </row>
    <row r="218" spans="2:47" x14ac:dyDescent="0.2">
      <c r="B218" s="5" t="s">
        <v>491</v>
      </c>
      <c r="C218" s="2" t="s">
        <v>991</v>
      </c>
      <c r="D218" s="3">
        <v>45406</v>
      </c>
      <c r="E218" s="2" t="s">
        <v>1024</v>
      </c>
      <c r="F218" s="2" t="s">
        <v>1031</v>
      </c>
      <c r="G218" s="2" t="s">
        <v>1037</v>
      </c>
      <c r="H218" s="2" t="s">
        <v>1038</v>
      </c>
      <c r="I218" s="2">
        <v>360</v>
      </c>
      <c r="J218" s="2">
        <v>859700</v>
      </c>
      <c r="K218" s="2">
        <v>16.38</v>
      </c>
      <c r="L218" s="2">
        <v>11825</v>
      </c>
      <c r="M218" s="2">
        <v>334064</v>
      </c>
      <c r="N218" s="2">
        <v>619</v>
      </c>
      <c r="O218" s="2" t="s">
        <v>1045</v>
      </c>
      <c r="P218" s="2">
        <v>0.41</v>
      </c>
      <c r="Q218" s="2">
        <v>0.89</v>
      </c>
      <c r="R218" s="2">
        <v>970900</v>
      </c>
      <c r="S218" s="2">
        <v>20</v>
      </c>
      <c r="T218" s="2">
        <v>217665</v>
      </c>
      <c r="U218" s="2">
        <v>735914</v>
      </c>
      <c r="V218" s="2">
        <v>0</v>
      </c>
      <c r="W218" s="2">
        <v>0</v>
      </c>
      <c r="X218" s="2">
        <v>0</v>
      </c>
      <c r="Y218" s="2" t="s">
        <v>1049</v>
      </c>
      <c r="Z218" s="12">
        <f>SUMIF(Table1[product],Table1[[#This Row],[product]],Table1[loan_amount])</f>
        <v>92273000</v>
      </c>
      <c r="AA218" s="15">
        <f>SUMIF(Table1[region],Table1[[#This Row],[region]],Table1[current_balance])</f>
        <v>94548000</v>
      </c>
      <c r="AB218" s="2">
        <f>COUNTIF(Table1[loan_status],Table1[[#This Row],[loan_status]])</f>
        <v>301</v>
      </c>
      <c r="AC218" s="2">
        <f>COUNTIF(Table1[default_flag],1)/ROWS(Table1[loan_id])</f>
        <v>2.5999999999999999E-2</v>
      </c>
      <c r="AD218" s="2">
        <f>COUNTIFS(Table1[region],Table1[[#This Row],[region]],Table1[default_flag],1)/COUNTIF(Table1[region],Table1[[#This Row],[region]])</f>
        <v>0</v>
      </c>
      <c r="AE218" s="2">
        <f>COUNTIFS(Table1[channel],Table1[[#This Row],[channel]],Table1[prepayment_flag],1)/COUNTIF(Table1[channel],Table1[[#This Row],[channel]])</f>
        <v>0.12</v>
      </c>
      <c r="AF218" s="2">
        <f>AVERAGEIFS(Table1[interest_rate_pct],Table1[product],Table1[[#This Row],[product]],Table1[risk_band],Table1[[#This Row],[risk_band]])</f>
        <v>15.092000000000001</v>
      </c>
      <c r="AG218" s="2" t="str" cm="1">
        <f t="array" ref="AG218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218" s="2">
        <f>COUNTIF(Table1[DTI band],Table1[[#This Row],[DTI band]])</f>
        <v>260</v>
      </c>
      <c r="AI218" s="2" t="str" cm="1">
        <f t="array" ref="AI218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218" s="2">
        <f>COUNTIF(Table1[LTV band],Table1[[#This Row],[LTV band]])</f>
        <v>141</v>
      </c>
      <c r="AK218" s="19">
        <f>COUNTIFS(Table1[count_loan_perband],Table1[[#This Row],[count_loan_perband]],Table1[default_flag],1)/COUNTIF(Table1[count_loan_perband],Table1[[#This Row],[count_loan_perband]])</f>
        <v>1.4184397163120567E-2</v>
      </c>
      <c r="AL218" s="19" t="str" cm="1">
        <f t="array" ref="AL218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218" s="19">
        <f>IF(Table1[[#This Row],[dpd]] &gt;=30,1,0)</f>
        <v>0</v>
      </c>
      <c r="AN218" s="19">
        <f>COUNTIFS(Table1[Loan size],Table1[[#This Row],[Loan size]],Table1[dpd flag],1)/COUNTIF(Table1[Loan size],Table1[[#This Row],[Loan size]])</f>
        <v>0.13934426229508196</v>
      </c>
      <c r="AO218" s="19" t="str">
        <f>IF(OR(Table1[[#This Row],[credit_score]] &lt; 600, Table1[ [#This Row],[dti_ratio] ] &gt; 0.5, Table1[[#This Row],[dpd]] &gt;=30), "high risk", " not riskY")</f>
        <v xml:space="preserve"> not riskY</v>
      </c>
      <c r="AP218" s="29">
        <f>EOMONTH(Table1[[#This Row],[origination_date]],0)</f>
        <v>45412</v>
      </c>
      <c r="AQ218" s="19">
        <f>SUMIFS(Table1[loan_amount],Table1[origination month],Table1[[#This Row],[origination month]])</f>
        <v>8055200</v>
      </c>
      <c r="AR218" s="19">
        <f>AVERAGEIFS(Table1[months_on_book],Table1[product],Table1[[#This Row],[product]])</f>
        <v>20.262135922330096</v>
      </c>
      <c r="AS218" s="19" t="str">
        <f ca="1">IF(EDATE(Table1[[#This Row],[origination_date]],6) &gt;= TODAY(), "New Loan", "Old Loan")</f>
        <v>Old Loan</v>
      </c>
      <c r="AT218" s="19" t="str">
        <f>"Q"&amp;ROUNDUP(MONTH(Table1[[#This Row],[origination_date]])/3,0)&amp;YEAR(Table1[[#This Row],[origination_date]])</f>
        <v>Q22024</v>
      </c>
      <c r="AU218" s="19">
        <f>SUMIFS(Table1[loan_amount],Table1[quarter],Table1[[#This Row],[quarter]])</f>
        <v>46342100</v>
      </c>
    </row>
    <row r="219" spans="2:47" x14ac:dyDescent="0.2">
      <c r="B219" s="5" t="s">
        <v>372</v>
      </c>
      <c r="C219" s="2" t="s">
        <v>872</v>
      </c>
      <c r="D219" s="3">
        <v>45453</v>
      </c>
      <c r="E219" s="2" t="s">
        <v>1025</v>
      </c>
      <c r="F219" s="2" t="s">
        <v>1032</v>
      </c>
      <c r="G219" s="2" t="s">
        <v>1037</v>
      </c>
      <c r="H219" s="2" t="s">
        <v>1038</v>
      </c>
      <c r="I219" s="2">
        <v>48</v>
      </c>
      <c r="J219" s="2">
        <v>1701800</v>
      </c>
      <c r="K219" s="2">
        <v>18.260000000000002</v>
      </c>
      <c r="L219" s="2">
        <v>50222</v>
      </c>
      <c r="M219" s="2">
        <v>892753</v>
      </c>
      <c r="N219" s="2">
        <v>650</v>
      </c>
      <c r="O219" s="2" t="s">
        <v>1042</v>
      </c>
      <c r="P219" s="2">
        <v>0.39</v>
      </c>
      <c r="Q219" s="2">
        <v>0.65</v>
      </c>
      <c r="R219" s="2">
        <v>2614500</v>
      </c>
      <c r="S219" s="2">
        <v>18</v>
      </c>
      <c r="T219" s="2">
        <v>903055</v>
      </c>
      <c r="U219" s="2">
        <v>985194</v>
      </c>
      <c r="V219" s="2">
        <v>0</v>
      </c>
      <c r="W219" s="2">
        <v>0</v>
      </c>
      <c r="X219" s="2">
        <v>0</v>
      </c>
      <c r="Y219" s="2" t="s">
        <v>1049</v>
      </c>
      <c r="Z219" s="12">
        <f>SUMIF(Table1[product],Table1[[#This Row],[product]],Table1[loan_amount])</f>
        <v>201475100</v>
      </c>
      <c r="AA219" s="15">
        <f>SUMIF(Table1[region],Table1[[#This Row],[region]],Table1[current_balance])</f>
        <v>94548000</v>
      </c>
      <c r="AB219" s="2">
        <f>COUNTIF(Table1[loan_status],Table1[[#This Row],[loan_status]])</f>
        <v>301</v>
      </c>
      <c r="AC219" s="2">
        <f>COUNTIF(Table1[default_flag],1)/ROWS(Table1[loan_id])</f>
        <v>2.5999999999999999E-2</v>
      </c>
      <c r="AD219" s="2">
        <f>COUNTIFS(Table1[region],Table1[[#This Row],[region]],Table1[default_flag],1)/COUNTIF(Table1[region],Table1[[#This Row],[region]])</f>
        <v>0</v>
      </c>
      <c r="AE219" s="2">
        <f>COUNTIFS(Table1[channel],Table1[[#This Row],[channel]],Table1[prepayment_flag],1)/COUNTIF(Table1[channel],Table1[[#This Row],[channel]])</f>
        <v>0.1</v>
      </c>
      <c r="AF219" s="2">
        <f>AVERAGEIFS(Table1[interest_rate_pct],Table1[product],Table1[[#This Row],[product]],Table1[risk_band],Table1[[#This Row],[risk_band]])</f>
        <v>15.841379310344831</v>
      </c>
      <c r="AG219" s="2" t="str" cm="1">
        <f t="array" ref="AG219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219" s="2">
        <f>COUNTIF(Table1[DTI band],Table1[[#This Row],[DTI band]])</f>
        <v>260</v>
      </c>
      <c r="AI219" s="2" t="str" cm="1">
        <f t="array" ref="AI219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219" s="2">
        <f>COUNTIF(Table1[LTV band],Table1[[#This Row],[LTV band]])</f>
        <v>302</v>
      </c>
      <c r="AK219" s="19">
        <f>COUNTIFS(Table1[count_loan_perband],Table1[[#This Row],[count_loan_perband]],Table1[default_flag],1)/COUNTIF(Table1[count_loan_perband],Table1[[#This Row],[count_loan_perband]])</f>
        <v>3.6423841059602648E-2</v>
      </c>
      <c r="AL219" s="19" t="str" cm="1">
        <f t="array" ref="AL219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219" s="19">
        <f>IF(Table1[[#This Row],[dpd]] &gt;=30,1,0)</f>
        <v>0</v>
      </c>
      <c r="AN219" s="19">
        <f>COUNTIFS(Table1[Loan size],Table1[[#This Row],[Loan size]],Table1[dpd flag],1)/COUNTIF(Table1[Loan size],Table1[[#This Row],[Loan size]])</f>
        <v>0.15909090909090909</v>
      </c>
      <c r="AO219" s="19" t="str">
        <f>IF(OR(Table1[[#This Row],[credit_score]] &lt; 600, Table1[ [#This Row],[dti_ratio] ] &gt; 0.5, Table1[[#This Row],[dpd]] &gt;=30), "high risk", " not riskY")</f>
        <v xml:space="preserve"> not riskY</v>
      </c>
      <c r="AP219" s="29">
        <f>EOMONTH(Table1[[#This Row],[origination_date]],0)</f>
        <v>45473</v>
      </c>
      <c r="AQ219" s="19">
        <f>SUMIFS(Table1[loan_amount],Table1[origination month],Table1[[#This Row],[origination month]])</f>
        <v>28625500</v>
      </c>
      <c r="AR219" s="19">
        <f>AVERAGEIFS(Table1[months_on_book],Table1[product],Table1[[#This Row],[product]])</f>
        <v>19.091954022988507</v>
      </c>
      <c r="AS219" s="19" t="str">
        <f ca="1">IF(EDATE(Table1[[#This Row],[origination_date]],6) &gt;= TODAY(), "New Loan", "Old Loan")</f>
        <v>Old Loan</v>
      </c>
      <c r="AT219" s="19" t="str">
        <f>"Q"&amp;ROUNDUP(MONTH(Table1[[#This Row],[origination_date]])/3,0)&amp;YEAR(Table1[[#This Row],[origination_date]])</f>
        <v>Q22024</v>
      </c>
      <c r="AU219" s="19">
        <f>SUMIFS(Table1[loan_amount],Table1[quarter],Table1[[#This Row],[quarter]])</f>
        <v>46342100</v>
      </c>
    </row>
    <row r="220" spans="2:47" x14ac:dyDescent="0.2">
      <c r="B220" s="5" t="s">
        <v>504</v>
      </c>
      <c r="C220" s="2" t="s">
        <v>1004</v>
      </c>
      <c r="D220" s="3">
        <v>45439</v>
      </c>
      <c r="E220" s="2" t="s">
        <v>1027</v>
      </c>
      <c r="F220" s="2" t="s">
        <v>1029</v>
      </c>
      <c r="G220" s="2" t="s">
        <v>1034</v>
      </c>
      <c r="H220" s="2" t="s">
        <v>1038</v>
      </c>
      <c r="I220" s="2">
        <v>360</v>
      </c>
      <c r="J220" s="2">
        <v>4189000</v>
      </c>
      <c r="K220" s="2">
        <v>14.16</v>
      </c>
      <c r="L220" s="2">
        <v>50165</v>
      </c>
      <c r="M220" s="2">
        <v>1343207</v>
      </c>
      <c r="N220" s="2">
        <v>608</v>
      </c>
      <c r="O220" s="2" t="s">
        <v>1045</v>
      </c>
      <c r="P220" s="2">
        <v>0.39</v>
      </c>
      <c r="Q220" s="2">
        <v>0.69</v>
      </c>
      <c r="R220" s="2">
        <v>6083700</v>
      </c>
      <c r="S220" s="2">
        <v>19</v>
      </c>
      <c r="T220" s="2">
        <v>913028</v>
      </c>
      <c r="U220" s="2">
        <v>3651642</v>
      </c>
      <c r="V220" s="2">
        <v>0</v>
      </c>
      <c r="W220" s="2">
        <v>0</v>
      </c>
      <c r="X220" s="2">
        <v>0</v>
      </c>
      <c r="Y220" s="2" t="s">
        <v>1049</v>
      </c>
      <c r="Z220" s="12">
        <f>SUMIF(Table1[product],Table1[[#This Row],[product]],Table1[loan_amount])</f>
        <v>403369500</v>
      </c>
      <c r="AA220" s="15">
        <f>SUMIF(Table1[region],Table1[[#This Row],[region]],Table1[current_balance])</f>
        <v>105779369</v>
      </c>
      <c r="AB220" s="2">
        <f>COUNTIF(Table1[loan_status],Table1[[#This Row],[loan_status]])</f>
        <v>301</v>
      </c>
      <c r="AC220" s="2">
        <f>COUNTIF(Table1[default_flag],1)/ROWS(Table1[loan_id])</f>
        <v>2.5999999999999999E-2</v>
      </c>
      <c r="AD220" s="2">
        <f>COUNTIFS(Table1[region],Table1[[#This Row],[region]],Table1[default_flag],1)/COUNTIF(Table1[region],Table1[[#This Row],[region]])</f>
        <v>2.6548672566371681E-2</v>
      </c>
      <c r="AE220" s="2">
        <f>COUNTIFS(Table1[channel],Table1[[#This Row],[channel]],Table1[prepayment_flag],1)/COUNTIF(Table1[channel],Table1[[#This Row],[channel]])</f>
        <v>7.1090047393364927E-2</v>
      </c>
      <c r="AF220" s="2">
        <f>AVERAGEIFS(Table1[interest_rate_pct],Table1[product],Table1[[#This Row],[product]],Table1[risk_band],Table1[[#This Row],[risk_band]])</f>
        <v>13.406874999999999</v>
      </c>
      <c r="AG220" s="2" t="str" cm="1">
        <f t="array" ref="AG220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220" s="2">
        <f>COUNTIF(Table1[DTI band],Table1[[#This Row],[DTI band]])</f>
        <v>260</v>
      </c>
      <c r="AI220" s="2" t="str" cm="1">
        <f t="array" ref="AI220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220" s="2">
        <f>COUNTIF(Table1[LTV band],Table1[[#This Row],[LTV band]])</f>
        <v>302</v>
      </c>
      <c r="AK220" s="19">
        <f>COUNTIFS(Table1[count_loan_perband],Table1[[#This Row],[count_loan_perband]],Table1[default_flag],1)/COUNTIF(Table1[count_loan_perband],Table1[[#This Row],[count_loan_perband]])</f>
        <v>3.6423841059602648E-2</v>
      </c>
      <c r="AL220" s="19" t="str" cm="1">
        <f t="array" ref="AL220">_xlfn.IFS(Table1[[#This Row],[loan_amount]] &lt; 900000, "lower size (&lt; 9L)", Table1[[#This Row],[loan_amount]] &lt;=3300000, "medium size (&lt;=33L)", Table1[[#This Row],[loan_amount]] &gt; 3300000, "larger size (&gt; 33L)")</f>
        <v>larger size (&gt; 33L)</v>
      </c>
      <c r="AM220" s="19">
        <f>IF(Table1[[#This Row],[dpd]] &gt;=30,1,0)</f>
        <v>0</v>
      </c>
      <c r="AN220" s="19">
        <f>COUNTIFS(Table1[Loan size],Table1[[#This Row],[Loan size]],Table1[dpd flag],1)/COUNTIF(Table1[Loan size],Table1[[#This Row],[Loan size]])</f>
        <v>0.16250000000000001</v>
      </c>
      <c r="AO220" s="19" t="str">
        <f>IF(OR(Table1[[#This Row],[credit_score]] &lt; 600, Table1[ [#This Row],[dti_ratio] ] &gt; 0.5, Table1[[#This Row],[dpd]] &gt;=30), "high risk", " not riskY")</f>
        <v xml:space="preserve"> not riskY</v>
      </c>
      <c r="AP220" s="29">
        <f>EOMONTH(Table1[[#This Row],[origination_date]],0)</f>
        <v>45443</v>
      </c>
      <c r="AQ220" s="19">
        <f>SUMIFS(Table1[loan_amount],Table1[origination month],Table1[[#This Row],[origination month]])</f>
        <v>9661400</v>
      </c>
      <c r="AR220" s="19">
        <f>AVERAGEIFS(Table1[months_on_book],Table1[product],Table1[[#This Row],[product]])</f>
        <v>20.516129032258064</v>
      </c>
      <c r="AS220" s="19" t="str">
        <f ca="1">IF(EDATE(Table1[[#This Row],[origination_date]],6) &gt;= TODAY(), "New Loan", "Old Loan")</f>
        <v>Old Loan</v>
      </c>
      <c r="AT220" s="19" t="str">
        <f>"Q"&amp;ROUNDUP(MONTH(Table1[[#This Row],[origination_date]])/3,0)&amp;YEAR(Table1[[#This Row],[origination_date]])</f>
        <v>Q22024</v>
      </c>
      <c r="AU220" s="19">
        <f>SUMIFS(Table1[loan_amount],Table1[quarter],Table1[[#This Row],[quarter]])</f>
        <v>46342100</v>
      </c>
    </row>
    <row r="221" spans="2:47" x14ac:dyDescent="0.2">
      <c r="B221" s="5" t="s">
        <v>306</v>
      </c>
      <c r="C221" s="2" t="s">
        <v>806</v>
      </c>
      <c r="D221" s="3">
        <v>45404</v>
      </c>
      <c r="E221" s="2" t="s">
        <v>1026</v>
      </c>
      <c r="F221" s="2" t="s">
        <v>1029</v>
      </c>
      <c r="G221" s="2" t="s">
        <v>1033</v>
      </c>
      <c r="H221" s="2" t="s">
        <v>1039</v>
      </c>
      <c r="I221" s="2">
        <v>36</v>
      </c>
      <c r="J221" s="2">
        <v>342100</v>
      </c>
      <c r="K221" s="2">
        <v>17.59</v>
      </c>
      <c r="L221" s="2">
        <v>12297</v>
      </c>
      <c r="M221" s="2">
        <v>1078549</v>
      </c>
      <c r="N221" s="2">
        <v>692</v>
      </c>
      <c r="O221" s="2" t="s">
        <v>1042</v>
      </c>
      <c r="P221" s="2">
        <v>0.37</v>
      </c>
      <c r="Q221" s="2">
        <v>0.8</v>
      </c>
      <c r="R221" s="2">
        <v>0</v>
      </c>
      <c r="S221" s="2">
        <v>20</v>
      </c>
      <c r="T221" s="2">
        <v>247049</v>
      </c>
      <c r="U221" s="2">
        <v>135168</v>
      </c>
      <c r="V221" s="2">
        <v>10</v>
      </c>
      <c r="W221" s="2">
        <v>0</v>
      </c>
      <c r="X221" s="2">
        <v>0</v>
      </c>
      <c r="Y221" s="2" t="s">
        <v>1049</v>
      </c>
      <c r="Z221" s="12">
        <f>SUMIF(Table1[product],Table1[[#This Row],[product]],Table1[loan_amount])</f>
        <v>74897600</v>
      </c>
      <c r="AA221" s="15">
        <f>SUMIF(Table1[region],Table1[[#This Row],[region]],Table1[current_balance])</f>
        <v>83297251</v>
      </c>
      <c r="AB221" s="2">
        <f>COUNTIF(Table1[loan_status],Table1[[#This Row],[loan_status]])</f>
        <v>301</v>
      </c>
      <c r="AC221" s="2">
        <f>COUNTIF(Table1[default_flag],1)/ROWS(Table1[loan_id])</f>
        <v>2.5999999999999999E-2</v>
      </c>
      <c r="AD221" s="2">
        <f>COUNTIFS(Table1[region],Table1[[#This Row],[region]],Table1[default_flag],1)/COUNTIF(Table1[region],Table1[[#This Row],[region]])</f>
        <v>3.1914893617021274E-2</v>
      </c>
      <c r="AE221" s="2">
        <f>COUNTIFS(Table1[channel],Table1[[#This Row],[channel]],Table1[prepayment_flag],1)/COUNTIF(Table1[channel],Table1[[#This Row],[channel]])</f>
        <v>7.1090047393364927E-2</v>
      </c>
      <c r="AF221" s="2">
        <f>AVERAGEIFS(Table1[interest_rate_pct],Table1[product],Table1[[#This Row],[product]],Table1[risk_band],Table1[[#This Row],[risk_band]])</f>
        <v>18.603181818181817</v>
      </c>
      <c r="AG221" s="2" t="str" cm="1">
        <f t="array" ref="AG221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221" s="2">
        <f>COUNTIF(Table1[DTI band],Table1[[#This Row],[DTI band]])</f>
        <v>260</v>
      </c>
      <c r="AI221" s="2" t="str" cm="1">
        <f t="array" ref="AI221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221" s="2">
        <f>COUNTIF(Table1[LTV band],Table1[[#This Row],[LTV band]])</f>
        <v>302</v>
      </c>
      <c r="AK221" s="19">
        <f>COUNTIFS(Table1[count_loan_perband],Table1[[#This Row],[count_loan_perband]],Table1[default_flag],1)/COUNTIF(Table1[count_loan_perband],Table1[[#This Row],[count_loan_perband]])</f>
        <v>3.6423841059602648E-2</v>
      </c>
      <c r="AL221" s="19" t="str" cm="1">
        <f t="array" ref="AL221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221" s="19">
        <f>IF(Table1[[#This Row],[dpd]] &gt;=30,1,0)</f>
        <v>0</v>
      </c>
      <c r="AN221" s="19">
        <f>COUNTIFS(Table1[Loan size],Table1[[#This Row],[Loan size]],Table1[dpd flag],1)/COUNTIF(Table1[Loan size],Table1[[#This Row],[Loan size]])</f>
        <v>0.13934426229508196</v>
      </c>
      <c r="AO221" s="19" t="str">
        <f>IF(OR(Table1[[#This Row],[credit_score]] &lt; 600, Table1[ [#This Row],[dti_ratio] ] &gt; 0.5, Table1[[#This Row],[dpd]] &gt;=30), "high risk", " not riskY")</f>
        <v xml:space="preserve"> not riskY</v>
      </c>
      <c r="AP221" s="29">
        <f>EOMONTH(Table1[[#This Row],[origination_date]],0)</f>
        <v>45412</v>
      </c>
      <c r="AQ221" s="19">
        <f>SUMIFS(Table1[loan_amount],Table1[origination month],Table1[[#This Row],[origination month]])</f>
        <v>8055200</v>
      </c>
      <c r="AR221" s="19">
        <f>AVERAGEIFS(Table1[months_on_book],Table1[product],Table1[[#This Row],[product]])</f>
        <v>21.092024539877301</v>
      </c>
      <c r="AS221" s="19" t="str">
        <f ca="1">IF(EDATE(Table1[[#This Row],[origination_date]],6) &gt;= TODAY(), "New Loan", "Old Loan")</f>
        <v>Old Loan</v>
      </c>
      <c r="AT221" s="19" t="str">
        <f>"Q"&amp;ROUNDUP(MONTH(Table1[[#This Row],[origination_date]])/3,0)&amp;YEAR(Table1[[#This Row],[origination_date]])</f>
        <v>Q22024</v>
      </c>
      <c r="AU221" s="19">
        <f>SUMIFS(Table1[loan_amount],Table1[quarter],Table1[[#This Row],[quarter]])</f>
        <v>46342100</v>
      </c>
    </row>
    <row r="222" spans="2:47" x14ac:dyDescent="0.2">
      <c r="B222" s="5" t="s">
        <v>155</v>
      </c>
      <c r="C222" s="2" t="s">
        <v>655</v>
      </c>
      <c r="D222" s="3">
        <v>45400</v>
      </c>
      <c r="E222" s="2" t="s">
        <v>1024</v>
      </c>
      <c r="F222" s="2" t="s">
        <v>1032</v>
      </c>
      <c r="G222" s="2" t="s">
        <v>1033</v>
      </c>
      <c r="H222" s="2" t="s">
        <v>1038</v>
      </c>
      <c r="I222" s="2">
        <v>240</v>
      </c>
      <c r="J222" s="2">
        <v>1188000</v>
      </c>
      <c r="K222" s="2">
        <v>10.87</v>
      </c>
      <c r="L222" s="2">
        <v>12157</v>
      </c>
      <c r="M222" s="2">
        <v>916120</v>
      </c>
      <c r="N222" s="2">
        <v>703</v>
      </c>
      <c r="O222" s="2" t="s">
        <v>1044</v>
      </c>
      <c r="P222" s="2">
        <v>0.33</v>
      </c>
      <c r="Q222" s="2">
        <v>0.88</v>
      </c>
      <c r="R222" s="2">
        <v>1352700</v>
      </c>
      <c r="S222" s="2">
        <v>20</v>
      </c>
      <c r="T222" s="2">
        <v>233313</v>
      </c>
      <c r="U222" s="2">
        <v>1040777</v>
      </c>
      <c r="V222" s="2">
        <v>0</v>
      </c>
      <c r="W222" s="2">
        <v>0</v>
      </c>
      <c r="X222" s="2">
        <v>0</v>
      </c>
      <c r="Y222" s="2" t="s">
        <v>1049</v>
      </c>
      <c r="Z222" s="12">
        <f>SUMIF(Table1[product],Table1[[#This Row],[product]],Table1[loan_amount])</f>
        <v>92273000</v>
      </c>
      <c r="AA222" s="15">
        <f>SUMIF(Table1[region],Table1[[#This Row],[region]],Table1[current_balance])</f>
        <v>83297251</v>
      </c>
      <c r="AB222" s="2">
        <f>COUNTIF(Table1[loan_status],Table1[[#This Row],[loan_status]])</f>
        <v>301</v>
      </c>
      <c r="AC222" s="2">
        <f>COUNTIF(Table1[default_flag],1)/ROWS(Table1[loan_id])</f>
        <v>2.5999999999999999E-2</v>
      </c>
      <c r="AD222" s="2">
        <f>COUNTIFS(Table1[region],Table1[[#This Row],[region]],Table1[default_flag],1)/COUNTIF(Table1[region],Table1[[#This Row],[region]])</f>
        <v>3.1914893617021274E-2</v>
      </c>
      <c r="AE222" s="2">
        <f>COUNTIFS(Table1[channel],Table1[[#This Row],[channel]],Table1[prepayment_flag],1)/COUNTIF(Table1[channel],Table1[[#This Row],[channel]])</f>
        <v>0.1</v>
      </c>
      <c r="AF222" s="2">
        <f>AVERAGEIFS(Table1[interest_rate_pct],Table1[product],Table1[[#This Row],[product]],Table1[risk_band],Table1[[#This Row],[risk_band]])</f>
        <v>10.611923076923079</v>
      </c>
      <c r="AG222" s="2" t="str" cm="1">
        <f t="array" ref="AG222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222" s="2">
        <f>COUNTIF(Table1[DTI band],Table1[[#This Row],[DTI band]])</f>
        <v>260</v>
      </c>
      <c r="AI222" s="2" t="str" cm="1">
        <f t="array" ref="AI222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222" s="2">
        <f>COUNTIF(Table1[LTV band],Table1[[#This Row],[LTV band]])</f>
        <v>141</v>
      </c>
      <c r="AK222" s="19">
        <f>COUNTIFS(Table1[count_loan_perband],Table1[[#This Row],[count_loan_perband]],Table1[default_flag],1)/COUNTIF(Table1[count_loan_perband],Table1[[#This Row],[count_loan_perband]])</f>
        <v>1.4184397163120567E-2</v>
      </c>
      <c r="AL222" s="19" t="str" cm="1">
        <f t="array" ref="AL222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222" s="19">
        <f>IF(Table1[[#This Row],[dpd]] &gt;=30,1,0)</f>
        <v>0</v>
      </c>
      <c r="AN222" s="19">
        <f>COUNTIFS(Table1[Loan size],Table1[[#This Row],[Loan size]],Table1[dpd flag],1)/COUNTIF(Table1[Loan size],Table1[[#This Row],[Loan size]])</f>
        <v>0.15909090909090909</v>
      </c>
      <c r="AO222" s="19" t="str">
        <f>IF(OR(Table1[[#This Row],[credit_score]] &lt; 600, Table1[ [#This Row],[dti_ratio] ] &gt; 0.5, Table1[[#This Row],[dpd]] &gt;=30), "high risk", " not riskY")</f>
        <v xml:space="preserve"> not riskY</v>
      </c>
      <c r="AP222" s="29">
        <f>EOMONTH(Table1[[#This Row],[origination_date]],0)</f>
        <v>45412</v>
      </c>
      <c r="AQ222" s="19">
        <f>SUMIFS(Table1[loan_amount],Table1[origination month],Table1[[#This Row],[origination month]])</f>
        <v>8055200</v>
      </c>
      <c r="AR222" s="19">
        <f>AVERAGEIFS(Table1[months_on_book],Table1[product],Table1[[#This Row],[product]])</f>
        <v>20.262135922330096</v>
      </c>
      <c r="AS222" s="19" t="str">
        <f ca="1">IF(EDATE(Table1[[#This Row],[origination_date]],6) &gt;= TODAY(), "New Loan", "Old Loan")</f>
        <v>Old Loan</v>
      </c>
      <c r="AT222" s="19" t="str">
        <f>"Q"&amp;ROUNDUP(MONTH(Table1[[#This Row],[origination_date]])/3,0)&amp;YEAR(Table1[[#This Row],[origination_date]])</f>
        <v>Q22024</v>
      </c>
      <c r="AU222" s="19">
        <f>SUMIFS(Table1[loan_amount],Table1[quarter],Table1[[#This Row],[quarter]])</f>
        <v>46342100</v>
      </c>
    </row>
    <row r="223" spans="2:47" x14ac:dyDescent="0.2">
      <c r="B223" s="5" t="s">
        <v>412</v>
      </c>
      <c r="C223" s="2" t="s">
        <v>912</v>
      </c>
      <c r="D223" s="3">
        <v>45395</v>
      </c>
      <c r="E223" s="2" t="s">
        <v>1025</v>
      </c>
      <c r="F223" s="2" t="s">
        <v>1032</v>
      </c>
      <c r="G223" s="2" t="s">
        <v>1036</v>
      </c>
      <c r="H223" s="2" t="s">
        <v>1038</v>
      </c>
      <c r="I223" s="2">
        <v>24</v>
      </c>
      <c r="J223" s="2">
        <v>2420300</v>
      </c>
      <c r="K223" s="2">
        <v>15.12</v>
      </c>
      <c r="L223" s="2">
        <v>117490</v>
      </c>
      <c r="M223" s="2">
        <v>1312634</v>
      </c>
      <c r="N223" s="2">
        <v>685</v>
      </c>
      <c r="O223" s="2" t="s">
        <v>1042</v>
      </c>
      <c r="P223" s="2">
        <v>0.33</v>
      </c>
      <c r="Q223" s="2">
        <v>0.69</v>
      </c>
      <c r="R223" s="2">
        <v>3486000</v>
      </c>
      <c r="S223" s="2">
        <v>20</v>
      </c>
      <c r="T223" s="2">
        <v>2282101</v>
      </c>
      <c r="U223" s="2">
        <v>382165</v>
      </c>
      <c r="V223" s="2">
        <v>5</v>
      </c>
      <c r="W223" s="2">
        <v>0</v>
      </c>
      <c r="X223" s="2">
        <v>0</v>
      </c>
      <c r="Y223" s="2" t="s">
        <v>1049</v>
      </c>
      <c r="Z223" s="12">
        <f>SUMIF(Table1[product],Table1[[#This Row],[product]],Table1[loan_amount])</f>
        <v>201475100</v>
      </c>
      <c r="AA223" s="15">
        <f>SUMIF(Table1[region],Table1[[#This Row],[region]],Table1[current_balance])</f>
        <v>98928695</v>
      </c>
      <c r="AB223" s="2">
        <f>COUNTIF(Table1[loan_status],Table1[[#This Row],[loan_status]])</f>
        <v>301</v>
      </c>
      <c r="AC223" s="2">
        <f>COUNTIF(Table1[default_flag],1)/ROWS(Table1[loan_id])</f>
        <v>2.5999999999999999E-2</v>
      </c>
      <c r="AD223" s="2">
        <f>COUNTIFS(Table1[region],Table1[[#This Row],[region]],Table1[default_flag],1)/COUNTIF(Table1[region],Table1[[#This Row],[region]])</f>
        <v>2.8571428571428571E-2</v>
      </c>
      <c r="AE223" s="2">
        <f>COUNTIFS(Table1[channel],Table1[[#This Row],[channel]],Table1[prepayment_flag],1)/COUNTIF(Table1[channel],Table1[[#This Row],[channel]])</f>
        <v>0.1</v>
      </c>
      <c r="AF223" s="2">
        <f>AVERAGEIFS(Table1[interest_rate_pct],Table1[product],Table1[[#This Row],[product]],Table1[risk_band],Table1[[#This Row],[risk_band]])</f>
        <v>15.841379310344831</v>
      </c>
      <c r="AG223" s="2" t="str" cm="1">
        <f t="array" ref="AG223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223" s="2">
        <f>COUNTIF(Table1[DTI band],Table1[[#This Row],[DTI band]])</f>
        <v>260</v>
      </c>
      <c r="AI223" s="2" t="str" cm="1">
        <f t="array" ref="AI223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223" s="2">
        <f>COUNTIF(Table1[LTV band],Table1[[#This Row],[LTV band]])</f>
        <v>302</v>
      </c>
      <c r="AK223" s="19">
        <f>COUNTIFS(Table1[count_loan_perband],Table1[[#This Row],[count_loan_perband]],Table1[default_flag],1)/COUNTIF(Table1[count_loan_perband],Table1[[#This Row],[count_loan_perband]])</f>
        <v>3.6423841059602648E-2</v>
      </c>
      <c r="AL223" s="19" t="str" cm="1">
        <f t="array" ref="AL223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223" s="19">
        <f>IF(Table1[[#This Row],[dpd]] &gt;=30,1,0)</f>
        <v>0</v>
      </c>
      <c r="AN223" s="19">
        <f>COUNTIFS(Table1[Loan size],Table1[[#This Row],[Loan size]],Table1[dpd flag],1)/COUNTIF(Table1[Loan size],Table1[[#This Row],[Loan size]])</f>
        <v>0.15909090909090909</v>
      </c>
      <c r="AO223" s="19" t="str">
        <f>IF(OR(Table1[[#This Row],[credit_score]] &lt; 600, Table1[ [#This Row],[dti_ratio] ] &gt; 0.5, Table1[[#This Row],[dpd]] &gt;=30), "high risk", " not riskY")</f>
        <v xml:space="preserve"> not riskY</v>
      </c>
      <c r="AP223" s="29">
        <f>EOMONTH(Table1[[#This Row],[origination_date]],0)</f>
        <v>45412</v>
      </c>
      <c r="AQ223" s="19">
        <f>SUMIFS(Table1[loan_amount],Table1[origination month],Table1[[#This Row],[origination month]])</f>
        <v>8055200</v>
      </c>
      <c r="AR223" s="19">
        <f>AVERAGEIFS(Table1[months_on_book],Table1[product],Table1[[#This Row],[product]])</f>
        <v>19.091954022988507</v>
      </c>
      <c r="AS223" s="19" t="str">
        <f ca="1">IF(EDATE(Table1[[#This Row],[origination_date]],6) &gt;= TODAY(), "New Loan", "Old Loan")</f>
        <v>Old Loan</v>
      </c>
      <c r="AT223" s="19" t="str">
        <f>"Q"&amp;ROUNDUP(MONTH(Table1[[#This Row],[origination_date]])/3,0)&amp;YEAR(Table1[[#This Row],[origination_date]])</f>
        <v>Q22024</v>
      </c>
      <c r="AU223" s="19">
        <f>SUMIFS(Table1[loan_amount],Table1[quarter],Table1[[#This Row],[quarter]])</f>
        <v>46342100</v>
      </c>
    </row>
    <row r="224" spans="2:47" x14ac:dyDescent="0.2">
      <c r="B224" s="5" t="s">
        <v>456</v>
      </c>
      <c r="C224" s="2" t="s">
        <v>956</v>
      </c>
      <c r="D224" s="3">
        <v>45384</v>
      </c>
      <c r="E224" s="2" t="s">
        <v>1026</v>
      </c>
      <c r="F224" s="2" t="s">
        <v>1032</v>
      </c>
      <c r="G224" s="2" t="s">
        <v>1034</v>
      </c>
      <c r="H224" s="2" t="s">
        <v>1038</v>
      </c>
      <c r="I224" s="2">
        <v>72</v>
      </c>
      <c r="J224" s="2">
        <v>305500</v>
      </c>
      <c r="K224" s="2">
        <v>15.58</v>
      </c>
      <c r="L224" s="2">
        <v>6556</v>
      </c>
      <c r="M224" s="2">
        <v>880246</v>
      </c>
      <c r="N224" s="2">
        <v>760</v>
      </c>
      <c r="O224" s="2" t="s">
        <v>1043</v>
      </c>
      <c r="P224" s="2">
        <v>0.33</v>
      </c>
      <c r="Q224" s="2">
        <v>0.65</v>
      </c>
      <c r="R224" s="2">
        <v>0</v>
      </c>
      <c r="S224" s="2">
        <v>20</v>
      </c>
      <c r="T224" s="2">
        <v>111766</v>
      </c>
      <c r="U224" s="2">
        <v>225465</v>
      </c>
      <c r="V224" s="2">
        <v>0</v>
      </c>
      <c r="W224" s="2">
        <v>0</v>
      </c>
      <c r="X224" s="2">
        <v>0</v>
      </c>
      <c r="Y224" s="2" t="s">
        <v>1049</v>
      </c>
      <c r="Z224" s="12">
        <f>SUMIF(Table1[product],Table1[[#This Row],[product]],Table1[loan_amount])</f>
        <v>74897600</v>
      </c>
      <c r="AA224" s="15">
        <f>SUMIF(Table1[region],Table1[[#This Row],[region]],Table1[current_balance])</f>
        <v>105779369</v>
      </c>
      <c r="AB224" s="2">
        <f>COUNTIF(Table1[loan_status],Table1[[#This Row],[loan_status]])</f>
        <v>301</v>
      </c>
      <c r="AC224" s="2">
        <f>COUNTIF(Table1[default_flag],1)/ROWS(Table1[loan_id])</f>
        <v>2.5999999999999999E-2</v>
      </c>
      <c r="AD224" s="2">
        <f>COUNTIFS(Table1[region],Table1[[#This Row],[region]],Table1[default_flag],1)/COUNTIF(Table1[region],Table1[[#This Row],[region]])</f>
        <v>2.6548672566371681E-2</v>
      </c>
      <c r="AE224" s="2">
        <f>COUNTIFS(Table1[channel],Table1[[#This Row],[channel]],Table1[prepayment_flag],1)/COUNTIF(Table1[channel],Table1[[#This Row],[channel]])</f>
        <v>0.1</v>
      </c>
      <c r="AF224" s="2">
        <f>AVERAGEIFS(Table1[interest_rate_pct],Table1[product],Table1[[#This Row],[product]],Table1[risk_band],Table1[[#This Row],[risk_band]])</f>
        <v>13.328333333333335</v>
      </c>
      <c r="AG224" s="2" t="str" cm="1">
        <f t="array" ref="AG224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224" s="2">
        <f>COUNTIF(Table1[DTI band],Table1[[#This Row],[DTI band]])</f>
        <v>260</v>
      </c>
      <c r="AI224" s="2" t="str" cm="1">
        <f t="array" ref="AI224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224" s="2">
        <f>COUNTIF(Table1[LTV band],Table1[[#This Row],[LTV band]])</f>
        <v>302</v>
      </c>
      <c r="AK224" s="19">
        <f>COUNTIFS(Table1[count_loan_perband],Table1[[#This Row],[count_loan_perband]],Table1[default_flag],1)/COUNTIF(Table1[count_loan_perband],Table1[[#This Row],[count_loan_perband]])</f>
        <v>3.6423841059602648E-2</v>
      </c>
      <c r="AL224" s="19" t="str" cm="1">
        <f t="array" ref="AL224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224" s="19">
        <f>IF(Table1[[#This Row],[dpd]] &gt;=30,1,0)</f>
        <v>0</v>
      </c>
      <c r="AN224" s="19">
        <f>COUNTIFS(Table1[Loan size],Table1[[#This Row],[Loan size]],Table1[dpd flag],1)/COUNTIF(Table1[Loan size],Table1[[#This Row],[Loan size]])</f>
        <v>0.13934426229508196</v>
      </c>
      <c r="AO224" s="19" t="str">
        <f>IF(OR(Table1[[#This Row],[credit_score]] &lt; 600, Table1[ [#This Row],[dti_ratio] ] &gt; 0.5, Table1[[#This Row],[dpd]] &gt;=30), "high risk", " not riskY")</f>
        <v xml:space="preserve"> not riskY</v>
      </c>
      <c r="AP224" s="29">
        <f>EOMONTH(Table1[[#This Row],[origination_date]],0)</f>
        <v>45412</v>
      </c>
      <c r="AQ224" s="19">
        <f>SUMIFS(Table1[loan_amount],Table1[origination month],Table1[[#This Row],[origination month]])</f>
        <v>8055200</v>
      </c>
      <c r="AR224" s="19">
        <f>AVERAGEIFS(Table1[months_on_book],Table1[product],Table1[[#This Row],[product]])</f>
        <v>21.092024539877301</v>
      </c>
      <c r="AS224" s="19" t="str">
        <f ca="1">IF(EDATE(Table1[[#This Row],[origination_date]],6) &gt;= TODAY(), "New Loan", "Old Loan")</f>
        <v>Old Loan</v>
      </c>
      <c r="AT224" s="19" t="str">
        <f>"Q"&amp;ROUNDUP(MONTH(Table1[[#This Row],[origination_date]])/3,0)&amp;YEAR(Table1[[#This Row],[origination_date]])</f>
        <v>Q22024</v>
      </c>
      <c r="AU224" s="19">
        <f>SUMIFS(Table1[loan_amount],Table1[quarter],Table1[[#This Row],[quarter]])</f>
        <v>46342100</v>
      </c>
    </row>
    <row r="225" spans="2:47" x14ac:dyDescent="0.2">
      <c r="B225" s="5" t="s">
        <v>145</v>
      </c>
      <c r="C225" s="2" t="s">
        <v>645</v>
      </c>
      <c r="D225" s="3">
        <v>45431</v>
      </c>
      <c r="E225" s="2" t="s">
        <v>1028</v>
      </c>
      <c r="F225" s="2" t="s">
        <v>1030</v>
      </c>
      <c r="G225" s="2" t="s">
        <v>1037</v>
      </c>
      <c r="H225" s="2" t="s">
        <v>1038</v>
      </c>
      <c r="I225" s="2">
        <v>60</v>
      </c>
      <c r="J225" s="2">
        <v>971100</v>
      </c>
      <c r="K225" s="2">
        <v>11.86</v>
      </c>
      <c r="L225" s="2">
        <v>21533</v>
      </c>
      <c r="M225" s="2">
        <v>706791</v>
      </c>
      <c r="N225" s="2">
        <v>706</v>
      </c>
      <c r="O225" s="2" t="s">
        <v>1044</v>
      </c>
      <c r="P225" s="2">
        <v>0.31</v>
      </c>
      <c r="Q225" s="2">
        <v>0.84</v>
      </c>
      <c r="R225" s="2">
        <v>0</v>
      </c>
      <c r="S225" s="2">
        <v>19</v>
      </c>
      <c r="T225" s="2">
        <v>357004</v>
      </c>
      <c r="U225" s="2">
        <v>687039</v>
      </c>
      <c r="V225" s="2">
        <v>30</v>
      </c>
      <c r="W225" s="2">
        <v>0</v>
      </c>
      <c r="X225" s="2">
        <v>0</v>
      </c>
      <c r="Y225" s="2" t="s">
        <v>1048</v>
      </c>
      <c r="Z225" s="12">
        <f>SUMIF(Table1[product],Table1[[#This Row],[product]],Table1[loan_amount])</f>
        <v>62765800</v>
      </c>
      <c r="AA225" s="15">
        <f>SUMIF(Table1[region],Table1[[#This Row],[region]],Table1[current_balance])</f>
        <v>94548000</v>
      </c>
      <c r="AB225" s="2">
        <f>COUNTIF(Table1[loan_status],Table1[[#This Row],[loan_status]])</f>
        <v>47</v>
      </c>
      <c r="AC225" s="2">
        <f>COUNTIF(Table1[default_flag],1)/ROWS(Table1[loan_id])</f>
        <v>2.5999999999999999E-2</v>
      </c>
      <c r="AD225" s="2">
        <f>COUNTIFS(Table1[region],Table1[[#This Row],[region]],Table1[default_flag],1)/COUNTIF(Table1[region],Table1[[#This Row],[region]])</f>
        <v>0</v>
      </c>
      <c r="AE225" s="2">
        <f>COUNTIFS(Table1[channel],Table1[[#This Row],[channel]],Table1[prepayment_flag],1)/COUNTIF(Table1[channel],Table1[[#This Row],[channel]])</f>
        <v>5.8201058201058198E-2</v>
      </c>
      <c r="AF225" s="2">
        <f>AVERAGEIFS(Table1[interest_rate_pct],Table1[product],Table1[[#This Row],[product]],Table1[risk_band],Table1[[#This Row],[risk_band]])</f>
        <v>10.832666666666663</v>
      </c>
      <c r="AG225" s="2" t="str" cm="1">
        <f t="array" ref="AG225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225" s="2">
        <f>COUNTIF(Table1[DTI band],Table1[[#This Row],[DTI band]])</f>
        <v>260</v>
      </c>
      <c r="AI225" s="2" t="str" cm="1">
        <f t="array" ref="AI225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225" s="2">
        <f>COUNTIF(Table1[LTV band],Table1[[#This Row],[LTV band]])</f>
        <v>141</v>
      </c>
      <c r="AK225" s="19">
        <f>COUNTIFS(Table1[count_loan_perband],Table1[[#This Row],[count_loan_perband]],Table1[default_flag],1)/COUNTIF(Table1[count_loan_perband],Table1[[#This Row],[count_loan_perband]])</f>
        <v>1.4184397163120567E-2</v>
      </c>
      <c r="AL225" s="19" t="str" cm="1">
        <f t="array" ref="AL225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225" s="19">
        <f>IF(Table1[[#This Row],[dpd]] &gt;=30,1,0)</f>
        <v>1</v>
      </c>
      <c r="AN225" s="19">
        <f>COUNTIFS(Table1[Loan size],Table1[[#This Row],[Loan size]],Table1[dpd flag],1)/COUNTIF(Table1[Loan size],Table1[[#This Row],[Loan size]])</f>
        <v>0.15909090909090909</v>
      </c>
      <c r="AO225" s="19" t="str">
        <f>IF(OR(Table1[[#This Row],[credit_score]] &lt; 600, Table1[ [#This Row],[dti_ratio] ] &gt; 0.5, Table1[[#This Row],[dpd]] &gt;=30), "high risk", " not riskY")</f>
        <v>high risk</v>
      </c>
      <c r="AP225" s="29">
        <f>EOMONTH(Table1[[#This Row],[origination_date]],0)</f>
        <v>45443</v>
      </c>
      <c r="AQ225" s="19">
        <f>SUMIFS(Table1[loan_amount],Table1[origination month],Table1[[#This Row],[origination month]])</f>
        <v>9661400</v>
      </c>
      <c r="AR225" s="19">
        <f>AVERAGEIFS(Table1[months_on_book],Table1[product],Table1[[#This Row],[product]])</f>
        <v>21.962962962962962</v>
      </c>
      <c r="AS225" s="19" t="str">
        <f ca="1">IF(EDATE(Table1[[#This Row],[origination_date]],6) &gt;= TODAY(), "New Loan", "Old Loan")</f>
        <v>Old Loan</v>
      </c>
      <c r="AT225" s="19" t="str">
        <f>"Q"&amp;ROUNDUP(MONTH(Table1[[#This Row],[origination_date]])/3,0)&amp;YEAR(Table1[[#This Row],[origination_date]])</f>
        <v>Q22024</v>
      </c>
      <c r="AU225" s="19">
        <f>SUMIFS(Table1[loan_amount],Table1[quarter],Table1[[#This Row],[quarter]])</f>
        <v>46342100</v>
      </c>
    </row>
    <row r="226" spans="2:47" x14ac:dyDescent="0.2">
      <c r="B226" s="5" t="s">
        <v>93</v>
      </c>
      <c r="C226" s="2" t="s">
        <v>593</v>
      </c>
      <c r="D226" s="3">
        <v>45406</v>
      </c>
      <c r="E226" s="2" t="s">
        <v>1026</v>
      </c>
      <c r="F226" s="2" t="s">
        <v>1032</v>
      </c>
      <c r="G226" s="2" t="s">
        <v>1033</v>
      </c>
      <c r="H226" s="2" t="s">
        <v>1038</v>
      </c>
      <c r="I226" s="2">
        <v>180</v>
      </c>
      <c r="J226" s="2">
        <v>431600</v>
      </c>
      <c r="K226" s="2">
        <v>22.58</v>
      </c>
      <c r="L226" s="2">
        <v>8415</v>
      </c>
      <c r="M226" s="2">
        <v>926390</v>
      </c>
      <c r="N226" s="2">
        <v>584</v>
      </c>
      <c r="O226" s="2" t="s">
        <v>1046</v>
      </c>
      <c r="P226" s="2">
        <v>0.3</v>
      </c>
      <c r="Q226" s="2">
        <v>0.71</v>
      </c>
      <c r="R226" s="2">
        <v>0</v>
      </c>
      <c r="S226" s="2">
        <v>20</v>
      </c>
      <c r="T226" s="2">
        <v>156992</v>
      </c>
      <c r="U226" s="2">
        <v>339578</v>
      </c>
      <c r="V226" s="2">
        <v>15</v>
      </c>
      <c r="W226" s="2">
        <v>0</v>
      </c>
      <c r="X226" s="2">
        <v>0</v>
      </c>
      <c r="Y226" s="2" t="s">
        <v>1049</v>
      </c>
      <c r="Z226" s="12">
        <f>SUMIF(Table1[product],Table1[[#This Row],[product]],Table1[loan_amount])</f>
        <v>74897600</v>
      </c>
      <c r="AA226" s="15">
        <f>SUMIF(Table1[region],Table1[[#This Row],[region]],Table1[current_balance])</f>
        <v>83297251</v>
      </c>
      <c r="AB226" s="2">
        <f>COUNTIF(Table1[loan_status],Table1[[#This Row],[loan_status]])</f>
        <v>301</v>
      </c>
      <c r="AC226" s="2">
        <f>COUNTIF(Table1[default_flag],1)/ROWS(Table1[loan_id])</f>
        <v>2.5999999999999999E-2</v>
      </c>
      <c r="AD226" s="2">
        <f>COUNTIFS(Table1[region],Table1[[#This Row],[region]],Table1[default_flag],1)/COUNTIF(Table1[region],Table1[[#This Row],[region]])</f>
        <v>3.1914893617021274E-2</v>
      </c>
      <c r="AE226" s="2">
        <f>COUNTIFS(Table1[channel],Table1[[#This Row],[channel]],Table1[prepayment_flag],1)/COUNTIF(Table1[channel],Table1[[#This Row],[channel]])</f>
        <v>0.1</v>
      </c>
      <c r="AF226" s="2">
        <f>AVERAGEIFS(Table1[interest_rate_pct],Table1[product],Table1[[#This Row],[product]],Table1[risk_band],Table1[[#This Row],[risk_band]])</f>
        <v>23.803750000000001</v>
      </c>
      <c r="AG226" s="2" t="str" cm="1">
        <f t="array" ref="AG226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226" s="2">
        <f>COUNTIF(Table1[DTI band],Table1[[#This Row],[DTI band]])</f>
        <v>260</v>
      </c>
      <c r="AI226" s="2" t="str" cm="1">
        <f t="array" ref="AI226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226" s="2">
        <f>COUNTIF(Table1[LTV band],Table1[[#This Row],[LTV band]])</f>
        <v>302</v>
      </c>
      <c r="AK226" s="19">
        <f>COUNTIFS(Table1[count_loan_perband],Table1[[#This Row],[count_loan_perband]],Table1[default_flag],1)/COUNTIF(Table1[count_loan_perband],Table1[[#This Row],[count_loan_perband]])</f>
        <v>3.6423841059602648E-2</v>
      </c>
      <c r="AL226" s="19" t="str" cm="1">
        <f t="array" ref="AL226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226" s="19">
        <f>IF(Table1[[#This Row],[dpd]] &gt;=30,1,0)</f>
        <v>0</v>
      </c>
      <c r="AN226" s="19">
        <f>COUNTIFS(Table1[Loan size],Table1[[#This Row],[Loan size]],Table1[dpd flag],1)/COUNTIF(Table1[Loan size],Table1[[#This Row],[Loan size]])</f>
        <v>0.13934426229508196</v>
      </c>
      <c r="AO226" s="19" t="str">
        <f>IF(OR(Table1[[#This Row],[credit_score]] &lt; 600, Table1[ [#This Row],[dti_ratio] ] &gt; 0.5, Table1[[#This Row],[dpd]] &gt;=30), "high risk", " not riskY")</f>
        <v>high risk</v>
      </c>
      <c r="AP226" s="29">
        <f>EOMONTH(Table1[[#This Row],[origination_date]],0)</f>
        <v>45412</v>
      </c>
      <c r="AQ226" s="19">
        <f>SUMIFS(Table1[loan_amount],Table1[origination month],Table1[[#This Row],[origination month]])</f>
        <v>8055200</v>
      </c>
      <c r="AR226" s="19">
        <f>AVERAGEIFS(Table1[months_on_book],Table1[product],Table1[[#This Row],[product]])</f>
        <v>21.092024539877301</v>
      </c>
      <c r="AS226" s="19" t="str">
        <f ca="1">IF(EDATE(Table1[[#This Row],[origination_date]],6) &gt;= TODAY(), "New Loan", "Old Loan")</f>
        <v>Old Loan</v>
      </c>
      <c r="AT226" s="19" t="str">
        <f>"Q"&amp;ROUNDUP(MONTH(Table1[[#This Row],[origination_date]])/3,0)&amp;YEAR(Table1[[#This Row],[origination_date]])</f>
        <v>Q22024</v>
      </c>
      <c r="AU226" s="19">
        <f>SUMIFS(Table1[loan_amount],Table1[quarter],Table1[[#This Row],[quarter]])</f>
        <v>46342100</v>
      </c>
    </row>
    <row r="227" spans="2:47" x14ac:dyDescent="0.2">
      <c r="B227" s="5" t="s">
        <v>210</v>
      </c>
      <c r="C227" s="2" t="s">
        <v>710</v>
      </c>
      <c r="D227" s="3">
        <v>45469</v>
      </c>
      <c r="E227" s="2" t="s">
        <v>1027</v>
      </c>
      <c r="F227" s="2" t="s">
        <v>1030</v>
      </c>
      <c r="G227" s="2" t="s">
        <v>1035</v>
      </c>
      <c r="H227" s="2" t="s">
        <v>1038</v>
      </c>
      <c r="I227" s="2">
        <v>120</v>
      </c>
      <c r="J227" s="2">
        <v>4082100</v>
      </c>
      <c r="K227" s="2">
        <v>10.37</v>
      </c>
      <c r="L227" s="2">
        <v>54785</v>
      </c>
      <c r="M227" s="2">
        <v>713171</v>
      </c>
      <c r="N227" s="2">
        <v>699</v>
      </c>
      <c r="O227" s="2" t="s">
        <v>1042</v>
      </c>
      <c r="P227" s="2">
        <v>0.28999999999999998</v>
      </c>
      <c r="Q227" s="2">
        <v>0.77</v>
      </c>
      <c r="R227" s="2">
        <v>5287900</v>
      </c>
      <c r="S227" s="2">
        <v>18</v>
      </c>
      <c r="T227" s="2">
        <v>997818</v>
      </c>
      <c r="U227" s="2">
        <v>3338270</v>
      </c>
      <c r="V227" s="2">
        <v>0</v>
      </c>
      <c r="W227" s="2">
        <v>0</v>
      </c>
      <c r="X227" s="2">
        <v>0</v>
      </c>
      <c r="Y227" s="2" t="s">
        <v>1049</v>
      </c>
      <c r="Z227" s="12">
        <f>SUMIF(Table1[product],Table1[[#This Row],[product]],Table1[loan_amount])</f>
        <v>403369500</v>
      </c>
      <c r="AA227" s="15">
        <f>SUMIF(Table1[region],Table1[[#This Row],[region]],Table1[current_balance])</f>
        <v>83903255</v>
      </c>
      <c r="AB227" s="2">
        <f>COUNTIF(Table1[loan_status],Table1[[#This Row],[loan_status]])</f>
        <v>301</v>
      </c>
      <c r="AC227" s="2">
        <f>COUNTIF(Table1[default_flag],1)/ROWS(Table1[loan_id])</f>
        <v>2.5999999999999999E-2</v>
      </c>
      <c r="AD227" s="2">
        <f>COUNTIFS(Table1[region],Table1[[#This Row],[region]],Table1[default_flag],1)/COUNTIF(Table1[region],Table1[[#This Row],[region]])</f>
        <v>4.2553191489361701E-2</v>
      </c>
      <c r="AE227" s="2">
        <f>COUNTIFS(Table1[channel],Table1[[#This Row],[channel]],Table1[prepayment_flag],1)/COUNTIF(Table1[channel],Table1[[#This Row],[channel]])</f>
        <v>5.8201058201058198E-2</v>
      </c>
      <c r="AF227" s="2">
        <f>AVERAGEIFS(Table1[interest_rate_pct],Table1[product],Table1[[#This Row],[product]],Table1[risk_band],Table1[[#This Row],[risk_band]])</f>
        <v>11.719736842105268</v>
      </c>
      <c r="AG227" s="2" t="str" cm="1">
        <f t="array" ref="AG227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227" s="2">
        <f>COUNTIF(Table1[DTI band],Table1[[#This Row],[DTI band]])</f>
        <v>122</v>
      </c>
      <c r="AI227" s="2" t="str" cm="1">
        <f t="array" ref="AI227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227" s="2">
        <f>COUNTIF(Table1[LTV band],Table1[[#This Row],[LTV band]])</f>
        <v>302</v>
      </c>
      <c r="AK227" s="19">
        <f>COUNTIFS(Table1[count_loan_perband],Table1[[#This Row],[count_loan_perband]],Table1[default_flag],1)/COUNTIF(Table1[count_loan_perband],Table1[[#This Row],[count_loan_perband]])</f>
        <v>3.6423841059602648E-2</v>
      </c>
      <c r="AL227" s="19" t="str" cm="1">
        <f t="array" ref="AL227">_xlfn.IFS(Table1[[#This Row],[loan_amount]] &lt; 900000, "lower size (&lt; 9L)", Table1[[#This Row],[loan_amount]] &lt;=3300000, "medium size (&lt;=33L)", Table1[[#This Row],[loan_amount]] &gt; 3300000, "larger size (&gt; 33L)")</f>
        <v>larger size (&gt; 33L)</v>
      </c>
      <c r="AM227" s="19">
        <f>IF(Table1[[#This Row],[dpd]] &gt;=30,1,0)</f>
        <v>0</v>
      </c>
      <c r="AN227" s="19">
        <f>COUNTIFS(Table1[Loan size],Table1[[#This Row],[Loan size]],Table1[dpd flag],1)/COUNTIF(Table1[Loan size],Table1[[#This Row],[Loan size]])</f>
        <v>0.16250000000000001</v>
      </c>
      <c r="AO227" s="19" t="str">
        <f>IF(OR(Table1[[#This Row],[credit_score]] &lt; 600, Table1[ [#This Row],[dti_ratio] ] &gt; 0.5, Table1[[#This Row],[dpd]] &gt;=30), "high risk", " not riskY")</f>
        <v xml:space="preserve"> not riskY</v>
      </c>
      <c r="AP227" s="29">
        <f>EOMONTH(Table1[[#This Row],[origination_date]],0)</f>
        <v>45473</v>
      </c>
      <c r="AQ227" s="19">
        <f>SUMIFS(Table1[loan_amount],Table1[origination month],Table1[[#This Row],[origination month]])</f>
        <v>28625500</v>
      </c>
      <c r="AR227" s="19">
        <f>AVERAGEIFS(Table1[months_on_book],Table1[product],Table1[[#This Row],[product]])</f>
        <v>20.516129032258064</v>
      </c>
      <c r="AS227" s="19" t="str">
        <f ca="1">IF(EDATE(Table1[[#This Row],[origination_date]],6) &gt;= TODAY(), "New Loan", "Old Loan")</f>
        <v>Old Loan</v>
      </c>
      <c r="AT227" s="19" t="str">
        <f>"Q"&amp;ROUNDUP(MONTH(Table1[[#This Row],[origination_date]])/3,0)&amp;YEAR(Table1[[#This Row],[origination_date]])</f>
        <v>Q22024</v>
      </c>
      <c r="AU227" s="19">
        <f>SUMIFS(Table1[loan_amount],Table1[quarter],Table1[[#This Row],[quarter]])</f>
        <v>46342100</v>
      </c>
    </row>
    <row r="228" spans="2:47" x14ac:dyDescent="0.2">
      <c r="B228" s="5" t="s">
        <v>339</v>
      </c>
      <c r="C228" s="2" t="s">
        <v>839</v>
      </c>
      <c r="D228" s="3">
        <v>45451</v>
      </c>
      <c r="E228" s="2" t="s">
        <v>1027</v>
      </c>
      <c r="F228" s="2" t="s">
        <v>1030</v>
      </c>
      <c r="G228" s="2" t="s">
        <v>1033</v>
      </c>
      <c r="H228" s="2" t="s">
        <v>1040</v>
      </c>
      <c r="I228" s="2">
        <v>36</v>
      </c>
      <c r="J228" s="2">
        <v>435500</v>
      </c>
      <c r="K228" s="2">
        <v>7.38</v>
      </c>
      <c r="L228" s="2">
        <v>13523</v>
      </c>
      <c r="M228" s="2">
        <v>738181</v>
      </c>
      <c r="N228" s="2">
        <v>747</v>
      </c>
      <c r="O228" s="2" t="s">
        <v>1044</v>
      </c>
      <c r="P228" s="2">
        <v>0.28000000000000003</v>
      </c>
      <c r="Q228" s="2">
        <v>0.92</v>
      </c>
      <c r="R228" s="2">
        <v>471800</v>
      </c>
      <c r="S228" s="2">
        <v>18</v>
      </c>
      <c r="T228" s="2">
        <v>224620</v>
      </c>
      <c r="U228" s="2">
        <v>230164</v>
      </c>
      <c r="V228" s="2">
        <v>0</v>
      </c>
      <c r="W228" s="2">
        <v>0</v>
      </c>
      <c r="X228" s="2">
        <v>0</v>
      </c>
      <c r="Y228" s="2" t="s">
        <v>1049</v>
      </c>
      <c r="Z228" s="12">
        <f>SUMIF(Table1[product],Table1[[#This Row],[product]],Table1[loan_amount])</f>
        <v>403369500</v>
      </c>
      <c r="AA228" s="15">
        <f>SUMIF(Table1[region],Table1[[#This Row],[region]],Table1[current_balance])</f>
        <v>83297251</v>
      </c>
      <c r="AB228" s="2">
        <f>COUNTIF(Table1[loan_status],Table1[[#This Row],[loan_status]])</f>
        <v>301</v>
      </c>
      <c r="AC228" s="2">
        <f>COUNTIF(Table1[default_flag],1)/ROWS(Table1[loan_id])</f>
        <v>2.5999999999999999E-2</v>
      </c>
      <c r="AD228" s="2">
        <f>COUNTIFS(Table1[region],Table1[[#This Row],[region]],Table1[default_flag],1)/COUNTIF(Table1[region],Table1[[#This Row],[region]])</f>
        <v>3.1914893617021274E-2</v>
      </c>
      <c r="AE228" s="2">
        <f>COUNTIFS(Table1[channel],Table1[[#This Row],[channel]],Table1[prepayment_flag],1)/COUNTIF(Table1[channel],Table1[[#This Row],[channel]])</f>
        <v>5.8201058201058198E-2</v>
      </c>
      <c r="AF228" s="2">
        <f>AVERAGEIFS(Table1[interest_rate_pct],Table1[product],Table1[[#This Row],[product]],Table1[risk_band],Table1[[#This Row],[risk_band]])</f>
        <v>8.8557142857142868</v>
      </c>
      <c r="AG228" s="2" t="str" cm="1">
        <f t="array" ref="AG228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228" s="2">
        <f>COUNTIF(Table1[DTI band],Table1[[#This Row],[DTI band]])</f>
        <v>122</v>
      </c>
      <c r="AI228" s="2" t="str" cm="1">
        <f t="array" ref="AI228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228" s="2">
        <f>COUNTIF(Table1[LTV band],Table1[[#This Row],[LTV band]])</f>
        <v>141</v>
      </c>
      <c r="AK228" s="19">
        <f>COUNTIFS(Table1[count_loan_perband],Table1[[#This Row],[count_loan_perband]],Table1[default_flag],1)/COUNTIF(Table1[count_loan_perband],Table1[[#This Row],[count_loan_perband]])</f>
        <v>1.4184397163120567E-2</v>
      </c>
      <c r="AL228" s="19" t="str" cm="1">
        <f t="array" ref="AL228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228" s="19">
        <f>IF(Table1[[#This Row],[dpd]] &gt;=30,1,0)</f>
        <v>0</v>
      </c>
      <c r="AN228" s="19">
        <f>COUNTIFS(Table1[Loan size],Table1[[#This Row],[Loan size]],Table1[dpd flag],1)/COUNTIF(Table1[Loan size],Table1[[#This Row],[Loan size]])</f>
        <v>0.13934426229508196</v>
      </c>
      <c r="AO228" s="19" t="str">
        <f>IF(OR(Table1[[#This Row],[credit_score]] &lt; 600, Table1[ [#This Row],[dti_ratio] ] &gt; 0.5, Table1[[#This Row],[dpd]] &gt;=30), "high risk", " not riskY")</f>
        <v xml:space="preserve"> not riskY</v>
      </c>
      <c r="AP228" s="29">
        <f>EOMONTH(Table1[[#This Row],[origination_date]],0)</f>
        <v>45473</v>
      </c>
      <c r="AQ228" s="19">
        <f>SUMIFS(Table1[loan_amount],Table1[origination month],Table1[[#This Row],[origination month]])</f>
        <v>28625500</v>
      </c>
      <c r="AR228" s="19">
        <f>AVERAGEIFS(Table1[months_on_book],Table1[product],Table1[[#This Row],[product]])</f>
        <v>20.516129032258064</v>
      </c>
      <c r="AS228" s="19" t="str">
        <f ca="1">IF(EDATE(Table1[[#This Row],[origination_date]],6) &gt;= TODAY(), "New Loan", "Old Loan")</f>
        <v>Old Loan</v>
      </c>
      <c r="AT228" s="19" t="str">
        <f>"Q"&amp;ROUNDUP(MONTH(Table1[[#This Row],[origination_date]])/3,0)&amp;YEAR(Table1[[#This Row],[origination_date]])</f>
        <v>Q22024</v>
      </c>
      <c r="AU228" s="19">
        <f>SUMIFS(Table1[loan_amount],Table1[quarter],Table1[[#This Row],[quarter]])</f>
        <v>46342100</v>
      </c>
    </row>
    <row r="229" spans="2:47" x14ac:dyDescent="0.2">
      <c r="B229" s="5" t="s">
        <v>77</v>
      </c>
      <c r="C229" s="2" t="s">
        <v>577</v>
      </c>
      <c r="D229" s="3">
        <v>45398</v>
      </c>
      <c r="E229" s="2" t="s">
        <v>1028</v>
      </c>
      <c r="F229" s="2" t="s">
        <v>1029</v>
      </c>
      <c r="G229" s="2" t="s">
        <v>1035</v>
      </c>
      <c r="H229" s="2" t="s">
        <v>1038</v>
      </c>
      <c r="I229" s="2">
        <v>180</v>
      </c>
      <c r="J229" s="2">
        <v>1687700</v>
      </c>
      <c r="K229" s="2">
        <v>15.06</v>
      </c>
      <c r="L229" s="2">
        <v>23690</v>
      </c>
      <c r="M229" s="2">
        <v>781138</v>
      </c>
      <c r="N229" s="2">
        <v>624</v>
      </c>
      <c r="O229" s="2" t="s">
        <v>1045</v>
      </c>
      <c r="P229" s="2">
        <v>0.27</v>
      </c>
      <c r="Q229" s="2">
        <v>0.68</v>
      </c>
      <c r="R229" s="2">
        <v>0</v>
      </c>
      <c r="S229" s="2">
        <v>20</v>
      </c>
      <c r="T229" s="2">
        <v>477731</v>
      </c>
      <c r="U229" s="2">
        <v>1379414</v>
      </c>
      <c r="V229" s="2">
        <v>0</v>
      </c>
      <c r="W229" s="2">
        <v>0</v>
      </c>
      <c r="X229" s="2">
        <v>0</v>
      </c>
      <c r="Y229" s="2" t="s">
        <v>1049</v>
      </c>
      <c r="Z229" s="12">
        <f>SUMIF(Table1[product],Table1[[#This Row],[product]],Table1[loan_amount])</f>
        <v>62765800</v>
      </c>
      <c r="AA229" s="15">
        <f>SUMIF(Table1[region],Table1[[#This Row],[region]],Table1[current_balance])</f>
        <v>83903255</v>
      </c>
      <c r="AB229" s="2">
        <f>COUNTIF(Table1[loan_status],Table1[[#This Row],[loan_status]])</f>
        <v>301</v>
      </c>
      <c r="AC229" s="2">
        <f>COUNTIF(Table1[default_flag],1)/ROWS(Table1[loan_id])</f>
        <v>2.5999999999999999E-2</v>
      </c>
      <c r="AD229" s="2">
        <f>COUNTIFS(Table1[region],Table1[[#This Row],[region]],Table1[default_flag],1)/COUNTIF(Table1[region],Table1[[#This Row],[region]])</f>
        <v>4.2553191489361701E-2</v>
      </c>
      <c r="AE229" s="2">
        <f>COUNTIFS(Table1[channel],Table1[[#This Row],[channel]],Table1[prepayment_flag],1)/COUNTIF(Table1[channel],Table1[[#This Row],[channel]])</f>
        <v>7.1090047393364927E-2</v>
      </c>
      <c r="AF229" s="2">
        <f>AVERAGEIFS(Table1[interest_rate_pct],Table1[product],Table1[[#This Row],[product]],Table1[risk_band],Table1[[#This Row],[risk_band]])</f>
        <v>15.810000000000002</v>
      </c>
      <c r="AG229" s="2" t="str" cm="1">
        <f t="array" ref="AG229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229" s="2">
        <f>COUNTIF(Table1[DTI band],Table1[[#This Row],[DTI band]])</f>
        <v>122</v>
      </c>
      <c r="AI229" s="2" t="str" cm="1">
        <f t="array" ref="AI229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229" s="2">
        <f>COUNTIF(Table1[LTV band],Table1[[#This Row],[LTV band]])</f>
        <v>302</v>
      </c>
      <c r="AK229" s="19">
        <f>COUNTIFS(Table1[count_loan_perband],Table1[[#This Row],[count_loan_perband]],Table1[default_flag],1)/COUNTIF(Table1[count_loan_perband],Table1[[#This Row],[count_loan_perband]])</f>
        <v>3.6423841059602648E-2</v>
      </c>
      <c r="AL229" s="19" t="str" cm="1">
        <f t="array" ref="AL229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229" s="19">
        <f>IF(Table1[[#This Row],[dpd]] &gt;=30,1,0)</f>
        <v>0</v>
      </c>
      <c r="AN229" s="19">
        <f>COUNTIFS(Table1[Loan size],Table1[[#This Row],[Loan size]],Table1[dpd flag],1)/COUNTIF(Table1[Loan size],Table1[[#This Row],[Loan size]])</f>
        <v>0.15909090909090909</v>
      </c>
      <c r="AO229" s="19" t="str">
        <f>IF(OR(Table1[[#This Row],[credit_score]] &lt; 600, Table1[ [#This Row],[dti_ratio] ] &gt; 0.5, Table1[[#This Row],[dpd]] &gt;=30), "high risk", " not riskY")</f>
        <v xml:space="preserve"> not riskY</v>
      </c>
      <c r="AP229" s="29">
        <f>EOMONTH(Table1[[#This Row],[origination_date]],0)</f>
        <v>45412</v>
      </c>
      <c r="AQ229" s="19">
        <f>SUMIFS(Table1[loan_amount],Table1[origination month],Table1[[#This Row],[origination month]])</f>
        <v>8055200</v>
      </c>
      <c r="AR229" s="19">
        <f>AVERAGEIFS(Table1[months_on_book],Table1[product],Table1[[#This Row],[product]])</f>
        <v>21.962962962962962</v>
      </c>
      <c r="AS229" s="19" t="str">
        <f ca="1">IF(EDATE(Table1[[#This Row],[origination_date]],6) &gt;= TODAY(), "New Loan", "Old Loan")</f>
        <v>Old Loan</v>
      </c>
      <c r="AT229" s="19" t="str">
        <f>"Q"&amp;ROUNDUP(MONTH(Table1[[#This Row],[origination_date]])/3,0)&amp;YEAR(Table1[[#This Row],[origination_date]])</f>
        <v>Q22024</v>
      </c>
      <c r="AU229" s="19">
        <f>SUMIFS(Table1[loan_amount],Table1[quarter],Table1[[#This Row],[quarter]])</f>
        <v>46342100</v>
      </c>
    </row>
    <row r="230" spans="2:47" x14ac:dyDescent="0.2">
      <c r="B230" s="5" t="s">
        <v>205</v>
      </c>
      <c r="C230" s="2" t="s">
        <v>705</v>
      </c>
      <c r="D230" s="3">
        <v>45449</v>
      </c>
      <c r="E230" s="2" t="s">
        <v>1027</v>
      </c>
      <c r="F230" s="2" t="s">
        <v>1031</v>
      </c>
      <c r="G230" s="2" t="s">
        <v>1034</v>
      </c>
      <c r="H230" s="2" t="s">
        <v>1038</v>
      </c>
      <c r="I230" s="2">
        <v>180</v>
      </c>
      <c r="J230" s="2">
        <v>3794600</v>
      </c>
      <c r="K230" s="2">
        <v>10.49</v>
      </c>
      <c r="L230" s="2">
        <v>41922</v>
      </c>
      <c r="M230" s="2">
        <v>565107</v>
      </c>
      <c r="N230" s="2">
        <v>707</v>
      </c>
      <c r="O230" s="2" t="s">
        <v>1044</v>
      </c>
      <c r="P230" s="2">
        <v>0.24</v>
      </c>
      <c r="Q230" s="2">
        <v>0.69</v>
      </c>
      <c r="R230" s="2">
        <v>5495300</v>
      </c>
      <c r="S230" s="2">
        <v>18</v>
      </c>
      <c r="T230" s="2">
        <v>665232</v>
      </c>
      <c r="U230" s="2">
        <v>3368200</v>
      </c>
      <c r="V230" s="2">
        <v>0</v>
      </c>
      <c r="W230" s="2">
        <v>1</v>
      </c>
      <c r="X230" s="2">
        <v>0</v>
      </c>
      <c r="Y230" s="2" t="s">
        <v>1047</v>
      </c>
      <c r="Z230" s="12">
        <f>SUMIF(Table1[product],Table1[[#This Row],[product]],Table1[loan_amount])</f>
        <v>403369500</v>
      </c>
      <c r="AA230" s="15">
        <f>SUMIF(Table1[region],Table1[[#This Row],[region]],Table1[current_balance])</f>
        <v>105779369</v>
      </c>
      <c r="AB230" s="2">
        <f>COUNTIF(Table1[loan_status],Table1[[#This Row],[loan_status]])</f>
        <v>139</v>
      </c>
      <c r="AC230" s="2">
        <f>COUNTIF(Table1[default_flag],1)/ROWS(Table1[loan_id])</f>
        <v>2.5999999999999999E-2</v>
      </c>
      <c r="AD230" s="2">
        <f>COUNTIFS(Table1[region],Table1[[#This Row],[region]],Table1[default_flag],1)/COUNTIF(Table1[region],Table1[[#This Row],[region]])</f>
        <v>2.6548672566371681E-2</v>
      </c>
      <c r="AE230" s="2">
        <f>COUNTIFS(Table1[channel],Table1[[#This Row],[channel]],Table1[prepayment_flag],1)/COUNTIF(Table1[channel],Table1[[#This Row],[channel]])</f>
        <v>0.12</v>
      </c>
      <c r="AF230" s="2">
        <f>AVERAGEIFS(Table1[interest_rate_pct],Table1[product],Table1[[#This Row],[product]],Table1[risk_band],Table1[[#This Row],[risk_band]])</f>
        <v>8.8557142857142868</v>
      </c>
      <c r="AG230" s="2" t="str" cm="1">
        <f t="array" ref="AG230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230" s="2">
        <f>COUNTIF(Table1[DTI band],Table1[[#This Row],[DTI band]])</f>
        <v>122</v>
      </c>
      <c r="AI230" s="2" t="str" cm="1">
        <f t="array" ref="AI230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230" s="2">
        <f>COUNTIF(Table1[LTV band],Table1[[#This Row],[LTV band]])</f>
        <v>302</v>
      </c>
      <c r="AK230" s="19">
        <f>COUNTIFS(Table1[count_loan_perband],Table1[[#This Row],[count_loan_perband]],Table1[default_flag],1)/COUNTIF(Table1[count_loan_perband],Table1[[#This Row],[count_loan_perband]])</f>
        <v>3.6423841059602648E-2</v>
      </c>
      <c r="AL230" s="19" t="str" cm="1">
        <f t="array" ref="AL230">_xlfn.IFS(Table1[[#This Row],[loan_amount]] &lt; 900000, "lower size (&lt; 9L)", Table1[[#This Row],[loan_amount]] &lt;=3300000, "medium size (&lt;=33L)", Table1[[#This Row],[loan_amount]] &gt; 3300000, "larger size (&gt; 33L)")</f>
        <v>larger size (&gt; 33L)</v>
      </c>
      <c r="AM230" s="19">
        <f>IF(Table1[[#This Row],[dpd]] &gt;=30,1,0)</f>
        <v>0</v>
      </c>
      <c r="AN230" s="19">
        <f>COUNTIFS(Table1[Loan size],Table1[[#This Row],[Loan size]],Table1[dpd flag],1)/COUNTIF(Table1[Loan size],Table1[[#This Row],[Loan size]])</f>
        <v>0.16250000000000001</v>
      </c>
      <c r="AO230" s="19" t="str">
        <f>IF(OR(Table1[[#This Row],[credit_score]] &lt; 600, Table1[ [#This Row],[dti_ratio] ] &gt; 0.5, Table1[[#This Row],[dpd]] &gt;=30), "high risk", " not riskY")</f>
        <v xml:space="preserve"> not riskY</v>
      </c>
      <c r="AP230" s="29">
        <f>EOMONTH(Table1[[#This Row],[origination_date]],0)</f>
        <v>45473</v>
      </c>
      <c r="AQ230" s="19">
        <f>SUMIFS(Table1[loan_amount],Table1[origination month],Table1[[#This Row],[origination month]])</f>
        <v>28625500</v>
      </c>
      <c r="AR230" s="19">
        <f>AVERAGEIFS(Table1[months_on_book],Table1[product],Table1[[#This Row],[product]])</f>
        <v>20.516129032258064</v>
      </c>
      <c r="AS230" s="19" t="str">
        <f ca="1">IF(EDATE(Table1[[#This Row],[origination_date]],6) &gt;= TODAY(), "New Loan", "Old Loan")</f>
        <v>Old Loan</v>
      </c>
      <c r="AT230" s="19" t="str">
        <f>"Q"&amp;ROUNDUP(MONTH(Table1[[#This Row],[origination_date]])/3,0)&amp;YEAR(Table1[[#This Row],[origination_date]])</f>
        <v>Q22024</v>
      </c>
      <c r="AU230" s="19">
        <f>SUMIFS(Table1[loan_amount],Table1[quarter],Table1[[#This Row],[quarter]])</f>
        <v>46342100</v>
      </c>
    </row>
    <row r="231" spans="2:47" x14ac:dyDescent="0.2">
      <c r="B231" s="5" t="s">
        <v>396</v>
      </c>
      <c r="C231" s="2" t="s">
        <v>896</v>
      </c>
      <c r="D231" s="3">
        <v>45472</v>
      </c>
      <c r="E231" s="2" t="s">
        <v>1027</v>
      </c>
      <c r="F231" s="2" t="s">
        <v>1032</v>
      </c>
      <c r="G231" s="2" t="s">
        <v>1036</v>
      </c>
      <c r="H231" s="2" t="s">
        <v>1039</v>
      </c>
      <c r="I231" s="2">
        <v>120</v>
      </c>
      <c r="J231" s="2">
        <v>1864900</v>
      </c>
      <c r="K231" s="2">
        <v>9.08</v>
      </c>
      <c r="L231" s="2">
        <v>23705</v>
      </c>
      <c r="M231" s="2">
        <v>279305</v>
      </c>
      <c r="N231" s="2">
        <v>731</v>
      </c>
      <c r="O231" s="2" t="s">
        <v>1044</v>
      </c>
      <c r="P231" s="2">
        <v>0.24</v>
      </c>
      <c r="Q231" s="2">
        <v>0.47</v>
      </c>
      <c r="R231" s="2">
        <v>3993300</v>
      </c>
      <c r="S231" s="2">
        <v>18</v>
      </c>
      <c r="T231" s="2">
        <v>416824</v>
      </c>
      <c r="U231" s="2">
        <v>1549676</v>
      </c>
      <c r="V231" s="2">
        <v>0</v>
      </c>
      <c r="W231" s="2">
        <v>0</v>
      </c>
      <c r="X231" s="2">
        <v>0</v>
      </c>
      <c r="Y231" s="2" t="s">
        <v>1049</v>
      </c>
      <c r="Z231" s="12">
        <f>SUMIF(Table1[product],Table1[[#This Row],[product]],Table1[loan_amount])</f>
        <v>403369500</v>
      </c>
      <c r="AA231" s="15">
        <f>SUMIF(Table1[region],Table1[[#This Row],[region]],Table1[current_balance])</f>
        <v>98928695</v>
      </c>
      <c r="AB231" s="2">
        <f>COUNTIF(Table1[loan_status],Table1[[#This Row],[loan_status]])</f>
        <v>301</v>
      </c>
      <c r="AC231" s="2">
        <f>COUNTIF(Table1[default_flag],1)/ROWS(Table1[loan_id])</f>
        <v>2.5999999999999999E-2</v>
      </c>
      <c r="AD231" s="2">
        <f>COUNTIFS(Table1[region],Table1[[#This Row],[region]],Table1[default_flag],1)/COUNTIF(Table1[region],Table1[[#This Row],[region]])</f>
        <v>2.8571428571428571E-2</v>
      </c>
      <c r="AE231" s="2">
        <f>COUNTIFS(Table1[channel],Table1[[#This Row],[channel]],Table1[prepayment_flag],1)/COUNTIF(Table1[channel],Table1[[#This Row],[channel]])</f>
        <v>0.1</v>
      </c>
      <c r="AF231" s="2">
        <f>AVERAGEIFS(Table1[interest_rate_pct],Table1[product],Table1[[#This Row],[product]],Table1[risk_band],Table1[[#This Row],[risk_band]])</f>
        <v>8.8557142857142868</v>
      </c>
      <c r="AG231" s="2" t="str" cm="1">
        <f t="array" ref="AG231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231" s="2">
        <f>COUNTIF(Table1[DTI band],Table1[[#This Row],[DTI band]])</f>
        <v>122</v>
      </c>
      <c r="AI231" s="2" t="str" cm="1">
        <f t="array" ref="AI231">_xlfn.IFS(Table1[[#This Row],[ltv_ratio]] &lt; 0.6, "less than 0.6 -less risky", Table1[[#This Row],[ltv_ratio]]  &lt;= 0.8, "0.6 - 0.8 -medium risky",Table1[[#This Row],[ltv_ratio]] &gt; 0.8, "greater than 0.8 -highly risky")</f>
        <v>less than 0.6 -less risky</v>
      </c>
      <c r="AJ231" s="2">
        <f>COUNTIF(Table1[LTV band],Table1[[#This Row],[LTV band]])</f>
        <v>57</v>
      </c>
      <c r="AK231" s="19">
        <f>COUNTIFS(Table1[count_loan_perband],Table1[[#This Row],[count_loan_perband]],Table1[default_flag],1)/COUNTIF(Table1[count_loan_perband],Table1[[#This Row],[count_loan_perband]])</f>
        <v>0</v>
      </c>
      <c r="AL231" s="19" t="str" cm="1">
        <f t="array" ref="AL231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231" s="19">
        <f>IF(Table1[[#This Row],[dpd]] &gt;=30,1,0)</f>
        <v>0</v>
      </c>
      <c r="AN231" s="19">
        <f>COUNTIFS(Table1[Loan size],Table1[[#This Row],[Loan size]],Table1[dpd flag],1)/COUNTIF(Table1[Loan size],Table1[[#This Row],[Loan size]])</f>
        <v>0.15909090909090909</v>
      </c>
      <c r="AO231" s="19" t="str">
        <f>IF(OR(Table1[[#This Row],[credit_score]] &lt; 600, Table1[ [#This Row],[dti_ratio] ] &gt; 0.5, Table1[[#This Row],[dpd]] &gt;=30), "high risk", " not riskY")</f>
        <v xml:space="preserve"> not riskY</v>
      </c>
      <c r="AP231" s="29">
        <f>EOMONTH(Table1[[#This Row],[origination_date]],0)</f>
        <v>45473</v>
      </c>
      <c r="AQ231" s="19">
        <f>SUMIFS(Table1[loan_amount],Table1[origination month],Table1[[#This Row],[origination month]])</f>
        <v>28625500</v>
      </c>
      <c r="AR231" s="19">
        <f>AVERAGEIFS(Table1[months_on_book],Table1[product],Table1[[#This Row],[product]])</f>
        <v>20.516129032258064</v>
      </c>
      <c r="AS231" s="19" t="str">
        <f ca="1">IF(EDATE(Table1[[#This Row],[origination_date]],6) &gt;= TODAY(), "New Loan", "Old Loan")</f>
        <v>Old Loan</v>
      </c>
      <c r="AT231" s="19" t="str">
        <f>"Q"&amp;ROUNDUP(MONTH(Table1[[#This Row],[origination_date]])/3,0)&amp;YEAR(Table1[[#This Row],[origination_date]])</f>
        <v>Q22024</v>
      </c>
      <c r="AU231" s="19">
        <f>SUMIFS(Table1[loan_amount],Table1[quarter],Table1[[#This Row],[quarter]])</f>
        <v>46342100</v>
      </c>
    </row>
    <row r="232" spans="2:47" x14ac:dyDescent="0.2">
      <c r="B232" s="5" t="s">
        <v>410</v>
      </c>
      <c r="C232" s="2" t="s">
        <v>910</v>
      </c>
      <c r="D232" s="3">
        <v>45435</v>
      </c>
      <c r="E232" s="2" t="s">
        <v>1026</v>
      </c>
      <c r="F232" s="2" t="s">
        <v>1029</v>
      </c>
      <c r="G232" s="2" t="s">
        <v>1035</v>
      </c>
      <c r="H232" s="2" t="s">
        <v>1039</v>
      </c>
      <c r="I232" s="2">
        <v>36</v>
      </c>
      <c r="J232" s="2">
        <v>436200</v>
      </c>
      <c r="K232" s="2">
        <v>15.78</v>
      </c>
      <c r="L232" s="2">
        <v>15288</v>
      </c>
      <c r="M232" s="2">
        <v>841628</v>
      </c>
      <c r="N232" s="2">
        <v>747</v>
      </c>
      <c r="O232" s="2" t="s">
        <v>1044</v>
      </c>
      <c r="P232" s="2">
        <v>0.23</v>
      </c>
      <c r="Q232" s="2">
        <v>0.66</v>
      </c>
      <c r="R232" s="2">
        <v>0</v>
      </c>
      <c r="S232" s="2">
        <v>19</v>
      </c>
      <c r="T232" s="2">
        <v>277658</v>
      </c>
      <c r="U232" s="2">
        <v>202136</v>
      </c>
      <c r="V232" s="2">
        <v>5</v>
      </c>
      <c r="W232" s="2">
        <v>0</v>
      </c>
      <c r="X232" s="2">
        <v>0</v>
      </c>
      <c r="Y232" s="2" t="s">
        <v>1049</v>
      </c>
      <c r="Z232" s="12">
        <f>SUMIF(Table1[product],Table1[[#This Row],[product]],Table1[loan_amount])</f>
        <v>74897600</v>
      </c>
      <c r="AA232" s="15">
        <f>SUMIF(Table1[region],Table1[[#This Row],[region]],Table1[current_balance])</f>
        <v>83903255</v>
      </c>
      <c r="AB232" s="2">
        <f>COUNTIF(Table1[loan_status],Table1[[#This Row],[loan_status]])</f>
        <v>301</v>
      </c>
      <c r="AC232" s="2">
        <f>COUNTIF(Table1[default_flag],1)/ROWS(Table1[loan_id])</f>
        <v>2.5999999999999999E-2</v>
      </c>
      <c r="AD232" s="2">
        <f>COUNTIFS(Table1[region],Table1[[#This Row],[region]],Table1[default_flag],1)/COUNTIF(Table1[region],Table1[[#This Row],[region]])</f>
        <v>4.2553191489361701E-2</v>
      </c>
      <c r="AE232" s="2">
        <f>COUNTIFS(Table1[channel],Table1[[#This Row],[channel]],Table1[prepayment_flag],1)/COUNTIF(Table1[channel],Table1[[#This Row],[channel]])</f>
        <v>7.1090047393364927E-2</v>
      </c>
      <c r="AF232" s="2">
        <f>AVERAGEIFS(Table1[interest_rate_pct],Table1[product],Table1[[#This Row],[product]],Table1[risk_band],Table1[[#This Row],[risk_band]])</f>
        <v>16.500166666666669</v>
      </c>
      <c r="AG232" s="2" t="str" cm="1">
        <f t="array" ref="AG232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232" s="2">
        <f>COUNTIF(Table1[DTI band],Table1[[#This Row],[DTI band]])</f>
        <v>122</v>
      </c>
      <c r="AI232" s="2" t="str" cm="1">
        <f t="array" ref="AI232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232" s="2">
        <f>COUNTIF(Table1[LTV band],Table1[[#This Row],[LTV band]])</f>
        <v>302</v>
      </c>
      <c r="AK232" s="19">
        <f>COUNTIFS(Table1[count_loan_perband],Table1[[#This Row],[count_loan_perband]],Table1[default_flag],1)/COUNTIF(Table1[count_loan_perband],Table1[[#This Row],[count_loan_perband]])</f>
        <v>3.6423841059602648E-2</v>
      </c>
      <c r="AL232" s="19" t="str" cm="1">
        <f t="array" ref="AL232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232" s="19">
        <f>IF(Table1[[#This Row],[dpd]] &gt;=30,1,0)</f>
        <v>0</v>
      </c>
      <c r="AN232" s="19">
        <f>COUNTIFS(Table1[Loan size],Table1[[#This Row],[Loan size]],Table1[dpd flag],1)/COUNTIF(Table1[Loan size],Table1[[#This Row],[Loan size]])</f>
        <v>0.13934426229508196</v>
      </c>
      <c r="AO232" s="19" t="str">
        <f>IF(OR(Table1[[#This Row],[credit_score]] &lt; 600, Table1[ [#This Row],[dti_ratio] ] &gt; 0.5, Table1[[#This Row],[dpd]] &gt;=30), "high risk", " not riskY")</f>
        <v xml:space="preserve"> not riskY</v>
      </c>
      <c r="AP232" s="29">
        <f>EOMONTH(Table1[[#This Row],[origination_date]],0)</f>
        <v>45443</v>
      </c>
      <c r="AQ232" s="19">
        <f>SUMIFS(Table1[loan_amount],Table1[origination month],Table1[[#This Row],[origination month]])</f>
        <v>9661400</v>
      </c>
      <c r="AR232" s="19">
        <f>AVERAGEIFS(Table1[months_on_book],Table1[product],Table1[[#This Row],[product]])</f>
        <v>21.092024539877301</v>
      </c>
      <c r="AS232" s="19" t="str">
        <f ca="1">IF(EDATE(Table1[[#This Row],[origination_date]],6) &gt;= TODAY(), "New Loan", "Old Loan")</f>
        <v>Old Loan</v>
      </c>
      <c r="AT232" s="19" t="str">
        <f>"Q"&amp;ROUNDUP(MONTH(Table1[[#This Row],[origination_date]])/3,0)&amp;YEAR(Table1[[#This Row],[origination_date]])</f>
        <v>Q22024</v>
      </c>
      <c r="AU232" s="19">
        <f>SUMIFS(Table1[loan_amount],Table1[quarter],Table1[[#This Row],[quarter]])</f>
        <v>46342100</v>
      </c>
    </row>
    <row r="233" spans="2:47" x14ac:dyDescent="0.2">
      <c r="B233" s="5" t="s">
        <v>435</v>
      </c>
      <c r="C233" s="2" t="s">
        <v>935</v>
      </c>
      <c r="D233" s="3">
        <v>45421</v>
      </c>
      <c r="E233" s="2" t="s">
        <v>1024</v>
      </c>
      <c r="F233" s="2" t="s">
        <v>1030</v>
      </c>
      <c r="G233" s="2" t="s">
        <v>1036</v>
      </c>
      <c r="H233" s="2" t="s">
        <v>1038</v>
      </c>
      <c r="I233" s="2">
        <v>36</v>
      </c>
      <c r="J233" s="2">
        <v>784400</v>
      </c>
      <c r="K233" s="2">
        <v>7</v>
      </c>
      <c r="L233" s="2">
        <v>24220</v>
      </c>
      <c r="M233" s="2">
        <v>654382</v>
      </c>
      <c r="N233" s="2">
        <v>796</v>
      </c>
      <c r="O233" s="2" t="s">
        <v>1043</v>
      </c>
      <c r="P233" s="2">
        <v>0.21</v>
      </c>
      <c r="Q233" s="2">
        <v>0.61</v>
      </c>
      <c r="R233" s="2">
        <v>1295300</v>
      </c>
      <c r="S233" s="2">
        <v>19</v>
      </c>
      <c r="T233" s="2">
        <v>466540</v>
      </c>
      <c r="U233" s="2">
        <v>352635</v>
      </c>
      <c r="V233" s="2">
        <v>0</v>
      </c>
      <c r="W233" s="2">
        <v>0</v>
      </c>
      <c r="X233" s="2">
        <v>0</v>
      </c>
      <c r="Y233" s="2" t="s">
        <v>1049</v>
      </c>
      <c r="Z233" s="12">
        <f>SUMIF(Table1[product],Table1[[#This Row],[product]],Table1[loan_amount])</f>
        <v>92273000</v>
      </c>
      <c r="AA233" s="15">
        <f>SUMIF(Table1[region],Table1[[#This Row],[region]],Table1[current_balance])</f>
        <v>98928695</v>
      </c>
      <c r="AB233" s="2">
        <f>COUNTIF(Table1[loan_status],Table1[[#This Row],[loan_status]])</f>
        <v>301</v>
      </c>
      <c r="AC233" s="2">
        <f>COUNTIF(Table1[default_flag],1)/ROWS(Table1[loan_id])</f>
        <v>2.5999999999999999E-2</v>
      </c>
      <c r="AD233" s="2">
        <f>COUNTIFS(Table1[region],Table1[[#This Row],[region]],Table1[default_flag],1)/COUNTIF(Table1[region],Table1[[#This Row],[region]])</f>
        <v>2.8571428571428571E-2</v>
      </c>
      <c r="AE233" s="2">
        <f>COUNTIFS(Table1[channel],Table1[[#This Row],[channel]],Table1[prepayment_flag],1)/COUNTIF(Table1[channel],Table1[[#This Row],[channel]])</f>
        <v>5.8201058201058198E-2</v>
      </c>
      <c r="AF233" s="2">
        <f>AVERAGEIFS(Table1[interest_rate_pct],Table1[product],Table1[[#This Row],[product]],Table1[risk_band],Table1[[#This Row],[risk_band]])</f>
        <v>7.9444999999999997</v>
      </c>
      <c r="AG233" s="2" t="str" cm="1">
        <f t="array" ref="AG233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233" s="2">
        <f>COUNTIF(Table1[DTI band],Table1[[#This Row],[DTI band]])</f>
        <v>122</v>
      </c>
      <c r="AI233" s="2" t="str" cm="1">
        <f t="array" ref="AI233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233" s="2">
        <f>COUNTIF(Table1[LTV band],Table1[[#This Row],[LTV band]])</f>
        <v>302</v>
      </c>
      <c r="AK233" s="19">
        <f>COUNTIFS(Table1[count_loan_perband],Table1[[#This Row],[count_loan_perband]],Table1[default_flag],1)/COUNTIF(Table1[count_loan_perband],Table1[[#This Row],[count_loan_perband]])</f>
        <v>3.6423841059602648E-2</v>
      </c>
      <c r="AL233" s="19" t="str" cm="1">
        <f t="array" ref="AL233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233" s="19">
        <f>IF(Table1[[#This Row],[dpd]] &gt;=30,1,0)</f>
        <v>0</v>
      </c>
      <c r="AN233" s="19">
        <f>COUNTIFS(Table1[Loan size],Table1[[#This Row],[Loan size]],Table1[dpd flag],1)/COUNTIF(Table1[Loan size],Table1[[#This Row],[Loan size]])</f>
        <v>0.13934426229508196</v>
      </c>
      <c r="AO233" s="19" t="str">
        <f>IF(OR(Table1[[#This Row],[credit_score]] &lt; 600, Table1[ [#This Row],[dti_ratio] ] &gt; 0.5, Table1[[#This Row],[dpd]] &gt;=30), "high risk", " not riskY")</f>
        <v xml:space="preserve"> not riskY</v>
      </c>
      <c r="AP233" s="29">
        <f>EOMONTH(Table1[[#This Row],[origination_date]],0)</f>
        <v>45443</v>
      </c>
      <c r="AQ233" s="19">
        <f>SUMIFS(Table1[loan_amount],Table1[origination month],Table1[[#This Row],[origination month]])</f>
        <v>9661400</v>
      </c>
      <c r="AR233" s="19">
        <f>AVERAGEIFS(Table1[months_on_book],Table1[product],Table1[[#This Row],[product]])</f>
        <v>20.262135922330096</v>
      </c>
      <c r="AS233" s="19" t="str">
        <f ca="1">IF(EDATE(Table1[[#This Row],[origination_date]],6) &gt;= TODAY(), "New Loan", "Old Loan")</f>
        <v>Old Loan</v>
      </c>
      <c r="AT233" s="19" t="str">
        <f>"Q"&amp;ROUNDUP(MONTH(Table1[[#This Row],[origination_date]])/3,0)&amp;YEAR(Table1[[#This Row],[origination_date]])</f>
        <v>Q22024</v>
      </c>
      <c r="AU233" s="19">
        <f>SUMIFS(Table1[loan_amount],Table1[quarter],Table1[[#This Row],[quarter]])</f>
        <v>46342100</v>
      </c>
    </row>
    <row r="234" spans="2:47" x14ac:dyDescent="0.2">
      <c r="B234" s="5" t="s">
        <v>375</v>
      </c>
      <c r="C234" s="2" t="s">
        <v>875</v>
      </c>
      <c r="D234" s="3">
        <v>45469</v>
      </c>
      <c r="E234" s="2" t="s">
        <v>1025</v>
      </c>
      <c r="F234" s="2" t="s">
        <v>1032</v>
      </c>
      <c r="G234" s="2" t="s">
        <v>1034</v>
      </c>
      <c r="H234" s="2" t="s">
        <v>1039</v>
      </c>
      <c r="I234" s="2">
        <v>18</v>
      </c>
      <c r="J234" s="2">
        <v>2438300</v>
      </c>
      <c r="K234" s="2">
        <v>14.81</v>
      </c>
      <c r="L234" s="2">
        <v>151895</v>
      </c>
      <c r="M234" s="2">
        <v>385976</v>
      </c>
      <c r="N234" s="2">
        <v>686</v>
      </c>
      <c r="O234" s="2" t="s">
        <v>1042</v>
      </c>
      <c r="P234" s="2">
        <v>0.17</v>
      </c>
      <c r="Q234" s="2">
        <v>0.79</v>
      </c>
      <c r="R234" s="2">
        <v>3102900</v>
      </c>
      <c r="S234" s="2">
        <v>18</v>
      </c>
      <c r="T234" s="2">
        <v>2656433</v>
      </c>
      <c r="U234" s="2">
        <v>0</v>
      </c>
      <c r="V234" s="2">
        <v>5</v>
      </c>
      <c r="W234" s="2">
        <v>0</v>
      </c>
      <c r="X234" s="2">
        <v>0</v>
      </c>
      <c r="Y234" s="2" t="s">
        <v>1047</v>
      </c>
      <c r="Z234" s="12">
        <f>SUMIF(Table1[product],Table1[[#This Row],[product]],Table1[loan_amount])</f>
        <v>201475100</v>
      </c>
      <c r="AA234" s="15">
        <f>SUMIF(Table1[region],Table1[[#This Row],[region]],Table1[current_balance])</f>
        <v>105779369</v>
      </c>
      <c r="AB234" s="2">
        <f>COUNTIF(Table1[loan_status],Table1[[#This Row],[loan_status]])</f>
        <v>139</v>
      </c>
      <c r="AC234" s="2">
        <f>COUNTIF(Table1[default_flag],1)/ROWS(Table1[loan_id])</f>
        <v>2.5999999999999999E-2</v>
      </c>
      <c r="AD234" s="2">
        <f>COUNTIFS(Table1[region],Table1[[#This Row],[region]],Table1[default_flag],1)/COUNTIF(Table1[region],Table1[[#This Row],[region]])</f>
        <v>2.6548672566371681E-2</v>
      </c>
      <c r="AE234" s="2">
        <f>COUNTIFS(Table1[channel],Table1[[#This Row],[channel]],Table1[prepayment_flag],1)/COUNTIF(Table1[channel],Table1[[#This Row],[channel]])</f>
        <v>0.1</v>
      </c>
      <c r="AF234" s="2">
        <f>AVERAGEIFS(Table1[interest_rate_pct],Table1[product],Table1[[#This Row],[product]],Table1[risk_band],Table1[[#This Row],[risk_band]])</f>
        <v>15.841379310344831</v>
      </c>
      <c r="AG234" s="2" t="str" cm="1">
        <f t="array" ref="AG234">_xlfn.IFS(Table1[[#This Row],[dti_ratio]] &lt; 0.2, " less than 0.2", Table1[[#This Row],[dti_ratio]] &lt; 0.3, "0.2 - 0.3", Table1[[#This Row],[dti_ratio]] &lt;= 0.5, "0.35 - 0.5", Table1[[#This Row],[dti_ratio]] &gt; 0.5, "greater than 0.5")</f>
        <v xml:space="preserve"> less than 0.2</v>
      </c>
      <c r="AH234" s="2">
        <f>COUNTIF(Table1[DTI band],Table1[[#This Row],[DTI band]])</f>
        <v>86</v>
      </c>
      <c r="AI234" s="2" t="str" cm="1">
        <f t="array" ref="AI234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234" s="2">
        <f>COUNTIF(Table1[LTV band],Table1[[#This Row],[LTV band]])</f>
        <v>302</v>
      </c>
      <c r="AK234" s="19">
        <f>COUNTIFS(Table1[count_loan_perband],Table1[[#This Row],[count_loan_perband]],Table1[default_flag],1)/COUNTIF(Table1[count_loan_perband],Table1[[#This Row],[count_loan_perband]])</f>
        <v>3.6423841059602648E-2</v>
      </c>
      <c r="AL234" s="19" t="str" cm="1">
        <f t="array" ref="AL234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234" s="19">
        <f>IF(Table1[[#This Row],[dpd]] &gt;=30,1,0)</f>
        <v>0</v>
      </c>
      <c r="AN234" s="19">
        <f>COUNTIFS(Table1[Loan size],Table1[[#This Row],[Loan size]],Table1[dpd flag],1)/COUNTIF(Table1[Loan size],Table1[[#This Row],[Loan size]])</f>
        <v>0.15909090909090909</v>
      </c>
      <c r="AO234" s="19" t="str">
        <f>IF(OR(Table1[[#This Row],[credit_score]] &lt; 600, Table1[ [#This Row],[dti_ratio] ] &gt; 0.5, Table1[[#This Row],[dpd]] &gt;=30), "high risk", " not riskY")</f>
        <v xml:space="preserve"> not riskY</v>
      </c>
      <c r="AP234" s="29">
        <f>EOMONTH(Table1[[#This Row],[origination_date]],0)</f>
        <v>45473</v>
      </c>
      <c r="AQ234" s="19">
        <f>SUMIFS(Table1[loan_amount],Table1[origination month],Table1[[#This Row],[origination month]])</f>
        <v>28625500</v>
      </c>
      <c r="AR234" s="19">
        <f>AVERAGEIFS(Table1[months_on_book],Table1[product],Table1[[#This Row],[product]])</f>
        <v>19.091954022988507</v>
      </c>
      <c r="AS234" s="19" t="str">
        <f ca="1">IF(EDATE(Table1[[#This Row],[origination_date]],6) &gt;= TODAY(), "New Loan", "Old Loan")</f>
        <v>Old Loan</v>
      </c>
      <c r="AT234" s="19" t="str">
        <f>"Q"&amp;ROUNDUP(MONTH(Table1[[#This Row],[origination_date]])/3,0)&amp;YEAR(Table1[[#This Row],[origination_date]])</f>
        <v>Q22024</v>
      </c>
      <c r="AU234" s="19">
        <f>SUMIFS(Table1[loan_amount],Table1[quarter],Table1[[#This Row],[quarter]])</f>
        <v>46342100</v>
      </c>
    </row>
    <row r="235" spans="2:47" x14ac:dyDescent="0.2">
      <c r="B235" s="5" t="s">
        <v>496</v>
      </c>
      <c r="C235" s="2" t="s">
        <v>996</v>
      </c>
      <c r="D235" s="3">
        <v>45468</v>
      </c>
      <c r="E235" s="2" t="s">
        <v>1026</v>
      </c>
      <c r="F235" s="2" t="s">
        <v>1030</v>
      </c>
      <c r="G235" s="2" t="s">
        <v>1036</v>
      </c>
      <c r="H235" s="2" t="s">
        <v>1038</v>
      </c>
      <c r="I235" s="2">
        <v>36</v>
      </c>
      <c r="J235" s="2">
        <v>552100</v>
      </c>
      <c r="K235" s="2">
        <v>11.89</v>
      </c>
      <c r="L235" s="2">
        <v>18309</v>
      </c>
      <c r="M235" s="2">
        <v>695184</v>
      </c>
      <c r="N235" s="2">
        <v>818</v>
      </c>
      <c r="O235" s="2" t="s">
        <v>1043</v>
      </c>
      <c r="P235" s="2">
        <v>0.16</v>
      </c>
      <c r="Q235" s="2">
        <v>0.78</v>
      </c>
      <c r="R235" s="2">
        <v>0</v>
      </c>
      <c r="S235" s="2">
        <v>18</v>
      </c>
      <c r="T235" s="2">
        <v>291717</v>
      </c>
      <c r="U235" s="2">
        <v>299770</v>
      </c>
      <c r="V235" s="2">
        <v>0</v>
      </c>
      <c r="W235" s="2">
        <v>0</v>
      </c>
      <c r="X235" s="2">
        <v>0</v>
      </c>
      <c r="Y235" s="2" t="s">
        <v>1049</v>
      </c>
      <c r="Z235" s="12">
        <f>SUMIF(Table1[product],Table1[[#This Row],[product]],Table1[loan_amount])</f>
        <v>74897600</v>
      </c>
      <c r="AA235" s="15">
        <f>SUMIF(Table1[region],Table1[[#This Row],[region]],Table1[current_balance])</f>
        <v>98928695</v>
      </c>
      <c r="AB235" s="2">
        <f>COUNTIF(Table1[loan_status],Table1[[#This Row],[loan_status]])</f>
        <v>301</v>
      </c>
      <c r="AC235" s="2">
        <f>COUNTIF(Table1[default_flag],1)/ROWS(Table1[loan_id])</f>
        <v>2.5999999999999999E-2</v>
      </c>
      <c r="AD235" s="2">
        <f>COUNTIFS(Table1[region],Table1[[#This Row],[region]],Table1[default_flag],1)/COUNTIF(Table1[region],Table1[[#This Row],[region]])</f>
        <v>2.8571428571428571E-2</v>
      </c>
      <c r="AE235" s="2">
        <f>COUNTIFS(Table1[channel],Table1[[#This Row],[channel]],Table1[prepayment_flag],1)/COUNTIF(Table1[channel],Table1[[#This Row],[channel]])</f>
        <v>5.8201058201058198E-2</v>
      </c>
      <c r="AF235" s="2">
        <f>AVERAGEIFS(Table1[interest_rate_pct],Table1[product],Table1[[#This Row],[product]],Table1[risk_band],Table1[[#This Row],[risk_band]])</f>
        <v>13.328333333333335</v>
      </c>
      <c r="AG235" s="2" t="str" cm="1">
        <f t="array" ref="AG235">_xlfn.IFS(Table1[[#This Row],[dti_ratio]] &lt; 0.2, " less than 0.2", Table1[[#This Row],[dti_ratio]] &lt; 0.3, "0.2 - 0.3", Table1[[#This Row],[dti_ratio]] &lt;= 0.5, "0.35 - 0.5", Table1[[#This Row],[dti_ratio]] &gt; 0.5, "greater than 0.5")</f>
        <v xml:space="preserve"> less than 0.2</v>
      </c>
      <c r="AH235" s="2">
        <f>COUNTIF(Table1[DTI band],Table1[[#This Row],[DTI band]])</f>
        <v>86</v>
      </c>
      <c r="AI235" s="2" t="str" cm="1">
        <f t="array" ref="AI235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235" s="2">
        <f>COUNTIF(Table1[LTV band],Table1[[#This Row],[LTV band]])</f>
        <v>302</v>
      </c>
      <c r="AK235" s="19">
        <f>COUNTIFS(Table1[count_loan_perband],Table1[[#This Row],[count_loan_perband]],Table1[default_flag],1)/COUNTIF(Table1[count_loan_perband],Table1[[#This Row],[count_loan_perband]])</f>
        <v>3.6423841059602648E-2</v>
      </c>
      <c r="AL235" s="19" t="str" cm="1">
        <f t="array" ref="AL235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235" s="19">
        <f>IF(Table1[[#This Row],[dpd]] &gt;=30,1,0)</f>
        <v>0</v>
      </c>
      <c r="AN235" s="19">
        <f>COUNTIFS(Table1[Loan size],Table1[[#This Row],[Loan size]],Table1[dpd flag],1)/COUNTIF(Table1[Loan size],Table1[[#This Row],[Loan size]])</f>
        <v>0.13934426229508196</v>
      </c>
      <c r="AO235" s="19" t="str">
        <f>IF(OR(Table1[[#This Row],[credit_score]] &lt; 600, Table1[ [#This Row],[dti_ratio] ] &gt; 0.5, Table1[[#This Row],[dpd]] &gt;=30), "high risk", " not riskY")</f>
        <v xml:space="preserve"> not riskY</v>
      </c>
      <c r="AP235" s="29">
        <f>EOMONTH(Table1[[#This Row],[origination_date]],0)</f>
        <v>45473</v>
      </c>
      <c r="AQ235" s="19">
        <f>SUMIFS(Table1[loan_amount],Table1[origination month],Table1[[#This Row],[origination month]])</f>
        <v>28625500</v>
      </c>
      <c r="AR235" s="19">
        <f>AVERAGEIFS(Table1[months_on_book],Table1[product],Table1[[#This Row],[product]])</f>
        <v>21.092024539877301</v>
      </c>
      <c r="AS235" s="19" t="str">
        <f ca="1">IF(EDATE(Table1[[#This Row],[origination_date]],6) &gt;= TODAY(), "New Loan", "Old Loan")</f>
        <v>Old Loan</v>
      </c>
      <c r="AT235" s="19" t="str">
        <f>"Q"&amp;ROUNDUP(MONTH(Table1[[#This Row],[origination_date]])/3,0)&amp;YEAR(Table1[[#This Row],[origination_date]])</f>
        <v>Q22024</v>
      </c>
      <c r="AU235" s="19">
        <f>SUMIFS(Table1[loan_amount],Table1[quarter],Table1[[#This Row],[quarter]])</f>
        <v>46342100</v>
      </c>
    </row>
    <row r="236" spans="2:47" x14ac:dyDescent="0.2">
      <c r="B236" s="5" t="s">
        <v>281</v>
      </c>
      <c r="C236" s="2" t="s">
        <v>781</v>
      </c>
      <c r="D236" s="3">
        <v>45448</v>
      </c>
      <c r="E236" s="2" t="s">
        <v>1026</v>
      </c>
      <c r="F236" s="2" t="s">
        <v>1030</v>
      </c>
      <c r="G236" s="2" t="s">
        <v>1036</v>
      </c>
      <c r="H236" s="2" t="s">
        <v>1038</v>
      </c>
      <c r="I236" s="2">
        <v>36</v>
      </c>
      <c r="J236" s="2">
        <v>820700</v>
      </c>
      <c r="K236" s="2">
        <v>18.29</v>
      </c>
      <c r="L236" s="2">
        <v>29790</v>
      </c>
      <c r="M236" s="2">
        <v>841244</v>
      </c>
      <c r="N236" s="2">
        <v>667</v>
      </c>
      <c r="O236" s="2" t="s">
        <v>1042</v>
      </c>
      <c r="P236" s="2">
        <v>0.15</v>
      </c>
      <c r="Q236" s="2">
        <v>0.47</v>
      </c>
      <c r="R236" s="2">
        <v>0</v>
      </c>
      <c r="S236" s="2">
        <v>18</v>
      </c>
      <c r="T236" s="2">
        <v>491066</v>
      </c>
      <c r="U236" s="2">
        <v>419698</v>
      </c>
      <c r="V236" s="2">
        <v>10</v>
      </c>
      <c r="W236" s="2">
        <v>0</v>
      </c>
      <c r="X236" s="2">
        <v>0</v>
      </c>
      <c r="Y236" s="2" t="s">
        <v>1049</v>
      </c>
      <c r="Z236" s="12">
        <f>SUMIF(Table1[product],Table1[[#This Row],[product]],Table1[loan_amount])</f>
        <v>74897600</v>
      </c>
      <c r="AA236" s="15">
        <f>SUMIF(Table1[region],Table1[[#This Row],[region]],Table1[current_balance])</f>
        <v>98928695</v>
      </c>
      <c r="AB236" s="2">
        <f>COUNTIF(Table1[loan_status],Table1[[#This Row],[loan_status]])</f>
        <v>301</v>
      </c>
      <c r="AC236" s="2">
        <f>COUNTIF(Table1[default_flag],1)/ROWS(Table1[loan_id])</f>
        <v>2.5999999999999999E-2</v>
      </c>
      <c r="AD236" s="2">
        <f>COUNTIFS(Table1[region],Table1[[#This Row],[region]],Table1[default_flag],1)/COUNTIF(Table1[region],Table1[[#This Row],[region]])</f>
        <v>2.8571428571428571E-2</v>
      </c>
      <c r="AE236" s="2">
        <f>COUNTIFS(Table1[channel],Table1[[#This Row],[channel]],Table1[prepayment_flag],1)/COUNTIF(Table1[channel],Table1[[#This Row],[channel]])</f>
        <v>5.8201058201058198E-2</v>
      </c>
      <c r="AF236" s="2">
        <f>AVERAGEIFS(Table1[interest_rate_pct],Table1[product],Table1[[#This Row],[product]],Table1[risk_band],Table1[[#This Row],[risk_band]])</f>
        <v>18.603181818181817</v>
      </c>
      <c r="AG236" s="2" t="str" cm="1">
        <f t="array" ref="AG236">_xlfn.IFS(Table1[[#This Row],[dti_ratio]] &lt; 0.2, " less than 0.2", Table1[[#This Row],[dti_ratio]] &lt; 0.3, "0.2 - 0.3", Table1[[#This Row],[dti_ratio]] &lt;= 0.5, "0.35 - 0.5", Table1[[#This Row],[dti_ratio]] &gt; 0.5, "greater than 0.5")</f>
        <v xml:space="preserve"> less than 0.2</v>
      </c>
      <c r="AH236" s="2">
        <f>COUNTIF(Table1[DTI band],Table1[[#This Row],[DTI band]])</f>
        <v>86</v>
      </c>
      <c r="AI236" s="2" t="str" cm="1">
        <f t="array" ref="AI236">_xlfn.IFS(Table1[[#This Row],[ltv_ratio]] &lt; 0.6, "less than 0.6 -less risky", Table1[[#This Row],[ltv_ratio]]  &lt;= 0.8, "0.6 - 0.8 -medium risky",Table1[[#This Row],[ltv_ratio]] &gt; 0.8, "greater than 0.8 -highly risky")</f>
        <v>less than 0.6 -less risky</v>
      </c>
      <c r="AJ236" s="2">
        <f>COUNTIF(Table1[LTV band],Table1[[#This Row],[LTV band]])</f>
        <v>57</v>
      </c>
      <c r="AK236" s="19">
        <f>COUNTIFS(Table1[count_loan_perband],Table1[[#This Row],[count_loan_perband]],Table1[default_flag],1)/COUNTIF(Table1[count_loan_perband],Table1[[#This Row],[count_loan_perband]])</f>
        <v>0</v>
      </c>
      <c r="AL236" s="19" t="str" cm="1">
        <f t="array" ref="AL236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236" s="19">
        <f>IF(Table1[[#This Row],[dpd]] &gt;=30,1,0)</f>
        <v>0</v>
      </c>
      <c r="AN236" s="19">
        <f>COUNTIFS(Table1[Loan size],Table1[[#This Row],[Loan size]],Table1[dpd flag],1)/COUNTIF(Table1[Loan size],Table1[[#This Row],[Loan size]])</f>
        <v>0.13934426229508196</v>
      </c>
      <c r="AO236" s="19" t="str">
        <f>IF(OR(Table1[[#This Row],[credit_score]] &lt; 600, Table1[ [#This Row],[dti_ratio] ] &gt; 0.5, Table1[[#This Row],[dpd]] &gt;=30), "high risk", " not riskY")</f>
        <v xml:space="preserve"> not riskY</v>
      </c>
      <c r="AP236" s="29">
        <f>EOMONTH(Table1[[#This Row],[origination_date]],0)</f>
        <v>45473</v>
      </c>
      <c r="AQ236" s="19">
        <f>SUMIFS(Table1[loan_amount],Table1[origination month],Table1[[#This Row],[origination month]])</f>
        <v>28625500</v>
      </c>
      <c r="AR236" s="19">
        <f>AVERAGEIFS(Table1[months_on_book],Table1[product],Table1[[#This Row],[product]])</f>
        <v>21.092024539877301</v>
      </c>
      <c r="AS236" s="19" t="str">
        <f ca="1">IF(EDATE(Table1[[#This Row],[origination_date]],6) &gt;= TODAY(), "New Loan", "Old Loan")</f>
        <v>Old Loan</v>
      </c>
      <c r="AT236" s="19" t="str">
        <f>"Q"&amp;ROUNDUP(MONTH(Table1[[#This Row],[origination_date]])/3,0)&amp;YEAR(Table1[[#This Row],[origination_date]])</f>
        <v>Q22024</v>
      </c>
      <c r="AU236" s="19">
        <f>SUMIFS(Table1[loan_amount],Table1[quarter],Table1[[#This Row],[quarter]])</f>
        <v>46342100</v>
      </c>
    </row>
    <row r="237" spans="2:47" x14ac:dyDescent="0.2">
      <c r="B237" s="5" t="s">
        <v>467</v>
      </c>
      <c r="C237" s="2" t="s">
        <v>967</v>
      </c>
      <c r="D237" s="3">
        <v>45461</v>
      </c>
      <c r="E237" s="2" t="s">
        <v>1025</v>
      </c>
      <c r="F237" s="2" t="s">
        <v>1029</v>
      </c>
      <c r="G237" s="2" t="s">
        <v>1034</v>
      </c>
      <c r="H237" s="2" t="s">
        <v>1039</v>
      </c>
      <c r="I237" s="2">
        <v>36</v>
      </c>
      <c r="J237" s="2">
        <v>1848600</v>
      </c>
      <c r="K237" s="2">
        <v>13</v>
      </c>
      <c r="L237" s="2">
        <v>62287</v>
      </c>
      <c r="M237" s="2">
        <v>250116</v>
      </c>
      <c r="N237" s="2">
        <v>709</v>
      </c>
      <c r="O237" s="2" t="s">
        <v>1044</v>
      </c>
      <c r="P237" s="2">
        <v>0.1</v>
      </c>
      <c r="Q237" s="2">
        <v>0.63</v>
      </c>
      <c r="R237" s="2">
        <v>2911700</v>
      </c>
      <c r="S237" s="2">
        <v>18</v>
      </c>
      <c r="T237" s="2">
        <v>990181</v>
      </c>
      <c r="U237" s="2">
        <v>1002610</v>
      </c>
      <c r="V237" s="2">
        <v>0</v>
      </c>
      <c r="W237" s="2">
        <v>0</v>
      </c>
      <c r="X237" s="2">
        <v>0</v>
      </c>
      <c r="Y237" s="2" t="s">
        <v>1049</v>
      </c>
      <c r="Z237" s="12">
        <f>SUMIF(Table1[product],Table1[[#This Row],[product]],Table1[loan_amount])</f>
        <v>201475100</v>
      </c>
      <c r="AA237" s="15">
        <f>SUMIF(Table1[region],Table1[[#This Row],[region]],Table1[current_balance])</f>
        <v>105779369</v>
      </c>
      <c r="AB237" s="2">
        <f>COUNTIF(Table1[loan_status],Table1[[#This Row],[loan_status]])</f>
        <v>301</v>
      </c>
      <c r="AC237" s="2">
        <f>COUNTIF(Table1[default_flag],1)/ROWS(Table1[loan_id])</f>
        <v>2.5999999999999999E-2</v>
      </c>
      <c r="AD237" s="2">
        <f>COUNTIFS(Table1[region],Table1[[#This Row],[region]],Table1[default_flag],1)/COUNTIF(Table1[region],Table1[[#This Row],[region]])</f>
        <v>2.6548672566371681E-2</v>
      </c>
      <c r="AE237" s="2">
        <f>COUNTIFS(Table1[channel],Table1[[#This Row],[channel]],Table1[prepayment_flag],1)/COUNTIF(Table1[channel],Table1[[#This Row],[channel]])</f>
        <v>7.1090047393364927E-2</v>
      </c>
      <c r="AF237" s="2">
        <f>AVERAGEIFS(Table1[interest_rate_pct],Table1[product],Table1[[#This Row],[product]],Table1[risk_band],Table1[[#This Row],[risk_band]])</f>
        <v>13.042631578947367</v>
      </c>
      <c r="AG237" s="2" t="str" cm="1">
        <f t="array" ref="AG237">_xlfn.IFS(Table1[[#This Row],[dti_ratio]] &lt; 0.2, " less than 0.2", Table1[[#This Row],[dti_ratio]] &lt; 0.3, "0.2 - 0.3", Table1[[#This Row],[dti_ratio]] &lt;= 0.5, "0.35 - 0.5", Table1[[#This Row],[dti_ratio]] &gt; 0.5, "greater than 0.5")</f>
        <v xml:space="preserve"> less than 0.2</v>
      </c>
      <c r="AH237" s="2">
        <f>COUNTIF(Table1[DTI band],Table1[[#This Row],[DTI band]])</f>
        <v>86</v>
      </c>
      <c r="AI237" s="2" t="str" cm="1">
        <f t="array" ref="AI237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237" s="2">
        <f>COUNTIF(Table1[LTV band],Table1[[#This Row],[LTV band]])</f>
        <v>302</v>
      </c>
      <c r="AK237" s="19">
        <f>COUNTIFS(Table1[count_loan_perband],Table1[[#This Row],[count_loan_perband]],Table1[default_flag],1)/COUNTIF(Table1[count_loan_perband],Table1[[#This Row],[count_loan_perband]])</f>
        <v>3.6423841059602648E-2</v>
      </c>
      <c r="AL237" s="19" t="str" cm="1">
        <f t="array" ref="AL237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237" s="19">
        <f>IF(Table1[[#This Row],[dpd]] &gt;=30,1,0)</f>
        <v>0</v>
      </c>
      <c r="AN237" s="19">
        <f>COUNTIFS(Table1[Loan size],Table1[[#This Row],[Loan size]],Table1[dpd flag],1)/COUNTIF(Table1[Loan size],Table1[[#This Row],[Loan size]])</f>
        <v>0.15909090909090909</v>
      </c>
      <c r="AO237" s="19" t="str">
        <f>IF(OR(Table1[[#This Row],[credit_score]] &lt; 600, Table1[ [#This Row],[dti_ratio] ] &gt; 0.5, Table1[[#This Row],[dpd]] &gt;=30), "high risk", " not riskY")</f>
        <v xml:space="preserve"> not riskY</v>
      </c>
      <c r="AP237" s="29">
        <f>EOMONTH(Table1[[#This Row],[origination_date]],0)</f>
        <v>45473</v>
      </c>
      <c r="AQ237" s="19">
        <f>SUMIFS(Table1[loan_amount],Table1[origination month],Table1[[#This Row],[origination month]])</f>
        <v>28625500</v>
      </c>
      <c r="AR237" s="19">
        <f>AVERAGEIFS(Table1[months_on_book],Table1[product],Table1[[#This Row],[product]])</f>
        <v>19.091954022988507</v>
      </c>
      <c r="AS237" s="19" t="str">
        <f ca="1">IF(EDATE(Table1[[#This Row],[origination_date]],6) &gt;= TODAY(), "New Loan", "Old Loan")</f>
        <v>Old Loan</v>
      </c>
      <c r="AT237" s="19" t="str">
        <f>"Q"&amp;ROUNDUP(MONTH(Table1[[#This Row],[origination_date]])/3,0)&amp;YEAR(Table1[[#This Row],[origination_date]])</f>
        <v>Q22024</v>
      </c>
      <c r="AU237" s="19">
        <f>SUMIFS(Table1[loan_amount],Table1[quarter],Table1[[#This Row],[quarter]])</f>
        <v>46342100</v>
      </c>
    </row>
    <row r="238" spans="2:47" x14ac:dyDescent="0.2">
      <c r="B238" s="5" t="s">
        <v>365</v>
      </c>
      <c r="C238" s="2" t="s">
        <v>865</v>
      </c>
      <c r="D238" s="3">
        <v>45813</v>
      </c>
      <c r="E238" s="2" t="s">
        <v>1027</v>
      </c>
      <c r="F238" s="2" t="s">
        <v>1030</v>
      </c>
      <c r="G238" s="2" t="s">
        <v>1035</v>
      </c>
      <c r="H238" s="2" t="s">
        <v>1038</v>
      </c>
      <c r="I238" s="2">
        <v>120</v>
      </c>
      <c r="J238" s="2">
        <v>4782100</v>
      </c>
      <c r="K238" s="2">
        <v>11.22</v>
      </c>
      <c r="L238" s="2">
        <v>66470</v>
      </c>
      <c r="M238" s="2">
        <v>1350395</v>
      </c>
      <c r="N238" s="2">
        <v>667</v>
      </c>
      <c r="O238" s="2" t="s">
        <v>1042</v>
      </c>
      <c r="P238" s="2">
        <v>0.64</v>
      </c>
      <c r="Q238" s="2">
        <v>0.65</v>
      </c>
      <c r="R238" s="2">
        <v>7409300</v>
      </c>
      <c r="S238" s="2">
        <v>6</v>
      </c>
      <c r="T238" s="2">
        <v>375741</v>
      </c>
      <c r="U238" s="2">
        <v>4513669</v>
      </c>
      <c r="V238" s="2">
        <v>0</v>
      </c>
      <c r="W238" s="2">
        <v>0</v>
      </c>
      <c r="X238" s="2">
        <v>0</v>
      </c>
      <c r="Y238" s="2" t="s">
        <v>1049</v>
      </c>
      <c r="Z238" s="12">
        <f>SUMIF(Table1[product],Table1[[#This Row],[product]],Table1[loan_amount])</f>
        <v>403369500</v>
      </c>
      <c r="AA238" s="15">
        <f>SUMIF(Table1[region],Table1[[#This Row],[region]],Table1[current_balance])</f>
        <v>83903255</v>
      </c>
      <c r="AB238" s="2">
        <f>COUNTIF(Table1[loan_status],Table1[[#This Row],[loan_status]])</f>
        <v>301</v>
      </c>
      <c r="AC238" s="2">
        <f>COUNTIF(Table1[default_flag],1)/ROWS(Table1[loan_id])</f>
        <v>2.5999999999999999E-2</v>
      </c>
      <c r="AD238" s="2">
        <f>COUNTIFS(Table1[region],Table1[[#This Row],[region]],Table1[default_flag],1)/COUNTIF(Table1[region],Table1[[#This Row],[region]])</f>
        <v>4.2553191489361701E-2</v>
      </c>
      <c r="AE238" s="2">
        <f>COUNTIFS(Table1[channel],Table1[[#This Row],[channel]],Table1[prepayment_flag],1)/COUNTIF(Table1[channel],Table1[[#This Row],[channel]])</f>
        <v>5.8201058201058198E-2</v>
      </c>
      <c r="AF238" s="2">
        <f>AVERAGEIFS(Table1[interest_rate_pct],Table1[product],Table1[[#This Row],[product]],Table1[risk_band],Table1[[#This Row],[risk_band]])</f>
        <v>11.719736842105268</v>
      </c>
      <c r="AG238" s="2" t="str" cm="1">
        <f t="array" ref="AG238">_xlfn.IFS(Table1[[#This Row],[dti_ratio]] &lt; 0.2, " less than 0.2", Table1[[#This Row],[dti_ratio]] &lt; 0.3, "0.2 - 0.3", Table1[[#This Row],[dti_ratio]] &lt;= 0.5, "0.35 - 0.5", Table1[[#This Row],[dti_ratio]] &gt; 0.5, "greater than 0.5")</f>
        <v>greater than 0.5</v>
      </c>
      <c r="AH238" s="2">
        <f>COUNTIF(Table1[DTI band],Table1[[#This Row],[DTI band]])</f>
        <v>32</v>
      </c>
      <c r="AI238" s="2" t="str" cm="1">
        <f t="array" ref="AI238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238" s="2">
        <f>COUNTIF(Table1[LTV band],Table1[[#This Row],[LTV band]])</f>
        <v>302</v>
      </c>
      <c r="AK238" s="19">
        <f>COUNTIFS(Table1[count_loan_perband],Table1[[#This Row],[count_loan_perband]],Table1[default_flag],1)/COUNTIF(Table1[count_loan_perband],Table1[[#This Row],[count_loan_perband]])</f>
        <v>3.6423841059602648E-2</v>
      </c>
      <c r="AL238" s="19" t="str" cm="1">
        <f t="array" ref="AL238">_xlfn.IFS(Table1[[#This Row],[loan_amount]] &lt; 900000, "lower size (&lt; 9L)", Table1[[#This Row],[loan_amount]] &lt;=3300000, "medium size (&lt;=33L)", Table1[[#This Row],[loan_amount]] &gt; 3300000, "larger size (&gt; 33L)")</f>
        <v>larger size (&gt; 33L)</v>
      </c>
      <c r="AM238" s="19">
        <f>IF(Table1[[#This Row],[dpd]] &gt;=30,1,0)</f>
        <v>0</v>
      </c>
      <c r="AN238" s="19">
        <f>COUNTIFS(Table1[Loan size],Table1[[#This Row],[Loan size]],Table1[dpd flag],1)/COUNTIF(Table1[Loan size],Table1[[#This Row],[Loan size]])</f>
        <v>0.16250000000000001</v>
      </c>
      <c r="AO238" s="19" t="str">
        <f>IF(OR(Table1[[#This Row],[credit_score]] &lt; 600, Table1[ [#This Row],[dti_ratio] ] &gt; 0.5, Table1[[#This Row],[dpd]] &gt;=30), "high risk", " not riskY")</f>
        <v>high risk</v>
      </c>
      <c r="AP238" s="29">
        <f>EOMONTH(Table1[[#This Row],[origination_date]],0)</f>
        <v>45838</v>
      </c>
      <c r="AQ238" s="19">
        <f>SUMIFS(Table1[loan_amount],Table1[origination month],Table1[[#This Row],[origination month]])</f>
        <v>25448100</v>
      </c>
      <c r="AR238" s="19">
        <f>AVERAGEIFS(Table1[months_on_book],Table1[product],Table1[[#This Row],[product]])</f>
        <v>20.516129032258064</v>
      </c>
      <c r="AS238" s="19" t="str">
        <f ca="1">IF(EDATE(Table1[[#This Row],[origination_date]],6) &gt;= TODAY(), "New Loan", "Old Loan")</f>
        <v>Old Loan</v>
      </c>
      <c r="AT238" s="19" t="str">
        <f>"Q"&amp;ROUNDUP(MONTH(Table1[[#This Row],[origination_date]])/3,0)&amp;YEAR(Table1[[#This Row],[origination_date]])</f>
        <v>Q22025</v>
      </c>
      <c r="AU238" s="19">
        <f>SUMIFS(Table1[loan_amount],Table1[quarter],Table1[[#This Row],[quarter]])</f>
        <v>80205600</v>
      </c>
    </row>
    <row r="239" spans="2:47" x14ac:dyDescent="0.2">
      <c r="B239" s="5" t="s">
        <v>147</v>
      </c>
      <c r="C239" s="2" t="s">
        <v>647</v>
      </c>
      <c r="D239" s="3">
        <v>45777</v>
      </c>
      <c r="E239" s="2" t="s">
        <v>1026</v>
      </c>
      <c r="F239" s="2" t="s">
        <v>1029</v>
      </c>
      <c r="G239" s="2" t="s">
        <v>1033</v>
      </c>
      <c r="H239" s="2" t="s">
        <v>1038</v>
      </c>
      <c r="I239" s="2">
        <v>72</v>
      </c>
      <c r="J239" s="2">
        <v>446100</v>
      </c>
      <c r="K239" s="2">
        <v>18.77</v>
      </c>
      <c r="L239" s="2">
        <v>10370</v>
      </c>
      <c r="M239" s="2">
        <v>1393961</v>
      </c>
      <c r="N239" s="2">
        <v>656</v>
      </c>
      <c r="O239" s="2" t="s">
        <v>1042</v>
      </c>
      <c r="P239" s="2">
        <v>0.61</v>
      </c>
      <c r="Q239" s="2">
        <v>0.76</v>
      </c>
      <c r="R239" s="2">
        <v>0</v>
      </c>
      <c r="S239" s="2">
        <v>8</v>
      </c>
      <c r="T239" s="2">
        <v>82456</v>
      </c>
      <c r="U239" s="2">
        <v>385973</v>
      </c>
      <c r="V239" s="2">
        <v>30</v>
      </c>
      <c r="W239" s="2">
        <v>0</v>
      </c>
      <c r="X239" s="2">
        <v>0</v>
      </c>
      <c r="Y239" s="2" t="s">
        <v>1048</v>
      </c>
      <c r="Z239" s="12">
        <f>SUMIF(Table1[product],Table1[[#This Row],[product]],Table1[loan_amount])</f>
        <v>74897600</v>
      </c>
      <c r="AA239" s="15">
        <f>SUMIF(Table1[region],Table1[[#This Row],[region]],Table1[current_balance])</f>
        <v>83297251</v>
      </c>
      <c r="AB239" s="2">
        <f>COUNTIF(Table1[loan_status],Table1[[#This Row],[loan_status]])</f>
        <v>47</v>
      </c>
      <c r="AC239" s="2">
        <f>COUNTIF(Table1[default_flag],1)/ROWS(Table1[loan_id])</f>
        <v>2.5999999999999999E-2</v>
      </c>
      <c r="AD239" s="2">
        <f>COUNTIFS(Table1[region],Table1[[#This Row],[region]],Table1[default_flag],1)/COUNTIF(Table1[region],Table1[[#This Row],[region]])</f>
        <v>3.1914893617021274E-2</v>
      </c>
      <c r="AE239" s="2">
        <f>COUNTIFS(Table1[channel],Table1[[#This Row],[channel]],Table1[prepayment_flag],1)/COUNTIF(Table1[channel],Table1[[#This Row],[channel]])</f>
        <v>7.1090047393364927E-2</v>
      </c>
      <c r="AF239" s="2">
        <f>AVERAGEIFS(Table1[interest_rate_pct],Table1[product],Table1[[#This Row],[product]],Table1[risk_band],Table1[[#This Row],[risk_band]])</f>
        <v>18.603181818181817</v>
      </c>
      <c r="AG239" s="2" t="str" cm="1">
        <f t="array" ref="AG239">_xlfn.IFS(Table1[[#This Row],[dti_ratio]] &lt; 0.2, " less than 0.2", Table1[[#This Row],[dti_ratio]] &lt; 0.3, "0.2 - 0.3", Table1[[#This Row],[dti_ratio]] &lt;= 0.5, "0.35 - 0.5", Table1[[#This Row],[dti_ratio]] &gt; 0.5, "greater than 0.5")</f>
        <v>greater than 0.5</v>
      </c>
      <c r="AH239" s="2">
        <f>COUNTIF(Table1[DTI band],Table1[[#This Row],[DTI band]])</f>
        <v>32</v>
      </c>
      <c r="AI239" s="2" t="str" cm="1">
        <f t="array" ref="AI239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239" s="2">
        <f>COUNTIF(Table1[LTV band],Table1[[#This Row],[LTV band]])</f>
        <v>302</v>
      </c>
      <c r="AK239" s="19">
        <f>COUNTIFS(Table1[count_loan_perband],Table1[[#This Row],[count_loan_perband]],Table1[default_flag],1)/COUNTIF(Table1[count_loan_perband],Table1[[#This Row],[count_loan_perband]])</f>
        <v>3.6423841059602648E-2</v>
      </c>
      <c r="AL239" s="19" t="str" cm="1">
        <f t="array" ref="AL239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239" s="19">
        <f>IF(Table1[[#This Row],[dpd]] &gt;=30,1,0)</f>
        <v>1</v>
      </c>
      <c r="AN239" s="19">
        <f>COUNTIFS(Table1[Loan size],Table1[[#This Row],[Loan size]],Table1[dpd flag],1)/COUNTIF(Table1[Loan size],Table1[[#This Row],[Loan size]])</f>
        <v>0.13934426229508196</v>
      </c>
      <c r="AO239" s="19" t="str">
        <f>IF(OR(Table1[[#This Row],[credit_score]] &lt; 600, Table1[ [#This Row],[dti_ratio] ] &gt; 0.5, Table1[[#This Row],[dpd]] &gt;=30), "high risk", " not riskY")</f>
        <v>high risk</v>
      </c>
      <c r="AP239" s="29">
        <f>EOMONTH(Table1[[#This Row],[origination_date]],0)</f>
        <v>45777</v>
      </c>
      <c r="AQ239" s="19">
        <f>SUMIFS(Table1[loan_amount],Table1[origination month],Table1[[#This Row],[origination month]])</f>
        <v>18059300</v>
      </c>
      <c r="AR239" s="19">
        <f>AVERAGEIFS(Table1[months_on_book],Table1[product],Table1[[#This Row],[product]])</f>
        <v>21.092024539877301</v>
      </c>
      <c r="AS239" s="19" t="str">
        <f ca="1">IF(EDATE(Table1[[#This Row],[origination_date]],6) &gt;= TODAY(), "New Loan", "Old Loan")</f>
        <v>Old Loan</v>
      </c>
      <c r="AT239" s="19" t="str">
        <f>"Q"&amp;ROUNDUP(MONTH(Table1[[#This Row],[origination_date]])/3,0)&amp;YEAR(Table1[[#This Row],[origination_date]])</f>
        <v>Q22025</v>
      </c>
      <c r="AU239" s="19">
        <f>SUMIFS(Table1[loan_amount],Table1[quarter],Table1[[#This Row],[quarter]])</f>
        <v>80205600</v>
      </c>
    </row>
    <row r="240" spans="2:47" x14ac:dyDescent="0.2">
      <c r="B240" s="5" t="s">
        <v>62</v>
      </c>
      <c r="C240" s="2" t="s">
        <v>562</v>
      </c>
      <c r="D240" s="3">
        <v>45801</v>
      </c>
      <c r="E240" s="2" t="s">
        <v>1027</v>
      </c>
      <c r="F240" s="2" t="s">
        <v>1029</v>
      </c>
      <c r="G240" s="2" t="s">
        <v>1033</v>
      </c>
      <c r="H240" s="2" t="s">
        <v>1038</v>
      </c>
      <c r="I240" s="2">
        <v>48</v>
      </c>
      <c r="J240" s="2">
        <v>3936800</v>
      </c>
      <c r="K240" s="2">
        <v>11.73</v>
      </c>
      <c r="L240" s="2">
        <v>103150</v>
      </c>
      <c r="M240" s="2">
        <v>567312</v>
      </c>
      <c r="N240" s="2">
        <v>673</v>
      </c>
      <c r="O240" s="2" t="s">
        <v>1042</v>
      </c>
      <c r="P240" s="2">
        <v>0.55000000000000004</v>
      </c>
      <c r="Q240" s="2">
        <v>0.91</v>
      </c>
      <c r="R240" s="2">
        <v>4307400</v>
      </c>
      <c r="S240" s="2">
        <v>7</v>
      </c>
      <c r="T240" s="2">
        <v>687375</v>
      </c>
      <c r="U240" s="2">
        <v>3357175</v>
      </c>
      <c r="V240" s="2">
        <v>0</v>
      </c>
      <c r="W240" s="2">
        <v>0</v>
      </c>
      <c r="X240" s="2">
        <v>0</v>
      </c>
      <c r="Y240" s="2" t="s">
        <v>1049</v>
      </c>
      <c r="Z240" s="12">
        <f>SUMIF(Table1[product],Table1[[#This Row],[product]],Table1[loan_amount])</f>
        <v>403369500</v>
      </c>
      <c r="AA240" s="15">
        <f>SUMIF(Table1[region],Table1[[#This Row],[region]],Table1[current_balance])</f>
        <v>83297251</v>
      </c>
      <c r="AB240" s="2">
        <f>COUNTIF(Table1[loan_status],Table1[[#This Row],[loan_status]])</f>
        <v>301</v>
      </c>
      <c r="AC240" s="2">
        <f>COUNTIF(Table1[default_flag],1)/ROWS(Table1[loan_id])</f>
        <v>2.5999999999999999E-2</v>
      </c>
      <c r="AD240" s="2">
        <f>COUNTIFS(Table1[region],Table1[[#This Row],[region]],Table1[default_flag],1)/COUNTIF(Table1[region],Table1[[#This Row],[region]])</f>
        <v>3.1914893617021274E-2</v>
      </c>
      <c r="AE240" s="2">
        <f>COUNTIFS(Table1[channel],Table1[[#This Row],[channel]],Table1[prepayment_flag],1)/COUNTIF(Table1[channel],Table1[[#This Row],[channel]])</f>
        <v>7.1090047393364927E-2</v>
      </c>
      <c r="AF240" s="2">
        <f>AVERAGEIFS(Table1[interest_rate_pct],Table1[product],Table1[[#This Row],[product]],Table1[risk_band],Table1[[#This Row],[risk_band]])</f>
        <v>11.719736842105268</v>
      </c>
      <c r="AG240" s="2" t="str" cm="1">
        <f t="array" ref="AG240">_xlfn.IFS(Table1[[#This Row],[dti_ratio]] &lt; 0.2, " less than 0.2", Table1[[#This Row],[dti_ratio]] &lt; 0.3, "0.2 - 0.3", Table1[[#This Row],[dti_ratio]] &lt;= 0.5, "0.35 - 0.5", Table1[[#This Row],[dti_ratio]] &gt; 0.5, "greater than 0.5")</f>
        <v>greater than 0.5</v>
      </c>
      <c r="AH240" s="2">
        <f>COUNTIF(Table1[DTI band],Table1[[#This Row],[DTI band]])</f>
        <v>32</v>
      </c>
      <c r="AI240" s="2" t="str" cm="1">
        <f t="array" ref="AI240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240" s="2">
        <f>COUNTIF(Table1[LTV band],Table1[[#This Row],[LTV band]])</f>
        <v>141</v>
      </c>
      <c r="AK240" s="19">
        <f>COUNTIFS(Table1[count_loan_perband],Table1[[#This Row],[count_loan_perband]],Table1[default_flag],1)/COUNTIF(Table1[count_loan_perband],Table1[[#This Row],[count_loan_perband]])</f>
        <v>1.4184397163120567E-2</v>
      </c>
      <c r="AL240" s="19" t="str" cm="1">
        <f t="array" ref="AL240">_xlfn.IFS(Table1[[#This Row],[loan_amount]] &lt; 900000, "lower size (&lt; 9L)", Table1[[#This Row],[loan_amount]] &lt;=3300000, "medium size (&lt;=33L)", Table1[[#This Row],[loan_amount]] &gt; 3300000, "larger size (&gt; 33L)")</f>
        <v>larger size (&gt; 33L)</v>
      </c>
      <c r="AM240" s="19">
        <f>IF(Table1[[#This Row],[dpd]] &gt;=30,1,0)</f>
        <v>0</v>
      </c>
      <c r="AN240" s="19">
        <f>COUNTIFS(Table1[Loan size],Table1[[#This Row],[Loan size]],Table1[dpd flag],1)/COUNTIF(Table1[Loan size],Table1[[#This Row],[Loan size]])</f>
        <v>0.16250000000000001</v>
      </c>
      <c r="AO240" s="19" t="str">
        <f>IF(OR(Table1[[#This Row],[credit_score]] &lt; 600, Table1[ [#This Row],[dti_ratio] ] &gt; 0.5, Table1[[#This Row],[dpd]] &gt;=30), "high risk", " not riskY")</f>
        <v>high risk</v>
      </c>
      <c r="AP240" s="29">
        <f>EOMONTH(Table1[[#This Row],[origination_date]],0)</f>
        <v>45808</v>
      </c>
      <c r="AQ240" s="19">
        <f>SUMIFS(Table1[loan_amount],Table1[origination month],Table1[[#This Row],[origination month]])</f>
        <v>36698200</v>
      </c>
      <c r="AR240" s="19">
        <f>AVERAGEIFS(Table1[months_on_book],Table1[product],Table1[[#This Row],[product]])</f>
        <v>20.516129032258064</v>
      </c>
      <c r="AS240" s="19" t="str">
        <f ca="1">IF(EDATE(Table1[[#This Row],[origination_date]],6) &gt;= TODAY(), "New Loan", "Old Loan")</f>
        <v>Old Loan</v>
      </c>
      <c r="AT240" s="19" t="str">
        <f>"Q"&amp;ROUNDUP(MONTH(Table1[[#This Row],[origination_date]])/3,0)&amp;YEAR(Table1[[#This Row],[origination_date]])</f>
        <v>Q22025</v>
      </c>
      <c r="AU240" s="19">
        <f>SUMIFS(Table1[loan_amount],Table1[quarter],Table1[[#This Row],[quarter]])</f>
        <v>80205600</v>
      </c>
    </row>
    <row r="241" spans="2:47" x14ac:dyDescent="0.2">
      <c r="B241" s="5" t="s">
        <v>342</v>
      </c>
      <c r="C241" s="2" t="s">
        <v>842</v>
      </c>
      <c r="D241" s="3">
        <v>45830</v>
      </c>
      <c r="E241" s="2" t="s">
        <v>1028</v>
      </c>
      <c r="F241" s="2" t="s">
        <v>1030</v>
      </c>
      <c r="G241" s="2" t="s">
        <v>1034</v>
      </c>
      <c r="H241" s="2" t="s">
        <v>1038</v>
      </c>
      <c r="I241" s="2">
        <v>180</v>
      </c>
      <c r="J241" s="2">
        <v>809600</v>
      </c>
      <c r="K241" s="2">
        <v>8.34</v>
      </c>
      <c r="L241" s="2">
        <v>7897</v>
      </c>
      <c r="M241" s="2">
        <v>1163505</v>
      </c>
      <c r="N241" s="2">
        <v>764</v>
      </c>
      <c r="O241" s="2" t="s">
        <v>1043</v>
      </c>
      <c r="P241" s="2">
        <v>0.51</v>
      </c>
      <c r="Q241" s="2">
        <v>0.62</v>
      </c>
      <c r="R241" s="2">
        <v>0</v>
      </c>
      <c r="S241" s="2">
        <v>6</v>
      </c>
      <c r="T241" s="2">
        <v>46523</v>
      </c>
      <c r="U241" s="2">
        <v>776581</v>
      </c>
      <c r="V241" s="2">
        <v>0</v>
      </c>
      <c r="W241" s="2">
        <v>0</v>
      </c>
      <c r="X241" s="2">
        <v>0</v>
      </c>
      <c r="Y241" s="2" t="s">
        <v>1049</v>
      </c>
      <c r="Z241" s="12">
        <f>SUMIF(Table1[product],Table1[[#This Row],[product]],Table1[loan_amount])</f>
        <v>62765800</v>
      </c>
      <c r="AA241" s="15">
        <f>SUMIF(Table1[region],Table1[[#This Row],[region]],Table1[current_balance])</f>
        <v>105779369</v>
      </c>
      <c r="AB241" s="2">
        <f>COUNTIF(Table1[loan_status],Table1[[#This Row],[loan_status]])</f>
        <v>301</v>
      </c>
      <c r="AC241" s="2">
        <f>COUNTIF(Table1[default_flag],1)/ROWS(Table1[loan_id])</f>
        <v>2.5999999999999999E-2</v>
      </c>
      <c r="AD241" s="2">
        <f>COUNTIFS(Table1[region],Table1[[#This Row],[region]],Table1[default_flag],1)/COUNTIF(Table1[region],Table1[[#This Row],[region]])</f>
        <v>2.6548672566371681E-2</v>
      </c>
      <c r="AE241" s="2">
        <f>COUNTIFS(Table1[channel],Table1[[#This Row],[channel]],Table1[prepayment_flag],1)/COUNTIF(Table1[channel],Table1[[#This Row],[channel]])</f>
        <v>5.8201058201058198E-2</v>
      </c>
      <c r="AF241" s="2">
        <f>AVERAGEIFS(Table1[interest_rate_pct],Table1[product],Table1[[#This Row],[product]],Table1[risk_band],Table1[[#This Row],[risk_band]])</f>
        <v>8.5057142857142871</v>
      </c>
      <c r="AG241" s="2" t="str" cm="1">
        <f t="array" ref="AG241">_xlfn.IFS(Table1[[#This Row],[dti_ratio]] &lt; 0.2, " less than 0.2", Table1[[#This Row],[dti_ratio]] &lt; 0.3, "0.2 - 0.3", Table1[[#This Row],[dti_ratio]] &lt;= 0.5, "0.35 - 0.5", Table1[[#This Row],[dti_ratio]] &gt; 0.5, "greater than 0.5")</f>
        <v>greater than 0.5</v>
      </c>
      <c r="AH241" s="2">
        <f>COUNTIF(Table1[DTI band],Table1[[#This Row],[DTI band]])</f>
        <v>32</v>
      </c>
      <c r="AI241" s="2" t="str" cm="1">
        <f t="array" ref="AI241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241" s="2">
        <f>COUNTIF(Table1[LTV band],Table1[[#This Row],[LTV band]])</f>
        <v>302</v>
      </c>
      <c r="AK241" s="19">
        <f>COUNTIFS(Table1[count_loan_perband],Table1[[#This Row],[count_loan_perband]],Table1[default_flag],1)/COUNTIF(Table1[count_loan_perband],Table1[[#This Row],[count_loan_perband]])</f>
        <v>3.6423841059602648E-2</v>
      </c>
      <c r="AL241" s="19" t="str" cm="1">
        <f t="array" ref="AL241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241" s="19">
        <f>IF(Table1[[#This Row],[dpd]] &gt;=30,1,0)</f>
        <v>0</v>
      </c>
      <c r="AN241" s="19">
        <f>COUNTIFS(Table1[Loan size],Table1[[#This Row],[Loan size]],Table1[dpd flag],1)/COUNTIF(Table1[Loan size],Table1[[#This Row],[Loan size]])</f>
        <v>0.13934426229508196</v>
      </c>
      <c r="AO241" s="19" t="str">
        <f>IF(OR(Table1[[#This Row],[credit_score]] &lt; 600, Table1[ [#This Row],[dti_ratio] ] &gt; 0.5, Table1[[#This Row],[dpd]] &gt;=30), "high risk", " not riskY")</f>
        <v>high risk</v>
      </c>
      <c r="AP241" s="29">
        <f>EOMONTH(Table1[[#This Row],[origination_date]],0)</f>
        <v>45838</v>
      </c>
      <c r="AQ241" s="19">
        <f>SUMIFS(Table1[loan_amount],Table1[origination month],Table1[[#This Row],[origination month]])</f>
        <v>25448100</v>
      </c>
      <c r="AR241" s="19">
        <f>AVERAGEIFS(Table1[months_on_book],Table1[product],Table1[[#This Row],[product]])</f>
        <v>21.962962962962962</v>
      </c>
      <c r="AS241" s="19" t="str">
        <f ca="1">IF(EDATE(Table1[[#This Row],[origination_date]],6) &gt;= TODAY(), "New Loan", "Old Loan")</f>
        <v>Old Loan</v>
      </c>
      <c r="AT241" s="19" t="str">
        <f>"Q"&amp;ROUNDUP(MONTH(Table1[[#This Row],[origination_date]])/3,0)&amp;YEAR(Table1[[#This Row],[origination_date]])</f>
        <v>Q22025</v>
      </c>
      <c r="AU241" s="19">
        <f>SUMIFS(Table1[loan_amount],Table1[quarter],Table1[[#This Row],[quarter]])</f>
        <v>80205600</v>
      </c>
    </row>
    <row r="242" spans="2:47" x14ac:dyDescent="0.2">
      <c r="B242" s="5" t="s">
        <v>81</v>
      </c>
      <c r="C242" s="2" t="s">
        <v>581</v>
      </c>
      <c r="D242" s="3">
        <v>45803</v>
      </c>
      <c r="E242" s="2" t="s">
        <v>1025</v>
      </c>
      <c r="F242" s="2" t="s">
        <v>1029</v>
      </c>
      <c r="G242" s="2" t="s">
        <v>1033</v>
      </c>
      <c r="H242" s="2" t="s">
        <v>1038</v>
      </c>
      <c r="I242" s="2">
        <v>24</v>
      </c>
      <c r="J242" s="2">
        <v>2739900</v>
      </c>
      <c r="K242" s="2">
        <v>11.41</v>
      </c>
      <c r="L242" s="2">
        <v>128223</v>
      </c>
      <c r="M242" s="2">
        <v>745822</v>
      </c>
      <c r="N242" s="2">
        <v>782</v>
      </c>
      <c r="O242" s="2" t="s">
        <v>1043</v>
      </c>
      <c r="P242" s="2">
        <v>0.48</v>
      </c>
      <c r="Q242" s="2">
        <v>0.61</v>
      </c>
      <c r="R242" s="2">
        <v>4486600</v>
      </c>
      <c r="S242" s="2">
        <v>7</v>
      </c>
      <c r="T242" s="2">
        <v>843527</v>
      </c>
      <c r="U242" s="2">
        <v>1969318</v>
      </c>
      <c r="V242" s="2">
        <v>0</v>
      </c>
      <c r="W242" s="2">
        <v>1</v>
      </c>
      <c r="X242" s="2">
        <v>0</v>
      </c>
      <c r="Y242" s="2" t="s">
        <v>1047</v>
      </c>
      <c r="Z242" s="12">
        <f>SUMIF(Table1[product],Table1[[#This Row],[product]],Table1[loan_amount])</f>
        <v>201475100</v>
      </c>
      <c r="AA242" s="15">
        <f>SUMIF(Table1[region],Table1[[#This Row],[region]],Table1[current_balance])</f>
        <v>83297251</v>
      </c>
      <c r="AB242" s="2">
        <f>COUNTIF(Table1[loan_status],Table1[[#This Row],[loan_status]])</f>
        <v>139</v>
      </c>
      <c r="AC242" s="2">
        <f>COUNTIF(Table1[default_flag],1)/ROWS(Table1[loan_id])</f>
        <v>2.5999999999999999E-2</v>
      </c>
      <c r="AD242" s="2">
        <f>COUNTIFS(Table1[region],Table1[[#This Row],[region]],Table1[default_flag],1)/COUNTIF(Table1[region],Table1[[#This Row],[region]])</f>
        <v>3.1914893617021274E-2</v>
      </c>
      <c r="AE242" s="2">
        <f>COUNTIFS(Table1[channel],Table1[[#This Row],[channel]],Table1[prepayment_flag],1)/COUNTIF(Table1[channel],Table1[[#This Row],[channel]])</f>
        <v>7.1090047393364927E-2</v>
      </c>
      <c r="AF242" s="2">
        <f>AVERAGEIFS(Table1[interest_rate_pct],Table1[product],Table1[[#This Row],[product]],Table1[risk_band],Table1[[#This Row],[risk_band]])</f>
        <v>10.537499999999998</v>
      </c>
      <c r="AG242" s="2" t="str" cm="1">
        <f t="array" ref="AG242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242" s="2">
        <f>COUNTIF(Table1[DTI band],Table1[[#This Row],[DTI band]])</f>
        <v>260</v>
      </c>
      <c r="AI242" s="2" t="str" cm="1">
        <f t="array" ref="AI242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242" s="2">
        <f>COUNTIF(Table1[LTV band],Table1[[#This Row],[LTV band]])</f>
        <v>302</v>
      </c>
      <c r="AK242" s="19">
        <f>COUNTIFS(Table1[count_loan_perband],Table1[[#This Row],[count_loan_perband]],Table1[default_flag],1)/COUNTIF(Table1[count_loan_perband],Table1[[#This Row],[count_loan_perband]])</f>
        <v>3.6423841059602648E-2</v>
      </c>
      <c r="AL242" s="19" t="str" cm="1">
        <f t="array" ref="AL242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242" s="19">
        <f>IF(Table1[[#This Row],[dpd]] &gt;=30,1,0)</f>
        <v>0</v>
      </c>
      <c r="AN242" s="19">
        <f>COUNTIFS(Table1[Loan size],Table1[[#This Row],[Loan size]],Table1[dpd flag],1)/COUNTIF(Table1[Loan size],Table1[[#This Row],[Loan size]])</f>
        <v>0.15909090909090909</v>
      </c>
      <c r="AO242" s="19" t="str">
        <f>IF(OR(Table1[[#This Row],[credit_score]] &lt; 600, Table1[ [#This Row],[dti_ratio] ] &gt; 0.5, Table1[[#This Row],[dpd]] &gt;=30), "high risk", " not riskY")</f>
        <v xml:space="preserve"> not riskY</v>
      </c>
      <c r="AP242" s="29">
        <f>EOMONTH(Table1[[#This Row],[origination_date]],0)</f>
        <v>45808</v>
      </c>
      <c r="AQ242" s="19">
        <f>SUMIFS(Table1[loan_amount],Table1[origination month],Table1[[#This Row],[origination month]])</f>
        <v>36698200</v>
      </c>
      <c r="AR242" s="19">
        <f>AVERAGEIFS(Table1[months_on_book],Table1[product],Table1[[#This Row],[product]])</f>
        <v>19.091954022988507</v>
      </c>
      <c r="AS242" s="19" t="str">
        <f ca="1">IF(EDATE(Table1[[#This Row],[origination_date]],6) &gt;= TODAY(), "New Loan", "Old Loan")</f>
        <v>Old Loan</v>
      </c>
      <c r="AT242" s="19" t="str">
        <f>"Q"&amp;ROUNDUP(MONTH(Table1[[#This Row],[origination_date]])/3,0)&amp;YEAR(Table1[[#This Row],[origination_date]])</f>
        <v>Q22025</v>
      </c>
      <c r="AU242" s="19">
        <f>SUMIFS(Table1[loan_amount],Table1[quarter],Table1[[#This Row],[quarter]])</f>
        <v>80205600</v>
      </c>
    </row>
    <row r="243" spans="2:47" x14ac:dyDescent="0.2">
      <c r="B243" s="5" t="s">
        <v>454</v>
      </c>
      <c r="C243" s="2" t="s">
        <v>954</v>
      </c>
      <c r="D243" s="3">
        <v>45821</v>
      </c>
      <c r="E243" s="2" t="s">
        <v>1025</v>
      </c>
      <c r="F243" s="2" t="s">
        <v>1030</v>
      </c>
      <c r="G243" s="2" t="s">
        <v>1034</v>
      </c>
      <c r="H243" s="2" t="s">
        <v>1039</v>
      </c>
      <c r="I243" s="2">
        <v>36</v>
      </c>
      <c r="J243" s="2">
        <v>2896800</v>
      </c>
      <c r="K243" s="2">
        <v>11.11</v>
      </c>
      <c r="L243" s="2">
        <v>94988</v>
      </c>
      <c r="M243" s="2">
        <v>902522</v>
      </c>
      <c r="N243" s="2">
        <v>761</v>
      </c>
      <c r="O243" s="2" t="s">
        <v>1043</v>
      </c>
      <c r="P243" s="2">
        <v>0.46</v>
      </c>
      <c r="Q243" s="2">
        <v>0.74</v>
      </c>
      <c r="R243" s="2">
        <v>3934400</v>
      </c>
      <c r="S243" s="2">
        <v>6</v>
      </c>
      <c r="T243" s="2">
        <v>538630</v>
      </c>
      <c r="U243" s="2">
        <v>2422537</v>
      </c>
      <c r="V243" s="2">
        <v>0</v>
      </c>
      <c r="W243" s="2">
        <v>0</v>
      </c>
      <c r="X243" s="2">
        <v>0</v>
      </c>
      <c r="Y243" s="2" t="s">
        <v>1049</v>
      </c>
      <c r="Z243" s="12">
        <f>SUMIF(Table1[product],Table1[[#This Row],[product]],Table1[loan_amount])</f>
        <v>201475100</v>
      </c>
      <c r="AA243" s="15">
        <f>SUMIF(Table1[region],Table1[[#This Row],[region]],Table1[current_balance])</f>
        <v>105779369</v>
      </c>
      <c r="AB243" s="2">
        <f>COUNTIF(Table1[loan_status],Table1[[#This Row],[loan_status]])</f>
        <v>301</v>
      </c>
      <c r="AC243" s="2">
        <f>COUNTIF(Table1[default_flag],1)/ROWS(Table1[loan_id])</f>
        <v>2.5999999999999999E-2</v>
      </c>
      <c r="AD243" s="2">
        <f>COUNTIFS(Table1[region],Table1[[#This Row],[region]],Table1[default_flag],1)/COUNTIF(Table1[region],Table1[[#This Row],[region]])</f>
        <v>2.6548672566371681E-2</v>
      </c>
      <c r="AE243" s="2">
        <f>COUNTIFS(Table1[channel],Table1[[#This Row],[channel]],Table1[prepayment_flag],1)/COUNTIF(Table1[channel],Table1[[#This Row],[channel]])</f>
        <v>5.8201058201058198E-2</v>
      </c>
      <c r="AF243" s="2">
        <f>AVERAGEIFS(Table1[interest_rate_pct],Table1[product],Table1[[#This Row],[product]],Table1[risk_band],Table1[[#This Row],[risk_band]])</f>
        <v>10.537499999999998</v>
      </c>
      <c r="AG243" s="2" t="str" cm="1">
        <f t="array" ref="AG243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243" s="2">
        <f>COUNTIF(Table1[DTI band],Table1[[#This Row],[DTI band]])</f>
        <v>260</v>
      </c>
      <c r="AI243" s="2" t="str" cm="1">
        <f t="array" ref="AI243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243" s="2">
        <f>COUNTIF(Table1[LTV band],Table1[[#This Row],[LTV band]])</f>
        <v>302</v>
      </c>
      <c r="AK243" s="19">
        <f>COUNTIFS(Table1[count_loan_perband],Table1[[#This Row],[count_loan_perband]],Table1[default_flag],1)/COUNTIF(Table1[count_loan_perband],Table1[[#This Row],[count_loan_perband]])</f>
        <v>3.6423841059602648E-2</v>
      </c>
      <c r="AL243" s="19" t="str" cm="1">
        <f t="array" ref="AL243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243" s="19">
        <f>IF(Table1[[#This Row],[dpd]] &gt;=30,1,0)</f>
        <v>0</v>
      </c>
      <c r="AN243" s="19">
        <f>COUNTIFS(Table1[Loan size],Table1[[#This Row],[Loan size]],Table1[dpd flag],1)/COUNTIF(Table1[Loan size],Table1[[#This Row],[Loan size]])</f>
        <v>0.15909090909090909</v>
      </c>
      <c r="AO243" s="19" t="str">
        <f>IF(OR(Table1[[#This Row],[credit_score]] &lt; 600, Table1[ [#This Row],[dti_ratio] ] &gt; 0.5, Table1[[#This Row],[dpd]] &gt;=30), "high risk", " not riskY")</f>
        <v xml:space="preserve"> not riskY</v>
      </c>
      <c r="AP243" s="29">
        <f>EOMONTH(Table1[[#This Row],[origination_date]],0)</f>
        <v>45838</v>
      </c>
      <c r="AQ243" s="19">
        <f>SUMIFS(Table1[loan_amount],Table1[origination month],Table1[[#This Row],[origination month]])</f>
        <v>25448100</v>
      </c>
      <c r="AR243" s="19">
        <f>AVERAGEIFS(Table1[months_on_book],Table1[product],Table1[[#This Row],[product]])</f>
        <v>19.091954022988507</v>
      </c>
      <c r="AS243" s="19" t="str">
        <f ca="1">IF(EDATE(Table1[[#This Row],[origination_date]],6) &gt;= TODAY(), "New Loan", "Old Loan")</f>
        <v>Old Loan</v>
      </c>
      <c r="AT243" s="19" t="str">
        <f>"Q"&amp;ROUNDUP(MONTH(Table1[[#This Row],[origination_date]])/3,0)&amp;YEAR(Table1[[#This Row],[origination_date]])</f>
        <v>Q22025</v>
      </c>
      <c r="AU243" s="19">
        <f>SUMIFS(Table1[loan_amount],Table1[quarter],Table1[[#This Row],[quarter]])</f>
        <v>80205600</v>
      </c>
    </row>
    <row r="244" spans="2:47" x14ac:dyDescent="0.2">
      <c r="B244" s="5" t="s">
        <v>194</v>
      </c>
      <c r="C244" s="2" t="s">
        <v>694</v>
      </c>
      <c r="D244" s="3">
        <v>45786</v>
      </c>
      <c r="E244" s="2" t="s">
        <v>1027</v>
      </c>
      <c r="F244" s="2" t="s">
        <v>1030</v>
      </c>
      <c r="G244" s="2" t="s">
        <v>1035</v>
      </c>
      <c r="H244" s="2" t="s">
        <v>1039</v>
      </c>
      <c r="I244" s="2">
        <v>60</v>
      </c>
      <c r="J244" s="2">
        <v>3293300</v>
      </c>
      <c r="K244" s="2">
        <v>12.43</v>
      </c>
      <c r="L244" s="2">
        <v>73975</v>
      </c>
      <c r="M244" s="2">
        <v>859987</v>
      </c>
      <c r="N244" s="2">
        <v>661</v>
      </c>
      <c r="O244" s="2" t="s">
        <v>1042</v>
      </c>
      <c r="P244" s="2">
        <v>0.45</v>
      </c>
      <c r="Q244" s="2">
        <v>0.66</v>
      </c>
      <c r="R244" s="2">
        <v>4996400</v>
      </c>
      <c r="S244" s="2">
        <v>7</v>
      </c>
      <c r="T244" s="2">
        <v>455457</v>
      </c>
      <c r="U244" s="2">
        <v>2933360</v>
      </c>
      <c r="V244" s="2">
        <v>0</v>
      </c>
      <c r="W244" s="2">
        <v>0</v>
      </c>
      <c r="X244" s="2">
        <v>0</v>
      </c>
      <c r="Y244" s="2" t="s">
        <v>1049</v>
      </c>
      <c r="Z244" s="12">
        <f>SUMIF(Table1[product],Table1[[#This Row],[product]],Table1[loan_amount])</f>
        <v>403369500</v>
      </c>
      <c r="AA244" s="15">
        <f>SUMIF(Table1[region],Table1[[#This Row],[region]],Table1[current_balance])</f>
        <v>83903255</v>
      </c>
      <c r="AB244" s="2">
        <f>COUNTIF(Table1[loan_status],Table1[[#This Row],[loan_status]])</f>
        <v>301</v>
      </c>
      <c r="AC244" s="2">
        <f>COUNTIF(Table1[default_flag],1)/ROWS(Table1[loan_id])</f>
        <v>2.5999999999999999E-2</v>
      </c>
      <c r="AD244" s="2">
        <f>COUNTIFS(Table1[region],Table1[[#This Row],[region]],Table1[default_flag],1)/COUNTIF(Table1[region],Table1[[#This Row],[region]])</f>
        <v>4.2553191489361701E-2</v>
      </c>
      <c r="AE244" s="2">
        <f>COUNTIFS(Table1[channel],Table1[[#This Row],[channel]],Table1[prepayment_flag],1)/COUNTIF(Table1[channel],Table1[[#This Row],[channel]])</f>
        <v>5.8201058201058198E-2</v>
      </c>
      <c r="AF244" s="2">
        <f>AVERAGEIFS(Table1[interest_rate_pct],Table1[product],Table1[[#This Row],[product]],Table1[risk_band],Table1[[#This Row],[risk_band]])</f>
        <v>11.719736842105268</v>
      </c>
      <c r="AG244" s="2" t="str" cm="1">
        <f t="array" ref="AG244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244" s="2">
        <f>COUNTIF(Table1[DTI band],Table1[[#This Row],[DTI band]])</f>
        <v>260</v>
      </c>
      <c r="AI244" s="2" t="str" cm="1">
        <f t="array" ref="AI244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244" s="2">
        <f>COUNTIF(Table1[LTV band],Table1[[#This Row],[LTV band]])</f>
        <v>302</v>
      </c>
      <c r="AK244" s="19">
        <f>COUNTIFS(Table1[count_loan_perband],Table1[[#This Row],[count_loan_perband]],Table1[default_flag],1)/COUNTIF(Table1[count_loan_perband],Table1[[#This Row],[count_loan_perband]])</f>
        <v>3.6423841059602648E-2</v>
      </c>
      <c r="AL244" s="19" t="str" cm="1">
        <f t="array" ref="AL244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244" s="19">
        <f>IF(Table1[[#This Row],[dpd]] &gt;=30,1,0)</f>
        <v>0</v>
      </c>
      <c r="AN244" s="19">
        <f>COUNTIFS(Table1[Loan size],Table1[[#This Row],[Loan size]],Table1[dpd flag],1)/COUNTIF(Table1[Loan size],Table1[[#This Row],[Loan size]])</f>
        <v>0.15909090909090909</v>
      </c>
      <c r="AO244" s="19" t="str">
        <f>IF(OR(Table1[[#This Row],[credit_score]] &lt; 600, Table1[ [#This Row],[dti_ratio] ] &gt; 0.5, Table1[[#This Row],[dpd]] &gt;=30), "high risk", " not riskY")</f>
        <v xml:space="preserve"> not riskY</v>
      </c>
      <c r="AP244" s="29">
        <f>EOMONTH(Table1[[#This Row],[origination_date]],0)</f>
        <v>45808</v>
      </c>
      <c r="AQ244" s="19">
        <f>SUMIFS(Table1[loan_amount],Table1[origination month],Table1[[#This Row],[origination month]])</f>
        <v>36698200</v>
      </c>
      <c r="AR244" s="19">
        <f>AVERAGEIFS(Table1[months_on_book],Table1[product],Table1[[#This Row],[product]])</f>
        <v>20.516129032258064</v>
      </c>
      <c r="AS244" s="19" t="str">
        <f ca="1">IF(EDATE(Table1[[#This Row],[origination_date]],6) &gt;= TODAY(), "New Loan", "Old Loan")</f>
        <v>Old Loan</v>
      </c>
      <c r="AT244" s="19" t="str">
        <f>"Q"&amp;ROUNDUP(MONTH(Table1[[#This Row],[origination_date]])/3,0)&amp;YEAR(Table1[[#This Row],[origination_date]])</f>
        <v>Q22025</v>
      </c>
      <c r="AU244" s="19">
        <f>SUMIFS(Table1[loan_amount],Table1[quarter],Table1[[#This Row],[quarter]])</f>
        <v>80205600</v>
      </c>
    </row>
    <row r="245" spans="2:47" x14ac:dyDescent="0.2">
      <c r="B245" s="5" t="s">
        <v>146</v>
      </c>
      <c r="C245" s="2" t="s">
        <v>646</v>
      </c>
      <c r="D245" s="3">
        <v>45800</v>
      </c>
      <c r="E245" s="2" t="s">
        <v>1027</v>
      </c>
      <c r="F245" s="2" t="s">
        <v>1030</v>
      </c>
      <c r="G245" s="2" t="s">
        <v>1033</v>
      </c>
      <c r="H245" s="2" t="s">
        <v>1038</v>
      </c>
      <c r="I245" s="2">
        <v>48</v>
      </c>
      <c r="J245" s="2">
        <v>1988000</v>
      </c>
      <c r="K245" s="2">
        <v>13</v>
      </c>
      <c r="L245" s="2">
        <v>53333</v>
      </c>
      <c r="M245" s="2">
        <v>1189000</v>
      </c>
      <c r="N245" s="2">
        <v>670</v>
      </c>
      <c r="O245" s="2" t="s">
        <v>1042</v>
      </c>
      <c r="P245" s="2">
        <v>0.43</v>
      </c>
      <c r="Q245" s="2">
        <v>0.89</v>
      </c>
      <c r="R245" s="2">
        <v>2232400</v>
      </c>
      <c r="S245" s="2">
        <v>7</v>
      </c>
      <c r="T245" s="2">
        <v>370496</v>
      </c>
      <c r="U245" s="2">
        <v>1677807</v>
      </c>
      <c r="V245" s="2">
        <v>0</v>
      </c>
      <c r="W245" s="2">
        <v>0</v>
      </c>
      <c r="X245" s="2">
        <v>0</v>
      </c>
      <c r="Y245" s="2" t="s">
        <v>1049</v>
      </c>
      <c r="Z245" s="12">
        <f>SUMIF(Table1[product],Table1[[#This Row],[product]],Table1[loan_amount])</f>
        <v>403369500</v>
      </c>
      <c r="AA245" s="15">
        <f>SUMIF(Table1[region],Table1[[#This Row],[region]],Table1[current_balance])</f>
        <v>83297251</v>
      </c>
      <c r="AB245" s="2">
        <f>COUNTIF(Table1[loan_status],Table1[[#This Row],[loan_status]])</f>
        <v>301</v>
      </c>
      <c r="AC245" s="2">
        <f>COUNTIF(Table1[default_flag],1)/ROWS(Table1[loan_id])</f>
        <v>2.5999999999999999E-2</v>
      </c>
      <c r="AD245" s="2">
        <f>COUNTIFS(Table1[region],Table1[[#This Row],[region]],Table1[default_flag],1)/COUNTIF(Table1[region],Table1[[#This Row],[region]])</f>
        <v>3.1914893617021274E-2</v>
      </c>
      <c r="AE245" s="2">
        <f>COUNTIFS(Table1[channel],Table1[[#This Row],[channel]],Table1[prepayment_flag],1)/COUNTIF(Table1[channel],Table1[[#This Row],[channel]])</f>
        <v>5.8201058201058198E-2</v>
      </c>
      <c r="AF245" s="2">
        <f>AVERAGEIFS(Table1[interest_rate_pct],Table1[product],Table1[[#This Row],[product]],Table1[risk_band],Table1[[#This Row],[risk_band]])</f>
        <v>11.719736842105268</v>
      </c>
      <c r="AG245" s="2" t="str" cm="1">
        <f t="array" ref="AG245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245" s="2">
        <f>COUNTIF(Table1[DTI band],Table1[[#This Row],[DTI band]])</f>
        <v>260</v>
      </c>
      <c r="AI245" s="2" t="str" cm="1">
        <f t="array" ref="AI245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245" s="2">
        <f>COUNTIF(Table1[LTV band],Table1[[#This Row],[LTV band]])</f>
        <v>141</v>
      </c>
      <c r="AK245" s="19">
        <f>COUNTIFS(Table1[count_loan_perband],Table1[[#This Row],[count_loan_perband]],Table1[default_flag],1)/COUNTIF(Table1[count_loan_perband],Table1[[#This Row],[count_loan_perband]])</f>
        <v>1.4184397163120567E-2</v>
      </c>
      <c r="AL245" s="19" t="str" cm="1">
        <f t="array" ref="AL245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245" s="19">
        <f>IF(Table1[[#This Row],[dpd]] &gt;=30,1,0)</f>
        <v>0</v>
      </c>
      <c r="AN245" s="19">
        <f>COUNTIFS(Table1[Loan size],Table1[[#This Row],[Loan size]],Table1[dpd flag],1)/COUNTIF(Table1[Loan size],Table1[[#This Row],[Loan size]])</f>
        <v>0.15909090909090909</v>
      </c>
      <c r="AO245" s="19" t="str">
        <f>IF(OR(Table1[[#This Row],[credit_score]] &lt; 600, Table1[ [#This Row],[dti_ratio] ] &gt; 0.5, Table1[[#This Row],[dpd]] &gt;=30), "high risk", " not riskY")</f>
        <v xml:space="preserve"> not riskY</v>
      </c>
      <c r="AP245" s="29">
        <f>EOMONTH(Table1[[#This Row],[origination_date]],0)</f>
        <v>45808</v>
      </c>
      <c r="AQ245" s="19">
        <f>SUMIFS(Table1[loan_amount],Table1[origination month],Table1[[#This Row],[origination month]])</f>
        <v>36698200</v>
      </c>
      <c r="AR245" s="19">
        <f>AVERAGEIFS(Table1[months_on_book],Table1[product],Table1[[#This Row],[product]])</f>
        <v>20.516129032258064</v>
      </c>
      <c r="AS245" s="19" t="str">
        <f ca="1">IF(EDATE(Table1[[#This Row],[origination_date]],6) &gt;= TODAY(), "New Loan", "Old Loan")</f>
        <v>Old Loan</v>
      </c>
      <c r="AT245" s="19" t="str">
        <f>"Q"&amp;ROUNDUP(MONTH(Table1[[#This Row],[origination_date]])/3,0)&amp;YEAR(Table1[[#This Row],[origination_date]])</f>
        <v>Q22025</v>
      </c>
      <c r="AU245" s="19">
        <f>SUMIFS(Table1[loan_amount],Table1[quarter],Table1[[#This Row],[quarter]])</f>
        <v>80205600</v>
      </c>
    </row>
    <row r="246" spans="2:47" x14ac:dyDescent="0.2">
      <c r="B246" s="5" t="s">
        <v>207</v>
      </c>
      <c r="C246" s="2" t="s">
        <v>707</v>
      </c>
      <c r="D246" s="3">
        <v>45799</v>
      </c>
      <c r="E246" s="2" t="s">
        <v>1024</v>
      </c>
      <c r="F246" s="2" t="s">
        <v>1029</v>
      </c>
      <c r="G246" s="2" t="s">
        <v>1034</v>
      </c>
      <c r="H246" s="2" t="s">
        <v>1039</v>
      </c>
      <c r="I246" s="2">
        <v>36</v>
      </c>
      <c r="J246" s="2">
        <v>1062000</v>
      </c>
      <c r="K246" s="2">
        <v>17.87</v>
      </c>
      <c r="L246" s="2">
        <v>38325</v>
      </c>
      <c r="M246" s="2">
        <v>962876</v>
      </c>
      <c r="N246" s="2">
        <v>570</v>
      </c>
      <c r="O246" s="2" t="s">
        <v>1046</v>
      </c>
      <c r="P246" s="2">
        <v>0.43</v>
      </c>
      <c r="Q246" s="2">
        <v>0.57999999999999996</v>
      </c>
      <c r="R246" s="2">
        <v>1815500</v>
      </c>
      <c r="S246" s="2">
        <v>7</v>
      </c>
      <c r="T246" s="2">
        <v>244551</v>
      </c>
      <c r="U246" s="2">
        <v>861731</v>
      </c>
      <c r="V246" s="2">
        <v>0</v>
      </c>
      <c r="W246" s="2">
        <v>0</v>
      </c>
      <c r="X246" s="2">
        <v>0</v>
      </c>
      <c r="Y246" s="2" t="s">
        <v>1049</v>
      </c>
      <c r="Z246" s="12">
        <f>SUMIF(Table1[product],Table1[[#This Row],[product]],Table1[loan_amount])</f>
        <v>92273000</v>
      </c>
      <c r="AA246" s="15">
        <f>SUMIF(Table1[region],Table1[[#This Row],[region]],Table1[current_balance])</f>
        <v>105779369</v>
      </c>
      <c r="AB246" s="2">
        <f>COUNTIF(Table1[loan_status],Table1[[#This Row],[loan_status]])</f>
        <v>301</v>
      </c>
      <c r="AC246" s="2">
        <f>COUNTIF(Table1[default_flag],1)/ROWS(Table1[loan_id])</f>
        <v>2.5999999999999999E-2</v>
      </c>
      <c r="AD246" s="2">
        <f>COUNTIFS(Table1[region],Table1[[#This Row],[region]],Table1[default_flag],1)/COUNTIF(Table1[region],Table1[[#This Row],[region]])</f>
        <v>2.6548672566371681E-2</v>
      </c>
      <c r="AE246" s="2">
        <f>COUNTIFS(Table1[channel],Table1[[#This Row],[channel]],Table1[prepayment_flag],1)/COUNTIF(Table1[channel],Table1[[#This Row],[channel]])</f>
        <v>7.1090047393364927E-2</v>
      </c>
      <c r="AF246" s="2">
        <f>AVERAGEIFS(Table1[interest_rate_pct],Table1[product],Table1[[#This Row],[product]],Table1[risk_band],Table1[[#This Row],[risk_band]])</f>
        <v>17.744166666666668</v>
      </c>
      <c r="AG246" s="2" t="str" cm="1">
        <f t="array" ref="AG246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246" s="2">
        <f>COUNTIF(Table1[DTI band],Table1[[#This Row],[DTI band]])</f>
        <v>260</v>
      </c>
      <c r="AI246" s="2" t="str" cm="1">
        <f t="array" ref="AI246">_xlfn.IFS(Table1[[#This Row],[ltv_ratio]] &lt; 0.6, "less than 0.6 -less risky", Table1[[#This Row],[ltv_ratio]]  &lt;= 0.8, "0.6 - 0.8 -medium risky",Table1[[#This Row],[ltv_ratio]] &gt; 0.8, "greater than 0.8 -highly risky")</f>
        <v>less than 0.6 -less risky</v>
      </c>
      <c r="AJ246" s="2">
        <f>COUNTIF(Table1[LTV band],Table1[[#This Row],[LTV band]])</f>
        <v>57</v>
      </c>
      <c r="AK246" s="19">
        <f>COUNTIFS(Table1[count_loan_perband],Table1[[#This Row],[count_loan_perband]],Table1[default_flag],1)/COUNTIF(Table1[count_loan_perband],Table1[[#This Row],[count_loan_perband]])</f>
        <v>0</v>
      </c>
      <c r="AL246" s="19" t="str" cm="1">
        <f t="array" ref="AL246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246" s="19">
        <f>IF(Table1[[#This Row],[dpd]] &gt;=30,1,0)</f>
        <v>0</v>
      </c>
      <c r="AN246" s="19">
        <f>COUNTIFS(Table1[Loan size],Table1[[#This Row],[Loan size]],Table1[dpd flag],1)/COUNTIF(Table1[Loan size],Table1[[#This Row],[Loan size]])</f>
        <v>0.15909090909090909</v>
      </c>
      <c r="AO246" s="19" t="str">
        <f>IF(OR(Table1[[#This Row],[credit_score]] &lt; 600, Table1[ [#This Row],[dti_ratio] ] &gt; 0.5, Table1[[#This Row],[dpd]] &gt;=30), "high risk", " not riskY")</f>
        <v>high risk</v>
      </c>
      <c r="AP246" s="29">
        <f>EOMONTH(Table1[[#This Row],[origination_date]],0)</f>
        <v>45808</v>
      </c>
      <c r="AQ246" s="19">
        <f>SUMIFS(Table1[loan_amount],Table1[origination month],Table1[[#This Row],[origination month]])</f>
        <v>36698200</v>
      </c>
      <c r="AR246" s="19">
        <f>AVERAGEIFS(Table1[months_on_book],Table1[product],Table1[[#This Row],[product]])</f>
        <v>20.262135922330096</v>
      </c>
      <c r="AS246" s="19" t="str">
        <f ca="1">IF(EDATE(Table1[[#This Row],[origination_date]],6) &gt;= TODAY(), "New Loan", "Old Loan")</f>
        <v>Old Loan</v>
      </c>
      <c r="AT246" s="19" t="str">
        <f>"Q"&amp;ROUNDUP(MONTH(Table1[[#This Row],[origination_date]])/3,0)&amp;YEAR(Table1[[#This Row],[origination_date]])</f>
        <v>Q22025</v>
      </c>
      <c r="AU246" s="19">
        <f>SUMIFS(Table1[loan_amount],Table1[quarter],Table1[[#This Row],[quarter]])</f>
        <v>80205600</v>
      </c>
    </row>
    <row r="247" spans="2:47" x14ac:dyDescent="0.2">
      <c r="B247" s="5" t="s">
        <v>464</v>
      </c>
      <c r="C247" s="2" t="s">
        <v>964</v>
      </c>
      <c r="D247" s="3">
        <v>45767</v>
      </c>
      <c r="E247" s="2" t="s">
        <v>1026</v>
      </c>
      <c r="F247" s="2" t="s">
        <v>1030</v>
      </c>
      <c r="G247" s="2" t="s">
        <v>1034</v>
      </c>
      <c r="H247" s="2" t="s">
        <v>1038</v>
      </c>
      <c r="I247" s="2">
        <v>12</v>
      </c>
      <c r="J247" s="2">
        <v>166600</v>
      </c>
      <c r="K247" s="2">
        <v>17.940000000000001</v>
      </c>
      <c r="L247" s="2">
        <v>15269</v>
      </c>
      <c r="M247" s="2">
        <v>597130</v>
      </c>
      <c r="N247" s="2">
        <v>699</v>
      </c>
      <c r="O247" s="2" t="s">
        <v>1042</v>
      </c>
      <c r="P247" s="2">
        <v>0.43</v>
      </c>
      <c r="Q247" s="2">
        <v>1.03</v>
      </c>
      <c r="R247" s="2">
        <v>0</v>
      </c>
      <c r="S247" s="2">
        <v>8</v>
      </c>
      <c r="T247" s="2">
        <v>105008</v>
      </c>
      <c r="U247" s="2">
        <v>69562</v>
      </c>
      <c r="V247" s="2">
        <v>0</v>
      </c>
      <c r="W247" s="2">
        <v>0</v>
      </c>
      <c r="X247" s="2">
        <v>0</v>
      </c>
      <c r="Y247" s="2" t="s">
        <v>1049</v>
      </c>
      <c r="Z247" s="12">
        <f>SUMIF(Table1[product],Table1[[#This Row],[product]],Table1[loan_amount])</f>
        <v>74897600</v>
      </c>
      <c r="AA247" s="15">
        <f>SUMIF(Table1[region],Table1[[#This Row],[region]],Table1[current_balance])</f>
        <v>105779369</v>
      </c>
      <c r="AB247" s="2">
        <f>COUNTIF(Table1[loan_status],Table1[[#This Row],[loan_status]])</f>
        <v>301</v>
      </c>
      <c r="AC247" s="2">
        <f>COUNTIF(Table1[default_flag],1)/ROWS(Table1[loan_id])</f>
        <v>2.5999999999999999E-2</v>
      </c>
      <c r="AD247" s="2">
        <f>COUNTIFS(Table1[region],Table1[[#This Row],[region]],Table1[default_flag],1)/COUNTIF(Table1[region],Table1[[#This Row],[region]])</f>
        <v>2.6548672566371681E-2</v>
      </c>
      <c r="AE247" s="2">
        <f>COUNTIFS(Table1[channel],Table1[[#This Row],[channel]],Table1[prepayment_flag],1)/COUNTIF(Table1[channel],Table1[[#This Row],[channel]])</f>
        <v>5.8201058201058198E-2</v>
      </c>
      <c r="AF247" s="2">
        <f>AVERAGEIFS(Table1[interest_rate_pct],Table1[product],Table1[[#This Row],[product]],Table1[risk_band],Table1[[#This Row],[risk_band]])</f>
        <v>18.603181818181817</v>
      </c>
      <c r="AG247" s="2" t="str" cm="1">
        <f t="array" ref="AG247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247" s="2">
        <f>COUNTIF(Table1[DTI band],Table1[[#This Row],[DTI band]])</f>
        <v>260</v>
      </c>
      <c r="AI247" s="2" t="str" cm="1">
        <f t="array" ref="AI247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247" s="2">
        <f>COUNTIF(Table1[LTV band],Table1[[#This Row],[LTV band]])</f>
        <v>141</v>
      </c>
      <c r="AK247" s="19">
        <f>COUNTIFS(Table1[count_loan_perband],Table1[[#This Row],[count_loan_perband]],Table1[default_flag],1)/COUNTIF(Table1[count_loan_perband],Table1[[#This Row],[count_loan_perband]])</f>
        <v>1.4184397163120567E-2</v>
      </c>
      <c r="AL247" s="19" t="str" cm="1">
        <f t="array" ref="AL247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247" s="19">
        <f>IF(Table1[[#This Row],[dpd]] &gt;=30,1,0)</f>
        <v>0</v>
      </c>
      <c r="AN247" s="19">
        <f>COUNTIFS(Table1[Loan size],Table1[[#This Row],[Loan size]],Table1[dpd flag],1)/COUNTIF(Table1[Loan size],Table1[[#This Row],[Loan size]])</f>
        <v>0.13934426229508196</v>
      </c>
      <c r="AO247" s="19" t="str">
        <f>IF(OR(Table1[[#This Row],[credit_score]] &lt; 600, Table1[ [#This Row],[dti_ratio] ] &gt; 0.5, Table1[[#This Row],[dpd]] &gt;=30), "high risk", " not riskY")</f>
        <v xml:space="preserve"> not riskY</v>
      </c>
      <c r="AP247" s="29">
        <f>EOMONTH(Table1[[#This Row],[origination_date]],0)</f>
        <v>45777</v>
      </c>
      <c r="AQ247" s="19">
        <f>SUMIFS(Table1[loan_amount],Table1[origination month],Table1[[#This Row],[origination month]])</f>
        <v>18059300</v>
      </c>
      <c r="AR247" s="19">
        <f>AVERAGEIFS(Table1[months_on_book],Table1[product],Table1[[#This Row],[product]])</f>
        <v>21.092024539877301</v>
      </c>
      <c r="AS247" s="19" t="str">
        <f ca="1">IF(EDATE(Table1[[#This Row],[origination_date]],6) &gt;= TODAY(), "New Loan", "Old Loan")</f>
        <v>Old Loan</v>
      </c>
      <c r="AT247" s="19" t="str">
        <f>"Q"&amp;ROUNDUP(MONTH(Table1[[#This Row],[origination_date]])/3,0)&amp;YEAR(Table1[[#This Row],[origination_date]])</f>
        <v>Q22025</v>
      </c>
      <c r="AU247" s="19">
        <f>SUMIFS(Table1[loan_amount],Table1[quarter],Table1[[#This Row],[quarter]])</f>
        <v>80205600</v>
      </c>
    </row>
    <row r="248" spans="2:47" x14ac:dyDescent="0.2">
      <c r="B248" s="5" t="s">
        <v>514</v>
      </c>
      <c r="C248" s="2" t="s">
        <v>1014</v>
      </c>
      <c r="D248" s="3">
        <v>45768</v>
      </c>
      <c r="E248" s="2" t="s">
        <v>1028</v>
      </c>
      <c r="F248" s="2" t="s">
        <v>1031</v>
      </c>
      <c r="G248" s="2" t="s">
        <v>1037</v>
      </c>
      <c r="H248" s="2" t="s">
        <v>1038</v>
      </c>
      <c r="I248" s="2">
        <v>36</v>
      </c>
      <c r="J248" s="2">
        <v>761700</v>
      </c>
      <c r="K248" s="2">
        <v>15.74</v>
      </c>
      <c r="L248" s="2">
        <v>26681</v>
      </c>
      <c r="M248" s="2">
        <v>1064276</v>
      </c>
      <c r="N248" s="2">
        <v>635</v>
      </c>
      <c r="O248" s="2" t="s">
        <v>1045</v>
      </c>
      <c r="P248" s="2">
        <v>0.42</v>
      </c>
      <c r="Q248" s="2">
        <v>0.45</v>
      </c>
      <c r="R248" s="2">
        <v>0</v>
      </c>
      <c r="S248" s="2">
        <v>8</v>
      </c>
      <c r="T248" s="2">
        <v>214415</v>
      </c>
      <c r="U248" s="2">
        <v>579256</v>
      </c>
      <c r="V248" s="2">
        <v>0</v>
      </c>
      <c r="W248" s="2">
        <v>0</v>
      </c>
      <c r="X248" s="2">
        <v>0</v>
      </c>
      <c r="Y248" s="2" t="s">
        <v>1049</v>
      </c>
      <c r="Z248" s="12">
        <f>SUMIF(Table1[product],Table1[[#This Row],[product]],Table1[loan_amount])</f>
        <v>62765800</v>
      </c>
      <c r="AA248" s="15">
        <f>SUMIF(Table1[region],Table1[[#This Row],[region]],Table1[current_balance])</f>
        <v>94548000</v>
      </c>
      <c r="AB248" s="2">
        <f>COUNTIF(Table1[loan_status],Table1[[#This Row],[loan_status]])</f>
        <v>301</v>
      </c>
      <c r="AC248" s="2">
        <f>COUNTIF(Table1[default_flag],1)/ROWS(Table1[loan_id])</f>
        <v>2.5999999999999999E-2</v>
      </c>
      <c r="AD248" s="2">
        <f>COUNTIFS(Table1[region],Table1[[#This Row],[region]],Table1[default_flag],1)/COUNTIF(Table1[region],Table1[[#This Row],[region]])</f>
        <v>0</v>
      </c>
      <c r="AE248" s="2">
        <f>COUNTIFS(Table1[channel],Table1[[#This Row],[channel]],Table1[prepayment_flag],1)/COUNTIF(Table1[channel],Table1[[#This Row],[channel]])</f>
        <v>0.12</v>
      </c>
      <c r="AF248" s="2">
        <f>AVERAGEIFS(Table1[interest_rate_pct],Table1[product],Table1[[#This Row],[product]],Table1[risk_band],Table1[[#This Row],[risk_band]])</f>
        <v>15.810000000000002</v>
      </c>
      <c r="AG248" s="2" t="str" cm="1">
        <f t="array" ref="AG248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248" s="2">
        <f>COUNTIF(Table1[DTI band],Table1[[#This Row],[DTI band]])</f>
        <v>260</v>
      </c>
      <c r="AI248" s="2" t="str" cm="1">
        <f t="array" ref="AI248">_xlfn.IFS(Table1[[#This Row],[ltv_ratio]] &lt; 0.6, "less than 0.6 -less risky", Table1[[#This Row],[ltv_ratio]]  &lt;= 0.8, "0.6 - 0.8 -medium risky",Table1[[#This Row],[ltv_ratio]] &gt; 0.8, "greater than 0.8 -highly risky")</f>
        <v>less than 0.6 -less risky</v>
      </c>
      <c r="AJ248" s="2">
        <f>COUNTIF(Table1[LTV band],Table1[[#This Row],[LTV band]])</f>
        <v>57</v>
      </c>
      <c r="AK248" s="19">
        <f>COUNTIFS(Table1[count_loan_perband],Table1[[#This Row],[count_loan_perband]],Table1[default_flag],1)/COUNTIF(Table1[count_loan_perband],Table1[[#This Row],[count_loan_perband]])</f>
        <v>0</v>
      </c>
      <c r="AL248" s="19" t="str" cm="1">
        <f t="array" ref="AL248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248" s="19">
        <f>IF(Table1[[#This Row],[dpd]] &gt;=30,1,0)</f>
        <v>0</v>
      </c>
      <c r="AN248" s="19">
        <f>COUNTIFS(Table1[Loan size],Table1[[#This Row],[Loan size]],Table1[dpd flag],1)/COUNTIF(Table1[Loan size],Table1[[#This Row],[Loan size]])</f>
        <v>0.13934426229508196</v>
      </c>
      <c r="AO248" s="19" t="str">
        <f>IF(OR(Table1[[#This Row],[credit_score]] &lt; 600, Table1[ [#This Row],[dti_ratio] ] &gt; 0.5, Table1[[#This Row],[dpd]] &gt;=30), "high risk", " not riskY")</f>
        <v xml:space="preserve"> not riskY</v>
      </c>
      <c r="AP248" s="29">
        <f>EOMONTH(Table1[[#This Row],[origination_date]],0)</f>
        <v>45777</v>
      </c>
      <c r="AQ248" s="19">
        <f>SUMIFS(Table1[loan_amount],Table1[origination month],Table1[[#This Row],[origination month]])</f>
        <v>18059300</v>
      </c>
      <c r="AR248" s="19">
        <f>AVERAGEIFS(Table1[months_on_book],Table1[product],Table1[[#This Row],[product]])</f>
        <v>21.962962962962962</v>
      </c>
      <c r="AS248" s="19" t="str">
        <f ca="1">IF(EDATE(Table1[[#This Row],[origination_date]],6) &gt;= TODAY(), "New Loan", "Old Loan")</f>
        <v>Old Loan</v>
      </c>
      <c r="AT248" s="19" t="str">
        <f>"Q"&amp;ROUNDUP(MONTH(Table1[[#This Row],[origination_date]])/3,0)&amp;YEAR(Table1[[#This Row],[origination_date]])</f>
        <v>Q22025</v>
      </c>
      <c r="AU248" s="19">
        <f>SUMIFS(Table1[loan_amount],Table1[quarter],Table1[[#This Row],[quarter]])</f>
        <v>80205600</v>
      </c>
    </row>
    <row r="249" spans="2:47" x14ac:dyDescent="0.2">
      <c r="B249" s="5" t="s">
        <v>71</v>
      </c>
      <c r="C249" s="2" t="s">
        <v>571</v>
      </c>
      <c r="D249" s="3">
        <v>45759</v>
      </c>
      <c r="E249" s="2" t="s">
        <v>1025</v>
      </c>
      <c r="F249" s="2" t="s">
        <v>1030</v>
      </c>
      <c r="G249" s="2" t="s">
        <v>1035</v>
      </c>
      <c r="H249" s="2" t="s">
        <v>1039</v>
      </c>
      <c r="I249" s="2">
        <v>18</v>
      </c>
      <c r="J249" s="2">
        <v>1864500</v>
      </c>
      <c r="K249" s="2">
        <v>8.52</v>
      </c>
      <c r="L249" s="2">
        <v>110710</v>
      </c>
      <c r="M249" s="2">
        <v>229191</v>
      </c>
      <c r="N249" s="2">
        <v>817</v>
      </c>
      <c r="O249" s="2" t="s">
        <v>1043</v>
      </c>
      <c r="P249" s="2">
        <v>0.41</v>
      </c>
      <c r="Q249" s="2">
        <v>0.63</v>
      </c>
      <c r="R249" s="2">
        <v>2949000</v>
      </c>
      <c r="S249" s="2">
        <v>8</v>
      </c>
      <c r="T249" s="2">
        <v>791054</v>
      </c>
      <c r="U249" s="2">
        <v>1115807</v>
      </c>
      <c r="V249" s="2">
        <v>0</v>
      </c>
      <c r="W249" s="2">
        <v>0</v>
      </c>
      <c r="X249" s="2">
        <v>0</v>
      </c>
      <c r="Y249" s="2" t="s">
        <v>1049</v>
      </c>
      <c r="Z249" s="12">
        <f>SUMIF(Table1[product],Table1[[#This Row],[product]],Table1[loan_amount])</f>
        <v>201475100</v>
      </c>
      <c r="AA249" s="15">
        <f>SUMIF(Table1[region],Table1[[#This Row],[region]],Table1[current_balance])</f>
        <v>83903255</v>
      </c>
      <c r="AB249" s="2">
        <f>COUNTIF(Table1[loan_status],Table1[[#This Row],[loan_status]])</f>
        <v>301</v>
      </c>
      <c r="AC249" s="2">
        <f>COUNTIF(Table1[default_flag],1)/ROWS(Table1[loan_id])</f>
        <v>2.5999999999999999E-2</v>
      </c>
      <c r="AD249" s="2">
        <f>COUNTIFS(Table1[region],Table1[[#This Row],[region]],Table1[default_flag],1)/COUNTIF(Table1[region],Table1[[#This Row],[region]])</f>
        <v>4.2553191489361701E-2</v>
      </c>
      <c r="AE249" s="2">
        <f>COUNTIFS(Table1[channel],Table1[[#This Row],[channel]],Table1[prepayment_flag],1)/COUNTIF(Table1[channel],Table1[[#This Row],[channel]])</f>
        <v>5.8201058201058198E-2</v>
      </c>
      <c r="AF249" s="2">
        <f>AVERAGEIFS(Table1[interest_rate_pct],Table1[product],Table1[[#This Row],[product]],Table1[risk_band],Table1[[#This Row],[risk_band]])</f>
        <v>10.537499999999998</v>
      </c>
      <c r="AG249" s="2" t="str" cm="1">
        <f t="array" ref="AG249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249" s="2">
        <f>COUNTIF(Table1[DTI band],Table1[[#This Row],[DTI band]])</f>
        <v>260</v>
      </c>
      <c r="AI249" s="2" t="str" cm="1">
        <f t="array" ref="AI249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249" s="2">
        <f>COUNTIF(Table1[LTV band],Table1[[#This Row],[LTV band]])</f>
        <v>302</v>
      </c>
      <c r="AK249" s="19">
        <f>COUNTIFS(Table1[count_loan_perband],Table1[[#This Row],[count_loan_perband]],Table1[default_flag],1)/COUNTIF(Table1[count_loan_perband],Table1[[#This Row],[count_loan_perband]])</f>
        <v>3.6423841059602648E-2</v>
      </c>
      <c r="AL249" s="19" t="str" cm="1">
        <f t="array" ref="AL249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249" s="19">
        <f>IF(Table1[[#This Row],[dpd]] &gt;=30,1,0)</f>
        <v>0</v>
      </c>
      <c r="AN249" s="19">
        <f>COUNTIFS(Table1[Loan size],Table1[[#This Row],[Loan size]],Table1[dpd flag],1)/COUNTIF(Table1[Loan size],Table1[[#This Row],[Loan size]])</f>
        <v>0.15909090909090909</v>
      </c>
      <c r="AO249" s="19" t="str">
        <f>IF(OR(Table1[[#This Row],[credit_score]] &lt; 600, Table1[ [#This Row],[dti_ratio] ] &gt; 0.5, Table1[[#This Row],[dpd]] &gt;=30), "high risk", " not riskY")</f>
        <v xml:space="preserve"> not riskY</v>
      </c>
      <c r="AP249" s="29">
        <f>EOMONTH(Table1[[#This Row],[origination_date]],0)</f>
        <v>45777</v>
      </c>
      <c r="AQ249" s="19">
        <f>SUMIFS(Table1[loan_amount],Table1[origination month],Table1[[#This Row],[origination month]])</f>
        <v>18059300</v>
      </c>
      <c r="AR249" s="19">
        <f>AVERAGEIFS(Table1[months_on_book],Table1[product],Table1[[#This Row],[product]])</f>
        <v>19.091954022988507</v>
      </c>
      <c r="AS249" s="19" t="str">
        <f ca="1">IF(EDATE(Table1[[#This Row],[origination_date]],6) &gt;= TODAY(), "New Loan", "Old Loan")</f>
        <v>Old Loan</v>
      </c>
      <c r="AT249" s="19" t="str">
        <f>"Q"&amp;ROUNDUP(MONTH(Table1[[#This Row],[origination_date]])/3,0)&amp;YEAR(Table1[[#This Row],[origination_date]])</f>
        <v>Q22025</v>
      </c>
      <c r="AU249" s="19">
        <f>SUMIFS(Table1[loan_amount],Table1[quarter],Table1[[#This Row],[quarter]])</f>
        <v>80205600</v>
      </c>
    </row>
    <row r="250" spans="2:47" x14ac:dyDescent="0.2">
      <c r="B250" s="5" t="s">
        <v>293</v>
      </c>
      <c r="C250" s="2" t="s">
        <v>793</v>
      </c>
      <c r="D250" s="3">
        <v>45783</v>
      </c>
      <c r="E250" s="2" t="s">
        <v>1025</v>
      </c>
      <c r="F250" s="2" t="s">
        <v>1032</v>
      </c>
      <c r="G250" s="2" t="s">
        <v>1034</v>
      </c>
      <c r="H250" s="2" t="s">
        <v>1038</v>
      </c>
      <c r="I250" s="2">
        <v>84</v>
      </c>
      <c r="J250" s="2">
        <v>3717200</v>
      </c>
      <c r="K250" s="2">
        <v>12.36</v>
      </c>
      <c r="L250" s="2">
        <v>66337</v>
      </c>
      <c r="M250" s="2">
        <v>1695547</v>
      </c>
      <c r="N250" s="2">
        <v>746</v>
      </c>
      <c r="O250" s="2" t="s">
        <v>1044</v>
      </c>
      <c r="P250" s="2">
        <v>0.41</v>
      </c>
      <c r="Q250" s="2">
        <v>0.71</v>
      </c>
      <c r="R250" s="2">
        <v>5224800</v>
      </c>
      <c r="S250" s="2">
        <v>7</v>
      </c>
      <c r="T250" s="2">
        <v>404213</v>
      </c>
      <c r="U250" s="2">
        <v>3420191</v>
      </c>
      <c r="V250" s="2">
        <v>5</v>
      </c>
      <c r="W250" s="2">
        <v>0</v>
      </c>
      <c r="X250" s="2">
        <v>0</v>
      </c>
      <c r="Y250" s="2" t="s">
        <v>1049</v>
      </c>
      <c r="Z250" s="12">
        <f>SUMIF(Table1[product],Table1[[#This Row],[product]],Table1[loan_amount])</f>
        <v>201475100</v>
      </c>
      <c r="AA250" s="15">
        <f>SUMIF(Table1[region],Table1[[#This Row],[region]],Table1[current_balance])</f>
        <v>105779369</v>
      </c>
      <c r="AB250" s="2">
        <f>COUNTIF(Table1[loan_status],Table1[[#This Row],[loan_status]])</f>
        <v>301</v>
      </c>
      <c r="AC250" s="2">
        <f>COUNTIF(Table1[default_flag],1)/ROWS(Table1[loan_id])</f>
        <v>2.5999999999999999E-2</v>
      </c>
      <c r="AD250" s="2">
        <f>COUNTIFS(Table1[region],Table1[[#This Row],[region]],Table1[default_flag],1)/COUNTIF(Table1[region],Table1[[#This Row],[region]])</f>
        <v>2.6548672566371681E-2</v>
      </c>
      <c r="AE250" s="2">
        <f>COUNTIFS(Table1[channel],Table1[[#This Row],[channel]],Table1[prepayment_flag],1)/COUNTIF(Table1[channel],Table1[[#This Row],[channel]])</f>
        <v>0.1</v>
      </c>
      <c r="AF250" s="2">
        <f>AVERAGEIFS(Table1[interest_rate_pct],Table1[product],Table1[[#This Row],[product]],Table1[risk_band],Table1[[#This Row],[risk_band]])</f>
        <v>13.042631578947367</v>
      </c>
      <c r="AG250" s="2" t="str" cm="1">
        <f t="array" ref="AG250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250" s="2">
        <f>COUNTIF(Table1[DTI band],Table1[[#This Row],[DTI band]])</f>
        <v>260</v>
      </c>
      <c r="AI250" s="2" t="str" cm="1">
        <f t="array" ref="AI250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250" s="2">
        <f>COUNTIF(Table1[LTV band],Table1[[#This Row],[LTV band]])</f>
        <v>302</v>
      </c>
      <c r="AK250" s="19">
        <f>COUNTIFS(Table1[count_loan_perband],Table1[[#This Row],[count_loan_perband]],Table1[default_flag],1)/COUNTIF(Table1[count_loan_perband],Table1[[#This Row],[count_loan_perband]])</f>
        <v>3.6423841059602648E-2</v>
      </c>
      <c r="AL250" s="19" t="str" cm="1">
        <f t="array" ref="AL250">_xlfn.IFS(Table1[[#This Row],[loan_amount]] &lt; 900000, "lower size (&lt; 9L)", Table1[[#This Row],[loan_amount]] &lt;=3300000, "medium size (&lt;=33L)", Table1[[#This Row],[loan_amount]] &gt; 3300000, "larger size (&gt; 33L)")</f>
        <v>larger size (&gt; 33L)</v>
      </c>
      <c r="AM250" s="19">
        <f>IF(Table1[[#This Row],[dpd]] &gt;=30,1,0)</f>
        <v>0</v>
      </c>
      <c r="AN250" s="19">
        <f>COUNTIFS(Table1[Loan size],Table1[[#This Row],[Loan size]],Table1[dpd flag],1)/COUNTIF(Table1[Loan size],Table1[[#This Row],[Loan size]])</f>
        <v>0.16250000000000001</v>
      </c>
      <c r="AO250" s="19" t="str">
        <f>IF(OR(Table1[[#This Row],[credit_score]] &lt; 600, Table1[ [#This Row],[dti_ratio] ] &gt; 0.5, Table1[[#This Row],[dpd]] &gt;=30), "high risk", " not riskY")</f>
        <v xml:space="preserve"> not riskY</v>
      </c>
      <c r="AP250" s="29">
        <f>EOMONTH(Table1[[#This Row],[origination_date]],0)</f>
        <v>45808</v>
      </c>
      <c r="AQ250" s="19">
        <f>SUMIFS(Table1[loan_amount],Table1[origination month],Table1[[#This Row],[origination month]])</f>
        <v>36698200</v>
      </c>
      <c r="AR250" s="19">
        <f>AVERAGEIFS(Table1[months_on_book],Table1[product],Table1[[#This Row],[product]])</f>
        <v>19.091954022988507</v>
      </c>
      <c r="AS250" s="19" t="str">
        <f ca="1">IF(EDATE(Table1[[#This Row],[origination_date]],6) &gt;= TODAY(), "New Loan", "Old Loan")</f>
        <v>Old Loan</v>
      </c>
      <c r="AT250" s="19" t="str">
        <f>"Q"&amp;ROUNDUP(MONTH(Table1[[#This Row],[origination_date]])/3,0)&amp;YEAR(Table1[[#This Row],[origination_date]])</f>
        <v>Q22025</v>
      </c>
      <c r="AU250" s="19">
        <f>SUMIFS(Table1[loan_amount],Table1[quarter],Table1[[#This Row],[quarter]])</f>
        <v>80205600</v>
      </c>
    </row>
    <row r="251" spans="2:47" x14ac:dyDescent="0.2">
      <c r="B251" s="5" t="s">
        <v>297</v>
      </c>
      <c r="C251" s="2" t="s">
        <v>797</v>
      </c>
      <c r="D251" s="3">
        <v>45781</v>
      </c>
      <c r="E251" s="2" t="s">
        <v>1024</v>
      </c>
      <c r="F251" s="2" t="s">
        <v>1029</v>
      </c>
      <c r="G251" s="2" t="s">
        <v>1036</v>
      </c>
      <c r="H251" s="2" t="s">
        <v>1038</v>
      </c>
      <c r="I251" s="2">
        <v>24</v>
      </c>
      <c r="J251" s="2">
        <v>1439100</v>
      </c>
      <c r="K251" s="2">
        <v>8.7799999999999994</v>
      </c>
      <c r="L251" s="2">
        <v>65600</v>
      </c>
      <c r="M251" s="2">
        <v>939856</v>
      </c>
      <c r="N251" s="2">
        <v>753</v>
      </c>
      <c r="O251" s="2" t="s">
        <v>1043</v>
      </c>
      <c r="P251" s="2">
        <v>0.41</v>
      </c>
      <c r="Q251" s="2">
        <v>0.5</v>
      </c>
      <c r="R251" s="2">
        <v>2871000</v>
      </c>
      <c r="S251" s="2">
        <v>7</v>
      </c>
      <c r="T251" s="2">
        <v>438942</v>
      </c>
      <c r="U251" s="2">
        <v>1029640</v>
      </c>
      <c r="V251" s="2">
        <v>0</v>
      </c>
      <c r="W251" s="2">
        <v>1</v>
      </c>
      <c r="X251" s="2">
        <v>0</v>
      </c>
      <c r="Y251" s="2" t="s">
        <v>1047</v>
      </c>
      <c r="Z251" s="12">
        <f>SUMIF(Table1[product],Table1[[#This Row],[product]],Table1[loan_amount])</f>
        <v>92273000</v>
      </c>
      <c r="AA251" s="15">
        <f>SUMIF(Table1[region],Table1[[#This Row],[region]],Table1[current_balance])</f>
        <v>98928695</v>
      </c>
      <c r="AB251" s="2">
        <f>COUNTIF(Table1[loan_status],Table1[[#This Row],[loan_status]])</f>
        <v>139</v>
      </c>
      <c r="AC251" s="2">
        <f>COUNTIF(Table1[default_flag],1)/ROWS(Table1[loan_id])</f>
        <v>2.5999999999999999E-2</v>
      </c>
      <c r="AD251" s="2">
        <f>COUNTIFS(Table1[region],Table1[[#This Row],[region]],Table1[default_flag],1)/COUNTIF(Table1[region],Table1[[#This Row],[region]])</f>
        <v>2.8571428571428571E-2</v>
      </c>
      <c r="AE251" s="2">
        <f>COUNTIFS(Table1[channel],Table1[[#This Row],[channel]],Table1[prepayment_flag],1)/COUNTIF(Table1[channel],Table1[[#This Row],[channel]])</f>
        <v>7.1090047393364927E-2</v>
      </c>
      <c r="AF251" s="2">
        <f>AVERAGEIFS(Table1[interest_rate_pct],Table1[product],Table1[[#This Row],[product]],Table1[risk_band],Table1[[#This Row],[risk_band]])</f>
        <v>7.9444999999999997</v>
      </c>
      <c r="AG251" s="2" t="str" cm="1">
        <f t="array" ref="AG251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251" s="2">
        <f>COUNTIF(Table1[DTI band],Table1[[#This Row],[DTI band]])</f>
        <v>260</v>
      </c>
      <c r="AI251" s="2" t="str" cm="1">
        <f t="array" ref="AI251">_xlfn.IFS(Table1[[#This Row],[ltv_ratio]] &lt; 0.6, "less than 0.6 -less risky", Table1[[#This Row],[ltv_ratio]]  &lt;= 0.8, "0.6 - 0.8 -medium risky",Table1[[#This Row],[ltv_ratio]] &gt; 0.8, "greater than 0.8 -highly risky")</f>
        <v>less than 0.6 -less risky</v>
      </c>
      <c r="AJ251" s="2">
        <f>COUNTIF(Table1[LTV band],Table1[[#This Row],[LTV band]])</f>
        <v>57</v>
      </c>
      <c r="AK251" s="19">
        <f>COUNTIFS(Table1[count_loan_perband],Table1[[#This Row],[count_loan_perband]],Table1[default_flag],1)/COUNTIF(Table1[count_loan_perband],Table1[[#This Row],[count_loan_perband]])</f>
        <v>0</v>
      </c>
      <c r="AL251" s="19" t="str" cm="1">
        <f t="array" ref="AL251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251" s="19">
        <f>IF(Table1[[#This Row],[dpd]] &gt;=30,1,0)</f>
        <v>0</v>
      </c>
      <c r="AN251" s="19">
        <f>COUNTIFS(Table1[Loan size],Table1[[#This Row],[Loan size]],Table1[dpd flag],1)/COUNTIF(Table1[Loan size],Table1[[#This Row],[Loan size]])</f>
        <v>0.15909090909090909</v>
      </c>
      <c r="AO251" s="19" t="str">
        <f>IF(OR(Table1[[#This Row],[credit_score]] &lt; 600, Table1[ [#This Row],[dti_ratio] ] &gt; 0.5, Table1[[#This Row],[dpd]] &gt;=30), "high risk", " not riskY")</f>
        <v xml:space="preserve"> not riskY</v>
      </c>
      <c r="AP251" s="29">
        <f>EOMONTH(Table1[[#This Row],[origination_date]],0)</f>
        <v>45808</v>
      </c>
      <c r="AQ251" s="19">
        <f>SUMIFS(Table1[loan_amount],Table1[origination month],Table1[[#This Row],[origination month]])</f>
        <v>36698200</v>
      </c>
      <c r="AR251" s="19">
        <f>AVERAGEIFS(Table1[months_on_book],Table1[product],Table1[[#This Row],[product]])</f>
        <v>20.262135922330096</v>
      </c>
      <c r="AS251" s="19" t="str">
        <f ca="1">IF(EDATE(Table1[[#This Row],[origination_date]],6) &gt;= TODAY(), "New Loan", "Old Loan")</f>
        <v>Old Loan</v>
      </c>
      <c r="AT251" s="19" t="str">
        <f>"Q"&amp;ROUNDUP(MONTH(Table1[[#This Row],[origination_date]])/3,0)&amp;YEAR(Table1[[#This Row],[origination_date]])</f>
        <v>Q22025</v>
      </c>
      <c r="AU251" s="19">
        <f>SUMIFS(Table1[loan_amount],Table1[quarter],Table1[[#This Row],[quarter]])</f>
        <v>80205600</v>
      </c>
    </row>
    <row r="252" spans="2:47" x14ac:dyDescent="0.2">
      <c r="B252" s="5" t="s">
        <v>351</v>
      </c>
      <c r="C252" s="2" t="s">
        <v>851</v>
      </c>
      <c r="D252" s="3">
        <v>45791</v>
      </c>
      <c r="E252" s="2" t="s">
        <v>1024</v>
      </c>
      <c r="F252" s="2" t="s">
        <v>1029</v>
      </c>
      <c r="G252" s="2" t="s">
        <v>1035</v>
      </c>
      <c r="H252" s="2" t="s">
        <v>1040</v>
      </c>
      <c r="I252" s="2">
        <v>360</v>
      </c>
      <c r="J252" s="2">
        <v>736600</v>
      </c>
      <c r="K252" s="2">
        <v>16.23</v>
      </c>
      <c r="L252" s="2">
        <v>10042</v>
      </c>
      <c r="M252" s="2">
        <v>452176</v>
      </c>
      <c r="N252" s="2">
        <v>598</v>
      </c>
      <c r="O252" s="2" t="s">
        <v>1046</v>
      </c>
      <c r="P252" s="2">
        <v>0.41</v>
      </c>
      <c r="Q252" s="2">
        <v>0.87</v>
      </c>
      <c r="R252" s="2">
        <v>846300</v>
      </c>
      <c r="S252" s="2">
        <v>7</v>
      </c>
      <c r="T252" s="2">
        <v>67496</v>
      </c>
      <c r="U252" s="2">
        <v>696999</v>
      </c>
      <c r="V252" s="2">
        <v>0</v>
      </c>
      <c r="W252" s="2">
        <v>0</v>
      </c>
      <c r="X252" s="2">
        <v>0</v>
      </c>
      <c r="Y252" s="2" t="s">
        <v>1049</v>
      </c>
      <c r="Z252" s="12">
        <f>SUMIF(Table1[product],Table1[[#This Row],[product]],Table1[loan_amount])</f>
        <v>92273000</v>
      </c>
      <c r="AA252" s="15">
        <f>SUMIF(Table1[region],Table1[[#This Row],[region]],Table1[current_balance])</f>
        <v>83903255</v>
      </c>
      <c r="AB252" s="2">
        <f>COUNTIF(Table1[loan_status],Table1[[#This Row],[loan_status]])</f>
        <v>301</v>
      </c>
      <c r="AC252" s="2">
        <f>COUNTIF(Table1[default_flag],1)/ROWS(Table1[loan_id])</f>
        <v>2.5999999999999999E-2</v>
      </c>
      <c r="AD252" s="2">
        <f>COUNTIFS(Table1[region],Table1[[#This Row],[region]],Table1[default_flag],1)/COUNTIF(Table1[region],Table1[[#This Row],[region]])</f>
        <v>4.2553191489361701E-2</v>
      </c>
      <c r="AE252" s="2">
        <f>COUNTIFS(Table1[channel],Table1[[#This Row],[channel]],Table1[prepayment_flag],1)/COUNTIF(Table1[channel],Table1[[#This Row],[channel]])</f>
        <v>7.1090047393364927E-2</v>
      </c>
      <c r="AF252" s="2">
        <f>AVERAGEIFS(Table1[interest_rate_pct],Table1[product],Table1[[#This Row],[product]],Table1[risk_band],Table1[[#This Row],[risk_band]])</f>
        <v>17.744166666666668</v>
      </c>
      <c r="AG252" s="2" t="str" cm="1">
        <f t="array" ref="AG252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252" s="2">
        <f>COUNTIF(Table1[DTI band],Table1[[#This Row],[DTI band]])</f>
        <v>260</v>
      </c>
      <c r="AI252" s="2" t="str" cm="1">
        <f t="array" ref="AI252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252" s="2">
        <f>COUNTIF(Table1[LTV band],Table1[[#This Row],[LTV band]])</f>
        <v>141</v>
      </c>
      <c r="AK252" s="19">
        <f>COUNTIFS(Table1[count_loan_perband],Table1[[#This Row],[count_loan_perband]],Table1[default_flag],1)/COUNTIF(Table1[count_loan_perband],Table1[[#This Row],[count_loan_perband]])</f>
        <v>1.4184397163120567E-2</v>
      </c>
      <c r="AL252" s="19" t="str" cm="1">
        <f t="array" ref="AL252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252" s="19">
        <f>IF(Table1[[#This Row],[dpd]] &gt;=30,1,0)</f>
        <v>0</v>
      </c>
      <c r="AN252" s="19">
        <f>COUNTIFS(Table1[Loan size],Table1[[#This Row],[Loan size]],Table1[dpd flag],1)/COUNTIF(Table1[Loan size],Table1[[#This Row],[Loan size]])</f>
        <v>0.13934426229508196</v>
      </c>
      <c r="AO252" s="19" t="str">
        <f>IF(OR(Table1[[#This Row],[credit_score]] &lt; 600, Table1[ [#This Row],[dti_ratio] ] &gt; 0.5, Table1[[#This Row],[dpd]] &gt;=30), "high risk", " not riskY")</f>
        <v>high risk</v>
      </c>
      <c r="AP252" s="29">
        <f>EOMONTH(Table1[[#This Row],[origination_date]],0)</f>
        <v>45808</v>
      </c>
      <c r="AQ252" s="19">
        <f>SUMIFS(Table1[loan_amount],Table1[origination month],Table1[[#This Row],[origination month]])</f>
        <v>36698200</v>
      </c>
      <c r="AR252" s="19">
        <f>AVERAGEIFS(Table1[months_on_book],Table1[product],Table1[[#This Row],[product]])</f>
        <v>20.262135922330096</v>
      </c>
      <c r="AS252" s="19" t="str">
        <f ca="1">IF(EDATE(Table1[[#This Row],[origination_date]],6) &gt;= TODAY(), "New Loan", "Old Loan")</f>
        <v>Old Loan</v>
      </c>
      <c r="AT252" s="19" t="str">
        <f>"Q"&amp;ROUNDUP(MONTH(Table1[[#This Row],[origination_date]])/3,0)&amp;YEAR(Table1[[#This Row],[origination_date]])</f>
        <v>Q22025</v>
      </c>
      <c r="AU252" s="19">
        <f>SUMIFS(Table1[loan_amount],Table1[quarter],Table1[[#This Row],[quarter]])</f>
        <v>80205600</v>
      </c>
    </row>
    <row r="253" spans="2:47" x14ac:dyDescent="0.2">
      <c r="B253" s="5" t="s">
        <v>40</v>
      </c>
      <c r="C253" s="2" t="s">
        <v>540</v>
      </c>
      <c r="D253" s="3">
        <v>45764</v>
      </c>
      <c r="E253" s="2" t="s">
        <v>1027</v>
      </c>
      <c r="F253" s="2" t="s">
        <v>1029</v>
      </c>
      <c r="G253" s="2" t="s">
        <v>1033</v>
      </c>
      <c r="H253" s="2" t="s">
        <v>1039</v>
      </c>
      <c r="I253" s="2">
        <v>24</v>
      </c>
      <c r="J253" s="2">
        <v>3007300</v>
      </c>
      <c r="K253" s="2">
        <v>11.12</v>
      </c>
      <c r="L253" s="2">
        <v>140331</v>
      </c>
      <c r="M253" s="2">
        <v>797309</v>
      </c>
      <c r="N253" s="2">
        <v>666</v>
      </c>
      <c r="O253" s="2" t="s">
        <v>1042</v>
      </c>
      <c r="P253" s="2">
        <v>0.4</v>
      </c>
      <c r="Q253" s="2">
        <v>0.61</v>
      </c>
      <c r="R253" s="2">
        <v>4951400</v>
      </c>
      <c r="S253" s="2">
        <v>8</v>
      </c>
      <c r="T253" s="2">
        <v>1038248</v>
      </c>
      <c r="U253" s="2">
        <v>2058228</v>
      </c>
      <c r="V253" s="2">
        <v>30</v>
      </c>
      <c r="W253" s="2">
        <v>0</v>
      </c>
      <c r="X253" s="2">
        <v>0</v>
      </c>
      <c r="Y253" s="2" t="s">
        <v>1048</v>
      </c>
      <c r="Z253" s="12">
        <f>SUMIF(Table1[product],Table1[[#This Row],[product]],Table1[loan_amount])</f>
        <v>403369500</v>
      </c>
      <c r="AA253" s="15">
        <f>SUMIF(Table1[region],Table1[[#This Row],[region]],Table1[current_balance])</f>
        <v>83297251</v>
      </c>
      <c r="AB253" s="2">
        <f>COUNTIF(Table1[loan_status],Table1[[#This Row],[loan_status]])</f>
        <v>47</v>
      </c>
      <c r="AC253" s="2">
        <f>COUNTIF(Table1[default_flag],1)/ROWS(Table1[loan_id])</f>
        <v>2.5999999999999999E-2</v>
      </c>
      <c r="AD253" s="2">
        <f>COUNTIFS(Table1[region],Table1[[#This Row],[region]],Table1[default_flag],1)/COUNTIF(Table1[region],Table1[[#This Row],[region]])</f>
        <v>3.1914893617021274E-2</v>
      </c>
      <c r="AE253" s="2">
        <f>COUNTIFS(Table1[channel],Table1[[#This Row],[channel]],Table1[prepayment_flag],1)/COUNTIF(Table1[channel],Table1[[#This Row],[channel]])</f>
        <v>7.1090047393364927E-2</v>
      </c>
      <c r="AF253" s="2">
        <f>AVERAGEIFS(Table1[interest_rate_pct],Table1[product],Table1[[#This Row],[product]],Table1[risk_band],Table1[[#This Row],[risk_band]])</f>
        <v>11.719736842105268</v>
      </c>
      <c r="AG253" s="2" t="str" cm="1">
        <f t="array" ref="AG253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253" s="2">
        <f>COUNTIF(Table1[DTI band],Table1[[#This Row],[DTI band]])</f>
        <v>260</v>
      </c>
      <c r="AI253" s="2" t="str" cm="1">
        <f t="array" ref="AI253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253" s="2">
        <f>COUNTIF(Table1[LTV band],Table1[[#This Row],[LTV band]])</f>
        <v>302</v>
      </c>
      <c r="AK253" s="19">
        <f>COUNTIFS(Table1[count_loan_perband],Table1[[#This Row],[count_loan_perband]],Table1[default_flag],1)/COUNTIF(Table1[count_loan_perband],Table1[[#This Row],[count_loan_perband]])</f>
        <v>3.6423841059602648E-2</v>
      </c>
      <c r="AL253" s="19" t="str" cm="1">
        <f t="array" ref="AL253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253" s="19">
        <f>IF(Table1[[#This Row],[dpd]] &gt;=30,1,0)</f>
        <v>1</v>
      </c>
      <c r="AN253" s="19">
        <f>COUNTIFS(Table1[Loan size],Table1[[#This Row],[Loan size]],Table1[dpd flag],1)/COUNTIF(Table1[Loan size],Table1[[#This Row],[Loan size]])</f>
        <v>0.15909090909090909</v>
      </c>
      <c r="AO253" s="19" t="str">
        <f>IF(OR(Table1[[#This Row],[credit_score]] &lt; 600, Table1[ [#This Row],[dti_ratio] ] &gt; 0.5, Table1[[#This Row],[dpd]] &gt;=30), "high risk", " not riskY")</f>
        <v>high risk</v>
      </c>
      <c r="AP253" s="29">
        <f>EOMONTH(Table1[[#This Row],[origination_date]],0)</f>
        <v>45777</v>
      </c>
      <c r="AQ253" s="19">
        <f>SUMIFS(Table1[loan_amount],Table1[origination month],Table1[[#This Row],[origination month]])</f>
        <v>18059300</v>
      </c>
      <c r="AR253" s="19">
        <f>AVERAGEIFS(Table1[months_on_book],Table1[product],Table1[[#This Row],[product]])</f>
        <v>20.516129032258064</v>
      </c>
      <c r="AS253" s="19" t="str">
        <f ca="1">IF(EDATE(Table1[[#This Row],[origination_date]],6) &gt;= TODAY(), "New Loan", "Old Loan")</f>
        <v>Old Loan</v>
      </c>
      <c r="AT253" s="19" t="str">
        <f>"Q"&amp;ROUNDUP(MONTH(Table1[[#This Row],[origination_date]])/3,0)&amp;YEAR(Table1[[#This Row],[origination_date]])</f>
        <v>Q22025</v>
      </c>
      <c r="AU253" s="19">
        <f>SUMIFS(Table1[loan_amount],Table1[quarter],Table1[[#This Row],[quarter]])</f>
        <v>80205600</v>
      </c>
    </row>
    <row r="254" spans="2:47" x14ac:dyDescent="0.2">
      <c r="B254" s="5" t="s">
        <v>333</v>
      </c>
      <c r="C254" s="2" t="s">
        <v>833</v>
      </c>
      <c r="D254" s="3">
        <v>45764</v>
      </c>
      <c r="E254" s="2" t="s">
        <v>1024</v>
      </c>
      <c r="F254" s="2" t="s">
        <v>1031</v>
      </c>
      <c r="G254" s="2" t="s">
        <v>1037</v>
      </c>
      <c r="H254" s="2" t="s">
        <v>1041</v>
      </c>
      <c r="I254" s="2">
        <v>360</v>
      </c>
      <c r="J254" s="2">
        <v>433100</v>
      </c>
      <c r="K254" s="2">
        <v>7</v>
      </c>
      <c r="L254" s="2">
        <v>2881</v>
      </c>
      <c r="M254" s="2">
        <v>266634</v>
      </c>
      <c r="N254" s="2">
        <v>825</v>
      </c>
      <c r="O254" s="2" t="s">
        <v>1043</v>
      </c>
      <c r="P254" s="2">
        <v>0.38</v>
      </c>
      <c r="Q254" s="2">
        <v>0.73</v>
      </c>
      <c r="R254" s="2">
        <v>595100</v>
      </c>
      <c r="S254" s="2">
        <v>8</v>
      </c>
      <c r="T254" s="2">
        <v>21254</v>
      </c>
      <c r="U254" s="2">
        <v>419931</v>
      </c>
      <c r="V254" s="2">
        <v>0</v>
      </c>
      <c r="W254" s="2">
        <v>0</v>
      </c>
      <c r="X254" s="2">
        <v>0</v>
      </c>
      <c r="Y254" s="2" t="s">
        <v>1049</v>
      </c>
      <c r="Z254" s="12">
        <f>SUMIF(Table1[product],Table1[[#This Row],[product]],Table1[loan_amount])</f>
        <v>92273000</v>
      </c>
      <c r="AA254" s="15">
        <f>SUMIF(Table1[region],Table1[[#This Row],[region]],Table1[current_balance])</f>
        <v>94548000</v>
      </c>
      <c r="AB254" s="2">
        <f>COUNTIF(Table1[loan_status],Table1[[#This Row],[loan_status]])</f>
        <v>301</v>
      </c>
      <c r="AC254" s="2">
        <f>COUNTIF(Table1[default_flag],1)/ROWS(Table1[loan_id])</f>
        <v>2.5999999999999999E-2</v>
      </c>
      <c r="AD254" s="2">
        <f>COUNTIFS(Table1[region],Table1[[#This Row],[region]],Table1[default_flag],1)/COUNTIF(Table1[region],Table1[[#This Row],[region]])</f>
        <v>0</v>
      </c>
      <c r="AE254" s="2">
        <f>COUNTIFS(Table1[channel],Table1[[#This Row],[channel]],Table1[prepayment_flag],1)/COUNTIF(Table1[channel],Table1[[#This Row],[channel]])</f>
        <v>0.12</v>
      </c>
      <c r="AF254" s="2">
        <f>AVERAGEIFS(Table1[interest_rate_pct],Table1[product],Table1[[#This Row],[product]],Table1[risk_band],Table1[[#This Row],[risk_band]])</f>
        <v>7.9444999999999997</v>
      </c>
      <c r="AG254" s="2" t="str" cm="1">
        <f t="array" ref="AG254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254" s="2">
        <f>COUNTIF(Table1[DTI band],Table1[[#This Row],[DTI band]])</f>
        <v>260</v>
      </c>
      <c r="AI254" s="2" t="str" cm="1">
        <f t="array" ref="AI254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254" s="2">
        <f>COUNTIF(Table1[LTV band],Table1[[#This Row],[LTV band]])</f>
        <v>302</v>
      </c>
      <c r="AK254" s="19">
        <f>COUNTIFS(Table1[count_loan_perband],Table1[[#This Row],[count_loan_perband]],Table1[default_flag],1)/COUNTIF(Table1[count_loan_perband],Table1[[#This Row],[count_loan_perband]])</f>
        <v>3.6423841059602648E-2</v>
      </c>
      <c r="AL254" s="19" t="str" cm="1">
        <f t="array" ref="AL254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254" s="19">
        <f>IF(Table1[[#This Row],[dpd]] &gt;=30,1,0)</f>
        <v>0</v>
      </c>
      <c r="AN254" s="19">
        <f>COUNTIFS(Table1[Loan size],Table1[[#This Row],[Loan size]],Table1[dpd flag],1)/COUNTIF(Table1[Loan size],Table1[[#This Row],[Loan size]])</f>
        <v>0.13934426229508196</v>
      </c>
      <c r="AO254" s="19" t="str">
        <f>IF(OR(Table1[[#This Row],[credit_score]] &lt; 600, Table1[ [#This Row],[dti_ratio] ] &gt; 0.5, Table1[[#This Row],[dpd]] &gt;=30), "high risk", " not riskY")</f>
        <v xml:space="preserve"> not riskY</v>
      </c>
      <c r="AP254" s="29">
        <f>EOMONTH(Table1[[#This Row],[origination_date]],0)</f>
        <v>45777</v>
      </c>
      <c r="AQ254" s="19">
        <f>SUMIFS(Table1[loan_amount],Table1[origination month],Table1[[#This Row],[origination month]])</f>
        <v>18059300</v>
      </c>
      <c r="AR254" s="19">
        <f>AVERAGEIFS(Table1[months_on_book],Table1[product],Table1[[#This Row],[product]])</f>
        <v>20.262135922330096</v>
      </c>
      <c r="AS254" s="19" t="str">
        <f ca="1">IF(EDATE(Table1[[#This Row],[origination_date]],6) &gt;= TODAY(), "New Loan", "Old Loan")</f>
        <v>Old Loan</v>
      </c>
      <c r="AT254" s="19" t="str">
        <f>"Q"&amp;ROUNDUP(MONTH(Table1[[#This Row],[origination_date]])/3,0)&amp;YEAR(Table1[[#This Row],[origination_date]])</f>
        <v>Q22025</v>
      </c>
      <c r="AU254" s="19">
        <f>SUMIFS(Table1[loan_amount],Table1[quarter],Table1[[#This Row],[quarter]])</f>
        <v>80205600</v>
      </c>
    </row>
    <row r="255" spans="2:47" x14ac:dyDescent="0.2">
      <c r="B255" s="5" t="s">
        <v>220</v>
      </c>
      <c r="C255" s="2" t="s">
        <v>720</v>
      </c>
      <c r="D255" s="3">
        <v>45780</v>
      </c>
      <c r="E255" s="2" t="s">
        <v>1025</v>
      </c>
      <c r="F255" s="2" t="s">
        <v>1030</v>
      </c>
      <c r="G255" s="2" t="s">
        <v>1037</v>
      </c>
      <c r="H255" s="2" t="s">
        <v>1041</v>
      </c>
      <c r="I255" s="2">
        <v>24</v>
      </c>
      <c r="J255" s="2">
        <v>2782200</v>
      </c>
      <c r="K255" s="2">
        <v>17.170000000000002</v>
      </c>
      <c r="L255" s="2">
        <v>137786</v>
      </c>
      <c r="M255" s="2">
        <v>1149549</v>
      </c>
      <c r="N255" s="2">
        <v>639</v>
      </c>
      <c r="O255" s="2" t="s">
        <v>1045</v>
      </c>
      <c r="P255" s="2">
        <v>0.37</v>
      </c>
      <c r="Q255" s="2">
        <v>0.59</v>
      </c>
      <c r="R255" s="2">
        <v>4748200</v>
      </c>
      <c r="S255" s="2">
        <v>7</v>
      </c>
      <c r="T255" s="2">
        <v>935698</v>
      </c>
      <c r="U255" s="2">
        <v>1957966</v>
      </c>
      <c r="V255" s="2">
        <v>0</v>
      </c>
      <c r="W255" s="2">
        <v>0</v>
      </c>
      <c r="X255" s="2">
        <v>0</v>
      </c>
      <c r="Y255" s="2" t="s">
        <v>1049</v>
      </c>
      <c r="Z255" s="12">
        <f>SUMIF(Table1[product],Table1[[#This Row],[product]],Table1[loan_amount])</f>
        <v>201475100</v>
      </c>
      <c r="AA255" s="15">
        <f>SUMIF(Table1[region],Table1[[#This Row],[region]],Table1[current_balance])</f>
        <v>94548000</v>
      </c>
      <c r="AB255" s="2">
        <f>COUNTIF(Table1[loan_status],Table1[[#This Row],[loan_status]])</f>
        <v>301</v>
      </c>
      <c r="AC255" s="2">
        <f>COUNTIF(Table1[default_flag],1)/ROWS(Table1[loan_id])</f>
        <v>2.5999999999999999E-2</v>
      </c>
      <c r="AD255" s="2">
        <f>COUNTIFS(Table1[region],Table1[[#This Row],[region]],Table1[default_flag],1)/COUNTIF(Table1[region],Table1[[#This Row],[region]])</f>
        <v>0</v>
      </c>
      <c r="AE255" s="2">
        <f>COUNTIFS(Table1[channel],Table1[[#This Row],[channel]],Table1[prepayment_flag],1)/COUNTIF(Table1[channel],Table1[[#This Row],[channel]])</f>
        <v>5.8201058201058198E-2</v>
      </c>
      <c r="AF255" s="2">
        <f>AVERAGEIFS(Table1[interest_rate_pct],Table1[product],Table1[[#This Row],[product]],Table1[risk_band],Table1[[#This Row],[risk_band]])</f>
        <v>18.241249999999997</v>
      </c>
      <c r="AG255" s="2" t="str" cm="1">
        <f t="array" ref="AG255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255" s="2">
        <f>COUNTIF(Table1[DTI band],Table1[[#This Row],[DTI band]])</f>
        <v>260</v>
      </c>
      <c r="AI255" s="2" t="str" cm="1">
        <f t="array" ref="AI255">_xlfn.IFS(Table1[[#This Row],[ltv_ratio]] &lt; 0.6, "less than 0.6 -less risky", Table1[[#This Row],[ltv_ratio]]  &lt;= 0.8, "0.6 - 0.8 -medium risky",Table1[[#This Row],[ltv_ratio]] &gt; 0.8, "greater than 0.8 -highly risky")</f>
        <v>less than 0.6 -less risky</v>
      </c>
      <c r="AJ255" s="2">
        <f>COUNTIF(Table1[LTV band],Table1[[#This Row],[LTV band]])</f>
        <v>57</v>
      </c>
      <c r="AK255" s="19">
        <f>COUNTIFS(Table1[count_loan_perband],Table1[[#This Row],[count_loan_perband]],Table1[default_flag],1)/COUNTIF(Table1[count_loan_perband],Table1[[#This Row],[count_loan_perband]])</f>
        <v>0</v>
      </c>
      <c r="AL255" s="19" t="str" cm="1">
        <f t="array" ref="AL255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255" s="19">
        <f>IF(Table1[[#This Row],[dpd]] &gt;=30,1,0)</f>
        <v>0</v>
      </c>
      <c r="AN255" s="19">
        <f>COUNTIFS(Table1[Loan size],Table1[[#This Row],[Loan size]],Table1[dpd flag],1)/COUNTIF(Table1[Loan size],Table1[[#This Row],[Loan size]])</f>
        <v>0.15909090909090909</v>
      </c>
      <c r="AO255" s="19" t="str">
        <f>IF(OR(Table1[[#This Row],[credit_score]] &lt; 600, Table1[ [#This Row],[dti_ratio] ] &gt; 0.5, Table1[[#This Row],[dpd]] &gt;=30), "high risk", " not riskY")</f>
        <v xml:space="preserve"> not riskY</v>
      </c>
      <c r="AP255" s="29">
        <f>EOMONTH(Table1[[#This Row],[origination_date]],0)</f>
        <v>45808</v>
      </c>
      <c r="AQ255" s="19">
        <f>SUMIFS(Table1[loan_amount],Table1[origination month],Table1[[#This Row],[origination month]])</f>
        <v>36698200</v>
      </c>
      <c r="AR255" s="19">
        <f>AVERAGEIFS(Table1[months_on_book],Table1[product],Table1[[#This Row],[product]])</f>
        <v>19.091954022988507</v>
      </c>
      <c r="AS255" s="19" t="str">
        <f ca="1">IF(EDATE(Table1[[#This Row],[origination_date]],6) &gt;= TODAY(), "New Loan", "Old Loan")</f>
        <v>Old Loan</v>
      </c>
      <c r="AT255" s="19" t="str">
        <f>"Q"&amp;ROUNDUP(MONTH(Table1[[#This Row],[origination_date]])/3,0)&amp;YEAR(Table1[[#This Row],[origination_date]])</f>
        <v>Q22025</v>
      </c>
      <c r="AU255" s="19">
        <f>SUMIFS(Table1[loan_amount],Table1[quarter],Table1[[#This Row],[quarter]])</f>
        <v>80205600</v>
      </c>
    </row>
    <row r="256" spans="2:47" x14ac:dyDescent="0.2">
      <c r="B256" s="5" t="s">
        <v>473</v>
      </c>
      <c r="C256" s="2" t="s">
        <v>973</v>
      </c>
      <c r="D256" s="3">
        <v>45829</v>
      </c>
      <c r="E256" s="2" t="s">
        <v>1027</v>
      </c>
      <c r="F256" s="2" t="s">
        <v>1029</v>
      </c>
      <c r="G256" s="2" t="s">
        <v>1036</v>
      </c>
      <c r="H256" s="2" t="s">
        <v>1039</v>
      </c>
      <c r="I256" s="2">
        <v>60</v>
      </c>
      <c r="J256" s="2">
        <v>7685900</v>
      </c>
      <c r="K256" s="2">
        <v>11.28</v>
      </c>
      <c r="L256" s="2">
        <v>168185</v>
      </c>
      <c r="M256" s="2">
        <v>1513427</v>
      </c>
      <c r="N256" s="2">
        <v>687</v>
      </c>
      <c r="O256" s="2" t="s">
        <v>1042</v>
      </c>
      <c r="P256" s="2">
        <v>0.37</v>
      </c>
      <c r="Q256" s="2">
        <v>0.78</v>
      </c>
      <c r="R256" s="2">
        <v>9796600</v>
      </c>
      <c r="S256" s="2">
        <v>6</v>
      </c>
      <c r="T256" s="2">
        <v>867786</v>
      </c>
      <c r="U256" s="2">
        <v>6991508</v>
      </c>
      <c r="V256" s="2">
        <v>90</v>
      </c>
      <c r="W256" s="2">
        <v>1</v>
      </c>
      <c r="X256" s="2">
        <v>1</v>
      </c>
      <c r="Y256" s="2" t="s">
        <v>1050</v>
      </c>
      <c r="Z256" s="12">
        <f>SUMIF(Table1[product],Table1[[#This Row],[product]],Table1[loan_amount])</f>
        <v>403369500</v>
      </c>
      <c r="AA256" s="15">
        <f>SUMIF(Table1[region],Table1[[#This Row],[region]],Table1[current_balance])</f>
        <v>98928695</v>
      </c>
      <c r="AB256" s="2">
        <f>COUNTIF(Table1[loan_status],Table1[[#This Row],[loan_status]])</f>
        <v>13</v>
      </c>
      <c r="AC256" s="2">
        <f>COUNTIF(Table1[default_flag],1)/ROWS(Table1[loan_id])</f>
        <v>2.5999999999999999E-2</v>
      </c>
      <c r="AD256" s="2">
        <f>COUNTIFS(Table1[region],Table1[[#This Row],[region]],Table1[default_flag],1)/COUNTIF(Table1[region],Table1[[#This Row],[region]])</f>
        <v>2.8571428571428571E-2</v>
      </c>
      <c r="AE256" s="2">
        <f>COUNTIFS(Table1[channel],Table1[[#This Row],[channel]],Table1[prepayment_flag],1)/COUNTIF(Table1[channel],Table1[[#This Row],[channel]])</f>
        <v>7.1090047393364927E-2</v>
      </c>
      <c r="AF256" s="2">
        <f>AVERAGEIFS(Table1[interest_rate_pct],Table1[product],Table1[[#This Row],[product]],Table1[risk_band],Table1[[#This Row],[risk_band]])</f>
        <v>11.719736842105268</v>
      </c>
      <c r="AG256" s="2" t="str" cm="1">
        <f t="array" ref="AG256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256" s="2">
        <f>COUNTIF(Table1[DTI band],Table1[[#This Row],[DTI band]])</f>
        <v>260</v>
      </c>
      <c r="AI256" s="2" t="str" cm="1">
        <f t="array" ref="AI256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256" s="2">
        <f>COUNTIF(Table1[LTV band],Table1[[#This Row],[LTV band]])</f>
        <v>302</v>
      </c>
      <c r="AK256" s="19">
        <f>COUNTIFS(Table1[count_loan_perband],Table1[[#This Row],[count_loan_perband]],Table1[default_flag],1)/COUNTIF(Table1[count_loan_perband],Table1[[#This Row],[count_loan_perband]])</f>
        <v>3.6423841059602648E-2</v>
      </c>
      <c r="AL256" s="19" t="str" cm="1">
        <f t="array" ref="AL256">_xlfn.IFS(Table1[[#This Row],[loan_amount]] &lt; 900000, "lower size (&lt; 9L)", Table1[[#This Row],[loan_amount]] &lt;=3300000, "medium size (&lt;=33L)", Table1[[#This Row],[loan_amount]] &gt; 3300000, "larger size (&gt; 33L)")</f>
        <v>larger size (&gt; 33L)</v>
      </c>
      <c r="AM256" s="19">
        <f>IF(Table1[[#This Row],[dpd]] &gt;=30,1,0)</f>
        <v>1</v>
      </c>
      <c r="AN256" s="19">
        <f>COUNTIFS(Table1[Loan size],Table1[[#This Row],[Loan size]],Table1[dpd flag],1)/COUNTIF(Table1[Loan size],Table1[[#This Row],[Loan size]])</f>
        <v>0.16250000000000001</v>
      </c>
      <c r="AO256" s="19" t="str">
        <f>IF(OR(Table1[[#This Row],[credit_score]] &lt; 600, Table1[ [#This Row],[dti_ratio] ] &gt; 0.5, Table1[[#This Row],[dpd]] &gt;=30), "high risk", " not riskY")</f>
        <v>high risk</v>
      </c>
      <c r="AP256" s="29">
        <f>EOMONTH(Table1[[#This Row],[origination_date]],0)</f>
        <v>45838</v>
      </c>
      <c r="AQ256" s="19">
        <f>SUMIFS(Table1[loan_amount],Table1[origination month],Table1[[#This Row],[origination month]])</f>
        <v>25448100</v>
      </c>
      <c r="AR256" s="19">
        <f>AVERAGEIFS(Table1[months_on_book],Table1[product],Table1[[#This Row],[product]])</f>
        <v>20.516129032258064</v>
      </c>
      <c r="AS256" s="19" t="str">
        <f ca="1">IF(EDATE(Table1[[#This Row],[origination_date]],6) &gt;= TODAY(), "New Loan", "Old Loan")</f>
        <v>Old Loan</v>
      </c>
      <c r="AT256" s="19" t="str">
        <f>"Q"&amp;ROUNDUP(MONTH(Table1[[#This Row],[origination_date]])/3,0)&amp;YEAR(Table1[[#This Row],[origination_date]])</f>
        <v>Q22025</v>
      </c>
      <c r="AU256" s="19">
        <f>SUMIFS(Table1[loan_amount],Table1[quarter],Table1[[#This Row],[quarter]])</f>
        <v>80205600</v>
      </c>
    </row>
    <row r="257" spans="2:47" x14ac:dyDescent="0.2">
      <c r="B257" s="5" t="s">
        <v>328</v>
      </c>
      <c r="C257" s="2" t="s">
        <v>828</v>
      </c>
      <c r="D257" s="3">
        <v>45822</v>
      </c>
      <c r="E257" s="2" t="s">
        <v>1025</v>
      </c>
      <c r="F257" s="2" t="s">
        <v>1032</v>
      </c>
      <c r="G257" s="2" t="s">
        <v>1036</v>
      </c>
      <c r="H257" s="2" t="s">
        <v>1038</v>
      </c>
      <c r="I257" s="2">
        <v>24</v>
      </c>
      <c r="J257" s="2">
        <v>1804200</v>
      </c>
      <c r="K257" s="2">
        <v>17.16</v>
      </c>
      <c r="L257" s="2">
        <v>89343</v>
      </c>
      <c r="M257" s="2">
        <v>1061077</v>
      </c>
      <c r="N257" s="2">
        <v>659</v>
      </c>
      <c r="O257" s="2" t="s">
        <v>1042</v>
      </c>
      <c r="P257" s="2">
        <v>0.36</v>
      </c>
      <c r="Q257" s="2">
        <v>0.87</v>
      </c>
      <c r="R257" s="2">
        <v>2065700</v>
      </c>
      <c r="S257" s="2">
        <v>6</v>
      </c>
      <c r="T257" s="2">
        <v>460408</v>
      </c>
      <c r="U257" s="2">
        <v>1405712</v>
      </c>
      <c r="V257" s="2">
        <v>0</v>
      </c>
      <c r="W257" s="2">
        <v>0</v>
      </c>
      <c r="X257" s="2">
        <v>0</v>
      </c>
      <c r="Y257" s="2" t="s">
        <v>1049</v>
      </c>
      <c r="Z257" s="12">
        <f>SUMIF(Table1[product],Table1[[#This Row],[product]],Table1[loan_amount])</f>
        <v>201475100</v>
      </c>
      <c r="AA257" s="15">
        <f>SUMIF(Table1[region],Table1[[#This Row],[region]],Table1[current_balance])</f>
        <v>98928695</v>
      </c>
      <c r="AB257" s="2">
        <f>COUNTIF(Table1[loan_status],Table1[[#This Row],[loan_status]])</f>
        <v>301</v>
      </c>
      <c r="AC257" s="2">
        <f>COUNTIF(Table1[default_flag],1)/ROWS(Table1[loan_id])</f>
        <v>2.5999999999999999E-2</v>
      </c>
      <c r="AD257" s="2">
        <f>COUNTIFS(Table1[region],Table1[[#This Row],[region]],Table1[default_flag],1)/COUNTIF(Table1[region],Table1[[#This Row],[region]])</f>
        <v>2.8571428571428571E-2</v>
      </c>
      <c r="AE257" s="2">
        <f>COUNTIFS(Table1[channel],Table1[[#This Row],[channel]],Table1[prepayment_flag],1)/COUNTIF(Table1[channel],Table1[[#This Row],[channel]])</f>
        <v>0.1</v>
      </c>
      <c r="AF257" s="2">
        <f>AVERAGEIFS(Table1[interest_rate_pct],Table1[product],Table1[[#This Row],[product]],Table1[risk_band],Table1[[#This Row],[risk_band]])</f>
        <v>15.841379310344831</v>
      </c>
      <c r="AG257" s="2" t="str" cm="1">
        <f t="array" ref="AG257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257" s="2">
        <f>COUNTIF(Table1[DTI band],Table1[[#This Row],[DTI band]])</f>
        <v>260</v>
      </c>
      <c r="AI257" s="2" t="str" cm="1">
        <f t="array" ref="AI257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257" s="2">
        <f>COUNTIF(Table1[LTV band],Table1[[#This Row],[LTV band]])</f>
        <v>141</v>
      </c>
      <c r="AK257" s="19">
        <f>COUNTIFS(Table1[count_loan_perband],Table1[[#This Row],[count_loan_perband]],Table1[default_flag],1)/COUNTIF(Table1[count_loan_perband],Table1[[#This Row],[count_loan_perband]])</f>
        <v>1.4184397163120567E-2</v>
      </c>
      <c r="AL257" s="19" t="str" cm="1">
        <f t="array" ref="AL257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257" s="19">
        <f>IF(Table1[[#This Row],[dpd]] &gt;=30,1,0)</f>
        <v>0</v>
      </c>
      <c r="AN257" s="19">
        <f>COUNTIFS(Table1[Loan size],Table1[[#This Row],[Loan size]],Table1[dpd flag],1)/COUNTIF(Table1[Loan size],Table1[[#This Row],[Loan size]])</f>
        <v>0.15909090909090909</v>
      </c>
      <c r="AO257" s="19" t="str">
        <f>IF(OR(Table1[[#This Row],[credit_score]] &lt; 600, Table1[ [#This Row],[dti_ratio] ] &gt; 0.5, Table1[[#This Row],[dpd]] &gt;=30), "high risk", " not riskY")</f>
        <v xml:space="preserve"> not riskY</v>
      </c>
      <c r="AP257" s="29">
        <f>EOMONTH(Table1[[#This Row],[origination_date]],0)</f>
        <v>45838</v>
      </c>
      <c r="AQ257" s="19">
        <f>SUMIFS(Table1[loan_amount],Table1[origination month],Table1[[#This Row],[origination month]])</f>
        <v>25448100</v>
      </c>
      <c r="AR257" s="19">
        <f>AVERAGEIFS(Table1[months_on_book],Table1[product],Table1[[#This Row],[product]])</f>
        <v>19.091954022988507</v>
      </c>
      <c r="AS257" s="19" t="str">
        <f ca="1">IF(EDATE(Table1[[#This Row],[origination_date]],6) &gt;= TODAY(), "New Loan", "Old Loan")</f>
        <v>Old Loan</v>
      </c>
      <c r="AT257" s="19" t="str">
        <f>"Q"&amp;ROUNDUP(MONTH(Table1[[#This Row],[origination_date]])/3,0)&amp;YEAR(Table1[[#This Row],[origination_date]])</f>
        <v>Q22025</v>
      </c>
      <c r="AU257" s="19">
        <f>SUMIFS(Table1[loan_amount],Table1[quarter],Table1[[#This Row],[quarter]])</f>
        <v>80205600</v>
      </c>
    </row>
    <row r="258" spans="2:47" x14ac:dyDescent="0.2">
      <c r="B258" s="5" t="s">
        <v>221</v>
      </c>
      <c r="C258" s="2" t="s">
        <v>721</v>
      </c>
      <c r="D258" s="3">
        <v>45756</v>
      </c>
      <c r="E258" s="2" t="s">
        <v>1025</v>
      </c>
      <c r="F258" s="2" t="s">
        <v>1030</v>
      </c>
      <c r="G258" s="2" t="s">
        <v>1036</v>
      </c>
      <c r="H258" s="2" t="s">
        <v>1040</v>
      </c>
      <c r="I258" s="2">
        <v>12</v>
      </c>
      <c r="J258" s="2">
        <v>2462600</v>
      </c>
      <c r="K258" s="2">
        <v>10.99</v>
      </c>
      <c r="L258" s="2">
        <v>217637</v>
      </c>
      <c r="M258" s="2">
        <v>1068084</v>
      </c>
      <c r="N258" s="2">
        <v>772</v>
      </c>
      <c r="O258" s="2" t="s">
        <v>1043</v>
      </c>
      <c r="P258" s="2">
        <v>0.34</v>
      </c>
      <c r="Q258" s="2">
        <v>0.75</v>
      </c>
      <c r="R258" s="2">
        <v>3274800</v>
      </c>
      <c r="S258" s="2">
        <v>8</v>
      </c>
      <c r="T258" s="2">
        <v>1514821</v>
      </c>
      <c r="U258" s="2">
        <v>1019950</v>
      </c>
      <c r="V258" s="2">
        <v>0</v>
      </c>
      <c r="W258" s="2">
        <v>1</v>
      </c>
      <c r="X258" s="2">
        <v>0</v>
      </c>
      <c r="Y258" s="2" t="s">
        <v>1047</v>
      </c>
      <c r="Z258" s="12">
        <f>SUMIF(Table1[product],Table1[[#This Row],[product]],Table1[loan_amount])</f>
        <v>201475100</v>
      </c>
      <c r="AA258" s="15">
        <f>SUMIF(Table1[region],Table1[[#This Row],[region]],Table1[current_balance])</f>
        <v>98928695</v>
      </c>
      <c r="AB258" s="2">
        <f>COUNTIF(Table1[loan_status],Table1[[#This Row],[loan_status]])</f>
        <v>139</v>
      </c>
      <c r="AC258" s="2">
        <f>COUNTIF(Table1[default_flag],1)/ROWS(Table1[loan_id])</f>
        <v>2.5999999999999999E-2</v>
      </c>
      <c r="AD258" s="2">
        <f>COUNTIFS(Table1[region],Table1[[#This Row],[region]],Table1[default_flag],1)/COUNTIF(Table1[region],Table1[[#This Row],[region]])</f>
        <v>2.8571428571428571E-2</v>
      </c>
      <c r="AE258" s="2">
        <f>COUNTIFS(Table1[channel],Table1[[#This Row],[channel]],Table1[prepayment_flag],1)/COUNTIF(Table1[channel],Table1[[#This Row],[channel]])</f>
        <v>5.8201058201058198E-2</v>
      </c>
      <c r="AF258" s="2">
        <f>AVERAGEIFS(Table1[interest_rate_pct],Table1[product],Table1[[#This Row],[product]],Table1[risk_band],Table1[[#This Row],[risk_band]])</f>
        <v>10.537499999999998</v>
      </c>
      <c r="AG258" s="2" t="str" cm="1">
        <f t="array" ref="AG258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258" s="2">
        <f>COUNTIF(Table1[DTI band],Table1[[#This Row],[DTI band]])</f>
        <v>260</v>
      </c>
      <c r="AI258" s="2" t="str" cm="1">
        <f t="array" ref="AI258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258" s="2">
        <f>COUNTIF(Table1[LTV band],Table1[[#This Row],[LTV band]])</f>
        <v>302</v>
      </c>
      <c r="AK258" s="19">
        <f>COUNTIFS(Table1[count_loan_perband],Table1[[#This Row],[count_loan_perband]],Table1[default_flag],1)/COUNTIF(Table1[count_loan_perband],Table1[[#This Row],[count_loan_perband]])</f>
        <v>3.6423841059602648E-2</v>
      </c>
      <c r="AL258" s="19" t="str" cm="1">
        <f t="array" ref="AL258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258" s="19">
        <f>IF(Table1[[#This Row],[dpd]] &gt;=30,1,0)</f>
        <v>0</v>
      </c>
      <c r="AN258" s="19">
        <f>COUNTIFS(Table1[Loan size],Table1[[#This Row],[Loan size]],Table1[dpd flag],1)/COUNTIF(Table1[Loan size],Table1[[#This Row],[Loan size]])</f>
        <v>0.15909090909090909</v>
      </c>
      <c r="AO258" s="19" t="str">
        <f>IF(OR(Table1[[#This Row],[credit_score]] &lt; 600, Table1[ [#This Row],[dti_ratio] ] &gt; 0.5, Table1[[#This Row],[dpd]] &gt;=30), "high risk", " not riskY")</f>
        <v xml:space="preserve"> not riskY</v>
      </c>
      <c r="AP258" s="29">
        <f>EOMONTH(Table1[[#This Row],[origination_date]],0)</f>
        <v>45777</v>
      </c>
      <c r="AQ258" s="19">
        <f>SUMIFS(Table1[loan_amount],Table1[origination month],Table1[[#This Row],[origination month]])</f>
        <v>18059300</v>
      </c>
      <c r="AR258" s="19">
        <f>AVERAGEIFS(Table1[months_on_book],Table1[product],Table1[[#This Row],[product]])</f>
        <v>19.091954022988507</v>
      </c>
      <c r="AS258" s="19" t="str">
        <f ca="1">IF(EDATE(Table1[[#This Row],[origination_date]],6) &gt;= TODAY(), "New Loan", "Old Loan")</f>
        <v>Old Loan</v>
      </c>
      <c r="AT258" s="19" t="str">
        <f>"Q"&amp;ROUNDUP(MONTH(Table1[[#This Row],[origination_date]])/3,0)&amp;YEAR(Table1[[#This Row],[origination_date]])</f>
        <v>Q22025</v>
      </c>
      <c r="AU258" s="19">
        <f>SUMIFS(Table1[loan_amount],Table1[quarter],Table1[[#This Row],[quarter]])</f>
        <v>80205600</v>
      </c>
    </row>
    <row r="259" spans="2:47" x14ac:dyDescent="0.2">
      <c r="B259" s="5" t="s">
        <v>248</v>
      </c>
      <c r="C259" s="2" t="s">
        <v>748</v>
      </c>
      <c r="D259" s="3">
        <v>45769</v>
      </c>
      <c r="E259" s="2" t="s">
        <v>1028</v>
      </c>
      <c r="F259" s="2" t="s">
        <v>1029</v>
      </c>
      <c r="G259" s="2" t="s">
        <v>1034</v>
      </c>
      <c r="H259" s="2" t="s">
        <v>1039</v>
      </c>
      <c r="I259" s="2">
        <v>360</v>
      </c>
      <c r="J259" s="2">
        <v>1813000</v>
      </c>
      <c r="K259" s="2">
        <v>15.21</v>
      </c>
      <c r="L259" s="2">
        <v>23229</v>
      </c>
      <c r="M259" s="2">
        <v>1393557</v>
      </c>
      <c r="N259" s="2">
        <v>631</v>
      </c>
      <c r="O259" s="2" t="s">
        <v>1045</v>
      </c>
      <c r="P259" s="2">
        <v>0.34</v>
      </c>
      <c r="Q259" s="2">
        <v>0.52</v>
      </c>
      <c r="R259" s="2">
        <v>0</v>
      </c>
      <c r="S259" s="2">
        <v>8</v>
      </c>
      <c r="T259" s="2">
        <v>188052</v>
      </c>
      <c r="U259" s="2">
        <v>1698483</v>
      </c>
      <c r="V259" s="2">
        <v>0</v>
      </c>
      <c r="W259" s="2">
        <v>0</v>
      </c>
      <c r="X259" s="2">
        <v>0</v>
      </c>
      <c r="Y259" s="2" t="s">
        <v>1049</v>
      </c>
      <c r="Z259" s="12">
        <f>SUMIF(Table1[product],Table1[[#This Row],[product]],Table1[loan_amount])</f>
        <v>62765800</v>
      </c>
      <c r="AA259" s="15">
        <f>SUMIF(Table1[region],Table1[[#This Row],[region]],Table1[current_balance])</f>
        <v>105779369</v>
      </c>
      <c r="AB259" s="2">
        <f>COUNTIF(Table1[loan_status],Table1[[#This Row],[loan_status]])</f>
        <v>301</v>
      </c>
      <c r="AC259" s="2">
        <f>COUNTIF(Table1[default_flag],1)/ROWS(Table1[loan_id])</f>
        <v>2.5999999999999999E-2</v>
      </c>
      <c r="AD259" s="2">
        <f>COUNTIFS(Table1[region],Table1[[#This Row],[region]],Table1[default_flag],1)/COUNTIF(Table1[region],Table1[[#This Row],[region]])</f>
        <v>2.6548672566371681E-2</v>
      </c>
      <c r="AE259" s="2">
        <f>COUNTIFS(Table1[channel],Table1[[#This Row],[channel]],Table1[prepayment_flag],1)/COUNTIF(Table1[channel],Table1[[#This Row],[channel]])</f>
        <v>7.1090047393364927E-2</v>
      </c>
      <c r="AF259" s="2">
        <f>AVERAGEIFS(Table1[interest_rate_pct],Table1[product],Table1[[#This Row],[product]],Table1[risk_band],Table1[[#This Row],[risk_band]])</f>
        <v>15.810000000000002</v>
      </c>
      <c r="AG259" s="2" t="str" cm="1">
        <f t="array" ref="AG259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259" s="2">
        <f>COUNTIF(Table1[DTI band],Table1[[#This Row],[DTI band]])</f>
        <v>260</v>
      </c>
      <c r="AI259" s="2" t="str" cm="1">
        <f t="array" ref="AI259">_xlfn.IFS(Table1[[#This Row],[ltv_ratio]] &lt; 0.6, "less than 0.6 -less risky", Table1[[#This Row],[ltv_ratio]]  &lt;= 0.8, "0.6 - 0.8 -medium risky",Table1[[#This Row],[ltv_ratio]] &gt; 0.8, "greater than 0.8 -highly risky")</f>
        <v>less than 0.6 -less risky</v>
      </c>
      <c r="AJ259" s="2">
        <f>COUNTIF(Table1[LTV band],Table1[[#This Row],[LTV band]])</f>
        <v>57</v>
      </c>
      <c r="AK259" s="19">
        <f>COUNTIFS(Table1[count_loan_perband],Table1[[#This Row],[count_loan_perband]],Table1[default_flag],1)/COUNTIF(Table1[count_loan_perband],Table1[[#This Row],[count_loan_perband]])</f>
        <v>0</v>
      </c>
      <c r="AL259" s="19" t="str" cm="1">
        <f t="array" ref="AL259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259" s="19">
        <f>IF(Table1[[#This Row],[dpd]] &gt;=30,1,0)</f>
        <v>0</v>
      </c>
      <c r="AN259" s="19">
        <f>COUNTIFS(Table1[Loan size],Table1[[#This Row],[Loan size]],Table1[dpd flag],1)/COUNTIF(Table1[Loan size],Table1[[#This Row],[Loan size]])</f>
        <v>0.15909090909090909</v>
      </c>
      <c r="AO259" s="19" t="str">
        <f>IF(OR(Table1[[#This Row],[credit_score]] &lt; 600, Table1[ [#This Row],[dti_ratio] ] &gt; 0.5, Table1[[#This Row],[dpd]] &gt;=30), "high risk", " not riskY")</f>
        <v xml:space="preserve"> not riskY</v>
      </c>
      <c r="AP259" s="29">
        <f>EOMONTH(Table1[[#This Row],[origination_date]],0)</f>
        <v>45777</v>
      </c>
      <c r="AQ259" s="19">
        <f>SUMIFS(Table1[loan_amount],Table1[origination month],Table1[[#This Row],[origination month]])</f>
        <v>18059300</v>
      </c>
      <c r="AR259" s="19">
        <f>AVERAGEIFS(Table1[months_on_book],Table1[product],Table1[[#This Row],[product]])</f>
        <v>21.962962962962962</v>
      </c>
      <c r="AS259" s="19" t="str">
        <f ca="1">IF(EDATE(Table1[[#This Row],[origination_date]],6) &gt;= TODAY(), "New Loan", "Old Loan")</f>
        <v>Old Loan</v>
      </c>
      <c r="AT259" s="19" t="str">
        <f>"Q"&amp;ROUNDUP(MONTH(Table1[[#This Row],[origination_date]])/3,0)&amp;YEAR(Table1[[#This Row],[origination_date]])</f>
        <v>Q22025</v>
      </c>
      <c r="AU259" s="19">
        <f>SUMIFS(Table1[loan_amount],Table1[quarter],Table1[[#This Row],[quarter]])</f>
        <v>80205600</v>
      </c>
    </row>
    <row r="260" spans="2:47" x14ac:dyDescent="0.2">
      <c r="B260" s="5" t="s">
        <v>316</v>
      </c>
      <c r="C260" s="2" t="s">
        <v>816</v>
      </c>
      <c r="D260" s="3">
        <v>45784</v>
      </c>
      <c r="E260" s="2" t="s">
        <v>1025</v>
      </c>
      <c r="F260" s="2" t="s">
        <v>1029</v>
      </c>
      <c r="G260" s="2" t="s">
        <v>1037</v>
      </c>
      <c r="H260" s="2" t="s">
        <v>1038</v>
      </c>
      <c r="I260" s="2">
        <v>48</v>
      </c>
      <c r="J260" s="2">
        <v>3147900</v>
      </c>
      <c r="K260" s="2">
        <v>20.14</v>
      </c>
      <c r="L260" s="2">
        <v>96027</v>
      </c>
      <c r="M260" s="2">
        <v>667395</v>
      </c>
      <c r="N260" s="2">
        <v>595</v>
      </c>
      <c r="O260" s="2" t="s">
        <v>1046</v>
      </c>
      <c r="P260" s="2">
        <v>0.33</v>
      </c>
      <c r="Q260" s="2">
        <v>0.67</v>
      </c>
      <c r="R260" s="2">
        <v>4718400</v>
      </c>
      <c r="S260" s="2">
        <v>7</v>
      </c>
      <c r="T260" s="2">
        <v>638912</v>
      </c>
      <c r="U260" s="2">
        <v>2656918</v>
      </c>
      <c r="V260" s="2">
        <v>0</v>
      </c>
      <c r="W260" s="2">
        <v>0</v>
      </c>
      <c r="X260" s="2">
        <v>0</v>
      </c>
      <c r="Y260" s="2" t="s">
        <v>1049</v>
      </c>
      <c r="Z260" s="12">
        <f>SUMIF(Table1[product],Table1[[#This Row],[product]],Table1[loan_amount])</f>
        <v>201475100</v>
      </c>
      <c r="AA260" s="15">
        <f>SUMIF(Table1[region],Table1[[#This Row],[region]],Table1[current_balance])</f>
        <v>94548000</v>
      </c>
      <c r="AB260" s="2">
        <f>COUNTIF(Table1[loan_status],Table1[[#This Row],[loan_status]])</f>
        <v>301</v>
      </c>
      <c r="AC260" s="2">
        <f>COUNTIF(Table1[default_flag],1)/ROWS(Table1[loan_id])</f>
        <v>2.5999999999999999E-2</v>
      </c>
      <c r="AD260" s="2">
        <f>COUNTIFS(Table1[region],Table1[[#This Row],[region]],Table1[default_flag],1)/COUNTIF(Table1[region],Table1[[#This Row],[region]])</f>
        <v>0</v>
      </c>
      <c r="AE260" s="2">
        <f>COUNTIFS(Table1[channel],Table1[[#This Row],[channel]],Table1[prepayment_flag],1)/COUNTIF(Table1[channel],Table1[[#This Row],[channel]])</f>
        <v>7.1090047393364927E-2</v>
      </c>
      <c r="AF260" s="2">
        <f>AVERAGEIFS(Table1[interest_rate_pct],Table1[product],Table1[[#This Row],[product]],Table1[risk_band],Table1[[#This Row],[risk_band]])</f>
        <v>20.521428571428572</v>
      </c>
      <c r="AG260" s="2" t="str" cm="1">
        <f t="array" ref="AG260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260" s="2">
        <f>COUNTIF(Table1[DTI band],Table1[[#This Row],[DTI band]])</f>
        <v>260</v>
      </c>
      <c r="AI260" s="2" t="str" cm="1">
        <f t="array" ref="AI260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260" s="2">
        <f>COUNTIF(Table1[LTV band],Table1[[#This Row],[LTV band]])</f>
        <v>302</v>
      </c>
      <c r="AK260" s="19">
        <f>COUNTIFS(Table1[count_loan_perband],Table1[[#This Row],[count_loan_perband]],Table1[default_flag],1)/COUNTIF(Table1[count_loan_perband],Table1[[#This Row],[count_loan_perband]])</f>
        <v>3.6423841059602648E-2</v>
      </c>
      <c r="AL260" s="19" t="str" cm="1">
        <f t="array" ref="AL260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260" s="19">
        <f>IF(Table1[[#This Row],[dpd]] &gt;=30,1,0)</f>
        <v>0</v>
      </c>
      <c r="AN260" s="19">
        <f>COUNTIFS(Table1[Loan size],Table1[[#This Row],[Loan size]],Table1[dpd flag],1)/COUNTIF(Table1[Loan size],Table1[[#This Row],[Loan size]])</f>
        <v>0.15909090909090909</v>
      </c>
      <c r="AO260" s="19" t="str">
        <f>IF(OR(Table1[[#This Row],[credit_score]] &lt; 600, Table1[ [#This Row],[dti_ratio] ] &gt; 0.5, Table1[[#This Row],[dpd]] &gt;=30), "high risk", " not riskY")</f>
        <v>high risk</v>
      </c>
      <c r="AP260" s="29">
        <f>EOMONTH(Table1[[#This Row],[origination_date]],0)</f>
        <v>45808</v>
      </c>
      <c r="AQ260" s="19">
        <f>SUMIFS(Table1[loan_amount],Table1[origination month],Table1[[#This Row],[origination month]])</f>
        <v>36698200</v>
      </c>
      <c r="AR260" s="19">
        <f>AVERAGEIFS(Table1[months_on_book],Table1[product],Table1[[#This Row],[product]])</f>
        <v>19.091954022988507</v>
      </c>
      <c r="AS260" s="19" t="str">
        <f ca="1">IF(EDATE(Table1[[#This Row],[origination_date]],6) &gt;= TODAY(), "New Loan", "Old Loan")</f>
        <v>Old Loan</v>
      </c>
      <c r="AT260" s="19" t="str">
        <f>"Q"&amp;ROUNDUP(MONTH(Table1[[#This Row],[origination_date]])/3,0)&amp;YEAR(Table1[[#This Row],[origination_date]])</f>
        <v>Q22025</v>
      </c>
      <c r="AU260" s="19">
        <f>SUMIFS(Table1[loan_amount],Table1[quarter],Table1[[#This Row],[quarter]])</f>
        <v>80205600</v>
      </c>
    </row>
    <row r="261" spans="2:47" x14ac:dyDescent="0.2">
      <c r="B261" s="5" t="s">
        <v>270</v>
      </c>
      <c r="C261" s="2" t="s">
        <v>770</v>
      </c>
      <c r="D261" s="3">
        <v>45761</v>
      </c>
      <c r="E261" s="2" t="s">
        <v>1025</v>
      </c>
      <c r="F261" s="2" t="s">
        <v>1030</v>
      </c>
      <c r="G261" s="2" t="s">
        <v>1035</v>
      </c>
      <c r="H261" s="2" t="s">
        <v>1039</v>
      </c>
      <c r="I261" s="2">
        <v>72</v>
      </c>
      <c r="J261" s="2">
        <v>1994100</v>
      </c>
      <c r="K261" s="2">
        <v>14.45</v>
      </c>
      <c r="L261" s="2">
        <v>41572</v>
      </c>
      <c r="M261" s="2">
        <v>710306</v>
      </c>
      <c r="N261" s="2">
        <v>708</v>
      </c>
      <c r="O261" s="2" t="s">
        <v>1044</v>
      </c>
      <c r="P261" s="2">
        <v>0.31</v>
      </c>
      <c r="Q261" s="2">
        <v>0.77</v>
      </c>
      <c r="R261" s="2">
        <v>2604900</v>
      </c>
      <c r="S261" s="2">
        <v>8</v>
      </c>
      <c r="T261" s="2">
        <v>285250</v>
      </c>
      <c r="U261" s="2">
        <v>1785689</v>
      </c>
      <c r="V261" s="2">
        <v>0</v>
      </c>
      <c r="W261" s="2">
        <v>0</v>
      </c>
      <c r="X261" s="2">
        <v>0</v>
      </c>
      <c r="Y261" s="2" t="s">
        <v>1049</v>
      </c>
      <c r="Z261" s="12">
        <f>SUMIF(Table1[product],Table1[[#This Row],[product]],Table1[loan_amount])</f>
        <v>201475100</v>
      </c>
      <c r="AA261" s="15">
        <f>SUMIF(Table1[region],Table1[[#This Row],[region]],Table1[current_balance])</f>
        <v>83903255</v>
      </c>
      <c r="AB261" s="2">
        <f>COUNTIF(Table1[loan_status],Table1[[#This Row],[loan_status]])</f>
        <v>301</v>
      </c>
      <c r="AC261" s="2">
        <f>COUNTIF(Table1[default_flag],1)/ROWS(Table1[loan_id])</f>
        <v>2.5999999999999999E-2</v>
      </c>
      <c r="AD261" s="2">
        <f>COUNTIFS(Table1[region],Table1[[#This Row],[region]],Table1[default_flag],1)/COUNTIF(Table1[region],Table1[[#This Row],[region]])</f>
        <v>4.2553191489361701E-2</v>
      </c>
      <c r="AE261" s="2">
        <f>COUNTIFS(Table1[channel],Table1[[#This Row],[channel]],Table1[prepayment_flag],1)/COUNTIF(Table1[channel],Table1[[#This Row],[channel]])</f>
        <v>5.8201058201058198E-2</v>
      </c>
      <c r="AF261" s="2">
        <f>AVERAGEIFS(Table1[interest_rate_pct],Table1[product],Table1[[#This Row],[product]],Table1[risk_band],Table1[[#This Row],[risk_band]])</f>
        <v>13.042631578947367</v>
      </c>
      <c r="AG261" s="2" t="str" cm="1">
        <f t="array" ref="AG261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261" s="2">
        <f>COUNTIF(Table1[DTI band],Table1[[#This Row],[DTI band]])</f>
        <v>260</v>
      </c>
      <c r="AI261" s="2" t="str" cm="1">
        <f t="array" ref="AI261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261" s="2">
        <f>COUNTIF(Table1[LTV band],Table1[[#This Row],[LTV band]])</f>
        <v>302</v>
      </c>
      <c r="AK261" s="19">
        <f>COUNTIFS(Table1[count_loan_perband],Table1[[#This Row],[count_loan_perband]],Table1[default_flag],1)/COUNTIF(Table1[count_loan_perband],Table1[[#This Row],[count_loan_perband]])</f>
        <v>3.6423841059602648E-2</v>
      </c>
      <c r="AL261" s="19" t="str" cm="1">
        <f t="array" ref="AL261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261" s="19">
        <f>IF(Table1[[#This Row],[dpd]] &gt;=30,1,0)</f>
        <v>0</v>
      </c>
      <c r="AN261" s="19">
        <f>COUNTIFS(Table1[Loan size],Table1[[#This Row],[Loan size]],Table1[dpd flag],1)/COUNTIF(Table1[Loan size],Table1[[#This Row],[Loan size]])</f>
        <v>0.15909090909090909</v>
      </c>
      <c r="AO261" s="19" t="str">
        <f>IF(OR(Table1[[#This Row],[credit_score]] &lt; 600, Table1[ [#This Row],[dti_ratio] ] &gt; 0.5, Table1[[#This Row],[dpd]] &gt;=30), "high risk", " not riskY")</f>
        <v xml:space="preserve"> not riskY</v>
      </c>
      <c r="AP261" s="29">
        <f>EOMONTH(Table1[[#This Row],[origination_date]],0)</f>
        <v>45777</v>
      </c>
      <c r="AQ261" s="19">
        <f>SUMIFS(Table1[loan_amount],Table1[origination month],Table1[[#This Row],[origination month]])</f>
        <v>18059300</v>
      </c>
      <c r="AR261" s="19">
        <f>AVERAGEIFS(Table1[months_on_book],Table1[product],Table1[[#This Row],[product]])</f>
        <v>19.091954022988507</v>
      </c>
      <c r="AS261" s="19" t="str">
        <f ca="1">IF(EDATE(Table1[[#This Row],[origination_date]],6) &gt;= TODAY(), "New Loan", "Old Loan")</f>
        <v>Old Loan</v>
      </c>
      <c r="AT261" s="19" t="str">
        <f>"Q"&amp;ROUNDUP(MONTH(Table1[[#This Row],[origination_date]])/3,0)&amp;YEAR(Table1[[#This Row],[origination_date]])</f>
        <v>Q22025</v>
      </c>
      <c r="AU261" s="19">
        <f>SUMIFS(Table1[loan_amount],Table1[quarter],Table1[[#This Row],[quarter]])</f>
        <v>80205600</v>
      </c>
    </row>
    <row r="262" spans="2:47" x14ac:dyDescent="0.2">
      <c r="B262" s="5" t="s">
        <v>64</v>
      </c>
      <c r="C262" s="2" t="s">
        <v>564</v>
      </c>
      <c r="D262" s="3">
        <v>45835</v>
      </c>
      <c r="E262" s="2" t="s">
        <v>1024</v>
      </c>
      <c r="F262" s="2" t="s">
        <v>1030</v>
      </c>
      <c r="G262" s="2" t="s">
        <v>1037</v>
      </c>
      <c r="H262" s="2" t="s">
        <v>1038</v>
      </c>
      <c r="I262" s="2">
        <v>48</v>
      </c>
      <c r="J262" s="2">
        <v>1125700</v>
      </c>
      <c r="K262" s="2">
        <v>17.89</v>
      </c>
      <c r="L262" s="2">
        <v>33003</v>
      </c>
      <c r="M262" s="2">
        <v>1239674</v>
      </c>
      <c r="N262" s="2">
        <v>567</v>
      </c>
      <c r="O262" s="2" t="s">
        <v>1046</v>
      </c>
      <c r="P262" s="2">
        <v>0.3</v>
      </c>
      <c r="Q262" s="2">
        <v>0.94</v>
      </c>
      <c r="R262" s="2">
        <v>1199200</v>
      </c>
      <c r="S262" s="2">
        <v>6</v>
      </c>
      <c r="T262" s="2">
        <v>179459</v>
      </c>
      <c r="U262" s="2">
        <v>986519</v>
      </c>
      <c r="V262" s="2">
        <v>0</v>
      </c>
      <c r="W262" s="2">
        <v>0</v>
      </c>
      <c r="X262" s="2">
        <v>0</v>
      </c>
      <c r="Y262" s="2" t="s">
        <v>1049</v>
      </c>
      <c r="Z262" s="12">
        <f>SUMIF(Table1[product],Table1[[#This Row],[product]],Table1[loan_amount])</f>
        <v>92273000</v>
      </c>
      <c r="AA262" s="15">
        <f>SUMIF(Table1[region],Table1[[#This Row],[region]],Table1[current_balance])</f>
        <v>94548000</v>
      </c>
      <c r="AB262" s="2">
        <f>COUNTIF(Table1[loan_status],Table1[[#This Row],[loan_status]])</f>
        <v>301</v>
      </c>
      <c r="AC262" s="2">
        <f>COUNTIF(Table1[default_flag],1)/ROWS(Table1[loan_id])</f>
        <v>2.5999999999999999E-2</v>
      </c>
      <c r="AD262" s="2">
        <f>COUNTIFS(Table1[region],Table1[[#This Row],[region]],Table1[default_flag],1)/COUNTIF(Table1[region],Table1[[#This Row],[region]])</f>
        <v>0</v>
      </c>
      <c r="AE262" s="2">
        <f>COUNTIFS(Table1[channel],Table1[[#This Row],[channel]],Table1[prepayment_flag],1)/COUNTIF(Table1[channel],Table1[[#This Row],[channel]])</f>
        <v>5.8201058201058198E-2</v>
      </c>
      <c r="AF262" s="2">
        <f>AVERAGEIFS(Table1[interest_rate_pct],Table1[product],Table1[[#This Row],[product]],Table1[risk_band],Table1[[#This Row],[risk_band]])</f>
        <v>17.744166666666668</v>
      </c>
      <c r="AG262" s="2" t="str" cm="1">
        <f t="array" ref="AG262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262" s="2">
        <f>COUNTIF(Table1[DTI band],Table1[[#This Row],[DTI band]])</f>
        <v>260</v>
      </c>
      <c r="AI262" s="2" t="str" cm="1">
        <f t="array" ref="AI262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262" s="2">
        <f>COUNTIF(Table1[LTV band],Table1[[#This Row],[LTV band]])</f>
        <v>141</v>
      </c>
      <c r="AK262" s="19">
        <f>COUNTIFS(Table1[count_loan_perband],Table1[[#This Row],[count_loan_perband]],Table1[default_flag],1)/COUNTIF(Table1[count_loan_perband],Table1[[#This Row],[count_loan_perband]])</f>
        <v>1.4184397163120567E-2</v>
      </c>
      <c r="AL262" s="19" t="str" cm="1">
        <f t="array" ref="AL262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262" s="19">
        <f>IF(Table1[[#This Row],[dpd]] &gt;=30,1,0)</f>
        <v>0</v>
      </c>
      <c r="AN262" s="19">
        <f>COUNTIFS(Table1[Loan size],Table1[[#This Row],[Loan size]],Table1[dpd flag],1)/COUNTIF(Table1[Loan size],Table1[[#This Row],[Loan size]])</f>
        <v>0.15909090909090909</v>
      </c>
      <c r="AO262" s="19" t="str">
        <f>IF(OR(Table1[[#This Row],[credit_score]] &lt; 600, Table1[ [#This Row],[dti_ratio] ] &gt; 0.5, Table1[[#This Row],[dpd]] &gt;=30), "high risk", " not riskY")</f>
        <v>high risk</v>
      </c>
      <c r="AP262" s="29">
        <f>EOMONTH(Table1[[#This Row],[origination_date]],0)</f>
        <v>45838</v>
      </c>
      <c r="AQ262" s="19">
        <f>SUMIFS(Table1[loan_amount],Table1[origination month],Table1[[#This Row],[origination month]])</f>
        <v>25448100</v>
      </c>
      <c r="AR262" s="19">
        <f>AVERAGEIFS(Table1[months_on_book],Table1[product],Table1[[#This Row],[product]])</f>
        <v>20.262135922330096</v>
      </c>
      <c r="AS262" s="19" t="str">
        <f ca="1">IF(EDATE(Table1[[#This Row],[origination_date]],6) &gt;= TODAY(), "New Loan", "Old Loan")</f>
        <v>Old Loan</v>
      </c>
      <c r="AT262" s="19" t="str">
        <f>"Q"&amp;ROUNDUP(MONTH(Table1[[#This Row],[origination_date]])/3,0)&amp;YEAR(Table1[[#This Row],[origination_date]])</f>
        <v>Q22025</v>
      </c>
      <c r="AU262" s="19">
        <f>SUMIFS(Table1[loan_amount],Table1[quarter],Table1[[#This Row],[quarter]])</f>
        <v>80205600</v>
      </c>
    </row>
    <row r="263" spans="2:47" x14ac:dyDescent="0.2">
      <c r="B263" s="5" t="s">
        <v>247</v>
      </c>
      <c r="C263" s="2" t="s">
        <v>747</v>
      </c>
      <c r="D263" s="3">
        <v>45819</v>
      </c>
      <c r="E263" s="2" t="s">
        <v>1027</v>
      </c>
      <c r="F263" s="2" t="s">
        <v>1030</v>
      </c>
      <c r="G263" s="2" t="s">
        <v>1036</v>
      </c>
      <c r="H263" s="2" t="s">
        <v>1039</v>
      </c>
      <c r="I263" s="2">
        <v>240</v>
      </c>
      <c r="J263" s="2">
        <v>5172000</v>
      </c>
      <c r="K263" s="2">
        <v>11.85</v>
      </c>
      <c r="L263" s="2">
        <v>56408</v>
      </c>
      <c r="M263" s="2">
        <v>1406471</v>
      </c>
      <c r="N263" s="2">
        <v>664</v>
      </c>
      <c r="O263" s="2" t="s">
        <v>1042</v>
      </c>
      <c r="P263" s="2">
        <v>0.28999999999999998</v>
      </c>
      <c r="Q263" s="2">
        <v>0.92</v>
      </c>
      <c r="R263" s="2">
        <v>5593700</v>
      </c>
      <c r="S263" s="2">
        <v>6</v>
      </c>
      <c r="T263" s="2">
        <v>343327</v>
      </c>
      <c r="U263" s="2">
        <v>4951249</v>
      </c>
      <c r="V263" s="2">
        <v>0</v>
      </c>
      <c r="W263" s="2">
        <v>0</v>
      </c>
      <c r="X263" s="2">
        <v>0</v>
      </c>
      <c r="Y263" s="2" t="s">
        <v>1049</v>
      </c>
      <c r="Z263" s="12">
        <f>SUMIF(Table1[product],Table1[[#This Row],[product]],Table1[loan_amount])</f>
        <v>403369500</v>
      </c>
      <c r="AA263" s="15">
        <f>SUMIF(Table1[region],Table1[[#This Row],[region]],Table1[current_balance])</f>
        <v>98928695</v>
      </c>
      <c r="AB263" s="2">
        <f>COUNTIF(Table1[loan_status],Table1[[#This Row],[loan_status]])</f>
        <v>301</v>
      </c>
      <c r="AC263" s="2">
        <f>COUNTIF(Table1[default_flag],1)/ROWS(Table1[loan_id])</f>
        <v>2.5999999999999999E-2</v>
      </c>
      <c r="AD263" s="2">
        <f>COUNTIFS(Table1[region],Table1[[#This Row],[region]],Table1[default_flag],1)/COUNTIF(Table1[region],Table1[[#This Row],[region]])</f>
        <v>2.8571428571428571E-2</v>
      </c>
      <c r="AE263" s="2">
        <f>COUNTIFS(Table1[channel],Table1[[#This Row],[channel]],Table1[prepayment_flag],1)/COUNTIF(Table1[channel],Table1[[#This Row],[channel]])</f>
        <v>5.8201058201058198E-2</v>
      </c>
      <c r="AF263" s="2">
        <f>AVERAGEIFS(Table1[interest_rate_pct],Table1[product],Table1[[#This Row],[product]],Table1[risk_band],Table1[[#This Row],[risk_band]])</f>
        <v>11.719736842105268</v>
      </c>
      <c r="AG263" s="2" t="str" cm="1">
        <f t="array" ref="AG263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263" s="2">
        <f>COUNTIF(Table1[DTI band],Table1[[#This Row],[DTI band]])</f>
        <v>122</v>
      </c>
      <c r="AI263" s="2" t="str" cm="1">
        <f t="array" ref="AI263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263" s="2">
        <f>COUNTIF(Table1[LTV band],Table1[[#This Row],[LTV band]])</f>
        <v>141</v>
      </c>
      <c r="AK263" s="19">
        <f>COUNTIFS(Table1[count_loan_perband],Table1[[#This Row],[count_loan_perband]],Table1[default_flag],1)/COUNTIF(Table1[count_loan_perband],Table1[[#This Row],[count_loan_perband]])</f>
        <v>1.4184397163120567E-2</v>
      </c>
      <c r="AL263" s="19" t="str" cm="1">
        <f t="array" ref="AL263">_xlfn.IFS(Table1[[#This Row],[loan_amount]] &lt; 900000, "lower size (&lt; 9L)", Table1[[#This Row],[loan_amount]] &lt;=3300000, "medium size (&lt;=33L)", Table1[[#This Row],[loan_amount]] &gt; 3300000, "larger size (&gt; 33L)")</f>
        <v>larger size (&gt; 33L)</v>
      </c>
      <c r="AM263" s="19">
        <f>IF(Table1[[#This Row],[dpd]] &gt;=30,1,0)</f>
        <v>0</v>
      </c>
      <c r="AN263" s="19">
        <f>COUNTIFS(Table1[Loan size],Table1[[#This Row],[Loan size]],Table1[dpd flag],1)/COUNTIF(Table1[Loan size],Table1[[#This Row],[Loan size]])</f>
        <v>0.16250000000000001</v>
      </c>
      <c r="AO263" s="19" t="str">
        <f>IF(OR(Table1[[#This Row],[credit_score]] &lt; 600, Table1[ [#This Row],[dti_ratio] ] &gt; 0.5, Table1[[#This Row],[dpd]] &gt;=30), "high risk", " not riskY")</f>
        <v xml:space="preserve"> not riskY</v>
      </c>
      <c r="AP263" s="29">
        <f>EOMONTH(Table1[[#This Row],[origination_date]],0)</f>
        <v>45838</v>
      </c>
      <c r="AQ263" s="19">
        <f>SUMIFS(Table1[loan_amount],Table1[origination month],Table1[[#This Row],[origination month]])</f>
        <v>25448100</v>
      </c>
      <c r="AR263" s="19">
        <f>AVERAGEIFS(Table1[months_on_book],Table1[product],Table1[[#This Row],[product]])</f>
        <v>20.516129032258064</v>
      </c>
      <c r="AS263" s="19" t="str">
        <f ca="1">IF(EDATE(Table1[[#This Row],[origination_date]],6) &gt;= TODAY(), "New Loan", "Old Loan")</f>
        <v>Old Loan</v>
      </c>
      <c r="AT263" s="19" t="str">
        <f>"Q"&amp;ROUNDUP(MONTH(Table1[[#This Row],[origination_date]])/3,0)&amp;YEAR(Table1[[#This Row],[origination_date]])</f>
        <v>Q22025</v>
      </c>
      <c r="AU263" s="19">
        <f>SUMIFS(Table1[loan_amount],Table1[quarter],Table1[[#This Row],[quarter]])</f>
        <v>80205600</v>
      </c>
    </row>
    <row r="264" spans="2:47" x14ac:dyDescent="0.2">
      <c r="B264" s="5" t="s">
        <v>284</v>
      </c>
      <c r="C264" s="2" t="s">
        <v>784</v>
      </c>
      <c r="D264" s="3">
        <v>45789</v>
      </c>
      <c r="E264" s="2" t="s">
        <v>1024</v>
      </c>
      <c r="F264" s="2" t="s">
        <v>1029</v>
      </c>
      <c r="G264" s="2" t="s">
        <v>1036</v>
      </c>
      <c r="H264" s="2" t="s">
        <v>1038</v>
      </c>
      <c r="I264" s="2">
        <v>18</v>
      </c>
      <c r="J264" s="2">
        <v>769200</v>
      </c>
      <c r="K264" s="2">
        <v>11.07</v>
      </c>
      <c r="L264" s="2">
        <v>46576</v>
      </c>
      <c r="M264" s="2">
        <v>759026</v>
      </c>
      <c r="N264" s="2">
        <v>725</v>
      </c>
      <c r="O264" s="2" t="s">
        <v>1044</v>
      </c>
      <c r="P264" s="2">
        <v>0.27</v>
      </c>
      <c r="Q264" s="2">
        <v>0.82</v>
      </c>
      <c r="R264" s="2">
        <v>940400</v>
      </c>
      <c r="S264" s="2">
        <v>7</v>
      </c>
      <c r="T264" s="2">
        <v>298980</v>
      </c>
      <c r="U264" s="2">
        <v>490088</v>
      </c>
      <c r="V264" s="2">
        <v>15</v>
      </c>
      <c r="W264" s="2">
        <v>0</v>
      </c>
      <c r="X264" s="2">
        <v>0</v>
      </c>
      <c r="Y264" s="2" t="s">
        <v>1049</v>
      </c>
      <c r="Z264" s="12">
        <f>SUMIF(Table1[product],Table1[[#This Row],[product]],Table1[loan_amount])</f>
        <v>92273000</v>
      </c>
      <c r="AA264" s="15">
        <f>SUMIF(Table1[region],Table1[[#This Row],[region]],Table1[current_balance])</f>
        <v>98928695</v>
      </c>
      <c r="AB264" s="2">
        <f>COUNTIF(Table1[loan_status],Table1[[#This Row],[loan_status]])</f>
        <v>301</v>
      </c>
      <c r="AC264" s="2">
        <f>COUNTIF(Table1[default_flag],1)/ROWS(Table1[loan_id])</f>
        <v>2.5999999999999999E-2</v>
      </c>
      <c r="AD264" s="2">
        <f>COUNTIFS(Table1[region],Table1[[#This Row],[region]],Table1[default_flag],1)/COUNTIF(Table1[region],Table1[[#This Row],[region]])</f>
        <v>2.8571428571428571E-2</v>
      </c>
      <c r="AE264" s="2">
        <f>COUNTIFS(Table1[channel],Table1[[#This Row],[channel]],Table1[prepayment_flag],1)/COUNTIF(Table1[channel],Table1[[#This Row],[channel]])</f>
        <v>7.1090047393364927E-2</v>
      </c>
      <c r="AF264" s="2">
        <f>AVERAGEIFS(Table1[interest_rate_pct],Table1[product],Table1[[#This Row],[product]],Table1[risk_band],Table1[[#This Row],[risk_band]])</f>
        <v>10.611923076923079</v>
      </c>
      <c r="AG264" s="2" t="str" cm="1">
        <f t="array" ref="AG264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264" s="2">
        <f>COUNTIF(Table1[DTI band],Table1[[#This Row],[DTI band]])</f>
        <v>122</v>
      </c>
      <c r="AI264" s="2" t="str" cm="1">
        <f t="array" ref="AI264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264" s="2">
        <f>COUNTIF(Table1[LTV band],Table1[[#This Row],[LTV band]])</f>
        <v>141</v>
      </c>
      <c r="AK264" s="19">
        <f>COUNTIFS(Table1[count_loan_perband],Table1[[#This Row],[count_loan_perband]],Table1[default_flag],1)/COUNTIF(Table1[count_loan_perband],Table1[[#This Row],[count_loan_perband]])</f>
        <v>1.4184397163120567E-2</v>
      </c>
      <c r="AL264" s="19" t="str" cm="1">
        <f t="array" ref="AL264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264" s="19">
        <f>IF(Table1[[#This Row],[dpd]] &gt;=30,1,0)</f>
        <v>0</v>
      </c>
      <c r="AN264" s="19">
        <f>COUNTIFS(Table1[Loan size],Table1[[#This Row],[Loan size]],Table1[dpd flag],1)/COUNTIF(Table1[Loan size],Table1[[#This Row],[Loan size]])</f>
        <v>0.13934426229508196</v>
      </c>
      <c r="AO264" s="19" t="str">
        <f>IF(OR(Table1[[#This Row],[credit_score]] &lt; 600, Table1[ [#This Row],[dti_ratio] ] &gt; 0.5, Table1[[#This Row],[dpd]] &gt;=30), "high risk", " not riskY")</f>
        <v xml:space="preserve"> not riskY</v>
      </c>
      <c r="AP264" s="29">
        <f>EOMONTH(Table1[[#This Row],[origination_date]],0)</f>
        <v>45808</v>
      </c>
      <c r="AQ264" s="19">
        <f>SUMIFS(Table1[loan_amount],Table1[origination month],Table1[[#This Row],[origination month]])</f>
        <v>36698200</v>
      </c>
      <c r="AR264" s="19">
        <f>AVERAGEIFS(Table1[months_on_book],Table1[product],Table1[[#This Row],[product]])</f>
        <v>20.262135922330096</v>
      </c>
      <c r="AS264" s="19" t="str">
        <f ca="1">IF(EDATE(Table1[[#This Row],[origination_date]],6) &gt;= TODAY(), "New Loan", "Old Loan")</f>
        <v>Old Loan</v>
      </c>
      <c r="AT264" s="19" t="str">
        <f>"Q"&amp;ROUNDUP(MONTH(Table1[[#This Row],[origination_date]])/3,0)&amp;YEAR(Table1[[#This Row],[origination_date]])</f>
        <v>Q22025</v>
      </c>
      <c r="AU264" s="19">
        <f>SUMIFS(Table1[loan_amount],Table1[quarter],Table1[[#This Row],[quarter]])</f>
        <v>80205600</v>
      </c>
    </row>
    <row r="265" spans="2:47" x14ac:dyDescent="0.2">
      <c r="B265" s="5" t="s">
        <v>361</v>
      </c>
      <c r="C265" s="2" t="s">
        <v>861</v>
      </c>
      <c r="D265" s="3">
        <v>45785</v>
      </c>
      <c r="E265" s="2" t="s">
        <v>1028</v>
      </c>
      <c r="F265" s="2" t="s">
        <v>1032</v>
      </c>
      <c r="G265" s="2" t="s">
        <v>1036</v>
      </c>
      <c r="H265" s="2" t="s">
        <v>1038</v>
      </c>
      <c r="I265" s="2">
        <v>60</v>
      </c>
      <c r="J265" s="2">
        <v>1086600</v>
      </c>
      <c r="K265" s="2">
        <v>14.64</v>
      </c>
      <c r="L265" s="2">
        <v>25645</v>
      </c>
      <c r="M265" s="2">
        <v>1417857</v>
      </c>
      <c r="N265" s="2">
        <v>676</v>
      </c>
      <c r="O265" s="2" t="s">
        <v>1042</v>
      </c>
      <c r="P265" s="2">
        <v>0.26</v>
      </c>
      <c r="Q265" s="2">
        <v>0.68</v>
      </c>
      <c r="R265" s="2">
        <v>0</v>
      </c>
      <c r="S265" s="2">
        <v>7</v>
      </c>
      <c r="T265" s="2">
        <v>178188</v>
      </c>
      <c r="U265" s="2">
        <v>945530</v>
      </c>
      <c r="V265" s="2">
        <v>10</v>
      </c>
      <c r="W265" s="2">
        <v>0</v>
      </c>
      <c r="X265" s="2">
        <v>0</v>
      </c>
      <c r="Y265" s="2" t="s">
        <v>1049</v>
      </c>
      <c r="Z265" s="12">
        <f>SUMIF(Table1[product],Table1[[#This Row],[product]],Table1[loan_amount])</f>
        <v>62765800</v>
      </c>
      <c r="AA265" s="15">
        <f>SUMIF(Table1[region],Table1[[#This Row],[region]],Table1[current_balance])</f>
        <v>98928695</v>
      </c>
      <c r="AB265" s="2">
        <f>COUNTIF(Table1[loan_status],Table1[[#This Row],[loan_status]])</f>
        <v>301</v>
      </c>
      <c r="AC265" s="2">
        <f>COUNTIF(Table1[default_flag],1)/ROWS(Table1[loan_id])</f>
        <v>2.5999999999999999E-2</v>
      </c>
      <c r="AD265" s="2">
        <f>COUNTIFS(Table1[region],Table1[[#This Row],[region]],Table1[default_flag],1)/COUNTIF(Table1[region],Table1[[#This Row],[region]])</f>
        <v>2.8571428571428571E-2</v>
      </c>
      <c r="AE265" s="2">
        <f>COUNTIFS(Table1[channel],Table1[[#This Row],[channel]],Table1[prepayment_flag],1)/COUNTIF(Table1[channel],Table1[[#This Row],[channel]])</f>
        <v>0.1</v>
      </c>
      <c r="AF265" s="2">
        <f>AVERAGEIFS(Table1[interest_rate_pct],Table1[product],Table1[[#This Row],[product]],Table1[risk_band],Table1[[#This Row],[risk_band]])</f>
        <v>13.463888888888889</v>
      </c>
      <c r="AG265" s="2" t="str" cm="1">
        <f t="array" ref="AG265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265" s="2">
        <f>COUNTIF(Table1[DTI band],Table1[[#This Row],[DTI band]])</f>
        <v>122</v>
      </c>
      <c r="AI265" s="2" t="str" cm="1">
        <f t="array" ref="AI265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265" s="2">
        <f>COUNTIF(Table1[LTV band],Table1[[#This Row],[LTV band]])</f>
        <v>302</v>
      </c>
      <c r="AK265" s="19">
        <f>COUNTIFS(Table1[count_loan_perband],Table1[[#This Row],[count_loan_perband]],Table1[default_flag],1)/COUNTIF(Table1[count_loan_perband],Table1[[#This Row],[count_loan_perband]])</f>
        <v>3.6423841059602648E-2</v>
      </c>
      <c r="AL265" s="19" t="str" cm="1">
        <f t="array" ref="AL265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265" s="19">
        <f>IF(Table1[[#This Row],[dpd]] &gt;=30,1,0)</f>
        <v>0</v>
      </c>
      <c r="AN265" s="19">
        <f>COUNTIFS(Table1[Loan size],Table1[[#This Row],[Loan size]],Table1[dpd flag],1)/COUNTIF(Table1[Loan size],Table1[[#This Row],[Loan size]])</f>
        <v>0.15909090909090909</v>
      </c>
      <c r="AO265" s="19" t="str">
        <f>IF(OR(Table1[[#This Row],[credit_score]] &lt; 600, Table1[ [#This Row],[dti_ratio] ] &gt; 0.5, Table1[[#This Row],[dpd]] &gt;=30), "high risk", " not riskY")</f>
        <v xml:space="preserve"> not riskY</v>
      </c>
      <c r="AP265" s="29">
        <f>EOMONTH(Table1[[#This Row],[origination_date]],0)</f>
        <v>45808</v>
      </c>
      <c r="AQ265" s="19">
        <f>SUMIFS(Table1[loan_amount],Table1[origination month],Table1[[#This Row],[origination month]])</f>
        <v>36698200</v>
      </c>
      <c r="AR265" s="19">
        <f>AVERAGEIFS(Table1[months_on_book],Table1[product],Table1[[#This Row],[product]])</f>
        <v>21.962962962962962</v>
      </c>
      <c r="AS265" s="19" t="str">
        <f ca="1">IF(EDATE(Table1[[#This Row],[origination_date]],6) &gt;= TODAY(), "New Loan", "Old Loan")</f>
        <v>Old Loan</v>
      </c>
      <c r="AT265" s="19" t="str">
        <f>"Q"&amp;ROUNDUP(MONTH(Table1[[#This Row],[origination_date]])/3,0)&amp;YEAR(Table1[[#This Row],[origination_date]])</f>
        <v>Q22025</v>
      </c>
      <c r="AU265" s="19">
        <f>SUMIFS(Table1[loan_amount],Table1[quarter],Table1[[#This Row],[quarter]])</f>
        <v>80205600</v>
      </c>
    </row>
    <row r="266" spans="2:47" x14ac:dyDescent="0.2">
      <c r="B266" s="5" t="s">
        <v>323</v>
      </c>
      <c r="C266" s="2" t="s">
        <v>823</v>
      </c>
      <c r="D266" s="3">
        <v>45795</v>
      </c>
      <c r="E266" s="2" t="s">
        <v>1026</v>
      </c>
      <c r="F266" s="2" t="s">
        <v>1031</v>
      </c>
      <c r="G266" s="2" t="s">
        <v>1034</v>
      </c>
      <c r="H266" s="2" t="s">
        <v>1038</v>
      </c>
      <c r="I266" s="2">
        <v>72</v>
      </c>
      <c r="J266" s="2">
        <v>473300</v>
      </c>
      <c r="K266" s="2">
        <v>16.13</v>
      </c>
      <c r="L266" s="2">
        <v>10301</v>
      </c>
      <c r="M266" s="2">
        <v>790926</v>
      </c>
      <c r="N266" s="2">
        <v>742</v>
      </c>
      <c r="O266" s="2" t="s">
        <v>1044</v>
      </c>
      <c r="P266" s="2">
        <v>0.23</v>
      </c>
      <c r="Q266" s="2">
        <v>0.55000000000000004</v>
      </c>
      <c r="R266" s="2">
        <v>0</v>
      </c>
      <c r="S266" s="2">
        <v>7</v>
      </c>
      <c r="T266" s="2">
        <v>72786</v>
      </c>
      <c r="U266" s="2">
        <v>418327</v>
      </c>
      <c r="V266" s="2">
        <v>0</v>
      </c>
      <c r="W266" s="2">
        <v>0</v>
      </c>
      <c r="X266" s="2">
        <v>0</v>
      </c>
      <c r="Y266" s="2" t="s">
        <v>1049</v>
      </c>
      <c r="Z266" s="12">
        <f>SUMIF(Table1[product],Table1[[#This Row],[product]],Table1[loan_amount])</f>
        <v>74897600</v>
      </c>
      <c r="AA266" s="15">
        <f>SUMIF(Table1[region],Table1[[#This Row],[region]],Table1[current_balance])</f>
        <v>105779369</v>
      </c>
      <c r="AB266" s="2">
        <f>COUNTIF(Table1[loan_status],Table1[[#This Row],[loan_status]])</f>
        <v>301</v>
      </c>
      <c r="AC266" s="2">
        <f>COUNTIF(Table1[default_flag],1)/ROWS(Table1[loan_id])</f>
        <v>2.5999999999999999E-2</v>
      </c>
      <c r="AD266" s="2">
        <f>COUNTIFS(Table1[region],Table1[[#This Row],[region]],Table1[default_flag],1)/COUNTIF(Table1[region],Table1[[#This Row],[region]])</f>
        <v>2.6548672566371681E-2</v>
      </c>
      <c r="AE266" s="2">
        <f>COUNTIFS(Table1[channel],Table1[[#This Row],[channel]],Table1[prepayment_flag],1)/COUNTIF(Table1[channel],Table1[[#This Row],[channel]])</f>
        <v>0.12</v>
      </c>
      <c r="AF266" s="2">
        <f>AVERAGEIFS(Table1[interest_rate_pct],Table1[product],Table1[[#This Row],[product]],Table1[risk_band],Table1[[#This Row],[risk_band]])</f>
        <v>16.500166666666669</v>
      </c>
      <c r="AG266" s="2" t="str" cm="1">
        <f t="array" ref="AG266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266" s="2">
        <f>COUNTIF(Table1[DTI band],Table1[[#This Row],[DTI band]])</f>
        <v>122</v>
      </c>
      <c r="AI266" s="2" t="str" cm="1">
        <f t="array" ref="AI266">_xlfn.IFS(Table1[[#This Row],[ltv_ratio]] &lt; 0.6, "less than 0.6 -less risky", Table1[[#This Row],[ltv_ratio]]  &lt;= 0.8, "0.6 - 0.8 -medium risky",Table1[[#This Row],[ltv_ratio]] &gt; 0.8, "greater than 0.8 -highly risky")</f>
        <v>less than 0.6 -less risky</v>
      </c>
      <c r="AJ266" s="2">
        <f>COUNTIF(Table1[LTV band],Table1[[#This Row],[LTV band]])</f>
        <v>57</v>
      </c>
      <c r="AK266" s="19">
        <f>COUNTIFS(Table1[count_loan_perband],Table1[[#This Row],[count_loan_perband]],Table1[default_flag],1)/COUNTIF(Table1[count_loan_perband],Table1[[#This Row],[count_loan_perband]])</f>
        <v>0</v>
      </c>
      <c r="AL266" s="19" t="str" cm="1">
        <f t="array" ref="AL266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266" s="19">
        <f>IF(Table1[[#This Row],[dpd]] &gt;=30,1,0)</f>
        <v>0</v>
      </c>
      <c r="AN266" s="19">
        <f>COUNTIFS(Table1[Loan size],Table1[[#This Row],[Loan size]],Table1[dpd flag],1)/COUNTIF(Table1[Loan size],Table1[[#This Row],[Loan size]])</f>
        <v>0.13934426229508196</v>
      </c>
      <c r="AO266" s="19" t="str">
        <f>IF(OR(Table1[[#This Row],[credit_score]] &lt; 600, Table1[ [#This Row],[dti_ratio] ] &gt; 0.5, Table1[[#This Row],[dpd]] &gt;=30), "high risk", " not riskY")</f>
        <v xml:space="preserve"> not riskY</v>
      </c>
      <c r="AP266" s="29">
        <f>EOMONTH(Table1[[#This Row],[origination_date]],0)</f>
        <v>45808</v>
      </c>
      <c r="AQ266" s="19">
        <f>SUMIFS(Table1[loan_amount],Table1[origination month],Table1[[#This Row],[origination month]])</f>
        <v>36698200</v>
      </c>
      <c r="AR266" s="19">
        <f>AVERAGEIFS(Table1[months_on_book],Table1[product],Table1[[#This Row],[product]])</f>
        <v>21.092024539877301</v>
      </c>
      <c r="AS266" s="19" t="str">
        <f ca="1">IF(EDATE(Table1[[#This Row],[origination_date]],6) &gt;= TODAY(), "New Loan", "Old Loan")</f>
        <v>Old Loan</v>
      </c>
      <c r="AT266" s="19" t="str">
        <f>"Q"&amp;ROUNDUP(MONTH(Table1[[#This Row],[origination_date]])/3,0)&amp;YEAR(Table1[[#This Row],[origination_date]])</f>
        <v>Q22025</v>
      </c>
      <c r="AU266" s="19">
        <f>SUMIFS(Table1[loan_amount],Table1[quarter],Table1[[#This Row],[quarter]])</f>
        <v>80205600</v>
      </c>
    </row>
    <row r="267" spans="2:47" x14ac:dyDescent="0.2">
      <c r="B267" s="5" t="s">
        <v>416</v>
      </c>
      <c r="C267" s="2" t="s">
        <v>916</v>
      </c>
      <c r="D267" s="3">
        <v>45812</v>
      </c>
      <c r="E267" s="2" t="s">
        <v>1024</v>
      </c>
      <c r="F267" s="2" t="s">
        <v>1032</v>
      </c>
      <c r="G267" s="2" t="s">
        <v>1035</v>
      </c>
      <c r="H267" s="2" t="s">
        <v>1038</v>
      </c>
      <c r="I267" s="2">
        <v>12</v>
      </c>
      <c r="J267" s="2">
        <v>1171800</v>
      </c>
      <c r="K267" s="2">
        <v>10.58</v>
      </c>
      <c r="L267" s="2">
        <v>103336</v>
      </c>
      <c r="M267" s="2">
        <v>1400822</v>
      </c>
      <c r="N267" s="2">
        <v>717</v>
      </c>
      <c r="O267" s="2" t="s">
        <v>1044</v>
      </c>
      <c r="P267" s="2">
        <v>0.23</v>
      </c>
      <c r="Q267" s="2">
        <v>0.59</v>
      </c>
      <c r="R267" s="2">
        <v>1983500</v>
      </c>
      <c r="S267" s="2">
        <v>6</v>
      </c>
      <c r="T267" s="2">
        <v>578881</v>
      </c>
      <c r="U267" s="2">
        <v>617714</v>
      </c>
      <c r="V267" s="2">
        <v>45</v>
      </c>
      <c r="W267" s="2">
        <v>0</v>
      </c>
      <c r="X267" s="2">
        <v>0</v>
      </c>
      <c r="Y267" s="2" t="s">
        <v>1048</v>
      </c>
      <c r="Z267" s="12">
        <f>SUMIF(Table1[product],Table1[[#This Row],[product]],Table1[loan_amount])</f>
        <v>92273000</v>
      </c>
      <c r="AA267" s="15">
        <f>SUMIF(Table1[region],Table1[[#This Row],[region]],Table1[current_balance])</f>
        <v>83903255</v>
      </c>
      <c r="AB267" s="2">
        <f>COUNTIF(Table1[loan_status],Table1[[#This Row],[loan_status]])</f>
        <v>47</v>
      </c>
      <c r="AC267" s="2">
        <f>COUNTIF(Table1[default_flag],1)/ROWS(Table1[loan_id])</f>
        <v>2.5999999999999999E-2</v>
      </c>
      <c r="AD267" s="2">
        <f>COUNTIFS(Table1[region],Table1[[#This Row],[region]],Table1[default_flag],1)/COUNTIF(Table1[region],Table1[[#This Row],[region]])</f>
        <v>4.2553191489361701E-2</v>
      </c>
      <c r="AE267" s="2">
        <f>COUNTIFS(Table1[channel],Table1[[#This Row],[channel]],Table1[prepayment_flag],1)/COUNTIF(Table1[channel],Table1[[#This Row],[channel]])</f>
        <v>0.1</v>
      </c>
      <c r="AF267" s="2">
        <f>AVERAGEIFS(Table1[interest_rate_pct],Table1[product],Table1[[#This Row],[product]],Table1[risk_band],Table1[[#This Row],[risk_band]])</f>
        <v>10.611923076923079</v>
      </c>
      <c r="AG267" s="2" t="str" cm="1">
        <f t="array" ref="AG267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267" s="2">
        <f>COUNTIF(Table1[DTI band],Table1[[#This Row],[DTI band]])</f>
        <v>122</v>
      </c>
      <c r="AI267" s="2" t="str" cm="1">
        <f t="array" ref="AI267">_xlfn.IFS(Table1[[#This Row],[ltv_ratio]] &lt; 0.6, "less than 0.6 -less risky", Table1[[#This Row],[ltv_ratio]]  &lt;= 0.8, "0.6 - 0.8 -medium risky",Table1[[#This Row],[ltv_ratio]] &gt; 0.8, "greater than 0.8 -highly risky")</f>
        <v>less than 0.6 -less risky</v>
      </c>
      <c r="AJ267" s="2">
        <f>COUNTIF(Table1[LTV band],Table1[[#This Row],[LTV band]])</f>
        <v>57</v>
      </c>
      <c r="AK267" s="19">
        <f>COUNTIFS(Table1[count_loan_perband],Table1[[#This Row],[count_loan_perband]],Table1[default_flag],1)/COUNTIF(Table1[count_loan_perband],Table1[[#This Row],[count_loan_perband]])</f>
        <v>0</v>
      </c>
      <c r="AL267" s="19" t="str" cm="1">
        <f t="array" ref="AL267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267" s="19">
        <f>IF(Table1[[#This Row],[dpd]] &gt;=30,1,0)</f>
        <v>1</v>
      </c>
      <c r="AN267" s="19">
        <f>COUNTIFS(Table1[Loan size],Table1[[#This Row],[Loan size]],Table1[dpd flag],1)/COUNTIF(Table1[Loan size],Table1[[#This Row],[Loan size]])</f>
        <v>0.15909090909090909</v>
      </c>
      <c r="AO267" s="19" t="str">
        <f>IF(OR(Table1[[#This Row],[credit_score]] &lt; 600, Table1[ [#This Row],[dti_ratio] ] &gt; 0.5, Table1[[#This Row],[dpd]] &gt;=30), "high risk", " not riskY")</f>
        <v>high risk</v>
      </c>
      <c r="AP267" s="29">
        <f>EOMONTH(Table1[[#This Row],[origination_date]],0)</f>
        <v>45838</v>
      </c>
      <c r="AQ267" s="19">
        <f>SUMIFS(Table1[loan_amount],Table1[origination month],Table1[[#This Row],[origination month]])</f>
        <v>25448100</v>
      </c>
      <c r="AR267" s="19">
        <f>AVERAGEIFS(Table1[months_on_book],Table1[product],Table1[[#This Row],[product]])</f>
        <v>20.262135922330096</v>
      </c>
      <c r="AS267" s="19" t="str">
        <f ca="1">IF(EDATE(Table1[[#This Row],[origination_date]],6) &gt;= TODAY(), "New Loan", "Old Loan")</f>
        <v>Old Loan</v>
      </c>
      <c r="AT267" s="19" t="str">
        <f>"Q"&amp;ROUNDUP(MONTH(Table1[[#This Row],[origination_date]])/3,0)&amp;YEAR(Table1[[#This Row],[origination_date]])</f>
        <v>Q22025</v>
      </c>
      <c r="AU267" s="19">
        <f>SUMIFS(Table1[loan_amount],Table1[quarter],Table1[[#This Row],[quarter]])</f>
        <v>80205600</v>
      </c>
    </row>
    <row r="268" spans="2:47" x14ac:dyDescent="0.2">
      <c r="B268" s="5" t="s">
        <v>347</v>
      </c>
      <c r="C268" s="2" t="s">
        <v>847</v>
      </c>
      <c r="D268" s="3">
        <v>45780</v>
      </c>
      <c r="E268" s="2" t="s">
        <v>1025</v>
      </c>
      <c r="F268" s="2" t="s">
        <v>1032</v>
      </c>
      <c r="G268" s="2" t="s">
        <v>1036</v>
      </c>
      <c r="H268" s="2" t="s">
        <v>1038</v>
      </c>
      <c r="I268" s="2">
        <v>60</v>
      </c>
      <c r="J268" s="2">
        <v>2283600</v>
      </c>
      <c r="K268" s="2">
        <v>11.46</v>
      </c>
      <c r="L268" s="2">
        <v>50176</v>
      </c>
      <c r="M268" s="2">
        <v>480309</v>
      </c>
      <c r="N268" s="2">
        <v>722</v>
      </c>
      <c r="O268" s="2" t="s">
        <v>1044</v>
      </c>
      <c r="P268" s="2">
        <v>0.2</v>
      </c>
      <c r="Q268" s="2">
        <v>0.73</v>
      </c>
      <c r="R268" s="2">
        <v>3116300</v>
      </c>
      <c r="S268" s="2">
        <v>7</v>
      </c>
      <c r="T268" s="2">
        <v>301210</v>
      </c>
      <c r="U268" s="2">
        <v>2043453</v>
      </c>
      <c r="V268" s="2">
        <v>0</v>
      </c>
      <c r="W268" s="2">
        <v>0</v>
      </c>
      <c r="X268" s="2">
        <v>0</v>
      </c>
      <c r="Y268" s="2" t="s">
        <v>1049</v>
      </c>
      <c r="Z268" s="12">
        <f>SUMIF(Table1[product],Table1[[#This Row],[product]],Table1[loan_amount])</f>
        <v>201475100</v>
      </c>
      <c r="AA268" s="15">
        <f>SUMIF(Table1[region],Table1[[#This Row],[region]],Table1[current_balance])</f>
        <v>98928695</v>
      </c>
      <c r="AB268" s="2">
        <f>COUNTIF(Table1[loan_status],Table1[[#This Row],[loan_status]])</f>
        <v>301</v>
      </c>
      <c r="AC268" s="2">
        <f>COUNTIF(Table1[default_flag],1)/ROWS(Table1[loan_id])</f>
        <v>2.5999999999999999E-2</v>
      </c>
      <c r="AD268" s="2">
        <f>COUNTIFS(Table1[region],Table1[[#This Row],[region]],Table1[default_flag],1)/COUNTIF(Table1[region],Table1[[#This Row],[region]])</f>
        <v>2.8571428571428571E-2</v>
      </c>
      <c r="AE268" s="2">
        <f>COUNTIFS(Table1[channel],Table1[[#This Row],[channel]],Table1[prepayment_flag],1)/COUNTIF(Table1[channel],Table1[[#This Row],[channel]])</f>
        <v>0.1</v>
      </c>
      <c r="AF268" s="2">
        <f>AVERAGEIFS(Table1[interest_rate_pct],Table1[product],Table1[[#This Row],[product]],Table1[risk_band],Table1[[#This Row],[risk_band]])</f>
        <v>13.042631578947367</v>
      </c>
      <c r="AG268" s="2" t="str" cm="1">
        <f t="array" ref="AG268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268" s="2">
        <f>COUNTIF(Table1[DTI band],Table1[[#This Row],[DTI band]])</f>
        <v>122</v>
      </c>
      <c r="AI268" s="2" t="str" cm="1">
        <f t="array" ref="AI268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268" s="2">
        <f>COUNTIF(Table1[LTV band],Table1[[#This Row],[LTV band]])</f>
        <v>302</v>
      </c>
      <c r="AK268" s="19">
        <f>COUNTIFS(Table1[count_loan_perband],Table1[[#This Row],[count_loan_perband]],Table1[default_flag],1)/COUNTIF(Table1[count_loan_perband],Table1[[#This Row],[count_loan_perband]])</f>
        <v>3.6423841059602648E-2</v>
      </c>
      <c r="AL268" s="19" t="str" cm="1">
        <f t="array" ref="AL268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268" s="19">
        <f>IF(Table1[[#This Row],[dpd]] &gt;=30,1,0)</f>
        <v>0</v>
      </c>
      <c r="AN268" s="19">
        <f>COUNTIFS(Table1[Loan size],Table1[[#This Row],[Loan size]],Table1[dpd flag],1)/COUNTIF(Table1[Loan size],Table1[[#This Row],[Loan size]])</f>
        <v>0.15909090909090909</v>
      </c>
      <c r="AO268" s="19" t="str">
        <f>IF(OR(Table1[[#This Row],[credit_score]] &lt; 600, Table1[ [#This Row],[dti_ratio] ] &gt; 0.5, Table1[[#This Row],[dpd]] &gt;=30), "high risk", " not riskY")</f>
        <v xml:space="preserve"> not riskY</v>
      </c>
      <c r="AP268" s="29">
        <f>EOMONTH(Table1[[#This Row],[origination_date]],0)</f>
        <v>45808</v>
      </c>
      <c r="AQ268" s="19">
        <f>SUMIFS(Table1[loan_amount],Table1[origination month],Table1[[#This Row],[origination month]])</f>
        <v>36698200</v>
      </c>
      <c r="AR268" s="19">
        <f>AVERAGEIFS(Table1[months_on_book],Table1[product],Table1[[#This Row],[product]])</f>
        <v>19.091954022988507</v>
      </c>
      <c r="AS268" s="19" t="str">
        <f ca="1">IF(EDATE(Table1[[#This Row],[origination_date]],6) &gt;= TODAY(), "New Loan", "Old Loan")</f>
        <v>Old Loan</v>
      </c>
      <c r="AT268" s="19" t="str">
        <f>"Q"&amp;ROUNDUP(MONTH(Table1[[#This Row],[origination_date]])/3,0)&amp;YEAR(Table1[[#This Row],[origination_date]])</f>
        <v>Q22025</v>
      </c>
      <c r="AU268" s="19">
        <f>SUMIFS(Table1[loan_amount],Table1[quarter],Table1[[#This Row],[quarter]])</f>
        <v>80205600</v>
      </c>
    </row>
    <row r="269" spans="2:47" x14ac:dyDescent="0.2">
      <c r="B269" s="5" t="s">
        <v>111</v>
      </c>
      <c r="C269" s="2" t="s">
        <v>611</v>
      </c>
      <c r="D269" s="3">
        <v>45793</v>
      </c>
      <c r="E269" s="2" t="s">
        <v>1028</v>
      </c>
      <c r="F269" s="2" t="s">
        <v>1032</v>
      </c>
      <c r="G269" s="2" t="s">
        <v>1036</v>
      </c>
      <c r="H269" s="2" t="s">
        <v>1038</v>
      </c>
      <c r="I269" s="2">
        <v>180</v>
      </c>
      <c r="J269" s="2">
        <v>942800</v>
      </c>
      <c r="K269" s="2">
        <v>11.68</v>
      </c>
      <c r="L269" s="2">
        <v>11122</v>
      </c>
      <c r="M269" s="2">
        <v>625810</v>
      </c>
      <c r="N269" s="2">
        <v>704</v>
      </c>
      <c r="O269" s="2" t="s">
        <v>1044</v>
      </c>
      <c r="P269" s="2">
        <v>0.18</v>
      </c>
      <c r="Q269" s="2">
        <v>0.69</v>
      </c>
      <c r="R269" s="2">
        <v>0</v>
      </c>
      <c r="S269" s="2">
        <v>7</v>
      </c>
      <c r="T269" s="2">
        <v>73450</v>
      </c>
      <c r="U269" s="2">
        <v>895044</v>
      </c>
      <c r="V269" s="2">
        <v>5</v>
      </c>
      <c r="W269" s="2">
        <v>1</v>
      </c>
      <c r="X269" s="2">
        <v>0</v>
      </c>
      <c r="Y269" s="2" t="s">
        <v>1047</v>
      </c>
      <c r="Z269" s="12">
        <f>SUMIF(Table1[product],Table1[[#This Row],[product]],Table1[loan_amount])</f>
        <v>62765800</v>
      </c>
      <c r="AA269" s="15">
        <f>SUMIF(Table1[region],Table1[[#This Row],[region]],Table1[current_balance])</f>
        <v>98928695</v>
      </c>
      <c r="AB269" s="2">
        <f>COUNTIF(Table1[loan_status],Table1[[#This Row],[loan_status]])</f>
        <v>139</v>
      </c>
      <c r="AC269" s="2">
        <f>COUNTIF(Table1[default_flag],1)/ROWS(Table1[loan_id])</f>
        <v>2.5999999999999999E-2</v>
      </c>
      <c r="AD269" s="2">
        <f>COUNTIFS(Table1[region],Table1[[#This Row],[region]],Table1[default_flag],1)/COUNTIF(Table1[region],Table1[[#This Row],[region]])</f>
        <v>2.8571428571428571E-2</v>
      </c>
      <c r="AE269" s="2">
        <f>COUNTIFS(Table1[channel],Table1[[#This Row],[channel]],Table1[prepayment_flag],1)/COUNTIF(Table1[channel],Table1[[#This Row],[channel]])</f>
        <v>0.1</v>
      </c>
      <c r="AF269" s="2">
        <f>AVERAGEIFS(Table1[interest_rate_pct],Table1[product],Table1[[#This Row],[product]],Table1[risk_band],Table1[[#This Row],[risk_band]])</f>
        <v>10.832666666666663</v>
      </c>
      <c r="AG269" s="2" t="str" cm="1">
        <f t="array" ref="AG269">_xlfn.IFS(Table1[[#This Row],[dti_ratio]] &lt; 0.2, " less than 0.2", Table1[[#This Row],[dti_ratio]] &lt; 0.3, "0.2 - 0.3", Table1[[#This Row],[dti_ratio]] &lt;= 0.5, "0.35 - 0.5", Table1[[#This Row],[dti_ratio]] &gt; 0.5, "greater than 0.5")</f>
        <v xml:space="preserve"> less than 0.2</v>
      </c>
      <c r="AH269" s="2">
        <f>COUNTIF(Table1[DTI band],Table1[[#This Row],[DTI band]])</f>
        <v>86</v>
      </c>
      <c r="AI269" s="2" t="str" cm="1">
        <f t="array" ref="AI269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269" s="2">
        <f>COUNTIF(Table1[LTV band],Table1[[#This Row],[LTV band]])</f>
        <v>302</v>
      </c>
      <c r="AK269" s="19">
        <f>COUNTIFS(Table1[count_loan_perband],Table1[[#This Row],[count_loan_perband]],Table1[default_flag],1)/COUNTIF(Table1[count_loan_perband],Table1[[#This Row],[count_loan_perband]])</f>
        <v>3.6423841059602648E-2</v>
      </c>
      <c r="AL269" s="19" t="str" cm="1">
        <f t="array" ref="AL269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269" s="19">
        <f>IF(Table1[[#This Row],[dpd]] &gt;=30,1,0)</f>
        <v>0</v>
      </c>
      <c r="AN269" s="19">
        <f>COUNTIFS(Table1[Loan size],Table1[[#This Row],[Loan size]],Table1[dpd flag],1)/COUNTIF(Table1[Loan size],Table1[[#This Row],[Loan size]])</f>
        <v>0.15909090909090909</v>
      </c>
      <c r="AO269" s="19" t="str">
        <f>IF(OR(Table1[[#This Row],[credit_score]] &lt; 600, Table1[ [#This Row],[dti_ratio] ] &gt; 0.5, Table1[[#This Row],[dpd]] &gt;=30), "high risk", " not riskY")</f>
        <v xml:space="preserve"> not riskY</v>
      </c>
      <c r="AP269" s="29">
        <f>EOMONTH(Table1[[#This Row],[origination_date]],0)</f>
        <v>45808</v>
      </c>
      <c r="AQ269" s="19">
        <f>SUMIFS(Table1[loan_amount],Table1[origination month],Table1[[#This Row],[origination month]])</f>
        <v>36698200</v>
      </c>
      <c r="AR269" s="19">
        <f>AVERAGEIFS(Table1[months_on_book],Table1[product],Table1[[#This Row],[product]])</f>
        <v>21.962962962962962</v>
      </c>
      <c r="AS269" s="19" t="str">
        <f ca="1">IF(EDATE(Table1[[#This Row],[origination_date]],6) &gt;= TODAY(), "New Loan", "Old Loan")</f>
        <v>Old Loan</v>
      </c>
      <c r="AT269" s="19" t="str">
        <f>"Q"&amp;ROUNDUP(MONTH(Table1[[#This Row],[origination_date]])/3,0)&amp;YEAR(Table1[[#This Row],[origination_date]])</f>
        <v>Q22025</v>
      </c>
      <c r="AU269" s="19">
        <f>SUMIFS(Table1[loan_amount],Table1[quarter],Table1[[#This Row],[quarter]])</f>
        <v>80205600</v>
      </c>
    </row>
    <row r="270" spans="2:47" x14ac:dyDescent="0.2">
      <c r="B270" s="5" t="s">
        <v>439</v>
      </c>
      <c r="C270" s="2" t="s">
        <v>939</v>
      </c>
      <c r="D270" s="3">
        <v>45782</v>
      </c>
      <c r="E270" s="2" t="s">
        <v>1027</v>
      </c>
      <c r="F270" s="2" t="s">
        <v>1030</v>
      </c>
      <c r="G270" s="2" t="s">
        <v>1033</v>
      </c>
      <c r="H270" s="2" t="s">
        <v>1038</v>
      </c>
      <c r="I270" s="2">
        <v>60</v>
      </c>
      <c r="J270" s="2">
        <v>6299700</v>
      </c>
      <c r="K270" s="2">
        <v>7</v>
      </c>
      <c r="L270" s="2">
        <v>124742</v>
      </c>
      <c r="M270" s="2">
        <v>1016040</v>
      </c>
      <c r="N270" s="2">
        <v>797</v>
      </c>
      <c r="O270" s="2" t="s">
        <v>1043</v>
      </c>
      <c r="P270" s="2">
        <v>0.17</v>
      </c>
      <c r="Q270" s="2">
        <v>0.89</v>
      </c>
      <c r="R270" s="2">
        <v>7116000</v>
      </c>
      <c r="S270" s="2">
        <v>7</v>
      </c>
      <c r="T270" s="2">
        <v>818466</v>
      </c>
      <c r="U270" s="2">
        <v>5584129</v>
      </c>
      <c r="V270" s="2">
        <v>0</v>
      </c>
      <c r="W270" s="2">
        <v>0</v>
      </c>
      <c r="X270" s="2">
        <v>0</v>
      </c>
      <c r="Y270" s="2" t="s">
        <v>1049</v>
      </c>
      <c r="Z270" s="12">
        <f>SUMIF(Table1[product],Table1[[#This Row],[product]],Table1[loan_amount])</f>
        <v>403369500</v>
      </c>
      <c r="AA270" s="15">
        <f>SUMIF(Table1[region],Table1[[#This Row],[region]],Table1[current_balance])</f>
        <v>83297251</v>
      </c>
      <c r="AB270" s="2">
        <f>COUNTIF(Table1[loan_status],Table1[[#This Row],[loan_status]])</f>
        <v>301</v>
      </c>
      <c r="AC270" s="2">
        <f>COUNTIF(Table1[default_flag],1)/ROWS(Table1[loan_id])</f>
        <v>2.5999999999999999E-2</v>
      </c>
      <c r="AD270" s="2">
        <f>COUNTIFS(Table1[region],Table1[[#This Row],[region]],Table1[default_flag],1)/COUNTIF(Table1[region],Table1[[#This Row],[region]])</f>
        <v>3.1914893617021274E-2</v>
      </c>
      <c r="AE270" s="2">
        <f>COUNTIFS(Table1[channel],Table1[[#This Row],[channel]],Table1[prepayment_flag],1)/COUNTIF(Table1[channel],Table1[[#This Row],[channel]])</f>
        <v>5.8201058201058198E-2</v>
      </c>
      <c r="AF270" s="2">
        <f>AVERAGEIFS(Table1[interest_rate_pct],Table1[product],Table1[[#This Row],[product]],Table1[risk_band],Table1[[#This Row],[risk_band]])</f>
        <v>7.1876190476190471</v>
      </c>
      <c r="AG270" s="2" t="str" cm="1">
        <f t="array" ref="AG270">_xlfn.IFS(Table1[[#This Row],[dti_ratio]] &lt; 0.2, " less than 0.2", Table1[[#This Row],[dti_ratio]] &lt; 0.3, "0.2 - 0.3", Table1[[#This Row],[dti_ratio]] &lt;= 0.5, "0.35 - 0.5", Table1[[#This Row],[dti_ratio]] &gt; 0.5, "greater than 0.5")</f>
        <v xml:space="preserve"> less than 0.2</v>
      </c>
      <c r="AH270" s="2">
        <f>COUNTIF(Table1[DTI band],Table1[[#This Row],[DTI band]])</f>
        <v>86</v>
      </c>
      <c r="AI270" s="2" t="str" cm="1">
        <f t="array" ref="AI270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270" s="2">
        <f>COUNTIF(Table1[LTV band],Table1[[#This Row],[LTV band]])</f>
        <v>141</v>
      </c>
      <c r="AK270" s="19">
        <f>COUNTIFS(Table1[count_loan_perband],Table1[[#This Row],[count_loan_perband]],Table1[default_flag],1)/COUNTIF(Table1[count_loan_perband],Table1[[#This Row],[count_loan_perband]])</f>
        <v>1.4184397163120567E-2</v>
      </c>
      <c r="AL270" s="19" t="str" cm="1">
        <f t="array" ref="AL270">_xlfn.IFS(Table1[[#This Row],[loan_amount]] &lt; 900000, "lower size (&lt; 9L)", Table1[[#This Row],[loan_amount]] &lt;=3300000, "medium size (&lt;=33L)", Table1[[#This Row],[loan_amount]] &gt; 3300000, "larger size (&gt; 33L)")</f>
        <v>larger size (&gt; 33L)</v>
      </c>
      <c r="AM270" s="19">
        <f>IF(Table1[[#This Row],[dpd]] &gt;=30,1,0)</f>
        <v>0</v>
      </c>
      <c r="AN270" s="19">
        <f>COUNTIFS(Table1[Loan size],Table1[[#This Row],[Loan size]],Table1[dpd flag],1)/COUNTIF(Table1[Loan size],Table1[[#This Row],[Loan size]])</f>
        <v>0.16250000000000001</v>
      </c>
      <c r="AO270" s="19" t="str">
        <f>IF(OR(Table1[[#This Row],[credit_score]] &lt; 600, Table1[ [#This Row],[dti_ratio] ] &gt; 0.5, Table1[[#This Row],[dpd]] &gt;=30), "high risk", " not riskY")</f>
        <v xml:space="preserve"> not riskY</v>
      </c>
      <c r="AP270" s="29">
        <f>EOMONTH(Table1[[#This Row],[origination_date]],0)</f>
        <v>45808</v>
      </c>
      <c r="AQ270" s="19">
        <f>SUMIFS(Table1[loan_amount],Table1[origination month],Table1[[#This Row],[origination month]])</f>
        <v>36698200</v>
      </c>
      <c r="AR270" s="19">
        <f>AVERAGEIFS(Table1[months_on_book],Table1[product],Table1[[#This Row],[product]])</f>
        <v>20.516129032258064</v>
      </c>
      <c r="AS270" s="19" t="str">
        <f ca="1">IF(EDATE(Table1[[#This Row],[origination_date]],6) &gt;= TODAY(), "New Loan", "Old Loan")</f>
        <v>Old Loan</v>
      </c>
      <c r="AT270" s="19" t="str">
        <f>"Q"&amp;ROUNDUP(MONTH(Table1[[#This Row],[origination_date]])/3,0)&amp;YEAR(Table1[[#This Row],[origination_date]])</f>
        <v>Q22025</v>
      </c>
      <c r="AU270" s="19">
        <f>SUMIFS(Table1[loan_amount],Table1[quarter],Table1[[#This Row],[quarter]])</f>
        <v>80205600</v>
      </c>
    </row>
    <row r="271" spans="2:47" x14ac:dyDescent="0.2">
      <c r="B271" s="5" t="s">
        <v>58</v>
      </c>
      <c r="C271" s="2" t="s">
        <v>558</v>
      </c>
      <c r="D271" s="3">
        <v>45777</v>
      </c>
      <c r="E271" s="2" t="s">
        <v>1026</v>
      </c>
      <c r="F271" s="2" t="s">
        <v>1030</v>
      </c>
      <c r="G271" s="2" t="s">
        <v>1037</v>
      </c>
      <c r="H271" s="2" t="s">
        <v>1038</v>
      </c>
      <c r="I271" s="2">
        <v>84</v>
      </c>
      <c r="J271" s="2">
        <v>577000</v>
      </c>
      <c r="K271" s="2">
        <v>23</v>
      </c>
      <c r="L271" s="2">
        <v>13875</v>
      </c>
      <c r="M271" s="2">
        <v>712719</v>
      </c>
      <c r="N271" s="2">
        <v>614</v>
      </c>
      <c r="O271" s="2" t="s">
        <v>1045</v>
      </c>
      <c r="P271" s="2">
        <v>0.13</v>
      </c>
      <c r="Q271" s="2">
        <v>0.65</v>
      </c>
      <c r="R271" s="2">
        <v>0</v>
      </c>
      <c r="S271" s="2">
        <v>8</v>
      </c>
      <c r="T271" s="2">
        <v>103727</v>
      </c>
      <c r="U271" s="2">
        <v>508662</v>
      </c>
      <c r="V271" s="2">
        <v>0</v>
      </c>
      <c r="W271" s="2">
        <v>0</v>
      </c>
      <c r="X271" s="2">
        <v>0</v>
      </c>
      <c r="Y271" s="2" t="s">
        <v>1049</v>
      </c>
      <c r="Z271" s="12">
        <f>SUMIF(Table1[product],Table1[[#This Row],[product]],Table1[loan_amount])</f>
        <v>74897600</v>
      </c>
      <c r="AA271" s="15">
        <f>SUMIF(Table1[region],Table1[[#This Row],[region]],Table1[current_balance])</f>
        <v>94548000</v>
      </c>
      <c r="AB271" s="2">
        <f>COUNTIF(Table1[loan_status],Table1[[#This Row],[loan_status]])</f>
        <v>301</v>
      </c>
      <c r="AC271" s="2">
        <f>COUNTIF(Table1[default_flag],1)/ROWS(Table1[loan_id])</f>
        <v>2.5999999999999999E-2</v>
      </c>
      <c r="AD271" s="2">
        <f>COUNTIFS(Table1[region],Table1[[#This Row],[region]],Table1[default_flag],1)/COUNTIF(Table1[region],Table1[[#This Row],[region]])</f>
        <v>0</v>
      </c>
      <c r="AE271" s="2">
        <f>COUNTIFS(Table1[channel],Table1[[#This Row],[channel]],Table1[prepayment_flag],1)/COUNTIF(Table1[channel],Table1[[#This Row],[channel]])</f>
        <v>5.8201058201058198E-2</v>
      </c>
      <c r="AF271" s="2">
        <f>AVERAGEIFS(Table1[interest_rate_pct],Table1[product],Table1[[#This Row],[product]],Table1[risk_band],Table1[[#This Row],[risk_band]])</f>
        <v>20.962592592592593</v>
      </c>
      <c r="AG271" s="2" t="str" cm="1">
        <f t="array" ref="AG271">_xlfn.IFS(Table1[[#This Row],[dti_ratio]] &lt; 0.2, " less than 0.2", Table1[[#This Row],[dti_ratio]] &lt; 0.3, "0.2 - 0.3", Table1[[#This Row],[dti_ratio]] &lt;= 0.5, "0.35 - 0.5", Table1[[#This Row],[dti_ratio]] &gt; 0.5, "greater than 0.5")</f>
        <v xml:space="preserve"> less than 0.2</v>
      </c>
      <c r="AH271" s="2">
        <f>COUNTIF(Table1[DTI band],Table1[[#This Row],[DTI band]])</f>
        <v>86</v>
      </c>
      <c r="AI271" s="2" t="str" cm="1">
        <f t="array" ref="AI271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271" s="2">
        <f>COUNTIF(Table1[LTV band],Table1[[#This Row],[LTV band]])</f>
        <v>302</v>
      </c>
      <c r="AK271" s="19">
        <f>COUNTIFS(Table1[count_loan_perband],Table1[[#This Row],[count_loan_perband]],Table1[default_flag],1)/COUNTIF(Table1[count_loan_perband],Table1[[#This Row],[count_loan_perband]])</f>
        <v>3.6423841059602648E-2</v>
      </c>
      <c r="AL271" s="19" t="str" cm="1">
        <f t="array" ref="AL271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271" s="19">
        <f>IF(Table1[[#This Row],[dpd]] &gt;=30,1,0)</f>
        <v>0</v>
      </c>
      <c r="AN271" s="19">
        <f>COUNTIFS(Table1[Loan size],Table1[[#This Row],[Loan size]],Table1[dpd flag],1)/COUNTIF(Table1[Loan size],Table1[[#This Row],[Loan size]])</f>
        <v>0.13934426229508196</v>
      </c>
      <c r="AO271" s="19" t="str">
        <f>IF(OR(Table1[[#This Row],[credit_score]] &lt; 600, Table1[ [#This Row],[dti_ratio] ] &gt; 0.5, Table1[[#This Row],[dpd]] &gt;=30), "high risk", " not riskY")</f>
        <v xml:space="preserve"> not riskY</v>
      </c>
      <c r="AP271" s="29">
        <f>EOMONTH(Table1[[#This Row],[origination_date]],0)</f>
        <v>45777</v>
      </c>
      <c r="AQ271" s="19">
        <f>SUMIFS(Table1[loan_amount],Table1[origination month],Table1[[#This Row],[origination month]])</f>
        <v>18059300</v>
      </c>
      <c r="AR271" s="19">
        <f>AVERAGEIFS(Table1[months_on_book],Table1[product],Table1[[#This Row],[product]])</f>
        <v>21.092024539877301</v>
      </c>
      <c r="AS271" s="19" t="str">
        <f ca="1">IF(EDATE(Table1[[#This Row],[origination_date]],6) &gt;= TODAY(), "New Loan", "Old Loan")</f>
        <v>Old Loan</v>
      </c>
      <c r="AT271" s="19" t="str">
        <f>"Q"&amp;ROUNDUP(MONTH(Table1[[#This Row],[origination_date]])/3,0)&amp;YEAR(Table1[[#This Row],[origination_date]])</f>
        <v>Q22025</v>
      </c>
      <c r="AU271" s="19">
        <f>SUMIFS(Table1[loan_amount],Table1[quarter],Table1[[#This Row],[quarter]])</f>
        <v>80205600</v>
      </c>
    </row>
    <row r="272" spans="2:47" x14ac:dyDescent="0.2">
      <c r="B272" s="5" t="s">
        <v>121</v>
      </c>
      <c r="C272" s="2" t="s">
        <v>621</v>
      </c>
      <c r="D272" s="3">
        <v>45757</v>
      </c>
      <c r="E272" s="2" t="s">
        <v>1027</v>
      </c>
      <c r="F272" s="2" t="s">
        <v>1029</v>
      </c>
      <c r="G272" s="2" t="s">
        <v>1037</v>
      </c>
      <c r="H272" s="2" t="s">
        <v>1039</v>
      </c>
      <c r="I272" s="2">
        <v>24</v>
      </c>
      <c r="J272" s="2">
        <v>3040400</v>
      </c>
      <c r="K272" s="2">
        <v>13.74</v>
      </c>
      <c r="L272" s="2">
        <v>145605</v>
      </c>
      <c r="M272" s="2">
        <v>269832</v>
      </c>
      <c r="N272" s="2">
        <v>640</v>
      </c>
      <c r="O272" s="2" t="s">
        <v>1045</v>
      </c>
      <c r="P272" s="2">
        <v>0.13</v>
      </c>
      <c r="Q272" s="2">
        <v>0.54</v>
      </c>
      <c r="R272" s="2">
        <v>5635800</v>
      </c>
      <c r="S272" s="2">
        <v>8</v>
      </c>
      <c r="T272" s="2">
        <v>1122023</v>
      </c>
      <c r="U272" s="2">
        <v>2029777</v>
      </c>
      <c r="V272" s="2">
        <v>60</v>
      </c>
      <c r="W272" s="2">
        <v>0</v>
      </c>
      <c r="X272" s="2">
        <v>0</v>
      </c>
      <c r="Y272" s="2" t="s">
        <v>1048</v>
      </c>
      <c r="Z272" s="12">
        <f>SUMIF(Table1[product],Table1[[#This Row],[product]],Table1[loan_amount])</f>
        <v>403369500</v>
      </c>
      <c r="AA272" s="15">
        <f>SUMIF(Table1[region],Table1[[#This Row],[region]],Table1[current_balance])</f>
        <v>94548000</v>
      </c>
      <c r="AB272" s="2">
        <f>COUNTIF(Table1[loan_status],Table1[[#This Row],[loan_status]])</f>
        <v>47</v>
      </c>
      <c r="AC272" s="2">
        <f>COUNTIF(Table1[default_flag],1)/ROWS(Table1[loan_id])</f>
        <v>2.5999999999999999E-2</v>
      </c>
      <c r="AD272" s="2">
        <f>COUNTIFS(Table1[region],Table1[[#This Row],[region]],Table1[default_flag],1)/COUNTIF(Table1[region],Table1[[#This Row],[region]])</f>
        <v>0</v>
      </c>
      <c r="AE272" s="2">
        <f>COUNTIFS(Table1[channel],Table1[[#This Row],[channel]],Table1[prepayment_flag],1)/COUNTIF(Table1[channel],Table1[[#This Row],[channel]])</f>
        <v>7.1090047393364927E-2</v>
      </c>
      <c r="AF272" s="2">
        <f>AVERAGEIFS(Table1[interest_rate_pct],Table1[product],Table1[[#This Row],[product]],Table1[risk_band],Table1[[#This Row],[risk_band]])</f>
        <v>13.406874999999999</v>
      </c>
      <c r="AG272" s="2" t="str" cm="1">
        <f t="array" ref="AG272">_xlfn.IFS(Table1[[#This Row],[dti_ratio]] &lt; 0.2, " less than 0.2", Table1[[#This Row],[dti_ratio]] &lt; 0.3, "0.2 - 0.3", Table1[[#This Row],[dti_ratio]] &lt;= 0.5, "0.35 - 0.5", Table1[[#This Row],[dti_ratio]] &gt; 0.5, "greater than 0.5")</f>
        <v xml:space="preserve"> less than 0.2</v>
      </c>
      <c r="AH272" s="2">
        <f>COUNTIF(Table1[DTI band],Table1[[#This Row],[DTI band]])</f>
        <v>86</v>
      </c>
      <c r="AI272" s="2" t="str" cm="1">
        <f t="array" ref="AI272">_xlfn.IFS(Table1[[#This Row],[ltv_ratio]] &lt; 0.6, "less than 0.6 -less risky", Table1[[#This Row],[ltv_ratio]]  &lt;= 0.8, "0.6 - 0.8 -medium risky",Table1[[#This Row],[ltv_ratio]] &gt; 0.8, "greater than 0.8 -highly risky")</f>
        <v>less than 0.6 -less risky</v>
      </c>
      <c r="AJ272" s="2">
        <f>COUNTIF(Table1[LTV band],Table1[[#This Row],[LTV band]])</f>
        <v>57</v>
      </c>
      <c r="AK272" s="19">
        <f>COUNTIFS(Table1[count_loan_perband],Table1[[#This Row],[count_loan_perband]],Table1[default_flag],1)/COUNTIF(Table1[count_loan_perband],Table1[[#This Row],[count_loan_perband]])</f>
        <v>0</v>
      </c>
      <c r="AL272" s="19" t="str" cm="1">
        <f t="array" ref="AL272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272" s="19">
        <f>IF(Table1[[#This Row],[dpd]] &gt;=30,1,0)</f>
        <v>1</v>
      </c>
      <c r="AN272" s="19">
        <f>COUNTIFS(Table1[Loan size],Table1[[#This Row],[Loan size]],Table1[dpd flag],1)/COUNTIF(Table1[Loan size],Table1[[#This Row],[Loan size]])</f>
        <v>0.15909090909090909</v>
      </c>
      <c r="AO272" s="19" t="str">
        <f>IF(OR(Table1[[#This Row],[credit_score]] &lt; 600, Table1[ [#This Row],[dti_ratio] ] &gt; 0.5, Table1[[#This Row],[dpd]] &gt;=30), "high risk", " not riskY")</f>
        <v>high risk</v>
      </c>
      <c r="AP272" s="29">
        <f>EOMONTH(Table1[[#This Row],[origination_date]],0)</f>
        <v>45777</v>
      </c>
      <c r="AQ272" s="19">
        <f>SUMIFS(Table1[loan_amount],Table1[origination month],Table1[[#This Row],[origination month]])</f>
        <v>18059300</v>
      </c>
      <c r="AR272" s="19">
        <f>AVERAGEIFS(Table1[months_on_book],Table1[product],Table1[[#This Row],[product]])</f>
        <v>20.516129032258064</v>
      </c>
      <c r="AS272" s="19" t="str">
        <f ca="1">IF(EDATE(Table1[[#This Row],[origination_date]],6) &gt;= TODAY(), "New Loan", "Old Loan")</f>
        <v>Old Loan</v>
      </c>
      <c r="AT272" s="19" t="str">
        <f>"Q"&amp;ROUNDUP(MONTH(Table1[[#This Row],[origination_date]])/3,0)&amp;YEAR(Table1[[#This Row],[origination_date]])</f>
        <v>Q22025</v>
      </c>
      <c r="AU272" s="19">
        <f>SUMIFS(Table1[loan_amount],Table1[quarter],Table1[[#This Row],[quarter]])</f>
        <v>80205600</v>
      </c>
    </row>
    <row r="273" spans="2:47" x14ac:dyDescent="0.2">
      <c r="B273" s="5" t="s">
        <v>261</v>
      </c>
      <c r="C273" s="2" t="s">
        <v>761</v>
      </c>
      <c r="D273" s="3">
        <v>45774</v>
      </c>
      <c r="E273" s="2" t="s">
        <v>1028</v>
      </c>
      <c r="F273" s="2" t="s">
        <v>1030</v>
      </c>
      <c r="G273" s="2" t="s">
        <v>1034</v>
      </c>
      <c r="H273" s="2" t="s">
        <v>1039</v>
      </c>
      <c r="I273" s="2">
        <v>120</v>
      </c>
      <c r="J273" s="2">
        <v>901100</v>
      </c>
      <c r="K273" s="2">
        <v>10.54</v>
      </c>
      <c r="L273" s="2">
        <v>12179</v>
      </c>
      <c r="M273" s="2">
        <v>552504</v>
      </c>
      <c r="N273" s="2">
        <v>739</v>
      </c>
      <c r="O273" s="2" t="s">
        <v>1044</v>
      </c>
      <c r="P273" s="2">
        <v>0.12</v>
      </c>
      <c r="Q273" s="2">
        <v>0.43</v>
      </c>
      <c r="R273" s="2">
        <v>0</v>
      </c>
      <c r="S273" s="2">
        <v>8</v>
      </c>
      <c r="T273" s="2">
        <v>85746</v>
      </c>
      <c r="U273" s="2">
        <v>840681</v>
      </c>
      <c r="V273" s="2">
        <v>0</v>
      </c>
      <c r="W273" s="2">
        <v>0</v>
      </c>
      <c r="X273" s="2">
        <v>0</v>
      </c>
      <c r="Y273" s="2" t="s">
        <v>1049</v>
      </c>
      <c r="Z273" s="12">
        <f>SUMIF(Table1[product],Table1[[#This Row],[product]],Table1[loan_amount])</f>
        <v>62765800</v>
      </c>
      <c r="AA273" s="15">
        <f>SUMIF(Table1[region],Table1[[#This Row],[region]],Table1[current_balance])</f>
        <v>105779369</v>
      </c>
      <c r="AB273" s="2">
        <f>COUNTIF(Table1[loan_status],Table1[[#This Row],[loan_status]])</f>
        <v>301</v>
      </c>
      <c r="AC273" s="2">
        <f>COUNTIF(Table1[default_flag],1)/ROWS(Table1[loan_id])</f>
        <v>2.5999999999999999E-2</v>
      </c>
      <c r="AD273" s="2">
        <f>COUNTIFS(Table1[region],Table1[[#This Row],[region]],Table1[default_flag],1)/COUNTIF(Table1[region],Table1[[#This Row],[region]])</f>
        <v>2.6548672566371681E-2</v>
      </c>
      <c r="AE273" s="2">
        <f>COUNTIFS(Table1[channel],Table1[[#This Row],[channel]],Table1[prepayment_flag],1)/COUNTIF(Table1[channel],Table1[[#This Row],[channel]])</f>
        <v>5.8201058201058198E-2</v>
      </c>
      <c r="AF273" s="2">
        <f>AVERAGEIFS(Table1[interest_rate_pct],Table1[product],Table1[[#This Row],[product]],Table1[risk_band],Table1[[#This Row],[risk_band]])</f>
        <v>10.832666666666663</v>
      </c>
      <c r="AG273" s="2" t="str" cm="1">
        <f t="array" ref="AG273">_xlfn.IFS(Table1[[#This Row],[dti_ratio]] &lt; 0.2, " less than 0.2", Table1[[#This Row],[dti_ratio]] &lt; 0.3, "0.2 - 0.3", Table1[[#This Row],[dti_ratio]] &lt;= 0.5, "0.35 - 0.5", Table1[[#This Row],[dti_ratio]] &gt; 0.5, "greater than 0.5")</f>
        <v xml:space="preserve"> less than 0.2</v>
      </c>
      <c r="AH273" s="2">
        <f>COUNTIF(Table1[DTI band],Table1[[#This Row],[DTI band]])</f>
        <v>86</v>
      </c>
      <c r="AI273" s="2" t="str" cm="1">
        <f t="array" ref="AI273">_xlfn.IFS(Table1[[#This Row],[ltv_ratio]] &lt; 0.6, "less than 0.6 -less risky", Table1[[#This Row],[ltv_ratio]]  &lt;= 0.8, "0.6 - 0.8 -medium risky",Table1[[#This Row],[ltv_ratio]] &gt; 0.8, "greater than 0.8 -highly risky")</f>
        <v>less than 0.6 -less risky</v>
      </c>
      <c r="AJ273" s="2">
        <f>COUNTIF(Table1[LTV band],Table1[[#This Row],[LTV band]])</f>
        <v>57</v>
      </c>
      <c r="AK273" s="19">
        <f>COUNTIFS(Table1[count_loan_perband],Table1[[#This Row],[count_loan_perband]],Table1[default_flag],1)/COUNTIF(Table1[count_loan_perband],Table1[[#This Row],[count_loan_perband]])</f>
        <v>0</v>
      </c>
      <c r="AL273" s="19" t="str" cm="1">
        <f t="array" ref="AL273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273" s="19">
        <f>IF(Table1[[#This Row],[dpd]] &gt;=30,1,0)</f>
        <v>0</v>
      </c>
      <c r="AN273" s="19">
        <f>COUNTIFS(Table1[Loan size],Table1[[#This Row],[Loan size]],Table1[dpd flag],1)/COUNTIF(Table1[Loan size],Table1[[#This Row],[Loan size]])</f>
        <v>0.15909090909090909</v>
      </c>
      <c r="AO273" s="19" t="str">
        <f>IF(OR(Table1[[#This Row],[credit_score]] &lt; 600, Table1[ [#This Row],[dti_ratio] ] &gt; 0.5, Table1[[#This Row],[dpd]] &gt;=30), "high risk", " not riskY")</f>
        <v xml:space="preserve"> not riskY</v>
      </c>
      <c r="AP273" s="29">
        <f>EOMONTH(Table1[[#This Row],[origination_date]],0)</f>
        <v>45777</v>
      </c>
      <c r="AQ273" s="19">
        <f>SUMIFS(Table1[loan_amount],Table1[origination month],Table1[[#This Row],[origination month]])</f>
        <v>18059300</v>
      </c>
      <c r="AR273" s="19">
        <f>AVERAGEIFS(Table1[months_on_book],Table1[product],Table1[[#This Row],[product]])</f>
        <v>21.962962962962962</v>
      </c>
      <c r="AS273" s="19" t="str">
        <f ca="1">IF(EDATE(Table1[[#This Row],[origination_date]],6) &gt;= TODAY(), "New Loan", "Old Loan")</f>
        <v>Old Loan</v>
      </c>
      <c r="AT273" s="19" t="str">
        <f>"Q"&amp;ROUNDUP(MONTH(Table1[[#This Row],[origination_date]])/3,0)&amp;YEAR(Table1[[#This Row],[origination_date]])</f>
        <v>Q22025</v>
      </c>
      <c r="AU273" s="19">
        <f>SUMIFS(Table1[loan_amount],Table1[quarter],Table1[[#This Row],[quarter]])</f>
        <v>80205600</v>
      </c>
    </row>
    <row r="274" spans="2:47" x14ac:dyDescent="0.2">
      <c r="B274" s="5" t="s">
        <v>126</v>
      </c>
      <c r="C274" s="2" t="s">
        <v>626</v>
      </c>
      <c r="D274" s="3">
        <v>45766</v>
      </c>
      <c r="E274" s="2" t="s">
        <v>1024</v>
      </c>
      <c r="F274" s="2" t="s">
        <v>1029</v>
      </c>
      <c r="G274" s="2" t="s">
        <v>1036</v>
      </c>
      <c r="H274" s="2" t="s">
        <v>1040</v>
      </c>
      <c r="I274" s="2">
        <v>60</v>
      </c>
      <c r="J274" s="2">
        <v>591800</v>
      </c>
      <c r="K274" s="2">
        <v>13.33</v>
      </c>
      <c r="L274" s="2">
        <v>13565</v>
      </c>
      <c r="M274" s="2">
        <v>1362877</v>
      </c>
      <c r="N274" s="2">
        <v>646</v>
      </c>
      <c r="O274" s="2" t="s">
        <v>1045</v>
      </c>
      <c r="P274" s="2">
        <v>0.09</v>
      </c>
      <c r="Q274" s="2">
        <v>0.6</v>
      </c>
      <c r="R274" s="2">
        <v>979400</v>
      </c>
      <c r="S274" s="2">
        <v>8</v>
      </c>
      <c r="T274" s="2">
        <v>92991</v>
      </c>
      <c r="U274" s="2">
        <v>519846</v>
      </c>
      <c r="V274" s="2">
        <v>30</v>
      </c>
      <c r="W274" s="2">
        <v>0</v>
      </c>
      <c r="X274" s="2">
        <v>0</v>
      </c>
      <c r="Y274" s="2" t="s">
        <v>1048</v>
      </c>
      <c r="Z274" s="12">
        <f>SUMIF(Table1[product],Table1[[#This Row],[product]],Table1[loan_amount])</f>
        <v>92273000</v>
      </c>
      <c r="AA274" s="15">
        <f>SUMIF(Table1[region],Table1[[#This Row],[region]],Table1[current_balance])</f>
        <v>98928695</v>
      </c>
      <c r="AB274" s="2">
        <f>COUNTIF(Table1[loan_status],Table1[[#This Row],[loan_status]])</f>
        <v>47</v>
      </c>
      <c r="AC274" s="2">
        <f>COUNTIF(Table1[default_flag],1)/ROWS(Table1[loan_id])</f>
        <v>2.5999999999999999E-2</v>
      </c>
      <c r="AD274" s="2">
        <f>COUNTIFS(Table1[region],Table1[[#This Row],[region]],Table1[default_flag],1)/COUNTIF(Table1[region],Table1[[#This Row],[region]])</f>
        <v>2.8571428571428571E-2</v>
      </c>
      <c r="AE274" s="2">
        <f>COUNTIFS(Table1[channel],Table1[[#This Row],[channel]],Table1[prepayment_flag],1)/COUNTIF(Table1[channel],Table1[[#This Row],[channel]])</f>
        <v>7.1090047393364927E-2</v>
      </c>
      <c r="AF274" s="2">
        <f>AVERAGEIFS(Table1[interest_rate_pct],Table1[product],Table1[[#This Row],[product]],Table1[risk_band],Table1[[#This Row],[risk_band]])</f>
        <v>15.092000000000001</v>
      </c>
      <c r="AG274" s="2" t="str" cm="1">
        <f t="array" ref="AG274">_xlfn.IFS(Table1[[#This Row],[dti_ratio]] &lt; 0.2, " less than 0.2", Table1[[#This Row],[dti_ratio]] &lt; 0.3, "0.2 - 0.3", Table1[[#This Row],[dti_ratio]] &lt;= 0.5, "0.35 - 0.5", Table1[[#This Row],[dti_ratio]] &gt; 0.5, "greater than 0.5")</f>
        <v xml:space="preserve"> less than 0.2</v>
      </c>
      <c r="AH274" s="2">
        <f>COUNTIF(Table1[DTI band],Table1[[#This Row],[DTI band]])</f>
        <v>86</v>
      </c>
      <c r="AI274" s="2" t="str" cm="1">
        <f t="array" ref="AI274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274" s="2">
        <f>COUNTIF(Table1[LTV band],Table1[[#This Row],[LTV band]])</f>
        <v>302</v>
      </c>
      <c r="AK274" s="19">
        <f>COUNTIFS(Table1[count_loan_perband],Table1[[#This Row],[count_loan_perband]],Table1[default_flag],1)/COUNTIF(Table1[count_loan_perband],Table1[[#This Row],[count_loan_perband]])</f>
        <v>3.6423841059602648E-2</v>
      </c>
      <c r="AL274" s="19" t="str" cm="1">
        <f t="array" ref="AL274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274" s="19">
        <f>IF(Table1[[#This Row],[dpd]] &gt;=30,1,0)</f>
        <v>1</v>
      </c>
      <c r="AN274" s="19">
        <f>COUNTIFS(Table1[Loan size],Table1[[#This Row],[Loan size]],Table1[dpd flag],1)/COUNTIF(Table1[Loan size],Table1[[#This Row],[Loan size]])</f>
        <v>0.13934426229508196</v>
      </c>
      <c r="AO274" s="19" t="str">
        <f>IF(OR(Table1[[#This Row],[credit_score]] &lt; 600, Table1[ [#This Row],[dti_ratio] ] &gt; 0.5, Table1[[#This Row],[dpd]] &gt;=30), "high risk", " not riskY")</f>
        <v>high risk</v>
      </c>
      <c r="AP274" s="29">
        <f>EOMONTH(Table1[[#This Row],[origination_date]],0)</f>
        <v>45777</v>
      </c>
      <c r="AQ274" s="19">
        <f>SUMIFS(Table1[loan_amount],Table1[origination month],Table1[[#This Row],[origination month]])</f>
        <v>18059300</v>
      </c>
      <c r="AR274" s="19">
        <f>AVERAGEIFS(Table1[months_on_book],Table1[product],Table1[[#This Row],[product]])</f>
        <v>20.262135922330096</v>
      </c>
      <c r="AS274" s="19" t="str">
        <f ca="1">IF(EDATE(Table1[[#This Row],[origination_date]],6) &gt;= TODAY(), "New Loan", "Old Loan")</f>
        <v>Old Loan</v>
      </c>
      <c r="AT274" s="19" t="str">
        <f>"Q"&amp;ROUNDUP(MONTH(Table1[[#This Row],[origination_date]])/3,0)&amp;YEAR(Table1[[#This Row],[origination_date]])</f>
        <v>Q22025</v>
      </c>
      <c r="AU274" s="19">
        <f>SUMIFS(Table1[loan_amount],Table1[quarter],Table1[[#This Row],[quarter]])</f>
        <v>80205600</v>
      </c>
    </row>
    <row r="275" spans="2:47" x14ac:dyDescent="0.2">
      <c r="B275" s="5" t="s">
        <v>317</v>
      </c>
      <c r="C275" s="2" t="s">
        <v>817</v>
      </c>
      <c r="D275" s="3">
        <v>44828</v>
      </c>
      <c r="E275" s="2" t="s">
        <v>1025</v>
      </c>
      <c r="F275" s="2" t="s">
        <v>1029</v>
      </c>
      <c r="G275" s="2" t="s">
        <v>1035</v>
      </c>
      <c r="H275" s="2" t="s">
        <v>1038</v>
      </c>
      <c r="I275" s="2">
        <v>36</v>
      </c>
      <c r="J275" s="2">
        <v>1413400</v>
      </c>
      <c r="K275" s="2">
        <v>15.88</v>
      </c>
      <c r="L275" s="2">
        <v>49607</v>
      </c>
      <c r="M275" s="2">
        <v>698156</v>
      </c>
      <c r="N275" s="2">
        <v>664</v>
      </c>
      <c r="O275" s="2" t="s">
        <v>1042</v>
      </c>
      <c r="P275" s="2">
        <v>0.53</v>
      </c>
      <c r="Q275" s="2">
        <v>0.72</v>
      </c>
      <c r="R275" s="2">
        <v>1954800</v>
      </c>
      <c r="S275" s="2">
        <v>36</v>
      </c>
      <c r="T275" s="2">
        <v>1754757</v>
      </c>
      <c r="U275" s="2">
        <v>0</v>
      </c>
      <c r="V275" s="2">
        <v>0</v>
      </c>
      <c r="W275" s="2">
        <v>0</v>
      </c>
      <c r="X275" s="2">
        <v>0</v>
      </c>
      <c r="Y275" s="2" t="s">
        <v>1047</v>
      </c>
      <c r="Z275" s="12">
        <f>SUMIF(Table1[product],Table1[[#This Row],[product]],Table1[loan_amount])</f>
        <v>201475100</v>
      </c>
      <c r="AA275" s="15">
        <f>SUMIF(Table1[region],Table1[[#This Row],[region]],Table1[current_balance])</f>
        <v>83903255</v>
      </c>
      <c r="AB275" s="2">
        <f>COUNTIF(Table1[loan_status],Table1[[#This Row],[loan_status]])</f>
        <v>139</v>
      </c>
      <c r="AC275" s="2">
        <f>COUNTIF(Table1[default_flag],1)/ROWS(Table1[loan_id])</f>
        <v>2.5999999999999999E-2</v>
      </c>
      <c r="AD275" s="2">
        <f>COUNTIFS(Table1[region],Table1[[#This Row],[region]],Table1[default_flag],1)/COUNTIF(Table1[region],Table1[[#This Row],[region]])</f>
        <v>4.2553191489361701E-2</v>
      </c>
      <c r="AE275" s="2">
        <f>COUNTIFS(Table1[channel],Table1[[#This Row],[channel]],Table1[prepayment_flag],1)/COUNTIF(Table1[channel],Table1[[#This Row],[channel]])</f>
        <v>7.1090047393364927E-2</v>
      </c>
      <c r="AF275" s="2">
        <f>AVERAGEIFS(Table1[interest_rate_pct],Table1[product],Table1[[#This Row],[product]],Table1[risk_band],Table1[[#This Row],[risk_band]])</f>
        <v>15.841379310344831</v>
      </c>
      <c r="AG275" s="2" t="str" cm="1">
        <f t="array" ref="AG275">_xlfn.IFS(Table1[[#This Row],[dti_ratio]] &lt; 0.2, " less than 0.2", Table1[[#This Row],[dti_ratio]] &lt; 0.3, "0.2 - 0.3", Table1[[#This Row],[dti_ratio]] &lt;= 0.5, "0.35 - 0.5", Table1[[#This Row],[dti_ratio]] &gt; 0.5, "greater than 0.5")</f>
        <v>greater than 0.5</v>
      </c>
      <c r="AH275" s="2">
        <f>COUNTIF(Table1[DTI band],Table1[[#This Row],[DTI band]])</f>
        <v>32</v>
      </c>
      <c r="AI275" s="2" t="str" cm="1">
        <f t="array" ref="AI275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275" s="2">
        <f>COUNTIF(Table1[LTV band],Table1[[#This Row],[LTV band]])</f>
        <v>302</v>
      </c>
      <c r="AK275" s="19">
        <f>COUNTIFS(Table1[count_loan_perband],Table1[[#This Row],[count_loan_perband]],Table1[default_flag],1)/COUNTIF(Table1[count_loan_perband],Table1[[#This Row],[count_loan_perband]])</f>
        <v>3.6423841059602648E-2</v>
      </c>
      <c r="AL275" s="19" t="str" cm="1">
        <f t="array" ref="AL275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275" s="19">
        <f>IF(Table1[[#This Row],[dpd]] &gt;=30,1,0)</f>
        <v>0</v>
      </c>
      <c r="AN275" s="19">
        <f>COUNTIFS(Table1[Loan size],Table1[[#This Row],[Loan size]],Table1[dpd flag],1)/COUNTIF(Table1[Loan size],Table1[[#This Row],[Loan size]])</f>
        <v>0.15909090909090909</v>
      </c>
      <c r="AO275" s="19" t="str">
        <f>IF(OR(Table1[[#This Row],[credit_score]] &lt; 600, Table1[ [#This Row],[dti_ratio] ] &gt; 0.5, Table1[[#This Row],[dpd]] &gt;=30), "high risk", " not riskY")</f>
        <v>high risk</v>
      </c>
      <c r="AP275" s="29">
        <f>EOMONTH(Table1[[#This Row],[origination_date]],0)</f>
        <v>44834</v>
      </c>
      <c r="AQ275" s="19">
        <f>SUMIFS(Table1[loan_amount],Table1[origination month],Table1[[#This Row],[origination month]])</f>
        <v>15111800</v>
      </c>
      <c r="AR275" s="19">
        <f>AVERAGEIFS(Table1[months_on_book],Table1[product],Table1[[#This Row],[product]])</f>
        <v>19.091954022988507</v>
      </c>
      <c r="AS275" s="19" t="str">
        <f ca="1">IF(EDATE(Table1[[#This Row],[origination_date]],6) &gt;= TODAY(), "New Loan", "Old Loan")</f>
        <v>Old Loan</v>
      </c>
      <c r="AT275" s="19" t="str">
        <f>"Q"&amp;ROUNDUP(MONTH(Table1[[#This Row],[origination_date]])/3,0)&amp;YEAR(Table1[[#This Row],[origination_date]])</f>
        <v>Q32022</v>
      </c>
      <c r="AU275" s="19">
        <f>SUMIFS(Table1[loan_amount],Table1[quarter],Table1[[#This Row],[quarter]])</f>
        <v>29441400</v>
      </c>
    </row>
    <row r="276" spans="2:47" x14ac:dyDescent="0.2">
      <c r="B276" s="5" t="s">
        <v>507</v>
      </c>
      <c r="C276" s="2" t="s">
        <v>1007</v>
      </c>
      <c r="D276" s="3">
        <v>44777</v>
      </c>
      <c r="E276" s="2" t="s">
        <v>1028</v>
      </c>
      <c r="F276" s="2" t="s">
        <v>1032</v>
      </c>
      <c r="G276" s="2" t="s">
        <v>1035</v>
      </c>
      <c r="H276" s="2" t="s">
        <v>1041</v>
      </c>
      <c r="I276" s="2">
        <v>24</v>
      </c>
      <c r="J276" s="2">
        <v>1143200</v>
      </c>
      <c r="K276" s="2">
        <v>11.51</v>
      </c>
      <c r="L276" s="2">
        <v>53553</v>
      </c>
      <c r="M276" s="2">
        <v>1607224</v>
      </c>
      <c r="N276" s="2">
        <v>724</v>
      </c>
      <c r="O276" s="2" t="s">
        <v>1044</v>
      </c>
      <c r="P276" s="2">
        <v>0.45</v>
      </c>
      <c r="Q276" s="2">
        <v>0.67</v>
      </c>
      <c r="R276" s="2">
        <v>0</v>
      </c>
      <c r="S276" s="2">
        <v>24</v>
      </c>
      <c r="T276" s="2">
        <v>1145123</v>
      </c>
      <c r="U276" s="2">
        <v>103343</v>
      </c>
      <c r="V276" s="2">
        <v>0</v>
      </c>
      <c r="W276" s="2">
        <v>0</v>
      </c>
      <c r="X276" s="2">
        <v>0</v>
      </c>
      <c r="Y276" s="2" t="s">
        <v>1047</v>
      </c>
      <c r="Z276" s="12">
        <f>SUMIF(Table1[product],Table1[[#This Row],[product]],Table1[loan_amount])</f>
        <v>62765800</v>
      </c>
      <c r="AA276" s="15">
        <f>SUMIF(Table1[region],Table1[[#This Row],[region]],Table1[current_balance])</f>
        <v>83903255</v>
      </c>
      <c r="AB276" s="2">
        <f>COUNTIF(Table1[loan_status],Table1[[#This Row],[loan_status]])</f>
        <v>139</v>
      </c>
      <c r="AC276" s="2">
        <f>COUNTIF(Table1[default_flag],1)/ROWS(Table1[loan_id])</f>
        <v>2.5999999999999999E-2</v>
      </c>
      <c r="AD276" s="2">
        <f>COUNTIFS(Table1[region],Table1[[#This Row],[region]],Table1[default_flag],1)/COUNTIF(Table1[region],Table1[[#This Row],[region]])</f>
        <v>4.2553191489361701E-2</v>
      </c>
      <c r="AE276" s="2">
        <f>COUNTIFS(Table1[channel],Table1[[#This Row],[channel]],Table1[prepayment_flag],1)/COUNTIF(Table1[channel],Table1[[#This Row],[channel]])</f>
        <v>0.1</v>
      </c>
      <c r="AF276" s="2">
        <f>AVERAGEIFS(Table1[interest_rate_pct],Table1[product],Table1[[#This Row],[product]],Table1[risk_band],Table1[[#This Row],[risk_band]])</f>
        <v>10.832666666666663</v>
      </c>
      <c r="AG276" s="2" t="str" cm="1">
        <f t="array" ref="AG276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276" s="2">
        <f>COUNTIF(Table1[DTI band],Table1[[#This Row],[DTI band]])</f>
        <v>260</v>
      </c>
      <c r="AI276" s="2" t="str" cm="1">
        <f t="array" ref="AI276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276" s="2">
        <f>COUNTIF(Table1[LTV band],Table1[[#This Row],[LTV band]])</f>
        <v>302</v>
      </c>
      <c r="AK276" s="19">
        <f>COUNTIFS(Table1[count_loan_perband],Table1[[#This Row],[count_loan_perband]],Table1[default_flag],1)/COUNTIF(Table1[count_loan_perband],Table1[[#This Row],[count_loan_perband]])</f>
        <v>3.6423841059602648E-2</v>
      </c>
      <c r="AL276" s="19" t="str" cm="1">
        <f t="array" ref="AL276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276" s="19">
        <f>IF(Table1[[#This Row],[dpd]] &gt;=30,1,0)</f>
        <v>0</v>
      </c>
      <c r="AN276" s="19">
        <f>COUNTIFS(Table1[Loan size],Table1[[#This Row],[Loan size]],Table1[dpd flag],1)/COUNTIF(Table1[Loan size],Table1[[#This Row],[Loan size]])</f>
        <v>0.15909090909090909</v>
      </c>
      <c r="AO276" s="19" t="str">
        <f>IF(OR(Table1[[#This Row],[credit_score]] &lt; 600, Table1[ [#This Row],[dti_ratio] ] &gt; 0.5, Table1[[#This Row],[dpd]] &gt;=30), "high risk", " not riskY")</f>
        <v xml:space="preserve"> not riskY</v>
      </c>
      <c r="AP276" s="29">
        <f>EOMONTH(Table1[[#This Row],[origination_date]],0)</f>
        <v>44804</v>
      </c>
      <c r="AQ276" s="19">
        <f>SUMIFS(Table1[loan_amount],Table1[origination month],Table1[[#This Row],[origination month]])</f>
        <v>9810900</v>
      </c>
      <c r="AR276" s="19">
        <f>AVERAGEIFS(Table1[months_on_book],Table1[product],Table1[[#This Row],[product]])</f>
        <v>21.962962962962962</v>
      </c>
      <c r="AS276" s="19" t="str">
        <f ca="1">IF(EDATE(Table1[[#This Row],[origination_date]],6) &gt;= TODAY(), "New Loan", "Old Loan")</f>
        <v>Old Loan</v>
      </c>
      <c r="AT276" s="19" t="str">
        <f>"Q"&amp;ROUNDUP(MONTH(Table1[[#This Row],[origination_date]])/3,0)&amp;YEAR(Table1[[#This Row],[origination_date]])</f>
        <v>Q32022</v>
      </c>
      <c r="AU276" s="19">
        <f>SUMIFS(Table1[loan_amount],Table1[quarter],Table1[[#This Row],[quarter]])</f>
        <v>29441400</v>
      </c>
    </row>
    <row r="277" spans="2:47" x14ac:dyDescent="0.2">
      <c r="B277" s="5" t="s">
        <v>216</v>
      </c>
      <c r="C277" s="2" t="s">
        <v>716</v>
      </c>
      <c r="D277" s="3">
        <v>44815</v>
      </c>
      <c r="E277" s="2" t="s">
        <v>1026</v>
      </c>
      <c r="F277" s="2" t="s">
        <v>1029</v>
      </c>
      <c r="G277" s="2" t="s">
        <v>1034</v>
      </c>
      <c r="H277" s="2" t="s">
        <v>1041</v>
      </c>
      <c r="I277" s="2">
        <v>12</v>
      </c>
      <c r="J277" s="2">
        <v>50000</v>
      </c>
      <c r="K277" s="2">
        <v>16.62</v>
      </c>
      <c r="L277" s="2">
        <v>4551</v>
      </c>
      <c r="M277" s="2">
        <v>1175170</v>
      </c>
      <c r="N277" s="2">
        <v>725</v>
      </c>
      <c r="O277" s="2" t="s">
        <v>1044</v>
      </c>
      <c r="P277" s="2">
        <v>0.42</v>
      </c>
      <c r="Q277" s="2">
        <v>0.79</v>
      </c>
      <c r="R277" s="2">
        <v>0</v>
      </c>
      <c r="S277" s="2">
        <v>12</v>
      </c>
      <c r="T277" s="2">
        <v>46430</v>
      </c>
      <c r="U277" s="2">
        <v>6894</v>
      </c>
      <c r="V277" s="2">
        <v>0</v>
      </c>
      <c r="W277" s="2">
        <v>0</v>
      </c>
      <c r="X277" s="2">
        <v>0</v>
      </c>
      <c r="Y277" s="2" t="s">
        <v>1047</v>
      </c>
      <c r="Z277" s="12">
        <f>SUMIF(Table1[product],Table1[[#This Row],[product]],Table1[loan_amount])</f>
        <v>74897600</v>
      </c>
      <c r="AA277" s="15">
        <f>SUMIF(Table1[region],Table1[[#This Row],[region]],Table1[current_balance])</f>
        <v>105779369</v>
      </c>
      <c r="AB277" s="2">
        <f>COUNTIF(Table1[loan_status],Table1[[#This Row],[loan_status]])</f>
        <v>139</v>
      </c>
      <c r="AC277" s="2">
        <f>COUNTIF(Table1[default_flag],1)/ROWS(Table1[loan_id])</f>
        <v>2.5999999999999999E-2</v>
      </c>
      <c r="AD277" s="2">
        <f>COUNTIFS(Table1[region],Table1[[#This Row],[region]],Table1[default_flag],1)/COUNTIF(Table1[region],Table1[[#This Row],[region]])</f>
        <v>2.6548672566371681E-2</v>
      </c>
      <c r="AE277" s="2">
        <f>COUNTIFS(Table1[channel],Table1[[#This Row],[channel]],Table1[prepayment_flag],1)/COUNTIF(Table1[channel],Table1[[#This Row],[channel]])</f>
        <v>7.1090047393364927E-2</v>
      </c>
      <c r="AF277" s="2">
        <f>AVERAGEIFS(Table1[interest_rate_pct],Table1[product],Table1[[#This Row],[product]],Table1[risk_band],Table1[[#This Row],[risk_band]])</f>
        <v>16.500166666666669</v>
      </c>
      <c r="AG277" s="2" t="str" cm="1">
        <f t="array" ref="AG277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277" s="2">
        <f>COUNTIF(Table1[DTI band],Table1[[#This Row],[DTI band]])</f>
        <v>260</v>
      </c>
      <c r="AI277" s="2" t="str" cm="1">
        <f t="array" ref="AI277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277" s="2">
        <f>COUNTIF(Table1[LTV band],Table1[[#This Row],[LTV band]])</f>
        <v>302</v>
      </c>
      <c r="AK277" s="19">
        <f>COUNTIFS(Table1[count_loan_perband],Table1[[#This Row],[count_loan_perband]],Table1[default_flag],1)/COUNTIF(Table1[count_loan_perband],Table1[[#This Row],[count_loan_perband]])</f>
        <v>3.6423841059602648E-2</v>
      </c>
      <c r="AL277" s="19" t="str" cm="1">
        <f t="array" ref="AL277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277" s="19">
        <f>IF(Table1[[#This Row],[dpd]] &gt;=30,1,0)</f>
        <v>0</v>
      </c>
      <c r="AN277" s="19">
        <f>COUNTIFS(Table1[Loan size],Table1[[#This Row],[Loan size]],Table1[dpd flag],1)/COUNTIF(Table1[Loan size],Table1[[#This Row],[Loan size]])</f>
        <v>0.13934426229508196</v>
      </c>
      <c r="AO277" s="19" t="str">
        <f>IF(OR(Table1[[#This Row],[credit_score]] &lt; 600, Table1[ [#This Row],[dti_ratio] ] &gt; 0.5, Table1[[#This Row],[dpd]] &gt;=30), "high risk", " not riskY")</f>
        <v xml:space="preserve"> not riskY</v>
      </c>
      <c r="AP277" s="29">
        <f>EOMONTH(Table1[[#This Row],[origination_date]],0)</f>
        <v>44834</v>
      </c>
      <c r="AQ277" s="19">
        <f>SUMIFS(Table1[loan_amount],Table1[origination month],Table1[[#This Row],[origination month]])</f>
        <v>15111800</v>
      </c>
      <c r="AR277" s="19">
        <f>AVERAGEIFS(Table1[months_on_book],Table1[product],Table1[[#This Row],[product]])</f>
        <v>21.092024539877301</v>
      </c>
      <c r="AS277" s="19" t="str">
        <f ca="1">IF(EDATE(Table1[[#This Row],[origination_date]],6) &gt;= TODAY(), "New Loan", "Old Loan")</f>
        <v>Old Loan</v>
      </c>
      <c r="AT277" s="19" t="str">
        <f>"Q"&amp;ROUNDUP(MONTH(Table1[[#This Row],[origination_date]])/3,0)&amp;YEAR(Table1[[#This Row],[origination_date]])</f>
        <v>Q32022</v>
      </c>
      <c r="AU277" s="19">
        <f>SUMIFS(Table1[loan_amount],Table1[quarter],Table1[[#This Row],[quarter]])</f>
        <v>29441400</v>
      </c>
    </row>
    <row r="278" spans="2:47" x14ac:dyDescent="0.2">
      <c r="B278" s="5" t="s">
        <v>75</v>
      </c>
      <c r="C278" s="2" t="s">
        <v>575</v>
      </c>
      <c r="D278" s="3">
        <v>44765</v>
      </c>
      <c r="E278" s="2" t="s">
        <v>1026</v>
      </c>
      <c r="F278" s="2" t="s">
        <v>1029</v>
      </c>
      <c r="G278" s="2" t="s">
        <v>1036</v>
      </c>
      <c r="H278" s="2" t="s">
        <v>1041</v>
      </c>
      <c r="I278" s="2">
        <v>120</v>
      </c>
      <c r="J278" s="2">
        <v>530900</v>
      </c>
      <c r="K278" s="2">
        <v>15.86</v>
      </c>
      <c r="L278" s="2">
        <v>8847</v>
      </c>
      <c r="M278" s="2">
        <v>931555</v>
      </c>
      <c r="N278" s="2">
        <v>733</v>
      </c>
      <c r="O278" s="2" t="s">
        <v>1044</v>
      </c>
      <c r="P278" s="2">
        <v>0.41</v>
      </c>
      <c r="Q278" s="2">
        <v>0.87</v>
      </c>
      <c r="R278" s="2">
        <v>0</v>
      </c>
      <c r="S278" s="2">
        <v>41</v>
      </c>
      <c r="T278" s="2">
        <v>342485</v>
      </c>
      <c r="U278" s="2">
        <v>303489</v>
      </c>
      <c r="V278" s="2">
        <v>30</v>
      </c>
      <c r="W278" s="2">
        <v>0</v>
      </c>
      <c r="X278" s="2">
        <v>0</v>
      </c>
      <c r="Y278" s="2" t="s">
        <v>1048</v>
      </c>
      <c r="Z278" s="12">
        <f>SUMIF(Table1[product],Table1[[#This Row],[product]],Table1[loan_amount])</f>
        <v>74897600</v>
      </c>
      <c r="AA278" s="15">
        <f>SUMIF(Table1[region],Table1[[#This Row],[region]],Table1[current_balance])</f>
        <v>98928695</v>
      </c>
      <c r="AB278" s="2">
        <f>COUNTIF(Table1[loan_status],Table1[[#This Row],[loan_status]])</f>
        <v>47</v>
      </c>
      <c r="AC278" s="2">
        <f>COUNTIF(Table1[default_flag],1)/ROWS(Table1[loan_id])</f>
        <v>2.5999999999999999E-2</v>
      </c>
      <c r="AD278" s="2">
        <f>COUNTIFS(Table1[region],Table1[[#This Row],[region]],Table1[default_flag],1)/COUNTIF(Table1[region],Table1[[#This Row],[region]])</f>
        <v>2.8571428571428571E-2</v>
      </c>
      <c r="AE278" s="2">
        <f>COUNTIFS(Table1[channel],Table1[[#This Row],[channel]],Table1[prepayment_flag],1)/COUNTIF(Table1[channel],Table1[[#This Row],[channel]])</f>
        <v>7.1090047393364927E-2</v>
      </c>
      <c r="AF278" s="2">
        <f>AVERAGEIFS(Table1[interest_rate_pct],Table1[product],Table1[[#This Row],[product]],Table1[risk_band],Table1[[#This Row],[risk_band]])</f>
        <v>16.500166666666669</v>
      </c>
      <c r="AG278" s="2" t="str" cm="1">
        <f t="array" ref="AG278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278" s="2">
        <f>COUNTIF(Table1[DTI band],Table1[[#This Row],[DTI band]])</f>
        <v>260</v>
      </c>
      <c r="AI278" s="2" t="str" cm="1">
        <f t="array" ref="AI278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278" s="2">
        <f>COUNTIF(Table1[LTV band],Table1[[#This Row],[LTV band]])</f>
        <v>141</v>
      </c>
      <c r="AK278" s="19">
        <f>COUNTIFS(Table1[count_loan_perband],Table1[[#This Row],[count_loan_perband]],Table1[default_flag],1)/COUNTIF(Table1[count_loan_perband],Table1[[#This Row],[count_loan_perband]])</f>
        <v>1.4184397163120567E-2</v>
      </c>
      <c r="AL278" s="19" t="str" cm="1">
        <f t="array" ref="AL278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278" s="19">
        <f>IF(Table1[[#This Row],[dpd]] &gt;=30,1,0)</f>
        <v>1</v>
      </c>
      <c r="AN278" s="19">
        <f>COUNTIFS(Table1[Loan size],Table1[[#This Row],[Loan size]],Table1[dpd flag],1)/COUNTIF(Table1[Loan size],Table1[[#This Row],[Loan size]])</f>
        <v>0.13934426229508196</v>
      </c>
      <c r="AO278" s="19" t="str">
        <f>IF(OR(Table1[[#This Row],[credit_score]] &lt; 600, Table1[ [#This Row],[dti_ratio] ] &gt; 0.5, Table1[[#This Row],[dpd]] &gt;=30), "high risk", " not riskY")</f>
        <v>high risk</v>
      </c>
      <c r="AP278" s="29">
        <f>EOMONTH(Table1[[#This Row],[origination_date]],0)</f>
        <v>44773</v>
      </c>
      <c r="AQ278" s="19">
        <f>SUMIFS(Table1[loan_amount],Table1[origination month],Table1[[#This Row],[origination month]])</f>
        <v>4518700</v>
      </c>
      <c r="AR278" s="19">
        <f>AVERAGEIFS(Table1[months_on_book],Table1[product],Table1[[#This Row],[product]])</f>
        <v>21.092024539877301</v>
      </c>
      <c r="AS278" s="19" t="str">
        <f ca="1">IF(EDATE(Table1[[#This Row],[origination_date]],6) &gt;= TODAY(), "New Loan", "Old Loan")</f>
        <v>Old Loan</v>
      </c>
      <c r="AT278" s="19" t="str">
        <f>"Q"&amp;ROUNDUP(MONTH(Table1[[#This Row],[origination_date]])/3,0)&amp;YEAR(Table1[[#This Row],[origination_date]])</f>
        <v>Q32022</v>
      </c>
      <c r="AU278" s="19">
        <f>SUMIFS(Table1[loan_amount],Table1[quarter],Table1[[#This Row],[quarter]])</f>
        <v>29441400</v>
      </c>
    </row>
    <row r="279" spans="2:47" x14ac:dyDescent="0.2">
      <c r="B279" s="5" t="s">
        <v>108</v>
      </c>
      <c r="C279" s="2" t="s">
        <v>608</v>
      </c>
      <c r="D279" s="3">
        <v>44830</v>
      </c>
      <c r="E279" s="2" t="s">
        <v>1028</v>
      </c>
      <c r="F279" s="2" t="s">
        <v>1032</v>
      </c>
      <c r="G279" s="2" t="s">
        <v>1033</v>
      </c>
      <c r="H279" s="2" t="s">
        <v>1038</v>
      </c>
      <c r="I279" s="2">
        <v>360</v>
      </c>
      <c r="J279" s="2">
        <v>1204100</v>
      </c>
      <c r="K279" s="2">
        <v>15.68</v>
      </c>
      <c r="L279" s="2">
        <v>15882</v>
      </c>
      <c r="M279" s="2">
        <v>1169464</v>
      </c>
      <c r="N279" s="2">
        <v>637</v>
      </c>
      <c r="O279" s="2" t="s">
        <v>1045</v>
      </c>
      <c r="P279" s="2">
        <v>0.41</v>
      </c>
      <c r="Q279" s="2">
        <v>0.72</v>
      </c>
      <c r="R279" s="2">
        <v>0</v>
      </c>
      <c r="S279" s="2">
        <v>39</v>
      </c>
      <c r="T279" s="2">
        <v>597866</v>
      </c>
      <c r="U279" s="2">
        <v>851678</v>
      </c>
      <c r="V279" s="2">
        <v>0</v>
      </c>
      <c r="W279" s="2">
        <v>0</v>
      </c>
      <c r="X279" s="2">
        <v>0</v>
      </c>
      <c r="Y279" s="2" t="s">
        <v>1049</v>
      </c>
      <c r="Z279" s="12">
        <f>SUMIF(Table1[product],Table1[[#This Row],[product]],Table1[loan_amount])</f>
        <v>62765800</v>
      </c>
      <c r="AA279" s="15">
        <f>SUMIF(Table1[region],Table1[[#This Row],[region]],Table1[current_balance])</f>
        <v>83297251</v>
      </c>
      <c r="AB279" s="2">
        <f>COUNTIF(Table1[loan_status],Table1[[#This Row],[loan_status]])</f>
        <v>301</v>
      </c>
      <c r="AC279" s="2">
        <f>COUNTIF(Table1[default_flag],1)/ROWS(Table1[loan_id])</f>
        <v>2.5999999999999999E-2</v>
      </c>
      <c r="AD279" s="2">
        <f>COUNTIFS(Table1[region],Table1[[#This Row],[region]],Table1[default_flag],1)/COUNTIF(Table1[region],Table1[[#This Row],[region]])</f>
        <v>3.1914893617021274E-2</v>
      </c>
      <c r="AE279" s="2">
        <f>COUNTIFS(Table1[channel],Table1[[#This Row],[channel]],Table1[prepayment_flag],1)/COUNTIF(Table1[channel],Table1[[#This Row],[channel]])</f>
        <v>0.1</v>
      </c>
      <c r="AF279" s="2">
        <f>AVERAGEIFS(Table1[interest_rate_pct],Table1[product],Table1[[#This Row],[product]],Table1[risk_band],Table1[[#This Row],[risk_band]])</f>
        <v>15.810000000000002</v>
      </c>
      <c r="AG279" s="2" t="str" cm="1">
        <f t="array" ref="AG279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279" s="2">
        <f>COUNTIF(Table1[DTI band],Table1[[#This Row],[DTI band]])</f>
        <v>260</v>
      </c>
      <c r="AI279" s="2" t="str" cm="1">
        <f t="array" ref="AI279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279" s="2">
        <f>COUNTIF(Table1[LTV band],Table1[[#This Row],[LTV band]])</f>
        <v>302</v>
      </c>
      <c r="AK279" s="19">
        <f>COUNTIFS(Table1[count_loan_perband],Table1[[#This Row],[count_loan_perband]],Table1[default_flag],1)/COUNTIF(Table1[count_loan_perband],Table1[[#This Row],[count_loan_perband]])</f>
        <v>3.6423841059602648E-2</v>
      </c>
      <c r="AL279" s="19" t="str" cm="1">
        <f t="array" ref="AL279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279" s="19">
        <f>IF(Table1[[#This Row],[dpd]] &gt;=30,1,0)</f>
        <v>0</v>
      </c>
      <c r="AN279" s="19">
        <f>COUNTIFS(Table1[Loan size],Table1[[#This Row],[Loan size]],Table1[dpd flag],1)/COUNTIF(Table1[Loan size],Table1[[#This Row],[Loan size]])</f>
        <v>0.15909090909090909</v>
      </c>
      <c r="AO279" s="19" t="str">
        <f>IF(OR(Table1[[#This Row],[credit_score]] &lt; 600, Table1[ [#This Row],[dti_ratio] ] &gt; 0.5, Table1[[#This Row],[dpd]] &gt;=30), "high risk", " not riskY")</f>
        <v xml:space="preserve"> not riskY</v>
      </c>
      <c r="AP279" s="29">
        <f>EOMONTH(Table1[[#This Row],[origination_date]],0)</f>
        <v>44834</v>
      </c>
      <c r="AQ279" s="19">
        <f>SUMIFS(Table1[loan_amount],Table1[origination month],Table1[[#This Row],[origination month]])</f>
        <v>15111800</v>
      </c>
      <c r="AR279" s="19">
        <f>AVERAGEIFS(Table1[months_on_book],Table1[product],Table1[[#This Row],[product]])</f>
        <v>21.962962962962962</v>
      </c>
      <c r="AS279" s="19" t="str">
        <f ca="1">IF(EDATE(Table1[[#This Row],[origination_date]],6) &gt;= TODAY(), "New Loan", "Old Loan")</f>
        <v>Old Loan</v>
      </c>
      <c r="AT279" s="19" t="str">
        <f>"Q"&amp;ROUNDUP(MONTH(Table1[[#This Row],[origination_date]])/3,0)&amp;YEAR(Table1[[#This Row],[origination_date]])</f>
        <v>Q32022</v>
      </c>
      <c r="AU279" s="19">
        <f>SUMIFS(Table1[loan_amount],Table1[quarter],Table1[[#This Row],[quarter]])</f>
        <v>29441400</v>
      </c>
    </row>
    <row r="280" spans="2:47" x14ac:dyDescent="0.2">
      <c r="B280" s="5" t="s">
        <v>518</v>
      </c>
      <c r="C280" s="2" t="s">
        <v>1018</v>
      </c>
      <c r="D280" s="3">
        <v>44796</v>
      </c>
      <c r="E280" s="2" t="s">
        <v>1028</v>
      </c>
      <c r="F280" s="2" t="s">
        <v>1029</v>
      </c>
      <c r="G280" s="2" t="s">
        <v>1035</v>
      </c>
      <c r="H280" s="2" t="s">
        <v>1041</v>
      </c>
      <c r="I280" s="2">
        <v>72</v>
      </c>
      <c r="J280" s="2">
        <v>761600</v>
      </c>
      <c r="K280" s="2">
        <v>19.420000000000002</v>
      </c>
      <c r="L280" s="2">
        <v>17987</v>
      </c>
      <c r="M280" s="2">
        <v>300984</v>
      </c>
      <c r="N280" s="2">
        <v>557</v>
      </c>
      <c r="O280" s="2" t="s">
        <v>1046</v>
      </c>
      <c r="P280" s="2">
        <v>0.4</v>
      </c>
      <c r="Q280" s="2">
        <v>0.74</v>
      </c>
      <c r="R280" s="2">
        <v>0</v>
      </c>
      <c r="S280" s="2">
        <v>40</v>
      </c>
      <c r="T280" s="2">
        <v>673873</v>
      </c>
      <c r="U280" s="2">
        <v>284931</v>
      </c>
      <c r="V280" s="2">
        <v>0</v>
      </c>
      <c r="W280" s="2">
        <v>0</v>
      </c>
      <c r="X280" s="2">
        <v>0</v>
      </c>
      <c r="Y280" s="2" t="s">
        <v>1049</v>
      </c>
      <c r="Z280" s="12">
        <f>SUMIF(Table1[product],Table1[[#This Row],[product]],Table1[loan_amount])</f>
        <v>62765800</v>
      </c>
      <c r="AA280" s="15">
        <f>SUMIF(Table1[region],Table1[[#This Row],[region]],Table1[current_balance])</f>
        <v>83903255</v>
      </c>
      <c r="AB280" s="2">
        <f>COUNTIF(Table1[loan_status],Table1[[#This Row],[loan_status]])</f>
        <v>301</v>
      </c>
      <c r="AC280" s="2">
        <f>COUNTIF(Table1[default_flag],1)/ROWS(Table1[loan_id])</f>
        <v>2.5999999999999999E-2</v>
      </c>
      <c r="AD280" s="2">
        <f>COUNTIFS(Table1[region],Table1[[#This Row],[region]],Table1[default_flag],1)/COUNTIF(Table1[region],Table1[[#This Row],[region]])</f>
        <v>4.2553191489361701E-2</v>
      </c>
      <c r="AE280" s="2">
        <f>COUNTIFS(Table1[channel],Table1[[#This Row],[channel]],Table1[prepayment_flag],1)/COUNTIF(Table1[channel],Table1[[#This Row],[channel]])</f>
        <v>7.1090047393364927E-2</v>
      </c>
      <c r="AF280" s="2">
        <f>AVERAGEIFS(Table1[interest_rate_pct],Table1[product],Table1[[#This Row],[product]],Table1[risk_band],Table1[[#This Row],[risk_band]])</f>
        <v>19.806666666666668</v>
      </c>
      <c r="AG280" s="2" t="str" cm="1">
        <f t="array" ref="AG280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280" s="2">
        <f>COUNTIF(Table1[DTI band],Table1[[#This Row],[DTI band]])</f>
        <v>260</v>
      </c>
      <c r="AI280" s="2" t="str" cm="1">
        <f t="array" ref="AI280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280" s="2">
        <f>COUNTIF(Table1[LTV band],Table1[[#This Row],[LTV band]])</f>
        <v>302</v>
      </c>
      <c r="AK280" s="19">
        <f>COUNTIFS(Table1[count_loan_perband],Table1[[#This Row],[count_loan_perband]],Table1[default_flag],1)/COUNTIF(Table1[count_loan_perband],Table1[[#This Row],[count_loan_perband]])</f>
        <v>3.6423841059602648E-2</v>
      </c>
      <c r="AL280" s="19" t="str" cm="1">
        <f t="array" ref="AL280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280" s="19">
        <f>IF(Table1[[#This Row],[dpd]] &gt;=30,1,0)</f>
        <v>0</v>
      </c>
      <c r="AN280" s="19">
        <f>COUNTIFS(Table1[Loan size],Table1[[#This Row],[Loan size]],Table1[dpd flag],1)/COUNTIF(Table1[Loan size],Table1[[#This Row],[Loan size]])</f>
        <v>0.13934426229508196</v>
      </c>
      <c r="AO280" s="19" t="str">
        <f>IF(OR(Table1[[#This Row],[credit_score]] &lt; 600, Table1[ [#This Row],[dti_ratio] ] &gt; 0.5, Table1[[#This Row],[dpd]] &gt;=30), "high risk", " not riskY")</f>
        <v>high risk</v>
      </c>
      <c r="AP280" s="29">
        <f>EOMONTH(Table1[[#This Row],[origination_date]],0)</f>
        <v>44804</v>
      </c>
      <c r="AQ280" s="19">
        <f>SUMIFS(Table1[loan_amount],Table1[origination month],Table1[[#This Row],[origination month]])</f>
        <v>9810900</v>
      </c>
      <c r="AR280" s="19">
        <f>AVERAGEIFS(Table1[months_on_book],Table1[product],Table1[[#This Row],[product]])</f>
        <v>21.962962962962962</v>
      </c>
      <c r="AS280" s="19" t="str">
        <f ca="1">IF(EDATE(Table1[[#This Row],[origination_date]],6) &gt;= TODAY(), "New Loan", "Old Loan")</f>
        <v>Old Loan</v>
      </c>
      <c r="AT280" s="19" t="str">
        <f>"Q"&amp;ROUNDUP(MONTH(Table1[[#This Row],[origination_date]])/3,0)&amp;YEAR(Table1[[#This Row],[origination_date]])</f>
        <v>Q32022</v>
      </c>
      <c r="AU280" s="19">
        <f>SUMIFS(Table1[loan_amount],Table1[quarter],Table1[[#This Row],[quarter]])</f>
        <v>29441400</v>
      </c>
    </row>
    <row r="281" spans="2:47" x14ac:dyDescent="0.2">
      <c r="B281" s="5" t="s">
        <v>52</v>
      </c>
      <c r="C281" s="2" t="s">
        <v>552</v>
      </c>
      <c r="D281" s="3">
        <v>44820</v>
      </c>
      <c r="E281" s="2" t="s">
        <v>1026</v>
      </c>
      <c r="F281" s="2" t="s">
        <v>1029</v>
      </c>
      <c r="G281" s="2" t="s">
        <v>1033</v>
      </c>
      <c r="H281" s="2" t="s">
        <v>1038</v>
      </c>
      <c r="I281" s="2">
        <v>360</v>
      </c>
      <c r="J281" s="2">
        <v>254800</v>
      </c>
      <c r="K281" s="2">
        <v>14.05</v>
      </c>
      <c r="L281" s="2">
        <v>3029</v>
      </c>
      <c r="M281" s="2">
        <v>1074926</v>
      </c>
      <c r="N281" s="2">
        <v>783</v>
      </c>
      <c r="O281" s="2" t="s">
        <v>1043</v>
      </c>
      <c r="P281" s="2">
        <v>0.39</v>
      </c>
      <c r="Q281" s="2">
        <v>0.75</v>
      </c>
      <c r="R281" s="2">
        <v>0</v>
      </c>
      <c r="S281" s="2">
        <v>39</v>
      </c>
      <c r="T281" s="2">
        <v>108377</v>
      </c>
      <c r="U281" s="2">
        <v>192962</v>
      </c>
      <c r="V281" s="2">
        <v>0</v>
      </c>
      <c r="W281" s="2">
        <v>0</v>
      </c>
      <c r="X281" s="2">
        <v>0</v>
      </c>
      <c r="Y281" s="2" t="s">
        <v>1049</v>
      </c>
      <c r="Z281" s="12">
        <f>SUMIF(Table1[product],Table1[[#This Row],[product]],Table1[loan_amount])</f>
        <v>74897600</v>
      </c>
      <c r="AA281" s="15">
        <f>SUMIF(Table1[region],Table1[[#This Row],[region]],Table1[current_balance])</f>
        <v>83297251</v>
      </c>
      <c r="AB281" s="2">
        <f>COUNTIF(Table1[loan_status],Table1[[#This Row],[loan_status]])</f>
        <v>301</v>
      </c>
      <c r="AC281" s="2">
        <f>COUNTIF(Table1[default_flag],1)/ROWS(Table1[loan_id])</f>
        <v>2.5999999999999999E-2</v>
      </c>
      <c r="AD281" s="2">
        <f>COUNTIFS(Table1[region],Table1[[#This Row],[region]],Table1[default_flag],1)/COUNTIF(Table1[region],Table1[[#This Row],[region]])</f>
        <v>3.1914893617021274E-2</v>
      </c>
      <c r="AE281" s="2">
        <f>COUNTIFS(Table1[channel],Table1[[#This Row],[channel]],Table1[prepayment_flag],1)/COUNTIF(Table1[channel],Table1[[#This Row],[channel]])</f>
        <v>7.1090047393364927E-2</v>
      </c>
      <c r="AF281" s="2">
        <f>AVERAGEIFS(Table1[interest_rate_pct],Table1[product],Table1[[#This Row],[product]],Table1[risk_band],Table1[[#This Row],[risk_band]])</f>
        <v>13.328333333333335</v>
      </c>
      <c r="AG281" s="2" t="str" cm="1">
        <f t="array" ref="AG281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281" s="2">
        <f>COUNTIF(Table1[DTI band],Table1[[#This Row],[DTI band]])</f>
        <v>260</v>
      </c>
      <c r="AI281" s="2" t="str" cm="1">
        <f t="array" ref="AI281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281" s="2">
        <f>COUNTIF(Table1[LTV band],Table1[[#This Row],[LTV band]])</f>
        <v>302</v>
      </c>
      <c r="AK281" s="19">
        <f>COUNTIFS(Table1[count_loan_perband],Table1[[#This Row],[count_loan_perband]],Table1[default_flag],1)/COUNTIF(Table1[count_loan_perband],Table1[[#This Row],[count_loan_perband]])</f>
        <v>3.6423841059602648E-2</v>
      </c>
      <c r="AL281" s="19" t="str" cm="1">
        <f t="array" ref="AL281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281" s="19">
        <f>IF(Table1[[#This Row],[dpd]] &gt;=30,1,0)</f>
        <v>0</v>
      </c>
      <c r="AN281" s="19">
        <f>COUNTIFS(Table1[Loan size],Table1[[#This Row],[Loan size]],Table1[dpd flag],1)/COUNTIF(Table1[Loan size],Table1[[#This Row],[Loan size]])</f>
        <v>0.13934426229508196</v>
      </c>
      <c r="AO281" s="19" t="str">
        <f>IF(OR(Table1[[#This Row],[credit_score]] &lt; 600, Table1[ [#This Row],[dti_ratio] ] &gt; 0.5, Table1[[#This Row],[dpd]] &gt;=30), "high risk", " not riskY")</f>
        <v xml:space="preserve"> not riskY</v>
      </c>
      <c r="AP281" s="29">
        <f>EOMONTH(Table1[[#This Row],[origination_date]],0)</f>
        <v>44834</v>
      </c>
      <c r="AQ281" s="19">
        <f>SUMIFS(Table1[loan_amount],Table1[origination month],Table1[[#This Row],[origination month]])</f>
        <v>15111800</v>
      </c>
      <c r="AR281" s="19">
        <f>AVERAGEIFS(Table1[months_on_book],Table1[product],Table1[[#This Row],[product]])</f>
        <v>21.092024539877301</v>
      </c>
      <c r="AS281" s="19" t="str">
        <f ca="1">IF(EDATE(Table1[[#This Row],[origination_date]],6) &gt;= TODAY(), "New Loan", "Old Loan")</f>
        <v>Old Loan</v>
      </c>
      <c r="AT281" s="19" t="str">
        <f>"Q"&amp;ROUNDUP(MONTH(Table1[[#This Row],[origination_date]])/3,0)&amp;YEAR(Table1[[#This Row],[origination_date]])</f>
        <v>Q32022</v>
      </c>
      <c r="AU281" s="19">
        <f>SUMIFS(Table1[loan_amount],Table1[quarter],Table1[[#This Row],[quarter]])</f>
        <v>29441400</v>
      </c>
    </row>
    <row r="282" spans="2:47" x14ac:dyDescent="0.2">
      <c r="B282" s="5" t="s">
        <v>335</v>
      </c>
      <c r="C282" s="2" t="s">
        <v>835</v>
      </c>
      <c r="D282" s="3">
        <v>44782</v>
      </c>
      <c r="E282" s="2" t="s">
        <v>1024</v>
      </c>
      <c r="F282" s="2" t="s">
        <v>1029</v>
      </c>
      <c r="G282" s="2" t="s">
        <v>1034</v>
      </c>
      <c r="H282" s="2" t="s">
        <v>1038</v>
      </c>
      <c r="I282" s="2">
        <v>48</v>
      </c>
      <c r="J282" s="2">
        <v>698400</v>
      </c>
      <c r="K282" s="2">
        <v>8.61</v>
      </c>
      <c r="L282" s="2">
        <v>17251</v>
      </c>
      <c r="M282" s="2">
        <v>737467</v>
      </c>
      <c r="N282" s="2">
        <v>753</v>
      </c>
      <c r="O282" s="2" t="s">
        <v>1043</v>
      </c>
      <c r="P282" s="2">
        <v>0.39</v>
      </c>
      <c r="Q282" s="2">
        <v>0.75</v>
      </c>
      <c r="R282" s="2">
        <v>931700</v>
      </c>
      <c r="S282" s="2">
        <v>40</v>
      </c>
      <c r="T282" s="2">
        <v>685258</v>
      </c>
      <c r="U282" s="2">
        <v>93318</v>
      </c>
      <c r="V282" s="2">
        <v>30</v>
      </c>
      <c r="W282" s="2">
        <v>0</v>
      </c>
      <c r="X282" s="2">
        <v>0</v>
      </c>
      <c r="Y282" s="2" t="s">
        <v>1048</v>
      </c>
      <c r="Z282" s="12">
        <f>SUMIF(Table1[product],Table1[[#This Row],[product]],Table1[loan_amount])</f>
        <v>92273000</v>
      </c>
      <c r="AA282" s="15">
        <f>SUMIF(Table1[region],Table1[[#This Row],[region]],Table1[current_balance])</f>
        <v>105779369</v>
      </c>
      <c r="AB282" s="2">
        <f>COUNTIF(Table1[loan_status],Table1[[#This Row],[loan_status]])</f>
        <v>47</v>
      </c>
      <c r="AC282" s="2">
        <f>COUNTIF(Table1[default_flag],1)/ROWS(Table1[loan_id])</f>
        <v>2.5999999999999999E-2</v>
      </c>
      <c r="AD282" s="2">
        <f>COUNTIFS(Table1[region],Table1[[#This Row],[region]],Table1[default_flag],1)/COUNTIF(Table1[region],Table1[[#This Row],[region]])</f>
        <v>2.6548672566371681E-2</v>
      </c>
      <c r="AE282" s="2">
        <f>COUNTIFS(Table1[channel],Table1[[#This Row],[channel]],Table1[prepayment_flag],1)/COUNTIF(Table1[channel],Table1[[#This Row],[channel]])</f>
        <v>7.1090047393364927E-2</v>
      </c>
      <c r="AF282" s="2">
        <f>AVERAGEIFS(Table1[interest_rate_pct],Table1[product],Table1[[#This Row],[product]],Table1[risk_band],Table1[[#This Row],[risk_band]])</f>
        <v>7.9444999999999997</v>
      </c>
      <c r="AG282" s="2" t="str" cm="1">
        <f t="array" ref="AG282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282" s="2">
        <f>COUNTIF(Table1[DTI band],Table1[[#This Row],[DTI band]])</f>
        <v>260</v>
      </c>
      <c r="AI282" s="2" t="str" cm="1">
        <f t="array" ref="AI282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282" s="2">
        <f>COUNTIF(Table1[LTV band],Table1[[#This Row],[LTV band]])</f>
        <v>302</v>
      </c>
      <c r="AK282" s="19">
        <f>COUNTIFS(Table1[count_loan_perband],Table1[[#This Row],[count_loan_perband]],Table1[default_flag],1)/COUNTIF(Table1[count_loan_perband],Table1[[#This Row],[count_loan_perband]])</f>
        <v>3.6423841059602648E-2</v>
      </c>
      <c r="AL282" s="19" t="str" cm="1">
        <f t="array" ref="AL282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282" s="19">
        <f>IF(Table1[[#This Row],[dpd]] &gt;=30,1,0)</f>
        <v>1</v>
      </c>
      <c r="AN282" s="19">
        <f>COUNTIFS(Table1[Loan size],Table1[[#This Row],[Loan size]],Table1[dpd flag],1)/COUNTIF(Table1[Loan size],Table1[[#This Row],[Loan size]])</f>
        <v>0.13934426229508196</v>
      </c>
      <c r="AO282" s="19" t="str">
        <f>IF(OR(Table1[[#This Row],[credit_score]] &lt; 600, Table1[ [#This Row],[dti_ratio] ] &gt; 0.5, Table1[[#This Row],[dpd]] &gt;=30), "high risk", " not riskY")</f>
        <v>high risk</v>
      </c>
      <c r="AP282" s="29">
        <f>EOMONTH(Table1[[#This Row],[origination_date]],0)</f>
        <v>44804</v>
      </c>
      <c r="AQ282" s="19">
        <f>SUMIFS(Table1[loan_amount],Table1[origination month],Table1[[#This Row],[origination month]])</f>
        <v>9810900</v>
      </c>
      <c r="AR282" s="19">
        <f>AVERAGEIFS(Table1[months_on_book],Table1[product],Table1[[#This Row],[product]])</f>
        <v>20.262135922330096</v>
      </c>
      <c r="AS282" s="19" t="str">
        <f ca="1">IF(EDATE(Table1[[#This Row],[origination_date]],6) &gt;= TODAY(), "New Loan", "Old Loan")</f>
        <v>Old Loan</v>
      </c>
      <c r="AT282" s="19" t="str">
        <f>"Q"&amp;ROUNDUP(MONTH(Table1[[#This Row],[origination_date]])/3,0)&amp;YEAR(Table1[[#This Row],[origination_date]])</f>
        <v>Q32022</v>
      </c>
      <c r="AU282" s="19">
        <f>SUMIFS(Table1[loan_amount],Table1[quarter],Table1[[#This Row],[quarter]])</f>
        <v>29441400</v>
      </c>
    </row>
    <row r="283" spans="2:47" x14ac:dyDescent="0.2">
      <c r="B283" s="5" t="s">
        <v>394</v>
      </c>
      <c r="C283" s="2" t="s">
        <v>894</v>
      </c>
      <c r="D283" s="3">
        <v>44809</v>
      </c>
      <c r="E283" s="2" t="s">
        <v>1027</v>
      </c>
      <c r="F283" s="2" t="s">
        <v>1029</v>
      </c>
      <c r="G283" s="2" t="s">
        <v>1034</v>
      </c>
      <c r="H283" s="2" t="s">
        <v>1041</v>
      </c>
      <c r="I283" s="2">
        <v>180</v>
      </c>
      <c r="J283" s="2">
        <v>5449500</v>
      </c>
      <c r="K283" s="2">
        <v>8.34</v>
      </c>
      <c r="L283" s="2">
        <v>53154</v>
      </c>
      <c r="M283" s="2">
        <v>912768</v>
      </c>
      <c r="N283" s="2">
        <v>711</v>
      </c>
      <c r="O283" s="2" t="s">
        <v>1044</v>
      </c>
      <c r="P283" s="2">
        <v>0.39</v>
      </c>
      <c r="Q283" s="2">
        <v>0.78</v>
      </c>
      <c r="R283" s="2">
        <v>7000100</v>
      </c>
      <c r="S283" s="2">
        <v>39</v>
      </c>
      <c r="T283" s="2">
        <v>2111466</v>
      </c>
      <c r="U283" s="2">
        <v>3928869</v>
      </c>
      <c r="V283" s="2">
        <v>0</v>
      </c>
      <c r="W283" s="2">
        <v>0</v>
      </c>
      <c r="X283" s="2">
        <v>0</v>
      </c>
      <c r="Y283" s="2" t="s">
        <v>1049</v>
      </c>
      <c r="Z283" s="12">
        <f>SUMIF(Table1[product],Table1[[#This Row],[product]],Table1[loan_amount])</f>
        <v>403369500</v>
      </c>
      <c r="AA283" s="15">
        <f>SUMIF(Table1[region],Table1[[#This Row],[region]],Table1[current_balance])</f>
        <v>105779369</v>
      </c>
      <c r="AB283" s="2">
        <f>COUNTIF(Table1[loan_status],Table1[[#This Row],[loan_status]])</f>
        <v>301</v>
      </c>
      <c r="AC283" s="2">
        <f>COUNTIF(Table1[default_flag],1)/ROWS(Table1[loan_id])</f>
        <v>2.5999999999999999E-2</v>
      </c>
      <c r="AD283" s="2">
        <f>COUNTIFS(Table1[region],Table1[[#This Row],[region]],Table1[default_flag],1)/COUNTIF(Table1[region],Table1[[#This Row],[region]])</f>
        <v>2.6548672566371681E-2</v>
      </c>
      <c r="AE283" s="2">
        <f>COUNTIFS(Table1[channel],Table1[[#This Row],[channel]],Table1[prepayment_flag],1)/COUNTIF(Table1[channel],Table1[[#This Row],[channel]])</f>
        <v>7.1090047393364927E-2</v>
      </c>
      <c r="AF283" s="2">
        <f>AVERAGEIFS(Table1[interest_rate_pct],Table1[product],Table1[[#This Row],[product]],Table1[risk_band],Table1[[#This Row],[risk_band]])</f>
        <v>8.8557142857142868</v>
      </c>
      <c r="AG283" s="2" t="str" cm="1">
        <f t="array" ref="AG283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283" s="2">
        <f>COUNTIF(Table1[DTI band],Table1[[#This Row],[DTI band]])</f>
        <v>260</v>
      </c>
      <c r="AI283" s="2" t="str" cm="1">
        <f t="array" ref="AI283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283" s="2">
        <f>COUNTIF(Table1[LTV band],Table1[[#This Row],[LTV band]])</f>
        <v>302</v>
      </c>
      <c r="AK283" s="19">
        <f>COUNTIFS(Table1[count_loan_perband],Table1[[#This Row],[count_loan_perband]],Table1[default_flag],1)/COUNTIF(Table1[count_loan_perband],Table1[[#This Row],[count_loan_perband]])</f>
        <v>3.6423841059602648E-2</v>
      </c>
      <c r="AL283" s="19" t="str" cm="1">
        <f t="array" ref="AL283">_xlfn.IFS(Table1[[#This Row],[loan_amount]] &lt; 900000, "lower size (&lt; 9L)", Table1[[#This Row],[loan_amount]] &lt;=3300000, "medium size (&lt;=33L)", Table1[[#This Row],[loan_amount]] &gt; 3300000, "larger size (&gt; 33L)")</f>
        <v>larger size (&gt; 33L)</v>
      </c>
      <c r="AM283" s="19">
        <f>IF(Table1[[#This Row],[dpd]] &gt;=30,1,0)</f>
        <v>0</v>
      </c>
      <c r="AN283" s="19">
        <f>COUNTIFS(Table1[Loan size],Table1[[#This Row],[Loan size]],Table1[dpd flag],1)/COUNTIF(Table1[Loan size],Table1[[#This Row],[Loan size]])</f>
        <v>0.16250000000000001</v>
      </c>
      <c r="AO283" s="19" t="str">
        <f>IF(OR(Table1[[#This Row],[credit_score]] &lt; 600, Table1[ [#This Row],[dti_ratio] ] &gt; 0.5, Table1[[#This Row],[dpd]] &gt;=30), "high risk", " not riskY")</f>
        <v xml:space="preserve"> not riskY</v>
      </c>
      <c r="AP283" s="29">
        <f>EOMONTH(Table1[[#This Row],[origination_date]],0)</f>
        <v>44834</v>
      </c>
      <c r="AQ283" s="19">
        <f>SUMIFS(Table1[loan_amount],Table1[origination month],Table1[[#This Row],[origination month]])</f>
        <v>15111800</v>
      </c>
      <c r="AR283" s="19">
        <f>AVERAGEIFS(Table1[months_on_book],Table1[product],Table1[[#This Row],[product]])</f>
        <v>20.516129032258064</v>
      </c>
      <c r="AS283" s="19" t="str">
        <f ca="1">IF(EDATE(Table1[[#This Row],[origination_date]],6) &gt;= TODAY(), "New Loan", "Old Loan")</f>
        <v>Old Loan</v>
      </c>
      <c r="AT283" s="19" t="str">
        <f>"Q"&amp;ROUNDUP(MONTH(Table1[[#This Row],[origination_date]])/3,0)&amp;YEAR(Table1[[#This Row],[origination_date]])</f>
        <v>Q32022</v>
      </c>
      <c r="AU283" s="19">
        <f>SUMIFS(Table1[loan_amount],Table1[quarter],Table1[[#This Row],[quarter]])</f>
        <v>29441400</v>
      </c>
    </row>
    <row r="284" spans="2:47" x14ac:dyDescent="0.2">
      <c r="B284" s="5" t="s">
        <v>453</v>
      </c>
      <c r="C284" s="2" t="s">
        <v>953</v>
      </c>
      <c r="D284" s="3">
        <v>44826</v>
      </c>
      <c r="E284" s="2" t="s">
        <v>1024</v>
      </c>
      <c r="F284" s="2" t="s">
        <v>1031</v>
      </c>
      <c r="G284" s="2" t="s">
        <v>1035</v>
      </c>
      <c r="H284" s="2" t="s">
        <v>1038</v>
      </c>
      <c r="I284" s="2">
        <v>24</v>
      </c>
      <c r="J284" s="2">
        <v>648500</v>
      </c>
      <c r="K284" s="2">
        <v>13.49</v>
      </c>
      <c r="L284" s="2">
        <v>30980</v>
      </c>
      <c r="M284" s="2">
        <v>150000</v>
      </c>
      <c r="N284" s="2">
        <v>650</v>
      </c>
      <c r="O284" s="2" t="s">
        <v>1042</v>
      </c>
      <c r="P284" s="2">
        <v>0.37</v>
      </c>
      <c r="Q284" s="2">
        <v>0.45</v>
      </c>
      <c r="R284" s="2">
        <v>1429500</v>
      </c>
      <c r="S284" s="2">
        <v>24</v>
      </c>
      <c r="T284" s="2">
        <v>661448</v>
      </c>
      <c r="U284" s="2">
        <v>57038</v>
      </c>
      <c r="V284" s="2">
        <v>0</v>
      </c>
      <c r="W284" s="2">
        <v>0</v>
      </c>
      <c r="X284" s="2">
        <v>0</v>
      </c>
      <c r="Y284" s="2" t="s">
        <v>1047</v>
      </c>
      <c r="Z284" s="12">
        <f>SUMIF(Table1[product],Table1[[#This Row],[product]],Table1[loan_amount])</f>
        <v>92273000</v>
      </c>
      <c r="AA284" s="15">
        <f>SUMIF(Table1[region],Table1[[#This Row],[region]],Table1[current_balance])</f>
        <v>83903255</v>
      </c>
      <c r="AB284" s="2">
        <f>COUNTIF(Table1[loan_status],Table1[[#This Row],[loan_status]])</f>
        <v>139</v>
      </c>
      <c r="AC284" s="2">
        <f>COUNTIF(Table1[default_flag],1)/ROWS(Table1[loan_id])</f>
        <v>2.5999999999999999E-2</v>
      </c>
      <c r="AD284" s="2">
        <f>COUNTIFS(Table1[region],Table1[[#This Row],[region]],Table1[default_flag],1)/COUNTIF(Table1[region],Table1[[#This Row],[region]])</f>
        <v>4.2553191489361701E-2</v>
      </c>
      <c r="AE284" s="2">
        <f>COUNTIFS(Table1[channel],Table1[[#This Row],[channel]],Table1[prepayment_flag],1)/COUNTIF(Table1[channel],Table1[[#This Row],[channel]])</f>
        <v>0.12</v>
      </c>
      <c r="AF284" s="2">
        <f>AVERAGEIFS(Table1[interest_rate_pct],Table1[product],Table1[[#This Row],[product]],Table1[risk_band],Table1[[#This Row],[risk_band]])</f>
        <v>13.246500000000001</v>
      </c>
      <c r="AG284" s="2" t="str" cm="1">
        <f t="array" ref="AG284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284" s="2">
        <f>COUNTIF(Table1[DTI band],Table1[[#This Row],[DTI band]])</f>
        <v>260</v>
      </c>
      <c r="AI284" s="2" t="str" cm="1">
        <f t="array" ref="AI284">_xlfn.IFS(Table1[[#This Row],[ltv_ratio]] &lt; 0.6, "less than 0.6 -less risky", Table1[[#This Row],[ltv_ratio]]  &lt;= 0.8, "0.6 - 0.8 -medium risky",Table1[[#This Row],[ltv_ratio]] &gt; 0.8, "greater than 0.8 -highly risky")</f>
        <v>less than 0.6 -less risky</v>
      </c>
      <c r="AJ284" s="2">
        <f>COUNTIF(Table1[LTV band],Table1[[#This Row],[LTV band]])</f>
        <v>57</v>
      </c>
      <c r="AK284" s="19">
        <f>COUNTIFS(Table1[count_loan_perband],Table1[[#This Row],[count_loan_perband]],Table1[default_flag],1)/COUNTIF(Table1[count_loan_perband],Table1[[#This Row],[count_loan_perband]])</f>
        <v>0</v>
      </c>
      <c r="AL284" s="19" t="str" cm="1">
        <f t="array" ref="AL284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284" s="19">
        <f>IF(Table1[[#This Row],[dpd]] &gt;=30,1,0)</f>
        <v>0</v>
      </c>
      <c r="AN284" s="19">
        <f>COUNTIFS(Table1[Loan size],Table1[[#This Row],[Loan size]],Table1[dpd flag],1)/COUNTIF(Table1[Loan size],Table1[[#This Row],[Loan size]])</f>
        <v>0.13934426229508196</v>
      </c>
      <c r="AO284" s="19" t="str">
        <f>IF(OR(Table1[[#This Row],[credit_score]] &lt; 600, Table1[ [#This Row],[dti_ratio] ] &gt; 0.5, Table1[[#This Row],[dpd]] &gt;=30), "high risk", " not riskY")</f>
        <v xml:space="preserve"> not riskY</v>
      </c>
      <c r="AP284" s="29">
        <f>EOMONTH(Table1[[#This Row],[origination_date]],0)</f>
        <v>44834</v>
      </c>
      <c r="AQ284" s="19">
        <f>SUMIFS(Table1[loan_amount],Table1[origination month],Table1[[#This Row],[origination month]])</f>
        <v>15111800</v>
      </c>
      <c r="AR284" s="19">
        <f>AVERAGEIFS(Table1[months_on_book],Table1[product],Table1[[#This Row],[product]])</f>
        <v>20.262135922330096</v>
      </c>
      <c r="AS284" s="19" t="str">
        <f ca="1">IF(EDATE(Table1[[#This Row],[origination_date]],6) &gt;= TODAY(), "New Loan", "Old Loan")</f>
        <v>Old Loan</v>
      </c>
      <c r="AT284" s="19" t="str">
        <f>"Q"&amp;ROUNDUP(MONTH(Table1[[#This Row],[origination_date]])/3,0)&amp;YEAR(Table1[[#This Row],[origination_date]])</f>
        <v>Q32022</v>
      </c>
      <c r="AU284" s="19">
        <f>SUMIFS(Table1[loan_amount],Table1[quarter],Table1[[#This Row],[quarter]])</f>
        <v>29441400</v>
      </c>
    </row>
    <row r="285" spans="2:47" x14ac:dyDescent="0.2">
      <c r="B285" s="5" t="s">
        <v>350</v>
      </c>
      <c r="C285" s="2" t="s">
        <v>850</v>
      </c>
      <c r="D285" s="3">
        <v>44764</v>
      </c>
      <c r="E285" s="2" t="s">
        <v>1027</v>
      </c>
      <c r="F285" s="2" t="s">
        <v>1029</v>
      </c>
      <c r="G285" s="2" t="s">
        <v>1037</v>
      </c>
      <c r="H285" s="2" t="s">
        <v>1038</v>
      </c>
      <c r="I285" s="2">
        <v>360</v>
      </c>
      <c r="J285" s="2">
        <v>1837000</v>
      </c>
      <c r="K285" s="2">
        <v>9.27</v>
      </c>
      <c r="L285" s="2">
        <v>15139</v>
      </c>
      <c r="M285" s="2">
        <v>950930</v>
      </c>
      <c r="N285" s="2">
        <v>713</v>
      </c>
      <c r="O285" s="2" t="s">
        <v>1044</v>
      </c>
      <c r="P285" s="2">
        <v>0.36</v>
      </c>
      <c r="Q285" s="2">
        <v>0.82</v>
      </c>
      <c r="R285" s="2">
        <v>2247500</v>
      </c>
      <c r="S285" s="2">
        <v>41</v>
      </c>
      <c r="T285" s="2">
        <v>573789</v>
      </c>
      <c r="U285" s="2">
        <v>1495941</v>
      </c>
      <c r="V285" s="2">
        <v>10</v>
      </c>
      <c r="W285" s="2">
        <v>0</v>
      </c>
      <c r="X285" s="2">
        <v>0</v>
      </c>
      <c r="Y285" s="2" t="s">
        <v>1049</v>
      </c>
      <c r="Z285" s="12">
        <f>SUMIF(Table1[product],Table1[[#This Row],[product]],Table1[loan_amount])</f>
        <v>403369500</v>
      </c>
      <c r="AA285" s="15">
        <f>SUMIF(Table1[region],Table1[[#This Row],[region]],Table1[current_balance])</f>
        <v>94548000</v>
      </c>
      <c r="AB285" s="2">
        <f>COUNTIF(Table1[loan_status],Table1[[#This Row],[loan_status]])</f>
        <v>301</v>
      </c>
      <c r="AC285" s="2">
        <f>COUNTIF(Table1[default_flag],1)/ROWS(Table1[loan_id])</f>
        <v>2.5999999999999999E-2</v>
      </c>
      <c r="AD285" s="2">
        <f>COUNTIFS(Table1[region],Table1[[#This Row],[region]],Table1[default_flag],1)/COUNTIF(Table1[region],Table1[[#This Row],[region]])</f>
        <v>0</v>
      </c>
      <c r="AE285" s="2">
        <f>COUNTIFS(Table1[channel],Table1[[#This Row],[channel]],Table1[prepayment_flag],1)/COUNTIF(Table1[channel],Table1[[#This Row],[channel]])</f>
        <v>7.1090047393364927E-2</v>
      </c>
      <c r="AF285" s="2">
        <f>AVERAGEIFS(Table1[interest_rate_pct],Table1[product],Table1[[#This Row],[product]],Table1[risk_band],Table1[[#This Row],[risk_band]])</f>
        <v>8.8557142857142868</v>
      </c>
      <c r="AG285" s="2" t="str" cm="1">
        <f t="array" ref="AG285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285" s="2">
        <f>COUNTIF(Table1[DTI band],Table1[[#This Row],[DTI band]])</f>
        <v>260</v>
      </c>
      <c r="AI285" s="2" t="str" cm="1">
        <f t="array" ref="AI285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285" s="2">
        <f>COUNTIF(Table1[LTV band],Table1[[#This Row],[LTV band]])</f>
        <v>141</v>
      </c>
      <c r="AK285" s="19">
        <f>COUNTIFS(Table1[count_loan_perband],Table1[[#This Row],[count_loan_perband]],Table1[default_flag],1)/COUNTIF(Table1[count_loan_perband],Table1[[#This Row],[count_loan_perband]])</f>
        <v>1.4184397163120567E-2</v>
      </c>
      <c r="AL285" s="19" t="str" cm="1">
        <f t="array" ref="AL285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285" s="19">
        <f>IF(Table1[[#This Row],[dpd]] &gt;=30,1,0)</f>
        <v>0</v>
      </c>
      <c r="AN285" s="19">
        <f>COUNTIFS(Table1[Loan size],Table1[[#This Row],[Loan size]],Table1[dpd flag],1)/COUNTIF(Table1[Loan size],Table1[[#This Row],[Loan size]])</f>
        <v>0.15909090909090909</v>
      </c>
      <c r="AO285" s="19" t="str">
        <f>IF(OR(Table1[[#This Row],[credit_score]] &lt; 600, Table1[ [#This Row],[dti_ratio] ] &gt; 0.5, Table1[[#This Row],[dpd]] &gt;=30), "high risk", " not riskY")</f>
        <v xml:space="preserve"> not riskY</v>
      </c>
      <c r="AP285" s="29">
        <f>EOMONTH(Table1[[#This Row],[origination_date]],0)</f>
        <v>44773</v>
      </c>
      <c r="AQ285" s="19">
        <f>SUMIFS(Table1[loan_amount],Table1[origination month],Table1[[#This Row],[origination month]])</f>
        <v>4518700</v>
      </c>
      <c r="AR285" s="19">
        <f>AVERAGEIFS(Table1[months_on_book],Table1[product],Table1[[#This Row],[product]])</f>
        <v>20.516129032258064</v>
      </c>
      <c r="AS285" s="19" t="str">
        <f ca="1">IF(EDATE(Table1[[#This Row],[origination_date]],6) &gt;= TODAY(), "New Loan", "Old Loan")</f>
        <v>Old Loan</v>
      </c>
      <c r="AT285" s="19" t="str">
        <f>"Q"&amp;ROUNDUP(MONTH(Table1[[#This Row],[origination_date]])/3,0)&amp;YEAR(Table1[[#This Row],[origination_date]])</f>
        <v>Q32022</v>
      </c>
      <c r="AU285" s="19">
        <f>SUMIFS(Table1[loan_amount],Table1[quarter],Table1[[#This Row],[quarter]])</f>
        <v>29441400</v>
      </c>
    </row>
    <row r="286" spans="2:47" x14ac:dyDescent="0.2">
      <c r="B286" s="5" t="s">
        <v>25</v>
      </c>
      <c r="C286" s="2" t="s">
        <v>525</v>
      </c>
      <c r="D286" s="3">
        <v>44799</v>
      </c>
      <c r="E286" s="2" t="s">
        <v>1025</v>
      </c>
      <c r="F286" s="2" t="s">
        <v>1030</v>
      </c>
      <c r="G286" s="2" t="s">
        <v>1034</v>
      </c>
      <c r="H286" s="2" t="s">
        <v>1038</v>
      </c>
      <c r="I286" s="2">
        <v>12</v>
      </c>
      <c r="J286" s="2">
        <v>3338100</v>
      </c>
      <c r="K286" s="2">
        <v>10.95</v>
      </c>
      <c r="L286" s="2">
        <v>294949</v>
      </c>
      <c r="M286" s="2">
        <v>1523803</v>
      </c>
      <c r="N286" s="2">
        <v>788</v>
      </c>
      <c r="O286" s="2" t="s">
        <v>1043</v>
      </c>
      <c r="P286" s="2">
        <v>0.32</v>
      </c>
      <c r="Q286" s="2">
        <v>0.79</v>
      </c>
      <c r="R286" s="2">
        <v>4241400</v>
      </c>
      <c r="S286" s="2">
        <v>12</v>
      </c>
      <c r="T286" s="2">
        <v>3287074</v>
      </c>
      <c r="U286" s="2">
        <v>197235</v>
      </c>
      <c r="V286" s="2">
        <v>0</v>
      </c>
      <c r="W286" s="2">
        <v>0</v>
      </c>
      <c r="X286" s="2">
        <v>0</v>
      </c>
      <c r="Y286" s="2" t="s">
        <v>1047</v>
      </c>
      <c r="Z286" s="12">
        <f>SUMIF(Table1[product],Table1[[#This Row],[product]],Table1[loan_amount])</f>
        <v>201475100</v>
      </c>
      <c r="AA286" s="15">
        <f>SUMIF(Table1[region],Table1[[#This Row],[region]],Table1[current_balance])</f>
        <v>105779369</v>
      </c>
      <c r="AB286" s="2">
        <f>COUNTIF(Table1[loan_status],Table1[[#This Row],[loan_status]])</f>
        <v>139</v>
      </c>
      <c r="AC286" s="2">
        <f>COUNTIF(Table1[default_flag],1)/ROWS(Table1[loan_id])</f>
        <v>2.5999999999999999E-2</v>
      </c>
      <c r="AD286" s="2">
        <f>COUNTIFS(Table1[region],Table1[[#This Row],[region]],Table1[default_flag],1)/COUNTIF(Table1[region],Table1[[#This Row],[region]])</f>
        <v>2.6548672566371681E-2</v>
      </c>
      <c r="AE286" s="2">
        <f>COUNTIFS(Table1[channel],Table1[[#This Row],[channel]],Table1[prepayment_flag],1)/COUNTIF(Table1[channel],Table1[[#This Row],[channel]])</f>
        <v>5.8201058201058198E-2</v>
      </c>
      <c r="AF286" s="2">
        <f>AVERAGEIFS(Table1[interest_rate_pct],Table1[product],Table1[[#This Row],[product]],Table1[risk_band],Table1[[#This Row],[risk_band]])</f>
        <v>10.537499999999998</v>
      </c>
      <c r="AG286" s="2" t="str" cm="1">
        <f t="array" ref="AG286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286" s="2">
        <f>COUNTIF(Table1[DTI band],Table1[[#This Row],[DTI band]])</f>
        <v>260</v>
      </c>
      <c r="AI286" s="2" t="str" cm="1">
        <f t="array" ref="AI286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286" s="2">
        <f>COUNTIF(Table1[LTV band],Table1[[#This Row],[LTV band]])</f>
        <v>302</v>
      </c>
      <c r="AK286" s="19">
        <f>COUNTIFS(Table1[count_loan_perband],Table1[[#This Row],[count_loan_perband]],Table1[default_flag],1)/COUNTIF(Table1[count_loan_perband],Table1[[#This Row],[count_loan_perband]])</f>
        <v>3.6423841059602648E-2</v>
      </c>
      <c r="AL286" s="19" t="str" cm="1">
        <f t="array" ref="AL286">_xlfn.IFS(Table1[[#This Row],[loan_amount]] &lt; 900000, "lower size (&lt; 9L)", Table1[[#This Row],[loan_amount]] &lt;=3300000, "medium size (&lt;=33L)", Table1[[#This Row],[loan_amount]] &gt; 3300000, "larger size (&gt; 33L)")</f>
        <v>larger size (&gt; 33L)</v>
      </c>
      <c r="AM286" s="19">
        <f>IF(Table1[[#This Row],[dpd]] &gt;=30,1,0)</f>
        <v>0</v>
      </c>
      <c r="AN286" s="19">
        <f>COUNTIFS(Table1[Loan size],Table1[[#This Row],[Loan size]],Table1[dpd flag],1)/COUNTIF(Table1[Loan size],Table1[[#This Row],[Loan size]])</f>
        <v>0.16250000000000001</v>
      </c>
      <c r="AO286" s="19" t="str">
        <f>IF(OR(Table1[[#This Row],[credit_score]] &lt; 600, Table1[ [#This Row],[dti_ratio] ] &gt; 0.5, Table1[[#This Row],[dpd]] &gt;=30), "high risk", " not riskY")</f>
        <v xml:space="preserve"> not riskY</v>
      </c>
      <c r="AP286" s="29">
        <f>EOMONTH(Table1[[#This Row],[origination_date]],0)</f>
        <v>44804</v>
      </c>
      <c r="AQ286" s="19">
        <f>SUMIFS(Table1[loan_amount],Table1[origination month],Table1[[#This Row],[origination month]])</f>
        <v>9810900</v>
      </c>
      <c r="AR286" s="19">
        <f>AVERAGEIFS(Table1[months_on_book],Table1[product],Table1[[#This Row],[product]])</f>
        <v>19.091954022988507</v>
      </c>
      <c r="AS286" s="19" t="str">
        <f ca="1">IF(EDATE(Table1[[#This Row],[origination_date]],6) &gt;= TODAY(), "New Loan", "Old Loan")</f>
        <v>Old Loan</v>
      </c>
      <c r="AT286" s="19" t="str">
        <f>"Q"&amp;ROUNDUP(MONTH(Table1[[#This Row],[origination_date]])/3,0)&amp;YEAR(Table1[[#This Row],[origination_date]])</f>
        <v>Q32022</v>
      </c>
      <c r="AU286" s="19">
        <f>SUMIFS(Table1[loan_amount],Table1[quarter],Table1[[#This Row],[quarter]])</f>
        <v>29441400</v>
      </c>
    </row>
    <row r="287" spans="2:47" x14ac:dyDescent="0.2">
      <c r="B287" s="5" t="s">
        <v>405</v>
      </c>
      <c r="C287" s="2" t="s">
        <v>905</v>
      </c>
      <c r="D287" s="3">
        <v>44778</v>
      </c>
      <c r="E287" s="2" t="s">
        <v>1026</v>
      </c>
      <c r="F287" s="2" t="s">
        <v>1030</v>
      </c>
      <c r="G287" s="2" t="s">
        <v>1036</v>
      </c>
      <c r="H287" s="2" t="s">
        <v>1041</v>
      </c>
      <c r="I287" s="2">
        <v>360</v>
      </c>
      <c r="J287" s="2">
        <v>398400</v>
      </c>
      <c r="K287" s="2">
        <v>10.14</v>
      </c>
      <c r="L287" s="2">
        <v>3538</v>
      </c>
      <c r="M287" s="2">
        <v>663314</v>
      </c>
      <c r="N287" s="2">
        <v>850</v>
      </c>
      <c r="O287" s="2" t="s">
        <v>1043</v>
      </c>
      <c r="P287" s="2">
        <v>0.32</v>
      </c>
      <c r="Q287" s="2">
        <v>0.61</v>
      </c>
      <c r="R287" s="2">
        <v>0</v>
      </c>
      <c r="S287" s="2">
        <v>40</v>
      </c>
      <c r="T287" s="2">
        <v>127411</v>
      </c>
      <c r="U287" s="2">
        <v>324853</v>
      </c>
      <c r="V287" s="2">
        <v>0</v>
      </c>
      <c r="W287" s="2">
        <v>1</v>
      </c>
      <c r="X287" s="2">
        <v>0</v>
      </c>
      <c r="Y287" s="2" t="s">
        <v>1047</v>
      </c>
      <c r="Z287" s="12">
        <f>SUMIF(Table1[product],Table1[[#This Row],[product]],Table1[loan_amount])</f>
        <v>74897600</v>
      </c>
      <c r="AA287" s="15">
        <f>SUMIF(Table1[region],Table1[[#This Row],[region]],Table1[current_balance])</f>
        <v>98928695</v>
      </c>
      <c r="AB287" s="2">
        <f>COUNTIF(Table1[loan_status],Table1[[#This Row],[loan_status]])</f>
        <v>139</v>
      </c>
      <c r="AC287" s="2">
        <f>COUNTIF(Table1[default_flag],1)/ROWS(Table1[loan_id])</f>
        <v>2.5999999999999999E-2</v>
      </c>
      <c r="AD287" s="2">
        <f>COUNTIFS(Table1[region],Table1[[#This Row],[region]],Table1[default_flag],1)/COUNTIF(Table1[region],Table1[[#This Row],[region]])</f>
        <v>2.8571428571428571E-2</v>
      </c>
      <c r="AE287" s="2">
        <f>COUNTIFS(Table1[channel],Table1[[#This Row],[channel]],Table1[prepayment_flag],1)/COUNTIF(Table1[channel],Table1[[#This Row],[channel]])</f>
        <v>5.8201058201058198E-2</v>
      </c>
      <c r="AF287" s="2">
        <f>AVERAGEIFS(Table1[interest_rate_pct],Table1[product],Table1[[#This Row],[product]],Table1[risk_band],Table1[[#This Row],[risk_band]])</f>
        <v>13.328333333333335</v>
      </c>
      <c r="AG287" s="2" t="str" cm="1">
        <f t="array" ref="AG287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287" s="2">
        <f>COUNTIF(Table1[DTI band],Table1[[#This Row],[DTI band]])</f>
        <v>260</v>
      </c>
      <c r="AI287" s="2" t="str" cm="1">
        <f t="array" ref="AI287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287" s="2">
        <f>COUNTIF(Table1[LTV band],Table1[[#This Row],[LTV band]])</f>
        <v>302</v>
      </c>
      <c r="AK287" s="19">
        <f>COUNTIFS(Table1[count_loan_perband],Table1[[#This Row],[count_loan_perband]],Table1[default_flag],1)/COUNTIF(Table1[count_loan_perband],Table1[[#This Row],[count_loan_perband]])</f>
        <v>3.6423841059602648E-2</v>
      </c>
      <c r="AL287" s="19" t="str" cm="1">
        <f t="array" ref="AL287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287" s="19">
        <f>IF(Table1[[#This Row],[dpd]] &gt;=30,1,0)</f>
        <v>0</v>
      </c>
      <c r="AN287" s="19">
        <f>COUNTIFS(Table1[Loan size],Table1[[#This Row],[Loan size]],Table1[dpd flag],1)/COUNTIF(Table1[Loan size],Table1[[#This Row],[Loan size]])</f>
        <v>0.13934426229508196</v>
      </c>
      <c r="AO287" s="19" t="str">
        <f>IF(OR(Table1[[#This Row],[credit_score]] &lt; 600, Table1[ [#This Row],[dti_ratio] ] &gt; 0.5, Table1[[#This Row],[dpd]] &gt;=30), "high risk", " not riskY")</f>
        <v xml:space="preserve"> not riskY</v>
      </c>
      <c r="AP287" s="29">
        <f>EOMONTH(Table1[[#This Row],[origination_date]],0)</f>
        <v>44804</v>
      </c>
      <c r="AQ287" s="19">
        <f>SUMIFS(Table1[loan_amount],Table1[origination month],Table1[[#This Row],[origination month]])</f>
        <v>9810900</v>
      </c>
      <c r="AR287" s="19">
        <f>AVERAGEIFS(Table1[months_on_book],Table1[product],Table1[[#This Row],[product]])</f>
        <v>21.092024539877301</v>
      </c>
      <c r="AS287" s="19" t="str">
        <f ca="1">IF(EDATE(Table1[[#This Row],[origination_date]],6) &gt;= TODAY(), "New Loan", "Old Loan")</f>
        <v>Old Loan</v>
      </c>
      <c r="AT287" s="19" t="str">
        <f>"Q"&amp;ROUNDUP(MONTH(Table1[[#This Row],[origination_date]])/3,0)&amp;YEAR(Table1[[#This Row],[origination_date]])</f>
        <v>Q32022</v>
      </c>
      <c r="AU287" s="19">
        <f>SUMIFS(Table1[loan_amount],Table1[quarter],Table1[[#This Row],[quarter]])</f>
        <v>29441400</v>
      </c>
    </row>
    <row r="288" spans="2:47" x14ac:dyDescent="0.2">
      <c r="B288" s="5" t="s">
        <v>485</v>
      </c>
      <c r="C288" s="2" t="s">
        <v>985</v>
      </c>
      <c r="D288" s="3">
        <v>44768</v>
      </c>
      <c r="E288" s="2" t="s">
        <v>1024</v>
      </c>
      <c r="F288" s="2" t="s">
        <v>1030</v>
      </c>
      <c r="G288" s="2" t="s">
        <v>1034</v>
      </c>
      <c r="H288" s="2" t="s">
        <v>1038</v>
      </c>
      <c r="I288" s="2">
        <v>12</v>
      </c>
      <c r="J288" s="2">
        <v>378900</v>
      </c>
      <c r="K288" s="2">
        <v>17.28</v>
      </c>
      <c r="L288" s="2">
        <v>34608</v>
      </c>
      <c r="M288" s="2">
        <v>1432595</v>
      </c>
      <c r="N288" s="2">
        <v>562</v>
      </c>
      <c r="O288" s="2" t="s">
        <v>1046</v>
      </c>
      <c r="P288" s="2">
        <v>0.3</v>
      </c>
      <c r="Q288" s="2">
        <v>0.7</v>
      </c>
      <c r="R288" s="2">
        <v>542300</v>
      </c>
      <c r="S288" s="2">
        <v>12</v>
      </c>
      <c r="T288" s="2">
        <v>381832</v>
      </c>
      <c r="U288" s="2">
        <v>23258</v>
      </c>
      <c r="V288" s="2">
        <v>0</v>
      </c>
      <c r="W288" s="2">
        <v>0</v>
      </c>
      <c r="X288" s="2">
        <v>0</v>
      </c>
      <c r="Y288" s="2" t="s">
        <v>1047</v>
      </c>
      <c r="Z288" s="12">
        <f>SUMIF(Table1[product],Table1[[#This Row],[product]],Table1[loan_amount])</f>
        <v>92273000</v>
      </c>
      <c r="AA288" s="15">
        <f>SUMIF(Table1[region],Table1[[#This Row],[region]],Table1[current_balance])</f>
        <v>105779369</v>
      </c>
      <c r="AB288" s="2">
        <f>COUNTIF(Table1[loan_status],Table1[[#This Row],[loan_status]])</f>
        <v>139</v>
      </c>
      <c r="AC288" s="2">
        <f>COUNTIF(Table1[default_flag],1)/ROWS(Table1[loan_id])</f>
        <v>2.5999999999999999E-2</v>
      </c>
      <c r="AD288" s="2">
        <f>COUNTIFS(Table1[region],Table1[[#This Row],[region]],Table1[default_flag],1)/COUNTIF(Table1[region],Table1[[#This Row],[region]])</f>
        <v>2.6548672566371681E-2</v>
      </c>
      <c r="AE288" s="2">
        <f>COUNTIFS(Table1[channel],Table1[[#This Row],[channel]],Table1[prepayment_flag],1)/COUNTIF(Table1[channel],Table1[[#This Row],[channel]])</f>
        <v>5.8201058201058198E-2</v>
      </c>
      <c r="AF288" s="2">
        <f>AVERAGEIFS(Table1[interest_rate_pct],Table1[product],Table1[[#This Row],[product]],Table1[risk_band],Table1[[#This Row],[risk_band]])</f>
        <v>17.744166666666668</v>
      </c>
      <c r="AG288" s="2" t="str" cm="1">
        <f t="array" ref="AG288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288" s="2">
        <f>COUNTIF(Table1[DTI band],Table1[[#This Row],[DTI band]])</f>
        <v>260</v>
      </c>
      <c r="AI288" s="2" t="str" cm="1">
        <f t="array" ref="AI288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288" s="2">
        <f>COUNTIF(Table1[LTV band],Table1[[#This Row],[LTV band]])</f>
        <v>302</v>
      </c>
      <c r="AK288" s="19">
        <f>COUNTIFS(Table1[count_loan_perband],Table1[[#This Row],[count_loan_perband]],Table1[default_flag],1)/COUNTIF(Table1[count_loan_perband],Table1[[#This Row],[count_loan_perband]])</f>
        <v>3.6423841059602648E-2</v>
      </c>
      <c r="AL288" s="19" t="str" cm="1">
        <f t="array" ref="AL288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288" s="19">
        <f>IF(Table1[[#This Row],[dpd]] &gt;=30,1,0)</f>
        <v>0</v>
      </c>
      <c r="AN288" s="19">
        <f>COUNTIFS(Table1[Loan size],Table1[[#This Row],[Loan size]],Table1[dpd flag],1)/COUNTIF(Table1[Loan size],Table1[[#This Row],[Loan size]])</f>
        <v>0.13934426229508196</v>
      </c>
      <c r="AO288" s="19" t="str">
        <f>IF(OR(Table1[[#This Row],[credit_score]] &lt; 600, Table1[ [#This Row],[dti_ratio] ] &gt; 0.5, Table1[[#This Row],[dpd]] &gt;=30), "high risk", " not riskY")</f>
        <v>high risk</v>
      </c>
      <c r="AP288" s="29">
        <f>EOMONTH(Table1[[#This Row],[origination_date]],0)</f>
        <v>44773</v>
      </c>
      <c r="AQ288" s="19">
        <f>SUMIFS(Table1[loan_amount],Table1[origination month],Table1[[#This Row],[origination month]])</f>
        <v>4518700</v>
      </c>
      <c r="AR288" s="19">
        <f>AVERAGEIFS(Table1[months_on_book],Table1[product],Table1[[#This Row],[product]])</f>
        <v>20.262135922330096</v>
      </c>
      <c r="AS288" s="19" t="str">
        <f ca="1">IF(EDATE(Table1[[#This Row],[origination_date]],6) &gt;= TODAY(), "New Loan", "Old Loan")</f>
        <v>Old Loan</v>
      </c>
      <c r="AT288" s="19" t="str">
        <f>"Q"&amp;ROUNDUP(MONTH(Table1[[#This Row],[origination_date]])/3,0)&amp;YEAR(Table1[[#This Row],[origination_date]])</f>
        <v>Q32022</v>
      </c>
      <c r="AU288" s="19">
        <f>SUMIFS(Table1[loan_amount],Table1[quarter],Table1[[#This Row],[quarter]])</f>
        <v>29441400</v>
      </c>
    </row>
    <row r="289" spans="2:47" x14ac:dyDescent="0.2">
      <c r="B289" s="5" t="s">
        <v>56</v>
      </c>
      <c r="C289" s="2" t="s">
        <v>556</v>
      </c>
      <c r="D289" s="3">
        <v>44761</v>
      </c>
      <c r="E289" s="2" t="s">
        <v>1026</v>
      </c>
      <c r="F289" s="2" t="s">
        <v>1029</v>
      </c>
      <c r="G289" s="2" t="s">
        <v>1034</v>
      </c>
      <c r="H289" s="2" t="s">
        <v>1038</v>
      </c>
      <c r="I289" s="2">
        <v>240</v>
      </c>
      <c r="J289" s="2">
        <v>416800</v>
      </c>
      <c r="K289" s="2">
        <v>22.07</v>
      </c>
      <c r="L289" s="2">
        <v>7763</v>
      </c>
      <c r="M289" s="2">
        <v>760982</v>
      </c>
      <c r="N289" s="2">
        <v>589</v>
      </c>
      <c r="O289" s="2" t="s">
        <v>1046</v>
      </c>
      <c r="P289" s="2">
        <v>0.28999999999999998</v>
      </c>
      <c r="Q289" s="2">
        <v>0.53</v>
      </c>
      <c r="R289" s="2">
        <v>0</v>
      </c>
      <c r="S289" s="2">
        <v>41</v>
      </c>
      <c r="T289" s="2">
        <v>323820</v>
      </c>
      <c r="U289" s="2">
        <v>218697</v>
      </c>
      <c r="V289" s="2">
        <v>60</v>
      </c>
      <c r="W289" s="2">
        <v>0</v>
      </c>
      <c r="X289" s="2">
        <v>0</v>
      </c>
      <c r="Y289" s="2" t="s">
        <v>1048</v>
      </c>
      <c r="Z289" s="12">
        <f>SUMIF(Table1[product],Table1[[#This Row],[product]],Table1[loan_amount])</f>
        <v>74897600</v>
      </c>
      <c r="AA289" s="15">
        <f>SUMIF(Table1[region],Table1[[#This Row],[region]],Table1[current_balance])</f>
        <v>105779369</v>
      </c>
      <c r="AB289" s="2">
        <f>COUNTIF(Table1[loan_status],Table1[[#This Row],[loan_status]])</f>
        <v>47</v>
      </c>
      <c r="AC289" s="2">
        <f>COUNTIF(Table1[default_flag],1)/ROWS(Table1[loan_id])</f>
        <v>2.5999999999999999E-2</v>
      </c>
      <c r="AD289" s="2">
        <f>COUNTIFS(Table1[region],Table1[[#This Row],[region]],Table1[default_flag],1)/COUNTIF(Table1[region],Table1[[#This Row],[region]])</f>
        <v>2.6548672566371681E-2</v>
      </c>
      <c r="AE289" s="2">
        <f>COUNTIFS(Table1[channel],Table1[[#This Row],[channel]],Table1[prepayment_flag],1)/COUNTIF(Table1[channel],Table1[[#This Row],[channel]])</f>
        <v>7.1090047393364927E-2</v>
      </c>
      <c r="AF289" s="2">
        <f>AVERAGEIFS(Table1[interest_rate_pct],Table1[product],Table1[[#This Row],[product]],Table1[risk_band],Table1[[#This Row],[risk_band]])</f>
        <v>23.803750000000001</v>
      </c>
      <c r="AG289" s="2" t="str" cm="1">
        <f t="array" ref="AG289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289" s="2">
        <f>COUNTIF(Table1[DTI band],Table1[[#This Row],[DTI band]])</f>
        <v>122</v>
      </c>
      <c r="AI289" s="2" t="str" cm="1">
        <f t="array" ref="AI289">_xlfn.IFS(Table1[[#This Row],[ltv_ratio]] &lt; 0.6, "less than 0.6 -less risky", Table1[[#This Row],[ltv_ratio]]  &lt;= 0.8, "0.6 - 0.8 -medium risky",Table1[[#This Row],[ltv_ratio]] &gt; 0.8, "greater than 0.8 -highly risky")</f>
        <v>less than 0.6 -less risky</v>
      </c>
      <c r="AJ289" s="2">
        <f>COUNTIF(Table1[LTV band],Table1[[#This Row],[LTV band]])</f>
        <v>57</v>
      </c>
      <c r="AK289" s="19">
        <f>COUNTIFS(Table1[count_loan_perband],Table1[[#This Row],[count_loan_perband]],Table1[default_flag],1)/COUNTIF(Table1[count_loan_perband],Table1[[#This Row],[count_loan_perband]])</f>
        <v>0</v>
      </c>
      <c r="AL289" s="19" t="str" cm="1">
        <f t="array" ref="AL289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289" s="19">
        <f>IF(Table1[[#This Row],[dpd]] &gt;=30,1,0)</f>
        <v>1</v>
      </c>
      <c r="AN289" s="19">
        <f>COUNTIFS(Table1[Loan size],Table1[[#This Row],[Loan size]],Table1[dpd flag],1)/COUNTIF(Table1[Loan size],Table1[[#This Row],[Loan size]])</f>
        <v>0.13934426229508196</v>
      </c>
      <c r="AO289" s="19" t="str">
        <f>IF(OR(Table1[[#This Row],[credit_score]] &lt; 600, Table1[ [#This Row],[dti_ratio] ] &gt; 0.5, Table1[[#This Row],[dpd]] &gt;=30), "high risk", " not riskY")</f>
        <v>high risk</v>
      </c>
      <c r="AP289" s="29">
        <f>EOMONTH(Table1[[#This Row],[origination_date]],0)</f>
        <v>44773</v>
      </c>
      <c r="AQ289" s="19">
        <f>SUMIFS(Table1[loan_amount],Table1[origination month],Table1[[#This Row],[origination month]])</f>
        <v>4518700</v>
      </c>
      <c r="AR289" s="19">
        <f>AVERAGEIFS(Table1[months_on_book],Table1[product],Table1[[#This Row],[product]])</f>
        <v>21.092024539877301</v>
      </c>
      <c r="AS289" s="19" t="str">
        <f ca="1">IF(EDATE(Table1[[#This Row],[origination_date]],6) &gt;= TODAY(), "New Loan", "Old Loan")</f>
        <v>Old Loan</v>
      </c>
      <c r="AT289" s="19" t="str">
        <f>"Q"&amp;ROUNDUP(MONTH(Table1[[#This Row],[origination_date]])/3,0)&amp;YEAR(Table1[[#This Row],[origination_date]])</f>
        <v>Q32022</v>
      </c>
      <c r="AU289" s="19">
        <f>SUMIFS(Table1[loan_amount],Table1[quarter],Table1[[#This Row],[quarter]])</f>
        <v>29441400</v>
      </c>
    </row>
    <row r="290" spans="2:47" x14ac:dyDescent="0.2">
      <c r="B290" s="5" t="s">
        <v>369</v>
      </c>
      <c r="C290" s="2" t="s">
        <v>869</v>
      </c>
      <c r="D290" s="3">
        <v>44781</v>
      </c>
      <c r="E290" s="2" t="s">
        <v>1026</v>
      </c>
      <c r="F290" s="2" t="s">
        <v>1029</v>
      </c>
      <c r="G290" s="2" t="s">
        <v>1035</v>
      </c>
      <c r="H290" s="2" t="s">
        <v>1040</v>
      </c>
      <c r="I290" s="2">
        <v>12</v>
      </c>
      <c r="J290" s="2">
        <v>280700</v>
      </c>
      <c r="K290" s="2">
        <v>12.65</v>
      </c>
      <c r="L290" s="2">
        <v>25025</v>
      </c>
      <c r="M290" s="2">
        <v>899212</v>
      </c>
      <c r="N290" s="2">
        <v>780</v>
      </c>
      <c r="O290" s="2" t="s">
        <v>1043</v>
      </c>
      <c r="P290" s="2">
        <v>0.28999999999999998</v>
      </c>
      <c r="Q290" s="2">
        <v>0.62</v>
      </c>
      <c r="R290" s="2">
        <v>0</v>
      </c>
      <c r="S290" s="2">
        <v>12</v>
      </c>
      <c r="T290" s="2">
        <v>282241</v>
      </c>
      <c r="U290" s="2">
        <v>12662</v>
      </c>
      <c r="V290" s="2">
        <v>30</v>
      </c>
      <c r="W290" s="2">
        <v>0</v>
      </c>
      <c r="X290" s="2">
        <v>0</v>
      </c>
      <c r="Y290" s="2" t="s">
        <v>1047</v>
      </c>
      <c r="Z290" s="12">
        <f>SUMIF(Table1[product],Table1[[#This Row],[product]],Table1[loan_amount])</f>
        <v>74897600</v>
      </c>
      <c r="AA290" s="15">
        <f>SUMIF(Table1[region],Table1[[#This Row],[region]],Table1[current_balance])</f>
        <v>83903255</v>
      </c>
      <c r="AB290" s="2">
        <f>COUNTIF(Table1[loan_status],Table1[[#This Row],[loan_status]])</f>
        <v>139</v>
      </c>
      <c r="AC290" s="2">
        <f>COUNTIF(Table1[default_flag],1)/ROWS(Table1[loan_id])</f>
        <v>2.5999999999999999E-2</v>
      </c>
      <c r="AD290" s="2">
        <f>COUNTIFS(Table1[region],Table1[[#This Row],[region]],Table1[default_flag],1)/COUNTIF(Table1[region],Table1[[#This Row],[region]])</f>
        <v>4.2553191489361701E-2</v>
      </c>
      <c r="AE290" s="2">
        <f>COUNTIFS(Table1[channel],Table1[[#This Row],[channel]],Table1[prepayment_flag],1)/COUNTIF(Table1[channel],Table1[[#This Row],[channel]])</f>
        <v>7.1090047393364927E-2</v>
      </c>
      <c r="AF290" s="2">
        <f>AVERAGEIFS(Table1[interest_rate_pct],Table1[product],Table1[[#This Row],[product]],Table1[risk_band],Table1[[#This Row],[risk_band]])</f>
        <v>13.328333333333335</v>
      </c>
      <c r="AG290" s="2" t="str" cm="1">
        <f t="array" ref="AG290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290" s="2">
        <f>COUNTIF(Table1[DTI band],Table1[[#This Row],[DTI band]])</f>
        <v>122</v>
      </c>
      <c r="AI290" s="2" t="str" cm="1">
        <f t="array" ref="AI290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290" s="2">
        <f>COUNTIF(Table1[LTV band],Table1[[#This Row],[LTV band]])</f>
        <v>302</v>
      </c>
      <c r="AK290" s="19">
        <f>COUNTIFS(Table1[count_loan_perband],Table1[[#This Row],[count_loan_perband]],Table1[default_flag],1)/COUNTIF(Table1[count_loan_perband],Table1[[#This Row],[count_loan_perband]])</f>
        <v>3.6423841059602648E-2</v>
      </c>
      <c r="AL290" s="19" t="str" cm="1">
        <f t="array" ref="AL290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290" s="19">
        <f>IF(Table1[[#This Row],[dpd]] &gt;=30,1,0)</f>
        <v>1</v>
      </c>
      <c r="AN290" s="19">
        <f>COUNTIFS(Table1[Loan size],Table1[[#This Row],[Loan size]],Table1[dpd flag],1)/COUNTIF(Table1[Loan size],Table1[[#This Row],[Loan size]])</f>
        <v>0.13934426229508196</v>
      </c>
      <c r="AO290" s="19" t="str">
        <f>IF(OR(Table1[[#This Row],[credit_score]] &lt; 600, Table1[ [#This Row],[dti_ratio] ] &gt; 0.5, Table1[[#This Row],[dpd]] &gt;=30), "high risk", " not riskY")</f>
        <v>high risk</v>
      </c>
      <c r="AP290" s="29">
        <f>EOMONTH(Table1[[#This Row],[origination_date]],0)</f>
        <v>44804</v>
      </c>
      <c r="AQ290" s="19">
        <f>SUMIFS(Table1[loan_amount],Table1[origination month],Table1[[#This Row],[origination month]])</f>
        <v>9810900</v>
      </c>
      <c r="AR290" s="19">
        <f>AVERAGEIFS(Table1[months_on_book],Table1[product],Table1[[#This Row],[product]])</f>
        <v>21.092024539877301</v>
      </c>
      <c r="AS290" s="19" t="str">
        <f ca="1">IF(EDATE(Table1[[#This Row],[origination_date]],6) &gt;= TODAY(), "New Loan", "Old Loan")</f>
        <v>Old Loan</v>
      </c>
      <c r="AT290" s="19" t="str">
        <f>"Q"&amp;ROUNDUP(MONTH(Table1[[#This Row],[origination_date]])/3,0)&amp;YEAR(Table1[[#This Row],[origination_date]])</f>
        <v>Q32022</v>
      </c>
      <c r="AU290" s="19">
        <f>SUMIFS(Table1[loan_amount],Table1[quarter],Table1[[#This Row],[quarter]])</f>
        <v>29441400</v>
      </c>
    </row>
    <row r="291" spans="2:47" x14ac:dyDescent="0.2">
      <c r="B291" s="5" t="s">
        <v>517</v>
      </c>
      <c r="C291" s="2" t="s">
        <v>1017</v>
      </c>
      <c r="D291" s="3">
        <v>44805</v>
      </c>
      <c r="E291" s="2" t="s">
        <v>1026</v>
      </c>
      <c r="F291" s="2" t="s">
        <v>1030</v>
      </c>
      <c r="G291" s="2" t="s">
        <v>1036</v>
      </c>
      <c r="H291" s="2" t="s">
        <v>1038</v>
      </c>
      <c r="I291" s="2">
        <v>24</v>
      </c>
      <c r="J291" s="2">
        <v>361500</v>
      </c>
      <c r="K291" s="2">
        <v>13.36</v>
      </c>
      <c r="L291" s="2">
        <v>17248</v>
      </c>
      <c r="M291" s="2">
        <v>784777</v>
      </c>
      <c r="N291" s="2">
        <v>772</v>
      </c>
      <c r="O291" s="2" t="s">
        <v>1043</v>
      </c>
      <c r="P291" s="2">
        <v>0.28999999999999998</v>
      </c>
      <c r="Q291" s="2">
        <v>0.92</v>
      </c>
      <c r="R291" s="2">
        <v>0</v>
      </c>
      <c r="S291" s="2">
        <v>24</v>
      </c>
      <c r="T291" s="2">
        <v>374206</v>
      </c>
      <c r="U291" s="2">
        <v>25931</v>
      </c>
      <c r="V291" s="2">
        <v>0</v>
      </c>
      <c r="W291" s="2">
        <v>0</v>
      </c>
      <c r="X291" s="2">
        <v>0</v>
      </c>
      <c r="Y291" s="2" t="s">
        <v>1047</v>
      </c>
      <c r="Z291" s="12">
        <f>SUMIF(Table1[product],Table1[[#This Row],[product]],Table1[loan_amount])</f>
        <v>74897600</v>
      </c>
      <c r="AA291" s="15">
        <f>SUMIF(Table1[region],Table1[[#This Row],[region]],Table1[current_balance])</f>
        <v>98928695</v>
      </c>
      <c r="AB291" s="2">
        <f>COUNTIF(Table1[loan_status],Table1[[#This Row],[loan_status]])</f>
        <v>139</v>
      </c>
      <c r="AC291" s="2">
        <f>COUNTIF(Table1[default_flag],1)/ROWS(Table1[loan_id])</f>
        <v>2.5999999999999999E-2</v>
      </c>
      <c r="AD291" s="2">
        <f>COUNTIFS(Table1[region],Table1[[#This Row],[region]],Table1[default_flag],1)/COUNTIF(Table1[region],Table1[[#This Row],[region]])</f>
        <v>2.8571428571428571E-2</v>
      </c>
      <c r="AE291" s="2">
        <f>COUNTIFS(Table1[channel],Table1[[#This Row],[channel]],Table1[prepayment_flag],1)/COUNTIF(Table1[channel],Table1[[#This Row],[channel]])</f>
        <v>5.8201058201058198E-2</v>
      </c>
      <c r="AF291" s="2">
        <f>AVERAGEIFS(Table1[interest_rate_pct],Table1[product],Table1[[#This Row],[product]],Table1[risk_band],Table1[[#This Row],[risk_band]])</f>
        <v>13.328333333333335</v>
      </c>
      <c r="AG291" s="2" t="str" cm="1">
        <f t="array" ref="AG291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291" s="2">
        <f>COUNTIF(Table1[DTI band],Table1[[#This Row],[DTI band]])</f>
        <v>122</v>
      </c>
      <c r="AI291" s="2" t="str" cm="1">
        <f t="array" ref="AI291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291" s="2">
        <f>COUNTIF(Table1[LTV band],Table1[[#This Row],[LTV band]])</f>
        <v>141</v>
      </c>
      <c r="AK291" s="19">
        <f>COUNTIFS(Table1[count_loan_perband],Table1[[#This Row],[count_loan_perband]],Table1[default_flag],1)/COUNTIF(Table1[count_loan_perband],Table1[[#This Row],[count_loan_perband]])</f>
        <v>1.4184397163120567E-2</v>
      </c>
      <c r="AL291" s="19" t="str" cm="1">
        <f t="array" ref="AL291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291" s="19">
        <f>IF(Table1[[#This Row],[dpd]] &gt;=30,1,0)</f>
        <v>0</v>
      </c>
      <c r="AN291" s="19">
        <f>COUNTIFS(Table1[Loan size],Table1[[#This Row],[Loan size]],Table1[dpd flag],1)/COUNTIF(Table1[Loan size],Table1[[#This Row],[Loan size]])</f>
        <v>0.13934426229508196</v>
      </c>
      <c r="AO291" s="19" t="str">
        <f>IF(OR(Table1[[#This Row],[credit_score]] &lt; 600, Table1[ [#This Row],[dti_ratio] ] &gt; 0.5, Table1[[#This Row],[dpd]] &gt;=30), "high risk", " not riskY")</f>
        <v xml:space="preserve"> not riskY</v>
      </c>
      <c r="AP291" s="29">
        <f>EOMONTH(Table1[[#This Row],[origination_date]],0)</f>
        <v>44834</v>
      </c>
      <c r="AQ291" s="19">
        <f>SUMIFS(Table1[loan_amount],Table1[origination month],Table1[[#This Row],[origination month]])</f>
        <v>15111800</v>
      </c>
      <c r="AR291" s="19">
        <f>AVERAGEIFS(Table1[months_on_book],Table1[product],Table1[[#This Row],[product]])</f>
        <v>21.092024539877301</v>
      </c>
      <c r="AS291" s="19" t="str">
        <f ca="1">IF(EDATE(Table1[[#This Row],[origination_date]],6) &gt;= TODAY(), "New Loan", "Old Loan")</f>
        <v>Old Loan</v>
      </c>
      <c r="AT291" s="19" t="str">
        <f>"Q"&amp;ROUNDUP(MONTH(Table1[[#This Row],[origination_date]])/3,0)&amp;YEAR(Table1[[#This Row],[origination_date]])</f>
        <v>Q32022</v>
      </c>
      <c r="AU291" s="19">
        <f>SUMIFS(Table1[loan_amount],Table1[quarter],Table1[[#This Row],[quarter]])</f>
        <v>29441400</v>
      </c>
    </row>
    <row r="292" spans="2:47" x14ac:dyDescent="0.2">
      <c r="B292" s="5" t="s">
        <v>70</v>
      </c>
      <c r="C292" s="2" t="s">
        <v>570</v>
      </c>
      <c r="D292" s="3">
        <v>44745</v>
      </c>
      <c r="E292" s="2" t="s">
        <v>1026</v>
      </c>
      <c r="F292" s="2" t="s">
        <v>1032</v>
      </c>
      <c r="G292" s="2" t="s">
        <v>1034</v>
      </c>
      <c r="H292" s="2" t="s">
        <v>1038</v>
      </c>
      <c r="I292" s="2">
        <v>24</v>
      </c>
      <c r="J292" s="2">
        <v>383800</v>
      </c>
      <c r="K292" s="2">
        <v>16.62</v>
      </c>
      <c r="L292" s="2">
        <v>18906</v>
      </c>
      <c r="M292" s="2">
        <v>1169138</v>
      </c>
      <c r="N292" s="2">
        <v>737</v>
      </c>
      <c r="O292" s="2" t="s">
        <v>1044</v>
      </c>
      <c r="P292" s="2">
        <v>0.26</v>
      </c>
      <c r="Q292" s="2">
        <v>0.73</v>
      </c>
      <c r="R292" s="2">
        <v>0</v>
      </c>
      <c r="S292" s="2">
        <v>24</v>
      </c>
      <c r="T292" s="2">
        <v>394655</v>
      </c>
      <c r="U292" s="2">
        <v>40175</v>
      </c>
      <c r="V292" s="2">
        <v>0</v>
      </c>
      <c r="W292" s="2">
        <v>0</v>
      </c>
      <c r="X292" s="2">
        <v>0</v>
      </c>
      <c r="Y292" s="2" t="s">
        <v>1047</v>
      </c>
      <c r="Z292" s="12">
        <f>SUMIF(Table1[product],Table1[[#This Row],[product]],Table1[loan_amount])</f>
        <v>74897600</v>
      </c>
      <c r="AA292" s="15">
        <f>SUMIF(Table1[region],Table1[[#This Row],[region]],Table1[current_balance])</f>
        <v>105779369</v>
      </c>
      <c r="AB292" s="2">
        <f>COUNTIF(Table1[loan_status],Table1[[#This Row],[loan_status]])</f>
        <v>139</v>
      </c>
      <c r="AC292" s="2">
        <f>COUNTIF(Table1[default_flag],1)/ROWS(Table1[loan_id])</f>
        <v>2.5999999999999999E-2</v>
      </c>
      <c r="AD292" s="2">
        <f>COUNTIFS(Table1[region],Table1[[#This Row],[region]],Table1[default_flag],1)/COUNTIF(Table1[region],Table1[[#This Row],[region]])</f>
        <v>2.6548672566371681E-2</v>
      </c>
      <c r="AE292" s="2">
        <f>COUNTIFS(Table1[channel],Table1[[#This Row],[channel]],Table1[prepayment_flag],1)/COUNTIF(Table1[channel],Table1[[#This Row],[channel]])</f>
        <v>0.1</v>
      </c>
      <c r="AF292" s="2">
        <f>AVERAGEIFS(Table1[interest_rate_pct],Table1[product],Table1[[#This Row],[product]],Table1[risk_band],Table1[[#This Row],[risk_band]])</f>
        <v>16.500166666666669</v>
      </c>
      <c r="AG292" s="2" t="str" cm="1">
        <f t="array" ref="AG292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292" s="2">
        <f>COUNTIF(Table1[DTI band],Table1[[#This Row],[DTI band]])</f>
        <v>122</v>
      </c>
      <c r="AI292" s="2" t="str" cm="1">
        <f t="array" ref="AI292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292" s="2">
        <f>COUNTIF(Table1[LTV band],Table1[[#This Row],[LTV band]])</f>
        <v>302</v>
      </c>
      <c r="AK292" s="19">
        <f>COUNTIFS(Table1[count_loan_perband],Table1[[#This Row],[count_loan_perband]],Table1[default_flag],1)/COUNTIF(Table1[count_loan_perband],Table1[[#This Row],[count_loan_perband]])</f>
        <v>3.6423841059602648E-2</v>
      </c>
      <c r="AL292" s="19" t="str" cm="1">
        <f t="array" ref="AL292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292" s="19">
        <f>IF(Table1[[#This Row],[dpd]] &gt;=30,1,0)</f>
        <v>0</v>
      </c>
      <c r="AN292" s="19">
        <f>COUNTIFS(Table1[Loan size],Table1[[#This Row],[Loan size]],Table1[dpd flag],1)/COUNTIF(Table1[Loan size],Table1[[#This Row],[Loan size]])</f>
        <v>0.13934426229508196</v>
      </c>
      <c r="AO292" s="19" t="str">
        <f>IF(OR(Table1[[#This Row],[credit_score]] &lt; 600, Table1[ [#This Row],[dti_ratio] ] &gt; 0.5, Table1[[#This Row],[dpd]] &gt;=30), "high risk", " not riskY")</f>
        <v xml:space="preserve"> not riskY</v>
      </c>
      <c r="AP292" s="29">
        <f>EOMONTH(Table1[[#This Row],[origination_date]],0)</f>
        <v>44773</v>
      </c>
      <c r="AQ292" s="19">
        <f>SUMIFS(Table1[loan_amount],Table1[origination month],Table1[[#This Row],[origination month]])</f>
        <v>4518700</v>
      </c>
      <c r="AR292" s="19">
        <f>AVERAGEIFS(Table1[months_on_book],Table1[product],Table1[[#This Row],[product]])</f>
        <v>21.092024539877301</v>
      </c>
      <c r="AS292" s="19" t="str">
        <f ca="1">IF(EDATE(Table1[[#This Row],[origination_date]],6) &gt;= TODAY(), "New Loan", "Old Loan")</f>
        <v>Old Loan</v>
      </c>
      <c r="AT292" s="19" t="str">
        <f>"Q"&amp;ROUNDUP(MONTH(Table1[[#This Row],[origination_date]])/3,0)&amp;YEAR(Table1[[#This Row],[origination_date]])</f>
        <v>Q32022</v>
      </c>
      <c r="AU292" s="19">
        <f>SUMIFS(Table1[loan_amount],Table1[quarter],Table1[[#This Row],[quarter]])</f>
        <v>29441400</v>
      </c>
    </row>
    <row r="293" spans="2:47" x14ac:dyDescent="0.2">
      <c r="B293" s="5" t="s">
        <v>484</v>
      </c>
      <c r="C293" s="2" t="s">
        <v>984</v>
      </c>
      <c r="D293" s="3">
        <v>44815</v>
      </c>
      <c r="E293" s="2" t="s">
        <v>1024</v>
      </c>
      <c r="F293" s="2" t="s">
        <v>1030</v>
      </c>
      <c r="G293" s="2" t="s">
        <v>1036</v>
      </c>
      <c r="H293" s="2" t="s">
        <v>1038</v>
      </c>
      <c r="I293" s="2">
        <v>180</v>
      </c>
      <c r="J293" s="2">
        <v>924800</v>
      </c>
      <c r="K293" s="2">
        <v>11.7</v>
      </c>
      <c r="L293" s="2">
        <v>10921</v>
      </c>
      <c r="M293" s="2">
        <v>1225632</v>
      </c>
      <c r="N293" s="2">
        <v>680</v>
      </c>
      <c r="O293" s="2" t="s">
        <v>1042</v>
      </c>
      <c r="P293" s="2">
        <v>0.24</v>
      </c>
      <c r="Q293" s="2">
        <v>0.87</v>
      </c>
      <c r="R293" s="2">
        <v>1067000</v>
      </c>
      <c r="S293" s="2">
        <v>39</v>
      </c>
      <c r="T293" s="2">
        <v>397032</v>
      </c>
      <c r="U293" s="2">
        <v>668430</v>
      </c>
      <c r="V293" s="2">
        <v>0</v>
      </c>
      <c r="W293" s="2">
        <v>0</v>
      </c>
      <c r="X293" s="2">
        <v>0</v>
      </c>
      <c r="Y293" s="2" t="s">
        <v>1049</v>
      </c>
      <c r="Z293" s="12">
        <f>SUMIF(Table1[product],Table1[[#This Row],[product]],Table1[loan_amount])</f>
        <v>92273000</v>
      </c>
      <c r="AA293" s="15">
        <f>SUMIF(Table1[region],Table1[[#This Row],[region]],Table1[current_balance])</f>
        <v>98928695</v>
      </c>
      <c r="AB293" s="2">
        <f>COUNTIF(Table1[loan_status],Table1[[#This Row],[loan_status]])</f>
        <v>301</v>
      </c>
      <c r="AC293" s="2">
        <f>COUNTIF(Table1[default_flag],1)/ROWS(Table1[loan_id])</f>
        <v>2.5999999999999999E-2</v>
      </c>
      <c r="AD293" s="2">
        <f>COUNTIFS(Table1[region],Table1[[#This Row],[region]],Table1[default_flag],1)/COUNTIF(Table1[region],Table1[[#This Row],[region]])</f>
        <v>2.8571428571428571E-2</v>
      </c>
      <c r="AE293" s="2">
        <f>COUNTIFS(Table1[channel],Table1[[#This Row],[channel]],Table1[prepayment_flag],1)/COUNTIF(Table1[channel],Table1[[#This Row],[channel]])</f>
        <v>5.8201058201058198E-2</v>
      </c>
      <c r="AF293" s="2">
        <f>AVERAGEIFS(Table1[interest_rate_pct],Table1[product],Table1[[#This Row],[product]],Table1[risk_band],Table1[[#This Row],[risk_band]])</f>
        <v>13.246500000000001</v>
      </c>
      <c r="AG293" s="2" t="str" cm="1">
        <f t="array" ref="AG293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293" s="2">
        <f>COUNTIF(Table1[DTI band],Table1[[#This Row],[DTI band]])</f>
        <v>122</v>
      </c>
      <c r="AI293" s="2" t="str" cm="1">
        <f t="array" ref="AI293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293" s="2">
        <f>COUNTIF(Table1[LTV band],Table1[[#This Row],[LTV band]])</f>
        <v>141</v>
      </c>
      <c r="AK293" s="19">
        <f>COUNTIFS(Table1[count_loan_perband],Table1[[#This Row],[count_loan_perband]],Table1[default_flag],1)/COUNTIF(Table1[count_loan_perband],Table1[[#This Row],[count_loan_perband]])</f>
        <v>1.4184397163120567E-2</v>
      </c>
      <c r="AL293" s="19" t="str" cm="1">
        <f t="array" ref="AL293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293" s="19">
        <f>IF(Table1[[#This Row],[dpd]] &gt;=30,1,0)</f>
        <v>0</v>
      </c>
      <c r="AN293" s="19">
        <f>COUNTIFS(Table1[Loan size],Table1[[#This Row],[Loan size]],Table1[dpd flag],1)/COUNTIF(Table1[Loan size],Table1[[#This Row],[Loan size]])</f>
        <v>0.15909090909090909</v>
      </c>
      <c r="AO293" s="19" t="str">
        <f>IF(OR(Table1[[#This Row],[credit_score]] &lt; 600, Table1[ [#This Row],[dti_ratio] ] &gt; 0.5, Table1[[#This Row],[dpd]] &gt;=30), "high risk", " not riskY")</f>
        <v xml:space="preserve"> not riskY</v>
      </c>
      <c r="AP293" s="29">
        <f>EOMONTH(Table1[[#This Row],[origination_date]],0)</f>
        <v>44834</v>
      </c>
      <c r="AQ293" s="19">
        <f>SUMIFS(Table1[loan_amount],Table1[origination month],Table1[[#This Row],[origination month]])</f>
        <v>15111800</v>
      </c>
      <c r="AR293" s="19">
        <f>AVERAGEIFS(Table1[months_on_book],Table1[product],Table1[[#This Row],[product]])</f>
        <v>20.262135922330096</v>
      </c>
      <c r="AS293" s="19" t="str">
        <f ca="1">IF(EDATE(Table1[[#This Row],[origination_date]],6) &gt;= TODAY(), "New Loan", "Old Loan")</f>
        <v>Old Loan</v>
      </c>
      <c r="AT293" s="19" t="str">
        <f>"Q"&amp;ROUNDUP(MONTH(Table1[[#This Row],[origination_date]])/3,0)&amp;YEAR(Table1[[#This Row],[origination_date]])</f>
        <v>Q32022</v>
      </c>
      <c r="AU293" s="19">
        <f>SUMIFS(Table1[loan_amount],Table1[quarter],Table1[[#This Row],[quarter]])</f>
        <v>29441400</v>
      </c>
    </row>
    <row r="294" spans="2:47" x14ac:dyDescent="0.2">
      <c r="B294" s="5" t="s">
        <v>242</v>
      </c>
      <c r="C294" s="2" t="s">
        <v>742</v>
      </c>
      <c r="D294" s="3">
        <v>44754</v>
      </c>
      <c r="E294" s="2" t="s">
        <v>1026</v>
      </c>
      <c r="F294" s="2" t="s">
        <v>1029</v>
      </c>
      <c r="G294" s="2" t="s">
        <v>1035</v>
      </c>
      <c r="H294" s="2" t="s">
        <v>1038</v>
      </c>
      <c r="I294" s="2">
        <v>120</v>
      </c>
      <c r="J294" s="2">
        <v>761800</v>
      </c>
      <c r="K294" s="2">
        <v>10.88</v>
      </c>
      <c r="L294" s="2">
        <v>10442</v>
      </c>
      <c r="M294" s="2">
        <v>1239432</v>
      </c>
      <c r="N294" s="2">
        <v>824</v>
      </c>
      <c r="O294" s="2" t="s">
        <v>1043</v>
      </c>
      <c r="P294" s="2">
        <v>0.23</v>
      </c>
      <c r="Q294" s="2">
        <v>0.88</v>
      </c>
      <c r="R294" s="2">
        <v>0</v>
      </c>
      <c r="S294" s="2">
        <v>41</v>
      </c>
      <c r="T294" s="2">
        <v>432837</v>
      </c>
      <c r="U294" s="2">
        <v>442238</v>
      </c>
      <c r="V294" s="2">
        <v>0</v>
      </c>
      <c r="W294" s="2">
        <v>1</v>
      </c>
      <c r="X294" s="2">
        <v>0</v>
      </c>
      <c r="Y294" s="2" t="s">
        <v>1047</v>
      </c>
      <c r="Z294" s="12">
        <f>SUMIF(Table1[product],Table1[[#This Row],[product]],Table1[loan_amount])</f>
        <v>74897600</v>
      </c>
      <c r="AA294" s="15">
        <f>SUMIF(Table1[region],Table1[[#This Row],[region]],Table1[current_balance])</f>
        <v>83903255</v>
      </c>
      <c r="AB294" s="2">
        <f>COUNTIF(Table1[loan_status],Table1[[#This Row],[loan_status]])</f>
        <v>139</v>
      </c>
      <c r="AC294" s="2">
        <f>COUNTIF(Table1[default_flag],1)/ROWS(Table1[loan_id])</f>
        <v>2.5999999999999999E-2</v>
      </c>
      <c r="AD294" s="2">
        <f>COUNTIFS(Table1[region],Table1[[#This Row],[region]],Table1[default_flag],1)/COUNTIF(Table1[region],Table1[[#This Row],[region]])</f>
        <v>4.2553191489361701E-2</v>
      </c>
      <c r="AE294" s="2">
        <f>COUNTIFS(Table1[channel],Table1[[#This Row],[channel]],Table1[prepayment_flag],1)/COUNTIF(Table1[channel],Table1[[#This Row],[channel]])</f>
        <v>7.1090047393364927E-2</v>
      </c>
      <c r="AF294" s="2">
        <f>AVERAGEIFS(Table1[interest_rate_pct],Table1[product],Table1[[#This Row],[product]],Table1[risk_band],Table1[[#This Row],[risk_band]])</f>
        <v>13.328333333333335</v>
      </c>
      <c r="AG294" s="2" t="str" cm="1">
        <f t="array" ref="AG294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294" s="2">
        <f>COUNTIF(Table1[DTI band],Table1[[#This Row],[DTI band]])</f>
        <v>122</v>
      </c>
      <c r="AI294" s="2" t="str" cm="1">
        <f t="array" ref="AI294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294" s="2">
        <f>COUNTIF(Table1[LTV band],Table1[[#This Row],[LTV band]])</f>
        <v>141</v>
      </c>
      <c r="AK294" s="19">
        <f>COUNTIFS(Table1[count_loan_perband],Table1[[#This Row],[count_loan_perband]],Table1[default_flag],1)/COUNTIF(Table1[count_loan_perband],Table1[[#This Row],[count_loan_perband]])</f>
        <v>1.4184397163120567E-2</v>
      </c>
      <c r="AL294" s="19" t="str" cm="1">
        <f t="array" ref="AL294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294" s="19">
        <f>IF(Table1[[#This Row],[dpd]] &gt;=30,1,0)</f>
        <v>0</v>
      </c>
      <c r="AN294" s="19">
        <f>COUNTIFS(Table1[Loan size],Table1[[#This Row],[Loan size]],Table1[dpd flag],1)/COUNTIF(Table1[Loan size],Table1[[#This Row],[Loan size]])</f>
        <v>0.13934426229508196</v>
      </c>
      <c r="AO294" s="19" t="str">
        <f>IF(OR(Table1[[#This Row],[credit_score]] &lt; 600, Table1[ [#This Row],[dti_ratio] ] &gt; 0.5, Table1[[#This Row],[dpd]] &gt;=30), "high risk", " not riskY")</f>
        <v xml:space="preserve"> not riskY</v>
      </c>
      <c r="AP294" s="29">
        <f>EOMONTH(Table1[[#This Row],[origination_date]],0)</f>
        <v>44773</v>
      </c>
      <c r="AQ294" s="19">
        <f>SUMIFS(Table1[loan_amount],Table1[origination month],Table1[[#This Row],[origination month]])</f>
        <v>4518700</v>
      </c>
      <c r="AR294" s="19">
        <f>AVERAGEIFS(Table1[months_on_book],Table1[product],Table1[[#This Row],[product]])</f>
        <v>21.092024539877301</v>
      </c>
      <c r="AS294" s="19" t="str">
        <f ca="1">IF(EDATE(Table1[[#This Row],[origination_date]],6) &gt;= TODAY(), "New Loan", "Old Loan")</f>
        <v>Old Loan</v>
      </c>
      <c r="AT294" s="19" t="str">
        <f>"Q"&amp;ROUNDUP(MONTH(Table1[[#This Row],[origination_date]])/3,0)&amp;YEAR(Table1[[#This Row],[origination_date]])</f>
        <v>Q32022</v>
      </c>
      <c r="AU294" s="19">
        <f>SUMIFS(Table1[loan_amount],Table1[quarter],Table1[[#This Row],[quarter]])</f>
        <v>29441400</v>
      </c>
    </row>
    <row r="295" spans="2:47" x14ac:dyDescent="0.2">
      <c r="B295" s="5" t="s">
        <v>437</v>
      </c>
      <c r="C295" s="2" t="s">
        <v>937</v>
      </c>
      <c r="D295" s="3">
        <v>44784</v>
      </c>
      <c r="E295" s="2" t="s">
        <v>1026</v>
      </c>
      <c r="F295" s="2" t="s">
        <v>1029</v>
      </c>
      <c r="G295" s="2" t="s">
        <v>1035</v>
      </c>
      <c r="H295" s="2" t="s">
        <v>1038</v>
      </c>
      <c r="I295" s="2">
        <v>24</v>
      </c>
      <c r="J295" s="2">
        <v>816900</v>
      </c>
      <c r="K295" s="2">
        <v>21.43</v>
      </c>
      <c r="L295" s="2">
        <v>42150</v>
      </c>
      <c r="M295" s="2">
        <v>1241594</v>
      </c>
      <c r="N295" s="2">
        <v>630</v>
      </c>
      <c r="O295" s="2" t="s">
        <v>1045</v>
      </c>
      <c r="P295" s="2">
        <v>0.22</v>
      </c>
      <c r="Q295" s="2">
        <v>0.81</v>
      </c>
      <c r="R295" s="2">
        <v>0</v>
      </c>
      <c r="S295" s="2">
        <v>24</v>
      </c>
      <c r="T295" s="2">
        <v>1008804</v>
      </c>
      <c r="U295" s="2">
        <v>0</v>
      </c>
      <c r="V295" s="2">
        <v>0</v>
      </c>
      <c r="W295" s="2">
        <v>0</v>
      </c>
      <c r="X295" s="2">
        <v>0</v>
      </c>
      <c r="Y295" s="2" t="s">
        <v>1047</v>
      </c>
      <c r="Z295" s="12">
        <f>SUMIF(Table1[product],Table1[[#This Row],[product]],Table1[loan_amount])</f>
        <v>74897600</v>
      </c>
      <c r="AA295" s="15">
        <f>SUMIF(Table1[region],Table1[[#This Row],[region]],Table1[current_balance])</f>
        <v>83903255</v>
      </c>
      <c r="AB295" s="2">
        <f>COUNTIF(Table1[loan_status],Table1[[#This Row],[loan_status]])</f>
        <v>139</v>
      </c>
      <c r="AC295" s="2">
        <f>COUNTIF(Table1[default_flag],1)/ROWS(Table1[loan_id])</f>
        <v>2.5999999999999999E-2</v>
      </c>
      <c r="AD295" s="2">
        <f>COUNTIFS(Table1[region],Table1[[#This Row],[region]],Table1[default_flag],1)/COUNTIF(Table1[region],Table1[[#This Row],[region]])</f>
        <v>4.2553191489361701E-2</v>
      </c>
      <c r="AE295" s="2">
        <f>COUNTIFS(Table1[channel],Table1[[#This Row],[channel]],Table1[prepayment_flag],1)/COUNTIF(Table1[channel],Table1[[#This Row],[channel]])</f>
        <v>7.1090047393364927E-2</v>
      </c>
      <c r="AF295" s="2">
        <f>AVERAGEIFS(Table1[interest_rate_pct],Table1[product],Table1[[#This Row],[product]],Table1[risk_band],Table1[[#This Row],[risk_band]])</f>
        <v>20.962592592592593</v>
      </c>
      <c r="AG295" s="2" t="str" cm="1">
        <f t="array" ref="AG295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295" s="2">
        <f>COUNTIF(Table1[DTI band],Table1[[#This Row],[DTI band]])</f>
        <v>122</v>
      </c>
      <c r="AI295" s="2" t="str" cm="1">
        <f t="array" ref="AI295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295" s="2">
        <f>COUNTIF(Table1[LTV band],Table1[[#This Row],[LTV band]])</f>
        <v>141</v>
      </c>
      <c r="AK295" s="19">
        <f>COUNTIFS(Table1[count_loan_perband],Table1[[#This Row],[count_loan_perband]],Table1[default_flag],1)/COUNTIF(Table1[count_loan_perband],Table1[[#This Row],[count_loan_perband]])</f>
        <v>1.4184397163120567E-2</v>
      </c>
      <c r="AL295" s="19" t="str" cm="1">
        <f t="array" ref="AL295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295" s="19">
        <f>IF(Table1[[#This Row],[dpd]] &gt;=30,1,0)</f>
        <v>0</v>
      </c>
      <c r="AN295" s="19">
        <f>COUNTIFS(Table1[Loan size],Table1[[#This Row],[Loan size]],Table1[dpd flag],1)/COUNTIF(Table1[Loan size],Table1[[#This Row],[Loan size]])</f>
        <v>0.13934426229508196</v>
      </c>
      <c r="AO295" s="19" t="str">
        <f>IF(OR(Table1[[#This Row],[credit_score]] &lt; 600, Table1[ [#This Row],[dti_ratio] ] &gt; 0.5, Table1[[#This Row],[dpd]] &gt;=30), "high risk", " not riskY")</f>
        <v xml:space="preserve"> not riskY</v>
      </c>
      <c r="AP295" s="29">
        <f>EOMONTH(Table1[[#This Row],[origination_date]],0)</f>
        <v>44804</v>
      </c>
      <c r="AQ295" s="19">
        <f>SUMIFS(Table1[loan_amount],Table1[origination month],Table1[[#This Row],[origination month]])</f>
        <v>9810900</v>
      </c>
      <c r="AR295" s="19">
        <f>AVERAGEIFS(Table1[months_on_book],Table1[product],Table1[[#This Row],[product]])</f>
        <v>21.092024539877301</v>
      </c>
      <c r="AS295" s="19" t="str">
        <f ca="1">IF(EDATE(Table1[[#This Row],[origination_date]],6) &gt;= TODAY(), "New Loan", "Old Loan")</f>
        <v>Old Loan</v>
      </c>
      <c r="AT295" s="19" t="str">
        <f>"Q"&amp;ROUNDUP(MONTH(Table1[[#This Row],[origination_date]])/3,0)&amp;YEAR(Table1[[#This Row],[origination_date]])</f>
        <v>Q32022</v>
      </c>
      <c r="AU295" s="19">
        <f>SUMIFS(Table1[loan_amount],Table1[quarter],Table1[[#This Row],[quarter]])</f>
        <v>29441400</v>
      </c>
    </row>
    <row r="296" spans="2:47" x14ac:dyDescent="0.2">
      <c r="B296" s="5" t="s">
        <v>186</v>
      </c>
      <c r="C296" s="2" t="s">
        <v>686</v>
      </c>
      <c r="D296" s="3">
        <v>44806</v>
      </c>
      <c r="E296" s="2" t="s">
        <v>1027</v>
      </c>
      <c r="F296" s="2" t="s">
        <v>1029</v>
      </c>
      <c r="G296" s="2" t="s">
        <v>1036</v>
      </c>
      <c r="H296" s="2" t="s">
        <v>1038</v>
      </c>
      <c r="I296" s="2">
        <v>120</v>
      </c>
      <c r="J296" s="2">
        <v>4805200</v>
      </c>
      <c r="K296" s="2">
        <v>7.9</v>
      </c>
      <c r="L296" s="2">
        <v>58047</v>
      </c>
      <c r="M296" s="2">
        <v>437231</v>
      </c>
      <c r="N296" s="2">
        <v>731</v>
      </c>
      <c r="O296" s="2" t="s">
        <v>1044</v>
      </c>
      <c r="P296" s="2">
        <v>0.19</v>
      </c>
      <c r="Q296" s="2">
        <v>0.54</v>
      </c>
      <c r="R296" s="2">
        <v>8845900</v>
      </c>
      <c r="S296" s="2">
        <v>39</v>
      </c>
      <c r="T296" s="2">
        <v>2133659</v>
      </c>
      <c r="U296" s="2">
        <v>3165035</v>
      </c>
      <c r="V296" s="2">
        <v>30</v>
      </c>
      <c r="W296" s="2">
        <v>0</v>
      </c>
      <c r="X296" s="2">
        <v>0</v>
      </c>
      <c r="Y296" s="2" t="s">
        <v>1048</v>
      </c>
      <c r="Z296" s="12">
        <f>SUMIF(Table1[product],Table1[[#This Row],[product]],Table1[loan_amount])</f>
        <v>403369500</v>
      </c>
      <c r="AA296" s="15">
        <f>SUMIF(Table1[region],Table1[[#This Row],[region]],Table1[current_balance])</f>
        <v>98928695</v>
      </c>
      <c r="AB296" s="2">
        <f>COUNTIF(Table1[loan_status],Table1[[#This Row],[loan_status]])</f>
        <v>47</v>
      </c>
      <c r="AC296" s="2">
        <f>COUNTIF(Table1[default_flag],1)/ROWS(Table1[loan_id])</f>
        <v>2.5999999999999999E-2</v>
      </c>
      <c r="AD296" s="2">
        <f>COUNTIFS(Table1[region],Table1[[#This Row],[region]],Table1[default_flag],1)/COUNTIF(Table1[region],Table1[[#This Row],[region]])</f>
        <v>2.8571428571428571E-2</v>
      </c>
      <c r="AE296" s="2">
        <f>COUNTIFS(Table1[channel],Table1[[#This Row],[channel]],Table1[prepayment_flag],1)/COUNTIF(Table1[channel],Table1[[#This Row],[channel]])</f>
        <v>7.1090047393364927E-2</v>
      </c>
      <c r="AF296" s="2">
        <f>AVERAGEIFS(Table1[interest_rate_pct],Table1[product],Table1[[#This Row],[product]],Table1[risk_band],Table1[[#This Row],[risk_band]])</f>
        <v>8.8557142857142868</v>
      </c>
      <c r="AG296" s="2" t="str" cm="1">
        <f t="array" ref="AG296">_xlfn.IFS(Table1[[#This Row],[dti_ratio]] &lt; 0.2, " less than 0.2", Table1[[#This Row],[dti_ratio]] &lt; 0.3, "0.2 - 0.3", Table1[[#This Row],[dti_ratio]] &lt;= 0.5, "0.35 - 0.5", Table1[[#This Row],[dti_ratio]] &gt; 0.5, "greater than 0.5")</f>
        <v xml:space="preserve"> less than 0.2</v>
      </c>
      <c r="AH296" s="2">
        <f>COUNTIF(Table1[DTI band],Table1[[#This Row],[DTI band]])</f>
        <v>86</v>
      </c>
      <c r="AI296" s="2" t="str" cm="1">
        <f t="array" ref="AI296">_xlfn.IFS(Table1[[#This Row],[ltv_ratio]] &lt; 0.6, "less than 0.6 -less risky", Table1[[#This Row],[ltv_ratio]]  &lt;= 0.8, "0.6 - 0.8 -medium risky",Table1[[#This Row],[ltv_ratio]] &gt; 0.8, "greater than 0.8 -highly risky")</f>
        <v>less than 0.6 -less risky</v>
      </c>
      <c r="AJ296" s="2">
        <f>COUNTIF(Table1[LTV band],Table1[[#This Row],[LTV band]])</f>
        <v>57</v>
      </c>
      <c r="AK296" s="19">
        <f>COUNTIFS(Table1[count_loan_perband],Table1[[#This Row],[count_loan_perband]],Table1[default_flag],1)/COUNTIF(Table1[count_loan_perband],Table1[[#This Row],[count_loan_perband]])</f>
        <v>0</v>
      </c>
      <c r="AL296" s="19" t="str" cm="1">
        <f t="array" ref="AL296">_xlfn.IFS(Table1[[#This Row],[loan_amount]] &lt; 900000, "lower size (&lt; 9L)", Table1[[#This Row],[loan_amount]] &lt;=3300000, "medium size (&lt;=33L)", Table1[[#This Row],[loan_amount]] &gt; 3300000, "larger size (&gt; 33L)")</f>
        <v>larger size (&gt; 33L)</v>
      </c>
      <c r="AM296" s="19">
        <f>IF(Table1[[#This Row],[dpd]] &gt;=30,1,0)</f>
        <v>1</v>
      </c>
      <c r="AN296" s="19">
        <f>COUNTIFS(Table1[Loan size],Table1[[#This Row],[Loan size]],Table1[dpd flag],1)/COUNTIF(Table1[Loan size],Table1[[#This Row],[Loan size]])</f>
        <v>0.16250000000000001</v>
      </c>
      <c r="AO296" s="19" t="str">
        <f>IF(OR(Table1[[#This Row],[credit_score]] &lt; 600, Table1[ [#This Row],[dti_ratio] ] &gt; 0.5, Table1[[#This Row],[dpd]] &gt;=30), "high risk", " not riskY")</f>
        <v>high risk</v>
      </c>
      <c r="AP296" s="29">
        <f>EOMONTH(Table1[[#This Row],[origination_date]],0)</f>
        <v>44834</v>
      </c>
      <c r="AQ296" s="19">
        <f>SUMIFS(Table1[loan_amount],Table1[origination month],Table1[[#This Row],[origination month]])</f>
        <v>15111800</v>
      </c>
      <c r="AR296" s="19">
        <f>AVERAGEIFS(Table1[months_on_book],Table1[product],Table1[[#This Row],[product]])</f>
        <v>20.516129032258064</v>
      </c>
      <c r="AS296" s="19" t="str">
        <f ca="1">IF(EDATE(Table1[[#This Row],[origination_date]],6) &gt;= TODAY(), "New Loan", "Old Loan")</f>
        <v>Old Loan</v>
      </c>
      <c r="AT296" s="19" t="str">
        <f>"Q"&amp;ROUNDUP(MONTH(Table1[[#This Row],[origination_date]])/3,0)&amp;YEAR(Table1[[#This Row],[origination_date]])</f>
        <v>Q32022</v>
      </c>
      <c r="AU296" s="19">
        <f>SUMIFS(Table1[loan_amount],Table1[quarter],Table1[[#This Row],[quarter]])</f>
        <v>29441400</v>
      </c>
    </row>
    <row r="297" spans="2:47" x14ac:dyDescent="0.2">
      <c r="B297" s="5" t="s">
        <v>446</v>
      </c>
      <c r="C297" s="2" t="s">
        <v>946</v>
      </c>
      <c r="D297" s="3">
        <v>44794</v>
      </c>
      <c r="E297" s="2" t="s">
        <v>1025</v>
      </c>
      <c r="F297" s="2" t="s">
        <v>1029</v>
      </c>
      <c r="G297" s="2" t="s">
        <v>1036</v>
      </c>
      <c r="H297" s="2" t="s">
        <v>1038</v>
      </c>
      <c r="I297" s="2">
        <v>24</v>
      </c>
      <c r="J297" s="2">
        <v>2373600</v>
      </c>
      <c r="K297" s="2">
        <v>19.7</v>
      </c>
      <c r="L297" s="2">
        <v>120459</v>
      </c>
      <c r="M297" s="2">
        <v>638859</v>
      </c>
      <c r="N297" s="2">
        <v>586</v>
      </c>
      <c r="O297" s="2" t="s">
        <v>1046</v>
      </c>
      <c r="P297" s="2">
        <v>0.19</v>
      </c>
      <c r="Q297" s="2">
        <v>0.73</v>
      </c>
      <c r="R297" s="2">
        <v>3237800</v>
      </c>
      <c r="S297" s="2">
        <v>24</v>
      </c>
      <c r="T297" s="2">
        <v>2743583</v>
      </c>
      <c r="U297" s="2">
        <v>4096</v>
      </c>
      <c r="V297" s="2">
        <v>0</v>
      </c>
      <c r="W297" s="2">
        <v>0</v>
      </c>
      <c r="X297" s="2">
        <v>0</v>
      </c>
      <c r="Y297" s="2" t="s">
        <v>1047</v>
      </c>
      <c r="Z297" s="12">
        <f>SUMIF(Table1[product],Table1[[#This Row],[product]],Table1[loan_amount])</f>
        <v>201475100</v>
      </c>
      <c r="AA297" s="15">
        <f>SUMIF(Table1[region],Table1[[#This Row],[region]],Table1[current_balance])</f>
        <v>98928695</v>
      </c>
      <c r="AB297" s="2">
        <f>COUNTIF(Table1[loan_status],Table1[[#This Row],[loan_status]])</f>
        <v>139</v>
      </c>
      <c r="AC297" s="2">
        <f>COUNTIF(Table1[default_flag],1)/ROWS(Table1[loan_id])</f>
        <v>2.5999999999999999E-2</v>
      </c>
      <c r="AD297" s="2">
        <f>COUNTIFS(Table1[region],Table1[[#This Row],[region]],Table1[default_flag],1)/COUNTIF(Table1[region],Table1[[#This Row],[region]])</f>
        <v>2.8571428571428571E-2</v>
      </c>
      <c r="AE297" s="2">
        <f>COUNTIFS(Table1[channel],Table1[[#This Row],[channel]],Table1[prepayment_flag],1)/COUNTIF(Table1[channel],Table1[[#This Row],[channel]])</f>
        <v>7.1090047393364927E-2</v>
      </c>
      <c r="AF297" s="2">
        <f>AVERAGEIFS(Table1[interest_rate_pct],Table1[product],Table1[[#This Row],[product]],Table1[risk_band],Table1[[#This Row],[risk_band]])</f>
        <v>20.521428571428572</v>
      </c>
      <c r="AG297" s="2" t="str" cm="1">
        <f t="array" ref="AG297">_xlfn.IFS(Table1[[#This Row],[dti_ratio]] &lt; 0.2, " less than 0.2", Table1[[#This Row],[dti_ratio]] &lt; 0.3, "0.2 - 0.3", Table1[[#This Row],[dti_ratio]] &lt;= 0.5, "0.35 - 0.5", Table1[[#This Row],[dti_ratio]] &gt; 0.5, "greater than 0.5")</f>
        <v xml:space="preserve"> less than 0.2</v>
      </c>
      <c r="AH297" s="2">
        <f>COUNTIF(Table1[DTI band],Table1[[#This Row],[DTI band]])</f>
        <v>86</v>
      </c>
      <c r="AI297" s="2" t="str" cm="1">
        <f t="array" ref="AI297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297" s="2">
        <f>COUNTIF(Table1[LTV band],Table1[[#This Row],[LTV band]])</f>
        <v>302</v>
      </c>
      <c r="AK297" s="19">
        <f>COUNTIFS(Table1[count_loan_perband],Table1[[#This Row],[count_loan_perband]],Table1[default_flag],1)/COUNTIF(Table1[count_loan_perband],Table1[[#This Row],[count_loan_perband]])</f>
        <v>3.6423841059602648E-2</v>
      </c>
      <c r="AL297" s="19" t="str" cm="1">
        <f t="array" ref="AL297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297" s="19">
        <f>IF(Table1[[#This Row],[dpd]] &gt;=30,1,0)</f>
        <v>0</v>
      </c>
      <c r="AN297" s="19">
        <f>COUNTIFS(Table1[Loan size],Table1[[#This Row],[Loan size]],Table1[dpd flag],1)/COUNTIF(Table1[Loan size],Table1[[#This Row],[Loan size]])</f>
        <v>0.15909090909090909</v>
      </c>
      <c r="AO297" s="19" t="str">
        <f>IF(OR(Table1[[#This Row],[credit_score]] &lt; 600, Table1[ [#This Row],[dti_ratio] ] &gt; 0.5, Table1[[#This Row],[dpd]] &gt;=30), "high risk", " not riskY")</f>
        <v>high risk</v>
      </c>
      <c r="AP297" s="29">
        <f>EOMONTH(Table1[[#This Row],[origination_date]],0)</f>
        <v>44804</v>
      </c>
      <c r="AQ297" s="19">
        <f>SUMIFS(Table1[loan_amount],Table1[origination month],Table1[[#This Row],[origination month]])</f>
        <v>9810900</v>
      </c>
      <c r="AR297" s="19">
        <f>AVERAGEIFS(Table1[months_on_book],Table1[product],Table1[[#This Row],[product]])</f>
        <v>19.091954022988507</v>
      </c>
      <c r="AS297" s="19" t="str">
        <f ca="1">IF(EDATE(Table1[[#This Row],[origination_date]],6) &gt;= TODAY(), "New Loan", "Old Loan")</f>
        <v>Old Loan</v>
      </c>
      <c r="AT297" s="19" t="str">
        <f>"Q"&amp;ROUNDUP(MONTH(Table1[[#This Row],[origination_date]])/3,0)&amp;YEAR(Table1[[#This Row],[origination_date]])</f>
        <v>Q32022</v>
      </c>
      <c r="AU297" s="19">
        <f>SUMIFS(Table1[loan_amount],Table1[quarter],Table1[[#This Row],[quarter]])</f>
        <v>29441400</v>
      </c>
    </row>
    <row r="298" spans="2:47" x14ac:dyDescent="0.2">
      <c r="B298" s="5" t="s">
        <v>421</v>
      </c>
      <c r="C298" s="2" t="s">
        <v>921</v>
      </c>
      <c r="D298" s="3">
        <v>44757</v>
      </c>
      <c r="E298" s="2" t="s">
        <v>1026</v>
      </c>
      <c r="F298" s="2" t="s">
        <v>1029</v>
      </c>
      <c r="G298" s="2" t="s">
        <v>1034</v>
      </c>
      <c r="H298" s="2" t="s">
        <v>1038</v>
      </c>
      <c r="I298" s="2">
        <v>48</v>
      </c>
      <c r="J298" s="2">
        <v>209500</v>
      </c>
      <c r="K298" s="2">
        <v>15.08</v>
      </c>
      <c r="L298" s="2">
        <v>5839</v>
      </c>
      <c r="M298" s="2">
        <v>933064</v>
      </c>
      <c r="N298" s="2">
        <v>756</v>
      </c>
      <c r="O298" s="2" t="s">
        <v>1043</v>
      </c>
      <c r="P298" s="2">
        <v>0.17</v>
      </c>
      <c r="Q298" s="2">
        <v>0.96</v>
      </c>
      <c r="R298" s="2">
        <v>0</v>
      </c>
      <c r="S298" s="2">
        <v>41</v>
      </c>
      <c r="T298" s="2">
        <v>209595</v>
      </c>
      <c r="U298" s="2">
        <v>43082</v>
      </c>
      <c r="V298" s="2">
        <v>10</v>
      </c>
      <c r="W298" s="2">
        <v>0</v>
      </c>
      <c r="X298" s="2">
        <v>0</v>
      </c>
      <c r="Y298" s="2" t="s">
        <v>1049</v>
      </c>
      <c r="Z298" s="12">
        <f>SUMIF(Table1[product],Table1[[#This Row],[product]],Table1[loan_amount])</f>
        <v>74897600</v>
      </c>
      <c r="AA298" s="15">
        <f>SUMIF(Table1[region],Table1[[#This Row],[region]],Table1[current_balance])</f>
        <v>105779369</v>
      </c>
      <c r="AB298" s="2">
        <f>COUNTIF(Table1[loan_status],Table1[[#This Row],[loan_status]])</f>
        <v>301</v>
      </c>
      <c r="AC298" s="2">
        <f>COUNTIF(Table1[default_flag],1)/ROWS(Table1[loan_id])</f>
        <v>2.5999999999999999E-2</v>
      </c>
      <c r="AD298" s="2">
        <f>COUNTIFS(Table1[region],Table1[[#This Row],[region]],Table1[default_flag],1)/COUNTIF(Table1[region],Table1[[#This Row],[region]])</f>
        <v>2.6548672566371681E-2</v>
      </c>
      <c r="AE298" s="2">
        <f>COUNTIFS(Table1[channel],Table1[[#This Row],[channel]],Table1[prepayment_flag],1)/COUNTIF(Table1[channel],Table1[[#This Row],[channel]])</f>
        <v>7.1090047393364927E-2</v>
      </c>
      <c r="AF298" s="2">
        <f>AVERAGEIFS(Table1[interest_rate_pct],Table1[product],Table1[[#This Row],[product]],Table1[risk_band],Table1[[#This Row],[risk_band]])</f>
        <v>13.328333333333335</v>
      </c>
      <c r="AG298" s="2" t="str" cm="1">
        <f t="array" ref="AG298">_xlfn.IFS(Table1[[#This Row],[dti_ratio]] &lt; 0.2, " less than 0.2", Table1[[#This Row],[dti_ratio]] &lt; 0.3, "0.2 - 0.3", Table1[[#This Row],[dti_ratio]] &lt;= 0.5, "0.35 - 0.5", Table1[[#This Row],[dti_ratio]] &gt; 0.5, "greater than 0.5")</f>
        <v xml:space="preserve"> less than 0.2</v>
      </c>
      <c r="AH298" s="2">
        <f>COUNTIF(Table1[DTI band],Table1[[#This Row],[DTI band]])</f>
        <v>86</v>
      </c>
      <c r="AI298" s="2" t="str" cm="1">
        <f t="array" ref="AI298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298" s="2">
        <f>COUNTIF(Table1[LTV band],Table1[[#This Row],[LTV band]])</f>
        <v>141</v>
      </c>
      <c r="AK298" s="19">
        <f>COUNTIFS(Table1[count_loan_perband],Table1[[#This Row],[count_loan_perband]],Table1[default_flag],1)/COUNTIF(Table1[count_loan_perband],Table1[[#This Row],[count_loan_perband]])</f>
        <v>1.4184397163120567E-2</v>
      </c>
      <c r="AL298" s="19" t="str" cm="1">
        <f t="array" ref="AL298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298" s="19">
        <f>IF(Table1[[#This Row],[dpd]] &gt;=30,1,0)</f>
        <v>0</v>
      </c>
      <c r="AN298" s="19">
        <f>COUNTIFS(Table1[Loan size],Table1[[#This Row],[Loan size]],Table1[dpd flag],1)/COUNTIF(Table1[Loan size],Table1[[#This Row],[Loan size]])</f>
        <v>0.13934426229508196</v>
      </c>
      <c r="AO298" s="19" t="str">
        <f>IF(OR(Table1[[#This Row],[credit_score]] &lt; 600, Table1[ [#This Row],[dti_ratio] ] &gt; 0.5, Table1[[#This Row],[dpd]] &gt;=30), "high risk", " not riskY")</f>
        <v xml:space="preserve"> not riskY</v>
      </c>
      <c r="AP298" s="29">
        <f>EOMONTH(Table1[[#This Row],[origination_date]],0)</f>
        <v>44773</v>
      </c>
      <c r="AQ298" s="19">
        <f>SUMIFS(Table1[loan_amount],Table1[origination month],Table1[[#This Row],[origination month]])</f>
        <v>4518700</v>
      </c>
      <c r="AR298" s="19">
        <f>AVERAGEIFS(Table1[months_on_book],Table1[product],Table1[[#This Row],[product]])</f>
        <v>21.092024539877301</v>
      </c>
      <c r="AS298" s="19" t="str">
        <f ca="1">IF(EDATE(Table1[[#This Row],[origination_date]],6) &gt;= TODAY(), "New Loan", "Old Loan")</f>
        <v>Old Loan</v>
      </c>
      <c r="AT298" s="19" t="str">
        <f>"Q"&amp;ROUNDUP(MONTH(Table1[[#This Row],[origination_date]])/3,0)&amp;YEAR(Table1[[#This Row],[origination_date]])</f>
        <v>Q32022</v>
      </c>
      <c r="AU298" s="19">
        <f>SUMIFS(Table1[loan_amount],Table1[quarter],Table1[[#This Row],[quarter]])</f>
        <v>29441400</v>
      </c>
    </row>
    <row r="299" spans="2:47" x14ac:dyDescent="0.2">
      <c r="B299" s="5" t="s">
        <v>408</v>
      </c>
      <c r="C299" s="2" t="s">
        <v>908</v>
      </c>
      <c r="D299" s="3">
        <v>45111</v>
      </c>
      <c r="E299" s="2" t="s">
        <v>1028</v>
      </c>
      <c r="F299" s="2" t="s">
        <v>1030</v>
      </c>
      <c r="G299" s="2" t="s">
        <v>1037</v>
      </c>
      <c r="H299" s="2" t="s">
        <v>1038</v>
      </c>
      <c r="I299" s="2">
        <v>48</v>
      </c>
      <c r="J299" s="2">
        <v>1499200</v>
      </c>
      <c r="K299" s="2">
        <v>18.61</v>
      </c>
      <c r="L299" s="2">
        <v>44518</v>
      </c>
      <c r="M299" s="2">
        <v>1560773</v>
      </c>
      <c r="N299" s="2">
        <v>559</v>
      </c>
      <c r="O299" s="2" t="s">
        <v>1046</v>
      </c>
      <c r="P299" s="2">
        <v>0.61</v>
      </c>
      <c r="Q299" s="2">
        <v>0.72</v>
      </c>
      <c r="R299" s="2">
        <v>0</v>
      </c>
      <c r="S299" s="2">
        <v>29</v>
      </c>
      <c r="T299" s="2">
        <v>1213470</v>
      </c>
      <c r="U299" s="2">
        <v>555431</v>
      </c>
      <c r="V299" s="2">
        <v>0</v>
      </c>
      <c r="W299" s="2">
        <v>0</v>
      </c>
      <c r="X299" s="2">
        <v>0</v>
      </c>
      <c r="Y299" s="2" t="s">
        <v>1049</v>
      </c>
      <c r="Z299" s="12">
        <f>SUMIF(Table1[product],Table1[[#This Row],[product]],Table1[loan_amount])</f>
        <v>62765800</v>
      </c>
      <c r="AA299" s="15">
        <f>SUMIF(Table1[region],Table1[[#This Row],[region]],Table1[current_balance])</f>
        <v>94548000</v>
      </c>
      <c r="AB299" s="2">
        <f>COUNTIF(Table1[loan_status],Table1[[#This Row],[loan_status]])</f>
        <v>301</v>
      </c>
      <c r="AC299" s="2">
        <f>COUNTIF(Table1[default_flag],1)/ROWS(Table1[loan_id])</f>
        <v>2.5999999999999999E-2</v>
      </c>
      <c r="AD299" s="2">
        <f>COUNTIFS(Table1[region],Table1[[#This Row],[region]],Table1[default_flag],1)/COUNTIF(Table1[region],Table1[[#This Row],[region]])</f>
        <v>0</v>
      </c>
      <c r="AE299" s="2">
        <f>COUNTIFS(Table1[channel],Table1[[#This Row],[channel]],Table1[prepayment_flag],1)/COUNTIF(Table1[channel],Table1[[#This Row],[channel]])</f>
        <v>5.8201058201058198E-2</v>
      </c>
      <c r="AF299" s="2">
        <f>AVERAGEIFS(Table1[interest_rate_pct],Table1[product],Table1[[#This Row],[product]],Table1[risk_band],Table1[[#This Row],[risk_band]])</f>
        <v>19.806666666666668</v>
      </c>
      <c r="AG299" s="2" t="str" cm="1">
        <f t="array" ref="AG299">_xlfn.IFS(Table1[[#This Row],[dti_ratio]] &lt; 0.2, " less than 0.2", Table1[[#This Row],[dti_ratio]] &lt; 0.3, "0.2 - 0.3", Table1[[#This Row],[dti_ratio]] &lt;= 0.5, "0.35 - 0.5", Table1[[#This Row],[dti_ratio]] &gt; 0.5, "greater than 0.5")</f>
        <v>greater than 0.5</v>
      </c>
      <c r="AH299" s="2">
        <f>COUNTIF(Table1[DTI band],Table1[[#This Row],[DTI band]])</f>
        <v>32</v>
      </c>
      <c r="AI299" s="2" t="str" cm="1">
        <f t="array" ref="AI299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299" s="2">
        <f>COUNTIF(Table1[LTV band],Table1[[#This Row],[LTV band]])</f>
        <v>302</v>
      </c>
      <c r="AK299" s="19">
        <f>COUNTIFS(Table1[count_loan_perband],Table1[[#This Row],[count_loan_perband]],Table1[default_flag],1)/COUNTIF(Table1[count_loan_perband],Table1[[#This Row],[count_loan_perband]])</f>
        <v>3.6423841059602648E-2</v>
      </c>
      <c r="AL299" s="19" t="str" cm="1">
        <f t="array" ref="AL299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299" s="19">
        <f>IF(Table1[[#This Row],[dpd]] &gt;=30,1,0)</f>
        <v>0</v>
      </c>
      <c r="AN299" s="19">
        <f>COUNTIFS(Table1[Loan size],Table1[[#This Row],[Loan size]],Table1[dpd flag],1)/COUNTIF(Table1[Loan size],Table1[[#This Row],[Loan size]])</f>
        <v>0.15909090909090909</v>
      </c>
      <c r="AO299" s="19" t="str">
        <f>IF(OR(Table1[[#This Row],[credit_score]] &lt; 600, Table1[ [#This Row],[dti_ratio] ] &gt; 0.5, Table1[[#This Row],[dpd]] &gt;=30), "high risk", " not riskY")</f>
        <v>high risk</v>
      </c>
      <c r="AP299" s="29">
        <f>EOMONTH(Table1[[#This Row],[origination_date]],0)</f>
        <v>45138</v>
      </c>
      <c r="AQ299" s="19">
        <f>SUMIFS(Table1[loan_amount],Table1[origination month],Table1[[#This Row],[origination month]])</f>
        <v>25129700</v>
      </c>
      <c r="AR299" s="19">
        <f>AVERAGEIFS(Table1[months_on_book],Table1[product],Table1[[#This Row],[product]])</f>
        <v>21.962962962962962</v>
      </c>
      <c r="AS299" s="19" t="str">
        <f ca="1">IF(EDATE(Table1[[#This Row],[origination_date]],6) &gt;= TODAY(), "New Loan", "Old Loan")</f>
        <v>Old Loan</v>
      </c>
      <c r="AT299" s="19" t="str">
        <f>"Q"&amp;ROUNDUP(MONTH(Table1[[#This Row],[origination_date]])/3,0)&amp;YEAR(Table1[[#This Row],[origination_date]])</f>
        <v>Q32023</v>
      </c>
      <c r="AU299" s="19">
        <f>SUMIFS(Table1[loan_amount],Table1[quarter],Table1[[#This Row],[quarter]])</f>
        <v>77300600</v>
      </c>
    </row>
    <row r="300" spans="2:47" x14ac:dyDescent="0.2">
      <c r="B300" s="5" t="s">
        <v>45</v>
      </c>
      <c r="C300" s="2" t="s">
        <v>545</v>
      </c>
      <c r="D300" s="3">
        <v>45178</v>
      </c>
      <c r="E300" s="2" t="s">
        <v>1025</v>
      </c>
      <c r="F300" s="2" t="s">
        <v>1030</v>
      </c>
      <c r="G300" s="2" t="s">
        <v>1037</v>
      </c>
      <c r="H300" s="2" t="s">
        <v>1039</v>
      </c>
      <c r="I300" s="2">
        <v>12</v>
      </c>
      <c r="J300" s="2">
        <v>2437000</v>
      </c>
      <c r="K300" s="2">
        <v>9.57</v>
      </c>
      <c r="L300" s="2">
        <v>213764</v>
      </c>
      <c r="M300" s="2">
        <v>637246</v>
      </c>
      <c r="N300" s="2">
        <v>815</v>
      </c>
      <c r="O300" s="2" t="s">
        <v>1043</v>
      </c>
      <c r="P300" s="2">
        <v>0.5</v>
      </c>
      <c r="Q300" s="2">
        <v>0.61</v>
      </c>
      <c r="R300" s="2">
        <v>3963400</v>
      </c>
      <c r="S300" s="2">
        <v>12</v>
      </c>
      <c r="T300" s="2">
        <v>2335712</v>
      </c>
      <c r="U300" s="2">
        <v>194576</v>
      </c>
      <c r="V300" s="2">
        <v>0</v>
      </c>
      <c r="W300" s="2">
        <v>1</v>
      </c>
      <c r="X300" s="2">
        <v>0</v>
      </c>
      <c r="Y300" s="2" t="s">
        <v>1047</v>
      </c>
      <c r="Z300" s="12">
        <f>SUMIF(Table1[product],Table1[[#This Row],[product]],Table1[loan_amount])</f>
        <v>201475100</v>
      </c>
      <c r="AA300" s="15">
        <f>SUMIF(Table1[region],Table1[[#This Row],[region]],Table1[current_balance])</f>
        <v>94548000</v>
      </c>
      <c r="AB300" s="2">
        <f>COUNTIF(Table1[loan_status],Table1[[#This Row],[loan_status]])</f>
        <v>139</v>
      </c>
      <c r="AC300" s="2">
        <f>COUNTIF(Table1[default_flag],1)/ROWS(Table1[loan_id])</f>
        <v>2.5999999999999999E-2</v>
      </c>
      <c r="AD300" s="2">
        <f>COUNTIFS(Table1[region],Table1[[#This Row],[region]],Table1[default_flag],1)/COUNTIF(Table1[region],Table1[[#This Row],[region]])</f>
        <v>0</v>
      </c>
      <c r="AE300" s="2">
        <f>COUNTIFS(Table1[channel],Table1[[#This Row],[channel]],Table1[prepayment_flag],1)/COUNTIF(Table1[channel],Table1[[#This Row],[channel]])</f>
        <v>5.8201058201058198E-2</v>
      </c>
      <c r="AF300" s="2">
        <f>AVERAGEIFS(Table1[interest_rate_pct],Table1[product],Table1[[#This Row],[product]],Table1[risk_band],Table1[[#This Row],[risk_band]])</f>
        <v>10.537499999999998</v>
      </c>
      <c r="AG300" s="2" t="str" cm="1">
        <f t="array" ref="AG300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300" s="2">
        <f>COUNTIF(Table1[DTI band],Table1[[#This Row],[DTI band]])</f>
        <v>260</v>
      </c>
      <c r="AI300" s="2" t="str" cm="1">
        <f t="array" ref="AI300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300" s="2">
        <f>COUNTIF(Table1[LTV band],Table1[[#This Row],[LTV band]])</f>
        <v>302</v>
      </c>
      <c r="AK300" s="19">
        <f>COUNTIFS(Table1[count_loan_perband],Table1[[#This Row],[count_loan_perband]],Table1[default_flag],1)/COUNTIF(Table1[count_loan_perband],Table1[[#This Row],[count_loan_perband]])</f>
        <v>3.6423841059602648E-2</v>
      </c>
      <c r="AL300" s="19" t="str" cm="1">
        <f t="array" ref="AL300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300" s="19">
        <f>IF(Table1[[#This Row],[dpd]] &gt;=30,1,0)</f>
        <v>0</v>
      </c>
      <c r="AN300" s="19">
        <f>COUNTIFS(Table1[Loan size],Table1[[#This Row],[Loan size]],Table1[dpd flag],1)/COUNTIF(Table1[Loan size],Table1[[#This Row],[Loan size]])</f>
        <v>0.15909090909090909</v>
      </c>
      <c r="AO300" s="19" t="str">
        <f>IF(OR(Table1[[#This Row],[credit_score]] &lt; 600, Table1[ [#This Row],[dti_ratio] ] &gt; 0.5, Table1[[#This Row],[dpd]] &gt;=30), "high risk", " not riskY")</f>
        <v xml:space="preserve"> not riskY</v>
      </c>
      <c r="AP300" s="29">
        <f>EOMONTH(Table1[[#This Row],[origination_date]],0)</f>
        <v>45199</v>
      </c>
      <c r="AQ300" s="19">
        <f>SUMIFS(Table1[loan_amount],Table1[origination month],Table1[[#This Row],[origination month]])</f>
        <v>13815100</v>
      </c>
      <c r="AR300" s="19">
        <f>AVERAGEIFS(Table1[months_on_book],Table1[product],Table1[[#This Row],[product]])</f>
        <v>19.091954022988507</v>
      </c>
      <c r="AS300" s="19" t="str">
        <f ca="1">IF(EDATE(Table1[[#This Row],[origination_date]],6) &gt;= TODAY(), "New Loan", "Old Loan")</f>
        <v>Old Loan</v>
      </c>
      <c r="AT300" s="19" t="str">
        <f>"Q"&amp;ROUNDUP(MONTH(Table1[[#This Row],[origination_date]])/3,0)&amp;YEAR(Table1[[#This Row],[origination_date]])</f>
        <v>Q32023</v>
      </c>
      <c r="AU300" s="19">
        <f>SUMIFS(Table1[loan_amount],Table1[quarter],Table1[[#This Row],[quarter]])</f>
        <v>77300600</v>
      </c>
    </row>
    <row r="301" spans="2:47" x14ac:dyDescent="0.2">
      <c r="B301" s="5" t="s">
        <v>136</v>
      </c>
      <c r="C301" s="2" t="s">
        <v>636</v>
      </c>
      <c r="D301" s="3">
        <v>45145</v>
      </c>
      <c r="E301" s="2" t="s">
        <v>1027</v>
      </c>
      <c r="F301" s="2" t="s">
        <v>1030</v>
      </c>
      <c r="G301" s="2" t="s">
        <v>1036</v>
      </c>
      <c r="H301" s="2" t="s">
        <v>1038</v>
      </c>
      <c r="I301" s="2">
        <v>120</v>
      </c>
      <c r="J301" s="2">
        <v>5717200</v>
      </c>
      <c r="K301" s="2">
        <v>7</v>
      </c>
      <c r="L301" s="2">
        <v>66382</v>
      </c>
      <c r="M301" s="2">
        <v>1273092</v>
      </c>
      <c r="N301" s="2">
        <v>775</v>
      </c>
      <c r="O301" s="2" t="s">
        <v>1043</v>
      </c>
      <c r="P301" s="2">
        <v>0.48</v>
      </c>
      <c r="Q301" s="2">
        <v>0.68</v>
      </c>
      <c r="R301" s="2">
        <v>8411200</v>
      </c>
      <c r="S301" s="2">
        <v>28</v>
      </c>
      <c r="T301" s="2">
        <v>1593425</v>
      </c>
      <c r="U301" s="2">
        <v>4497299</v>
      </c>
      <c r="V301" s="2">
        <v>0</v>
      </c>
      <c r="W301" s="2">
        <v>0</v>
      </c>
      <c r="X301" s="2">
        <v>0</v>
      </c>
      <c r="Y301" s="2" t="s">
        <v>1049</v>
      </c>
      <c r="Z301" s="12">
        <f>SUMIF(Table1[product],Table1[[#This Row],[product]],Table1[loan_amount])</f>
        <v>403369500</v>
      </c>
      <c r="AA301" s="15">
        <f>SUMIF(Table1[region],Table1[[#This Row],[region]],Table1[current_balance])</f>
        <v>98928695</v>
      </c>
      <c r="AB301" s="2">
        <f>COUNTIF(Table1[loan_status],Table1[[#This Row],[loan_status]])</f>
        <v>301</v>
      </c>
      <c r="AC301" s="2">
        <f>COUNTIF(Table1[default_flag],1)/ROWS(Table1[loan_id])</f>
        <v>2.5999999999999999E-2</v>
      </c>
      <c r="AD301" s="2">
        <f>COUNTIFS(Table1[region],Table1[[#This Row],[region]],Table1[default_flag],1)/COUNTIF(Table1[region],Table1[[#This Row],[region]])</f>
        <v>2.8571428571428571E-2</v>
      </c>
      <c r="AE301" s="2">
        <f>COUNTIFS(Table1[channel],Table1[[#This Row],[channel]],Table1[prepayment_flag],1)/COUNTIF(Table1[channel],Table1[[#This Row],[channel]])</f>
        <v>5.8201058201058198E-2</v>
      </c>
      <c r="AF301" s="2">
        <f>AVERAGEIFS(Table1[interest_rate_pct],Table1[product],Table1[[#This Row],[product]],Table1[risk_band],Table1[[#This Row],[risk_band]])</f>
        <v>7.1876190476190471</v>
      </c>
      <c r="AG301" s="2" t="str" cm="1">
        <f t="array" ref="AG301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301" s="2">
        <f>COUNTIF(Table1[DTI band],Table1[[#This Row],[DTI band]])</f>
        <v>260</v>
      </c>
      <c r="AI301" s="2" t="str" cm="1">
        <f t="array" ref="AI301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301" s="2">
        <f>COUNTIF(Table1[LTV band],Table1[[#This Row],[LTV band]])</f>
        <v>302</v>
      </c>
      <c r="AK301" s="19">
        <f>COUNTIFS(Table1[count_loan_perband],Table1[[#This Row],[count_loan_perband]],Table1[default_flag],1)/COUNTIF(Table1[count_loan_perband],Table1[[#This Row],[count_loan_perband]])</f>
        <v>3.6423841059602648E-2</v>
      </c>
      <c r="AL301" s="19" t="str" cm="1">
        <f t="array" ref="AL301">_xlfn.IFS(Table1[[#This Row],[loan_amount]] &lt; 900000, "lower size (&lt; 9L)", Table1[[#This Row],[loan_amount]] &lt;=3300000, "medium size (&lt;=33L)", Table1[[#This Row],[loan_amount]] &gt; 3300000, "larger size (&gt; 33L)")</f>
        <v>larger size (&gt; 33L)</v>
      </c>
      <c r="AM301" s="19">
        <f>IF(Table1[[#This Row],[dpd]] &gt;=30,1,0)</f>
        <v>0</v>
      </c>
      <c r="AN301" s="19">
        <f>COUNTIFS(Table1[Loan size],Table1[[#This Row],[Loan size]],Table1[dpd flag],1)/COUNTIF(Table1[Loan size],Table1[[#This Row],[Loan size]])</f>
        <v>0.16250000000000001</v>
      </c>
      <c r="AO301" s="19" t="str">
        <f>IF(OR(Table1[[#This Row],[credit_score]] &lt; 600, Table1[ [#This Row],[dti_ratio] ] &gt; 0.5, Table1[[#This Row],[dpd]] &gt;=30), "high risk", " not riskY")</f>
        <v xml:space="preserve"> not riskY</v>
      </c>
      <c r="AP301" s="29">
        <f>EOMONTH(Table1[[#This Row],[origination_date]],0)</f>
        <v>45169</v>
      </c>
      <c r="AQ301" s="19">
        <f>SUMIFS(Table1[loan_amount],Table1[origination month],Table1[[#This Row],[origination month]])</f>
        <v>38355800</v>
      </c>
      <c r="AR301" s="19">
        <f>AVERAGEIFS(Table1[months_on_book],Table1[product],Table1[[#This Row],[product]])</f>
        <v>20.516129032258064</v>
      </c>
      <c r="AS301" s="19" t="str">
        <f ca="1">IF(EDATE(Table1[[#This Row],[origination_date]],6) &gt;= TODAY(), "New Loan", "Old Loan")</f>
        <v>Old Loan</v>
      </c>
      <c r="AT301" s="19" t="str">
        <f>"Q"&amp;ROUNDUP(MONTH(Table1[[#This Row],[origination_date]])/3,0)&amp;YEAR(Table1[[#This Row],[origination_date]])</f>
        <v>Q32023</v>
      </c>
      <c r="AU301" s="19">
        <f>SUMIFS(Table1[loan_amount],Table1[quarter],Table1[[#This Row],[quarter]])</f>
        <v>77300600</v>
      </c>
    </row>
    <row r="302" spans="2:47" x14ac:dyDescent="0.2">
      <c r="B302" s="5" t="s">
        <v>110</v>
      </c>
      <c r="C302" s="2" t="s">
        <v>610</v>
      </c>
      <c r="D302" s="3">
        <v>45162</v>
      </c>
      <c r="E302" s="2" t="s">
        <v>1026</v>
      </c>
      <c r="F302" s="2" t="s">
        <v>1029</v>
      </c>
      <c r="G302" s="2" t="s">
        <v>1033</v>
      </c>
      <c r="H302" s="2" t="s">
        <v>1038</v>
      </c>
      <c r="I302" s="2">
        <v>36</v>
      </c>
      <c r="J302" s="2">
        <v>290800</v>
      </c>
      <c r="K302" s="2">
        <v>19.809999999999999</v>
      </c>
      <c r="L302" s="2">
        <v>10779</v>
      </c>
      <c r="M302" s="2">
        <v>614122</v>
      </c>
      <c r="N302" s="2">
        <v>643</v>
      </c>
      <c r="O302" s="2" t="s">
        <v>1045</v>
      </c>
      <c r="P302" s="2">
        <v>0.47</v>
      </c>
      <c r="Q302" s="2">
        <v>0.71</v>
      </c>
      <c r="R302" s="2">
        <v>0</v>
      </c>
      <c r="S302" s="2">
        <v>28</v>
      </c>
      <c r="T302" s="2">
        <v>284969</v>
      </c>
      <c r="U302" s="2">
        <v>59598</v>
      </c>
      <c r="V302" s="2">
        <v>0</v>
      </c>
      <c r="W302" s="2">
        <v>1</v>
      </c>
      <c r="X302" s="2">
        <v>0</v>
      </c>
      <c r="Y302" s="2" t="s">
        <v>1047</v>
      </c>
      <c r="Z302" s="12">
        <f>SUMIF(Table1[product],Table1[[#This Row],[product]],Table1[loan_amount])</f>
        <v>74897600</v>
      </c>
      <c r="AA302" s="15">
        <f>SUMIF(Table1[region],Table1[[#This Row],[region]],Table1[current_balance])</f>
        <v>83297251</v>
      </c>
      <c r="AB302" s="2">
        <f>COUNTIF(Table1[loan_status],Table1[[#This Row],[loan_status]])</f>
        <v>139</v>
      </c>
      <c r="AC302" s="2">
        <f>COUNTIF(Table1[default_flag],1)/ROWS(Table1[loan_id])</f>
        <v>2.5999999999999999E-2</v>
      </c>
      <c r="AD302" s="2">
        <f>COUNTIFS(Table1[region],Table1[[#This Row],[region]],Table1[default_flag],1)/COUNTIF(Table1[region],Table1[[#This Row],[region]])</f>
        <v>3.1914893617021274E-2</v>
      </c>
      <c r="AE302" s="2">
        <f>COUNTIFS(Table1[channel],Table1[[#This Row],[channel]],Table1[prepayment_flag],1)/COUNTIF(Table1[channel],Table1[[#This Row],[channel]])</f>
        <v>7.1090047393364927E-2</v>
      </c>
      <c r="AF302" s="2">
        <f>AVERAGEIFS(Table1[interest_rate_pct],Table1[product],Table1[[#This Row],[product]],Table1[risk_band],Table1[[#This Row],[risk_band]])</f>
        <v>20.962592592592593</v>
      </c>
      <c r="AG302" s="2" t="str" cm="1">
        <f t="array" ref="AG302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302" s="2">
        <f>COUNTIF(Table1[DTI band],Table1[[#This Row],[DTI band]])</f>
        <v>260</v>
      </c>
      <c r="AI302" s="2" t="str" cm="1">
        <f t="array" ref="AI302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302" s="2">
        <f>COUNTIF(Table1[LTV band],Table1[[#This Row],[LTV band]])</f>
        <v>302</v>
      </c>
      <c r="AK302" s="19">
        <f>COUNTIFS(Table1[count_loan_perband],Table1[[#This Row],[count_loan_perband]],Table1[default_flag],1)/COUNTIF(Table1[count_loan_perband],Table1[[#This Row],[count_loan_perband]])</f>
        <v>3.6423841059602648E-2</v>
      </c>
      <c r="AL302" s="19" t="str" cm="1">
        <f t="array" ref="AL302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302" s="19">
        <f>IF(Table1[[#This Row],[dpd]] &gt;=30,1,0)</f>
        <v>0</v>
      </c>
      <c r="AN302" s="19">
        <f>COUNTIFS(Table1[Loan size],Table1[[#This Row],[Loan size]],Table1[dpd flag],1)/COUNTIF(Table1[Loan size],Table1[[#This Row],[Loan size]])</f>
        <v>0.13934426229508196</v>
      </c>
      <c r="AO302" s="19" t="str">
        <f>IF(OR(Table1[[#This Row],[credit_score]] &lt; 600, Table1[ [#This Row],[dti_ratio] ] &gt; 0.5, Table1[[#This Row],[dpd]] &gt;=30), "high risk", " not riskY")</f>
        <v xml:space="preserve"> not riskY</v>
      </c>
      <c r="AP302" s="29">
        <f>EOMONTH(Table1[[#This Row],[origination_date]],0)</f>
        <v>45169</v>
      </c>
      <c r="AQ302" s="19">
        <f>SUMIFS(Table1[loan_amount],Table1[origination month],Table1[[#This Row],[origination month]])</f>
        <v>38355800</v>
      </c>
      <c r="AR302" s="19">
        <f>AVERAGEIFS(Table1[months_on_book],Table1[product],Table1[[#This Row],[product]])</f>
        <v>21.092024539877301</v>
      </c>
      <c r="AS302" s="19" t="str">
        <f ca="1">IF(EDATE(Table1[[#This Row],[origination_date]],6) &gt;= TODAY(), "New Loan", "Old Loan")</f>
        <v>Old Loan</v>
      </c>
      <c r="AT302" s="19" t="str">
        <f>"Q"&amp;ROUNDUP(MONTH(Table1[[#This Row],[origination_date]])/3,0)&amp;YEAR(Table1[[#This Row],[origination_date]])</f>
        <v>Q32023</v>
      </c>
      <c r="AU302" s="19">
        <f>SUMIFS(Table1[loan_amount],Table1[quarter],Table1[[#This Row],[quarter]])</f>
        <v>77300600</v>
      </c>
    </row>
    <row r="303" spans="2:47" x14ac:dyDescent="0.2">
      <c r="B303" s="5" t="s">
        <v>213</v>
      </c>
      <c r="C303" s="2" t="s">
        <v>713</v>
      </c>
      <c r="D303" s="3">
        <v>45121</v>
      </c>
      <c r="E303" s="2" t="s">
        <v>1027</v>
      </c>
      <c r="F303" s="2" t="s">
        <v>1029</v>
      </c>
      <c r="G303" s="2" t="s">
        <v>1037</v>
      </c>
      <c r="H303" s="2" t="s">
        <v>1038</v>
      </c>
      <c r="I303" s="2">
        <v>12</v>
      </c>
      <c r="J303" s="2">
        <v>50000</v>
      </c>
      <c r="K303" s="2">
        <v>12.99</v>
      </c>
      <c r="L303" s="2">
        <v>4466</v>
      </c>
      <c r="M303" s="2">
        <v>897351</v>
      </c>
      <c r="N303" s="2">
        <v>647</v>
      </c>
      <c r="O303" s="2" t="s">
        <v>1045</v>
      </c>
      <c r="P303" s="2">
        <v>0.46</v>
      </c>
      <c r="Q303" s="2">
        <v>0.89</v>
      </c>
      <c r="R303" s="2">
        <v>56400</v>
      </c>
      <c r="S303" s="2">
        <v>12</v>
      </c>
      <c r="T303" s="2">
        <v>48780</v>
      </c>
      <c r="U303" s="2">
        <v>3818</v>
      </c>
      <c r="V303" s="2">
        <v>0</v>
      </c>
      <c r="W303" s="2">
        <v>0</v>
      </c>
      <c r="X303" s="2">
        <v>0</v>
      </c>
      <c r="Y303" s="2" t="s">
        <v>1047</v>
      </c>
      <c r="Z303" s="12">
        <f>SUMIF(Table1[product],Table1[[#This Row],[product]],Table1[loan_amount])</f>
        <v>403369500</v>
      </c>
      <c r="AA303" s="15">
        <f>SUMIF(Table1[region],Table1[[#This Row],[region]],Table1[current_balance])</f>
        <v>94548000</v>
      </c>
      <c r="AB303" s="2">
        <f>COUNTIF(Table1[loan_status],Table1[[#This Row],[loan_status]])</f>
        <v>139</v>
      </c>
      <c r="AC303" s="2">
        <f>COUNTIF(Table1[default_flag],1)/ROWS(Table1[loan_id])</f>
        <v>2.5999999999999999E-2</v>
      </c>
      <c r="AD303" s="2">
        <f>COUNTIFS(Table1[region],Table1[[#This Row],[region]],Table1[default_flag],1)/COUNTIF(Table1[region],Table1[[#This Row],[region]])</f>
        <v>0</v>
      </c>
      <c r="AE303" s="2">
        <f>COUNTIFS(Table1[channel],Table1[[#This Row],[channel]],Table1[prepayment_flag],1)/COUNTIF(Table1[channel],Table1[[#This Row],[channel]])</f>
        <v>7.1090047393364927E-2</v>
      </c>
      <c r="AF303" s="2">
        <f>AVERAGEIFS(Table1[interest_rate_pct],Table1[product],Table1[[#This Row],[product]],Table1[risk_band],Table1[[#This Row],[risk_band]])</f>
        <v>13.406874999999999</v>
      </c>
      <c r="AG303" s="2" t="str" cm="1">
        <f t="array" ref="AG303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303" s="2">
        <f>COUNTIF(Table1[DTI band],Table1[[#This Row],[DTI band]])</f>
        <v>260</v>
      </c>
      <c r="AI303" s="2" t="str" cm="1">
        <f t="array" ref="AI303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303" s="2">
        <f>COUNTIF(Table1[LTV band],Table1[[#This Row],[LTV band]])</f>
        <v>141</v>
      </c>
      <c r="AK303" s="19">
        <f>COUNTIFS(Table1[count_loan_perband],Table1[[#This Row],[count_loan_perband]],Table1[default_flag],1)/COUNTIF(Table1[count_loan_perband],Table1[[#This Row],[count_loan_perband]])</f>
        <v>1.4184397163120567E-2</v>
      </c>
      <c r="AL303" s="19" t="str" cm="1">
        <f t="array" ref="AL303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303" s="19">
        <f>IF(Table1[[#This Row],[dpd]] &gt;=30,1,0)</f>
        <v>0</v>
      </c>
      <c r="AN303" s="19">
        <f>COUNTIFS(Table1[Loan size],Table1[[#This Row],[Loan size]],Table1[dpd flag],1)/COUNTIF(Table1[Loan size],Table1[[#This Row],[Loan size]])</f>
        <v>0.13934426229508196</v>
      </c>
      <c r="AO303" s="19" t="str">
        <f>IF(OR(Table1[[#This Row],[credit_score]] &lt; 600, Table1[ [#This Row],[dti_ratio] ] &gt; 0.5, Table1[[#This Row],[dpd]] &gt;=30), "high risk", " not riskY")</f>
        <v xml:space="preserve"> not riskY</v>
      </c>
      <c r="AP303" s="29">
        <f>EOMONTH(Table1[[#This Row],[origination_date]],0)</f>
        <v>45138</v>
      </c>
      <c r="AQ303" s="19">
        <f>SUMIFS(Table1[loan_amount],Table1[origination month],Table1[[#This Row],[origination month]])</f>
        <v>25129700</v>
      </c>
      <c r="AR303" s="19">
        <f>AVERAGEIFS(Table1[months_on_book],Table1[product],Table1[[#This Row],[product]])</f>
        <v>20.516129032258064</v>
      </c>
      <c r="AS303" s="19" t="str">
        <f ca="1">IF(EDATE(Table1[[#This Row],[origination_date]],6) &gt;= TODAY(), "New Loan", "Old Loan")</f>
        <v>Old Loan</v>
      </c>
      <c r="AT303" s="19" t="str">
        <f>"Q"&amp;ROUNDUP(MONTH(Table1[[#This Row],[origination_date]])/3,0)&amp;YEAR(Table1[[#This Row],[origination_date]])</f>
        <v>Q32023</v>
      </c>
      <c r="AU303" s="19">
        <f>SUMIFS(Table1[loan_amount],Table1[quarter],Table1[[#This Row],[quarter]])</f>
        <v>77300600</v>
      </c>
    </row>
    <row r="304" spans="2:47" x14ac:dyDescent="0.2">
      <c r="B304" s="5" t="s">
        <v>451</v>
      </c>
      <c r="C304" s="2" t="s">
        <v>951</v>
      </c>
      <c r="D304" s="3">
        <v>45186</v>
      </c>
      <c r="E304" s="2" t="s">
        <v>1024</v>
      </c>
      <c r="F304" s="2" t="s">
        <v>1030</v>
      </c>
      <c r="G304" s="2" t="s">
        <v>1036</v>
      </c>
      <c r="H304" s="2" t="s">
        <v>1038</v>
      </c>
      <c r="I304" s="2">
        <v>180</v>
      </c>
      <c r="J304" s="2">
        <v>309600</v>
      </c>
      <c r="K304" s="2">
        <v>12.34</v>
      </c>
      <c r="L304" s="2">
        <v>3784</v>
      </c>
      <c r="M304" s="2">
        <v>976104</v>
      </c>
      <c r="N304" s="2">
        <v>677</v>
      </c>
      <c r="O304" s="2" t="s">
        <v>1042</v>
      </c>
      <c r="P304" s="2">
        <v>0.44</v>
      </c>
      <c r="Q304" s="2">
        <v>0.69</v>
      </c>
      <c r="R304" s="2">
        <v>446400</v>
      </c>
      <c r="S304" s="2">
        <v>27</v>
      </c>
      <c r="T304" s="2">
        <v>97829</v>
      </c>
      <c r="U304" s="2">
        <v>246155</v>
      </c>
      <c r="V304" s="2">
        <v>0</v>
      </c>
      <c r="W304" s="2">
        <v>0</v>
      </c>
      <c r="X304" s="2">
        <v>0</v>
      </c>
      <c r="Y304" s="2" t="s">
        <v>1049</v>
      </c>
      <c r="Z304" s="12">
        <f>SUMIF(Table1[product],Table1[[#This Row],[product]],Table1[loan_amount])</f>
        <v>92273000</v>
      </c>
      <c r="AA304" s="15">
        <f>SUMIF(Table1[region],Table1[[#This Row],[region]],Table1[current_balance])</f>
        <v>98928695</v>
      </c>
      <c r="AB304" s="2">
        <f>COUNTIF(Table1[loan_status],Table1[[#This Row],[loan_status]])</f>
        <v>301</v>
      </c>
      <c r="AC304" s="2">
        <f>COUNTIF(Table1[default_flag],1)/ROWS(Table1[loan_id])</f>
        <v>2.5999999999999999E-2</v>
      </c>
      <c r="AD304" s="2">
        <f>COUNTIFS(Table1[region],Table1[[#This Row],[region]],Table1[default_flag],1)/COUNTIF(Table1[region],Table1[[#This Row],[region]])</f>
        <v>2.8571428571428571E-2</v>
      </c>
      <c r="AE304" s="2">
        <f>COUNTIFS(Table1[channel],Table1[[#This Row],[channel]],Table1[prepayment_flag],1)/COUNTIF(Table1[channel],Table1[[#This Row],[channel]])</f>
        <v>5.8201058201058198E-2</v>
      </c>
      <c r="AF304" s="2">
        <f>AVERAGEIFS(Table1[interest_rate_pct],Table1[product],Table1[[#This Row],[product]],Table1[risk_band],Table1[[#This Row],[risk_band]])</f>
        <v>13.246500000000001</v>
      </c>
      <c r="AG304" s="2" t="str" cm="1">
        <f t="array" ref="AG304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304" s="2">
        <f>COUNTIF(Table1[DTI band],Table1[[#This Row],[DTI band]])</f>
        <v>260</v>
      </c>
      <c r="AI304" s="2" t="str" cm="1">
        <f t="array" ref="AI304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304" s="2">
        <f>COUNTIF(Table1[LTV band],Table1[[#This Row],[LTV band]])</f>
        <v>302</v>
      </c>
      <c r="AK304" s="19">
        <f>COUNTIFS(Table1[count_loan_perband],Table1[[#This Row],[count_loan_perband]],Table1[default_flag],1)/COUNTIF(Table1[count_loan_perband],Table1[[#This Row],[count_loan_perband]])</f>
        <v>3.6423841059602648E-2</v>
      </c>
      <c r="AL304" s="19" t="str" cm="1">
        <f t="array" ref="AL304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304" s="19">
        <f>IF(Table1[[#This Row],[dpd]] &gt;=30,1,0)</f>
        <v>0</v>
      </c>
      <c r="AN304" s="19">
        <f>COUNTIFS(Table1[Loan size],Table1[[#This Row],[Loan size]],Table1[dpd flag],1)/COUNTIF(Table1[Loan size],Table1[[#This Row],[Loan size]])</f>
        <v>0.13934426229508196</v>
      </c>
      <c r="AO304" s="19" t="str">
        <f>IF(OR(Table1[[#This Row],[credit_score]] &lt; 600, Table1[ [#This Row],[dti_ratio] ] &gt; 0.5, Table1[[#This Row],[dpd]] &gt;=30), "high risk", " not riskY")</f>
        <v xml:space="preserve"> not riskY</v>
      </c>
      <c r="AP304" s="29">
        <f>EOMONTH(Table1[[#This Row],[origination_date]],0)</f>
        <v>45199</v>
      </c>
      <c r="AQ304" s="19">
        <f>SUMIFS(Table1[loan_amount],Table1[origination month],Table1[[#This Row],[origination month]])</f>
        <v>13815100</v>
      </c>
      <c r="AR304" s="19">
        <f>AVERAGEIFS(Table1[months_on_book],Table1[product],Table1[[#This Row],[product]])</f>
        <v>20.262135922330096</v>
      </c>
      <c r="AS304" s="19" t="str">
        <f ca="1">IF(EDATE(Table1[[#This Row],[origination_date]],6) &gt;= TODAY(), "New Loan", "Old Loan")</f>
        <v>Old Loan</v>
      </c>
      <c r="AT304" s="19" t="str">
        <f>"Q"&amp;ROUNDUP(MONTH(Table1[[#This Row],[origination_date]])/3,0)&amp;YEAR(Table1[[#This Row],[origination_date]])</f>
        <v>Q32023</v>
      </c>
      <c r="AU304" s="19">
        <f>SUMIFS(Table1[loan_amount],Table1[quarter],Table1[[#This Row],[quarter]])</f>
        <v>77300600</v>
      </c>
    </row>
    <row r="305" spans="2:47" x14ac:dyDescent="0.2">
      <c r="B305" s="5" t="s">
        <v>271</v>
      </c>
      <c r="C305" s="2" t="s">
        <v>771</v>
      </c>
      <c r="D305" s="3">
        <v>45155</v>
      </c>
      <c r="E305" s="2" t="s">
        <v>1024</v>
      </c>
      <c r="F305" s="2" t="s">
        <v>1029</v>
      </c>
      <c r="G305" s="2" t="s">
        <v>1036</v>
      </c>
      <c r="H305" s="2" t="s">
        <v>1038</v>
      </c>
      <c r="I305" s="2">
        <v>24</v>
      </c>
      <c r="J305" s="2">
        <v>1051400</v>
      </c>
      <c r="K305" s="2">
        <v>10.52</v>
      </c>
      <c r="L305" s="2">
        <v>48770</v>
      </c>
      <c r="M305" s="2">
        <v>937487</v>
      </c>
      <c r="N305" s="2">
        <v>704</v>
      </c>
      <c r="O305" s="2" t="s">
        <v>1044</v>
      </c>
      <c r="P305" s="2">
        <v>0.41</v>
      </c>
      <c r="Q305" s="2">
        <v>0.59</v>
      </c>
      <c r="R305" s="2">
        <v>1770400</v>
      </c>
      <c r="S305" s="2">
        <v>24</v>
      </c>
      <c r="T305" s="2">
        <v>1181025</v>
      </c>
      <c r="U305" s="2">
        <v>0</v>
      </c>
      <c r="V305" s="2">
        <v>0</v>
      </c>
      <c r="W305" s="2">
        <v>1</v>
      </c>
      <c r="X305" s="2">
        <v>0</v>
      </c>
      <c r="Y305" s="2" t="s">
        <v>1047</v>
      </c>
      <c r="Z305" s="12">
        <f>SUMIF(Table1[product],Table1[[#This Row],[product]],Table1[loan_amount])</f>
        <v>92273000</v>
      </c>
      <c r="AA305" s="15">
        <f>SUMIF(Table1[region],Table1[[#This Row],[region]],Table1[current_balance])</f>
        <v>98928695</v>
      </c>
      <c r="AB305" s="2">
        <f>COUNTIF(Table1[loan_status],Table1[[#This Row],[loan_status]])</f>
        <v>139</v>
      </c>
      <c r="AC305" s="2">
        <f>COUNTIF(Table1[default_flag],1)/ROWS(Table1[loan_id])</f>
        <v>2.5999999999999999E-2</v>
      </c>
      <c r="AD305" s="2">
        <f>COUNTIFS(Table1[region],Table1[[#This Row],[region]],Table1[default_flag],1)/COUNTIF(Table1[region],Table1[[#This Row],[region]])</f>
        <v>2.8571428571428571E-2</v>
      </c>
      <c r="AE305" s="2">
        <f>COUNTIFS(Table1[channel],Table1[[#This Row],[channel]],Table1[prepayment_flag],1)/COUNTIF(Table1[channel],Table1[[#This Row],[channel]])</f>
        <v>7.1090047393364927E-2</v>
      </c>
      <c r="AF305" s="2">
        <f>AVERAGEIFS(Table1[interest_rate_pct],Table1[product],Table1[[#This Row],[product]],Table1[risk_band],Table1[[#This Row],[risk_band]])</f>
        <v>10.611923076923079</v>
      </c>
      <c r="AG305" s="2" t="str" cm="1">
        <f t="array" ref="AG305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305" s="2">
        <f>COUNTIF(Table1[DTI band],Table1[[#This Row],[DTI band]])</f>
        <v>260</v>
      </c>
      <c r="AI305" s="2" t="str" cm="1">
        <f t="array" ref="AI305">_xlfn.IFS(Table1[[#This Row],[ltv_ratio]] &lt; 0.6, "less than 0.6 -less risky", Table1[[#This Row],[ltv_ratio]]  &lt;= 0.8, "0.6 - 0.8 -medium risky",Table1[[#This Row],[ltv_ratio]] &gt; 0.8, "greater than 0.8 -highly risky")</f>
        <v>less than 0.6 -less risky</v>
      </c>
      <c r="AJ305" s="2">
        <f>COUNTIF(Table1[LTV band],Table1[[#This Row],[LTV band]])</f>
        <v>57</v>
      </c>
      <c r="AK305" s="19">
        <f>COUNTIFS(Table1[count_loan_perband],Table1[[#This Row],[count_loan_perband]],Table1[default_flag],1)/COUNTIF(Table1[count_loan_perband],Table1[[#This Row],[count_loan_perband]])</f>
        <v>0</v>
      </c>
      <c r="AL305" s="19" t="str" cm="1">
        <f t="array" ref="AL305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305" s="19">
        <f>IF(Table1[[#This Row],[dpd]] &gt;=30,1,0)</f>
        <v>0</v>
      </c>
      <c r="AN305" s="19">
        <f>COUNTIFS(Table1[Loan size],Table1[[#This Row],[Loan size]],Table1[dpd flag],1)/COUNTIF(Table1[Loan size],Table1[[#This Row],[Loan size]])</f>
        <v>0.15909090909090909</v>
      </c>
      <c r="AO305" s="19" t="str">
        <f>IF(OR(Table1[[#This Row],[credit_score]] &lt; 600, Table1[ [#This Row],[dti_ratio] ] &gt; 0.5, Table1[[#This Row],[dpd]] &gt;=30), "high risk", " not riskY")</f>
        <v xml:space="preserve"> not riskY</v>
      </c>
      <c r="AP305" s="29">
        <f>EOMONTH(Table1[[#This Row],[origination_date]],0)</f>
        <v>45169</v>
      </c>
      <c r="AQ305" s="19">
        <f>SUMIFS(Table1[loan_amount],Table1[origination month],Table1[[#This Row],[origination month]])</f>
        <v>38355800</v>
      </c>
      <c r="AR305" s="19">
        <f>AVERAGEIFS(Table1[months_on_book],Table1[product],Table1[[#This Row],[product]])</f>
        <v>20.262135922330096</v>
      </c>
      <c r="AS305" s="19" t="str">
        <f ca="1">IF(EDATE(Table1[[#This Row],[origination_date]],6) &gt;= TODAY(), "New Loan", "Old Loan")</f>
        <v>Old Loan</v>
      </c>
      <c r="AT305" s="19" t="str">
        <f>"Q"&amp;ROUNDUP(MONTH(Table1[[#This Row],[origination_date]])/3,0)&amp;YEAR(Table1[[#This Row],[origination_date]])</f>
        <v>Q32023</v>
      </c>
      <c r="AU305" s="19">
        <f>SUMIFS(Table1[loan_amount],Table1[quarter],Table1[[#This Row],[quarter]])</f>
        <v>77300600</v>
      </c>
    </row>
    <row r="306" spans="2:47" x14ac:dyDescent="0.2">
      <c r="B306" s="5" t="s">
        <v>499</v>
      </c>
      <c r="C306" s="2" t="s">
        <v>999</v>
      </c>
      <c r="D306" s="3">
        <v>45188</v>
      </c>
      <c r="E306" s="2" t="s">
        <v>1025</v>
      </c>
      <c r="F306" s="2" t="s">
        <v>1030</v>
      </c>
      <c r="G306" s="2" t="s">
        <v>1037</v>
      </c>
      <c r="H306" s="2" t="s">
        <v>1039</v>
      </c>
      <c r="I306" s="2">
        <v>240</v>
      </c>
      <c r="J306" s="2">
        <v>3548000</v>
      </c>
      <c r="K306" s="2">
        <v>22.07</v>
      </c>
      <c r="L306" s="2">
        <v>66086</v>
      </c>
      <c r="M306" s="2">
        <v>1121504</v>
      </c>
      <c r="N306" s="2">
        <v>543</v>
      </c>
      <c r="O306" s="2" t="s">
        <v>1046</v>
      </c>
      <c r="P306" s="2">
        <v>0.41</v>
      </c>
      <c r="Q306" s="2">
        <v>0.78</v>
      </c>
      <c r="R306" s="2">
        <v>4525100</v>
      </c>
      <c r="S306" s="2">
        <v>27</v>
      </c>
      <c r="T306" s="2">
        <v>1813335</v>
      </c>
      <c r="U306" s="2">
        <v>2439404</v>
      </c>
      <c r="V306" s="2">
        <v>0</v>
      </c>
      <c r="W306" s="2">
        <v>0</v>
      </c>
      <c r="X306" s="2">
        <v>0</v>
      </c>
      <c r="Y306" s="2" t="s">
        <v>1049</v>
      </c>
      <c r="Z306" s="12">
        <f>SUMIF(Table1[product],Table1[[#This Row],[product]],Table1[loan_amount])</f>
        <v>201475100</v>
      </c>
      <c r="AA306" s="15">
        <f>SUMIF(Table1[region],Table1[[#This Row],[region]],Table1[current_balance])</f>
        <v>94548000</v>
      </c>
      <c r="AB306" s="2">
        <f>COUNTIF(Table1[loan_status],Table1[[#This Row],[loan_status]])</f>
        <v>301</v>
      </c>
      <c r="AC306" s="2">
        <f>COUNTIF(Table1[default_flag],1)/ROWS(Table1[loan_id])</f>
        <v>2.5999999999999999E-2</v>
      </c>
      <c r="AD306" s="2">
        <f>COUNTIFS(Table1[region],Table1[[#This Row],[region]],Table1[default_flag],1)/COUNTIF(Table1[region],Table1[[#This Row],[region]])</f>
        <v>0</v>
      </c>
      <c r="AE306" s="2">
        <f>COUNTIFS(Table1[channel],Table1[[#This Row],[channel]],Table1[prepayment_flag],1)/COUNTIF(Table1[channel],Table1[[#This Row],[channel]])</f>
        <v>5.8201058201058198E-2</v>
      </c>
      <c r="AF306" s="2">
        <f>AVERAGEIFS(Table1[interest_rate_pct],Table1[product],Table1[[#This Row],[product]],Table1[risk_band],Table1[[#This Row],[risk_band]])</f>
        <v>20.521428571428572</v>
      </c>
      <c r="AG306" s="2" t="str" cm="1">
        <f t="array" ref="AG306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306" s="2">
        <f>COUNTIF(Table1[DTI band],Table1[[#This Row],[DTI band]])</f>
        <v>260</v>
      </c>
      <c r="AI306" s="2" t="str" cm="1">
        <f t="array" ref="AI306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306" s="2">
        <f>COUNTIF(Table1[LTV band],Table1[[#This Row],[LTV band]])</f>
        <v>302</v>
      </c>
      <c r="AK306" s="19">
        <f>COUNTIFS(Table1[count_loan_perband],Table1[[#This Row],[count_loan_perband]],Table1[default_flag],1)/COUNTIF(Table1[count_loan_perband],Table1[[#This Row],[count_loan_perband]])</f>
        <v>3.6423841059602648E-2</v>
      </c>
      <c r="AL306" s="19" t="str" cm="1">
        <f t="array" ref="AL306">_xlfn.IFS(Table1[[#This Row],[loan_amount]] &lt; 900000, "lower size (&lt; 9L)", Table1[[#This Row],[loan_amount]] &lt;=3300000, "medium size (&lt;=33L)", Table1[[#This Row],[loan_amount]] &gt; 3300000, "larger size (&gt; 33L)")</f>
        <v>larger size (&gt; 33L)</v>
      </c>
      <c r="AM306" s="19">
        <f>IF(Table1[[#This Row],[dpd]] &gt;=30,1,0)</f>
        <v>0</v>
      </c>
      <c r="AN306" s="19">
        <f>COUNTIFS(Table1[Loan size],Table1[[#This Row],[Loan size]],Table1[dpd flag],1)/COUNTIF(Table1[Loan size],Table1[[#This Row],[Loan size]])</f>
        <v>0.16250000000000001</v>
      </c>
      <c r="AO306" s="19" t="str">
        <f>IF(OR(Table1[[#This Row],[credit_score]] &lt; 600, Table1[ [#This Row],[dti_ratio] ] &gt; 0.5, Table1[[#This Row],[dpd]] &gt;=30), "high risk", " not riskY")</f>
        <v>high risk</v>
      </c>
      <c r="AP306" s="29">
        <f>EOMONTH(Table1[[#This Row],[origination_date]],0)</f>
        <v>45199</v>
      </c>
      <c r="AQ306" s="19">
        <f>SUMIFS(Table1[loan_amount],Table1[origination month],Table1[[#This Row],[origination month]])</f>
        <v>13815100</v>
      </c>
      <c r="AR306" s="19">
        <f>AVERAGEIFS(Table1[months_on_book],Table1[product],Table1[[#This Row],[product]])</f>
        <v>19.091954022988507</v>
      </c>
      <c r="AS306" s="19" t="str">
        <f ca="1">IF(EDATE(Table1[[#This Row],[origination_date]],6) &gt;= TODAY(), "New Loan", "Old Loan")</f>
        <v>Old Loan</v>
      </c>
      <c r="AT306" s="19" t="str">
        <f>"Q"&amp;ROUNDUP(MONTH(Table1[[#This Row],[origination_date]])/3,0)&amp;YEAR(Table1[[#This Row],[origination_date]])</f>
        <v>Q32023</v>
      </c>
      <c r="AU306" s="19">
        <f>SUMIFS(Table1[loan_amount],Table1[quarter],Table1[[#This Row],[quarter]])</f>
        <v>77300600</v>
      </c>
    </row>
    <row r="307" spans="2:47" x14ac:dyDescent="0.2">
      <c r="B307" s="5" t="s">
        <v>54</v>
      </c>
      <c r="C307" s="2" t="s">
        <v>554</v>
      </c>
      <c r="D307" s="3">
        <v>45157</v>
      </c>
      <c r="E307" s="2" t="s">
        <v>1025</v>
      </c>
      <c r="F307" s="2" t="s">
        <v>1030</v>
      </c>
      <c r="G307" s="2" t="s">
        <v>1035</v>
      </c>
      <c r="H307" s="2" t="s">
        <v>1038</v>
      </c>
      <c r="I307" s="2">
        <v>48</v>
      </c>
      <c r="J307" s="2">
        <v>1008900</v>
      </c>
      <c r="K307" s="2">
        <v>18.34</v>
      </c>
      <c r="L307" s="2">
        <v>29816</v>
      </c>
      <c r="M307" s="2">
        <v>674440</v>
      </c>
      <c r="N307" s="2">
        <v>626</v>
      </c>
      <c r="O307" s="2" t="s">
        <v>1045</v>
      </c>
      <c r="P307" s="2">
        <v>0.4</v>
      </c>
      <c r="Q307" s="2">
        <v>0.65</v>
      </c>
      <c r="R307" s="2">
        <v>1553200</v>
      </c>
      <c r="S307" s="2">
        <v>28</v>
      </c>
      <c r="T307" s="2">
        <v>795087</v>
      </c>
      <c r="U307" s="2">
        <v>386510</v>
      </c>
      <c r="V307" s="2">
        <v>0</v>
      </c>
      <c r="W307" s="2">
        <v>0</v>
      </c>
      <c r="X307" s="2">
        <v>0</v>
      </c>
      <c r="Y307" s="2" t="s">
        <v>1049</v>
      </c>
      <c r="Z307" s="12">
        <f>SUMIF(Table1[product],Table1[[#This Row],[product]],Table1[loan_amount])</f>
        <v>201475100</v>
      </c>
      <c r="AA307" s="15">
        <f>SUMIF(Table1[region],Table1[[#This Row],[region]],Table1[current_balance])</f>
        <v>83903255</v>
      </c>
      <c r="AB307" s="2">
        <f>COUNTIF(Table1[loan_status],Table1[[#This Row],[loan_status]])</f>
        <v>301</v>
      </c>
      <c r="AC307" s="2">
        <f>COUNTIF(Table1[default_flag],1)/ROWS(Table1[loan_id])</f>
        <v>2.5999999999999999E-2</v>
      </c>
      <c r="AD307" s="2">
        <f>COUNTIFS(Table1[region],Table1[[#This Row],[region]],Table1[default_flag],1)/COUNTIF(Table1[region],Table1[[#This Row],[region]])</f>
        <v>4.2553191489361701E-2</v>
      </c>
      <c r="AE307" s="2">
        <f>COUNTIFS(Table1[channel],Table1[[#This Row],[channel]],Table1[prepayment_flag],1)/COUNTIF(Table1[channel],Table1[[#This Row],[channel]])</f>
        <v>5.8201058201058198E-2</v>
      </c>
      <c r="AF307" s="2">
        <f>AVERAGEIFS(Table1[interest_rate_pct],Table1[product],Table1[[#This Row],[product]],Table1[risk_band],Table1[[#This Row],[risk_band]])</f>
        <v>18.241249999999997</v>
      </c>
      <c r="AG307" s="2" t="str" cm="1">
        <f t="array" ref="AG307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307" s="2">
        <f>COUNTIF(Table1[DTI band],Table1[[#This Row],[DTI band]])</f>
        <v>260</v>
      </c>
      <c r="AI307" s="2" t="str" cm="1">
        <f t="array" ref="AI307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307" s="2">
        <f>COUNTIF(Table1[LTV band],Table1[[#This Row],[LTV band]])</f>
        <v>302</v>
      </c>
      <c r="AK307" s="19">
        <f>COUNTIFS(Table1[count_loan_perband],Table1[[#This Row],[count_loan_perband]],Table1[default_flag],1)/COUNTIF(Table1[count_loan_perband],Table1[[#This Row],[count_loan_perband]])</f>
        <v>3.6423841059602648E-2</v>
      </c>
      <c r="AL307" s="19" t="str" cm="1">
        <f t="array" ref="AL307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307" s="19">
        <f>IF(Table1[[#This Row],[dpd]] &gt;=30,1,0)</f>
        <v>0</v>
      </c>
      <c r="AN307" s="19">
        <f>COUNTIFS(Table1[Loan size],Table1[[#This Row],[Loan size]],Table1[dpd flag],1)/COUNTIF(Table1[Loan size],Table1[[#This Row],[Loan size]])</f>
        <v>0.15909090909090909</v>
      </c>
      <c r="AO307" s="19" t="str">
        <f>IF(OR(Table1[[#This Row],[credit_score]] &lt; 600, Table1[ [#This Row],[dti_ratio] ] &gt; 0.5, Table1[[#This Row],[dpd]] &gt;=30), "high risk", " not riskY")</f>
        <v xml:space="preserve"> not riskY</v>
      </c>
      <c r="AP307" s="29">
        <f>EOMONTH(Table1[[#This Row],[origination_date]],0)</f>
        <v>45169</v>
      </c>
      <c r="AQ307" s="19">
        <f>SUMIFS(Table1[loan_amount],Table1[origination month],Table1[[#This Row],[origination month]])</f>
        <v>38355800</v>
      </c>
      <c r="AR307" s="19">
        <f>AVERAGEIFS(Table1[months_on_book],Table1[product],Table1[[#This Row],[product]])</f>
        <v>19.091954022988507</v>
      </c>
      <c r="AS307" s="19" t="str">
        <f ca="1">IF(EDATE(Table1[[#This Row],[origination_date]],6) &gt;= TODAY(), "New Loan", "Old Loan")</f>
        <v>Old Loan</v>
      </c>
      <c r="AT307" s="19" t="str">
        <f>"Q"&amp;ROUNDUP(MONTH(Table1[[#This Row],[origination_date]])/3,0)&amp;YEAR(Table1[[#This Row],[origination_date]])</f>
        <v>Q32023</v>
      </c>
      <c r="AU307" s="19">
        <f>SUMIFS(Table1[loan_amount],Table1[quarter],Table1[[#This Row],[quarter]])</f>
        <v>77300600</v>
      </c>
    </row>
    <row r="308" spans="2:47" x14ac:dyDescent="0.2">
      <c r="B308" s="5" t="s">
        <v>475</v>
      </c>
      <c r="C308" s="2" t="s">
        <v>975</v>
      </c>
      <c r="D308" s="3">
        <v>45168</v>
      </c>
      <c r="E308" s="2" t="s">
        <v>1027</v>
      </c>
      <c r="F308" s="2" t="s">
        <v>1030</v>
      </c>
      <c r="G308" s="2" t="s">
        <v>1035</v>
      </c>
      <c r="H308" s="2" t="s">
        <v>1039</v>
      </c>
      <c r="I308" s="2">
        <v>84</v>
      </c>
      <c r="J308" s="2">
        <v>2409800</v>
      </c>
      <c r="K308" s="2">
        <v>7</v>
      </c>
      <c r="L308" s="2">
        <v>36370</v>
      </c>
      <c r="M308" s="2">
        <v>1253034</v>
      </c>
      <c r="N308" s="2">
        <v>818</v>
      </c>
      <c r="O308" s="2" t="s">
        <v>1043</v>
      </c>
      <c r="P308" s="2">
        <v>0.4</v>
      </c>
      <c r="Q308" s="2">
        <v>0.78</v>
      </c>
      <c r="R308" s="2">
        <v>3107300</v>
      </c>
      <c r="S308" s="2">
        <v>28</v>
      </c>
      <c r="T308" s="2">
        <v>930361</v>
      </c>
      <c r="U308" s="2">
        <v>1636879</v>
      </c>
      <c r="V308" s="2">
        <v>0</v>
      </c>
      <c r="W308" s="2">
        <v>0</v>
      </c>
      <c r="X308" s="2">
        <v>0</v>
      </c>
      <c r="Y308" s="2" t="s">
        <v>1049</v>
      </c>
      <c r="Z308" s="12">
        <f>SUMIF(Table1[product],Table1[[#This Row],[product]],Table1[loan_amount])</f>
        <v>403369500</v>
      </c>
      <c r="AA308" s="15">
        <f>SUMIF(Table1[region],Table1[[#This Row],[region]],Table1[current_balance])</f>
        <v>83903255</v>
      </c>
      <c r="AB308" s="2">
        <f>COUNTIF(Table1[loan_status],Table1[[#This Row],[loan_status]])</f>
        <v>301</v>
      </c>
      <c r="AC308" s="2">
        <f>COUNTIF(Table1[default_flag],1)/ROWS(Table1[loan_id])</f>
        <v>2.5999999999999999E-2</v>
      </c>
      <c r="AD308" s="2">
        <f>COUNTIFS(Table1[region],Table1[[#This Row],[region]],Table1[default_flag],1)/COUNTIF(Table1[region],Table1[[#This Row],[region]])</f>
        <v>4.2553191489361701E-2</v>
      </c>
      <c r="AE308" s="2">
        <f>COUNTIFS(Table1[channel],Table1[[#This Row],[channel]],Table1[prepayment_flag],1)/COUNTIF(Table1[channel],Table1[[#This Row],[channel]])</f>
        <v>5.8201058201058198E-2</v>
      </c>
      <c r="AF308" s="2">
        <f>AVERAGEIFS(Table1[interest_rate_pct],Table1[product],Table1[[#This Row],[product]],Table1[risk_band],Table1[[#This Row],[risk_band]])</f>
        <v>7.1876190476190471</v>
      </c>
      <c r="AG308" s="2" t="str" cm="1">
        <f t="array" ref="AG308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308" s="2">
        <f>COUNTIF(Table1[DTI band],Table1[[#This Row],[DTI band]])</f>
        <v>260</v>
      </c>
      <c r="AI308" s="2" t="str" cm="1">
        <f t="array" ref="AI308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308" s="2">
        <f>COUNTIF(Table1[LTV band],Table1[[#This Row],[LTV band]])</f>
        <v>302</v>
      </c>
      <c r="AK308" s="19">
        <f>COUNTIFS(Table1[count_loan_perband],Table1[[#This Row],[count_loan_perband]],Table1[default_flag],1)/COUNTIF(Table1[count_loan_perband],Table1[[#This Row],[count_loan_perband]])</f>
        <v>3.6423841059602648E-2</v>
      </c>
      <c r="AL308" s="19" t="str" cm="1">
        <f t="array" ref="AL308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308" s="19">
        <f>IF(Table1[[#This Row],[dpd]] &gt;=30,1,0)</f>
        <v>0</v>
      </c>
      <c r="AN308" s="19">
        <f>COUNTIFS(Table1[Loan size],Table1[[#This Row],[Loan size]],Table1[dpd flag],1)/COUNTIF(Table1[Loan size],Table1[[#This Row],[Loan size]])</f>
        <v>0.15909090909090909</v>
      </c>
      <c r="AO308" s="19" t="str">
        <f>IF(OR(Table1[[#This Row],[credit_score]] &lt; 600, Table1[ [#This Row],[dti_ratio] ] &gt; 0.5, Table1[[#This Row],[dpd]] &gt;=30), "high risk", " not riskY")</f>
        <v xml:space="preserve"> not riskY</v>
      </c>
      <c r="AP308" s="29">
        <f>EOMONTH(Table1[[#This Row],[origination_date]],0)</f>
        <v>45169</v>
      </c>
      <c r="AQ308" s="19">
        <f>SUMIFS(Table1[loan_amount],Table1[origination month],Table1[[#This Row],[origination month]])</f>
        <v>38355800</v>
      </c>
      <c r="AR308" s="19">
        <f>AVERAGEIFS(Table1[months_on_book],Table1[product],Table1[[#This Row],[product]])</f>
        <v>20.516129032258064</v>
      </c>
      <c r="AS308" s="19" t="str">
        <f ca="1">IF(EDATE(Table1[[#This Row],[origination_date]],6) &gt;= TODAY(), "New Loan", "Old Loan")</f>
        <v>Old Loan</v>
      </c>
      <c r="AT308" s="19" t="str">
        <f>"Q"&amp;ROUNDUP(MONTH(Table1[[#This Row],[origination_date]])/3,0)&amp;YEAR(Table1[[#This Row],[origination_date]])</f>
        <v>Q32023</v>
      </c>
      <c r="AU308" s="19">
        <f>SUMIFS(Table1[loan_amount],Table1[quarter],Table1[[#This Row],[quarter]])</f>
        <v>77300600</v>
      </c>
    </row>
    <row r="309" spans="2:47" x14ac:dyDescent="0.2">
      <c r="B309" s="5" t="s">
        <v>463</v>
      </c>
      <c r="C309" s="2" t="s">
        <v>963</v>
      </c>
      <c r="D309" s="3">
        <v>45129</v>
      </c>
      <c r="E309" s="2" t="s">
        <v>1026</v>
      </c>
      <c r="F309" s="2" t="s">
        <v>1031</v>
      </c>
      <c r="G309" s="2" t="s">
        <v>1036</v>
      </c>
      <c r="H309" s="2" t="s">
        <v>1038</v>
      </c>
      <c r="I309" s="2">
        <v>84</v>
      </c>
      <c r="J309" s="2">
        <v>836700</v>
      </c>
      <c r="K309" s="2">
        <v>12.46</v>
      </c>
      <c r="L309" s="2">
        <v>14977</v>
      </c>
      <c r="M309" s="2">
        <v>1211195</v>
      </c>
      <c r="N309" s="2">
        <v>795</v>
      </c>
      <c r="O309" s="2" t="s">
        <v>1043</v>
      </c>
      <c r="P309" s="2">
        <v>0.39</v>
      </c>
      <c r="Q309" s="2">
        <v>0.85</v>
      </c>
      <c r="R309" s="2">
        <v>0</v>
      </c>
      <c r="S309" s="2">
        <v>29</v>
      </c>
      <c r="T309" s="2">
        <v>435955</v>
      </c>
      <c r="U309" s="2">
        <v>501523</v>
      </c>
      <c r="V309" s="2">
        <v>10</v>
      </c>
      <c r="W309" s="2">
        <v>0</v>
      </c>
      <c r="X309" s="2">
        <v>0</v>
      </c>
      <c r="Y309" s="2" t="s">
        <v>1049</v>
      </c>
      <c r="Z309" s="12">
        <f>SUMIF(Table1[product],Table1[[#This Row],[product]],Table1[loan_amount])</f>
        <v>74897600</v>
      </c>
      <c r="AA309" s="15">
        <f>SUMIF(Table1[region],Table1[[#This Row],[region]],Table1[current_balance])</f>
        <v>98928695</v>
      </c>
      <c r="AB309" s="2">
        <f>COUNTIF(Table1[loan_status],Table1[[#This Row],[loan_status]])</f>
        <v>301</v>
      </c>
      <c r="AC309" s="2">
        <f>COUNTIF(Table1[default_flag],1)/ROWS(Table1[loan_id])</f>
        <v>2.5999999999999999E-2</v>
      </c>
      <c r="AD309" s="2">
        <f>COUNTIFS(Table1[region],Table1[[#This Row],[region]],Table1[default_flag],1)/COUNTIF(Table1[region],Table1[[#This Row],[region]])</f>
        <v>2.8571428571428571E-2</v>
      </c>
      <c r="AE309" s="2">
        <f>COUNTIFS(Table1[channel],Table1[[#This Row],[channel]],Table1[prepayment_flag],1)/COUNTIF(Table1[channel],Table1[[#This Row],[channel]])</f>
        <v>0.12</v>
      </c>
      <c r="AF309" s="2">
        <f>AVERAGEIFS(Table1[interest_rate_pct],Table1[product],Table1[[#This Row],[product]],Table1[risk_band],Table1[[#This Row],[risk_band]])</f>
        <v>13.328333333333335</v>
      </c>
      <c r="AG309" s="2" t="str" cm="1">
        <f t="array" ref="AG309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309" s="2">
        <f>COUNTIF(Table1[DTI band],Table1[[#This Row],[DTI band]])</f>
        <v>260</v>
      </c>
      <c r="AI309" s="2" t="str" cm="1">
        <f t="array" ref="AI309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309" s="2">
        <f>COUNTIF(Table1[LTV band],Table1[[#This Row],[LTV band]])</f>
        <v>141</v>
      </c>
      <c r="AK309" s="19">
        <f>COUNTIFS(Table1[count_loan_perband],Table1[[#This Row],[count_loan_perband]],Table1[default_flag],1)/COUNTIF(Table1[count_loan_perband],Table1[[#This Row],[count_loan_perband]])</f>
        <v>1.4184397163120567E-2</v>
      </c>
      <c r="AL309" s="19" t="str" cm="1">
        <f t="array" ref="AL309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309" s="19">
        <f>IF(Table1[[#This Row],[dpd]] &gt;=30,1,0)</f>
        <v>0</v>
      </c>
      <c r="AN309" s="19">
        <f>COUNTIFS(Table1[Loan size],Table1[[#This Row],[Loan size]],Table1[dpd flag],1)/COUNTIF(Table1[Loan size],Table1[[#This Row],[Loan size]])</f>
        <v>0.13934426229508196</v>
      </c>
      <c r="AO309" s="19" t="str">
        <f>IF(OR(Table1[[#This Row],[credit_score]] &lt; 600, Table1[ [#This Row],[dti_ratio] ] &gt; 0.5, Table1[[#This Row],[dpd]] &gt;=30), "high risk", " not riskY")</f>
        <v xml:space="preserve"> not riskY</v>
      </c>
      <c r="AP309" s="29">
        <f>EOMONTH(Table1[[#This Row],[origination_date]],0)</f>
        <v>45138</v>
      </c>
      <c r="AQ309" s="19">
        <f>SUMIFS(Table1[loan_amount],Table1[origination month],Table1[[#This Row],[origination month]])</f>
        <v>25129700</v>
      </c>
      <c r="AR309" s="19">
        <f>AVERAGEIFS(Table1[months_on_book],Table1[product],Table1[[#This Row],[product]])</f>
        <v>21.092024539877301</v>
      </c>
      <c r="AS309" s="19" t="str">
        <f ca="1">IF(EDATE(Table1[[#This Row],[origination_date]],6) &gt;= TODAY(), "New Loan", "Old Loan")</f>
        <v>Old Loan</v>
      </c>
      <c r="AT309" s="19" t="str">
        <f>"Q"&amp;ROUNDUP(MONTH(Table1[[#This Row],[origination_date]])/3,0)&amp;YEAR(Table1[[#This Row],[origination_date]])</f>
        <v>Q32023</v>
      </c>
      <c r="AU309" s="19">
        <f>SUMIFS(Table1[loan_amount],Table1[quarter],Table1[[#This Row],[quarter]])</f>
        <v>77300600</v>
      </c>
    </row>
    <row r="310" spans="2:47" x14ac:dyDescent="0.2">
      <c r="B310" s="5" t="s">
        <v>363</v>
      </c>
      <c r="C310" s="2" t="s">
        <v>863</v>
      </c>
      <c r="D310" s="3">
        <v>45182</v>
      </c>
      <c r="E310" s="2" t="s">
        <v>1024</v>
      </c>
      <c r="F310" s="2" t="s">
        <v>1029</v>
      </c>
      <c r="G310" s="2" t="s">
        <v>1035</v>
      </c>
      <c r="H310" s="2" t="s">
        <v>1038</v>
      </c>
      <c r="I310" s="2">
        <v>84</v>
      </c>
      <c r="J310" s="2">
        <v>293300</v>
      </c>
      <c r="K310" s="2">
        <v>15.01</v>
      </c>
      <c r="L310" s="2">
        <v>5661</v>
      </c>
      <c r="M310" s="2">
        <v>1175619</v>
      </c>
      <c r="N310" s="2">
        <v>658</v>
      </c>
      <c r="O310" s="2" t="s">
        <v>1042</v>
      </c>
      <c r="P310" s="2">
        <v>0.37</v>
      </c>
      <c r="Q310" s="2">
        <v>0.55000000000000004</v>
      </c>
      <c r="R310" s="2">
        <v>531000</v>
      </c>
      <c r="S310" s="2">
        <v>27</v>
      </c>
      <c r="T310" s="2">
        <v>133870</v>
      </c>
      <c r="U310" s="2">
        <v>199052</v>
      </c>
      <c r="V310" s="2">
        <v>0</v>
      </c>
      <c r="W310" s="2">
        <v>0</v>
      </c>
      <c r="X310" s="2">
        <v>0</v>
      </c>
      <c r="Y310" s="2" t="s">
        <v>1049</v>
      </c>
      <c r="Z310" s="12">
        <f>SUMIF(Table1[product],Table1[[#This Row],[product]],Table1[loan_amount])</f>
        <v>92273000</v>
      </c>
      <c r="AA310" s="15">
        <f>SUMIF(Table1[region],Table1[[#This Row],[region]],Table1[current_balance])</f>
        <v>83903255</v>
      </c>
      <c r="AB310" s="2">
        <f>COUNTIF(Table1[loan_status],Table1[[#This Row],[loan_status]])</f>
        <v>301</v>
      </c>
      <c r="AC310" s="2">
        <f>COUNTIF(Table1[default_flag],1)/ROWS(Table1[loan_id])</f>
        <v>2.5999999999999999E-2</v>
      </c>
      <c r="AD310" s="2">
        <f>COUNTIFS(Table1[region],Table1[[#This Row],[region]],Table1[default_flag],1)/COUNTIF(Table1[region],Table1[[#This Row],[region]])</f>
        <v>4.2553191489361701E-2</v>
      </c>
      <c r="AE310" s="2">
        <f>COUNTIFS(Table1[channel],Table1[[#This Row],[channel]],Table1[prepayment_flag],1)/COUNTIF(Table1[channel],Table1[[#This Row],[channel]])</f>
        <v>7.1090047393364927E-2</v>
      </c>
      <c r="AF310" s="2">
        <f>AVERAGEIFS(Table1[interest_rate_pct],Table1[product],Table1[[#This Row],[product]],Table1[risk_band],Table1[[#This Row],[risk_band]])</f>
        <v>13.246500000000001</v>
      </c>
      <c r="AG310" s="2" t="str" cm="1">
        <f t="array" ref="AG310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310" s="2">
        <f>COUNTIF(Table1[DTI band],Table1[[#This Row],[DTI band]])</f>
        <v>260</v>
      </c>
      <c r="AI310" s="2" t="str" cm="1">
        <f t="array" ref="AI310">_xlfn.IFS(Table1[[#This Row],[ltv_ratio]] &lt; 0.6, "less than 0.6 -less risky", Table1[[#This Row],[ltv_ratio]]  &lt;= 0.8, "0.6 - 0.8 -medium risky",Table1[[#This Row],[ltv_ratio]] &gt; 0.8, "greater than 0.8 -highly risky")</f>
        <v>less than 0.6 -less risky</v>
      </c>
      <c r="AJ310" s="2">
        <f>COUNTIF(Table1[LTV band],Table1[[#This Row],[LTV band]])</f>
        <v>57</v>
      </c>
      <c r="AK310" s="19">
        <f>COUNTIFS(Table1[count_loan_perband],Table1[[#This Row],[count_loan_perband]],Table1[default_flag],1)/COUNTIF(Table1[count_loan_perband],Table1[[#This Row],[count_loan_perband]])</f>
        <v>0</v>
      </c>
      <c r="AL310" s="19" t="str" cm="1">
        <f t="array" ref="AL310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310" s="19">
        <f>IF(Table1[[#This Row],[dpd]] &gt;=30,1,0)</f>
        <v>0</v>
      </c>
      <c r="AN310" s="19">
        <f>COUNTIFS(Table1[Loan size],Table1[[#This Row],[Loan size]],Table1[dpd flag],1)/COUNTIF(Table1[Loan size],Table1[[#This Row],[Loan size]])</f>
        <v>0.13934426229508196</v>
      </c>
      <c r="AO310" s="19" t="str">
        <f>IF(OR(Table1[[#This Row],[credit_score]] &lt; 600, Table1[ [#This Row],[dti_ratio] ] &gt; 0.5, Table1[[#This Row],[dpd]] &gt;=30), "high risk", " not riskY")</f>
        <v xml:space="preserve"> not riskY</v>
      </c>
      <c r="AP310" s="29">
        <f>EOMONTH(Table1[[#This Row],[origination_date]],0)</f>
        <v>45199</v>
      </c>
      <c r="AQ310" s="19">
        <f>SUMIFS(Table1[loan_amount],Table1[origination month],Table1[[#This Row],[origination month]])</f>
        <v>13815100</v>
      </c>
      <c r="AR310" s="19">
        <f>AVERAGEIFS(Table1[months_on_book],Table1[product],Table1[[#This Row],[product]])</f>
        <v>20.262135922330096</v>
      </c>
      <c r="AS310" s="19" t="str">
        <f ca="1">IF(EDATE(Table1[[#This Row],[origination_date]],6) &gt;= TODAY(), "New Loan", "Old Loan")</f>
        <v>Old Loan</v>
      </c>
      <c r="AT310" s="19" t="str">
        <f>"Q"&amp;ROUNDUP(MONTH(Table1[[#This Row],[origination_date]])/3,0)&amp;YEAR(Table1[[#This Row],[origination_date]])</f>
        <v>Q32023</v>
      </c>
      <c r="AU310" s="19">
        <f>SUMIFS(Table1[loan_amount],Table1[quarter],Table1[[#This Row],[quarter]])</f>
        <v>77300600</v>
      </c>
    </row>
    <row r="311" spans="2:47" x14ac:dyDescent="0.2">
      <c r="B311" s="5" t="s">
        <v>386</v>
      </c>
      <c r="C311" s="2" t="s">
        <v>886</v>
      </c>
      <c r="D311" s="3">
        <v>45191</v>
      </c>
      <c r="E311" s="2" t="s">
        <v>1026</v>
      </c>
      <c r="F311" s="2" t="s">
        <v>1032</v>
      </c>
      <c r="G311" s="2" t="s">
        <v>1034</v>
      </c>
      <c r="H311" s="2" t="s">
        <v>1038</v>
      </c>
      <c r="I311" s="2">
        <v>24</v>
      </c>
      <c r="J311" s="2">
        <v>322600</v>
      </c>
      <c r="K311" s="2">
        <v>16.04</v>
      </c>
      <c r="L311" s="2">
        <v>15802</v>
      </c>
      <c r="M311" s="2">
        <v>399915</v>
      </c>
      <c r="N311" s="2">
        <v>734</v>
      </c>
      <c r="O311" s="2" t="s">
        <v>1044</v>
      </c>
      <c r="P311" s="2">
        <v>0.36</v>
      </c>
      <c r="Q311" s="2">
        <v>0.56999999999999995</v>
      </c>
      <c r="R311" s="2">
        <v>0</v>
      </c>
      <c r="S311" s="2">
        <v>24</v>
      </c>
      <c r="T311" s="2">
        <v>367697</v>
      </c>
      <c r="U311" s="2">
        <v>0</v>
      </c>
      <c r="V311" s="2">
        <v>0</v>
      </c>
      <c r="W311" s="2">
        <v>1</v>
      </c>
      <c r="X311" s="2">
        <v>0</v>
      </c>
      <c r="Y311" s="2" t="s">
        <v>1047</v>
      </c>
      <c r="Z311" s="12">
        <f>SUMIF(Table1[product],Table1[[#This Row],[product]],Table1[loan_amount])</f>
        <v>74897600</v>
      </c>
      <c r="AA311" s="15">
        <f>SUMIF(Table1[region],Table1[[#This Row],[region]],Table1[current_balance])</f>
        <v>105779369</v>
      </c>
      <c r="AB311" s="2">
        <f>COUNTIF(Table1[loan_status],Table1[[#This Row],[loan_status]])</f>
        <v>139</v>
      </c>
      <c r="AC311" s="2">
        <f>COUNTIF(Table1[default_flag],1)/ROWS(Table1[loan_id])</f>
        <v>2.5999999999999999E-2</v>
      </c>
      <c r="AD311" s="2">
        <f>COUNTIFS(Table1[region],Table1[[#This Row],[region]],Table1[default_flag],1)/COUNTIF(Table1[region],Table1[[#This Row],[region]])</f>
        <v>2.6548672566371681E-2</v>
      </c>
      <c r="AE311" s="2">
        <f>COUNTIFS(Table1[channel],Table1[[#This Row],[channel]],Table1[prepayment_flag],1)/COUNTIF(Table1[channel],Table1[[#This Row],[channel]])</f>
        <v>0.1</v>
      </c>
      <c r="AF311" s="2">
        <f>AVERAGEIFS(Table1[interest_rate_pct],Table1[product],Table1[[#This Row],[product]],Table1[risk_band],Table1[[#This Row],[risk_band]])</f>
        <v>16.500166666666669</v>
      </c>
      <c r="AG311" s="2" t="str" cm="1">
        <f t="array" ref="AG311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311" s="2">
        <f>COUNTIF(Table1[DTI band],Table1[[#This Row],[DTI band]])</f>
        <v>260</v>
      </c>
      <c r="AI311" s="2" t="str" cm="1">
        <f t="array" ref="AI311">_xlfn.IFS(Table1[[#This Row],[ltv_ratio]] &lt; 0.6, "less than 0.6 -less risky", Table1[[#This Row],[ltv_ratio]]  &lt;= 0.8, "0.6 - 0.8 -medium risky",Table1[[#This Row],[ltv_ratio]] &gt; 0.8, "greater than 0.8 -highly risky")</f>
        <v>less than 0.6 -less risky</v>
      </c>
      <c r="AJ311" s="2">
        <f>COUNTIF(Table1[LTV band],Table1[[#This Row],[LTV band]])</f>
        <v>57</v>
      </c>
      <c r="AK311" s="19">
        <f>COUNTIFS(Table1[count_loan_perband],Table1[[#This Row],[count_loan_perband]],Table1[default_flag],1)/COUNTIF(Table1[count_loan_perband],Table1[[#This Row],[count_loan_perband]])</f>
        <v>0</v>
      </c>
      <c r="AL311" s="19" t="str" cm="1">
        <f t="array" ref="AL311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311" s="19">
        <f>IF(Table1[[#This Row],[dpd]] &gt;=30,1,0)</f>
        <v>0</v>
      </c>
      <c r="AN311" s="19">
        <f>COUNTIFS(Table1[Loan size],Table1[[#This Row],[Loan size]],Table1[dpd flag],1)/COUNTIF(Table1[Loan size],Table1[[#This Row],[Loan size]])</f>
        <v>0.13934426229508196</v>
      </c>
      <c r="AO311" s="19" t="str">
        <f>IF(OR(Table1[[#This Row],[credit_score]] &lt; 600, Table1[ [#This Row],[dti_ratio] ] &gt; 0.5, Table1[[#This Row],[dpd]] &gt;=30), "high risk", " not riskY")</f>
        <v xml:space="preserve"> not riskY</v>
      </c>
      <c r="AP311" s="29">
        <f>EOMONTH(Table1[[#This Row],[origination_date]],0)</f>
        <v>45199</v>
      </c>
      <c r="AQ311" s="19">
        <f>SUMIFS(Table1[loan_amount],Table1[origination month],Table1[[#This Row],[origination month]])</f>
        <v>13815100</v>
      </c>
      <c r="AR311" s="19">
        <f>AVERAGEIFS(Table1[months_on_book],Table1[product],Table1[[#This Row],[product]])</f>
        <v>21.092024539877301</v>
      </c>
      <c r="AS311" s="19" t="str">
        <f ca="1">IF(EDATE(Table1[[#This Row],[origination_date]],6) &gt;= TODAY(), "New Loan", "Old Loan")</f>
        <v>Old Loan</v>
      </c>
      <c r="AT311" s="19" t="str">
        <f>"Q"&amp;ROUNDUP(MONTH(Table1[[#This Row],[origination_date]])/3,0)&amp;YEAR(Table1[[#This Row],[origination_date]])</f>
        <v>Q32023</v>
      </c>
      <c r="AU311" s="19">
        <f>SUMIFS(Table1[loan_amount],Table1[quarter],Table1[[#This Row],[quarter]])</f>
        <v>77300600</v>
      </c>
    </row>
    <row r="312" spans="2:47" x14ac:dyDescent="0.2">
      <c r="B312" s="5" t="s">
        <v>46</v>
      </c>
      <c r="C312" s="2" t="s">
        <v>546</v>
      </c>
      <c r="D312" s="3">
        <v>45108</v>
      </c>
      <c r="E312" s="2" t="s">
        <v>1027</v>
      </c>
      <c r="F312" s="2" t="s">
        <v>1030</v>
      </c>
      <c r="G312" s="2" t="s">
        <v>1036</v>
      </c>
      <c r="H312" s="2" t="s">
        <v>1041</v>
      </c>
      <c r="I312" s="2">
        <v>48</v>
      </c>
      <c r="J312" s="2">
        <v>6142600</v>
      </c>
      <c r="K312" s="2">
        <v>8.0399999999999991</v>
      </c>
      <c r="L312" s="2">
        <v>150074</v>
      </c>
      <c r="M312" s="2">
        <v>1544439</v>
      </c>
      <c r="N312" s="2">
        <v>730</v>
      </c>
      <c r="O312" s="2" t="s">
        <v>1044</v>
      </c>
      <c r="P312" s="2">
        <v>0.35</v>
      </c>
      <c r="Q312" s="2">
        <v>0.65</v>
      </c>
      <c r="R312" s="2">
        <v>9405100</v>
      </c>
      <c r="S312" s="2">
        <v>29</v>
      </c>
      <c r="T312" s="2">
        <v>4365558</v>
      </c>
      <c r="U312" s="2">
        <v>2254445</v>
      </c>
      <c r="V312" s="2">
        <v>0</v>
      </c>
      <c r="W312" s="2">
        <v>0</v>
      </c>
      <c r="X312" s="2">
        <v>0</v>
      </c>
      <c r="Y312" s="2" t="s">
        <v>1049</v>
      </c>
      <c r="Z312" s="12">
        <f>SUMIF(Table1[product],Table1[[#This Row],[product]],Table1[loan_amount])</f>
        <v>403369500</v>
      </c>
      <c r="AA312" s="15">
        <f>SUMIF(Table1[region],Table1[[#This Row],[region]],Table1[current_balance])</f>
        <v>98928695</v>
      </c>
      <c r="AB312" s="2">
        <f>COUNTIF(Table1[loan_status],Table1[[#This Row],[loan_status]])</f>
        <v>301</v>
      </c>
      <c r="AC312" s="2">
        <f>COUNTIF(Table1[default_flag],1)/ROWS(Table1[loan_id])</f>
        <v>2.5999999999999999E-2</v>
      </c>
      <c r="AD312" s="2">
        <f>COUNTIFS(Table1[region],Table1[[#This Row],[region]],Table1[default_flag],1)/COUNTIF(Table1[region],Table1[[#This Row],[region]])</f>
        <v>2.8571428571428571E-2</v>
      </c>
      <c r="AE312" s="2">
        <f>COUNTIFS(Table1[channel],Table1[[#This Row],[channel]],Table1[prepayment_flag],1)/COUNTIF(Table1[channel],Table1[[#This Row],[channel]])</f>
        <v>5.8201058201058198E-2</v>
      </c>
      <c r="AF312" s="2">
        <f>AVERAGEIFS(Table1[interest_rate_pct],Table1[product],Table1[[#This Row],[product]],Table1[risk_band],Table1[[#This Row],[risk_band]])</f>
        <v>8.8557142857142868</v>
      </c>
      <c r="AG312" s="2" t="str" cm="1">
        <f t="array" ref="AG312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312" s="2">
        <f>COUNTIF(Table1[DTI band],Table1[[#This Row],[DTI band]])</f>
        <v>260</v>
      </c>
      <c r="AI312" s="2" t="str" cm="1">
        <f t="array" ref="AI312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312" s="2">
        <f>COUNTIF(Table1[LTV band],Table1[[#This Row],[LTV band]])</f>
        <v>302</v>
      </c>
      <c r="AK312" s="19">
        <f>COUNTIFS(Table1[count_loan_perband],Table1[[#This Row],[count_loan_perband]],Table1[default_flag],1)/COUNTIF(Table1[count_loan_perband],Table1[[#This Row],[count_loan_perband]])</f>
        <v>3.6423841059602648E-2</v>
      </c>
      <c r="AL312" s="19" t="str" cm="1">
        <f t="array" ref="AL312">_xlfn.IFS(Table1[[#This Row],[loan_amount]] &lt; 900000, "lower size (&lt; 9L)", Table1[[#This Row],[loan_amount]] &lt;=3300000, "medium size (&lt;=33L)", Table1[[#This Row],[loan_amount]] &gt; 3300000, "larger size (&gt; 33L)")</f>
        <v>larger size (&gt; 33L)</v>
      </c>
      <c r="AM312" s="19">
        <f>IF(Table1[[#This Row],[dpd]] &gt;=30,1,0)</f>
        <v>0</v>
      </c>
      <c r="AN312" s="19">
        <f>COUNTIFS(Table1[Loan size],Table1[[#This Row],[Loan size]],Table1[dpd flag],1)/COUNTIF(Table1[Loan size],Table1[[#This Row],[Loan size]])</f>
        <v>0.16250000000000001</v>
      </c>
      <c r="AO312" s="19" t="str">
        <f>IF(OR(Table1[[#This Row],[credit_score]] &lt; 600, Table1[ [#This Row],[dti_ratio] ] &gt; 0.5, Table1[[#This Row],[dpd]] &gt;=30), "high risk", " not riskY")</f>
        <v xml:space="preserve"> not riskY</v>
      </c>
      <c r="AP312" s="29">
        <f>EOMONTH(Table1[[#This Row],[origination_date]],0)</f>
        <v>45138</v>
      </c>
      <c r="AQ312" s="19">
        <f>SUMIFS(Table1[loan_amount],Table1[origination month],Table1[[#This Row],[origination month]])</f>
        <v>25129700</v>
      </c>
      <c r="AR312" s="19">
        <f>AVERAGEIFS(Table1[months_on_book],Table1[product],Table1[[#This Row],[product]])</f>
        <v>20.516129032258064</v>
      </c>
      <c r="AS312" s="19" t="str">
        <f ca="1">IF(EDATE(Table1[[#This Row],[origination_date]],6) &gt;= TODAY(), "New Loan", "Old Loan")</f>
        <v>Old Loan</v>
      </c>
      <c r="AT312" s="19" t="str">
        <f>"Q"&amp;ROUNDUP(MONTH(Table1[[#This Row],[origination_date]])/3,0)&amp;YEAR(Table1[[#This Row],[origination_date]])</f>
        <v>Q32023</v>
      </c>
      <c r="AU312" s="19">
        <f>SUMIFS(Table1[loan_amount],Table1[quarter],Table1[[#This Row],[quarter]])</f>
        <v>77300600</v>
      </c>
    </row>
    <row r="313" spans="2:47" x14ac:dyDescent="0.2">
      <c r="B313" s="5" t="s">
        <v>113</v>
      </c>
      <c r="C313" s="2" t="s">
        <v>613</v>
      </c>
      <c r="D313" s="3">
        <v>45124</v>
      </c>
      <c r="E313" s="2" t="s">
        <v>1026</v>
      </c>
      <c r="F313" s="2" t="s">
        <v>1030</v>
      </c>
      <c r="G313" s="2" t="s">
        <v>1037</v>
      </c>
      <c r="H313" s="2" t="s">
        <v>1038</v>
      </c>
      <c r="I313" s="2">
        <v>60</v>
      </c>
      <c r="J313" s="2">
        <v>596500</v>
      </c>
      <c r="K313" s="2">
        <v>20.07</v>
      </c>
      <c r="L313" s="2">
        <v>15827</v>
      </c>
      <c r="M313" s="2">
        <v>583317</v>
      </c>
      <c r="N313" s="2">
        <v>631</v>
      </c>
      <c r="O313" s="2" t="s">
        <v>1045</v>
      </c>
      <c r="P313" s="2">
        <v>0.35</v>
      </c>
      <c r="Q313" s="2">
        <v>0.79</v>
      </c>
      <c r="R313" s="2">
        <v>0</v>
      </c>
      <c r="S313" s="2">
        <v>29</v>
      </c>
      <c r="T313" s="2">
        <v>422199</v>
      </c>
      <c r="U313" s="2">
        <v>290028</v>
      </c>
      <c r="V313" s="2">
        <v>0</v>
      </c>
      <c r="W313" s="2">
        <v>0</v>
      </c>
      <c r="X313" s="2">
        <v>0</v>
      </c>
      <c r="Y313" s="2" t="s">
        <v>1049</v>
      </c>
      <c r="Z313" s="12">
        <f>SUMIF(Table1[product],Table1[[#This Row],[product]],Table1[loan_amount])</f>
        <v>74897600</v>
      </c>
      <c r="AA313" s="15">
        <f>SUMIF(Table1[region],Table1[[#This Row],[region]],Table1[current_balance])</f>
        <v>94548000</v>
      </c>
      <c r="AB313" s="2">
        <f>COUNTIF(Table1[loan_status],Table1[[#This Row],[loan_status]])</f>
        <v>301</v>
      </c>
      <c r="AC313" s="2">
        <f>COUNTIF(Table1[default_flag],1)/ROWS(Table1[loan_id])</f>
        <v>2.5999999999999999E-2</v>
      </c>
      <c r="AD313" s="2">
        <f>COUNTIFS(Table1[region],Table1[[#This Row],[region]],Table1[default_flag],1)/COUNTIF(Table1[region],Table1[[#This Row],[region]])</f>
        <v>0</v>
      </c>
      <c r="AE313" s="2">
        <f>COUNTIFS(Table1[channel],Table1[[#This Row],[channel]],Table1[prepayment_flag],1)/COUNTIF(Table1[channel],Table1[[#This Row],[channel]])</f>
        <v>5.8201058201058198E-2</v>
      </c>
      <c r="AF313" s="2">
        <f>AVERAGEIFS(Table1[interest_rate_pct],Table1[product],Table1[[#This Row],[product]],Table1[risk_band],Table1[[#This Row],[risk_band]])</f>
        <v>20.962592592592593</v>
      </c>
      <c r="AG313" s="2" t="str" cm="1">
        <f t="array" ref="AG313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313" s="2">
        <f>COUNTIF(Table1[DTI band],Table1[[#This Row],[DTI band]])</f>
        <v>260</v>
      </c>
      <c r="AI313" s="2" t="str" cm="1">
        <f t="array" ref="AI313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313" s="2">
        <f>COUNTIF(Table1[LTV band],Table1[[#This Row],[LTV band]])</f>
        <v>302</v>
      </c>
      <c r="AK313" s="19">
        <f>COUNTIFS(Table1[count_loan_perband],Table1[[#This Row],[count_loan_perband]],Table1[default_flag],1)/COUNTIF(Table1[count_loan_perband],Table1[[#This Row],[count_loan_perband]])</f>
        <v>3.6423841059602648E-2</v>
      </c>
      <c r="AL313" s="19" t="str" cm="1">
        <f t="array" ref="AL313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313" s="19">
        <f>IF(Table1[[#This Row],[dpd]] &gt;=30,1,0)</f>
        <v>0</v>
      </c>
      <c r="AN313" s="19">
        <f>COUNTIFS(Table1[Loan size],Table1[[#This Row],[Loan size]],Table1[dpd flag],1)/COUNTIF(Table1[Loan size],Table1[[#This Row],[Loan size]])</f>
        <v>0.13934426229508196</v>
      </c>
      <c r="AO313" s="19" t="str">
        <f>IF(OR(Table1[[#This Row],[credit_score]] &lt; 600, Table1[ [#This Row],[dti_ratio] ] &gt; 0.5, Table1[[#This Row],[dpd]] &gt;=30), "high risk", " not riskY")</f>
        <v xml:space="preserve"> not riskY</v>
      </c>
      <c r="AP313" s="29">
        <f>EOMONTH(Table1[[#This Row],[origination_date]],0)</f>
        <v>45138</v>
      </c>
      <c r="AQ313" s="19">
        <f>SUMIFS(Table1[loan_amount],Table1[origination month],Table1[[#This Row],[origination month]])</f>
        <v>25129700</v>
      </c>
      <c r="AR313" s="19">
        <f>AVERAGEIFS(Table1[months_on_book],Table1[product],Table1[[#This Row],[product]])</f>
        <v>21.092024539877301</v>
      </c>
      <c r="AS313" s="19" t="str">
        <f ca="1">IF(EDATE(Table1[[#This Row],[origination_date]],6) &gt;= TODAY(), "New Loan", "Old Loan")</f>
        <v>Old Loan</v>
      </c>
      <c r="AT313" s="19" t="str">
        <f>"Q"&amp;ROUNDUP(MONTH(Table1[[#This Row],[origination_date]])/3,0)&amp;YEAR(Table1[[#This Row],[origination_date]])</f>
        <v>Q32023</v>
      </c>
      <c r="AU313" s="19">
        <f>SUMIFS(Table1[loan_amount],Table1[quarter],Table1[[#This Row],[quarter]])</f>
        <v>77300600</v>
      </c>
    </row>
    <row r="314" spans="2:47" x14ac:dyDescent="0.2">
      <c r="B314" s="5" t="s">
        <v>268</v>
      </c>
      <c r="C314" s="2" t="s">
        <v>768</v>
      </c>
      <c r="D314" s="3">
        <v>45114</v>
      </c>
      <c r="E314" s="2" t="s">
        <v>1027</v>
      </c>
      <c r="F314" s="2" t="s">
        <v>1031</v>
      </c>
      <c r="G314" s="2" t="s">
        <v>1034</v>
      </c>
      <c r="H314" s="2" t="s">
        <v>1038</v>
      </c>
      <c r="I314" s="2">
        <v>12</v>
      </c>
      <c r="J314" s="2">
        <v>4729500</v>
      </c>
      <c r="K314" s="2">
        <v>12.17</v>
      </c>
      <c r="L314" s="2">
        <v>420587</v>
      </c>
      <c r="M314" s="2">
        <v>317475</v>
      </c>
      <c r="N314" s="2">
        <v>646</v>
      </c>
      <c r="O314" s="2" t="s">
        <v>1045</v>
      </c>
      <c r="P314" s="2">
        <v>0.35</v>
      </c>
      <c r="Q314" s="2">
        <v>0.81</v>
      </c>
      <c r="R314" s="2">
        <v>5811000</v>
      </c>
      <c r="S314" s="2">
        <v>12</v>
      </c>
      <c r="T314" s="2">
        <v>4291925</v>
      </c>
      <c r="U314" s="2">
        <v>667807</v>
      </c>
      <c r="V314" s="2">
        <v>0</v>
      </c>
      <c r="W314" s="2">
        <v>1</v>
      </c>
      <c r="X314" s="2">
        <v>0</v>
      </c>
      <c r="Y314" s="2" t="s">
        <v>1047</v>
      </c>
      <c r="Z314" s="12">
        <f>SUMIF(Table1[product],Table1[[#This Row],[product]],Table1[loan_amount])</f>
        <v>403369500</v>
      </c>
      <c r="AA314" s="15">
        <f>SUMIF(Table1[region],Table1[[#This Row],[region]],Table1[current_balance])</f>
        <v>105779369</v>
      </c>
      <c r="AB314" s="2">
        <f>COUNTIF(Table1[loan_status],Table1[[#This Row],[loan_status]])</f>
        <v>139</v>
      </c>
      <c r="AC314" s="2">
        <f>COUNTIF(Table1[default_flag],1)/ROWS(Table1[loan_id])</f>
        <v>2.5999999999999999E-2</v>
      </c>
      <c r="AD314" s="2">
        <f>COUNTIFS(Table1[region],Table1[[#This Row],[region]],Table1[default_flag],1)/COUNTIF(Table1[region],Table1[[#This Row],[region]])</f>
        <v>2.6548672566371681E-2</v>
      </c>
      <c r="AE314" s="2">
        <f>COUNTIFS(Table1[channel],Table1[[#This Row],[channel]],Table1[prepayment_flag],1)/COUNTIF(Table1[channel],Table1[[#This Row],[channel]])</f>
        <v>0.12</v>
      </c>
      <c r="AF314" s="2">
        <f>AVERAGEIFS(Table1[interest_rate_pct],Table1[product],Table1[[#This Row],[product]],Table1[risk_band],Table1[[#This Row],[risk_band]])</f>
        <v>13.406874999999999</v>
      </c>
      <c r="AG314" s="2" t="str" cm="1">
        <f t="array" ref="AG314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314" s="2">
        <f>COUNTIF(Table1[DTI band],Table1[[#This Row],[DTI band]])</f>
        <v>260</v>
      </c>
      <c r="AI314" s="2" t="str" cm="1">
        <f t="array" ref="AI314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314" s="2">
        <f>COUNTIF(Table1[LTV band],Table1[[#This Row],[LTV band]])</f>
        <v>141</v>
      </c>
      <c r="AK314" s="19">
        <f>COUNTIFS(Table1[count_loan_perband],Table1[[#This Row],[count_loan_perband]],Table1[default_flag],1)/COUNTIF(Table1[count_loan_perband],Table1[[#This Row],[count_loan_perband]])</f>
        <v>1.4184397163120567E-2</v>
      </c>
      <c r="AL314" s="19" t="str" cm="1">
        <f t="array" ref="AL314">_xlfn.IFS(Table1[[#This Row],[loan_amount]] &lt; 900000, "lower size (&lt; 9L)", Table1[[#This Row],[loan_amount]] &lt;=3300000, "medium size (&lt;=33L)", Table1[[#This Row],[loan_amount]] &gt; 3300000, "larger size (&gt; 33L)")</f>
        <v>larger size (&gt; 33L)</v>
      </c>
      <c r="AM314" s="19">
        <f>IF(Table1[[#This Row],[dpd]] &gt;=30,1,0)</f>
        <v>0</v>
      </c>
      <c r="AN314" s="19">
        <f>COUNTIFS(Table1[Loan size],Table1[[#This Row],[Loan size]],Table1[dpd flag],1)/COUNTIF(Table1[Loan size],Table1[[#This Row],[Loan size]])</f>
        <v>0.16250000000000001</v>
      </c>
      <c r="AO314" s="19" t="str">
        <f>IF(OR(Table1[[#This Row],[credit_score]] &lt; 600, Table1[ [#This Row],[dti_ratio] ] &gt; 0.5, Table1[[#This Row],[dpd]] &gt;=30), "high risk", " not riskY")</f>
        <v xml:space="preserve"> not riskY</v>
      </c>
      <c r="AP314" s="29">
        <f>EOMONTH(Table1[[#This Row],[origination_date]],0)</f>
        <v>45138</v>
      </c>
      <c r="AQ314" s="19">
        <f>SUMIFS(Table1[loan_amount],Table1[origination month],Table1[[#This Row],[origination month]])</f>
        <v>25129700</v>
      </c>
      <c r="AR314" s="19">
        <f>AVERAGEIFS(Table1[months_on_book],Table1[product],Table1[[#This Row],[product]])</f>
        <v>20.516129032258064</v>
      </c>
      <c r="AS314" s="19" t="str">
        <f ca="1">IF(EDATE(Table1[[#This Row],[origination_date]],6) &gt;= TODAY(), "New Loan", "Old Loan")</f>
        <v>Old Loan</v>
      </c>
      <c r="AT314" s="19" t="str">
        <f>"Q"&amp;ROUNDUP(MONTH(Table1[[#This Row],[origination_date]])/3,0)&amp;YEAR(Table1[[#This Row],[origination_date]])</f>
        <v>Q32023</v>
      </c>
      <c r="AU314" s="19">
        <f>SUMIFS(Table1[loan_amount],Table1[quarter],Table1[[#This Row],[quarter]])</f>
        <v>77300600</v>
      </c>
    </row>
    <row r="315" spans="2:47" x14ac:dyDescent="0.2">
      <c r="B315" s="5" t="s">
        <v>203</v>
      </c>
      <c r="C315" s="2" t="s">
        <v>703</v>
      </c>
      <c r="D315" s="3">
        <v>45163</v>
      </c>
      <c r="E315" s="2" t="s">
        <v>1024</v>
      </c>
      <c r="F315" s="2" t="s">
        <v>1030</v>
      </c>
      <c r="G315" s="2" t="s">
        <v>1033</v>
      </c>
      <c r="H315" s="2" t="s">
        <v>1038</v>
      </c>
      <c r="I315" s="2">
        <v>18</v>
      </c>
      <c r="J315" s="2">
        <v>1498100</v>
      </c>
      <c r="K315" s="2">
        <v>14.08</v>
      </c>
      <c r="L315" s="2">
        <v>92811</v>
      </c>
      <c r="M315" s="2">
        <v>1172954</v>
      </c>
      <c r="N315" s="2">
        <v>646</v>
      </c>
      <c r="O315" s="2" t="s">
        <v>1045</v>
      </c>
      <c r="P315" s="2">
        <v>0.34</v>
      </c>
      <c r="Q315" s="2">
        <v>0.67</v>
      </c>
      <c r="R315" s="2">
        <v>2237500</v>
      </c>
      <c r="S315" s="2">
        <v>18</v>
      </c>
      <c r="T315" s="2">
        <v>1427386</v>
      </c>
      <c r="U315" s="2">
        <v>197273</v>
      </c>
      <c r="V315" s="2">
        <v>0</v>
      </c>
      <c r="W315" s="2">
        <v>0</v>
      </c>
      <c r="X315" s="2">
        <v>0</v>
      </c>
      <c r="Y315" s="2" t="s">
        <v>1047</v>
      </c>
      <c r="Z315" s="12">
        <f>SUMIF(Table1[product],Table1[[#This Row],[product]],Table1[loan_amount])</f>
        <v>92273000</v>
      </c>
      <c r="AA315" s="15">
        <f>SUMIF(Table1[region],Table1[[#This Row],[region]],Table1[current_balance])</f>
        <v>83297251</v>
      </c>
      <c r="AB315" s="2">
        <f>COUNTIF(Table1[loan_status],Table1[[#This Row],[loan_status]])</f>
        <v>139</v>
      </c>
      <c r="AC315" s="2">
        <f>COUNTIF(Table1[default_flag],1)/ROWS(Table1[loan_id])</f>
        <v>2.5999999999999999E-2</v>
      </c>
      <c r="AD315" s="2">
        <f>COUNTIFS(Table1[region],Table1[[#This Row],[region]],Table1[default_flag],1)/COUNTIF(Table1[region],Table1[[#This Row],[region]])</f>
        <v>3.1914893617021274E-2</v>
      </c>
      <c r="AE315" s="2">
        <f>COUNTIFS(Table1[channel],Table1[[#This Row],[channel]],Table1[prepayment_flag],1)/COUNTIF(Table1[channel],Table1[[#This Row],[channel]])</f>
        <v>5.8201058201058198E-2</v>
      </c>
      <c r="AF315" s="2">
        <f>AVERAGEIFS(Table1[interest_rate_pct],Table1[product],Table1[[#This Row],[product]],Table1[risk_band],Table1[[#This Row],[risk_band]])</f>
        <v>15.092000000000001</v>
      </c>
      <c r="AG315" s="2" t="str" cm="1">
        <f t="array" ref="AG315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315" s="2">
        <f>COUNTIF(Table1[DTI band],Table1[[#This Row],[DTI band]])</f>
        <v>260</v>
      </c>
      <c r="AI315" s="2" t="str" cm="1">
        <f t="array" ref="AI315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315" s="2">
        <f>COUNTIF(Table1[LTV band],Table1[[#This Row],[LTV band]])</f>
        <v>302</v>
      </c>
      <c r="AK315" s="19">
        <f>COUNTIFS(Table1[count_loan_perband],Table1[[#This Row],[count_loan_perband]],Table1[default_flag],1)/COUNTIF(Table1[count_loan_perband],Table1[[#This Row],[count_loan_perband]])</f>
        <v>3.6423841059602648E-2</v>
      </c>
      <c r="AL315" s="19" t="str" cm="1">
        <f t="array" ref="AL315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315" s="19">
        <f>IF(Table1[[#This Row],[dpd]] &gt;=30,1,0)</f>
        <v>0</v>
      </c>
      <c r="AN315" s="19">
        <f>COUNTIFS(Table1[Loan size],Table1[[#This Row],[Loan size]],Table1[dpd flag],1)/COUNTIF(Table1[Loan size],Table1[[#This Row],[Loan size]])</f>
        <v>0.15909090909090909</v>
      </c>
      <c r="AO315" s="19" t="str">
        <f>IF(OR(Table1[[#This Row],[credit_score]] &lt; 600, Table1[ [#This Row],[dti_ratio] ] &gt; 0.5, Table1[[#This Row],[dpd]] &gt;=30), "high risk", " not riskY")</f>
        <v xml:space="preserve"> not riskY</v>
      </c>
      <c r="AP315" s="29">
        <f>EOMONTH(Table1[[#This Row],[origination_date]],0)</f>
        <v>45169</v>
      </c>
      <c r="AQ315" s="19">
        <f>SUMIFS(Table1[loan_amount],Table1[origination month],Table1[[#This Row],[origination month]])</f>
        <v>38355800</v>
      </c>
      <c r="AR315" s="19">
        <f>AVERAGEIFS(Table1[months_on_book],Table1[product],Table1[[#This Row],[product]])</f>
        <v>20.262135922330096</v>
      </c>
      <c r="AS315" s="19" t="str">
        <f ca="1">IF(EDATE(Table1[[#This Row],[origination_date]],6) &gt;= TODAY(), "New Loan", "Old Loan")</f>
        <v>Old Loan</v>
      </c>
      <c r="AT315" s="19" t="str">
        <f>"Q"&amp;ROUNDUP(MONTH(Table1[[#This Row],[origination_date]])/3,0)&amp;YEAR(Table1[[#This Row],[origination_date]])</f>
        <v>Q32023</v>
      </c>
      <c r="AU315" s="19">
        <f>SUMIFS(Table1[loan_amount],Table1[quarter],Table1[[#This Row],[quarter]])</f>
        <v>77300600</v>
      </c>
    </row>
    <row r="316" spans="2:47" x14ac:dyDescent="0.2">
      <c r="B316" s="5" t="s">
        <v>44</v>
      </c>
      <c r="C316" s="2" t="s">
        <v>544</v>
      </c>
      <c r="D316" s="3">
        <v>45148</v>
      </c>
      <c r="E316" s="2" t="s">
        <v>1026</v>
      </c>
      <c r="F316" s="2" t="s">
        <v>1029</v>
      </c>
      <c r="G316" s="2" t="s">
        <v>1035</v>
      </c>
      <c r="H316" s="2" t="s">
        <v>1039</v>
      </c>
      <c r="I316" s="2">
        <v>36</v>
      </c>
      <c r="J316" s="2">
        <v>384100</v>
      </c>
      <c r="K316" s="2">
        <v>18.38</v>
      </c>
      <c r="L316" s="2">
        <v>13959</v>
      </c>
      <c r="M316" s="2">
        <v>759561</v>
      </c>
      <c r="N316" s="2">
        <v>672</v>
      </c>
      <c r="O316" s="2" t="s">
        <v>1042</v>
      </c>
      <c r="P316" s="2">
        <v>0.33</v>
      </c>
      <c r="Q316" s="2">
        <v>0.56000000000000005</v>
      </c>
      <c r="R316" s="2">
        <v>0</v>
      </c>
      <c r="S316" s="2">
        <v>28</v>
      </c>
      <c r="T316" s="2">
        <v>394964</v>
      </c>
      <c r="U316" s="2">
        <v>55027</v>
      </c>
      <c r="V316" s="2">
        <v>0</v>
      </c>
      <c r="W316" s="2">
        <v>0</v>
      </c>
      <c r="X316" s="2">
        <v>0</v>
      </c>
      <c r="Y316" s="2" t="s">
        <v>1049</v>
      </c>
      <c r="Z316" s="12">
        <f>SUMIF(Table1[product],Table1[[#This Row],[product]],Table1[loan_amount])</f>
        <v>74897600</v>
      </c>
      <c r="AA316" s="15">
        <f>SUMIF(Table1[region],Table1[[#This Row],[region]],Table1[current_balance])</f>
        <v>83903255</v>
      </c>
      <c r="AB316" s="2">
        <f>COUNTIF(Table1[loan_status],Table1[[#This Row],[loan_status]])</f>
        <v>301</v>
      </c>
      <c r="AC316" s="2">
        <f>COUNTIF(Table1[default_flag],1)/ROWS(Table1[loan_id])</f>
        <v>2.5999999999999999E-2</v>
      </c>
      <c r="AD316" s="2">
        <f>COUNTIFS(Table1[region],Table1[[#This Row],[region]],Table1[default_flag],1)/COUNTIF(Table1[region],Table1[[#This Row],[region]])</f>
        <v>4.2553191489361701E-2</v>
      </c>
      <c r="AE316" s="2">
        <f>COUNTIFS(Table1[channel],Table1[[#This Row],[channel]],Table1[prepayment_flag],1)/COUNTIF(Table1[channel],Table1[[#This Row],[channel]])</f>
        <v>7.1090047393364927E-2</v>
      </c>
      <c r="AF316" s="2">
        <f>AVERAGEIFS(Table1[interest_rate_pct],Table1[product],Table1[[#This Row],[product]],Table1[risk_band],Table1[[#This Row],[risk_band]])</f>
        <v>18.603181818181817</v>
      </c>
      <c r="AG316" s="2" t="str" cm="1">
        <f t="array" ref="AG316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316" s="2">
        <f>COUNTIF(Table1[DTI band],Table1[[#This Row],[DTI band]])</f>
        <v>260</v>
      </c>
      <c r="AI316" s="2" t="str" cm="1">
        <f t="array" ref="AI316">_xlfn.IFS(Table1[[#This Row],[ltv_ratio]] &lt; 0.6, "less than 0.6 -less risky", Table1[[#This Row],[ltv_ratio]]  &lt;= 0.8, "0.6 - 0.8 -medium risky",Table1[[#This Row],[ltv_ratio]] &gt; 0.8, "greater than 0.8 -highly risky")</f>
        <v>less than 0.6 -less risky</v>
      </c>
      <c r="AJ316" s="2">
        <f>COUNTIF(Table1[LTV band],Table1[[#This Row],[LTV band]])</f>
        <v>57</v>
      </c>
      <c r="AK316" s="19">
        <f>COUNTIFS(Table1[count_loan_perband],Table1[[#This Row],[count_loan_perband]],Table1[default_flag],1)/COUNTIF(Table1[count_loan_perband],Table1[[#This Row],[count_loan_perband]])</f>
        <v>0</v>
      </c>
      <c r="AL316" s="19" t="str" cm="1">
        <f t="array" ref="AL316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316" s="19">
        <f>IF(Table1[[#This Row],[dpd]] &gt;=30,1,0)</f>
        <v>0</v>
      </c>
      <c r="AN316" s="19">
        <f>COUNTIFS(Table1[Loan size],Table1[[#This Row],[Loan size]],Table1[dpd flag],1)/COUNTIF(Table1[Loan size],Table1[[#This Row],[Loan size]])</f>
        <v>0.13934426229508196</v>
      </c>
      <c r="AO316" s="19" t="str">
        <f>IF(OR(Table1[[#This Row],[credit_score]] &lt; 600, Table1[ [#This Row],[dti_ratio] ] &gt; 0.5, Table1[[#This Row],[dpd]] &gt;=30), "high risk", " not riskY")</f>
        <v xml:space="preserve"> not riskY</v>
      </c>
      <c r="AP316" s="29">
        <f>EOMONTH(Table1[[#This Row],[origination_date]],0)</f>
        <v>45169</v>
      </c>
      <c r="AQ316" s="19">
        <f>SUMIFS(Table1[loan_amount],Table1[origination month],Table1[[#This Row],[origination month]])</f>
        <v>38355800</v>
      </c>
      <c r="AR316" s="19">
        <f>AVERAGEIFS(Table1[months_on_book],Table1[product],Table1[[#This Row],[product]])</f>
        <v>21.092024539877301</v>
      </c>
      <c r="AS316" s="19" t="str">
        <f ca="1">IF(EDATE(Table1[[#This Row],[origination_date]],6) &gt;= TODAY(), "New Loan", "Old Loan")</f>
        <v>Old Loan</v>
      </c>
      <c r="AT316" s="19" t="str">
        <f>"Q"&amp;ROUNDUP(MONTH(Table1[[#This Row],[origination_date]])/3,0)&amp;YEAR(Table1[[#This Row],[origination_date]])</f>
        <v>Q32023</v>
      </c>
      <c r="AU316" s="19">
        <f>SUMIFS(Table1[loan_amount],Table1[quarter],Table1[[#This Row],[quarter]])</f>
        <v>77300600</v>
      </c>
    </row>
    <row r="317" spans="2:47" x14ac:dyDescent="0.2">
      <c r="B317" s="5" t="s">
        <v>355</v>
      </c>
      <c r="C317" s="2" t="s">
        <v>855</v>
      </c>
      <c r="D317" s="3">
        <v>45111</v>
      </c>
      <c r="E317" s="2" t="s">
        <v>1027</v>
      </c>
      <c r="F317" s="2" t="s">
        <v>1030</v>
      </c>
      <c r="G317" s="2" t="s">
        <v>1037</v>
      </c>
      <c r="H317" s="2" t="s">
        <v>1038</v>
      </c>
      <c r="I317" s="2">
        <v>360</v>
      </c>
      <c r="J317" s="2">
        <v>4098600</v>
      </c>
      <c r="K317" s="2">
        <v>13.15</v>
      </c>
      <c r="L317" s="2">
        <v>45820</v>
      </c>
      <c r="M317" s="2">
        <v>459205</v>
      </c>
      <c r="N317" s="2">
        <v>608</v>
      </c>
      <c r="O317" s="2" t="s">
        <v>1045</v>
      </c>
      <c r="P317" s="2">
        <v>0.33</v>
      </c>
      <c r="Q317" s="2">
        <v>0.91</v>
      </c>
      <c r="R317" s="2">
        <v>4502800</v>
      </c>
      <c r="S317" s="2">
        <v>29</v>
      </c>
      <c r="T317" s="2">
        <v>1143870</v>
      </c>
      <c r="U317" s="2">
        <v>3475730</v>
      </c>
      <c r="V317" s="2">
        <v>0</v>
      </c>
      <c r="W317" s="2">
        <v>0</v>
      </c>
      <c r="X317" s="2">
        <v>0</v>
      </c>
      <c r="Y317" s="2" t="s">
        <v>1049</v>
      </c>
      <c r="Z317" s="12">
        <f>SUMIF(Table1[product],Table1[[#This Row],[product]],Table1[loan_amount])</f>
        <v>403369500</v>
      </c>
      <c r="AA317" s="15">
        <f>SUMIF(Table1[region],Table1[[#This Row],[region]],Table1[current_balance])</f>
        <v>94548000</v>
      </c>
      <c r="AB317" s="2">
        <f>COUNTIF(Table1[loan_status],Table1[[#This Row],[loan_status]])</f>
        <v>301</v>
      </c>
      <c r="AC317" s="2">
        <f>COUNTIF(Table1[default_flag],1)/ROWS(Table1[loan_id])</f>
        <v>2.5999999999999999E-2</v>
      </c>
      <c r="AD317" s="2">
        <f>COUNTIFS(Table1[region],Table1[[#This Row],[region]],Table1[default_flag],1)/COUNTIF(Table1[region],Table1[[#This Row],[region]])</f>
        <v>0</v>
      </c>
      <c r="AE317" s="2">
        <f>COUNTIFS(Table1[channel],Table1[[#This Row],[channel]],Table1[prepayment_flag],1)/COUNTIF(Table1[channel],Table1[[#This Row],[channel]])</f>
        <v>5.8201058201058198E-2</v>
      </c>
      <c r="AF317" s="2">
        <f>AVERAGEIFS(Table1[interest_rate_pct],Table1[product],Table1[[#This Row],[product]],Table1[risk_band],Table1[[#This Row],[risk_band]])</f>
        <v>13.406874999999999</v>
      </c>
      <c r="AG317" s="2" t="str" cm="1">
        <f t="array" ref="AG317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317" s="2">
        <f>COUNTIF(Table1[DTI band],Table1[[#This Row],[DTI band]])</f>
        <v>260</v>
      </c>
      <c r="AI317" s="2" t="str" cm="1">
        <f t="array" ref="AI317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317" s="2">
        <f>COUNTIF(Table1[LTV band],Table1[[#This Row],[LTV band]])</f>
        <v>141</v>
      </c>
      <c r="AK317" s="19">
        <f>COUNTIFS(Table1[count_loan_perband],Table1[[#This Row],[count_loan_perband]],Table1[default_flag],1)/COUNTIF(Table1[count_loan_perband],Table1[[#This Row],[count_loan_perband]])</f>
        <v>1.4184397163120567E-2</v>
      </c>
      <c r="AL317" s="19" t="str" cm="1">
        <f t="array" ref="AL317">_xlfn.IFS(Table1[[#This Row],[loan_amount]] &lt; 900000, "lower size (&lt; 9L)", Table1[[#This Row],[loan_amount]] &lt;=3300000, "medium size (&lt;=33L)", Table1[[#This Row],[loan_amount]] &gt; 3300000, "larger size (&gt; 33L)")</f>
        <v>larger size (&gt; 33L)</v>
      </c>
      <c r="AM317" s="19">
        <f>IF(Table1[[#This Row],[dpd]] &gt;=30,1,0)</f>
        <v>0</v>
      </c>
      <c r="AN317" s="19">
        <f>COUNTIFS(Table1[Loan size],Table1[[#This Row],[Loan size]],Table1[dpd flag],1)/COUNTIF(Table1[Loan size],Table1[[#This Row],[Loan size]])</f>
        <v>0.16250000000000001</v>
      </c>
      <c r="AO317" s="19" t="str">
        <f>IF(OR(Table1[[#This Row],[credit_score]] &lt; 600, Table1[ [#This Row],[dti_ratio] ] &gt; 0.5, Table1[[#This Row],[dpd]] &gt;=30), "high risk", " not riskY")</f>
        <v xml:space="preserve"> not riskY</v>
      </c>
      <c r="AP317" s="29">
        <f>EOMONTH(Table1[[#This Row],[origination_date]],0)</f>
        <v>45138</v>
      </c>
      <c r="AQ317" s="19">
        <f>SUMIFS(Table1[loan_amount],Table1[origination month],Table1[[#This Row],[origination month]])</f>
        <v>25129700</v>
      </c>
      <c r="AR317" s="19">
        <f>AVERAGEIFS(Table1[months_on_book],Table1[product],Table1[[#This Row],[product]])</f>
        <v>20.516129032258064</v>
      </c>
      <c r="AS317" s="19" t="str">
        <f ca="1">IF(EDATE(Table1[[#This Row],[origination_date]],6) &gt;= TODAY(), "New Loan", "Old Loan")</f>
        <v>Old Loan</v>
      </c>
      <c r="AT317" s="19" t="str">
        <f>"Q"&amp;ROUNDUP(MONTH(Table1[[#This Row],[origination_date]])/3,0)&amp;YEAR(Table1[[#This Row],[origination_date]])</f>
        <v>Q32023</v>
      </c>
      <c r="AU317" s="19">
        <f>SUMIFS(Table1[loan_amount],Table1[quarter],Table1[[#This Row],[quarter]])</f>
        <v>77300600</v>
      </c>
    </row>
    <row r="318" spans="2:47" x14ac:dyDescent="0.2">
      <c r="B318" s="5" t="s">
        <v>99</v>
      </c>
      <c r="C318" s="2" t="s">
        <v>599</v>
      </c>
      <c r="D318" s="3">
        <v>45155</v>
      </c>
      <c r="E318" s="2" t="s">
        <v>1025</v>
      </c>
      <c r="F318" s="2" t="s">
        <v>1031</v>
      </c>
      <c r="G318" s="2" t="s">
        <v>1037</v>
      </c>
      <c r="H318" s="2" t="s">
        <v>1038</v>
      </c>
      <c r="I318" s="2">
        <v>360</v>
      </c>
      <c r="J318" s="2">
        <v>2264100</v>
      </c>
      <c r="K318" s="2">
        <v>18.87</v>
      </c>
      <c r="L318" s="2">
        <v>35733</v>
      </c>
      <c r="M318" s="2">
        <v>333325</v>
      </c>
      <c r="N318" s="2">
        <v>599</v>
      </c>
      <c r="O318" s="2" t="s">
        <v>1046</v>
      </c>
      <c r="P318" s="2">
        <v>0.3</v>
      </c>
      <c r="Q318" s="2">
        <v>0.8</v>
      </c>
      <c r="R318" s="2">
        <v>2820600</v>
      </c>
      <c r="S318" s="2">
        <v>28</v>
      </c>
      <c r="T318" s="2">
        <v>886984</v>
      </c>
      <c r="U318" s="2">
        <v>1775869</v>
      </c>
      <c r="V318" s="2">
        <v>45</v>
      </c>
      <c r="W318" s="2">
        <v>0</v>
      </c>
      <c r="X318" s="2">
        <v>0</v>
      </c>
      <c r="Y318" s="2" t="s">
        <v>1048</v>
      </c>
      <c r="Z318" s="12">
        <f>SUMIF(Table1[product],Table1[[#This Row],[product]],Table1[loan_amount])</f>
        <v>201475100</v>
      </c>
      <c r="AA318" s="15">
        <f>SUMIF(Table1[region],Table1[[#This Row],[region]],Table1[current_balance])</f>
        <v>94548000</v>
      </c>
      <c r="AB318" s="2">
        <f>COUNTIF(Table1[loan_status],Table1[[#This Row],[loan_status]])</f>
        <v>47</v>
      </c>
      <c r="AC318" s="2">
        <f>COUNTIF(Table1[default_flag],1)/ROWS(Table1[loan_id])</f>
        <v>2.5999999999999999E-2</v>
      </c>
      <c r="AD318" s="2">
        <f>COUNTIFS(Table1[region],Table1[[#This Row],[region]],Table1[default_flag],1)/COUNTIF(Table1[region],Table1[[#This Row],[region]])</f>
        <v>0</v>
      </c>
      <c r="AE318" s="2">
        <f>COUNTIFS(Table1[channel],Table1[[#This Row],[channel]],Table1[prepayment_flag],1)/COUNTIF(Table1[channel],Table1[[#This Row],[channel]])</f>
        <v>0.12</v>
      </c>
      <c r="AF318" s="2">
        <f>AVERAGEIFS(Table1[interest_rate_pct],Table1[product],Table1[[#This Row],[product]],Table1[risk_band],Table1[[#This Row],[risk_band]])</f>
        <v>20.521428571428572</v>
      </c>
      <c r="AG318" s="2" t="str" cm="1">
        <f t="array" ref="AG318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318" s="2">
        <f>COUNTIF(Table1[DTI band],Table1[[#This Row],[DTI band]])</f>
        <v>260</v>
      </c>
      <c r="AI318" s="2" t="str" cm="1">
        <f t="array" ref="AI318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318" s="2">
        <f>COUNTIF(Table1[LTV band],Table1[[#This Row],[LTV band]])</f>
        <v>302</v>
      </c>
      <c r="AK318" s="19">
        <f>COUNTIFS(Table1[count_loan_perband],Table1[[#This Row],[count_loan_perband]],Table1[default_flag],1)/COUNTIF(Table1[count_loan_perband],Table1[[#This Row],[count_loan_perband]])</f>
        <v>3.6423841059602648E-2</v>
      </c>
      <c r="AL318" s="19" t="str" cm="1">
        <f t="array" ref="AL318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318" s="19">
        <f>IF(Table1[[#This Row],[dpd]] &gt;=30,1,0)</f>
        <v>1</v>
      </c>
      <c r="AN318" s="19">
        <f>COUNTIFS(Table1[Loan size],Table1[[#This Row],[Loan size]],Table1[dpd flag],1)/COUNTIF(Table1[Loan size],Table1[[#This Row],[Loan size]])</f>
        <v>0.15909090909090909</v>
      </c>
      <c r="AO318" s="19" t="str">
        <f>IF(OR(Table1[[#This Row],[credit_score]] &lt; 600, Table1[ [#This Row],[dti_ratio] ] &gt; 0.5, Table1[[#This Row],[dpd]] &gt;=30), "high risk", " not riskY")</f>
        <v>high risk</v>
      </c>
      <c r="AP318" s="29">
        <f>EOMONTH(Table1[[#This Row],[origination_date]],0)</f>
        <v>45169</v>
      </c>
      <c r="AQ318" s="19">
        <f>SUMIFS(Table1[loan_amount],Table1[origination month],Table1[[#This Row],[origination month]])</f>
        <v>38355800</v>
      </c>
      <c r="AR318" s="19">
        <f>AVERAGEIFS(Table1[months_on_book],Table1[product],Table1[[#This Row],[product]])</f>
        <v>19.091954022988507</v>
      </c>
      <c r="AS318" s="19" t="str">
        <f ca="1">IF(EDATE(Table1[[#This Row],[origination_date]],6) &gt;= TODAY(), "New Loan", "Old Loan")</f>
        <v>Old Loan</v>
      </c>
      <c r="AT318" s="19" t="str">
        <f>"Q"&amp;ROUNDUP(MONTH(Table1[[#This Row],[origination_date]])/3,0)&amp;YEAR(Table1[[#This Row],[origination_date]])</f>
        <v>Q32023</v>
      </c>
      <c r="AU318" s="19">
        <f>SUMIFS(Table1[loan_amount],Table1[quarter],Table1[[#This Row],[quarter]])</f>
        <v>77300600</v>
      </c>
    </row>
    <row r="319" spans="2:47" x14ac:dyDescent="0.2">
      <c r="B319" s="5" t="s">
        <v>119</v>
      </c>
      <c r="C319" s="2" t="s">
        <v>619</v>
      </c>
      <c r="D319" s="3">
        <v>45123</v>
      </c>
      <c r="E319" s="2" t="s">
        <v>1026</v>
      </c>
      <c r="F319" s="2" t="s">
        <v>1030</v>
      </c>
      <c r="G319" s="2" t="s">
        <v>1035</v>
      </c>
      <c r="H319" s="2" t="s">
        <v>1038</v>
      </c>
      <c r="I319" s="2">
        <v>24</v>
      </c>
      <c r="J319" s="2">
        <v>946800</v>
      </c>
      <c r="K319" s="2">
        <v>16.190000000000001</v>
      </c>
      <c r="L319" s="2">
        <v>46444</v>
      </c>
      <c r="M319" s="2">
        <v>1136462</v>
      </c>
      <c r="N319" s="2">
        <v>730</v>
      </c>
      <c r="O319" s="2" t="s">
        <v>1044</v>
      </c>
      <c r="P319" s="2">
        <v>0.3</v>
      </c>
      <c r="Q319" s="2">
        <v>0.8</v>
      </c>
      <c r="R319" s="2">
        <v>0</v>
      </c>
      <c r="S319" s="2">
        <v>24</v>
      </c>
      <c r="T319" s="2">
        <v>1117277</v>
      </c>
      <c r="U319" s="2">
        <v>0</v>
      </c>
      <c r="V319" s="2">
        <v>0</v>
      </c>
      <c r="W319" s="2">
        <v>0</v>
      </c>
      <c r="X319" s="2">
        <v>0</v>
      </c>
      <c r="Y319" s="2" t="s">
        <v>1047</v>
      </c>
      <c r="Z319" s="12">
        <f>SUMIF(Table1[product],Table1[[#This Row],[product]],Table1[loan_amount])</f>
        <v>74897600</v>
      </c>
      <c r="AA319" s="15">
        <f>SUMIF(Table1[region],Table1[[#This Row],[region]],Table1[current_balance])</f>
        <v>83903255</v>
      </c>
      <c r="AB319" s="2">
        <f>COUNTIF(Table1[loan_status],Table1[[#This Row],[loan_status]])</f>
        <v>139</v>
      </c>
      <c r="AC319" s="2">
        <f>COUNTIF(Table1[default_flag],1)/ROWS(Table1[loan_id])</f>
        <v>2.5999999999999999E-2</v>
      </c>
      <c r="AD319" s="2">
        <f>COUNTIFS(Table1[region],Table1[[#This Row],[region]],Table1[default_flag],1)/COUNTIF(Table1[region],Table1[[#This Row],[region]])</f>
        <v>4.2553191489361701E-2</v>
      </c>
      <c r="AE319" s="2">
        <f>COUNTIFS(Table1[channel],Table1[[#This Row],[channel]],Table1[prepayment_flag],1)/COUNTIF(Table1[channel],Table1[[#This Row],[channel]])</f>
        <v>5.8201058201058198E-2</v>
      </c>
      <c r="AF319" s="2">
        <f>AVERAGEIFS(Table1[interest_rate_pct],Table1[product],Table1[[#This Row],[product]],Table1[risk_band],Table1[[#This Row],[risk_band]])</f>
        <v>16.500166666666669</v>
      </c>
      <c r="AG319" s="2" t="str" cm="1">
        <f t="array" ref="AG319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319" s="2">
        <f>COUNTIF(Table1[DTI band],Table1[[#This Row],[DTI band]])</f>
        <v>260</v>
      </c>
      <c r="AI319" s="2" t="str" cm="1">
        <f t="array" ref="AI319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319" s="2">
        <f>COUNTIF(Table1[LTV band],Table1[[#This Row],[LTV band]])</f>
        <v>302</v>
      </c>
      <c r="AK319" s="19">
        <f>COUNTIFS(Table1[count_loan_perband],Table1[[#This Row],[count_loan_perband]],Table1[default_flag],1)/COUNTIF(Table1[count_loan_perband],Table1[[#This Row],[count_loan_perband]])</f>
        <v>3.6423841059602648E-2</v>
      </c>
      <c r="AL319" s="19" t="str" cm="1">
        <f t="array" ref="AL319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319" s="19">
        <f>IF(Table1[[#This Row],[dpd]] &gt;=30,1,0)</f>
        <v>0</v>
      </c>
      <c r="AN319" s="19">
        <f>COUNTIFS(Table1[Loan size],Table1[[#This Row],[Loan size]],Table1[dpd flag],1)/COUNTIF(Table1[Loan size],Table1[[#This Row],[Loan size]])</f>
        <v>0.15909090909090909</v>
      </c>
      <c r="AO319" s="19" t="str">
        <f>IF(OR(Table1[[#This Row],[credit_score]] &lt; 600, Table1[ [#This Row],[dti_ratio] ] &gt; 0.5, Table1[[#This Row],[dpd]] &gt;=30), "high risk", " not riskY")</f>
        <v xml:space="preserve"> not riskY</v>
      </c>
      <c r="AP319" s="29">
        <f>EOMONTH(Table1[[#This Row],[origination_date]],0)</f>
        <v>45138</v>
      </c>
      <c r="AQ319" s="19">
        <f>SUMIFS(Table1[loan_amount],Table1[origination month],Table1[[#This Row],[origination month]])</f>
        <v>25129700</v>
      </c>
      <c r="AR319" s="19">
        <f>AVERAGEIFS(Table1[months_on_book],Table1[product],Table1[[#This Row],[product]])</f>
        <v>21.092024539877301</v>
      </c>
      <c r="AS319" s="19" t="str">
        <f ca="1">IF(EDATE(Table1[[#This Row],[origination_date]],6) &gt;= TODAY(), "New Loan", "Old Loan")</f>
        <v>Old Loan</v>
      </c>
      <c r="AT319" s="19" t="str">
        <f>"Q"&amp;ROUNDUP(MONTH(Table1[[#This Row],[origination_date]])/3,0)&amp;YEAR(Table1[[#This Row],[origination_date]])</f>
        <v>Q32023</v>
      </c>
      <c r="AU319" s="19">
        <f>SUMIFS(Table1[loan_amount],Table1[quarter],Table1[[#This Row],[quarter]])</f>
        <v>77300600</v>
      </c>
    </row>
    <row r="320" spans="2:47" x14ac:dyDescent="0.2">
      <c r="B320" s="5" t="s">
        <v>330</v>
      </c>
      <c r="C320" s="2" t="s">
        <v>830</v>
      </c>
      <c r="D320" s="3">
        <v>45197</v>
      </c>
      <c r="E320" s="2" t="s">
        <v>1026</v>
      </c>
      <c r="F320" s="2" t="s">
        <v>1030</v>
      </c>
      <c r="G320" s="2" t="s">
        <v>1034</v>
      </c>
      <c r="H320" s="2" t="s">
        <v>1038</v>
      </c>
      <c r="I320" s="2">
        <v>72</v>
      </c>
      <c r="J320" s="2">
        <v>359900</v>
      </c>
      <c r="K320" s="2">
        <v>17.350000000000001</v>
      </c>
      <c r="L320" s="2">
        <v>8077</v>
      </c>
      <c r="M320" s="2">
        <v>1040108</v>
      </c>
      <c r="N320" s="2">
        <v>721</v>
      </c>
      <c r="O320" s="2" t="s">
        <v>1044</v>
      </c>
      <c r="P320" s="2">
        <v>0.3</v>
      </c>
      <c r="Q320" s="2">
        <v>0.74</v>
      </c>
      <c r="R320" s="2">
        <v>0</v>
      </c>
      <c r="S320" s="2">
        <v>27</v>
      </c>
      <c r="T320" s="2">
        <v>189191</v>
      </c>
      <c r="U320" s="2">
        <v>226907</v>
      </c>
      <c r="V320" s="2">
        <v>0</v>
      </c>
      <c r="W320" s="2">
        <v>0</v>
      </c>
      <c r="X320" s="2">
        <v>0</v>
      </c>
      <c r="Y320" s="2" t="s">
        <v>1049</v>
      </c>
      <c r="Z320" s="12">
        <f>SUMIF(Table1[product],Table1[[#This Row],[product]],Table1[loan_amount])</f>
        <v>74897600</v>
      </c>
      <c r="AA320" s="15">
        <f>SUMIF(Table1[region],Table1[[#This Row],[region]],Table1[current_balance])</f>
        <v>105779369</v>
      </c>
      <c r="AB320" s="2">
        <f>COUNTIF(Table1[loan_status],Table1[[#This Row],[loan_status]])</f>
        <v>301</v>
      </c>
      <c r="AC320" s="2">
        <f>COUNTIF(Table1[default_flag],1)/ROWS(Table1[loan_id])</f>
        <v>2.5999999999999999E-2</v>
      </c>
      <c r="AD320" s="2">
        <f>COUNTIFS(Table1[region],Table1[[#This Row],[region]],Table1[default_flag],1)/COUNTIF(Table1[region],Table1[[#This Row],[region]])</f>
        <v>2.6548672566371681E-2</v>
      </c>
      <c r="AE320" s="2">
        <f>COUNTIFS(Table1[channel],Table1[[#This Row],[channel]],Table1[prepayment_flag],1)/COUNTIF(Table1[channel],Table1[[#This Row],[channel]])</f>
        <v>5.8201058201058198E-2</v>
      </c>
      <c r="AF320" s="2">
        <f>AVERAGEIFS(Table1[interest_rate_pct],Table1[product],Table1[[#This Row],[product]],Table1[risk_band],Table1[[#This Row],[risk_band]])</f>
        <v>16.500166666666669</v>
      </c>
      <c r="AG320" s="2" t="str" cm="1">
        <f t="array" ref="AG320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320" s="2">
        <f>COUNTIF(Table1[DTI band],Table1[[#This Row],[DTI band]])</f>
        <v>260</v>
      </c>
      <c r="AI320" s="2" t="str" cm="1">
        <f t="array" ref="AI320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320" s="2">
        <f>COUNTIF(Table1[LTV band],Table1[[#This Row],[LTV band]])</f>
        <v>302</v>
      </c>
      <c r="AK320" s="19">
        <f>COUNTIFS(Table1[count_loan_perband],Table1[[#This Row],[count_loan_perband]],Table1[default_flag],1)/COUNTIF(Table1[count_loan_perband],Table1[[#This Row],[count_loan_perband]])</f>
        <v>3.6423841059602648E-2</v>
      </c>
      <c r="AL320" s="19" t="str" cm="1">
        <f t="array" ref="AL320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320" s="19">
        <f>IF(Table1[[#This Row],[dpd]] &gt;=30,1,0)</f>
        <v>0</v>
      </c>
      <c r="AN320" s="19">
        <f>COUNTIFS(Table1[Loan size],Table1[[#This Row],[Loan size]],Table1[dpd flag],1)/COUNTIF(Table1[Loan size],Table1[[#This Row],[Loan size]])</f>
        <v>0.13934426229508196</v>
      </c>
      <c r="AO320" s="19" t="str">
        <f>IF(OR(Table1[[#This Row],[credit_score]] &lt; 600, Table1[ [#This Row],[dti_ratio] ] &gt; 0.5, Table1[[#This Row],[dpd]] &gt;=30), "high risk", " not riskY")</f>
        <v xml:space="preserve"> not riskY</v>
      </c>
      <c r="AP320" s="29">
        <f>EOMONTH(Table1[[#This Row],[origination_date]],0)</f>
        <v>45199</v>
      </c>
      <c r="AQ320" s="19">
        <f>SUMIFS(Table1[loan_amount],Table1[origination month],Table1[[#This Row],[origination month]])</f>
        <v>13815100</v>
      </c>
      <c r="AR320" s="19">
        <f>AVERAGEIFS(Table1[months_on_book],Table1[product],Table1[[#This Row],[product]])</f>
        <v>21.092024539877301</v>
      </c>
      <c r="AS320" s="19" t="str">
        <f ca="1">IF(EDATE(Table1[[#This Row],[origination_date]],6) &gt;= TODAY(), "New Loan", "Old Loan")</f>
        <v>Old Loan</v>
      </c>
      <c r="AT320" s="19" t="str">
        <f>"Q"&amp;ROUNDUP(MONTH(Table1[[#This Row],[origination_date]])/3,0)&amp;YEAR(Table1[[#This Row],[origination_date]])</f>
        <v>Q32023</v>
      </c>
      <c r="AU320" s="19">
        <f>SUMIFS(Table1[loan_amount],Table1[quarter],Table1[[#This Row],[quarter]])</f>
        <v>77300600</v>
      </c>
    </row>
    <row r="321" spans="2:47" x14ac:dyDescent="0.2">
      <c r="B321" s="5" t="s">
        <v>352</v>
      </c>
      <c r="C321" s="2" t="s">
        <v>852</v>
      </c>
      <c r="D321" s="3">
        <v>45156</v>
      </c>
      <c r="E321" s="2" t="s">
        <v>1025</v>
      </c>
      <c r="F321" s="2" t="s">
        <v>1030</v>
      </c>
      <c r="G321" s="2" t="s">
        <v>1034</v>
      </c>
      <c r="H321" s="2" t="s">
        <v>1039</v>
      </c>
      <c r="I321" s="2">
        <v>240</v>
      </c>
      <c r="J321" s="2">
        <v>2492700</v>
      </c>
      <c r="K321" s="2">
        <v>16.45</v>
      </c>
      <c r="L321" s="2">
        <v>35524</v>
      </c>
      <c r="M321" s="2">
        <v>1299073</v>
      </c>
      <c r="N321" s="2">
        <v>656</v>
      </c>
      <c r="O321" s="2" t="s">
        <v>1042</v>
      </c>
      <c r="P321" s="2">
        <v>0.3</v>
      </c>
      <c r="Q321" s="2">
        <v>0.6</v>
      </c>
      <c r="R321" s="2">
        <v>4132900</v>
      </c>
      <c r="S321" s="2">
        <v>28</v>
      </c>
      <c r="T321" s="2">
        <v>955081</v>
      </c>
      <c r="U321" s="2">
        <v>1920332</v>
      </c>
      <c r="V321" s="2">
        <v>0</v>
      </c>
      <c r="W321" s="2">
        <v>0</v>
      </c>
      <c r="X321" s="2">
        <v>0</v>
      </c>
      <c r="Y321" s="2" t="s">
        <v>1049</v>
      </c>
      <c r="Z321" s="12">
        <f>SUMIF(Table1[product],Table1[[#This Row],[product]],Table1[loan_amount])</f>
        <v>201475100</v>
      </c>
      <c r="AA321" s="15">
        <f>SUMIF(Table1[region],Table1[[#This Row],[region]],Table1[current_balance])</f>
        <v>105779369</v>
      </c>
      <c r="AB321" s="2">
        <f>COUNTIF(Table1[loan_status],Table1[[#This Row],[loan_status]])</f>
        <v>301</v>
      </c>
      <c r="AC321" s="2">
        <f>COUNTIF(Table1[default_flag],1)/ROWS(Table1[loan_id])</f>
        <v>2.5999999999999999E-2</v>
      </c>
      <c r="AD321" s="2">
        <f>COUNTIFS(Table1[region],Table1[[#This Row],[region]],Table1[default_flag],1)/COUNTIF(Table1[region],Table1[[#This Row],[region]])</f>
        <v>2.6548672566371681E-2</v>
      </c>
      <c r="AE321" s="2">
        <f>COUNTIFS(Table1[channel],Table1[[#This Row],[channel]],Table1[prepayment_flag],1)/COUNTIF(Table1[channel],Table1[[#This Row],[channel]])</f>
        <v>5.8201058201058198E-2</v>
      </c>
      <c r="AF321" s="2">
        <f>AVERAGEIFS(Table1[interest_rate_pct],Table1[product],Table1[[#This Row],[product]],Table1[risk_band],Table1[[#This Row],[risk_band]])</f>
        <v>15.841379310344831</v>
      </c>
      <c r="AG321" s="2" t="str" cm="1">
        <f t="array" ref="AG321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321" s="2">
        <f>COUNTIF(Table1[DTI band],Table1[[#This Row],[DTI band]])</f>
        <v>260</v>
      </c>
      <c r="AI321" s="2" t="str" cm="1">
        <f t="array" ref="AI321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321" s="2">
        <f>COUNTIF(Table1[LTV band],Table1[[#This Row],[LTV band]])</f>
        <v>302</v>
      </c>
      <c r="AK321" s="19">
        <f>COUNTIFS(Table1[count_loan_perband],Table1[[#This Row],[count_loan_perband]],Table1[default_flag],1)/COUNTIF(Table1[count_loan_perband],Table1[[#This Row],[count_loan_perband]])</f>
        <v>3.6423841059602648E-2</v>
      </c>
      <c r="AL321" s="19" t="str" cm="1">
        <f t="array" ref="AL321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321" s="19">
        <f>IF(Table1[[#This Row],[dpd]] &gt;=30,1,0)</f>
        <v>0</v>
      </c>
      <c r="AN321" s="19">
        <f>COUNTIFS(Table1[Loan size],Table1[[#This Row],[Loan size]],Table1[dpd flag],1)/COUNTIF(Table1[Loan size],Table1[[#This Row],[Loan size]])</f>
        <v>0.15909090909090909</v>
      </c>
      <c r="AO321" s="19" t="str">
        <f>IF(OR(Table1[[#This Row],[credit_score]] &lt; 600, Table1[ [#This Row],[dti_ratio] ] &gt; 0.5, Table1[[#This Row],[dpd]] &gt;=30), "high risk", " not riskY")</f>
        <v xml:space="preserve"> not riskY</v>
      </c>
      <c r="AP321" s="29">
        <f>EOMONTH(Table1[[#This Row],[origination_date]],0)</f>
        <v>45169</v>
      </c>
      <c r="AQ321" s="19">
        <f>SUMIFS(Table1[loan_amount],Table1[origination month],Table1[[#This Row],[origination month]])</f>
        <v>38355800</v>
      </c>
      <c r="AR321" s="19">
        <f>AVERAGEIFS(Table1[months_on_book],Table1[product],Table1[[#This Row],[product]])</f>
        <v>19.091954022988507</v>
      </c>
      <c r="AS321" s="19" t="str">
        <f ca="1">IF(EDATE(Table1[[#This Row],[origination_date]],6) &gt;= TODAY(), "New Loan", "Old Loan")</f>
        <v>Old Loan</v>
      </c>
      <c r="AT321" s="19" t="str">
        <f>"Q"&amp;ROUNDUP(MONTH(Table1[[#This Row],[origination_date]])/3,0)&amp;YEAR(Table1[[#This Row],[origination_date]])</f>
        <v>Q32023</v>
      </c>
      <c r="AU321" s="19">
        <f>SUMIFS(Table1[loan_amount],Table1[quarter],Table1[[#This Row],[quarter]])</f>
        <v>77300600</v>
      </c>
    </row>
    <row r="322" spans="2:47" x14ac:dyDescent="0.2">
      <c r="B322" s="5" t="s">
        <v>231</v>
      </c>
      <c r="C322" s="2" t="s">
        <v>731</v>
      </c>
      <c r="D322" s="3">
        <v>45159</v>
      </c>
      <c r="E322" s="2" t="s">
        <v>1024</v>
      </c>
      <c r="F322" s="2" t="s">
        <v>1029</v>
      </c>
      <c r="G322" s="2" t="s">
        <v>1037</v>
      </c>
      <c r="H322" s="2" t="s">
        <v>1038</v>
      </c>
      <c r="I322" s="2">
        <v>60</v>
      </c>
      <c r="J322" s="2">
        <v>737000</v>
      </c>
      <c r="K322" s="2">
        <v>10.28</v>
      </c>
      <c r="L322" s="2">
        <v>15761</v>
      </c>
      <c r="M322" s="2">
        <v>825171</v>
      </c>
      <c r="N322" s="2">
        <v>716</v>
      </c>
      <c r="O322" s="2" t="s">
        <v>1044</v>
      </c>
      <c r="P322" s="2">
        <v>0.28000000000000003</v>
      </c>
      <c r="Q322" s="2">
        <v>0.56000000000000005</v>
      </c>
      <c r="R322" s="2">
        <v>1307600</v>
      </c>
      <c r="S322" s="2">
        <v>28</v>
      </c>
      <c r="T322" s="2">
        <v>403097</v>
      </c>
      <c r="U322" s="2">
        <v>404616</v>
      </c>
      <c r="V322" s="2">
        <v>0</v>
      </c>
      <c r="W322" s="2">
        <v>0</v>
      </c>
      <c r="X322" s="2">
        <v>0</v>
      </c>
      <c r="Y322" s="2" t="s">
        <v>1049</v>
      </c>
      <c r="Z322" s="12">
        <f>SUMIF(Table1[product],Table1[[#This Row],[product]],Table1[loan_amount])</f>
        <v>92273000</v>
      </c>
      <c r="AA322" s="15">
        <f>SUMIF(Table1[region],Table1[[#This Row],[region]],Table1[current_balance])</f>
        <v>94548000</v>
      </c>
      <c r="AB322" s="2">
        <f>COUNTIF(Table1[loan_status],Table1[[#This Row],[loan_status]])</f>
        <v>301</v>
      </c>
      <c r="AC322" s="2">
        <f>COUNTIF(Table1[default_flag],1)/ROWS(Table1[loan_id])</f>
        <v>2.5999999999999999E-2</v>
      </c>
      <c r="AD322" s="2">
        <f>COUNTIFS(Table1[region],Table1[[#This Row],[region]],Table1[default_flag],1)/COUNTIF(Table1[region],Table1[[#This Row],[region]])</f>
        <v>0</v>
      </c>
      <c r="AE322" s="2">
        <f>COUNTIFS(Table1[channel],Table1[[#This Row],[channel]],Table1[prepayment_flag],1)/COUNTIF(Table1[channel],Table1[[#This Row],[channel]])</f>
        <v>7.1090047393364927E-2</v>
      </c>
      <c r="AF322" s="2">
        <f>AVERAGEIFS(Table1[interest_rate_pct],Table1[product],Table1[[#This Row],[product]],Table1[risk_band],Table1[[#This Row],[risk_band]])</f>
        <v>10.611923076923079</v>
      </c>
      <c r="AG322" s="2" t="str" cm="1">
        <f t="array" ref="AG322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322" s="2">
        <f>COUNTIF(Table1[DTI band],Table1[[#This Row],[DTI band]])</f>
        <v>122</v>
      </c>
      <c r="AI322" s="2" t="str" cm="1">
        <f t="array" ref="AI322">_xlfn.IFS(Table1[[#This Row],[ltv_ratio]] &lt; 0.6, "less than 0.6 -less risky", Table1[[#This Row],[ltv_ratio]]  &lt;= 0.8, "0.6 - 0.8 -medium risky",Table1[[#This Row],[ltv_ratio]] &gt; 0.8, "greater than 0.8 -highly risky")</f>
        <v>less than 0.6 -less risky</v>
      </c>
      <c r="AJ322" s="2">
        <f>COUNTIF(Table1[LTV band],Table1[[#This Row],[LTV band]])</f>
        <v>57</v>
      </c>
      <c r="AK322" s="19">
        <f>COUNTIFS(Table1[count_loan_perband],Table1[[#This Row],[count_loan_perband]],Table1[default_flag],1)/COUNTIF(Table1[count_loan_perband],Table1[[#This Row],[count_loan_perband]])</f>
        <v>0</v>
      </c>
      <c r="AL322" s="19" t="str" cm="1">
        <f t="array" ref="AL322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322" s="19">
        <f>IF(Table1[[#This Row],[dpd]] &gt;=30,1,0)</f>
        <v>0</v>
      </c>
      <c r="AN322" s="19">
        <f>COUNTIFS(Table1[Loan size],Table1[[#This Row],[Loan size]],Table1[dpd flag],1)/COUNTIF(Table1[Loan size],Table1[[#This Row],[Loan size]])</f>
        <v>0.13934426229508196</v>
      </c>
      <c r="AO322" s="19" t="str">
        <f>IF(OR(Table1[[#This Row],[credit_score]] &lt; 600, Table1[ [#This Row],[dti_ratio] ] &gt; 0.5, Table1[[#This Row],[dpd]] &gt;=30), "high risk", " not riskY")</f>
        <v xml:space="preserve"> not riskY</v>
      </c>
      <c r="AP322" s="29">
        <f>EOMONTH(Table1[[#This Row],[origination_date]],0)</f>
        <v>45169</v>
      </c>
      <c r="AQ322" s="19">
        <f>SUMIFS(Table1[loan_amount],Table1[origination month],Table1[[#This Row],[origination month]])</f>
        <v>38355800</v>
      </c>
      <c r="AR322" s="19">
        <f>AVERAGEIFS(Table1[months_on_book],Table1[product],Table1[[#This Row],[product]])</f>
        <v>20.262135922330096</v>
      </c>
      <c r="AS322" s="19" t="str">
        <f ca="1">IF(EDATE(Table1[[#This Row],[origination_date]],6) &gt;= TODAY(), "New Loan", "Old Loan")</f>
        <v>Old Loan</v>
      </c>
      <c r="AT322" s="19" t="str">
        <f>"Q"&amp;ROUNDUP(MONTH(Table1[[#This Row],[origination_date]])/3,0)&amp;YEAR(Table1[[#This Row],[origination_date]])</f>
        <v>Q32023</v>
      </c>
      <c r="AU322" s="19">
        <f>SUMIFS(Table1[loan_amount],Table1[quarter],Table1[[#This Row],[quarter]])</f>
        <v>77300600</v>
      </c>
    </row>
    <row r="323" spans="2:47" x14ac:dyDescent="0.2">
      <c r="B323" s="5" t="s">
        <v>255</v>
      </c>
      <c r="C323" s="2" t="s">
        <v>755</v>
      </c>
      <c r="D323" s="3">
        <v>45123</v>
      </c>
      <c r="E323" s="2" t="s">
        <v>1028</v>
      </c>
      <c r="F323" s="2" t="s">
        <v>1029</v>
      </c>
      <c r="G323" s="2" t="s">
        <v>1035</v>
      </c>
      <c r="H323" s="2" t="s">
        <v>1039</v>
      </c>
      <c r="I323" s="2">
        <v>120</v>
      </c>
      <c r="J323" s="2">
        <v>1038600</v>
      </c>
      <c r="K323" s="2">
        <v>12.43</v>
      </c>
      <c r="L323" s="2">
        <v>15160</v>
      </c>
      <c r="M323" s="2">
        <v>332326</v>
      </c>
      <c r="N323" s="2">
        <v>684</v>
      </c>
      <c r="O323" s="2" t="s">
        <v>1042</v>
      </c>
      <c r="P323" s="2">
        <v>0.28000000000000003</v>
      </c>
      <c r="Q323" s="2">
        <v>0.74</v>
      </c>
      <c r="R323" s="2">
        <v>0</v>
      </c>
      <c r="S323" s="2">
        <v>29</v>
      </c>
      <c r="T323" s="2">
        <v>403531</v>
      </c>
      <c r="U323" s="2">
        <v>759864</v>
      </c>
      <c r="V323" s="2">
        <v>45</v>
      </c>
      <c r="W323" s="2">
        <v>0</v>
      </c>
      <c r="X323" s="2">
        <v>0</v>
      </c>
      <c r="Y323" s="2" t="s">
        <v>1048</v>
      </c>
      <c r="Z323" s="12">
        <f>SUMIF(Table1[product],Table1[[#This Row],[product]],Table1[loan_amount])</f>
        <v>62765800</v>
      </c>
      <c r="AA323" s="15">
        <f>SUMIF(Table1[region],Table1[[#This Row],[region]],Table1[current_balance])</f>
        <v>83903255</v>
      </c>
      <c r="AB323" s="2">
        <f>COUNTIF(Table1[loan_status],Table1[[#This Row],[loan_status]])</f>
        <v>47</v>
      </c>
      <c r="AC323" s="2">
        <f>COUNTIF(Table1[default_flag],1)/ROWS(Table1[loan_id])</f>
        <v>2.5999999999999999E-2</v>
      </c>
      <c r="AD323" s="2">
        <f>COUNTIFS(Table1[region],Table1[[#This Row],[region]],Table1[default_flag],1)/COUNTIF(Table1[region],Table1[[#This Row],[region]])</f>
        <v>4.2553191489361701E-2</v>
      </c>
      <c r="AE323" s="2">
        <f>COUNTIFS(Table1[channel],Table1[[#This Row],[channel]],Table1[prepayment_flag],1)/COUNTIF(Table1[channel],Table1[[#This Row],[channel]])</f>
        <v>7.1090047393364927E-2</v>
      </c>
      <c r="AF323" s="2">
        <f>AVERAGEIFS(Table1[interest_rate_pct],Table1[product],Table1[[#This Row],[product]],Table1[risk_band],Table1[[#This Row],[risk_band]])</f>
        <v>13.463888888888889</v>
      </c>
      <c r="AG323" s="2" t="str" cm="1">
        <f t="array" ref="AG323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323" s="2">
        <f>COUNTIF(Table1[DTI band],Table1[[#This Row],[DTI band]])</f>
        <v>122</v>
      </c>
      <c r="AI323" s="2" t="str" cm="1">
        <f t="array" ref="AI323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323" s="2">
        <f>COUNTIF(Table1[LTV band],Table1[[#This Row],[LTV band]])</f>
        <v>302</v>
      </c>
      <c r="AK323" s="19">
        <f>COUNTIFS(Table1[count_loan_perband],Table1[[#This Row],[count_loan_perband]],Table1[default_flag],1)/COUNTIF(Table1[count_loan_perband],Table1[[#This Row],[count_loan_perband]])</f>
        <v>3.6423841059602648E-2</v>
      </c>
      <c r="AL323" s="19" t="str" cm="1">
        <f t="array" ref="AL323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323" s="19">
        <f>IF(Table1[[#This Row],[dpd]] &gt;=30,1,0)</f>
        <v>1</v>
      </c>
      <c r="AN323" s="19">
        <f>COUNTIFS(Table1[Loan size],Table1[[#This Row],[Loan size]],Table1[dpd flag],1)/COUNTIF(Table1[Loan size],Table1[[#This Row],[Loan size]])</f>
        <v>0.15909090909090909</v>
      </c>
      <c r="AO323" s="19" t="str">
        <f>IF(OR(Table1[[#This Row],[credit_score]] &lt; 600, Table1[ [#This Row],[dti_ratio] ] &gt; 0.5, Table1[[#This Row],[dpd]] &gt;=30), "high risk", " not riskY")</f>
        <v>high risk</v>
      </c>
      <c r="AP323" s="29">
        <f>EOMONTH(Table1[[#This Row],[origination_date]],0)</f>
        <v>45138</v>
      </c>
      <c r="AQ323" s="19">
        <f>SUMIFS(Table1[loan_amount],Table1[origination month],Table1[[#This Row],[origination month]])</f>
        <v>25129700</v>
      </c>
      <c r="AR323" s="19">
        <f>AVERAGEIFS(Table1[months_on_book],Table1[product],Table1[[#This Row],[product]])</f>
        <v>21.962962962962962</v>
      </c>
      <c r="AS323" s="19" t="str">
        <f ca="1">IF(EDATE(Table1[[#This Row],[origination_date]],6) &gt;= TODAY(), "New Loan", "Old Loan")</f>
        <v>Old Loan</v>
      </c>
      <c r="AT323" s="19" t="str">
        <f>"Q"&amp;ROUNDUP(MONTH(Table1[[#This Row],[origination_date]])/3,0)&amp;YEAR(Table1[[#This Row],[origination_date]])</f>
        <v>Q32023</v>
      </c>
      <c r="AU323" s="19">
        <f>SUMIFS(Table1[loan_amount],Table1[quarter],Table1[[#This Row],[quarter]])</f>
        <v>77300600</v>
      </c>
    </row>
    <row r="324" spans="2:47" x14ac:dyDescent="0.2">
      <c r="B324" s="5" t="s">
        <v>278</v>
      </c>
      <c r="C324" s="2" t="s">
        <v>778</v>
      </c>
      <c r="D324" s="3">
        <v>45135</v>
      </c>
      <c r="E324" s="2" t="s">
        <v>1026</v>
      </c>
      <c r="F324" s="2" t="s">
        <v>1030</v>
      </c>
      <c r="G324" s="2" t="s">
        <v>1033</v>
      </c>
      <c r="H324" s="2" t="s">
        <v>1038</v>
      </c>
      <c r="I324" s="2">
        <v>24</v>
      </c>
      <c r="J324" s="2">
        <v>595300</v>
      </c>
      <c r="K324" s="2">
        <v>17.23</v>
      </c>
      <c r="L324" s="2">
        <v>29499</v>
      </c>
      <c r="M324" s="2">
        <v>1306032</v>
      </c>
      <c r="N324" s="2">
        <v>712</v>
      </c>
      <c r="O324" s="2" t="s">
        <v>1044</v>
      </c>
      <c r="P324" s="2">
        <v>0.28000000000000003</v>
      </c>
      <c r="Q324" s="2">
        <v>0.74</v>
      </c>
      <c r="R324" s="2">
        <v>0</v>
      </c>
      <c r="S324" s="2">
        <v>24</v>
      </c>
      <c r="T324" s="2">
        <v>668854</v>
      </c>
      <c r="U324" s="2">
        <v>8502</v>
      </c>
      <c r="V324" s="2">
        <v>0</v>
      </c>
      <c r="W324" s="2">
        <v>0</v>
      </c>
      <c r="X324" s="2">
        <v>0</v>
      </c>
      <c r="Y324" s="2" t="s">
        <v>1047</v>
      </c>
      <c r="Z324" s="12">
        <f>SUMIF(Table1[product],Table1[[#This Row],[product]],Table1[loan_amount])</f>
        <v>74897600</v>
      </c>
      <c r="AA324" s="15">
        <f>SUMIF(Table1[region],Table1[[#This Row],[region]],Table1[current_balance])</f>
        <v>83297251</v>
      </c>
      <c r="AB324" s="2">
        <f>COUNTIF(Table1[loan_status],Table1[[#This Row],[loan_status]])</f>
        <v>139</v>
      </c>
      <c r="AC324" s="2">
        <f>COUNTIF(Table1[default_flag],1)/ROWS(Table1[loan_id])</f>
        <v>2.5999999999999999E-2</v>
      </c>
      <c r="AD324" s="2">
        <f>COUNTIFS(Table1[region],Table1[[#This Row],[region]],Table1[default_flag],1)/COUNTIF(Table1[region],Table1[[#This Row],[region]])</f>
        <v>3.1914893617021274E-2</v>
      </c>
      <c r="AE324" s="2">
        <f>COUNTIFS(Table1[channel],Table1[[#This Row],[channel]],Table1[prepayment_flag],1)/COUNTIF(Table1[channel],Table1[[#This Row],[channel]])</f>
        <v>5.8201058201058198E-2</v>
      </c>
      <c r="AF324" s="2">
        <f>AVERAGEIFS(Table1[interest_rate_pct],Table1[product],Table1[[#This Row],[product]],Table1[risk_band],Table1[[#This Row],[risk_band]])</f>
        <v>16.500166666666669</v>
      </c>
      <c r="AG324" s="2" t="str" cm="1">
        <f t="array" ref="AG324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324" s="2">
        <f>COUNTIF(Table1[DTI band],Table1[[#This Row],[DTI band]])</f>
        <v>122</v>
      </c>
      <c r="AI324" s="2" t="str" cm="1">
        <f t="array" ref="AI324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324" s="2">
        <f>COUNTIF(Table1[LTV band],Table1[[#This Row],[LTV band]])</f>
        <v>302</v>
      </c>
      <c r="AK324" s="19">
        <f>COUNTIFS(Table1[count_loan_perband],Table1[[#This Row],[count_loan_perband]],Table1[default_flag],1)/COUNTIF(Table1[count_loan_perband],Table1[[#This Row],[count_loan_perband]])</f>
        <v>3.6423841059602648E-2</v>
      </c>
      <c r="AL324" s="19" t="str" cm="1">
        <f t="array" ref="AL324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324" s="19">
        <f>IF(Table1[[#This Row],[dpd]] &gt;=30,1,0)</f>
        <v>0</v>
      </c>
      <c r="AN324" s="19">
        <f>COUNTIFS(Table1[Loan size],Table1[[#This Row],[Loan size]],Table1[dpd flag],1)/COUNTIF(Table1[Loan size],Table1[[#This Row],[Loan size]])</f>
        <v>0.13934426229508196</v>
      </c>
      <c r="AO324" s="19" t="str">
        <f>IF(OR(Table1[[#This Row],[credit_score]] &lt; 600, Table1[ [#This Row],[dti_ratio] ] &gt; 0.5, Table1[[#This Row],[dpd]] &gt;=30), "high risk", " not riskY")</f>
        <v xml:space="preserve"> not riskY</v>
      </c>
      <c r="AP324" s="29">
        <f>EOMONTH(Table1[[#This Row],[origination_date]],0)</f>
        <v>45138</v>
      </c>
      <c r="AQ324" s="19">
        <f>SUMIFS(Table1[loan_amount],Table1[origination month],Table1[[#This Row],[origination month]])</f>
        <v>25129700</v>
      </c>
      <c r="AR324" s="19">
        <f>AVERAGEIFS(Table1[months_on_book],Table1[product],Table1[[#This Row],[product]])</f>
        <v>21.092024539877301</v>
      </c>
      <c r="AS324" s="19" t="str">
        <f ca="1">IF(EDATE(Table1[[#This Row],[origination_date]],6) &gt;= TODAY(), "New Loan", "Old Loan")</f>
        <v>Old Loan</v>
      </c>
      <c r="AT324" s="19" t="str">
        <f>"Q"&amp;ROUNDUP(MONTH(Table1[[#This Row],[origination_date]])/3,0)&amp;YEAR(Table1[[#This Row],[origination_date]])</f>
        <v>Q32023</v>
      </c>
      <c r="AU324" s="19">
        <f>SUMIFS(Table1[loan_amount],Table1[quarter],Table1[[#This Row],[quarter]])</f>
        <v>77300600</v>
      </c>
    </row>
    <row r="325" spans="2:47" x14ac:dyDescent="0.2">
      <c r="B325" s="5" t="s">
        <v>457</v>
      </c>
      <c r="C325" s="2" t="s">
        <v>957</v>
      </c>
      <c r="D325" s="3">
        <v>45125</v>
      </c>
      <c r="E325" s="2" t="s">
        <v>1026</v>
      </c>
      <c r="F325" s="2" t="s">
        <v>1030</v>
      </c>
      <c r="G325" s="2" t="s">
        <v>1034</v>
      </c>
      <c r="H325" s="2" t="s">
        <v>1038</v>
      </c>
      <c r="I325" s="2">
        <v>240</v>
      </c>
      <c r="J325" s="2">
        <v>141100</v>
      </c>
      <c r="K325" s="2">
        <v>18.25</v>
      </c>
      <c r="L325" s="2">
        <v>2205</v>
      </c>
      <c r="M325" s="2">
        <v>978501</v>
      </c>
      <c r="N325" s="2">
        <v>683</v>
      </c>
      <c r="O325" s="2" t="s">
        <v>1042</v>
      </c>
      <c r="P325" s="2">
        <v>0.28000000000000003</v>
      </c>
      <c r="Q325" s="2">
        <v>0.84</v>
      </c>
      <c r="R325" s="2">
        <v>0</v>
      </c>
      <c r="S325" s="2">
        <v>29</v>
      </c>
      <c r="T325" s="2">
        <v>63483</v>
      </c>
      <c r="U325" s="2">
        <v>102509</v>
      </c>
      <c r="V325" s="2">
        <v>5</v>
      </c>
      <c r="W325" s="2">
        <v>0</v>
      </c>
      <c r="X325" s="2">
        <v>0</v>
      </c>
      <c r="Y325" s="2" t="s">
        <v>1049</v>
      </c>
      <c r="Z325" s="12">
        <f>SUMIF(Table1[product],Table1[[#This Row],[product]],Table1[loan_amount])</f>
        <v>74897600</v>
      </c>
      <c r="AA325" s="15">
        <f>SUMIF(Table1[region],Table1[[#This Row],[region]],Table1[current_balance])</f>
        <v>105779369</v>
      </c>
      <c r="AB325" s="2">
        <f>COUNTIF(Table1[loan_status],Table1[[#This Row],[loan_status]])</f>
        <v>301</v>
      </c>
      <c r="AC325" s="2">
        <f>COUNTIF(Table1[default_flag],1)/ROWS(Table1[loan_id])</f>
        <v>2.5999999999999999E-2</v>
      </c>
      <c r="AD325" s="2">
        <f>COUNTIFS(Table1[region],Table1[[#This Row],[region]],Table1[default_flag],1)/COUNTIF(Table1[region],Table1[[#This Row],[region]])</f>
        <v>2.6548672566371681E-2</v>
      </c>
      <c r="AE325" s="2">
        <f>COUNTIFS(Table1[channel],Table1[[#This Row],[channel]],Table1[prepayment_flag],1)/COUNTIF(Table1[channel],Table1[[#This Row],[channel]])</f>
        <v>5.8201058201058198E-2</v>
      </c>
      <c r="AF325" s="2">
        <f>AVERAGEIFS(Table1[interest_rate_pct],Table1[product],Table1[[#This Row],[product]],Table1[risk_band],Table1[[#This Row],[risk_band]])</f>
        <v>18.603181818181817</v>
      </c>
      <c r="AG325" s="2" t="str" cm="1">
        <f t="array" ref="AG325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325" s="2">
        <f>COUNTIF(Table1[DTI band],Table1[[#This Row],[DTI band]])</f>
        <v>122</v>
      </c>
      <c r="AI325" s="2" t="str" cm="1">
        <f t="array" ref="AI325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325" s="2">
        <f>COUNTIF(Table1[LTV band],Table1[[#This Row],[LTV band]])</f>
        <v>141</v>
      </c>
      <c r="AK325" s="19">
        <f>COUNTIFS(Table1[count_loan_perband],Table1[[#This Row],[count_loan_perband]],Table1[default_flag],1)/COUNTIF(Table1[count_loan_perband],Table1[[#This Row],[count_loan_perband]])</f>
        <v>1.4184397163120567E-2</v>
      </c>
      <c r="AL325" s="19" t="str" cm="1">
        <f t="array" ref="AL325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325" s="19">
        <f>IF(Table1[[#This Row],[dpd]] &gt;=30,1,0)</f>
        <v>0</v>
      </c>
      <c r="AN325" s="19">
        <f>COUNTIFS(Table1[Loan size],Table1[[#This Row],[Loan size]],Table1[dpd flag],1)/COUNTIF(Table1[Loan size],Table1[[#This Row],[Loan size]])</f>
        <v>0.13934426229508196</v>
      </c>
      <c r="AO325" s="19" t="str">
        <f>IF(OR(Table1[[#This Row],[credit_score]] &lt; 600, Table1[ [#This Row],[dti_ratio] ] &gt; 0.5, Table1[[#This Row],[dpd]] &gt;=30), "high risk", " not riskY")</f>
        <v xml:space="preserve"> not riskY</v>
      </c>
      <c r="AP325" s="29">
        <f>EOMONTH(Table1[[#This Row],[origination_date]],0)</f>
        <v>45138</v>
      </c>
      <c r="AQ325" s="19">
        <f>SUMIFS(Table1[loan_amount],Table1[origination month],Table1[[#This Row],[origination month]])</f>
        <v>25129700</v>
      </c>
      <c r="AR325" s="19">
        <f>AVERAGEIFS(Table1[months_on_book],Table1[product],Table1[[#This Row],[product]])</f>
        <v>21.092024539877301</v>
      </c>
      <c r="AS325" s="19" t="str">
        <f ca="1">IF(EDATE(Table1[[#This Row],[origination_date]],6) &gt;= TODAY(), "New Loan", "Old Loan")</f>
        <v>Old Loan</v>
      </c>
      <c r="AT325" s="19" t="str">
        <f>"Q"&amp;ROUNDUP(MONTH(Table1[[#This Row],[origination_date]])/3,0)&amp;YEAR(Table1[[#This Row],[origination_date]])</f>
        <v>Q32023</v>
      </c>
      <c r="AU325" s="19">
        <f>SUMIFS(Table1[loan_amount],Table1[quarter],Table1[[#This Row],[quarter]])</f>
        <v>77300600</v>
      </c>
    </row>
    <row r="326" spans="2:47" x14ac:dyDescent="0.2">
      <c r="B326" s="5" t="s">
        <v>80</v>
      </c>
      <c r="C326" s="2" t="s">
        <v>580</v>
      </c>
      <c r="D326" s="3">
        <v>45178</v>
      </c>
      <c r="E326" s="2" t="s">
        <v>1024</v>
      </c>
      <c r="F326" s="2" t="s">
        <v>1029</v>
      </c>
      <c r="G326" s="2" t="s">
        <v>1037</v>
      </c>
      <c r="H326" s="2" t="s">
        <v>1038</v>
      </c>
      <c r="I326" s="2">
        <v>48</v>
      </c>
      <c r="J326" s="2">
        <v>1464700</v>
      </c>
      <c r="K326" s="2">
        <v>7</v>
      </c>
      <c r="L326" s="2">
        <v>35074</v>
      </c>
      <c r="M326" s="2">
        <v>1333259</v>
      </c>
      <c r="N326" s="2">
        <v>776</v>
      </c>
      <c r="O326" s="2" t="s">
        <v>1043</v>
      </c>
      <c r="P326" s="2">
        <v>0.27</v>
      </c>
      <c r="Q326" s="2">
        <v>0.81</v>
      </c>
      <c r="R326" s="2">
        <v>1804800</v>
      </c>
      <c r="S326" s="2">
        <v>27</v>
      </c>
      <c r="T326" s="2">
        <v>886234</v>
      </c>
      <c r="U326" s="2">
        <v>670742</v>
      </c>
      <c r="V326" s="2">
        <v>0</v>
      </c>
      <c r="W326" s="2">
        <v>1</v>
      </c>
      <c r="X326" s="2">
        <v>0</v>
      </c>
      <c r="Y326" s="2" t="s">
        <v>1047</v>
      </c>
      <c r="Z326" s="12">
        <f>SUMIF(Table1[product],Table1[[#This Row],[product]],Table1[loan_amount])</f>
        <v>92273000</v>
      </c>
      <c r="AA326" s="15">
        <f>SUMIF(Table1[region],Table1[[#This Row],[region]],Table1[current_balance])</f>
        <v>94548000</v>
      </c>
      <c r="AB326" s="2">
        <f>COUNTIF(Table1[loan_status],Table1[[#This Row],[loan_status]])</f>
        <v>139</v>
      </c>
      <c r="AC326" s="2">
        <f>COUNTIF(Table1[default_flag],1)/ROWS(Table1[loan_id])</f>
        <v>2.5999999999999999E-2</v>
      </c>
      <c r="AD326" s="2">
        <f>COUNTIFS(Table1[region],Table1[[#This Row],[region]],Table1[default_flag],1)/COUNTIF(Table1[region],Table1[[#This Row],[region]])</f>
        <v>0</v>
      </c>
      <c r="AE326" s="2">
        <f>COUNTIFS(Table1[channel],Table1[[#This Row],[channel]],Table1[prepayment_flag],1)/COUNTIF(Table1[channel],Table1[[#This Row],[channel]])</f>
        <v>7.1090047393364927E-2</v>
      </c>
      <c r="AF326" s="2">
        <f>AVERAGEIFS(Table1[interest_rate_pct],Table1[product],Table1[[#This Row],[product]],Table1[risk_band],Table1[[#This Row],[risk_band]])</f>
        <v>7.9444999999999997</v>
      </c>
      <c r="AG326" s="2" t="str" cm="1">
        <f t="array" ref="AG326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326" s="2">
        <f>COUNTIF(Table1[DTI band],Table1[[#This Row],[DTI band]])</f>
        <v>122</v>
      </c>
      <c r="AI326" s="2" t="str" cm="1">
        <f t="array" ref="AI326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326" s="2">
        <f>COUNTIF(Table1[LTV band],Table1[[#This Row],[LTV band]])</f>
        <v>141</v>
      </c>
      <c r="AK326" s="19">
        <f>COUNTIFS(Table1[count_loan_perband],Table1[[#This Row],[count_loan_perband]],Table1[default_flag],1)/COUNTIF(Table1[count_loan_perband],Table1[[#This Row],[count_loan_perband]])</f>
        <v>1.4184397163120567E-2</v>
      </c>
      <c r="AL326" s="19" t="str" cm="1">
        <f t="array" ref="AL326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326" s="19">
        <f>IF(Table1[[#This Row],[dpd]] &gt;=30,1,0)</f>
        <v>0</v>
      </c>
      <c r="AN326" s="19">
        <f>COUNTIFS(Table1[Loan size],Table1[[#This Row],[Loan size]],Table1[dpd flag],1)/COUNTIF(Table1[Loan size],Table1[[#This Row],[Loan size]])</f>
        <v>0.15909090909090909</v>
      </c>
      <c r="AO326" s="19" t="str">
        <f>IF(OR(Table1[[#This Row],[credit_score]] &lt; 600, Table1[ [#This Row],[dti_ratio] ] &gt; 0.5, Table1[[#This Row],[dpd]] &gt;=30), "high risk", " not riskY")</f>
        <v xml:space="preserve"> not riskY</v>
      </c>
      <c r="AP326" s="29">
        <f>EOMONTH(Table1[[#This Row],[origination_date]],0)</f>
        <v>45199</v>
      </c>
      <c r="AQ326" s="19">
        <f>SUMIFS(Table1[loan_amount],Table1[origination month],Table1[[#This Row],[origination month]])</f>
        <v>13815100</v>
      </c>
      <c r="AR326" s="19">
        <f>AVERAGEIFS(Table1[months_on_book],Table1[product],Table1[[#This Row],[product]])</f>
        <v>20.262135922330096</v>
      </c>
      <c r="AS326" s="19" t="str">
        <f ca="1">IF(EDATE(Table1[[#This Row],[origination_date]],6) &gt;= TODAY(), "New Loan", "Old Loan")</f>
        <v>Old Loan</v>
      </c>
      <c r="AT326" s="19" t="str">
        <f>"Q"&amp;ROUNDUP(MONTH(Table1[[#This Row],[origination_date]])/3,0)&amp;YEAR(Table1[[#This Row],[origination_date]])</f>
        <v>Q32023</v>
      </c>
      <c r="AU326" s="19">
        <f>SUMIFS(Table1[loan_amount],Table1[quarter],Table1[[#This Row],[quarter]])</f>
        <v>77300600</v>
      </c>
    </row>
    <row r="327" spans="2:47" x14ac:dyDescent="0.2">
      <c r="B327" s="5" t="s">
        <v>251</v>
      </c>
      <c r="C327" s="2" t="s">
        <v>751</v>
      </c>
      <c r="D327" s="3">
        <v>45181</v>
      </c>
      <c r="E327" s="2" t="s">
        <v>1025</v>
      </c>
      <c r="F327" s="2" t="s">
        <v>1029</v>
      </c>
      <c r="G327" s="2" t="s">
        <v>1036</v>
      </c>
      <c r="H327" s="2" t="s">
        <v>1039</v>
      </c>
      <c r="I327" s="2">
        <v>36</v>
      </c>
      <c r="J327" s="2">
        <v>4052800</v>
      </c>
      <c r="K327" s="2">
        <v>16.79</v>
      </c>
      <c r="L327" s="2">
        <v>144070</v>
      </c>
      <c r="M327" s="2">
        <v>949580</v>
      </c>
      <c r="N327" s="2">
        <v>657</v>
      </c>
      <c r="O327" s="2" t="s">
        <v>1042</v>
      </c>
      <c r="P327" s="2">
        <v>0.27</v>
      </c>
      <c r="Q327" s="2">
        <v>0.82</v>
      </c>
      <c r="R327" s="2">
        <v>4945900</v>
      </c>
      <c r="S327" s="2">
        <v>27</v>
      </c>
      <c r="T327" s="2">
        <v>3603405</v>
      </c>
      <c r="U327" s="2">
        <v>1061814</v>
      </c>
      <c r="V327" s="2">
        <v>0</v>
      </c>
      <c r="W327" s="2">
        <v>0</v>
      </c>
      <c r="X327" s="2">
        <v>0</v>
      </c>
      <c r="Y327" s="2" t="s">
        <v>1049</v>
      </c>
      <c r="Z327" s="12">
        <f>SUMIF(Table1[product],Table1[[#This Row],[product]],Table1[loan_amount])</f>
        <v>201475100</v>
      </c>
      <c r="AA327" s="15">
        <f>SUMIF(Table1[region],Table1[[#This Row],[region]],Table1[current_balance])</f>
        <v>98928695</v>
      </c>
      <c r="AB327" s="2">
        <f>COUNTIF(Table1[loan_status],Table1[[#This Row],[loan_status]])</f>
        <v>301</v>
      </c>
      <c r="AC327" s="2">
        <f>COUNTIF(Table1[default_flag],1)/ROWS(Table1[loan_id])</f>
        <v>2.5999999999999999E-2</v>
      </c>
      <c r="AD327" s="2">
        <f>COUNTIFS(Table1[region],Table1[[#This Row],[region]],Table1[default_flag],1)/COUNTIF(Table1[region],Table1[[#This Row],[region]])</f>
        <v>2.8571428571428571E-2</v>
      </c>
      <c r="AE327" s="2">
        <f>COUNTIFS(Table1[channel],Table1[[#This Row],[channel]],Table1[prepayment_flag],1)/COUNTIF(Table1[channel],Table1[[#This Row],[channel]])</f>
        <v>7.1090047393364927E-2</v>
      </c>
      <c r="AF327" s="2">
        <f>AVERAGEIFS(Table1[interest_rate_pct],Table1[product],Table1[[#This Row],[product]],Table1[risk_band],Table1[[#This Row],[risk_band]])</f>
        <v>15.841379310344831</v>
      </c>
      <c r="AG327" s="2" t="str" cm="1">
        <f t="array" ref="AG327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327" s="2">
        <f>COUNTIF(Table1[DTI band],Table1[[#This Row],[DTI band]])</f>
        <v>122</v>
      </c>
      <c r="AI327" s="2" t="str" cm="1">
        <f t="array" ref="AI327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327" s="2">
        <f>COUNTIF(Table1[LTV band],Table1[[#This Row],[LTV band]])</f>
        <v>141</v>
      </c>
      <c r="AK327" s="19">
        <f>COUNTIFS(Table1[count_loan_perband],Table1[[#This Row],[count_loan_perband]],Table1[default_flag],1)/COUNTIF(Table1[count_loan_perband],Table1[[#This Row],[count_loan_perband]])</f>
        <v>1.4184397163120567E-2</v>
      </c>
      <c r="AL327" s="19" t="str" cm="1">
        <f t="array" ref="AL327">_xlfn.IFS(Table1[[#This Row],[loan_amount]] &lt; 900000, "lower size (&lt; 9L)", Table1[[#This Row],[loan_amount]] &lt;=3300000, "medium size (&lt;=33L)", Table1[[#This Row],[loan_amount]] &gt; 3300000, "larger size (&gt; 33L)")</f>
        <v>larger size (&gt; 33L)</v>
      </c>
      <c r="AM327" s="19">
        <f>IF(Table1[[#This Row],[dpd]] &gt;=30,1,0)</f>
        <v>0</v>
      </c>
      <c r="AN327" s="19">
        <f>COUNTIFS(Table1[Loan size],Table1[[#This Row],[Loan size]],Table1[dpd flag],1)/COUNTIF(Table1[Loan size],Table1[[#This Row],[Loan size]])</f>
        <v>0.16250000000000001</v>
      </c>
      <c r="AO327" s="19" t="str">
        <f>IF(OR(Table1[[#This Row],[credit_score]] &lt; 600, Table1[ [#This Row],[dti_ratio] ] &gt; 0.5, Table1[[#This Row],[dpd]] &gt;=30), "high risk", " not riskY")</f>
        <v xml:space="preserve"> not riskY</v>
      </c>
      <c r="AP327" s="29">
        <f>EOMONTH(Table1[[#This Row],[origination_date]],0)</f>
        <v>45199</v>
      </c>
      <c r="AQ327" s="19">
        <f>SUMIFS(Table1[loan_amount],Table1[origination month],Table1[[#This Row],[origination month]])</f>
        <v>13815100</v>
      </c>
      <c r="AR327" s="19">
        <f>AVERAGEIFS(Table1[months_on_book],Table1[product],Table1[[#This Row],[product]])</f>
        <v>19.091954022988507</v>
      </c>
      <c r="AS327" s="19" t="str">
        <f ca="1">IF(EDATE(Table1[[#This Row],[origination_date]],6) &gt;= TODAY(), "New Loan", "Old Loan")</f>
        <v>Old Loan</v>
      </c>
      <c r="AT327" s="19" t="str">
        <f>"Q"&amp;ROUNDUP(MONTH(Table1[[#This Row],[origination_date]])/3,0)&amp;YEAR(Table1[[#This Row],[origination_date]])</f>
        <v>Q32023</v>
      </c>
      <c r="AU327" s="19">
        <f>SUMIFS(Table1[loan_amount],Table1[quarter],Table1[[#This Row],[quarter]])</f>
        <v>77300600</v>
      </c>
    </row>
    <row r="328" spans="2:47" x14ac:dyDescent="0.2">
      <c r="B328" s="5" t="s">
        <v>321</v>
      </c>
      <c r="C328" s="2" t="s">
        <v>821</v>
      </c>
      <c r="D328" s="3">
        <v>45172</v>
      </c>
      <c r="E328" s="2" t="s">
        <v>1026</v>
      </c>
      <c r="F328" s="2" t="s">
        <v>1029</v>
      </c>
      <c r="G328" s="2" t="s">
        <v>1036</v>
      </c>
      <c r="H328" s="2" t="s">
        <v>1038</v>
      </c>
      <c r="I328" s="2">
        <v>24</v>
      </c>
      <c r="J328" s="2">
        <v>77700</v>
      </c>
      <c r="K328" s="2">
        <v>17.2</v>
      </c>
      <c r="L328" s="2">
        <v>3849</v>
      </c>
      <c r="M328" s="2">
        <v>1006953</v>
      </c>
      <c r="N328" s="2">
        <v>705</v>
      </c>
      <c r="O328" s="2" t="s">
        <v>1044</v>
      </c>
      <c r="P328" s="2">
        <v>0.26</v>
      </c>
      <c r="Q328" s="2">
        <v>0.99</v>
      </c>
      <c r="R328" s="2">
        <v>0</v>
      </c>
      <c r="S328" s="2">
        <v>24</v>
      </c>
      <c r="T328" s="2">
        <v>80522</v>
      </c>
      <c r="U328" s="2">
        <v>7870</v>
      </c>
      <c r="V328" s="2">
        <v>30</v>
      </c>
      <c r="W328" s="2">
        <v>0</v>
      </c>
      <c r="X328" s="2">
        <v>0</v>
      </c>
      <c r="Y328" s="2" t="s">
        <v>1047</v>
      </c>
      <c r="Z328" s="12">
        <f>SUMIF(Table1[product],Table1[[#This Row],[product]],Table1[loan_amount])</f>
        <v>74897600</v>
      </c>
      <c r="AA328" s="15">
        <f>SUMIF(Table1[region],Table1[[#This Row],[region]],Table1[current_balance])</f>
        <v>98928695</v>
      </c>
      <c r="AB328" s="2">
        <f>COUNTIF(Table1[loan_status],Table1[[#This Row],[loan_status]])</f>
        <v>139</v>
      </c>
      <c r="AC328" s="2">
        <f>COUNTIF(Table1[default_flag],1)/ROWS(Table1[loan_id])</f>
        <v>2.5999999999999999E-2</v>
      </c>
      <c r="AD328" s="2">
        <f>COUNTIFS(Table1[region],Table1[[#This Row],[region]],Table1[default_flag],1)/COUNTIF(Table1[region],Table1[[#This Row],[region]])</f>
        <v>2.8571428571428571E-2</v>
      </c>
      <c r="AE328" s="2">
        <f>COUNTIFS(Table1[channel],Table1[[#This Row],[channel]],Table1[prepayment_flag],1)/COUNTIF(Table1[channel],Table1[[#This Row],[channel]])</f>
        <v>7.1090047393364927E-2</v>
      </c>
      <c r="AF328" s="2">
        <f>AVERAGEIFS(Table1[interest_rate_pct],Table1[product],Table1[[#This Row],[product]],Table1[risk_band],Table1[[#This Row],[risk_band]])</f>
        <v>16.500166666666669</v>
      </c>
      <c r="AG328" s="2" t="str" cm="1">
        <f t="array" ref="AG328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328" s="2">
        <f>COUNTIF(Table1[DTI band],Table1[[#This Row],[DTI band]])</f>
        <v>122</v>
      </c>
      <c r="AI328" s="2" t="str" cm="1">
        <f t="array" ref="AI328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328" s="2">
        <f>COUNTIF(Table1[LTV band],Table1[[#This Row],[LTV band]])</f>
        <v>141</v>
      </c>
      <c r="AK328" s="19">
        <f>COUNTIFS(Table1[count_loan_perband],Table1[[#This Row],[count_loan_perband]],Table1[default_flag],1)/COUNTIF(Table1[count_loan_perband],Table1[[#This Row],[count_loan_perband]])</f>
        <v>1.4184397163120567E-2</v>
      </c>
      <c r="AL328" s="19" t="str" cm="1">
        <f t="array" ref="AL328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328" s="19">
        <f>IF(Table1[[#This Row],[dpd]] &gt;=30,1,0)</f>
        <v>1</v>
      </c>
      <c r="AN328" s="19">
        <f>COUNTIFS(Table1[Loan size],Table1[[#This Row],[Loan size]],Table1[dpd flag],1)/COUNTIF(Table1[Loan size],Table1[[#This Row],[Loan size]])</f>
        <v>0.13934426229508196</v>
      </c>
      <c r="AO328" s="19" t="str">
        <f>IF(OR(Table1[[#This Row],[credit_score]] &lt; 600, Table1[ [#This Row],[dti_ratio] ] &gt; 0.5, Table1[[#This Row],[dpd]] &gt;=30), "high risk", " not riskY")</f>
        <v>high risk</v>
      </c>
      <c r="AP328" s="29">
        <f>EOMONTH(Table1[[#This Row],[origination_date]],0)</f>
        <v>45199</v>
      </c>
      <c r="AQ328" s="19">
        <f>SUMIFS(Table1[loan_amount],Table1[origination month],Table1[[#This Row],[origination month]])</f>
        <v>13815100</v>
      </c>
      <c r="AR328" s="19">
        <f>AVERAGEIFS(Table1[months_on_book],Table1[product],Table1[[#This Row],[product]])</f>
        <v>21.092024539877301</v>
      </c>
      <c r="AS328" s="19" t="str">
        <f ca="1">IF(EDATE(Table1[[#This Row],[origination_date]],6) &gt;= TODAY(), "New Loan", "Old Loan")</f>
        <v>Old Loan</v>
      </c>
      <c r="AT328" s="19" t="str">
        <f>"Q"&amp;ROUNDUP(MONTH(Table1[[#This Row],[origination_date]])/3,0)&amp;YEAR(Table1[[#This Row],[origination_date]])</f>
        <v>Q32023</v>
      </c>
      <c r="AU328" s="19">
        <f>SUMIFS(Table1[loan_amount],Table1[quarter],Table1[[#This Row],[quarter]])</f>
        <v>77300600</v>
      </c>
    </row>
    <row r="329" spans="2:47" x14ac:dyDescent="0.2">
      <c r="B329" s="5" t="s">
        <v>398</v>
      </c>
      <c r="C329" s="2" t="s">
        <v>898</v>
      </c>
      <c r="D329" s="3">
        <v>45196</v>
      </c>
      <c r="E329" s="2" t="s">
        <v>1028</v>
      </c>
      <c r="F329" s="2" t="s">
        <v>1030</v>
      </c>
      <c r="G329" s="2" t="s">
        <v>1036</v>
      </c>
      <c r="H329" s="2" t="s">
        <v>1038</v>
      </c>
      <c r="I329" s="2">
        <v>12</v>
      </c>
      <c r="J329" s="2">
        <v>949500</v>
      </c>
      <c r="K329" s="2">
        <v>10.32</v>
      </c>
      <c r="L329" s="2">
        <v>83618</v>
      </c>
      <c r="M329" s="2">
        <v>569452</v>
      </c>
      <c r="N329" s="2">
        <v>761</v>
      </c>
      <c r="O329" s="2" t="s">
        <v>1043</v>
      </c>
      <c r="P329" s="2">
        <v>0.26</v>
      </c>
      <c r="Q329" s="2">
        <v>0.77</v>
      </c>
      <c r="R329" s="2">
        <v>0</v>
      </c>
      <c r="S329" s="2">
        <v>12</v>
      </c>
      <c r="T329" s="2">
        <v>991700</v>
      </c>
      <c r="U329" s="2">
        <v>0</v>
      </c>
      <c r="V329" s="2">
        <v>0</v>
      </c>
      <c r="W329" s="2">
        <v>0</v>
      </c>
      <c r="X329" s="2">
        <v>0</v>
      </c>
      <c r="Y329" s="2" t="s">
        <v>1047</v>
      </c>
      <c r="Z329" s="12">
        <f>SUMIF(Table1[product],Table1[[#This Row],[product]],Table1[loan_amount])</f>
        <v>62765800</v>
      </c>
      <c r="AA329" s="15">
        <f>SUMIF(Table1[region],Table1[[#This Row],[region]],Table1[current_balance])</f>
        <v>98928695</v>
      </c>
      <c r="AB329" s="2">
        <f>COUNTIF(Table1[loan_status],Table1[[#This Row],[loan_status]])</f>
        <v>139</v>
      </c>
      <c r="AC329" s="2">
        <f>COUNTIF(Table1[default_flag],1)/ROWS(Table1[loan_id])</f>
        <v>2.5999999999999999E-2</v>
      </c>
      <c r="AD329" s="2">
        <f>COUNTIFS(Table1[region],Table1[[#This Row],[region]],Table1[default_flag],1)/COUNTIF(Table1[region],Table1[[#This Row],[region]])</f>
        <v>2.8571428571428571E-2</v>
      </c>
      <c r="AE329" s="2">
        <f>COUNTIFS(Table1[channel],Table1[[#This Row],[channel]],Table1[prepayment_flag],1)/COUNTIF(Table1[channel],Table1[[#This Row],[channel]])</f>
        <v>5.8201058201058198E-2</v>
      </c>
      <c r="AF329" s="2">
        <f>AVERAGEIFS(Table1[interest_rate_pct],Table1[product],Table1[[#This Row],[product]],Table1[risk_band],Table1[[#This Row],[risk_band]])</f>
        <v>8.5057142857142871</v>
      </c>
      <c r="AG329" s="2" t="str" cm="1">
        <f t="array" ref="AG329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329" s="2">
        <f>COUNTIF(Table1[DTI band],Table1[[#This Row],[DTI band]])</f>
        <v>122</v>
      </c>
      <c r="AI329" s="2" t="str" cm="1">
        <f t="array" ref="AI329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329" s="2">
        <f>COUNTIF(Table1[LTV band],Table1[[#This Row],[LTV band]])</f>
        <v>302</v>
      </c>
      <c r="AK329" s="19">
        <f>COUNTIFS(Table1[count_loan_perband],Table1[[#This Row],[count_loan_perband]],Table1[default_flag],1)/COUNTIF(Table1[count_loan_perband],Table1[[#This Row],[count_loan_perband]])</f>
        <v>3.6423841059602648E-2</v>
      </c>
      <c r="AL329" s="19" t="str" cm="1">
        <f t="array" ref="AL329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329" s="19">
        <f>IF(Table1[[#This Row],[dpd]] &gt;=30,1,0)</f>
        <v>0</v>
      </c>
      <c r="AN329" s="19">
        <f>COUNTIFS(Table1[Loan size],Table1[[#This Row],[Loan size]],Table1[dpd flag],1)/COUNTIF(Table1[Loan size],Table1[[#This Row],[Loan size]])</f>
        <v>0.15909090909090909</v>
      </c>
      <c r="AO329" s="19" t="str">
        <f>IF(OR(Table1[[#This Row],[credit_score]] &lt; 600, Table1[ [#This Row],[dti_ratio] ] &gt; 0.5, Table1[[#This Row],[dpd]] &gt;=30), "high risk", " not riskY")</f>
        <v xml:space="preserve"> not riskY</v>
      </c>
      <c r="AP329" s="29">
        <f>EOMONTH(Table1[[#This Row],[origination_date]],0)</f>
        <v>45199</v>
      </c>
      <c r="AQ329" s="19">
        <f>SUMIFS(Table1[loan_amount],Table1[origination month],Table1[[#This Row],[origination month]])</f>
        <v>13815100</v>
      </c>
      <c r="AR329" s="19">
        <f>AVERAGEIFS(Table1[months_on_book],Table1[product],Table1[[#This Row],[product]])</f>
        <v>21.962962962962962</v>
      </c>
      <c r="AS329" s="19" t="str">
        <f ca="1">IF(EDATE(Table1[[#This Row],[origination_date]],6) &gt;= TODAY(), "New Loan", "Old Loan")</f>
        <v>Old Loan</v>
      </c>
      <c r="AT329" s="19" t="str">
        <f>"Q"&amp;ROUNDUP(MONTH(Table1[[#This Row],[origination_date]])/3,0)&amp;YEAR(Table1[[#This Row],[origination_date]])</f>
        <v>Q32023</v>
      </c>
      <c r="AU329" s="19">
        <f>SUMIFS(Table1[loan_amount],Table1[quarter],Table1[[#This Row],[quarter]])</f>
        <v>77300600</v>
      </c>
    </row>
    <row r="330" spans="2:47" x14ac:dyDescent="0.2">
      <c r="B330" s="5" t="s">
        <v>152</v>
      </c>
      <c r="C330" s="2" t="s">
        <v>652</v>
      </c>
      <c r="D330" s="3">
        <v>45143</v>
      </c>
      <c r="E330" s="2" t="s">
        <v>1027</v>
      </c>
      <c r="F330" s="2" t="s">
        <v>1029</v>
      </c>
      <c r="G330" s="2" t="s">
        <v>1034</v>
      </c>
      <c r="H330" s="2" t="s">
        <v>1040</v>
      </c>
      <c r="I330" s="2">
        <v>60</v>
      </c>
      <c r="J330" s="2">
        <v>6315900</v>
      </c>
      <c r="K330" s="2">
        <v>7.43</v>
      </c>
      <c r="L330" s="2">
        <v>126348</v>
      </c>
      <c r="M330" s="2">
        <v>874374</v>
      </c>
      <c r="N330" s="2">
        <v>772</v>
      </c>
      <c r="O330" s="2" t="s">
        <v>1043</v>
      </c>
      <c r="P330" s="2">
        <v>0.25</v>
      </c>
      <c r="Q330" s="2">
        <v>0.57999999999999996</v>
      </c>
      <c r="R330" s="2">
        <v>10853100</v>
      </c>
      <c r="S330" s="2">
        <v>28</v>
      </c>
      <c r="T330" s="2">
        <v>3218446</v>
      </c>
      <c r="U330" s="2">
        <v>3535441</v>
      </c>
      <c r="V330" s="2">
        <v>0</v>
      </c>
      <c r="W330" s="2">
        <v>0</v>
      </c>
      <c r="X330" s="2">
        <v>0</v>
      </c>
      <c r="Y330" s="2" t="s">
        <v>1049</v>
      </c>
      <c r="Z330" s="12">
        <f>SUMIF(Table1[product],Table1[[#This Row],[product]],Table1[loan_amount])</f>
        <v>403369500</v>
      </c>
      <c r="AA330" s="15">
        <f>SUMIF(Table1[region],Table1[[#This Row],[region]],Table1[current_balance])</f>
        <v>105779369</v>
      </c>
      <c r="AB330" s="2">
        <f>COUNTIF(Table1[loan_status],Table1[[#This Row],[loan_status]])</f>
        <v>301</v>
      </c>
      <c r="AC330" s="2">
        <f>COUNTIF(Table1[default_flag],1)/ROWS(Table1[loan_id])</f>
        <v>2.5999999999999999E-2</v>
      </c>
      <c r="AD330" s="2">
        <f>COUNTIFS(Table1[region],Table1[[#This Row],[region]],Table1[default_flag],1)/COUNTIF(Table1[region],Table1[[#This Row],[region]])</f>
        <v>2.6548672566371681E-2</v>
      </c>
      <c r="AE330" s="2">
        <f>COUNTIFS(Table1[channel],Table1[[#This Row],[channel]],Table1[prepayment_flag],1)/COUNTIF(Table1[channel],Table1[[#This Row],[channel]])</f>
        <v>7.1090047393364927E-2</v>
      </c>
      <c r="AF330" s="2">
        <f>AVERAGEIFS(Table1[interest_rate_pct],Table1[product],Table1[[#This Row],[product]],Table1[risk_band],Table1[[#This Row],[risk_band]])</f>
        <v>7.1876190476190471</v>
      </c>
      <c r="AG330" s="2" t="str" cm="1">
        <f t="array" ref="AG330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330" s="2">
        <f>COUNTIF(Table1[DTI band],Table1[[#This Row],[DTI band]])</f>
        <v>122</v>
      </c>
      <c r="AI330" s="2" t="str" cm="1">
        <f t="array" ref="AI330">_xlfn.IFS(Table1[[#This Row],[ltv_ratio]] &lt; 0.6, "less than 0.6 -less risky", Table1[[#This Row],[ltv_ratio]]  &lt;= 0.8, "0.6 - 0.8 -medium risky",Table1[[#This Row],[ltv_ratio]] &gt; 0.8, "greater than 0.8 -highly risky")</f>
        <v>less than 0.6 -less risky</v>
      </c>
      <c r="AJ330" s="2">
        <f>COUNTIF(Table1[LTV band],Table1[[#This Row],[LTV band]])</f>
        <v>57</v>
      </c>
      <c r="AK330" s="19">
        <f>COUNTIFS(Table1[count_loan_perband],Table1[[#This Row],[count_loan_perband]],Table1[default_flag],1)/COUNTIF(Table1[count_loan_perband],Table1[[#This Row],[count_loan_perband]])</f>
        <v>0</v>
      </c>
      <c r="AL330" s="19" t="str" cm="1">
        <f t="array" ref="AL330">_xlfn.IFS(Table1[[#This Row],[loan_amount]] &lt; 900000, "lower size (&lt; 9L)", Table1[[#This Row],[loan_amount]] &lt;=3300000, "medium size (&lt;=33L)", Table1[[#This Row],[loan_amount]] &gt; 3300000, "larger size (&gt; 33L)")</f>
        <v>larger size (&gt; 33L)</v>
      </c>
      <c r="AM330" s="19">
        <f>IF(Table1[[#This Row],[dpd]] &gt;=30,1,0)</f>
        <v>0</v>
      </c>
      <c r="AN330" s="19">
        <f>COUNTIFS(Table1[Loan size],Table1[[#This Row],[Loan size]],Table1[dpd flag],1)/COUNTIF(Table1[Loan size],Table1[[#This Row],[Loan size]])</f>
        <v>0.16250000000000001</v>
      </c>
      <c r="AO330" s="19" t="str">
        <f>IF(OR(Table1[[#This Row],[credit_score]] &lt; 600, Table1[ [#This Row],[dti_ratio] ] &gt; 0.5, Table1[[#This Row],[dpd]] &gt;=30), "high risk", " not riskY")</f>
        <v xml:space="preserve"> not riskY</v>
      </c>
      <c r="AP330" s="29">
        <f>EOMONTH(Table1[[#This Row],[origination_date]],0)</f>
        <v>45169</v>
      </c>
      <c r="AQ330" s="19">
        <f>SUMIFS(Table1[loan_amount],Table1[origination month],Table1[[#This Row],[origination month]])</f>
        <v>38355800</v>
      </c>
      <c r="AR330" s="19">
        <f>AVERAGEIFS(Table1[months_on_book],Table1[product],Table1[[#This Row],[product]])</f>
        <v>20.516129032258064</v>
      </c>
      <c r="AS330" s="19" t="str">
        <f ca="1">IF(EDATE(Table1[[#This Row],[origination_date]],6) &gt;= TODAY(), "New Loan", "Old Loan")</f>
        <v>Old Loan</v>
      </c>
      <c r="AT330" s="19" t="str">
        <f>"Q"&amp;ROUNDUP(MONTH(Table1[[#This Row],[origination_date]])/3,0)&amp;YEAR(Table1[[#This Row],[origination_date]])</f>
        <v>Q32023</v>
      </c>
      <c r="AU330" s="19">
        <f>SUMIFS(Table1[loan_amount],Table1[quarter],Table1[[#This Row],[quarter]])</f>
        <v>77300600</v>
      </c>
    </row>
    <row r="331" spans="2:47" x14ac:dyDescent="0.2">
      <c r="B331" s="5" t="s">
        <v>140</v>
      </c>
      <c r="C331" s="2" t="s">
        <v>640</v>
      </c>
      <c r="D331" s="3">
        <v>45150</v>
      </c>
      <c r="E331" s="2" t="s">
        <v>1027</v>
      </c>
      <c r="F331" s="2" t="s">
        <v>1029</v>
      </c>
      <c r="G331" s="2" t="s">
        <v>1034</v>
      </c>
      <c r="H331" s="2" t="s">
        <v>1038</v>
      </c>
      <c r="I331" s="2">
        <v>36</v>
      </c>
      <c r="J331" s="2">
        <v>5751300</v>
      </c>
      <c r="K331" s="2">
        <v>8.1300000000000008</v>
      </c>
      <c r="L331" s="2">
        <v>180570</v>
      </c>
      <c r="M331" s="2">
        <v>1234022</v>
      </c>
      <c r="N331" s="2">
        <v>759</v>
      </c>
      <c r="O331" s="2" t="s">
        <v>1043</v>
      </c>
      <c r="P331" s="2">
        <v>0.23</v>
      </c>
      <c r="Q331" s="2">
        <v>0.63</v>
      </c>
      <c r="R331" s="2">
        <v>9123400</v>
      </c>
      <c r="S331" s="2">
        <v>28</v>
      </c>
      <c r="T331" s="2">
        <v>4322844</v>
      </c>
      <c r="U331" s="2">
        <v>1864865</v>
      </c>
      <c r="V331" s="2">
        <v>0</v>
      </c>
      <c r="W331" s="2">
        <v>1</v>
      </c>
      <c r="X331" s="2">
        <v>0</v>
      </c>
      <c r="Y331" s="2" t="s">
        <v>1047</v>
      </c>
      <c r="Z331" s="12">
        <f>SUMIF(Table1[product],Table1[[#This Row],[product]],Table1[loan_amount])</f>
        <v>403369500</v>
      </c>
      <c r="AA331" s="15">
        <f>SUMIF(Table1[region],Table1[[#This Row],[region]],Table1[current_balance])</f>
        <v>105779369</v>
      </c>
      <c r="AB331" s="2">
        <f>COUNTIF(Table1[loan_status],Table1[[#This Row],[loan_status]])</f>
        <v>139</v>
      </c>
      <c r="AC331" s="2">
        <f>COUNTIF(Table1[default_flag],1)/ROWS(Table1[loan_id])</f>
        <v>2.5999999999999999E-2</v>
      </c>
      <c r="AD331" s="2">
        <f>COUNTIFS(Table1[region],Table1[[#This Row],[region]],Table1[default_flag],1)/COUNTIF(Table1[region],Table1[[#This Row],[region]])</f>
        <v>2.6548672566371681E-2</v>
      </c>
      <c r="AE331" s="2">
        <f>COUNTIFS(Table1[channel],Table1[[#This Row],[channel]],Table1[prepayment_flag],1)/COUNTIF(Table1[channel],Table1[[#This Row],[channel]])</f>
        <v>7.1090047393364927E-2</v>
      </c>
      <c r="AF331" s="2">
        <f>AVERAGEIFS(Table1[interest_rate_pct],Table1[product],Table1[[#This Row],[product]],Table1[risk_band],Table1[[#This Row],[risk_band]])</f>
        <v>7.1876190476190471</v>
      </c>
      <c r="AG331" s="2" t="str" cm="1">
        <f t="array" ref="AG331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331" s="2">
        <f>COUNTIF(Table1[DTI band],Table1[[#This Row],[DTI band]])</f>
        <v>122</v>
      </c>
      <c r="AI331" s="2" t="str" cm="1">
        <f t="array" ref="AI331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331" s="2">
        <f>COUNTIF(Table1[LTV band],Table1[[#This Row],[LTV band]])</f>
        <v>302</v>
      </c>
      <c r="AK331" s="19">
        <f>COUNTIFS(Table1[count_loan_perband],Table1[[#This Row],[count_loan_perband]],Table1[default_flag],1)/COUNTIF(Table1[count_loan_perband],Table1[[#This Row],[count_loan_perband]])</f>
        <v>3.6423841059602648E-2</v>
      </c>
      <c r="AL331" s="19" t="str" cm="1">
        <f t="array" ref="AL331">_xlfn.IFS(Table1[[#This Row],[loan_amount]] &lt; 900000, "lower size (&lt; 9L)", Table1[[#This Row],[loan_amount]] &lt;=3300000, "medium size (&lt;=33L)", Table1[[#This Row],[loan_amount]] &gt; 3300000, "larger size (&gt; 33L)")</f>
        <v>larger size (&gt; 33L)</v>
      </c>
      <c r="AM331" s="19">
        <f>IF(Table1[[#This Row],[dpd]] &gt;=30,1,0)</f>
        <v>0</v>
      </c>
      <c r="AN331" s="19">
        <f>COUNTIFS(Table1[Loan size],Table1[[#This Row],[Loan size]],Table1[dpd flag],1)/COUNTIF(Table1[Loan size],Table1[[#This Row],[Loan size]])</f>
        <v>0.16250000000000001</v>
      </c>
      <c r="AO331" s="19" t="str">
        <f>IF(OR(Table1[[#This Row],[credit_score]] &lt; 600, Table1[ [#This Row],[dti_ratio] ] &gt; 0.5, Table1[[#This Row],[dpd]] &gt;=30), "high risk", " not riskY")</f>
        <v xml:space="preserve"> not riskY</v>
      </c>
      <c r="AP331" s="29">
        <f>EOMONTH(Table1[[#This Row],[origination_date]],0)</f>
        <v>45169</v>
      </c>
      <c r="AQ331" s="19">
        <f>SUMIFS(Table1[loan_amount],Table1[origination month],Table1[[#This Row],[origination month]])</f>
        <v>38355800</v>
      </c>
      <c r="AR331" s="19">
        <f>AVERAGEIFS(Table1[months_on_book],Table1[product],Table1[[#This Row],[product]])</f>
        <v>20.516129032258064</v>
      </c>
      <c r="AS331" s="19" t="str">
        <f ca="1">IF(EDATE(Table1[[#This Row],[origination_date]],6) &gt;= TODAY(), "New Loan", "Old Loan")</f>
        <v>Old Loan</v>
      </c>
      <c r="AT331" s="19" t="str">
        <f>"Q"&amp;ROUNDUP(MONTH(Table1[[#This Row],[origination_date]])/3,0)&amp;YEAR(Table1[[#This Row],[origination_date]])</f>
        <v>Q32023</v>
      </c>
      <c r="AU331" s="19">
        <f>SUMIFS(Table1[loan_amount],Table1[quarter],Table1[[#This Row],[quarter]])</f>
        <v>77300600</v>
      </c>
    </row>
    <row r="332" spans="2:47" x14ac:dyDescent="0.2">
      <c r="B332" s="5" t="s">
        <v>228</v>
      </c>
      <c r="C332" s="2" t="s">
        <v>728</v>
      </c>
      <c r="D332" s="3">
        <v>45131</v>
      </c>
      <c r="E332" s="2" t="s">
        <v>1028</v>
      </c>
      <c r="F332" s="2" t="s">
        <v>1030</v>
      </c>
      <c r="G332" s="2" t="s">
        <v>1034</v>
      </c>
      <c r="H332" s="2" t="s">
        <v>1041</v>
      </c>
      <c r="I332" s="2">
        <v>360</v>
      </c>
      <c r="J332" s="2">
        <v>1204500</v>
      </c>
      <c r="K332" s="2">
        <v>9.44</v>
      </c>
      <c r="L332" s="2">
        <v>10075</v>
      </c>
      <c r="M332" s="2">
        <v>1188302</v>
      </c>
      <c r="N332" s="2">
        <v>769</v>
      </c>
      <c r="O332" s="2" t="s">
        <v>1043</v>
      </c>
      <c r="P332" s="2">
        <v>0.23</v>
      </c>
      <c r="Q332" s="2">
        <v>0.81</v>
      </c>
      <c r="R332" s="2">
        <v>0</v>
      </c>
      <c r="S332" s="2">
        <v>29</v>
      </c>
      <c r="T332" s="2">
        <v>291859</v>
      </c>
      <c r="U332" s="2">
        <v>1022556</v>
      </c>
      <c r="V332" s="2">
        <v>0</v>
      </c>
      <c r="W332" s="2">
        <v>0</v>
      </c>
      <c r="X332" s="2">
        <v>0</v>
      </c>
      <c r="Y332" s="2" t="s">
        <v>1049</v>
      </c>
      <c r="Z332" s="12">
        <f>SUMIF(Table1[product],Table1[[#This Row],[product]],Table1[loan_amount])</f>
        <v>62765800</v>
      </c>
      <c r="AA332" s="15">
        <f>SUMIF(Table1[region],Table1[[#This Row],[region]],Table1[current_balance])</f>
        <v>105779369</v>
      </c>
      <c r="AB332" s="2">
        <f>COUNTIF(Table1[loan_status],Table1[[#This Row],[loan_status]])</f>
        <v>301</v>
      </c>
      <c r="AC332" s="2">
        <f>COUNTIF(Table1[default_flag],1)/ROWS(Table1[loan_id])</f>
        <v>2.5999999999999999E-2</v>
      </c>
      <c r="AD332" s="2">
        <f>COUNTIFS(Table1[region],Table1[[#This Row],[region]],Table1[default_flag],1)/COUNTIF(Table1[region],Table1[[#This Row],[region]])</f>
        <v>2.6548672566371681E-2</v>
      </c>
      <c r="AE332" s="2">
        <f>COUNTIFS(Table1[channel],Table1[[#This Row],[channel]],Table1[prepayment_flag],1)/COUNTIF(Table1[channel],Table1[[#This Row],[channel]])</f>
        <v>5.8201058201058198E-2</v>
      </c>
      <c r="AF332" s="2">
        <f>AVERAGEIFS(Table1[interest_rate_pct],Table1[product],Table1[[#This Row],[product]],Table1[risk_band],Table1[[#This Row],[risk_band]])</f>
        <v>8.5057142857142871</v>
      </c>
      <c r="AG332" s="2" t="str" cm="1">
        <f t="array" ref="AG332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332" s="2">
        <f>COUNTIF(Table1[DTI band],Table1[[#This Row],[DTI band]])</f>
        <v>122</v>
      </c>
      <c r="AI332" s="2" t="str" cm="1">
        <f t="array" ref="AI332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332" s="2">
        <f>COUNTIF(Table1[LTV band],Table1[[#This Row],[LTV band]])</f>
        <v>141</v>
      </c>
      <c r="AK332" s="19">
        <f>COUNTIFS(Table1[count_loan_perband],Table1[[#This Row],[count_loan_perband]],Table1[default_flag],1)/COUNTIF(Table1[count_loan_perband],Table1[[#This Row],[count_loan_perband]])</f>
        <v>1.4184397163120567E-2</v>
      </c>
      <c r="AL332" s="19" t="str" cm="1">
        <f t="array" ref="AL332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332" s="19">
        <f>IF(Table1[[#This Row],[dpd]] &gt;=30,1,0)</f>
        <v>0</v>
      </c>
      <c r="AN332" s="19">
        <f>COUNTIFS(Table1[Loan size],Table1[[#This Row],[Loan size]],Table1[dpd flag],1)/COUNTIF(Table1[Loan size],Table1[[#This Row],[Loan size]])</f>
        <v>0.15909090909090909</v>
      </c>
      <c r="AO332" s="19" t="str">
        <f>IF(OR(Table1[[#This Row],[credit_score]] &lt; 600, Table1[ [#This Row],[dti_ratio] ] &gt; 0.5, Table1[[#This Row],[dpd]] &gt;=30), "high risk", " not riskY")</f>
        <v xml:space="preserve"> not riskY</v>
      </c>
      <c r="AP332" s="29">
        <f>EOMONTH(Table1[[#This Row],[origination_date]],0)</f>
        <v>45138</v>
      </c>
      <c r="AQ332" s="19">
        <f>SUMIFS(Table1[loan_amount],Table1[origination month],Table1[[#This Row],[origination month]])</f>
        <v>25129700</v>
      </c>
      <c r="AR332" s="19">
        <f>AVERAGEIFS(Table1[months_on_book],Table1[product],Table1[[#This Row],[product]])</f>
        <v>21.962962962962962</v>
      </c>
      <c r="AS332" s="19" t="str">
        <f ca="1">IF(EDATE(Table1[[#This Row],[origination_date]],6) &gt;= TODAY(), "New Loan", "Old Loan")</f>
        <v>Old Loan</v>
      </c>
      <c r="AT332" s="19" t="str">
        <f>"Q"&amp;ROUNDUP(MONTH(Table1[[#This Row],[origination_date]])/3,0)&amp;YEAR(Table1[[#This Row],[origination_date]])</f>
        <v>Q32023</v>
      </c>
      <c r="AU332" s="19">
        <f>SUMIFS(Table1[loan_amount],Table1[quarter],Table1[[#This Row],[quarter]])</f>
        <v>77300600</v>
      </c>
    </row>
    <row r="333" spans="2:47" x14ac:dyDescent="0.2">
      <c r="B333" s="5" t="s">
        <v>468</v>
      </c>
      <c r="C333" s="2" t="s">
        <v>968</v>
      </c>
      <c r="D333" s="3">
        <v>45169</v>
      </c>
      <c r="E333" s="2" t="s">
        <v>1025</v>
      </c>
      <c r="F333" s="2" t="s">
        <v>1029</v>
      </c>
      <c r="G333" s="2" t="s">
        <v>1037</v>
      </c>
      <c r="H333" s="2" t="s">
        <v>1038</v>
      </c>
      <c r="I333" s="2">
        <v>24</v>
      </c>
      <c r="J333" s="2">
        <v>2468500</v>
      </c>
      <c r="K333" s="2">
        <v>13.41</v>
      </c>
      <c r="L333" s="2">
        <v>117833</v>
      </c>
      <c r="M333" s="2">
        <v>1094569</v>
      </c>
      <c r="N333" s="2">
        <v>752</v>
      </c>
      <c r="O333" s="2" t="s">
        <v>1043</v>
      </c>
      <c r="P333" s="2">
        <v>0.21</v>
      </c>
      <c r="Q333" s="2">
        <v>0.84</v>
      </c>
      <c r="R333" s="2">
        <v>2940100</v>
      </c>
      <c r="S333" s="2">
        <v>24</v>
      </c>
      <c r="T333" s="2">
        <v>2736049</v>
      </c>
      <c r="U333" s="2">
        <v>0</v>
      </c>
      <c r="V333" s="2">
        <v>0</v>
      </c>
      <c r="W333" s="2">
        <v>0</v>
      </c>
      <c r="X333" s="2">
        <v>0</v>
      </c>
      <c r="Y333" s="2" t="s">
        <v>1047</v>
      </c>
      <c r="Z333" s="12">
        <f>SUMIF(Table1[product],Table1[[#This Row],[product]],Table1[loan_amount])</f>
        <v>201475100</v>
      </c>
      <c r="AA333" s="15">
        <f>SUMIF(Table1[region],Table1[[#This Row],[region]],Table1[current_balance])</f>
        <v>94548000</v>
      </c>
      <c r="AB333" s="2">
        <f>COUNTIF(Table1[loan_status],Table1[[#This Row],[loan_status]])</f>
        <v>139</v>
      </c>
      <c r="AC333" s="2">
        <f>COUNTIF(Table1[default_flag],1)/ROWS(Table1[loan_id])</f>
        <v>2.5999999999999999E-2</v>
      </c>
      <c r="AD333" s="2">
        <f>COUNTIFS(Table1[region],Table1[[#This Row],[region]],Table1[default_flag],1)/COUNTIF(Table1[region],Table1[[#This Row],[region]])</f>
        <v>0</v>
      </c>
      <c r="AE333" s="2">
        <f>COUNTIFS(Table1[channel],Table1[[#This Row],[channel]],Table1[prepayment_flag],1)/COUNTIF(Table1[channel],Table1[[#This Row],[channel]])</f>
        <v>7.1090047393364927E-2</v>
      </c>
      <c r="AF333" s="2">
        <f>AVERAGEIFS(Table1[interest_rate_pct],Table1[product],Table1[[#This Row],[product]],Table1[risk_band],Table1[[#This Row],[risk_band]])</f>
        <v>10.537499999999998</v>
      </c>
      <c r="AG333" s="2" t="str" cm="1">
        <f t="array" ref="AG333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333" s="2">
        <f>COUNTIF(Table1[DTI band],Table1[[#This Row],[DTI band]])</f>
        <v>122</v>
      </c>
      <c r="AI333" s="2" t="str" cm="1">
        <f t="array" ref="AI333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333" s="2">
        <f>COUNTIF(Table1[LTV band],Table1[[#This Row],[LTV band]])</f>
        <v>141</v>
      </c>
      <c r="AK333" s="19">
        <f>COUNTIFS(Table1[count_loan_perband],Table1[[#This Row],[count_loan_perband]],Table1[default_flag],1)/COUNTIF(Table1[count_loan_perband],Table1[[#This Row],[count_loan_perband]])</f>
        <v>1.4184397163120567E-2</v>
      </c>
      <c r="AL333" s="19" t="str" cm="1">
        <f t="array" ref="AL333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333" s="19">
        <f>IF(Table1[[#This Row],[dpd]] &gt;=30,1,0)</f>
        <v>0</v>
      </c>
      <c r="AN333" s="19">
        <f>COUNTIFS(Table1[Loan size],Table1[[#This Row],[Loan size]],Table1[dpd flag],1)/COUNTIF(Table1[Loan size],Table1[[#This Row],[Loan size]])</f>
        <v>0.15909090909090909</v>
      </c>
      <c r="AO333" s="19" t="str">
        <f>IF(OR(Table1[[#This Row],[credit_score]] &lt; 600, Table1[ [#This Row],[dti_ratio] ] &gt; 0.5, Table1[[#This Row],[dpd]] &gt;=30), "high risk", " not riskY")</f>
        <v xml:space="preserve"> not riskY</v>
      </c>
      <c r="AP333" s="29">
        <f>EOMONTH(Table1[[#This Row],[origination_date]],0)</f>
        <v>45169</v>
      </c>
      <c r="AQ333" s="19">
        <f>SUMIFS(Table1[loan_amount],Table1[origination month],Table1[[#This Row],[origination month]])</f>
        <v>38355800</v>
      </c>
      <c r="AR333" s="19">
        <f>AVERAGEIFS(Table1[months_on_book],Table1[product],Table1[[#This Row],[product]])</f>
        <v>19.091954022988507</v>
      </c>
      <c r="AS333" s="19" t="str">
        <f ca="1">IF(EDATE(Table1[[#This Row],[origination_date]],6) &gt;= TODAY(), "New Loan", "Old Loan")</f>
        <v>Old Loan</v>
      </c>
      <c r="AT333" s="19" t="str">
        <f>"Q"&amp;ROUNDUP(MONTH(Table1[[#This Row],[origination_date]])/3,0)&amp;YEAR(Table1[[#This Row],[origination_date]])</f>
        <v>Q32023</v>
      </c>
      <c r="AU333" s="19">
        <f>SUMIFS(Table1[loan_amount],Table1[quarter],Table1[[#This Row],[quarter]])</f>
        <v>77300600</v>
      </c>
    </row>
    <row r="334" spans="2:47" x14ac:dyDescent="0.2">
      <c r="B334" s="5" t="s">
        <v>387</v>
      </c>
      <c r="C334" s="2" t="s">
        <v>887</v>
      </c>
      <c r="D334" s="3">
        <v>45116</v>
      </c>
      <c r="E334" s="2" t="s">
        <v>1026</v>
      </c>
      <c r="F334" s="2" t="s">
        <v>1030</v>
      </c>
      <c r="G334" s="2" t="s">
        <v>1037</v>
      </c>
      <c r="H334" s="2" t="s">
        <v>1038</v>
      </c>
      <c r="I334" s="2">
        <v>60</v>
      </c>
      <c r="J334" s="2">
        <v>514200</v>
      </c>
      <c r="K334" s="2">
        <v>15.48</v>
      </c>
      <c r="L334" s="2">
        <v>12363</v>
      </c>
      <c r="M334" s="2">
        <v>792506</v>
      </c>
      <c r="N334" s="2">
        <v>738</v>
      </c>
      <c r="O334" s="2" t="s">
        <v>1044</v>
      </c>
      <c r="P334" s="2">
        <v>0.2</v>
      </c>
      <c r="Q334" s="2">
        <v>0.89</v>
      </c>
      <c r="R334" s="2">
        <v>0</v>
      </c>
      <c r="S334" s="2">
        <v>29</v>
      </c>
      <c r="T334" s="2">
        <v>340351</v>
      </c>
      <c r="U334" s="2">
        <v>250794</v>
      </c>
      <c r="V334" s="2">
        <v>0</v>
      </c>
      <c r="W334" s="2">
        <v>0</v>
      </c>
      <c r="X334" s="2">
        <v>0</v>
      </c>
      <c r="Y334" s="2" t="s">
        <v>1049</v>
      </c>
      <c r="Z334" s="12">
        <f>SUMIF(Table1[product],Table1[[#This Row],[product]],Table1[loan_amount])</f>
        <v>74897600</v>
      </c>
      <c r="AA334" s="15">
        <f>SUMIF(Table1[region],Table1[[#This Row],[region]],Table1[current_balance])</f>
        <v>94548000</v>
      </c>
      <c r="AB334" s="2">
        <f>COUNTIF(Table1[loan_status],Table1[[#This Row],[loan_status]])</f>
        <v>301</v>
      </c>
      <c r="AC334" s="2">
        <f>COUNTIF(Table1[default_flag],1)/ROWS(Table1[loan_id])</f>
        <v>2.5999999999999999E-2</v>
      </c>
      <c r="AD334" s="2">
        <f>COUNTIFS(Table1[region],Table1[[#This Row],[region]],Table1[default_flag],1)/COUNTIF(Table1[region],Table1[[#This Row],[region]])</f>
        <v>0</v>
      </c>
      <c r="AE334" s="2">
        <f>COUNTIFS(Table1[channel],Table1[[#This Row],[channel]],Table1[prepayment_flag],1)/COUNTIF(Table1[channel],Table1[[#This Row],[channel]])</f>
        <v>5.8201058201058198E-2</v>
      </c>
      <c r="AF334" s="2">
        <f>AVERAGEIFS(Table1[interest_rate_pct],Table1[product],Table1[[#This Row],[product]],Table1[risk_band],Table1[[#This Row],[risk_band]])</f>
        <v>16.500166666666669</v>
      </c>
      <c r="AG334" s="2" t="str" cm="1">
        <f t="array" ref="AG334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334" s="2">
        <f>COUNTIF(Table1[DTI band],Table1[[#This Row],[DTI band]])</f>
        <v>122</v>
      </c>
      <c r="AI334" s="2" t="str" cm="1">
        <f t="array" ref="AI334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334" s="2">
        <f>COUNTIF(Table1[LTV band],Table1[[#This Row],[LTV band]])</f>
        <v>141</v>
      </c>
      <c r="AK334" s="19">
        <f>COUNTIFS(Table1[count_loan_perband],Table1[[#This Row],[count_loan_perband]],Table1[default_flag],1)/COUNTIF(Table1[count_loan_perband],Table1[[#This Row],[count_loan_perband]])</f>
        <v>1.4184397163120567E-2</v>
      </c>
      <c r="AL334" s="19" t="str" cm="1">
        <f t="array" ref="AL334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334" s="19">
        <f>IF(Table1[[#This Row],[dpd]] &gt;=30,1,0)</f>
        <v>0</v>
      </c>
      <c r="AN334" s="19">
        <f>COUNTIFS(Table1[Loan size],Table1[[#This Row],[Loan size]],Table1[dpd flag],1)/COUNTIF(Table1[Loan size],Table1[[#This Row],[Loan size]])</f>
        <v>0.13934426229508196</v>
      </c>
      <c r="AO334" s="19" t="str">
        <f>IF(OR(Table1[[#This Row],[credit_score]] &lt; 600, Table1[ [#This Row],[dti_ratio] ] &gt; 0.5, Table1[[#This Row],[dpd]] &gt;=30), "high risk", " not riskY")</f>
        <v xml:space="preserve"> not riskY</v>
      </c>
      <c r="AP334" s="29">
        <f>EOMONTH(Table1[[#This Row],[origination_date]],0)</f>
        <v>45138</v>
      </c>
      <c r="AQ334" s="19">
        <f>SUMIFS(Table1[loan_amount],Table1[origination month],Table1[[#This Row],[origination month]])</f>
        <v>25129700</v>
      </c>
      <c r="AR334" s="19">
        <f>AVERAGEIFS(Table1[months_on_book],Table1[product],Table1[[#This Row],[product]])</f>
        <v>21.092024539877301</v>
      </c>
      <c r="AS334" s="19" t="str">
        <f ca="1">IF(EDATE(Table1[[#This Row],[origination_date]],6) &gt;= TODAY(), "New Loan", "Old Loan")</f>
        <v>Old Loan</v>
      </c>
      <c r="AT334" s="19" t="str">
        <f>"Q"&amp;ROUNDUP(MONTH(Table1[[#This Row],[origination_date]])/3,0)&amp;YEAR(Table1[[#This Row],[origination_date]])</f>
        <v>Q32023</v>
      </c>
      <c r="AU334" s="19">
        <f>SUMIFS(Table1[loan_amount],Table1[quarter],Table1[[#This Row],[quarter]])</f>
        <v>77300600</v>
      </c>
    </row>
    <row r="335" spans="2:47" x14ac:dyDescent="0.2">
      <c r="B335" s="5" t="s">
        <v>104</v>
      </c>
      <c r="C335" s="2" t="s">
        <v>604</v>
      </c>
      <c r="D335" s="3">
        <v>45111</v>
      </c>
      <c r="E335" s="2" t="s">
        <v>1025</v>
      </c>
      <c r="F335" s="2" t="s">
        <v>1029</v>
      </c>
      <c r="G335" s="2" t="s">
        <v>1033</v>
      </c>
      <c r="H335" s="2" t="s">
        <v>1038</v>
      </c>
      <c r="I335" s="2">
        <v>48</v>
      </c>
      <c r="J335" s="2">
        <v>2736100</v>
      </c>
      <c r="K335" s="2">
        <v>12.85</v>
      </c>
      <c r="L335" s="2">
        <v>73199</v>
      </c>
      <c r="M335" s="2">
        <v>869258</v>
      </c>
      <c r="N335" s="2">
        <v>741</v>
      </c>
      <c r="O335" s="2" t="s">
        <v>1044</v>
      </c>
      <c r="P335" s="2">
        <v>0.15</v>
      </c>
      <c r="Q335" s="2">
        <v>0.64</v>
      </c>
      <c r="R335" s="2">
        <v>4282900</v>
      </c>
      <c r="S335" s="2">
        <v>29</v>
      </c>
      <c r="T335" s="2">
        <v>1999442</v>
      </c>
      <c r="U335" s="2">
        <v>1076527</v>
      </c>
      <c r="V335" s="2">
        <v>0</v>
      </c>
      <c r="W335" s="2">
        <v>0</v>
      </c>
      <c r="X335" s="2">
        <v>0</v>
      </c>
      <c r="Y335" s="2" t="s">
        <v>1049</v>
      </c>
      <c r="Z335" s="12">
        <f>SUMIF(Table1[product],Table1[[#This Row],[product]],Table1[loan_amount])</f>
        <v>201475100</v>
      </c>
      <c r="AA335" s="15">
        <f>SUMIF(Table1[region],Table1[[#This Row],[region]],Table1[current_balance])</f>
        <v>83297251</v>
      </c>
      <c r="AB335" s="2">
        <f>COUNTIF(Table1[loan_status],Table1[[#This Row],[loan_status]])</f>
        <v>301</v>
      </c>
      <c r="AC335" s="2">
        <f>COUNTIF(Table1[default_flag],1)/ROWS(Table1[loan_id])</f>
        <v>2.5999999999999999E-2</v>
      </c>
      <c r="AD335" s="2">
        <f>COUNTIFS(Table1[region],Table1[[#This Row],[region]],Table1[default_flag],1)/COUNTIF(Table1[region],Table1[[#This Row],[region]])</f>
        <v>3.1914893617021274E-2</v>
      </c>
      <c r="AE335" s="2">
        <f>COUNTIFS(Table1[channel],Table1[[#This Row],[channel]],Table1[prepayment_flag],1)/COUNTIF(Table1[channel],Table1[[#This Row],[channel]])</f>
        <v>7.1090047393364927E-2</v>
      </c>
      <c r="AF335" s="2">
        <f>AVERAGEIFS(Table1[interest_rate_pct],Table1[product],Table1[[#This Row],[product]],Table1[risk_band],Table1[[#This Row],[risk_band]])</f>
        <v>13.042631578947367</v>
      </c>
      <c r="AG335" s="2" t="str" cm="1">
        <f t="array" ref="AG335">_xlfn.IFS(Table1[[#This Row],[dti_ratio]] &lt; 0.2, " less than 0.2", Table1[[#This Row],[dti_ratio]] &lt; 0.3, "0.2 - 0.3", Table1[[#This Row],[dti_ratio]] &lt;= 0.5, "0.35 - 0.5", Table1[[#This Row],[dti_ratio]] &gt; 0.5, "greater than 0.5")</f>
        <v xml:space="preserve"> less than 0.2</v>
      </c>
      <c r="AH335" s="2">
        <f>COUNTIF(Table1[DTI band],Table1[[#This Row],[DTI band]])</f>
        <v>86</v>
      </c>
      <c r="AI335" s="2" t="str" cm="1">
        <f t="array" ref="AI335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335" s="2">
        <f>COUNTIF(Table1[LTV band],Table1[[#This Row],[LTV band]])</f>
        <v>302</v>
      </c>
      <c r="AK335" s="19">
        <f>COUNTIFS(Table1[count_loan_perband],Table1[[#This Row],[count_loan_perband]],Table1[default_flag],1)/COUNTIF(Table1[count_loan_perband],Table1[[#This Row],[count_loan_perband]])</f>
        <v>3.6423841059602648E-2</v>
      </c>
      <c r="AL335" s="19" t="str" cm="1">
        <f t="array" ref="AL335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335" s="19">
        <f>IF(Table1[[#This Row],[dpd]] &gt;=30,1,0)</f>
        <v>0</v>
      </c>
      <c r="AN335" s="19">
        <f>COUNTIFS(Table1[Loan size],Table1[[#This Row],[Loan size]],Table1[dpd flag],1)/COUNTIF(Table1[Loan size],Table1[[#This Row],[Loan size]])</f>
        <v>0.15909090909090909</v>
      </c>
      <c r="AO335" s="19" t="str">
        <f>IF(OR(Table1[[#This Row],[credit_score]] &lt; 600, Table1[ [#This Row],[dti_ratio] ] &gt; 0.5, Table1[[#This Row],[dpd]] &gt;=30), "high risk", " not riskY")</f>
        <v xml:space="preserve"> not riskY</v>
      </c>
      <c r="AP335" s="29">
        <f>EOMONTH(Table1[[#This Row],[origination_date]],0)</f>
        <v>45138</v>
      </c>
      <c r="AQ335" s="19">
        <f>SUMIFS(Table1[loan_amount],Table1[origination month],Table1[[#This Row],[origination month]])</f>
        <v>25129700</v>
      </c>
      <c r="AR335" s="19">
        <f>AVERAGEIFS(Table1[months_on_book],Table1[product],Table1[[#This Row],[product]])</f>
        <v>19.091954022988507</v>
      </c>
      <c r="AS335" s="19" t="str">
        <f ca="1">IF(EDATE(Table1[[#This Row],[origination_date]],6) &gt;= TODAY(), "New Loan", "Old Loan")</f>
        <v>Old Loan</v>
      </c>
      <c r="AT335" s="19" t="str">
        <f>"Q"&amp;ROUNDUP(MONTH(Table1[[#This Row],[origination_date]])/3,0)&amp;YEAR(Table1[[#This Row],[origination_date]])</f>
        <v>Q32023</v>
      </c>
      <c r="AU335" s="19">
        <f>SUMIFS(Table1[loan_amount],Table1[quarter],Table1[[#This Row],[quarter]])</f>
        <v>77300600</v>
      </c>
    </row>
    <row r="336" spans="2:47" x14ac:dyDescent="0.2">
      <c r="B336" s="5" t="s">
        <v>472</v>
      </c>
      <c r="C336" s="2" t="s">
        <v>972</v>
      </c>
      <c r="D336" s="3">
        <v>45155</v>
      </c>
      <c r="E336" s="2" t="s">
        <v>1027</v>
      </c>
      <c r="F336" s="2" t="s">
        <v>1030</v>
      </c>
      <c r="G336" s="2" t="s">
        <v>1034</v>
      </c>
      <c r="H336" s="2" t="s">
        <v>1038</v>
      </c>
      <c r="I336" s="2">
        <v>24</v>
      </c>
      <c r="J336" s="2">
        <v>5541900</v>
      </c>
      <c r="K336" s="2">
        <v>7</v>
      </c>
      <c r="L336" s="2">
        <v>248125</v>
      </c>
      <c r="M336" s="2">
        <v>427353</v>
      </c>
      <c r="N336" s="2">
        <v>812</v>
      </c>
      <c r="O336" s="2" t="s">
        <v>1043</v>
      </c>
      <c r="P336" s="2">
        <v>0.15</v>
      </c>
      <c r="Q336" s="2">
        <v>0.72</v>
      </c>
      <c r="R336" s="2">
        <v>7745900</v>
      </c>
      <c r="S336" s="2">
        <v>24</v>
      </c>
      <c r="T336" s="2">
        <v>5190183</v>
      </c>
      <c r="U336" s="2">
        <v>662063</v>
      </c>
      <c r="V336" s="2">
        <v>0</v>
      </c>
      <c r="W336" s="2">
        <v>0</v>
      </c>
      <c r="X336" s="2">
        <v>0</v>
      </c>
      <c r="Y336" s="2" t="s">
        <v>1047</v>
      </c>
      <c r="Z336" s="12">
        <f>SUMIF(Table1[product],Table1[[#This Row],[product]],Table1[loan_amount])</f>
        <v>403369500</v>
      </c>
      <c r="AA336" s="15">
        <f>SUMIF(Table1[region],Table1[[#This Row],[region]],Table1[current_balance])</f>
        <v>105779369</v>
      </c>
      <c r="AB336" s="2">
        <f>COUNTIF(Table1[loan_status],Table1[[#This Row],[loan_status]])</f>
        <v>139</v>
      </c>
      <c r="AC336" s="2">
        <f>COUNTIF(Table1[default_flag],1)/ROWS(Table1[loan_id])</f>
        <v>2.5999999999999999E-2</v>
      </c>
      <c r="AD336" s="2">
        <f>COUNTIFS(Table1[region],Table1[[#This Row],[region]],Table1[default_flag],1)/COUNTIF(Table1[region],Table1[[#This Row],[region]])</f>
        <v>2.6548672566371681E-2</v>
      </c>
      <c r="AE336" s="2">
        <f>COUNTIFS(Table1[channel],Table1[[#This Row],[channel]],Table1[prepayment_flag],1)/COUNTIF(Table1[channel],Table1[[#This Row],[channel]])</f>
        <v>5.8201058201058198E-2</v>
      </c>
      <c r="AF336" s="2">
        <f>AVERAGEIFS(Table1[interest_rate_pct],Table1[product],Table1[[#This Row],[product]],Table1[risk_band],Table1[[#This Row],[risk_band]])</f>
        <v>7.1876190476190471</v>
      </c>
      <c r="AG336" s="2" t="str" cm="1">
        <f t="array" ref="AG336">_xlfn.IFS(Table1[[#This Row],[dti_ratio]] &lt; 0.2, " less than 0.2", Table1[[#This Row],[dti_ratio]] &lt; 0.3, "0.2 - 0.3", Table1[[#This Row],[dti_ratio]] &lt;= 0.5, "0.35 - 0.5", Table1[[#This Row],[dti_ratio]] &gt; 0.5, "greater than 0.5")</f>
        <v xml:space="preserve"> less than 0.2</v>
      </c>
      <c r="AH336" s="2">
        <f>COUNTIF(Table1[DTI band],Table1[[#This Row],[DTI band]])</f>
        <v>86</v>
      </c>
      <c r="AI336" s="2" t="str" cm="1">
        <f t="array" ref="AI336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336" s="2">
        <f>COUNTIF(Table1[LTV band],Table1[[#This Row],[LTV band]])</f>
        <v>302</v>
      </c>
      <c r="AK336" s="19">
        <f>COUNTIFS(Table1[count_loan_perband],Table1[[#This Row],[count_loan_perband]],Table1[default_flag],1)/COUNTIF(Table1[count_loan_perband],Table1[[#This Row],[count_loan_perband]])</f>
        <v>3.6423841059602648E-2</v>
      </c>
      <c r="AL336" s="19" t="str" cm="1">
        <f t="array" ref="AL336">_xlfn.IFS(Table1[[#This Row],[loan_amount]] &lt; 900000, "lower size (&lt; 9L)", Table1[[#This Row],[loan_amount]] &lt;=3300000, "medium size (&lt;=33L)", Table1[[#This Row],[loan_amount]] &gt; 3300000, "larger size (&gt; 33L)")</f>
        <v>larger size (&gt; 33L)</v>
      </c>
      <c r="AM336" s="19">
        <f>IF(Table1[[#This Row],[dpd]] &gt;=30,1,0)</f>
        <v>0</v>
      </c>
      <c r="AN336" s="19">
        <f>COUNTIFS(Table1[Loan size],Table1[[#This Row],[Loan size]],Table1[dpd flag],1)/COUNTIF(Table1[Loan size],Table1[[#This Row],[Loan size]])</f>
        <v>0.16250000000000001</v>
      </c>
      <c r="AO336" s="19" t="str">
        <f>IF(OR(Table1[[#This Row],[credit_score]] &lt; 600, Table1[ [#This Row],[dti_ratio] ] &gt; 0.5, Table1[[#This Row],[dpd]] &gt;=30), "high risk", " not riskY")</f>
        <v xml:space="preserve"> not riskY</v>
      </c>
      <c r="AP336" s="29">
        <f>EOMONTH(Table1[[#This Row],[origination_date]],0)</f>
        <v>45169</v>
      </c>
      <c r="AQ336" s="19">
        <f>SUMIFS(Table1[loan_amount],Table1[origination month],Table1[[#This Row],[origination month]])</f>
        <v>38355800</v>
      </c>
      <c r="AR336" s="19">
        <f>AVERAGEIFS(Table1[months_on_book],Table1[product],Table1[[#This Row],[product]])</f>
        <v>20.516129032258064</v>
      </c>
      <c r="AS336" s="19" t="str">
        <f ca="1">IF(EDATE(Table1[[#This Row],[origination_date]],6) &gt;= TODAY(), "New Loan", "Old Loan")</f>
        <v>Old Loan</v>
      </c>
      <c r="AT336" s="19" t="str">
        <f>"Q"&amp;ROUNDUP(MONTH(Table1[[#This Row],[origination_date]])/3,0)&amp;YEAR(Table1[[#This Row],[origination_date]])</f>
        <v>Q32023</v>
      </c>
      <c r="AU336" s="19">
        <f>SUMIFS(Table1[loan_amount],Table1[quarter],Table1[[#This Row],[quarter]])</f>
        <v>77300600</v>
      </c>
    </row>
    <row r="337" spans="2:47" x14ac:dyDescent="0.2">
      <c r="B337" s="5" t="s">
        <v>144</v>
      </c>
      <c r="C337" s="2" t="s">
        <v>644</v>
      </c>
      <c r="D337" s="3">
        <v>45158</v>
      </c>
      <c r="E337" s="2" t="s">
        <v>1026</v>
      </c>
      <c r="F337" s="2" t="s">
        <v>1029</v>
      </c>
      <c r="G337" s="2" t="s">
        <v>1037</v>
      </c>
      <c r="H337" s="2" t="s">
        <v>1039</v>
      </c>
      <c r="I337" s="2">
        <v>18</v>
      </c>
      <c r="J337" s="2">
        <v>424100</v>
      </c>
      <c r="K337" s="2">
        <v>20.04</v>
      </c>
      <c r="L337" s="2">
        <v>27474</v>
      </c>
      <c r="M337" s="2">
        <v>893034</v>
      </c>
      <c r="N337" s="2">
        <v>630</v>
      </c>
      <c r="O337" s="2" t="s">
        <v>1045</v>
      </c>
      <c r="P337" s="2">
        <v>0.11</v>
      </c>
      <c r="Q337" s="2">
        <v>0.73</v>
      </c>
      <c r="R337" s="2">
        <v>0</v>
      </c>
      <c r="S337" s="2">
        <v>18</v>
      </c>
      <c r="T337" s="2">
        <v>442316</v>
      </c>
      <c r="U337" s="2">
        <v>32778</v>
      </c>
      <c r="V337" s="2">
        <v>0</v>
      </c>
      <c r="W337" s="2">
        <v>0</v>
      </c>
      <c r="X337" s="2">
        <v>0</v>
      </c>
      <c r="Y337" s="2" t="s">
        <v>1047</v>
      </c>
      <c r="Z337" s="12">
        <f>SUMIF(Table1[product],Table1[[#This Row],[product]],Table1[loan_amount])</f>
        <v>74897600</v>
      </c>
      <c r="AA337" s="15">
        <f>SUMIF(Table1[region],Table1[[#This Row],[region]],Table1[current_balance])</f>
        <v>94548000</v>
      </c>
      <c r="AB337" s="2">
        <f>COUNTIF(Table1[loan_status],Table1[[#This Row],[loan_status]])</f>
        <v>139</v>
      </c>
      <c r="AC337" s="2">
        <f>COUNTIF(Table1[default_flag],1)/ROWS(Table1[loan_id])</f>
        <v>2.5999999999999999E-2</v>
      </c>
      <c r="AD337" s="2">
        <f>COUNTIFS(Table1[region],Table1[[#This Row],[region]],Table1[default_flag],1)/COUNTIF(Table1[region],Table1[[#This Row],[region]])</f>
        <v>0</v>
      </c>
      <c r="AE337" s="2">
        <f>COUNTIFS(Table1[channel],Table1[[#This Row],[channel]],Table1[prepayment_flag],1)/COUNTIF(Table1[channel],Table1[[#This Row],[channel]])</f>
        <v>7.1090047393364927E-2</v>
      </c>
      <c r="AF337" s="2">
        <f>AVERAGEIFS(Table1[interest_rate_pct],Table1[product],Table1[[#This Row],[product]],Table1[risk_band],Table1[[#This Row],[risk_band]])</f>
        <v>20.962592592592593</v>
      </c>
      <c r="AG337" s="2" t="str" cm="1">
        <f t="array" ref="AG337">_xlfn.IFS(Table1[[#This Row],[dti_ratio]] &lt; 0.2, " less than 0.2", Table1[[#This Row],[dti_ratio]] &lt; 0.3, "0.2 - 0.3", Table1[[#This Row],[dti_ratio]] &lt;= 0.5, "0.35 - 0.5", Table1[[#This Row],[dti_ratio]] &gt; 0.5, "greater than 0.5")</f>
        <v xml:space="preserve"> less than 0.2</v>
      </c>
      <c r="AH337" s="2">
        <f>COUNTIF(Table1[DTI band],Table1[[#This Row],[DTI band]])</f>
        <v>86</v>
      </c>
      <c r="AI337" s="2" t="str" cm="1">
        <f t="array" ref="AI337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337" s="2">
        <f>COUNTIF(Table1[LTV band],Table1[[#This Row],[LTV band]])</f>
        <v>302</v>
      </c>
      <c r="AK337" s="19">
        <f>COUNTIFS(Table1[count_loan_perband],Table1[[#This Row],[count_loan_perband]],Table1[default_flag],1)/COUNTIF(Table1[count_loan_perband],Table1[[#This Row],[count_loan_perband]])</f>
        <v>3.6423841059602648E-2</v>
      </c>
      <c r="AL337" s="19" t="str" cm="1">
        <f t="array" ref="AL337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337" s="19">
        <f>IF(Table1[[#This Row],[dpd]] &gt;=30,1,0)</f>
        <v>0</v>
      </c>
      <c r="AN337" s="19">
        <f>COUNTIFS(Table1[Loan size],Table1[[#This Row],[Loan size]],Table1[dpd flag],1)/COUNTIF(Table1[Loan size],Table1[[#This Row],[Loan size]])</f>
        <v>0.13934426229508196</v>
      </c>
      <c r="AO337" s="19" t="str">
        <f>IF(OR(Table1[[#This Row],[credit_score]] &lt; 600, Table1[ [#This Row],[dti_ratio] ] &gt; 0.5, Table1[[#This Row],[dpd]] &gt;=30), "high risk", " not riskY")</f>
        <v xml:space="preserve"> not riskY</v>
      </c>
      <c r="AP337" s="29">
        <f>EOMONTH(Table1[[#This Row],[origination_date]],0)</f>
        <v>45169</v>
      </c>
      <c r="AQ337" s="19">
        <f>SUMIFS(Table1[loan_amount],Table1[origination month],Table1[[#This Row],[origination month]])</f>
        <v>38355800</v>
      </c>
      <c r="AR337" s="19">
        <f>AVERAGEIFS(Table1[months_on_book],Table1[product],Table1[[#This Row],[product]])</f>
        <v>21.092024539877301</v>
      </c>
      <c r="AS337" s="19" t="str">
        <f ca="1">IF(EDATE(Table1[[#This Row],[origination_date]],6) &gt;= TODAY(), "New Loan", "Old Loan")</f>
        <v>Old Loan</v>
      </c>
      <c r="AT337" s="19" t="str">
        <f>"Q"&amp;ROUNDUP(MONTH(Table1[[#This Row],[origination_date]])/3,0)&amp;YEAR(Table1[[#This Row],[origination_date]])</f>
        <v>Q32023</v>
      </c>
      <c r="AU337" s="19">
        <f>SUMIFS(Table1[loan_amount],Table1[quarter],Table1[[#This Row],[quarter]])</f>
        <v>77300600</v>
      </c>
    </row>
    <row r="338" spans="2:47" x14ac:dyDescent="0.2">
      <c r="B338" s="5" t="s">
        <v>202</v>
      </c>
      <c r="C338" s="2" t="s">
        <v>702</v>
      </c>
      <c r="D338" s="3">
        <v>45547</v>
      </c>
      <c r="E338" s="2" t="s">
        <v>1027</v>
      </c>
      <c r="F338" s="2" t="s">
        <v>1029</v>
      </c>
      <c r="G338" s="2" t="s">
        <v>1037</v>
      </c>
      <c r="H338" s="2" t="s">
        <v>1038</v>
      </c>
      <c r="I338" s="2">
        <v>36</v>
      </c>
      <c r="J338" s="2">
        <v>5230500</v>
      </c>
      <c r="K338" s="2">
        <v>8.23</v>
      </c>
      <c r="L338" s="2">
        <v>164460</v>
      </c>
      <c r="M338" s="2">
        <v>1064439</v>
      </c>
      <c r="N338" s="2">
        <v>751</v>
      </c>
      <c r="O338" s="2" t="s">
        <v>1043</v>
      </c>
      <c r="P338" s="2">
        <v>0.54</v>
      </c>
      <c r="Q338" s="2">
        <v>0.64</v>
      </c>
      <c r="R338" s="2">
        <v>8166200</v>
      </c>
      <c r="S338" s="2">
        <v>15</v>
      </c>
      <c r="T338" s="2">
        <v>2181392</v>
      </c>
      <c r="U338" s="2">
        <v>3264343</v>
      </c>
      <c r="V338" s="2">
        <v>45</v>
      </c>
      <c r="W338" s="2">
        <v>0</v>
      </c>
      <c r="X338" s="2">
        <v>0</v>
      </c>
      <c r="Y338" s="2" t="s">
        <v>1048</v>
      </c>
      <c r="Z338" s="12">
        <f>SUMIF(Table1[product],Table1[[#This Row],[product]],Table1[loan_amount])</f>
        <v>403369500</v>
      </c>
      <c r="AA338" s="15">
        <f>SUMIF(Table1[region],Table1[[#This Row],[region]],Table1[current_balance])</f>
        <v>94548000</v>
      </c>
      <c r="AB338" s="2">
        <f>COUNTIF(Table1[loan_status],Table1[[#This Row],[loan_status]])</f>
        <v>47</v>
      </c>
      <c r="AC338" s="2">
        <f>COUNTIF(Table1[default_flag],1)/ROWS(Table1[loan_id])</f>
        <v>2.5999999999999999E-2</v>
      </c>
      <c r="AD338" s="2">
        <f>COUNTIFS(Table1[region],Table1[[#This Row],[region]],Table1[default_flag],1)/COUNTIF(Table1[region],Table1[[#This Row],[region]])</f>
        <v>0</v>
      </c>
      <c r="AE338" s="2">
        <f>COUNTIFS(Table1[channel],Table1[[#This Row],[channel]],Table1[prepayment_flag],1)/COUNTIF(Table1[channel],Table1[[#This Row],[channel]])</f>
        <v>7.1090047393364927E-2</v>
      </c>
      <c r="AF338" s="2">
        <f>AVERAGEIFS(Table1[interest_rate_pct],Table1[product],Table1[[#This Row],[product]],Table1[risk_band],Table1[[#This Row],[risk_band]])</f>
        <v>7.1876190476190471</v>
      </c>
      <c r="AG338" s="2" t="str" cm="1">
        <f t="array" ref="AG338">_xlfn.IFS(Table1[[#This Row],[dti_ratio]] &lt; 0.2, " less than 0.2", Table1[[#This Row],[dti_ratio]] &lt; 0.3, "0.2 - 0.3", Table1[[#This Row],[dti_ratio]] &lt;= 0.5, "0.35 - 0.5", Table1[[#This Row],[dti_ratio]] &gt; 0.5, "greater than 0.5")</f>
        <v>greater than 0.5</v>
      </c>
      <c r="AH338" s="2">
        <f>COUNTIF(Table1[DTI band],Table1[[#This Row],[DTI band]])</f>
        <v>32</v>
      </c>
      <c r="AI338" s="2" t="str" cm="1">
        <f t="array" ref="AI338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338" s="2">
        <f>COUNTIF(Table1[LTV band],Table1[[#This Row],[LTV band]])</f>
        <v>302</v>
      </c>
      <c r="AK338" s="19">
        <f>COUNTIFS(Table1[count_loan_perband],Table1[[#This Row],[count_loan_perband]],Table1[default_flag],1)/COUNTIF(Table1[count_loan_perband],Table1[[#This Row],[count_loan_perband]])</f>
        <v>3.6423841059602648E-2</v>
      </c>
      <c r="AL338" s="19" t="str" cm="1">
        <f t="array" ref="AL338">_xlfn.IFS(Table1[[#This Row],[loan_amount]] &lt; 900000, "lower size (&lt; 9L)", Table1[[#This Row],[loan_amount]] &lt;=3300000, "medium size (&lt;=33L)", Table1[[#This Row],[loan_amount]] &gt; 3300000, "larger size (&gt; 33L)")</f>
        <v>larger size (&gt; 33L)</v>
      </c>
      <c r="AM338" s="19">
        <f>IF(Table1[[#This Row],[dpd]] &gt;=30,1,0)</f>
        <v>1</v>
      </c>
      <c r="AN338" s="19">
        <f>COUNTIFS(Table1[Loan size],Table1[[#This Row],[Loan size]],Table1[dpd flag],1)/COUNTIF(Table1[Loan size],Table1[[#This Row],[Loan size]])</f>
        <v>0.16250000000000001</v>
      </c>
      <c r="AO338" s="19" t="str">
        <f>IF(OR(Table1[[#This Row],[credit_score]] &lt; 600, Table1[ [#This Row],[dti_ratio] ] &gt; 0.5, Table1[[#This Row],[dpd]] &gt;=30), "high risk", " not riskY")</f>
        <v>high risk</v>
      </c>
      <c r="AP338" s="29">
        <f>EOMONTH(Table1[[#This Row],[origination_date]],0)</f>
        <v>45565</v>
      </c>
      <c r="AQ338" s="19">
        <f>SUMIFS(Table1[loan_amount],Table1[origination month],Table1[[#This Row],[origination month]])</f>
        <v>11027600</v>
      </c>
      <c r="AR338" s="19">
        <f>AVERAGEIFS(Table1[months_on_book],Table1[product],Table1[[#This Row],[product]])</f>
        <v>20.516129032258064</v>
      </c>
      <c r="AS338" s="19" t="str">
        <f ca="1">IF(EDATE(Table1[[#This Row],[origination_date]],6) &gt;= TODAY(), "New Loan", "Old Loan")</f>
        <v>Old Loan</v>
      </c>
      <c r="AT338" s="19" t="str">
        <f>"Q"&amp;ROUNDUP(MONTH(Table1[[#This Row],[origination_date]])/3,0)&amp;YEAR(Table1[[#This Row],[origination_date]])</f>
        <v>Q32024</v>
      </c>
      <c r="AU338" s="19">
        <f>SUMIFS(Table1[loan_amount],Table1[quarter],Table1[[#This Row],[quarter]])</f>
        <v>52597700</v>
      </c>
    </row>
    <row r="339" spans="2:47" x14ac:dyDescent="0.2">
      <c r="B339" s="5" t="s">
        <v>159</v>
      </c>
      <c r="C339" s="2" t="s">
        <v>659</v>
      </c>
      <c r="D339" s="3">
        <v>45545</v>
      </c>
      <c r="E339" s="2" t="s">
        <v>1025</v>
      </c>
      <c r="F339" s="2" t="s">
        <v>1030</v>
      </c>
      <c r="G339" s="2" t="s">
        <v>1033</v>
      </c>
      <c r="H339" s="2" t="s">
        <v>1038</v>
      </c>
      <c r="I339" s="2">
        <v>360</v>
      </c>
      <c r="J339" s="2">
        <v>1501500</v>
      </c>
      <c r="K339" s="2">
        <v>16.989999999999998</v>
      </c>
      <c r="L339" s="2">
        <v>21394</v>
      </c>
      <c r="M339" s="2">
        <v>1221798</v>
      </c>
      <c r="N339" s="2">
        <v>660</v>
      </c>
      <c r="O339" s="2" t="s">
        <v>1042</v>
      </c>
      <c r="P339" s="2">
        <v>0.52</v>
      </c>
      <c r="Q339" s="2">
        <v>0.7</v>
      </c>
      <c r="R339" s="2">
        <v>2144900</v>
      </c>
      <c r="S339" s="2">
        <v>15</v>
      </c>
      <c r="T339" s="2">
        <v>295893</v>
      </c>
      <c r="U339" s="2">
        <v>1333159</v>
      </c>
      <c r="V339" s="2">
        <v>15</v>
      </c>
      <c r="W339" s="2">
        <v>0</v>
      </c>
      <c r="X339" s="2">
        <v>0</v>
      </c>
      <c r="Y339" s="2" t="s">
        <v>1049</v>
      </c>
      <c r="Z339" s="12">
        <f>SUMIF(Table1[product],Table1[[#This Row],[product]],Table1[loan_amount])</f>
        <v>201475100</v>
      </c>
      <c r="AA339" s="15">
        <f>SUMIF(Table1[region],Table1[[#This Row],[region]],Table1[current_balance])</f>
        <v>83297251</v>
      </c>
      <c r="AB339" s="2">
        <f>COUNTIF(Table1[loan_status],Table1[[#This Row],[loan_status]])</f>
        <v>301</v>
      </c>
      <c r="AC339" s="2">
        <f>COUNTIF(Table1[default_flag],1)/ROWS(Table1[loan_id])</f>
        <v>2.5999999999999999E-2</v>
      </c>
      <c r="AD339" s="2">
        <f>COUNTIFS(Table1[region],Table1[[#This Row],[region]],Table1[default_flag],1)/COUNTIF(Table1[region],Table1[[#This Row],[region]])</f>
        <v>3.1914893617021274E-2</v>
      </c>
      <c r="AE339" s="2">
        <f>COUNTIFS(Table1[channel],Table1[[#This Row],[channel]],Table1[prepayment_flag],1)/COUNTIF(Table1[channel],Table1[[#This Row],[channel]])</f>
        <v>5.8201058201058198E-2</v>
      </c>
      <c r="AF339" s="2">
        <f>AVERAGEIFS(Table1[interest_rate_pct],Table1[product],Table1[[#This Row],[product]],Table1[risk_band],Table1[[#This Row],[risk_band]])</f>
        <v>15.841379310344831</v>
      </c>
      <c r="AG339" s="2" t="str" cm="1">
        <f t="array" ref="AG339">_xlfn.IFS(Table1[[#This Row],[dti_ratio]] &lt; 0.2, " less than 0.2", Table1[[#This Row],[dti_ratio]] &lt; 0.3, "0.2 - 0.3", Table1[[#This Row],[dti_ratio]] &lt;= 0.5, "0.35 - 0.5", Table1[[#This Row],[dti_ratio]] &gt; 0.5, "greater than 0.5")</f>
        <v>greater than 0.5</v>
      </c>
      <c r="AH339" s="2">
        <f>COUNTIF(Table1[DTI band],Table1[[#This Row],[DTI band]])</f>
        <v>32</v>
      </c>
      <c r="AI339" s="2" t="str" cm="1">
        <f t="array" ref="AI339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339" s="2">
        <f>COUNTIF(Table1[LTV band],Table1[[#This Row],[LTV band]])</f>
        <v>302</v>
      </c>
      <c r="AK339" s="19">
        <f>COUNTIFS(Table1[count_loan_perband],Table1[[#This Row],[count_loan_perband]],Table1[default_flag],1)/COUNTIF(Table1[count_loan_perband],Table1[[#This Row],[count_loan_perband]])</f>
        <v>3.6423841059602648E-2</v>
      </c>
      <c r="AL339" s="19" t="str" cm="1">
        <f t="array" ref="AL339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339" s="19">
        <f>IF(Table1[[#This Row],[dpd]] &gt;=30,1,0)</f>
        <v>0</v>
      </c>
      <c r="AN339" s="19">
        <f>COUNTIFS(Table1[Loan size],Table1[[#This Row],[Loan size]],Table1[dpd flag],1)/COUNTIF(Table1[Loan size],Table1[[#This Row],[Loan size]])</f>
        <v>0.15909090909090909</v>
      </c>
      <c r="AO339" s="19" t="str">
        <f>IF(OR(Table1[[#This Row],[credit_score]] &lt; 600, Table1[ [#This Row],[dti_ratio] ] &gt; 0.5, Table1[[#This Row],[dpd]] &gt;=30), "high risk", " not riskY")</f>
        <v>high risk</v>
      </c>
      <c r="AP339" s="29">
        <f>EOMONTH(Table1[[#This Row],[origination_date]],0)</f>
        <v>45565</v>
      </c>
      <c r="AQ339" s="19">
        <f>SUMIFS(Table1[loan_amount],Table1[origination month],Table1[[#This Row],[origination month]])</f>
        <v>11027600</v>
      </c>
      <c r="AR339" s="19">
        <f>AVERAGEIFS(Table1[months_on_book],Table1[product],Table1[[#This Row],[product]])</f>
        <v>19.091954022988507</v>
      </c>
      <c r="AS339" s="19" t="str">
        <f ca="1">IF(EDATE(Table1[[#This Row],[origination_date]],6) &gt;= TODAY(), "New Loan", "Old Loan")</f>
        <v>Old Loan</v>
      </c>
      <c r="AT339" s="19" t="str">
        <f>"Q"&amp;ROUNDUP(MONTH(Table1[[#This Row],[origination_date]])/3,0)&amp;YEAR(Table1[[#This Row],[origination_date]])</f>
        <v>Q32024</v>
      </c>
      <c r="AU339" s="19">
        <f>SUMIFS(Table1[loan_amount],Table1[quarter],Table1[[#This Row],[quarter]])</f>
        <v>52597700</v>
      </c>
    </row>
    <row r="340" spans="2:47" x14ac:dyDescent="0.2">
      <c r="B340" s="5" t="s">
        <v>448</v>
      </c>
      <c r="C340" s="2" t="s">
        <v>948</v>
      </c>
      <c r="D340" s="3">
        <v>45526</v>
      </c>
      <c r="E340" s="2" t="s">
        <v>1027</v>
      </c>
      <c r="F340" s="2" t="s">
        <v>1030</v>
      </c>
      <c r="G340" s="2" t="s">
        <v>1035</v>
      </c>
      <c r="H340" s="2" t="s">
        <v>1038</v>
      </c>
      <c r="I340" s="2">
        <v>120</v>
      </c>
      <c r="J340" s="2">
        <v>4593600</v>
      </c>
      <c r="K340" s="2">
        <v>11.92</v>
      </c>
      <c r="L340" s="2">
        <v>65693</v>
      </c>
      <c r="M340" s="2">
        <v>1435260</v>
      </c>
      <c r="N340" s="2">
        <v>672</v>
      </c>
      <c r="O340" s="2" t="s">
        <v>1042</v>
      </c>
      <c r="P340" s="2">
        <v>0.52</v>
      </c>
      <c r="Q340" s="2">
        <v>0.72</v>
      </c>
      <c r="R340" s="2">
        <v>6409300</v>
      </c>
      <c r="S340" s="2">
        <v>16</v>
      </c>
      <c r="T340" s="2">
        <v>1019050</v>
      </c>
      <c r="U340" s="2">
        <v>3866580</v>
      </c>
      <c r="V340" s="2">
        <v>0</v>
      </c>
      <c r="W340" s="2">
        <v>0</v>
      </c>
      <c r="X340" s="2">
        <v>0</v>
      </c>
      <c r="Y340" s="2" t="s">
        <v>1049</v>
      </c>
      <c r="Z340" s="12">
        <f>SUMIF(Table1[product],Table1[[#This Row],[product]],Table1[loan_amount])</f>
        <v>403369500</v>
      </c>
      <c r="AA340" s="15">
        <f>SUMIF(Table1[region],Table1[[#This Row],[region]],Table1[current_balance])</f>
        <v>83903255</v>
      </c>
      <c r="AB340" s="2">
        <f>COUNTIF(Table1[loan_status],Table1[[#This Row],[loan_status]])</f>
        <v>301</v>
      </c>
      <c r="AC340" s="2">
        <f>COUNTIF(Table1[default_flag],1)/ROWS(Table1[loan_id])</f>
        <v>2.5999999999999999E-2</v>
      </c>
      <c r="AD340" s="2">
        <f>COUNTIFS(Table1[region],Table1[[#This Row],[region]],Table1[default_flag],1)/COUNTIF(Table1[region],Table1[[#This Row],[region]])</f>
        <v>4.2553191489361701E-2</v>
      </c>
      <c r="AE340" s="2">
        <f>COUNTIFS(Table1[channel],Table1[[#This Row],[channel]],Table1[prepayment_flag],1)/COUNTIF(Table1[channel],Table1[[#This Row],[channel]])</f>
        <v>5.8201058201058198E-2</v>
      </c>
      <c r="AF340" s="2">
        <f>AVERAGEIFS(Table1[interest_rate_pct],Table1[product],Table1[[#This Row],[product]],Table1[risk_band],Table1[[#This Row],[risk_band]])</f>
        <v>11.719736842105268</v>
      </c>
      <c r="AG340" s="2" t="str" cm="1">
        <f t="array" ref="AG340">_xlfn.IFS(Table1[[#This Row],[dti_ratio]] &lt; 0.2, " less than 0.2", Table1[[#This Row],[dti_ratio]] &lt; 0.3, "0.2 - 0.3", Table1[[#This Row],[dti_ratio]] &lt;= 0.5, "0.35 - 0.5", Table1[[#This Row],[dti_ratio]] &gt; 0.5, "greater than 0.5")</f>
        <v>greater than 0.5</v>
      </c>
      <c r="AH340" s="2">
        <f>COUNTIF(Table1[DTI band],Table1[[#This Row],[DTI band]])</f>
        <v>32</v>
      </c>
      <c r="AI340" s="2" t="str" cm="1">
        <f t="array" ref="AI340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340" s="2">
        <f>COUNTIF(Table1[LTV band],Table1[[#This Row],[LTV band]])</f>
        <v>302</v>
      </c>
      <c r="AK340" s="19">
        <f>COUNTIFS(Table1[count_loan_perband],Table1[[#This Row],[count_loan_perband]],Table1[default_flag],1)/COUNTIF(Table1[count_loan_perband],Table1[[#This Row],[count_loan_perband]])</f>
        <v>3.6423841059602648E-2</v>
      </c>
      <c r="AL340" s="19" t="str" cm="1">
        <f t="array" ref="AL340">_xlfn.IFS(Table1[[#This Row],[loan_amount]] &lt; 900000, "lower size (&lt; 9L)", Table1[[#This Row],[loan_amount]] &lt;=3300000, "medium size (&lt;=33L)", Table1[[#This Row],[loan_amount]] &gt; 3300000, "larger size (&gt; 33L)")</f>
        <v>larger size (&gt; 33L)</v>
      </c>
      <c r="AM340" s="19">
        <f>IF(Table1[[#This Row],[dpd]] &gt;=30,1,0)</f>
        <v>0</v>
      </c>
      <c r="AN340" s="19">
        <f>COUNTIFS(Table1[Loan size],Table1[[#This Row],[Loan size]],Table1[dpd flag],1)/COUNTIF(Table1[Loan size],Table1[[#This Row],[Loan size]])</f>
        <v>0.16250000000000001</v>
      </c>
      <c r="AO340" s="19" t="str">
        <f>IF(OR(Table1[[#This Row],[credit_score]] &lt; 600, Table1[ [#This Row],[dti_ratio] ] &gt; 0.5, Table1[[#This Row],[dpd]] &gt;=30), "high risk", " not riskY")</f>
        <v>high risk</v>
      </c>
      <c r="AP340" s="29">
        <f>EOMONTH(Table1[[#This Row],[origination_date]],0)</f>
        <v>45535</v>
      </c>
      <c r="AQ340" s="19">
        <f>SUMIFS(Table1[loan_amount],Table1[origination month],Table1[[#This Row],[origination month]])</f>
        <v>16249800</v>
      </c>
      <c r="AR340" s="19">
        <f>AVERAGEIFS(Table1[months_on_book],Table1[product],Table1[[#This Row],[product]])</f>
        <v>20.516129032258064</v>
      </c>
      <c r="AS340" s="19" t="str">
        <f ca="1">IF(EDATE(Table1[[#This Row],[origination_date]],6) &gt;= TODAY(), "New Loan", "Old Loan")</f>
        <v>Old Loan</v>
      </c>
      <c r="AT340" s="19" t="str">
        <f>"Q"&amp;ROUNDUP(MONTH(Table1[[#This Row],[origination_date]])/3,0)&amp;YEAR(Table1[[#This Row],[origination_date]])</f>
        <v>Q32024</v>
      </c>
      <c r="AU340" s="19">
        <f>SUMIFS(Table1[loan_amount],Table1[quarter],Table1[[#This Row],[quarter]])</f>
        <v>52597700</v>
      </c>
    </row>
    <row r="341" spans="2:47" x14ac:dyDescent="0.2">
      <c r="B341" s="5" t="s">
        <v>500</v>
      </c>
      <c r="C341" s="2" t="s">
        <v>1000</v>
      </c>
      <c r="D341" s="3">
        <v>45564</v>
      </c>
      <c r="E341" s="2" t="s">
        <v>1027</v>
      </c>
      <c r="F341" s="2" t="s">
        <v>1030</v>
      </c>
      <c r="G341" s="2" t="s">
        <v>1034</v>
      </c>
      <c r="H341" s="2" t="s">
        <v>1039</v>
      </c>
      <c r="I341" s="2">
        <v>36</v>
      </c>
      <c r="J341" s="2">
        <v>50000</v>
      </c>
      <c r="K341" s="2">
        <v>9.1999999999999993</v>
      </c>
      <c r="L341" s="2">
        <v>1595</v>
      </c>
      <c r="M341" s="2">
        <v>862012</v>
      </c>
      <c r="N341" s="2">
        <v>708</v>
      </c>
      <c r="O341" s="2" t="s">
        <v>1044</v>
      </c>
      <c r="P341" s="2">
        <v>0.51</v>
      </c>
      <c r="Q341" s="2">
        <v>0.54</v>
      </c>
      <c r="R341" s="2">
        <v>93400</v>
      </c>
      <c r="S341" s="2">
        <v>15</v>
      </c>
      <c r="T341" s="2">
        <v>24234</v>
      </c>
      <c r="U341" s="2">
        <v>28066</v>
      </c>
      <c r="V341" s="2">
        <v>0</v>
      </c>
      <c r="W341" s="2">
        <v>0</v>
      </c>
      <c r="X341" s="2">
        <v>0</v>
      </c>
      <c r="Y341" s="2" t="s">
        <v>1049</v>
      </c>
      <c r="Z341" s="12">
        <f>SUMIF(Table1[product],Table1[[#This Row],[product]],Table1[loan_amount])</f>
        <v>403369500</v>
      </c>
      <c r="AA341" s="15">
        <f>SUMIF(Table1[region],Table1[[#This Row],[region]],Table1[current_balance])</f>
        <v>105779369</v>
      </c>
      <c r="AB341" s="2">
        <f>COUNTIF(Table1[loan_status],Table1[[#This Row],[loan_status]])</f>
        <v>301</v>
      </c>
      <c r="AC341" s="2">
        <f>COUNTIF(Table1[default_flag],1)/ROWS(Table1[loan_id])</f>
        <v>2.5999999999999999E-2</v>
      </c>
      <c r="AD341" s="2">
        <f>COUNTIFS(Table1[region],Table1[[#This Row],[region]],Table1[default_flag],1)/COUNTIF(Table1[region],Table1[[#This Row],[region]])</f>
        <v>2.6548672566371681E-2</v>
      </c>
      <c r="AE341" s="2">
        <f>COUNTIFS(Table1[channel],Table1[[#This Row],[channel]],Table1[prepayment_flag],1)/COUNTIF(Table1[channel],Table1[[#This Row],[channel]])</f>
        <v>5.8201058201058198E-2</v>
      </c>
      <c r="AF341" s="2">
        <f>AVERAGEIFS(Table1[interest_rate_pct],Table1[product],Table1[[#This Row],[product]],Table1[risk_band],Table1[[#This Row],[risk_band]])</f>
        <v>8.8557142857142868</v>
      </c>
      <c r="AG341" s="2" t="str" cm="1">
        <f t="array" ref="AG341">_xlfn.IFS(Table1[[#This Row],[dti_ratio]] &lt; 0.2, " less than 0.2", Table1[[#This Row],[dti_ratio]] &lt; 0.3, "0.2 - 0.3", Table1[[#This Row],[dti_ratio]] &lt;= 0.5, "0.35 - 0.5", Table1[[#This Row],[dti_ratio]] &gt; 0.5, "greater than 0.5")</f>
        <v>greater than 0.5</v>
      </c>
      <c r="AH341" s="2">
        <f>COUNTIF(Table1[DTI band],Table1[[#This Row],[DTI band]])</f>
        <v>32</v>
      </c>
      <c r="AI341" s="2" t="str" cm="1">
        <f t="array" ref="AI341">_xlfn.IFS(Table1[[#This Row],[ltv_ratio]] &lt; 0.6, "less than 0.6 -less risky", Table1[[#This Row],[ltv_ratio]]  &lt;= 0.8, "0.6 - 0.8 -medium risky",Table1[[#This Row],[ltv_ratio]] &gt; 0.8, "greater than 0.8 -highly risky")</f>
        <v>less than 0.6 -less risky</v>
      </c>
      <c r="AJ341" s="2">
        <f>COUNTIF(Table1[LTV band],Table1[[#This Row],[LTV band]])</f>
        <v>57</v>
      </c>
      <c r="AK341" s="19">
        <f>COUNTIFS(Table1[count_loan_perband],Table1[[#This Row],[count_loan_perband]],Table1[default_flag],1)/COUNTIF(Table1[count_loan_perband],Table1[[#This Row],[count_loan_perband]])</f>
        <v>0</v>
      </c>
      <c r="AL341" s="19" t="str" cm="1">
        <f t="array" ref="AL341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341" s="19">
        <f>IF(Table1[[#This Row],[dpd]] &gt;=30,1,0)</f>
        <v>0</v>
      </c>
      <c r="AN341" s="19">
        <f>COUNTIFS(Table1[Loan size],Table1[[#This Row],[Loan size]],Table1[dpd flag],1)/COUNTIF(Table1[Loan size],Table1[[#This Row],[Loan size]])</f>
        <v>0.13934426229508196</v>
      </c>
      <c r="AO341" s="19" t="str">
        <f>IF(OR(Table1[[#This Row],[credit_score]] &lt; 600, Table1[ [#This Row],[dti_ratio] ] &gt; 0.5, Table1[[#This Row],[dpd]] &gt;=30), "high risk", " not riskY")</f>
        <v>high risk</v>
      </c>
      <c r="AP341" s="29">
        <f>EOMONTH(Table1[[#This Row],[origination_date]],0)</f>
        <v>45565</v>
      </c>
      <c r="AQ341" s="19">
        <f>SUMIFS(Table1[loan_amount],Table1[origination month],Table1[[#This Row],[origination month]])</f>
        <v>11027600</v>
      </c>
      <c r="AR341" s="19">
        <f>AVERAGEIFS(Table1[months_on_book],Table1[product],Table1[[#This Row],[product]])</f>
        <v>20.516129032258064</v>
      </c>
      <c r="AS341" s="19" t="str">
        <f ca="1">IF(EDATE(Table1[[#This Row],[origination_date]],6) &gt;= TODAY(), "New Loan", "Old Loan")</f>
        <v>Old Loan</v>
      </c>
      <c r="AT341" s="19" t="str">
        <f>"Q"&amp;ROUNDUP(MONTH(Table1[[#This Row],[origination_date]])/3,0)&amp;YEAR(Table1[[#This Row],[origination_date]])</f>
        <v>Q32024</v>
      </c>
      <c r="AU341" s="19">
        <f>SUMIFS(Table1[loan_amount],Table1[quarter],Table1[[#This Row],[quarter]])</f>
        <v>52597700</v>
      </c>
    </row>
    <row r="342" spans="2:47" x14ac:dyDescent="0.2">
      <c r="B342" s="5" t="s">
        <v>125</v>
      </c>
      <c r="C342" s="2" t="s">
        <v>625</v>
      </c>
      <c r="D342" s="3">
        <v>45495</v>
      </c>
      <c r="E342" s="2" t="s">
        <v>1026</v>
      </c>
      <c r="F342" s="2" t="s">
        <v>1030</v>
      </c>
      <c r="G342" s="2" t="s">
        <v>1033</v>
      </c>
      <c r="H342" s="2" t="s">
        <v>1039</v>
      </c>
      <c r="I342" s="2">
        <v>180</v>
      </c>
      <c r="J342" s="2">
        <v>443200</v>
      </c>
      <c r="K342" s="2">
        <v>16.39</v>
      </c>
      <c r="L342" s="2">
        <v>6630</v>
      </c>
      <c r="M342" s="2">
        <v>1212830</v>
      </c>
      <c r="N342" s="2">
        <v>711</v>
      </c>
      <c r="O342" s="2" t="s">
        <v>1044</v>
      </c>
      <c r="P342" s="2">
        <v>0.49</v>
      </c>
      <c r="Q342" s="2">
        <v>0.78</v>
      </c>
      <c r="R342" s="2">
        <v>0</v>
      </c>
      <c r="S342" s="2">
        <v>17</v>
      </c>
      <c r="T342" s="2">
        <v>103716</v>
      </c>
      <c r="U342" s="2">
        <v>380647</v>
      </c>
      <c r="V342" s="2">
        <v>0</v>
      </c>
      <c r="W342" s="2">
        <v>0</v>
      </c>
      <c r="X342" s="2">
        <v>0</v>
      </c>
      <c r="Y342" s="2" t="s">
        <v>1049</v>
      </c>
      <c r="Z342" s="12">
        <f>SUMIF(Table1[product],Table1[[#This Row],[product]],Table1[loan_amount])</f>
        <v>74897600</v>
      </c>
      <c r="AA342" s="15">
        <f>SUMIF(Table1[region],Table1[[#This Row],[region]],Table1[current_balance])</f>
        <v>83297251</v>
      </c>
      <c r="AB342" s="2">
        <f>COUNTIF(Table1[loan_status],Table1[[#This Row],[loan_status]])</f>
        <v>301</v>
      </c>
      <c r="AC342" s="2">
        <f>COUNTIF(Table1[default_flag],1)/ROWS(Table1[loan_id])</f>
        <v>2.5999999999999999E-2</v>
      </c>
      <c r="AD342" s="2">
        <f>COUNTIFS(Table1[region],Table1[[#This Row],[region]],Table1[default_flag],1)/COUNTIF(Table1[region],Table1[[#This Row],[region]])</f>
        <v>3.1914893617021274E-2</v>
      </c>
      <c r="AE342" s="2">
        <f>COUNTIFS(Table1[channel],Table1[[#This Row],[channel]],Table1[prepayment_flag],1)/COUNTIF(Table1[channel],Table1[[#This Row],[channel]])</f>
        <v>5.8201058201058198E-2</v>
      </c>
      <c r="AF342" s="2">
        <f>AVERAGEIFS(Table1[interest_rate_pct],Table1[product],Table1[[#This Row],[product]],Table1[risk_band],Table1[[#This Row],[risk_band]])</f>
        <v>16.500166666666669</v>
      </c>
      <c r="AG342" s="2" t="str" cm="1">
        <f t="array" ref="AG342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342" s="2">
        <f>COUNTIF(Table1[DTI band],Table1[[#This Row],[DTI band]])</f>
        <v>260</v>
      </c>
      <c r="AI342" s="2" t="str" cm="1">
        <f t="array" ref="AI342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342" s="2">
        <f>COUNTIF(Table1[LTV band],Table1[[#This Row],[LTV band]])</f>
        <v>302</v>
      </c>
      <c r="AK342" s="19">
        <f>COUNTIFS(Table1[count_loan_perband],Table1[[#This Row],[count_loan_perband]],Table1[default_flag],1)/COUNTIF(Table1[count_loan_perband],Table1[[#This Row],[count_loan_perband]])</f>
        <v>3.6423841059602648E-2</v>
      </c>
      <c r="AL342" s="19" t="str" cm="1">
        <f t="array" ref="AL342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342" s="19">
        <f>IF(Table1[[#This Row],[dpd]] &gt;=30,1,0)</f>
        <v>0</v>
      </c>
      <c r="AN342" s="19">
        <f>COUNTIFS(Table1[Loan size],Table1[[#This Row],[Loan size]],Table1[dpd flag],1)/COUNTIF(Table1[Loan size],Table1[[#This Row],[Loan size]])</f>
        <v>0.13934426229508196</v>
      </c>
      <c r="AO342" s="19" t="str">
        <f>IF(OR(Table1[[#This Row],[credit_score]] &lt; 600, Table1[ [#This Row],[dti_ratio] ] &gt; 0.5, Table1[[#This Row],[dpd]] &gt;=30), "high risk", " not riskY")</f>
        <v xml:space="preserve"> not riskY</v>
      </c>
      <c r="AP342" s="29">
        <f>EOMONTH(Table1[[#This Row],[origination_date]],0)</f>
        <v>45504</v>
      </c>
      <c r="AQ342" s="19">
        <f>SUMIFS(Table1[loan_amount],Table1[origination month],Table1[[#This Row],[origination month]])</f>
        <v>25320300</v>
      </c>
      <c r="AR342" s="19">
        <f>AVERAGEIFS(Table1[months_on_book],Table1[product],Table1[[#This Row],[product]])</f>
        <v>21.092024539877301</v>
      </c>
      <c r="AS342" s="19" t="str">
        <f ca="1">IF(EDATE(Table1[[#This Row],[origination_date]],6) &gt;= TODAY(), "New Loan", "Old Loan")</f>
        <v>Old Loan</v>
      </c>
      <c r="AT342" s="19" t="str">
        <f>"Q"&amp;ROUNDUP(MONTH(Table1[[#This Row],[origination_date]])/3,0)&amp;YEAR(Table1[[#This Row],[origination_date]])</f>
        <v>Q32024</v>
      </c>
      <c r="AU342" s="19">
        <f>SUMIFS(Table1[loan_amount],Table1[quarter],Table1[[#This Row],[quarter]])</f>
        <v>52597700</v>
      </c>
    </row>
    <row r="343" spans="2:47" x14ac:dyDescent="0.2">
      <c r="B343" s="5" t="s">
        <v>37</v>
      </c>
      <c r="C343" s="2" t="s">
        <v>537</v>
      </c>
      <c r="D343" s="3">
        <v>45492</v>
      </c>
      <c r="E343" s="2" t="s">
        <v>1026</v>
      </c>
      <c r="F343" s="2" t="s">
        <v>1030</v>
      </c>
      <c r="G343" s="2" t="s">
        <v>1035</v>
      </c>
      <c r="H343" s="2" t="s">
        <v>1039</v>
      </c>
      <c r="I343" s="2">
        <v>120</v>
      </c>
      <c r="J343" s="2">
        <v>726300</v>
      </c>
      <c r="K343" s="2">
        <v>22.05</v>
      </c>
      <c r="L343" s="2">
        <v>15037</v>
      </c>
      <c r="M343" s="2">
        <v>985639</v>
      </c>
      <c r="N343" s="2">
        <v>610</v>
      </c>
      <c r="O343" s="2" t="s">
        <v>1045</v>
      </c>
      <c r="P343" s="2">
        <v>0.48</v>
      </c>
      <c r="Q343" s="2">
        <v>0.82</v>
      </c>
      <c r="R343" s="2">
        <v>0</v>
      </c>
      <c r="S343" s="2">
        <v>17</v>
      </c>
      <c r="T343" s="2">
        <v>250708</v>
      </c>
      <c r="U343" s="2">
        <v>566343</v>
      </c>
      <c r="V343" s="2">
        <v>0</v>
      </c>
      <c r="W343" s="2">
        <v>0</v>
      </c>
      <c r="X343" s="2">
        <v>0</v>
      </c>
      <c r="Y343" s="2" t="s">
        <v>1049</v>
      </c>
      <c r="Z343" s="12">
        <f>SUMIF(Table1[product],Table1[[#This Row],[product]],Table1[loan_amount])</f>
        <v>74897600</v>
      </c>
      <c r="AA343" s="15">
        <f>SUMIF(Table1[region],Table1[[#This Row],[region]],Table1[current_balance])</f>
        <v>83903255</v>
      </c>
      <c r="AB343" s="2">
        <f>COUNTIF(Table1[loan_status],Table1[[#This Row],[loan_status]])</f>
        <v>301</v>
      </c>
      <c r="AC343" s="2">
        <f>COUNTIF(Table1[default_flag],1)/ROWS(Table1[loan_id])</f>
        <v>2.5999999999999999E-2</v>
      </c>
      <c r="AD343" s="2">
        <f>COUNTIFS(Table1[region],Table1[[#This Row],[region]],Table1[default_flag],1)/COUNTIF(Table1[region],Table1[[#This Row],[region]])</f>
        <v>4.2553191489361701E-2</v>
      </c>
      <c r="AE343" s="2">
        <f>COUNTIFS(Table1[channel],Table1[[#This Row],[channel]],Table1[prepayment_flag],1)/COUNTIF(Table1[channel],Table1[[#This Row],[channel]])</f>
        <v>5.8201058201058198E-2</v>
      </c>
      <c r="AF343" s="2">
        <f>AVERAGEIFS(Table1[interest_rate_pct],Table1[product],Table1[[#This Row],[product]],Table1[risk_band],Table1[[#This Row],[risk_band]])</f>
        <v>20.962592592592593</v>
      </c>
      <c r="AG343" s="2" t="str" cm="1">
        <f t="array" ref="AG343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343" s="2">
        <f>COUNTIF(Table1[DTI band],Table1[[#This Row],[DTI band]])</f>
        <v>260</v>
      </c>
      <c r="AI343" s="2" t="str" cm="1">
        <f t="array" ref="AI343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343" s="2">
        <f>COUNTIF(Table1[LTV band],Table1[[#This Row],[LTV band]])</f>
        <v>141</v>
      </c>
      <c r="AK343" s="19">
        <f>COUNTIFS(Table1[count_loan_perband],Table1[[#This Row],[count_loan_perband]],Table1[default_flag],1)/COUNTIF(Table1[count_loan_perband],Table1[[#This Row],[count_loan_perband]])</f>
        <v>1.4184397163120567E-2</v>
      </c>
      <c r="AL343" s="19" t="str" cm="1">
        <f t="array" ref="AL343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343" s="19">
        <f>IF(Table1[[#This Row],[dpd]] &gt;=30,1,0)</f>
        <v>0</v>
      </c>
      <c r="AN343" s="19">
        <f>COUNTIFS(Table1[Loan size],Table1[[#This Row],[Loan size]],Table1[dpd flag],1)/COUNTIF(Table1[Loan size],Table1[[#This Row],[Loan size]])</f>
        <v>0.13934426229508196</v>
      </c>
      <c r="AO343" s="19" t="str">
        <f>IF(OR(Table1[[#This Row],[credit_score]] &lt; 600, Table1[ [#This Row],[dti_ratio] ] &gt; 0.5, Table1[[#This Row],[dpd]] &gt;=30), "high risk", " not riskY")</f>
        <v xml:space="preserve"> not riskY</v>
      </c>
      <c r="AP343" s="29">
        <f>EOMONTH(Table1[[#This Row],[origination_date]],0)</f>
        <v>45504</v>
      </c>
      <c r="AQ343" s="19">
        <f>SUMIFS(Table1[loan_amount],Table1[origination month],Table1[[#This Row],[origination month]])</f>
        <v>25320300</v>
      </c>
      <c r="AR343" s="19">
        <f>AVERAGEIFS(Table1[months_on_book],Table1[product],Table1[[#This Row],[product]])</f>
        <v>21.092024539877301</v>
      </c>
      <c r="AS343" s="19" t="str">
        <f ca="1">IF(EDATE(Table1[[#This Row],[origination_date]],6) &gt;= TODAY(), "New Loan", "Old Loan")</f>
        <v>Old Loan</v>
      </c>
      <c r="AT343" s="19" t="str">
        <f>"Q"&amp;ROUNDUP(MONTH(Table1[[#This Row],[origination_date]])/3,0)&amp;YEAR(Table1[[#This Row],[origination_date]])</f>
        <v>Q32024</v>
      </c>
      <c r="AU343" s="19">
        <f>SUMIFS(Table1[loan_amount],Table1[quarter],Table1[[#This Row],[quarter]])</f>
        <v>52597700</v>
      </c>
    </row>
    <row r="344" spans="2:47" x14ac:dyDescent="0.2">
      <c r="B344" s="5" t="s">
        <v>130</v>
      </c>
      <c r="C344" s="2" t="s">
        <v>630</v>
      </c>
      <c r="D344" s="3">
        <v>45522</v>
      </c>
      <c r="E344" s="2" t="s">
        <v>1024</v>
      </c>
      <c r="F344" s="2" t="s">
        <v>1032</v>
      </c>
      <c r="G344" s="2" t="s">
        <v>1035</v>
      </c>
      <c r="H344" s="2" t="s">
        <v>1038</v>
      </c>
      <c r="I344" s="2">
        <v>18</v>
      </c>
      <c r="J344" s="2">
        <v>649000</v>
      </c>
      <c r="K344" s="2">
        <v>11.05</v>
      </c>
      <c r="L344" s="2">
        <v>39292</v>
      </c>
      <c r="M344" s="2">
        <v>1162418</v>
      </c>
      <c r="N344" s="2">
        <v>702</v>
      </c>
      <c r="O344" s="2" t="s">
        <v>1044</v>
      </c>
      <c r="P344" s="2">
        <v>0.48</v>
      </c>
      <c r="Q344" s="2">
        <v>0.93</v>
      </c>
      <c r="R344" s="2">
        <v>697400</v>
      </c>
      <c r="S344" s="2">
        <v>16</v>
      </c>
      <c r="T344" s="2">
        <v>567039</v>
      </c>
      <c r="U344" s="2">
        <v>120209</v>
      </c>
      <c r="V344" s="2">
        <v>5</v>
      </c>
      <c r="W344" s="2">
        <v>1</v>
      </c>
      <c r="X344" s="2">
        <v>0</v>
      </c>
      <c r="Y344" s="2" t="s">
        <v>1047</v>
      </c>
      <c r="Z344" s="12">
        <f>SUMIF(Table1[product],Table1[[#This Row],[product]],Table1[loan_amount])</f>
        <v>92273000</v>
      </c>
      <c r="AA344" s="15">
        <f>SUMIF(Table1[region],Table1[[#This Row],[region]],Table1[current_balance])</f>
        <v>83903255</v>
      </c>
      <c r="AB344" s="2">
        <f>COUNTIF(Table1[loan_status],Table1[[#This Row],[loan_status]])</f>
        <v>139</v>
      </c>
      <c r="AC344" s="2">
        <f>COUNTIF(Table1[default_flag],1)/ROWS(Table1[loan_id])</f>
        <v>2.5999999999999999E-2</v>
      </c>
      <c r="AD344" s="2">
        <f>COUNTIFS(Table1[region],Table1[[#This Row],[region]],Table1[default_flag],1)/COUNTIF(Table1[region],Table1[[#This Row],[region]])</f>
        <v>4.2553191489361701E-2</v>
      </c>
      <c r="AE344" s="2">
        <f>COUNTIFS(Table1[channel],Table1[[#This Row],[channel]],Table1[prepayment_flag],1)/COUNTIF(Table1[channel],Table1[[#This Row],[channel]])</f>
        <v>0.1</v>
      </c>
      <c r="AF344" s="2">
        <f>AVERAGEIFS(Table1[interest_rate_pct],Table1[product],Table1[[#This Row],[product]],Table1[risk_band],Table1[[#This Row],[risk_band]])</f>
        <v>10.611923076923079</v>
      </c>
      <c r="AG344" s="2" t="str" cm="1">
        <f t="array" ref="AG344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344" s="2">
        <f>COUNTIF(Table1[DTI band],Table1[[#This Row],[DTI band]])</f>
        <v>260</v>
      </c>
      <c r="AI344" s="2" t="str" cm="1">
        <f t="array" ref="AI344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344" s="2">
        <f>COUNTIF(Table1[LTV band],Table1[[#This Row],[LTV band]])</f>
        <v>141</v>
      </c>
      <c r="AK344" s="19">
        <f>COUNTIFS(Table1[count_loan_perband],Table1[[#This Row],[count_loan_perband]],Table1[default_flag],1)/COUNTIF(Table1[count_loan_perband],Table1[[#This Row],[count_loan_perband]])</f>
        <v>1.4184397163120567E-2</v>
      </c>
      <c r="AL344" s="19" t="str" cm="1">
        <f t="array" ref="AL344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344" s="19">
        <f>IF(Table1[[#This Row],[dpd]] &gt;=30,1,0)</f>
        <v>0</v>
      </c>
      <c r="AN344" s="19">
        <f>COUNTIFS(Table1[Loan size],Table1[[#This Row],[Loan size]],Table1[dpd flag],1)/COUNTIF(Table1[Loan size],Table1[[#This Row],[Loan size]])</f>
        <v>0.13934426229508196</v>
      </c>
      <c r="AO344" s="19" t="str">
        <f>IF(OR(Table1[[#This Row],[credit_score]] &lt; 600, Table1[ [#This Row],[dti_ratio] ] &gt; 0.5, Table1[[#This Row],[dpd]] &gt;=30), "high risk", " not riskY")</f>
        <v xml:space="preserve"> not riskY</v>
      </c>
      <c r="AP344" s="29">
        <f>EOMONTH(Table1[[#This Row],[origination_date]],0)</f>
        <v>45535</v>
      </c>
      <c r="AQ344" s="19">
        <f>SUMIFS(Table1[loan_amount],Table1[origination month],Table1[[#This Row],[origination month]])</f>
        <v>16249800</v>
      </c>
      <c r="AR344" s="19">
        <f>AVERAGEIFS(Table1[months_on_book],Table1[product],Table1[[#This Row],[product]])</f>
        <v>20.262135922330096</v>
      </c>
      <c r="AS344" s="19" t="str">
        <f ca="1">IF(EDATE(Table1[[#This Row],[origination_date]],6) &gt;= TODAY(), "New Loan", "Old Loan")</f>
        <v>Old Loan</v>
      </c>
      <c r="AT344" s="19" t="str">
        <f>"Q"&amp;ROUNDUP(MONTH(Table1[[#This Row],[origination_date]])/3,0)&amp;YEAR(Table1[[#This Row],[origination_date]])</f>
        <v>Q32024</v>
      </c>
      <c r="AU344" s="19">
        <f>SUMIFS(Table1[loan_amount],Table1[quarter],Table1[[#This Row],[quarter]])</f>
        <v>52597700</v>
      </c>
    </row>
    <row r="345" spans="2:47" x14ac:dyDescent="0.2">
      <c r="B345" s="5" t="s">
        <v>392</v>
      </c>
      <c r="C345" s="2" t="s">
        <v>892</v>
      </c>
      <c r="D345" s="3">
        <v>45492</v>
      </c>
      <c r="E345" s="2" t="s">
        <v>1025</v>
      </c>
      <c r="F345" s="2" t="s">
        <v>1029</v>
      </c>
      <c r="G345" s="2" t="s">
        <v>1035</v>
      </c>
      <c r="H345" s="2" t="s">
        <v>1039</v>
      </c>
      <c r="I345" s="2">
        <v>24</v>
      </c>
      <c r="J345" s="2">
        <v>795600</v>
      </c>
      <c r="K345" s="2">
        <v>9.93</v>
      </c>
      <c r="L345" s="2">
        <v>36687</v>
      </c>
      <c r="M345" s="2">
        <v>1001922</v>
      </c>
      <c r="N345" s="2">
        <v>805</v>
      </c>
      <c r="O345" s="2" t="s">
        <v>1043</v>
      </c>
      <c r="P345" s="2">
        <v>0.48</v>
      </c>
      <c r="Q345" s="2">
        <v>0.72</v>
      </c>
      <c r="R345" s="2">
        <v>1097500</v>
      </c>
      <c r="S345" s="2">
        <v>17</v>
      </c>
      <c r="T345" s="2">
        <v>594126</v>
      </c>
      <c r="U345" s="2">
        <v>246242</v>
      </c>
      <c r="V345" s="2">
        <v>0</v>
      </c>
      <c r="W345" s="2">
        <v>0</v>
      </c>
      <c r="X345" s="2">
        <v>0</v>
      </c>
      <c r="Y345" s="2" t="s">
        <v>1049</v>
      </c>
      <c r="Z345" s="12">
        <f>SUMIF(Table1[product],Table1[[#This Row],[product]],Table1[loan_amount])</f>
        <v>201475100</v>
      </c>
      <c r="AA345" s="15">
        <f>SUMIF(Table1[region],Table1[[#This Row],[region]],Table1[current_balance])</f>
        <v>83903255</v>
      </c>
      <c r="AB345" s="2">
        <f>COUNTIF(Table1[loan_status],Table1[[#This Row],[loan_status]])</f>
        <v>301</v>
      </c>
      <c r="AC345" s="2">
        <f>COUNTIF(Table1[default_flag],1)/ROWS(Table1[loan_id])</f>
        <v>2.5999999999999999E-2</v>
      </c>
      <c r="AD345" s="2">
        <f>COUNTIFS(Table1[region],Table1[[#This Row],[region]],Table1[default_flag],1)/COUNTIF(Table1[region],Table1[[#This Row],[region]])</f>
        <v>4.2553191489361701E-2</v>
      </c>
      <c r="AE345" s="2">
        <f>COUNTIFS(Table1[channel],Table1[[#This Row],[channel]],Table1[prepayment_flag],1)/COUNTIF(Table1[channel],Table1[[#This Row],[channel]])</f>
        <v>7.1090047393364927E-2</v>
      </c>
      <c r="AF345" s="2">
        <f>AVERAGEIFS(Table1[interest_rate_pct],Table1[product],Table1[[#This Row],[product]],Table1[risk_band],Table1[[#This Row],[risk_band]])</f>
        <v>10.537499999999998</v>
      </c>
      <c r="AG345" s="2" t="str" cm="1">
        <f t="array" ref="AG345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345" s="2">
        <f>COUNTIF(Table1[DTI band],Table1[[#This Row],[DTI band]])</f>
        <v>260</v>
      </c>
      <c r="AI345" s="2" t="str" cm="1">
        <f t="array" ref="AI345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345" s="2">
        <f>COUNTIF(Table1[LTV band],Table1[[#This Row],[LTV band]])</f>
        <v>302</v>
      </c>
      <c r="AK345" s="19">
        <f>COUNTIFS(Table1[count_loan_perband],Table1[[#This Row],[count_loan_perband]],Table1[default_flag],1)/COUNTIF(Table1[count_loan_perband],Table1[[#This Row],[count_loan_perband]])</f>
        <v>3.6423841059602648E-2</v>
      </c>
      <c r="AL345" s="19" t="str" cm="1">
        <f t="array" ref="AL345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345" s="19">
        <f>IF(Table1[[#This Row],[dpd]] &gt;=30,1,0)</f>
        <v>0</v>
      </c>
      <c r="AN345" s="19">
        <f>COUNTIFS(Table1[Loan size],Table1[[#This Row],[Loan size]],Table1[dpd flag],1)/COUNTIF(Table1[Loan size],Table1[[#This Row],[Loan size]])</f>
        <v>0.13934426229508196</v>
      </c>
      <c r="AO345" s="19" t="str">
        <f>IF(OR(Table1[[#This Row],[credit_score]] &lt; 600, Table1[ [#This Row],[dti_ratio] ] &gt; 0.5, Table1[[#This Row],[dpd]] &gt;=30), "high risk", " not riskY")</f>
        <v xml:space="preserve"> not riskY</v>
      </c>
      <c r="AP345" s="29">
        <f>EOMONTH(Table1[[#This Row],[origination_date]],0)</f>
        <v>45504</v>
      </c>
      <c r="AQ345" s="19">
        <f>SUMIFS(Table1[loan_amount],Table1[origination month],Table1[[#This Row],[origination month]])</f>
        <v>25320300</v>
      </c>
      <c r="AR345" s="19">
        <f>AVERAGEIFS(Table1[months_on_book],Table1[product],Table1[[#This Row],[product]])</f>
        <v>19.091954022988507</v>
      </c>
      <c r="AS345" s="19" t="str">
        <f ca="1">IF(EDATE(Table1[[#This Row],[origination_date]],6) &gt;= TODAY(), "New Loan", "Old Loan")</f>
        <v>Old Loan</v>
      </c>
      <c r="AT345" s="19" t="str">
        <f>"Q"&amp;ROUNDUP(MONTH(Table1[[#This Row],[origination_date]])/3,0)&amp;YEAR(Table1[[#This Row],[origination_date]])</f>
        <v>Q32024</v>
      </c>
      <c r="AU345" s="19">
        <f>SUMIFS(Table1[loan_amount],Table1[quarter],Table1[[#This Row],[quarter]])</f>
        <v>52597700</v>
      </c>
    </row>
    <row r="346" spans="2:47" x14ac:dyDescent="0.2">
      <c r="B346" s="5" t="s">
        <v>117</v>
      </c>
      <c r="C346" s="2" t="s">
        <v>617</v>
      </c>
      <c r="D346" s="3">
        <v>45527</v>
      </c>
      <c r="E346" s="2" t="s">
        <v>1028</v>
      </c>
      <c r="F346" s="2" t="s">
        <v>1031</v>
      </c>
      <c r="G346" s="2" t="s">
        <v>1036</v>
      </c>
      <c r="H346" s="2" t="s">
        <v>1038</v>
      </c>
      <c r="I346" s="2">
        <v>60</v>
      </c>
      <c r="J346" s="2">
        <v>1418000</v>
      </c>
      <c r="K346" s="2">
        <v>12.28</v>
      </c>
      <c r="L346" s="2">
        <v>31744</v>
      </c>
      <c r="M346" s="2">
        <v>814485</v>
      </c>
      <c r="N346" s="2">
        <v>678</v>
      </c>
      <c r="O346" s="2" t="s">
        <v>1042</v>
      </c>
      <c r="P346" s="2">
        <v>0.37</v>
      </c>
      <c r="Q346" s="2">
        <v>0.79</v>
      </c>
      <c r="R346" s="2">
        <v>0</v>
      </c>
      <c r="S346" s="2">
        <v>16</v>
      </c>
      <c r="T346" s="2">
        <v>440768</v>
      </c>
      <c r="U346" s="2">
        <v>1070102</v>
      </c>
      <c r="V346" s="2">
        <v>0</v>
      </c>
      <c r="W346" s="2">
        <v>0</v>
      </c>
      <c r="X346" s="2">
        <v>0</v>
      </c>
      <c r="Y346" s="2" t="s">
        <v>1049</v>
      </c>
      <c r="Z346" s="12">
        <f>SUMIF(Table1[product],Table1[[#This Row],[product]],Table1[loan_amount])</f>
        <v>62765800</v>
      </c>
      <c r="AA346" s="15">
        <f>SUMIF(Table1[region],Table1[[#This Row],[region]],Table1[current_balance])</f>
        <v>98928695</v>
      </c>
      <c r="AB346" s="2">
        <f>COUNTIF(Table1[loan_status],Table1[[#This Row],[loan_status]])</f>
        <v>301</v>
      </c>
      <c r="AC346" s="2">
        <f>COUNTIF(Table1[default_flag],1)/ROWS(Table1[loan_id])</f>
        <v>2.5999999999999999E-2</v>
      </c>
      <c r="AD346" s="2">
        <f>COUNTIFS(Table1[region],Table1[[#This Row],[region]],Table1[default_flag],1)/COUNTIF(Table1[region],Table1[[#This Row],[region]])</f>
        <v>2.8571428571428571E-2</v>
      </c>
      <c r="AE346" s="2">
        <f>COUNTIFS(Table1[channel],Table1[[#This Row],[channel]],Table1[prepayment_flag],1)/COUNTIF(Table1[channel],Table1[[#This Row],[channel]])</f>
        <v>0.12</v>
      </c>
      <c r="AF346" s="2">
        <f>AVERAGEIFS(Table1[interest_rate_pct],Table1[product],Table1[[#This Row],[product]],Table1[risk_band],Table1[[#This Row],[risk_band]])</f>
        <v>13.463888888888889</v>
      </c>
      <c r="AG346" s="2" t="str" cm="1">
        <f t="array" ref="AG346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346" s="2">
        <f>COUNTIF(Table1[DTI band],Table1[[#This Row],[DTI band]])</f>
        <v>260</v>
      </c>
      <c r="AI346" s="2" t="str" cm="1">
        <f t="array" ref="AI346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346" s="2">
        <f>COUNTIF(Table1[LTV band],Table1[[#This Row],[LTV band]])</f>
        <v>302</v>
      </c>
      <c r="AK346" s="19">
        <f>COUNTIFS(Table1[count_loan_perband],Table1[[#This Row],[count_loan_perband]],Table1[default_flag],1)/COUNTIF(Table1[count_loan_perband],Table1[[#This Row],[count_loan_perband]])</f>
        <v>3.6423841059602648E-2</v>
      </c>
      <c r="AL346" s="19" t="str" cm="1">
        <f t="array" ref="AL346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346" s="19">
        <f>IF(Table1[[#This Row],[dpd]] &gt;=30,1,0)</f>
        <v>0</v>
      </c>
      <c r="AN346" s="19">
        <f>COUNTIFS(Table1[Loan size],Table1[[#This Row],[Loan size]],Table1[dpd flag],1)/COUNTIF(Table1[Loan size],Table1[[#This Row],[Loan size]])</f>
        <v>0.15909090909090909</v>
      </c>
      <c r="AO346" s="19" t="str">
        <f>IF(OR(Table1[[#This Row],[credit_score]] &lt; 600, Table1[ [#This Row],[dti_ratio] ] &gt; 0.5, Table1[[#This Row],[dpd]] &gt;=30), "high risk", " not riskY")</f>
        <v xml:space="preserve"> not riskY</v>
      </c>
      <c r="AP346" s="29">
        <f>EOMONTH(Table1[[#This Row],[origination_date]],0)</f>
        <v>45535</v>
      </c>
      <c r="AQ346" s="19">
        <f>SUMIFS(Table1[loan_amount],Table1[origination month],Table1[[#This Row],[origination month]])</f>
        <v>16249800</v>
      </c>
      <c r="AR346" s="19">
        <f>AVERAGEIFS(Table1[months_on_book],Table1[product],Table1[[#This Row],[product]])</f>
        <v>21.962962962962962</v>
      </c>
      <c r="AS346" s="19" t="str">
        <f ca="1">IF(EDATE(Table1[[#This Row],[origination_date]],6) &gt;= TODAY(), "New Loan", "Old Loan")</f>
        <v>Old Loan</v>
      </c>
      <c r="AT346" s="19" t="str">
        <f>"Q"&amp;ROUNDUP(MONTH(Table1[[#This Row],[origination_date]])/3,0)&amp;YEAR(Table1[[#This Row],[origination_date]])</f>
        <v>Q32024</v>
      </c>
      <c r="AU346" s="19">
        <f>SUMIFS(Table1[loan_amount],Table1[quarter],Table1[[#This Row],[quarter]])</f>
        <v>52597700</v>
      </c>
    </row>
    <row r="347" spans="2:47" x14ac:dyDescent="0.2">
      <c r="B347" s="5" t="s">
        <v>128</v>
      </c>
      <c r="C347" s="2" t="s">
        <v>628</v>
      </c>
      <c r="D347" s="3">
        <v>45474</v>
      </c>
      <c r="E347" s="2" t="s">
        <v>1027</v>
      </c>
      <c r="F347" s="2" t="s">
        <v>1029</v>
      </c>
      <c r="G347" s="2" t="s">
        <v>1034</v>
      </c>
      <c r="H347" s="2" t="s">
        <v>1038</v>
      </c>
      <c r="I347" s="2">
        <v>360</v>
      </c>
      <c r="J347" s="2">
        <v>4550500</v>
      </c>
      <c r="K347" s="2">
        <v>7</v>
      </c>
      <c r="L347" s="2">
        <v>30275</v>
      </c>
      <c r="M347" s="2">
        <v>1426577</v>
      </c>
      <c r="N347" s="2">
        <v>803</v>
      </c>
      <c r="O347" s="2" t="s">
        <v>1043</v>
      </c>
      <c r="P347" s="2">
        <v>0.37</v>
      </c>
      <c r="Q347" s="2">
        <v>0.92</v>
      </c>
      <c r="R347" s="2">
        <v>4929600</v>
      </c>
      <c r="S347" s="2">
        <v>17</v>
      </c>
      <c r="T347" s="2">
        <v>482121</v>
      </c>
      <c r="U347" s="2">
        <v>4248882</v>
      </c>
      <c r="V347" s="2">
        <v>0</v>
      </c>
      <c r="W347" s="2">
        <v>0</v>
      </c>
      <c r="X347" s="2">
        <v>0</v>
      </c>
      <c r="Y347" s="2" t="s">
        <v>1049</v>
      </c>
      <c r="Z347" s="12">
        <f>SUMIF(Table1[product],Table1[[#This Row],[product]],Table1[loan_amount])</f>
        <v>403369500</v>
      </c>
      <c r="AA347" s="15">
        <f>SUMIF(Table1[region],Table1[[#This Row],[region]],Table1[current_balance])</f>
        <v>105779369</v>
      </c>
      <c r="AB347" s="2">
        <f>COUNTIF(Table1[loan_status],Table1[[#This Row],[loan_status]])</f>
        <v>301</v>
      </c>
      <c r="AC347" s="2">
        <f>COUNTIF(Table1[default_flag],1)/ROWS(Table1[loan_id])</f>
        <v>2.5999999999999999E-2</v>
      </c>
      <c r="AD347" s="2">
        <f>COUNTIFS(Table1[region],Table1[[#This Row],[region]],Table1[default_flag],1)/COUNTIF(Table1[region],Table1[[#This Row],[region]])</f>
        <v>2.6548672566371681E-2</v>
      </c>
      <c r="AE347" s="2">
        <f>COUNTIFS(Table1[channel],Table1[[#This Row],[channel]],Table1[prepayment_flag],1)/COUNTIF(Table1[channel],Table1[[#This Row],[channel]])</f>
        <v>7.1090047393364927E-2</v>
      </c>
      <c r="AF347" s="2">
        <f>AVERAGEIFS(Table1[interest_rate_pct],Table1[product],Table1[[#This Row],[product]],Table1[risk_band],Table1[[#This Row],[risk_band]])</f>
        <v>7.1876190476190471</v>
      </c>
      <c r="AG347" s="2" t="str" cm="1">
        <f t="array" ref="AG347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347" s="2">
        <f>COUNTIF(Table1[DTI band],Table1[[#This Row],[DTI band]])</f>
        <v>260</v>
      </c>
      <c r="AI347" s="2" t="str" cm="1">
        <f t="array" ref="AI347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347" s="2">
        <f>COUNTIF(Table1[LTV band],Table1[[#This Row],[LTV band]])</f>
        <v>141</v>
      </c>
      <c r="AK347" s="19">
        <f>COUNTIFS(Table1[count_loan_perband],Table1[[#This Row],[count_loan_perband]],Table1[default_flag],1)/COUNTIF(Table1[count_loan_perband],Table1[[#This Row],[count_loan_perband]])</f>
        <v>1.4184397163120567E-2</v>
      </c>
      <c r="AL347" s="19" t="str" cm="1">
        <f t="array" ref="AL347">_xlfn.IFS(Table1[[#This Row],[loan_amount]] &lt; 900000, "lower size (&lt; 9L)", Table1[[#This Row],[loan_amount]] &lt;=3300000, "medium size (&lt;=33L)", Table1[[#This Row],[loan_amount]] &gt; 3300000, "larger size (&gt; 33L)")</f>
        <v>larger size (&gt; 33L)</v>
      </c>
      <c r="AM347" s="19">
        <f>IF(Table1[[#This Row],[dpd]] &gt;=30,1,0)</f>
        <v>0</v>
      </c>
      <c r="AN347" s="19">
        <f>COUNTIFS(Table1[Loan size],Table1[[#This Row],[Loan size]],Table1[dpd flag],1)/COUNTIF(Table1[Loan size],Table1[[#This Row],[Loan size]])</f>
        <v>0.16250000000000001</v>
      </c>
      <c r="AO347" s="19" t="str">
        <f>IF(OR(Table1[[#This Row],[credit_score]] &lt; 600, Table1[ [#This Row],[dti_ratio] ] &gt; 0.5, Table1[[#This Row],[dpd]] &gt;=30), "high risk", " not riskY")</f>
        <v xml:space="preserve"> not riskY</v>
      </c>
      <c r="AP347" s="29">
        <f>EOMONTH(Table1[[#This Row],[origination_date]],0)</f>
        <v>45504</v>
      </c>
      <c r="AQ347" s="19">
        <f>SUMIFS(Table1[loan_amount],Table1[origination month],Table1[[#This Row],[origination month]])</f>
        <v>25320300</v>
      </c>
      <c r="AR347" s="19">
        <f>AVERAGEIFS(Table1[months_on_book],Table1[product],Table1[[#This Row],[product]])</f>
        <v>20.516129032258064</v>
      </c>
      <c r="AS347" s="19" t="str">
        <f ca="1">IF(EDATE(Table1[[#This Row],[origination_date]],6) &gt;= TODAY(), "New Loan", "Old Loan")</f>
        <v>Old Loan</v>
      </c>
      <c r="AT347" s="19" t="str">
        <f>"Q"&amp;ROUNDUP(MONTH(Table1[[#This Row],[origination_date]])/3,0)&amp;YEAR(Table1[[#This Row],[origination_date]])</f>
        <v>Q32024</v>
      </c>
      <c r="AU347" s="19">
        <f>SUMIFS(Table1[loan_amount],Table1[quarter],Table1[[#This Row],[quarter]])</f>
        <v>52597700</v>
      </c>
    </row>
    <row r="348" spans="2:47" x14ac:dyDescent="0.2">
      <c r="B348" s="5" t="s">
        <v>432</v>
      </c>
      <c r="C348" s="2" t="s">
        <v>932</v>
      </c>
      <c r="D348" s="3">
        <v>45527</v>
      </c>
      <c r="E348" s="2" t="s">
        <v>1024</v>
      </c>
      <c r="F348" s="2" t="s">
        <v>1030</v>
      </c>
      <c r="G348" s="2" t="s">
        <v>1036</v>
      </c>
      <c r="H348" s="2" t="s">
        <v>1038</v>
      </c>
      <c r="I348" s="2">
        <v>120</v>
      </c>
      <c r="J348" s="2">
        <v>1347300</v>
      </c>
      <c r="K348" s="2">
        <v>7.79</v>
      </c>
      <c r="L348" s="2">
        <v>16197</v>
      </c>
      <c r="M348" s="2">
        <v>956672</v>
      </c>
      <c r="N348" s="2">
        <v>769</v>
      </c>
      <c r="O348" s="2" t="s">
        <v>1043</v>
      </c>
      <c r="P348" s="2">
        <v>0.37</v>
      </c>
      <c r="Q348" s="2">
        <v>0.8</v>
      </c>
      <c r="R348" s="2">
        <v>1679800</v>
      </c>
      <c r="S348" s="2">
        <v>16</v>
      </c>
      <c r="T348" s="2">
        <v>249474</v>
      </c>
      <c r="U348" s="2">
        <v>1153802</v>
      </c>
      <c r="V348" s="2">
        <v>15</v>
      </c>
      <c r="W348" s="2">
        <v>0</v>
      </c>
      <c r="X348" s="2">
        <v>0</v>
      </c>
      <c r="Y348" s="2" t="s">
        <v>1049</v>
      </c>
      <c r="Z348" s="12">
        <f>SUMIF(Table1[product],Table1[[#This Row],[product]],Table1[loan_amount])</f>
        <v>92273000</v>
      </c>
      <c r="AA348" s="15">
        <f>SUMIF(Table1[region],Table1[[#This Row],[region]],Table1[current_balance])</f>
        <v>98928695</v>
      </c>
      <c r="AB348" s="2">
        <f>COUNTIF(Table1[loan_status],Table1[[#This Row],[loan_status]])</f>
        <v>301</v>
      </c>
      <c r="AC348" s="2">
        <f>COUNTIF(Table1[default_flag],1)/ROWS(Table1[loan_id])</f>
        <v>2.5999999999999999E-2</v>
      </c>
      <c r="AD348" s="2">
        <f>COUNTIFS(Table1[region],Table1[[#This Row],[region]],Table1[default_flag],1)/COUNTIF(Table1[region],Table1[[#This Row],[region]])</f>
        <v>2.8571428571428571E-2</v>
      </c>
      <c r="AE348" s="2">
        <f>COUNTIFS(Table1[channel],Table1[[#This Row],[channel]],Table1[prepayment_flag],1)/COUNTIF(Table1[channel],Table1[[#This Row],[channel]])</f>
        <v>5.8201058201058198E-2</v>
      </c>
      <c r="AF348" s="2">
        <f>AVERAGEIFS(Table1[interest_rate_pct],Table1[product],Table1[[#This Row],[product]],Table1[risk_band],Table1[[#This Row],[risk_band]])</f>
        <v>7.9444999999999997</v>
      </c>
      <c r="AG348" s="2" t="str" cm="1">
        <f t="array" ref="AG348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348" s="2">
        <f>COUNTIF(Table1[DTI band],Table1[[#This Row],[DTI band]])</f>
        <v>260</v>
      </c>
      <c r="AI348" s="2" t="str" cm="1">
        <f t="array" ref="AI348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348" s="2">
        <f>COUNTIF(Table1[LTV band],Table1[[#This Row],[LTV band]])</f>
        <v>302</v>
      </c>
      <c r="AK348" s="19">
        <f>COUNTIFS(Table1[count_loan_perband],Table1[[#This Row],[count_loan_perband]],Table1[default_flag],1)/COUNTIF(Table1[count_loan_perband],Table1[[#This Row],[count_loan_perband]])</f>
        <v>3.6423841059602648E-2</v>
      </c>
      <c r="AL348" s="19" t="str" cm="1">
        <f t="array" ref="AL348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348" s="19">
        <f>IF(Table1[[#This Row],[dpd]] &gt;=30,1,0)</f>
        <v>0</v>
      </c>
      <c r="AN348" s="19">
        <f>COUNTIFS(Table1[Loan size],Table1[[#This Row],[Loan size]],Table1[dpd flag],1)/COUNTIF(Table1[Loan size],Table1[[#This Row],[Loan size]])</f>
        <v>0.15909090909090909</v>
      </c>
      <c r="AO348" s="19" t="str">
        <f>IF(OR(Table1[[#This Row],[credit_score]] &lt; 600, Table1[ [#This Row],[dti_ratio] ] &gt; 0.5, Table1[[#This Row],[dpd]] &gt;=30), "high risk", " not riskY")</f>
        <v xml:space="preserve"> not riskY</v>
      </c>
      <c r="AP348" s="29">
        <f>EOMONTH(Table1[[#This Row],[origination_date]],0)</f>
        <v>45535</v>
      </c>
      <c r="AQ348" s="19">
        <f>SUMIFS(Table1[loan_amount],Table1[origination month],Table1[[#This Row],[origination month]])</f>
        <v>16249800</v>
      </c>
      <c r="AR348" s="19">
        <f>AVERAGEIFS(Table1[months_on_book],Table1[product],Table1[[#This Row],[product]])</f>
        <v>20.262135922330096</v>
      </c>
      <c r="AS348" s="19" t="str">
        <f ca="1">IF(EDATE(Table1[[#This Row],[origination_date]],6) &gt;= TODAY(), "New Loan", "Old Loan")</f>
        <v>Old Loan</v>
      </c>
      <c r="AT348" s="19" t="str">
        <f>"Q"&amp;ROUNDUP(MONTH(Table1[[#This Row],[origination_date]])/3,0)&amp;YEAR(Table1[[#This Row],[origination_date]])</f>
        <v>Q32024</v>
      </c>
      <c r="AU348" s="19">
        <f>SUMIFS(Table1[loan_amount],Table1[quarter],Table1[[#This Row],[quarter]])</f>
        <v>52597700</v>
      </c>
    </row>
    <row r="349" spans="2:47" x14ac:dyDescent="0.2">
      <c r="B349" s="5" t="s">
        <v>164</v>
      </c>
      <c r="C349" s="2" t="s">
        <v>664</v>
      </c>
      <c r="D349" s="3">
        <v>45527</v>
      </c>
      <c r="E349" s="2" t="s">
        <v>1027</v>
      </c>
      <c r="F349" s="2" t="s">
        <v>1029</v>
      </c>
      <c r="G349" s="2" t="s">
        <v>1035</v>
      </c>
      <c r="H349" s="2" t="s">
        <v>1038</v>
      </c>
      <c r="I349" s="2">
        <v>60</v>
      </c>
      <c r="J349" s="2">
        <v>4741700</v>
      </c>
      <c r="K349" s="2">
        <v>7.61</v>
      </c>
      <c r="L349" s="2">
        <v>95262</v>
      </c>
      <c r="M349" s="2">
        <v>943309</v>
      </c>
      <c r="N349" s="2">
        <v>754</v>
      </c>
      <c r="O349" s="2" t="s">
        <v>1043</v>
      </c>
      <c r="P349" s="2">
        <v>0.36</v>
      </c>
      <c r="Q349" s="2">
        <v>0.76</v>
      </c>
      <c r="R349" s="2">
        <v>6220900</v>
      </c>
      <c r="S349" s="2">
        <v>16</v>
      </c>
      <c r="T349" s="2">
        <v>1337033</v>
      </c>
      <c r="U349" s="2">
        <v>3597117</v>
      </c>
      <c r="V349" s="2">
        <v>0</v>
      </c>
      <c r="W349" s="2">
        <v>0</v>
      </c>
      <c r="X349" s="2">
        <v>0</v>
      </c>
      <c r="Y349" s="2" t="s">
        <v>1049</v>
      </c>
      <c r="Z349" s="12">
        <f>SUMIF(Table1[product],Table1[[#This Row],[product]],Table1[loan_amount])</f>
        <v>403369500</v>
      </c>
      <c r="AA349" s="15">
        <f>SUMIF(Table1[region],Table1[[#This Row],[region]],Table1[current_balance])</f>
        <v>83903255</v>
      </c>
      <c r="AB349" s="2">
        <f>COUNTIF(Table1[loan_status],Table1[[#This Row],[loan_status]])</f>
        <v>301</v>
      </c>
      <c r="AC349" s="2">
        <f>COUNTIF(Table1[default_flag],1)/ROWS(Table1[loan_id])</f>
        <v>2.5999999999999999E-2</v>
      </c>
      <c r="AD349" s="2">
        <f>COUNTIFS(Table1[region],Table1[[#This Row],[region]],Table1[default_flag],1)/COUNTIF(Table1[region],Table1[[#This Row],[region]])</f>
        <v>4.2553191489361701E-2</v>
      </c>
      <c r="AE349" s="2">
        <f>COUNTIFS(Table1[channel],Table1[[#This Row],[channel]],Table1[prepayment_flag],1)/COUNTIF(Table1[channel],Table1[[#This Row],[channel]])</f>
        <v>7.1090047393364927E-2</v>
      </c>
      <c r="AF349" s="2">
        <f>AVERAGEIFS(Table1[interest_rate_pct],Table1[product],Table1[[#This Row],[product]],Table1[risk_band],Table1[[#This Row],[risk_band]])</f>
        <v>7.1876190476190471</v>
      </c>
      <c r="AG349" s="2" t="str" cm="1">
        <f t="array" ref="AG349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349" s="2">
        <f>COUNTIF(Table1[DTI band],Table1[[#This Row],[DTI band]])</f>
        <v>260</v>
      </c>
      <c r="AI349" s="2" t="str" cm="1">
        <f t="array" ref="AI349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349" s="2">
        <f>COUNTIF(Table1[LTV band],Table1[[#This Row],[LTV band]])</f>
        <v>302</v>
      </c>
      <c r="AK349" s="19">
        <f>COUNTIFS(Table1[count_loan_perband],Table1[[#This Row],[count_loan_perband]],Table1[default_flag],1)/COUNTIF(Table1[count_loan_perband],Table1[[#This Row],[count_loan_perband]])</f>
        <v>3.6423841059602648E-2</v>
      </c>
      <c r="AL349" s="19" t="str" cm="1">
        <f t="array" ref="AL349">_xlfn.IFS(Table1[[#This Row],[loan_amount]] &lt; 900000, "lower size (&lt; 9L)", Table1[[#This Row],[loan_amount]] &lt;=3300000, "medium size (&lt;=33L)", Table1[[#This Row],[loan_amount]] &gt; 3300000, "larger size (&gt; 33L)")</f>
        <v>larger size (&gt; 33L)</v>
      </c>
      <c r="AM349" s="19">
        <f>IF(Table1[[#This Row],[dpd]] &gt;=30,1,0)</f>
        <v>0</v>
      </c>
      <c r="AN349" s="19">
        <f>COUNTIFS(Table1[Loan size],Table1[[#This Row],[Loan size]],Table1[dpd flag],1)/COUNTIF(Table1[Loan size],Table1[[#This Row],[Loan size]])</f>
        <v>0.16250000000000001</v>
      </c>
      <c r="AO349" s="19" t="str">
        <f>IF(OR(Table1[[#This Row],[credit_score]] &lt; 600, Table1[ [#This Row],[dti_ratio] ] &gt; 0.5, Table1[[#This Row],[dpd]] &gt;=30), "high risk", " not riskY")</f>
        <v xml:space="preserve"> not riskY</v>
      </c>
      <c r="AP349" s="29">
        <f>EOMONTH(Table1[[#This Row],[origination_date]],0)</f>
        <v>45535</v>
      </c>
      <c r="AQ349" s="19">
        <f>SUMIFS(Table1[loan_amount],Table1[origination month],Table1[[#This Row],[origination month]])</f>
        <v>16249800</v>
      </c>
      <c r="AR349" s="19">
        <f>AVERAGEIFS(Table1[months_on_book],Table1[product],Table1[[#This Row],[product]])</f>
        <v>20.516129032258064</v>
      </c>
      <c r="AS349" s="19" t="str">
        <f ca="1">IF(EDATE(Table1[[#This Row],[origination_date]],6) &gt;= TODAY(), "New Loan", "Old Loan")</f>
        <v>Old Loan</v>
      </c>
      <c r="AT349" s="19" t="str">
        <f>"Q"&amp;ROUNDUP(MONTH(Table1[[#This Row],[origination_date]])/3,0)&amp;YEAR(Table1[[#This Row],[origination_date]])</f>
        <v>Q32024</v>
      </c>
      <c r="AU349" s="19">
        <f>SUMIFS(Table1[loan_amount],Table1[quarter],Table1[[#This Row],[quarter]])</f>
        <v>52597700</v>
      </c>
    </row>
    <row r="350" spans="2:47" x14ac:dyDescent="0.2">
      <c r="B350" s="5" t="s">
        <v>217</v>
      </c>
      <c r="C350" s="2" t="s">
        <v>717</v>
      </c>
      <c r="D350" s="3">
        <v>45501</v>
      </c>
      <c r="E350" s="2" t="s">
        <v>1027</v>
      </c>
      <c r="F350" s="2" t="s">
        <v>1029</v>
      </c>
      <c r="G350" s="2" t="s">
        <v>1037</v>
      </c>
      <c r="H350" s="2" t="s">
        <v>1038</v>
      </c>
      <c r="I350" s="2">
        <v>72</v>
      </c>
      <c r="J350" s="2">
        <v>50000</v>
      </c>
      <c r="K350" s="2">
        <v>7</v>
      </c>
      <c r="L350" s="2">
        <v>852</v>
      </c>
      <c r="M350" s="2">
        <v>961495</v>
      </c>
      <c r="N350" s="2">
        <v>783</v>
      </c>
      <c r="O350" s="2" t="s">
        <v>1043</v>
      </c>
      <c r="P350" s="2">
        <v>0.33</v>
      </c>
      <c r="Q350" s="2">
        <v>0.95</v>
      </c>
      <c r="R350" s="2">
        <v>52600</v>
      </c>
      <c r="S350" s="2">
        <v>17</v>
      </c>
      <c r="T350" s="2">
        <v>13835</v>
      </c>
      <c r="U350" s="2">
        <v>38148</v>
      </c>
      <c r="V350" s="2">
        <v>0</v>
      </c>
      <c r="W350" s="2">
        <v>0</v>
      </c>
      <c r="X350" s="2">
        <v>0</v>
      </c>
      <c r="Y350" s="2" t="s">
        <v>1049</v>
      </c>
      <c r="Z350" s="12">
        <f>SUMIF(Table1[product],Table1[[#This Row],[product]],Table1[loan_amount])</f>
        <v>403369500</v>
      </c>
      <c r="AA350" s="15">
        <f>SUMIF(Table1[region],Table1[[#This Row],[region]],Table1[current_balance])</f>
        <v>94548000</v>
      </c>
      <c r="AB350" s="2">
        <f>COUNTIF(Table1[loan_status],Table1[[#This Row],[loan_status]])</f>
        <v>301</v>
      </c>
      <c r="AC350" s="2">
        <f>COUNTIF(Table1[default_flag],1)/ROWS(Table1[loan_id])</f>
        <v>2.5999999999999999E-2</v>
      </c>
      <c r="AD350" s="2">
        <f>COUNTIFS(Table1[region],Table1[[#This Row],[region]],Table1[default_flag],1)/COUNTIF(Table1[region],Table1[[#This Row],[region]])</f>
        <v>0</v>
      </c>
      <c r="AE350" s="2">
        <f>COUNTIFS(Table1[channel],Table1[[#This Row],[channel]],Table1[prepayment_flag],1)/COUNTIF(Table1[channel],Table1[[#This Row],[channel]])</f>
        <v>7.1090047393364927E-2</v>
      </c>
      <c r="AF350" s="2">
        <f>AVERAGEIFS(Table1[interest_rate_pct],Table1[product],Table1[[#This Row],[product]],Table1[risk_band],Table1[[#This Row],[risk_band]])</f>
        <v>7.1876190476190471</v>
      </c>
      <c r="AG350" s="2" t="str" cm="1">
        <f t="array" ref="AG350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350" s="2">
        <f>COUNTIF(Table1[DTI band],Table1[[#This Row],[DTI band]])</f>
        <v>260</v>
      </c>
      <c r="AI350" s="2" t="str" cm="1">
        <f t="array" ref="AI350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350" s="2">
        <f>COUNTIF(Table1[LTV band],Table1[[#This Row],[LTV band]])</f>
        <v>141</v>
      </c>
      <c r="AK350" s="19">
        <f>COUNTIFS(Table1[count_loan_perband],Table1[[#This Row],[count_loan_perband]],Table1[default_flag],1)/COUNTIF(Table1[count_loan_perband],Table1[[#This Row],[count_loan_perband]])</f>
        <v>1.4184397163120567E-2</v>
      </c>
      <c r="AL350" s="19" t="str" cm="1">
        <f t="array" ref="AL350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350" s="19">
        <f>IF(Table1[[#This Row],[dpd]] &gt;=30,1,0)</f>
        <v>0</v>
      </c>
      <c r="AN350" s="19">
        <f>COUNTIFS(Table1[Loan size],Table1[[#This Row],[Loan size]],Table1[dpd flag],1)/COUNTIF(Table1[Loan size],Table1[[#This Row],[Loan size]])</f>
        <v>0.13934426229508196</v>
      </c>
      <c r="AO350" s="19" t="str">
        <f>IF(OR(Table1[[#This Row],[credit_score]] &lt; 600, Table1[ [#This Row],[dti_ratio] ] &gt; 0.5, Table1[[#This Row],[dpd]] &gt;=30), "high risk", " not riskY")</f>
        <v xml:space="preserve"> not riskY</v>
      </c>
      <c r="AP350" s="29">
        <f>EOMONTH(Table1[[#This Row],[origination_date]],0)</f>
        <v>45504</v>
      </c>
      <c r="AQ350" s="19">
        <f>SUMIFS(Table1[loan_amount],Table1[origination month],Table1[[#This Row],[origination month]])</f>
        <v>25320300</v>
      </c>
      <c r="AR350" s="19">
        <f>AVERAGEIFS(Table1[months_on_book],Table1[product],Table1[[#This Row],[product]])</f>
        <v>20.516129032258064</v>
      </c>
      <c r="AS350" s="19" t="str">
        <f ca="1">IF(EDATE(Table1[[#This Row],[origination_date]],6) &gt;= TODAY(), "New Loan", "Old Loan")</f>
        <v>Old Loan</v>
      </c>
      <c r="AT350" s="19" t="str">
        <f>"Q"&amp;ROUNDUP(MONTH(Table1[[#This Row],[origination_date]])/3,0)&amp;YEAR(Table1[[#This Row],[origination_date]])</f>
        <v>Q32024</v>
      </c>
      <c r="AU350" s="19">
        <f>SUMIFS(Table1[loan_amount],Table1[quarter],Table1[[#This Row],[quarter]])</f>
        <v>52597700</v>
      </c>
    </row>
    <row r="351" spans="2:47" x14ac:dyDescent="0.2">
      <c r="B351" s="5" t="s">
        <v>368</v>
      </c>
      <c r="C351" s="2" t="s">
        <v>868</v>
      </c>
      <c r="D351" s="3">
        <v>45549</v>
      </c>
      <c r="E351" s="2" t="s">
        <v>1025</v>
      </c>
      <c r="F351" s="2" t="s">
        <v>1029</v>
      </c>
      <c r="G351" s="2" t="s">
        <v>1035</v>
      </c>
      <c r="H351" s="2" t="s">
        <v>1038</v>
      </c>
      <c r="I351" s="2">
        <v>36</v>
      </c>
      <c r="J351" s="2">
        <v>2970700</v>
      </c>
      <c r="K351" s="2">
        <v>14.88</v>
      </c>
      <c r="L351" s="2">
        <v>102806</v>
      </c>
      <c r="M351" s="2">
        <v>1373576</v>
      </c>
      <c r="N351" s="2">
        <v>687</v>
      </c>
      <c r="O351" s="2" t="s">
        <v>1042</v>
      </c>
      <c r="P351" s="2">
        <v>0.33</v>
      </c>
      <c r="Q351" s="2">
        <v>0.87</v>
      </c>
      <c r="R351" s="2">
        <v>3409500</v>
      </c>
      <c r="S351" s="2">
        <v>15</v>
      </c>
      <c r="T351" s="2">
        <v>1494654</v>
      </c>
      <c r="U351" s="2">
        <v>1697066</v>
      </c>
      <c r="V351" s="2">
        <v>0</v>
      </c>
      <c r="W351" s="2">
        <v>0</v>
      </c>
      <c r="X351" s="2">
        <v>0</v>
      </c>
      <c r="Y351" s="2" t="s">
        <v>1049</v>
      </c>
      <c r="Z351" s="12">
        <f>SUMIF(Table1[product],Table1[[#This Row],[product]],Table1[loan_amount])</f>
        <v>201475100</v>
      </c>
      <c r="AA351" s="15">
        <f>SUMIF(Table1[region],Table1[[#This Row],[region]],Table1[current_balance])</f>
        <v>83903255</v>
      </c>
      <c r="AB351" s="2">
        <f>COUNTIF(Table1[loan_status],Table1[[#This Row],[loan_status]])</f>
        <v>301</v>
      </c>
      <c r="AC351" s="2">
        <f>COUNTIF(Table1[default_flag],1)/ROWS(Table1[loan_id])</f>
        <v>2.5999999999999999E-2</v>
      </c>
      <c r="AD351" s="2">
        <f>COUNTIFS(Table1[region],Table1[[#This Row],[region]],Table1[default_flag],1)/COUNTIF(Table1[region],Table1[[#This Row],[region]])</f>
        <v>4.2553191489361701E-2</v>
      </c>
      <c r="AE351" s="2">
        <f>COUNTIFS(Table1[channel],Table1[[#This Row],[channel]],Table1[prepayment_flag],1)/COUNTIF(Table1[channel],Table1[[#This Row],[channel]])</f>
        <v>7.1090047393364927E-2</v>
      </c>
      <c r="AF351" s="2">
        <f>AVERAGEIFS(Table1[interest_rate_pct],Table1[product],Table1[[#This Row],[product]],Table1[risk_band],Table1[[#This Row],[risk_band]])</f>
        <v>15.841379310344831</v>
      </c>
      <c r="AG351" s="2" t="str" cm="1">
        <f t="array" ref="AG351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351" s="2">
        <f>COUNTIF(Table1[DTI band],Table1[[#This Row],[DTI band]])</f>
        <v>260</v>
      </c>
      <c r="AI351" s="2" t="str" cm="1">
        <f t="array" ref="AI351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351" s="2">
        <f>COUNTIF(Table1[LTV band],Table1[[#This Row],[LTV band]])</f>
        <v>141</v>
      </c>
      <c r="AK351" s="19">
        <f>COUNTIFS(Table1[count_loan_perband],Table1[[#This Row],[count_loan_perband]],Table1[default_flag],1)/COUNTIF(Table1[count_loan_perband],Table1[[#This Row],[count_loan_perband]])</f>
        <v>1.4184397163120567E-2</v>
      </c>
      <c r="AL351" s="19" t="str" cm="1">
        <f t="array" ref="AL351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351" s="19">
        <f>IF(Table1[[#This Row],[dpd]] &gt;=30,1,0)</f>
        <v>0</v>
      </c>
      <c r="AN351" s="19">
        <f>COUNTIFS(Table1[Loan size],Table1[[#This Row],[Loan size]],Table1[dpd flag],1)/COUNTIF(Table1[Loan size],Table1[[#This Row],[Loan size]])</f>
        <v>0.15909090909090909</v>
      </c>
      <c r="AO351" s="19" t="str">
        <f>IF(OR(Table1[[#This Row],[credit_score]] &lt; 600, Table1[ [#This Row],[dti_ratio] ] &gt; 0.5, Table1[[#This Row],[dpd]] &gt;=30), "high risk", " not riskY")</f>
        <v xml:space="preserve"> not riskY</v>
      </c>
      <c r="AP351" s="29">
        <f>EOMONTH(Table1[[#This Row],[origination_date]],0)</f>
        <v>45565</v>
      </c>
      <c r="AQ351" s="19">
        <f>SUMIFS(Table1[loan_amount],Table1[origination month],Table1[[#This Row],[origination month]])</f>
        <v>11027600</v>
      </c>
      <c r="AR351" s="19">
        <f>AVERAGEIFS(Table1[months_on_book],Table1[product],Table1[[#This Row],[product]])</f>
        <v>19.091954022988507</v>
      </c>
      <c r="AS351" s="19" t="str">
        <f ca="1">IF(EDATE(Table1[[#This Row],[origination_date]],6) &gt;= TODAY(), "New Loan", "Old Loan")</f>
        <v>Old Loan</v>
      </c>
      <c r="AT351" s="19" t="str">
        <f>"Q"&amp;ROUNDUP(MONTH(Table1[[#This Row],[origination_date]])/3,0)&amp;YEAR(Table1[[#This Row],[origination_date]])</f>
        <v>Q32024</v>
      </c>
      <c r="AU351" s="19">
        <f>SUMIFS(Table1[loan_amount],Table1[quarter],Table1[[#This Row],[quarter]])</f>
        <v>52597700</v>
      </c>
    </row>
    <row r="352" spans="2:47" x14ac:dyDescent="0.2">
      <c r="B352" s="5" t="s">
        <v>324</v>
      </c>
      <c r="C352" s="2" t="s">
        <v>824</v>
      </c>
      <c r="D352" s="3">
        <v>45522</v>
      </c>
      <c r="E352" s="2" t="s">
        <v>1028</v>
      </c>
      <c r="F352" s="2" t="s">
        <v>1029</v>
      </c>
      <c r="G352" s="2" t="s">
        <v>1037</v>
      </c>
      <c r="H352" s="2" t="s">
        <v>1038</v>
      </c>
      <c r="I352" s="2">
        <v>48</v>
      </c>
      <c r="J352" s="2">
        <v>972300</v>
      </c>
      <c r="K352" s="2">
        <v>14.03</v>
      </c>
      <c r="L352" s="2">
        <v>26584</v>
      </c>
      <c r="M352" s="2">
        <v>254758</v>
      </c>
      <c r="N352" s="2">
        <v>673</v>
      </c>
      <c r="O352" s="2" t="s">
        <v>1042</v>
      </c>
      <c r="P352" s="2">
        <v>0.32</v>
      </c>
      <c r="Q352" s="2">
        <v>0.54</v>
      </c>
      <c r="R352" s="2">
        <v>0</v>
      </c>
      <c r="S352" s="2">
        <v>16</v>
      </c>
      <c r="T352" s="2">
        <v>403274</v>
      </c>
      <c r="U352" s="2">
        <v>641780</v>
      </c>
      <c r="V352" s="2">
        <v>0</v>
      </c>
      <c r="W352" s="2">
        <v>0</v>
      </c>
      <c r="X352" s="2">
        <v>0</v>
      </c>
      <c r="Y352" s="2" t="s">
        <v>1049</v>
      </c>
      <c r="Z352" s="12">
        <f>SUMIF(Table1[product],Table1[[#This Row],[product]],Table1[loan_amount])</f>
        <v>62765800</v>
      </c>
      <c r="AA352" s="15">
        <f>SUMIF(Table1[region],Table1[[#This Row],[region]],Table1[current_balance])</f>
        <v>94548000</v>
      </c>
      <c r="AB352" s="2">
        <f>COUNTIF(Table1[loan_status],Table1[[#This Row],[loan_status]])</f>
        <v>301</v>
      </c>
      <c r="AC352" s="2">
        <f>COUNTIF(Table1[default_flag],1)/ROWS(Table1[loan_id])</f>
        <v>2.5999999999999999E-2</v>
      </c>
      <c r="AD352" s="2">
        <f>COUNTIFS(Table1[region],Table1[[#This Row],[region]],Table1[default_flag],1)/COUNTIF(Table1[region],Table1[[#This Row],[region]])</f>
        <v>0</v>
      </c>
      <c r="AE352" s="2">
        <f>COUNTIFS(Table1[channel],Table1[[#This Row],[channel]],Table1[prepayment_flag],1)/COUNTIF(Table1[channel],Table1[[#This Row],[channel]])</f>
        <v>7.1090047393364927E-2</v>
      </c>
      <c r="AF352" s="2">
        <f>AVERAGEIFS(Table1[interest_rate_pct],Table1[product],Table1[[#This Row],[product]],Table1[risk_band],Table1[[#This Row],[risk_band]])</f>
        <v>13.463888888888889</v>
      </c>
      <c r="AG352" s="2" t="str" cm="1">
        <f t="array" ref="AG352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352" s="2">
        <f>COUNTIF(Table1[DTI band],Table1[[#This Row],[DTI band]])</f>
        <v>260</v>
      </c>
      <c r="AI352" s="2" t="str" cm="1">
        <f t="array" ref="AI352">_xlfn.IFS(Table1[[#This Row],[ltv_ratio]] &lt; 0.6, "less than 0.6 -less risky", Table1[[#This Row],[ltv_ratio]]  &lt;= 0.8, "0.6 - 0.8 -medium risky",Table1[[#This Row],[ltv_ratio]] &gt; 0.8, "greater than 0.8 -highly risky")</f>
        <v>less than 0.6 -less risky</v>
      </c>
      <c r="AJ352" s="2">
        <f>COUNTIF(Table1[LTV band],Table1[[#This Row],[LTV band]])</f>
        <v>57</v>
      </c>
      <c r="AK352" s="19">
        <f>COUNTIFS(Table1[count_loan_perband],Table1[[#This Row],[count_loan_perband]],Table1[default_flag],1)/COUNTIF(Table1[count_loan_perband],Table1[[#This Row],[count_loan_perband]])</f>
        <v>0</v>
      </c>
      <c r="AL352" s="19" t="str" cm="1">
        <f t="array" ref="AL352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352" s="19">
        <f>IF(Table1[[#This Row],[dpd]] &gt;=30,1,0)</f>
        <v>0</v>
      </c>
      <c r="AN352" s="19">
        <f>COUNTIFS(Table1[Loan size],Table1[[#This Row],[Loan size]],Table1[dpd flag],1)/COUNTIF(Table1[Loan size],Table1[[#This Row],[Loan size]])</f>
        <v>0.15909090909090909</v>
      </c>
      <c r="AO352" s="19" t="str">
        <f>IF(OR(Table1[[#This Row],[credit_score]] &lt; 600, Table1[ [#This Row],[dti_ratio] ] &gt; 0.5, Table1[[#This Row],[dpd]] &gt;=30), "high risk", " not riskY")</f>
        <v xml:space="preserve"> not riskY</v>
      </c>
      <c r="AP352" s="29">
        <f>EOMONTH(Table1[[#This Row],[origination_date]],0)</f>
        <v>45535</v>
      </c>
      <c r="AQ352" s="19">
        <f>SUMIFS(Table1[loan_amount],Table1[origination month],Table1[[#This Row],[origination month]])</f>
        <v>16249800</v>
      </c>
      <c r="AR352" s="19">
        <f>AVERAGEIFS(Table1[months_on_book],Table1[product],Table1[[#This Row],[product]])</f>
        <v>21.962962962962962</v>
      </c>
      <c r="AS352" s="19" t="str">
        <f ca="1">IF(EDATE(Table1[[#This Row],[origination_date]],6) &gt;= TODAY(), "New Loan", "Old Loan")</f>
        <v>Old Loan</v>
      </c>
      <c r="AT352" s="19" t="str">
        <f>"Q"&amp;ROUNDUP(MONTH(Table1[[#This Row],[origination_date]])/3,0)&amp;YEAR(Table1[[#This Row],[origination_date]])</f>
        <v>Q32024</v>
      </c>
      <c r="AU352" s="19">
        <f>SUMIFS(Table1[loan_amount],Table1[quarter],Table1[[#This Row],[quarter]])</f>
        <v>52597700</v>
      </c>
    </row>
    <row r="353" spans="2:47" x14ac:dyDescent="0.2">
      <c r="B353" s="5" t="s">
        <v>264</v>
      </c>
      <c r="C353" s="2" t="s">
        <v>764</v>
      </c>
      <c r="D353" s="3">
        <v>45496</v>
      </c>
      <c r="E353" s="2" t="s">
        <v>1024</v>
      </c>
      <c r="F353" s="2" t="s">
        <v>1031</v>
      </c>
      <c r="G353" s="2" t="s">
        <v>1033</v>
      </c>
      <c r="H353" s="2" t="s">
        <v>1038</v>
      </c>
      <c r="I353" s="2">
        <v>36</v>
      </c>
      <c r="J353" s="2">
        <v>1098500</v>
      </c>
      <c r="K353" s="2">
        <v>9.9700000000000006</v>
      </c>
      <c r="L353" s="2">
        <v>35430</v>
      </c>
      <c r="M353" s="2">
        <v>1283622</v>
      </c>
      <c r="N353" s="2">
        <v>740</v>
      </c>
      <c r="O353" s="2" t="s">
        <v>1044</v>
      </c>
      <c r="P353" s="2">
        <v>0.31</v>
      </c>
      <c r="Q353" s="2">
        <v>0.89</v>
      </c>
      <c r="R353" s="2">
        <v>1240100</v>
      </c>
      <c r="S353" s="2">
        <v>17</v>
      </c>
      <c r="T353" s="2">
        <v>586662</v>
      </c>
      <c r="U353" s="2">
        <v>573900</v>
      </c>
      <c r="V353" s="2">
        <v>0</v>
      </c>
      <c r="W353" s="2">
        <v>0</v>
      </c>
      <c r="X353" s="2">
        <v>0</v>
      </c>
      <c r="Y353" s="2" t="s">
        <v>1049</v>
      </c>
      <c r="Z353" s="12">
        <f>SUMIF(Table1[product],Table1[[#This Row],[product]],Table1[loan_amount])</f>
        <v>92273000</v>
      </c>
      <c r="AA353" s="15">
        <f>SUMIF(Table1[region],Table1[[#This Row],[region]],Table1[current_balance])</f>
        <v>83297251</v>
      </c>
      <c r="AB353" s="2">
        <f>COUNTIF(Table1[loan_status],Table1[[#This Row],[loan_status]])</f>
        <v>301</v>
      </c>
      <c r="AC353" s="2">
        <f>COUNTIF(Table1[default_flag],1)/ROWS(Table1[loan_id])</f>
        <v>2.5999999999999999E-2</v>
      </c>
      <c r="AD353" s="2">
        <f>COUNTIFS(Table1[region],Table1[[#This Row],[region]],Table1[default_flag],1)/COUNTIF(Table1[region],Table1[[#This Row],[region]])</f>
        <v>3.1914893617021274E-2</v>
      </c>
      <c r="AE353" s="2">
        <f>COUNTIFS(Table1[channel],Table1[[#This Row],[channel]],Table1[prepayment_flag],1)/COUNTIF(Table1[channel],Table1[[#This Row],[channel]])</f>
        <v>0.12</v>
      </c>
      <c r="AF353" s="2">
        <f>AVERAGEIFS(Table1[interest_rate_pct],Table1[product],Table1[[#This Row],[product]],Table1[risk_band],Table1[[#This Row],[risk_band]])</f>
        <v>10.611923076923079</v>
      </c>
      <c r="AG353" s="2" t="str" cm="1">
        <f t="array" ref="AG353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353" s="2">
        <f>COUNTIF(Table1[DTI band],Table1[[#This Row],[DTI band]])</f>
        <v>260</v>
      </c>
      <c r="AI353" s="2" t="str" cm="1">
        <f t="array" ref="AI353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353" s="2">
        <f>COUNTIF(Table1[LTV band],Table1[[#This Row],[LTV band]])</f>
        <v>141</v>
      </c>
      <c r="AK353" s="19">
        <f>COUNTIFS(Table1[count_loan_perband],Table1[[#This Row],[count_loan_perband]],Table1[default_flag],1)/COUNTIF(Table1[count_loan_perband],Table1[[#This Row],[count_loan_perband]])</f>
        <v>1.4184397163120567E-2</v>
      </c>
      <c r="AL353" s="19" t="str" cm="1">
        <f t="array" ref="AL353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353" s="19">
        <f>IF(Table1[[#This Row],[dpd]] &gt;=30,1,0)</f>
        <v>0</v>
      </c>
      <c r="AN353" s="19">
        <f>COUNTIFS(Table1[Loan size],Table1[[#This Row],[Loan size]],Table1[dpd flag],1)/COUNTIF(Table1[Loan size],Table1[[#This Row],[Loan size]])</f>
        <v>0.15909090909090909</v>
      </c>
      <c r="AO353" s="19" t="str">
        <f>IF(OR(Table1[[#This Row],[credit_score]] &lt; 600, Table1[ [#This Row],[dti_ratio] ] &gt; 0.5, Table1[[#This Row],[dpd]] &gt;=30), "high risk", " not riskY")</f>
        <v xml:space="preserve"> not riskY</v>
      </c>
      <c r="AP353" s="29">
        <f>EOMONTH(Table1[[#This Row],[origination_date]],0)</f>
        <v>45504</v>
      </c>
      <c r="AQ353" s="19">
        <f>SUMIFS(Table1[loan_amount],Table1[origination month],Table1[[#This Row],[origination month]])</f>
        <v>25320300</v>
      </c>
      <c r="AR353" s="19">
        <f>AVERAGEIFS(Table1[months_on_book],Table1[product],Table1[[#This Row],[product]])</f>
        <v>20.262135922330096</v>
      </c>
      <c r="AS353" s="19" t="str">
        <f ca="1">IF(EDATE(Table1[[#This Row],[origination_date]],6) &gt;= TODAY(), "New Loan", "Old Loan")</f>
        <v>Old Loan</v>
      </c>
      <c r="AT353" s="19" t="str">
        <f>"Q"&amp;ROUNDUP(MONTH(Table1[[#This Row],[origination_date]])/3,0)&amp;YEAR(Table1[[#This Row],[origination_date]])</f>
        <v>Q32024</v>
      </c>
      <c r="AU353" s="19">
        <f>SUMIFS(Table1[loan_amount],Table1[quarter],Table1[[#This Row],[quarter]])</f>
        <v>52597700</v>
      </c>
    </row>
    <row r="354" spans="2:47" x14ac:dyDescent="0.2">
      <c r="B354" s="5" t="s">
        <v>303</v>
      </c>
      <c r="C354" s="2" t="s">
        <v>803</v>
      </c>
      <c r="D354" s="3">
        <v>45490</v>
      </c>
      <c r="E354" s="2" t="s">
        <v>1025</v>
      </c>
      <c r="F354" s="2" t="s">
        <v>1030</v>
      </c>
      <c r="G354" s="2" t="s">
        <v>1037</v>
      </c>
      <c r="H354" s="2" t="s">
        <v>1038</v>
      </c>
      <c r="I354" s="2">
        <v>36</v>
      </c>
      <c r="J354" s="2">
        <v>2826200</v>
      </c>
      <c r="K354" s="2">
        <v>12.53</v>
      </c>
      <c r="L354" s="2">
        <v>94587</v>
      </c>
      <c r="M354" s="2">
        <v>964020</v>
      </c>
      <c r="N354" s="2">
        <v>740</v>
      </c>
      <c r="O354" s="2" t="s">
        <v>1044</v>
      </c>
      <c r="P354" s="2">
        <v>0.31</v>
      </c>
      <c r="Q354" s="2">
        <v>0.92</v>
      </c>
      <c r="R354" s="2">
        <v>3058400</v>
      </c>
      <c r="S354" s="2">
        <v>17</v>
      </c>
      <c r="T354" s="2">
        <v>1521348</v>
      </c>
      <c r="U354" s="2">
        <v>1505522</v>
      </c>
      <c r="V354" s="2">
        <v>0</v>
      </c>
      <c r="W354" s="2">
        <v>0</v>
      </c>
      <c r="X354" s="2">
        <v>0</v>
      </c>
      <c r="Y354" s="2" t="s">
        <v>1049</v>
      </c>
      <c r="Z354" s="12">
        <f>SUMIF(Table1[product],Table1[[#This Row],[product]],Table1[loan_amount])</f>
        <v>201475100</v>
      </c>
      <c r="AA354" s="15">
        <f>SUMIF(Table1[region],Table1[[#This Row],[region]],Table1[current_balance])</f>
        <v>94548000</v>
      </c>
      <c r="AB354" s="2">
        <f>COUNTIF(Table1[loan_status],Table1[[#This Row],[loan_status]])</f>
        <v>301</v>
      </c>
      <c r="AC354" s="2">
        <f>COUNTIF(Table1[default_flag],1)/ROWS(Table1[loan_id])</f>
        <v>2.5999999999999999E-2</v>
      </c>
      <c r="AD354" s="2">
        <f>COUNTIFS(Table1[region],Table1[[#This Row],[region]],Table1[default_flag],1)/COUNTIF(Table1[region],Table1[[#This Row],[region]])</f>
        <v>0</v>
      </c>
      <c r="AE354" s="2">
        <f>COUNTIFS(Table1[channel],Table1[[#This Row],[channel]],Table1[prepayment_flag],1)/COUNTIF(Table1[channel],Table1[[#This Row],[channel]])</f>
        <v>5.8201058201058198E-2</v>
      </c>
      <c r="AF354" s="2">
        <f>AVERAGEIFS(Table1[interest_rate_pct],Table1[product],Table1[[#This Row],[product]],Table1[risk_band],Table1[[#This Row],[risk_band]])</f>
        <v>13.042631578947367</v>
      </c>
      <c r="AG354" s="2" t="str" cm="1">
        <f t="array" ref="AG354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354" s="2">
        <f>COUNTIF(Table1[DTI band],Table1[[#This Row],[DTI band]])</f>
        <v>260</v>
      </c>
      <c r="AI354" s="2" t="str" cm="1">
        <f t="array" ref="AI354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354" s="2">
        <f>COUNTIF(Table1[LTV band],Table1[[#This Row],[LTV band]])</f>
        <v>141</v>
      </c>
      <c r="AK354" s="19">
        <f>COUNTIFS(Table1[count_loan_perband],Table1[[#This Row],[count_loan_perband]],Table1[default_flag],1)/COUNTIF(Table1[count_loan_perband],Table1[[#This Row],[count_loan_perband]])</f>
        <v>1.4184397163120567E-2</v>
      </c>
      <c r="AL354" s="19" t="str" cm="1">
        <f t="array" ref="AL354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354" s="19">
        <f>IF(Table1[[#This Row],[dpd]] &gt;=30,1,0)</f>
        <v>0</v>
      </c>
      <c r="AN354" s="19">
        <f>COUNTIFS(Table1[Loan size],Table1[[#This Row],[Loan size]],Table1[dpd flag],1)/COUNTIF(Table1[Loan size],Table1[[#This Row],[Loan size]])</f>
        <v>0.15909090909090909</v>
      </c>
      <c r="AO354" s="19" t="str">
        <f>IF(OR(Table1[[#This Row],[credit_score]] &lt; 600, Table1[ [#This Row],[dti_ratio] ] &gt; 0.5, Table1[[#This Row],[dpd]] &gt;=30), "high risk", " not riskY")</f>
        <v xml:space="preserve"> not riskY</v>
      </c>
      <c r="AP354" s="29">
        <f>EOMONTH(Table1[[#This Row],[origination_date]],0)</f>
        <v>45504</v>
      </c>
      <c r="AQ354" s="19">
        <f>SUMIFS(Table1[loan_amount],Table1[origination month],Table1[[#This Row],[origination month]])</f>
        <v>25320300</v>
      </c>
      <c r="AR354" s="19">
        <f>AVERAGEIFS(Table1[months_on_book],Table1[product],Table1[[#This Row],[product]])</f>
        <v>19.091954022988507</v>
      </c>
      <c r="AS354" s="19" t="str">
        <f ca="1">IF(EDATE(Table1[[#This Row],[origination_date]],6) &gt;= TODAY(), "New Loan", "Old Loan")</f>
        <v>Old Loan</v>
      </c>
      <c r="AT354" s="19" t="str">
        <f>"Q"&amp;ROUNDUP(MONTH(Table1[[#This Row],[origination_date]])/3,0)&amp;YEAR(Table1[[#This Row],[origination_date]])</f>
        <v>Q32024</v>
      </c>
      <c r="AU354" s="19">
        <f>SUMIFS(Table1[loan_amount],Table1[quarter],Table1[[#This Row],[quarter]])</f>
        <v>52597700</v>
      </c>
    </row>
    <row r="355" spans="2:47" x14ac:dyDescent="0.2">
      <c r="B355" s="5" t="s">
        <v>417</v>
      </c>
      <c r="C355" s="2" t="s">
        <v>917</v>
      </c>
      <c r="D355" s="3">
        <v>45491</v>
      </c>
      <c r="E355" s="2" t="s">
        <v>1027</v>
      </c>
      <c r="F355" s="2" t="s">
        <v>1029</v>
      </c>
      <c r="G355" s="2" t="s">
        <v>1033</v>
      </c>
      <c r="H355" s="2" t="s">
        <v>1039</v>
      </c>
      <c r="I355" s="2">
        <v>60</v>
      </c>
      <c r="J355" s="2">
        <v>8486900</v>
      </c>
      <c r="K355" s="2">
        <v>12.81</v>
      </c>
      <c r="L355" s="2">
        <v>192279</v>
      </c>
      <c r="M355" s="2">
        <v>752104</v>
      </c>
      <c r="N355" s="2">
        <v>648</v>
      </c>
      <c r="O355" s="2" t="s">
        <v>1045</v>
      </c>
      <c r="P355" s="2">
        <v>0.3</v>
      </c>
      <c r="Q355" s="2">
        <v>0.71</v>
      </c>
      <c r="R355" s="2">
        <v>11942000</v>
      </c>
      <c r="S355" s="2">
        <v>17</v>
      </c>
      <c r="T355" s="2">
        <v>3082392</v>
      </c>
      <c r="U355" s="2">
        <v>6020572</v>
      </c>
      <c r="V355" s="2">
        <v>30</v>
      </c>
      <c r="W355" s="2">
        <v>0</v>
      </c>
      <c r="X355" s="2">
        <v>0</v>
      </c>
      <c r="Y355" s="2" t="s">
        <v>1048</v>
      </c>
      <c r="Z355" s="12">
        <f>SUMIF(Table1[product],Table1[[#This Row],[product]],Table1[loan_amount])</f>
        <v>403369500</v>
      </c>
      <c r="AA355" s="15">
        <f>SUMIF(Table1[region],Table1[[#This Row],[region]],Table1[current_balance])</f>
        <v>83297251</v>
      </c>
      <c r="AB355" s="2">
        <f>COUNTIF(Table1[loan_status],Table1[[#This Row],[loan_status]])</f>
        <v>47</v>
      </c>
      <c r="AC355" s="2">
        <f>COUNTIF(Table1[default_flag],1)/ROWS(Table1[loan_id])</f>
        <v>2.5999999999999999E-2</v>
      </c>
      <c r="AD355" s="2">
        <f>COUNTIFS(Table1[region],Table1[[#This Row],[region]],Table1[default_flag],1)/COUNTIF(Table1[region],Table1[[#This Row],[region]])</f>
        <v>3.1914893617021274E-2</v>
      </c>
      <c r="AE355" s="2">
        <f>COUNTIFS(Table1[channel],Table1[[#This Row],[channel]],Table1[prepayment_flag],1)/COUNTIF(Table1[channel],Table1[[#This Row],[channel]])</f>
        <v>7.1090047393364927E-2</v>
      </c>
      <c r="AF355" s="2">
        <f>AVERAGEIFS(Table1[interest_rate_pct],Table1[product],Table1[[#This Row],[product]],Table1[risk_band],Table1[[#This Row],[risk_band]])</f>
        <v>13.406874999999999</v>
      </c>
      <c r="AG355" s="2" t="str" cm="1">
        <f t="array" ref="AG355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355" s="2">
        <f>COUNTIF(Table1[DTI band],Table1[[#This Row],[DTI band]])</f>
        <v>260</v>
      </c>
      <c r="AI355" s="2" t="str" cm="1">
        <f t="array" ref="AI355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355" s="2">
        <f>COUNTIF(Table1[LTV band],Table1[[#This Row],[LTV band]])</f>
        <v>302</v>
      </c>
      <c r="AK355" s="19">
        <f>COUNTIFS(Table1[count_loan_perband],Table1[[#This Row],[count_loan_perband]],Table1[default_flag],1)/COUNTIF(Table1[count_loan_perband],Table1[[#This Row],[count_loan_perband]])</f>
        <v>3.6423841059602648E-2</v>
      </c>
      <c r="AL355" s="19" t="str" cm="1">
        <f t="array" ref="AL355">_xlfn.IFS(Table1[[#This Row],[loan_amount]] &lt; 900000, "lower size (&lt; 9L)", Table1[[#This Row],[loan_amount]] &lt;=3300000, "medium size (&lt;=33L)", Table1[[#This Row],[loan_amount]] &gt; 3300000, "larger size (&gt; 33L)")</f>
        <v>larger size (&gt; 33L)</v>
      </c>
      <c r="AM355" s="19">
        <f>IF(Table1[[#This Row],[dpd]] &gt;=30,1,0)</f>
        <v>1</v>
      </c>
      <c r="AN355" s="19">
        <f>COUNTIFS(Table1[Loan size],Table1[[#This Row],[Loan size]],Table1[dpd flag],1)/COUNTIF(Table1[Loan size],Table1[[#This Row],[Loan size]])</f>
        <v>0.16250000000000001</v>
      </c>
      <c r="AO355" s="19" t="str">
        <f>IF(OR(Table1[[#This Row],[credit_score]] &lt; 600, Table1[ [#This Row],[dti_ratio] ] &gt; 0.5, Table1[[#This Row],[dpd]] &gt;=30), "high risk", " not riskY")</f>
        <v>high risk</v>
      </c>
      <c r="AP355" s="29">
        <f>EOMONTH(Table1[[#This Row],[origination_date]],0)</f>
        <v>45504</v>
      </c>
      <c r="AQ355" s="19">
        <f>SUMIFS(Table1[loan_amount],Table1[origination month],Table1[[#This Row],[origination month]])</f>
        <v>25320300</v>
      </c>
      <c r="AR355" s="19">
        <f>AVERAGEIFS(Table1[months_on_book],Table1[product],Table1[[#This Row],[product]])</f>
        <v>20.516129032258064</v>
      </c>
      <c r="AS355" s="19" t="str">
        <f ca="1">IF(EDATE(Table1[[#This Row],[origination_date]],6) &gt;= TODAY(), "New Loan", "Old Loan")</f>
        <v>Old Loan</v>
      </c>
      <c r="AT355" s="19" t="str">
        <f>"Q"&amp;ROUNDUP(MONTH(Table1[[#This Row],[origination_date]])/3,0)&amp;YEAR(Table1[[#This Row],[origination_date]])</f>
        <v>Q32024</v>
      </c>
      <c r="AU355" s="19">
        <f>SUMIFS(Table1[loan_amount],Table1[quarter],Table1[[#This Row],[quarter]])</f>
        <v>52597700</v>
      </c>
    </row>
    <row r="356" spans="2:47" x14ac:dyDescent="0.2">
      <c r="B356" s="5" t="s">
        <v>224</v>
      </c>
      <c r="C356" s="2" t="s">
        <v>724</v>
      </c>
      <c r="D356" s="3">
        <v>45560</v>
      </c>
      <c r="E356" s="2" t="s">
        <v>1028</v>
      </c>
      <c r="F356" s="2" t="s">
        <v>1030</v>
      </c>
      <c r="G356" s="2" t="s">
        <v>1037</v>
      </c>
      <c r="H356" s="2" t="s">
        <v>1038</v>
      </c>
      <c r="I356" s="2">
        <v>12</v>
      </c>
      <c r="J356" s="2">
        <v>843900</v>
      </c>
      <c r="K356" s="2">
        <v>11.57</v>
      </c>
      <c r="L356" s="2">
        <v>74810</v>
      </c>
      <c r="M356" s="2">
        <v>1580609</v>
      </c>
      <c r="N356" s="2">
        <v>694</v>
      </c>
      <c r="O356" s="2" t="s">
        <v>1042</v>
      </c>
      <c r="P356" s="2">
        <v>0.28999999999999998</v>
      </c>
      <c r="Q356" s="2">
        <v>0.63</v>
      </c>
      <c r="R356" s="2">
        <v>0</v>
      </c>
      <c r="S356" s="2">
        <v>12</v>
      </c>
      <c r="T356" s="2">
        <v>790484</v>
      </c>
      <c r="U356" s="2">
        <v>92472</v>
      </c>
      <c r="V356" s="2">
        <v>0</v>
      </c>
      <c r="W356" s="2">
        <v>0</v>
      </c>
      <c r="X356" s="2">
        <v>0</v>
      </c>
      <c r="Y356" s="2" t="s">
        <v>1047</v>
      </c>
      <c r="Z356" s="12">
        <f>SUMIF(Table1[product],Table1[[#This Row],[product]],Table1[loan_amount])</f>
        <v>62765800</v>
      </c>
      <c r="AA356" s="15">
        <f>SUMIF(Table1[region],Table1[[#This Row],[region]],Table1[current_balance])</f>
        <v>94548000</v>
      </c>
      <c r="AB356" s="2">
        <f>COUNTIF(Table1[loan_status],Table1[[#This Row],[loan_status]])</f>
        <v>139</v>
      </c>
      <c r="AC356" s="2">
        <f>COUNTIF(Table1[default_flag],1)/ROWS(Table1[loan_id])</f>
        <v>2.5999999999999999E-2</v>
      </c>
      <c r="AD356" s="2">
        <f>COUNTIFS(Table1[region],Table1[[#This Row],[region]],Table1[default_flag],1)/COUNTIF(Table1[region],Table1[[#This Row],[region]])</f>
        <v>0</v>
      </c>
      <c r="AE356" s="2">
        <f>COUNTIFS(Table1[channel],Table1[[#This Row],[channel]],Table1[prepayment_flag],1)/COUNTIF(Table1[channel],Table1[[#This Row],[channel]])</f>
        <v>5.8201058201058198E-2</v>
      </c>
      <c r="AF356" s="2">
        <f>AVERAGEIFS(Table1[interest_rate_pct],Table1[product],Table1[[#This Row],[product]],Table1[risk_band],Table1[[#This Row],[risk_band]])</f>
        <v>13.463888888888889</v>
      </c>
      <c r="AG356" s="2" t="str" cm="1">
        <f t="array" ref="AG356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356" s="2">
        <f>COUNTIF(Table1[DTI band],Table1[[#This Row],[DTI band]])</f>
        <v>122</v>
      </c>
      <c r="AI356" s="2" t="str" cm="1">
        <f t="array" ref="AI356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356" s="2">
        <f>COUNTIF(Table1[LTV band],Table1[[#This Row],[LTV band]])</f>
        <v>302</v>
      </c>
      <c r="AK356" s="19">
        <f>COUNTIFS(Table1[count_loan_perband],Table1[[#This Row],[count_loan_perband]],Table1[default_flag],1)/COUNTIF(Table1[count_loan_perband],Table1[[#This Row],[count_loan_perband]])</f>
        <v>3.6423841059602648E-2</v>
      </c>
      <c r="AL356" s="19" t="str" cm="1">
        <f t="array" ref="AL356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356" s="19">
        <f>IF(Table1[[#This Row],[dpd]] &gt;=30,1,0)</f>
        <v>0</v>
      </c>
      <c r="AN356" s="19">
        <f>COUNTIFS(Table1[Loan size],Table1[[#This Row],[Loan size]],Table1[dpd flag],1)/COUNTIF(Table1[Loan size],Table1[[#This Row],[Loan size]])</f>
        <v>0.13934426229508196</v>
      </c>
      <c r="AO356" s="19" t="str">
        <f>IF(OR(Table1[[#This Row],[credit_score]] &lt; 600, Table1[ [#This Row],[dti_ratio] ] &gt; 0.5, Table1[[#This Row],[dpd]] &gt;=30), "high risk", " not riskY")</f>
        <v xml:space="preserve"> not riskY</v>
      </c>
      <c r="AP356" s="29">
        <f>EOMONTH(Table1[[#This Row],[origination_date]],0)</f>
        <v>45565</v>
      </c>
      <c r="AQ356" s="19">
        <f>SUMIFS(Table1[loan_amount],Table1[origination month],Table1[[#This Row],[origination month]])</f>
        <v>11027600</v>
      </c>
      <c r="AR356" s="19">
        <f>AVERAGEIFS(Table1[months_on_book],Table1[product],Table1[[#This Row],[product]])</f>
        <v>21.962962962962962</v>
      </c>
      <c r="AS356" s="19" t="str">
        <f ca="1">IF(EDATE(Table1[[#This Row],[origination_date]],6) &gt;= TODAY(), "New Loan", "Old Loan")</f>
        <v>Old Loan</v>
      </c>
      <c r="AT356" s="19" t="str">
        <f>"Q"&amp;ROUNDUP(MONTH(Table1[[#This Row],[origination_date]])/3,0)&amp;YEAR(Table1[[#This Row],[origination_date]])</f>
        <v>Q32024</v>
      </c>
      <c r="AU356" s="19">
        <f>SUMIFS(Table1[loan_amount],Table1[quarter],Table1[[#This Row],[quarter]])</f>
        <v>52597700</v>
      </c>
    </row>
    <row r="357" spans="2:47" x14ac:dyDescent="0.2">
      <c r="B357" s="5" t="s">
        <v>346</v>
      </c>
      <c r="C357" s="2" t="s">
        <v>846</v>
      </c>
      <c r="D357" s="3">
        <v>45517</v>
      </c>
      <c r="E357" s="2" t="s">
        <v>1026</v>
      </c>
      <c r="F357" s="2" t="s">
        <v>1029</v>
      </c>
      <c r="G357" s="2" t="s">
        <v>1033</v>
      </c>
      <c r="H357" s="2" t="s">
        <v>1039</v>
      </c>
      <c r="I357" s="2">
        <v>12</v>
      </c>
      <c r="J357" s="2">
        <v>229200</v>
      </c>
      <c r="K357" s="2">
        <v>18.010000000000002</v>
      </c>
      <c r="L357" s="2">
        <v>21014</v>
      </c>
      <c r="M357" s="2">
        <v>1168084</v>
      </c>
      <c r="N357" s="2">
        <v>686</v>
      </c>
      <c r="O357" s="2" t="s">
        <v>1042</v>
      </c>
      <c r="P357" s="2">
        <v>0.28999999999999998</v>
      </c>
      <c r="Q357" s="2">
        <v>0.7</v>
      </c>
      <c r="R357" s="2">
        <v>0</v>
      </c>
      <c r="S357" s="2">
        <v>12</v>
      </c>
      <c r="T357" s="2">
        <v>253417</v>
      </c>
      <c r="U357" s="2">
        <v>0</v>
      </c>
      <c r="V357" s="2">
        <v>0</v>
      </c>
      <c r="W357" s="2">
        <v>0</v>
      </c>
      <c r="X357" s="2">
        <v>0</v>
      </c>
      <c r="Y357" s="2" t="s">
        <v>1047</v>
      </c>
      <c r="Z357" s="12">
        <f>SUMIF(Table1[product],Table1[[#This Row],[product]],Table1[loan_amount])</f>
        <v>74897600</v>
      </c>
      <c r="AA357" s="15">
        <f>SUMIF(Table1[region],Table1[[#This Row],[region]],Table1[current_balance])</f>
        <v>83297251</v>
      </c>
      <c r="AB357" s="2">
        <f>COUNTIF(Table1[loan_status],Table1[[#This Row],[loan_status]])</f>
        <v>139</v>
      </c>
      <c r="AC357" s="2">
        <f>COUNTIF(Table1[default_flag],1)/ROWS(Table1[loan_id])</f>
        <v>2.5999999999999999E-2</v>
      </c>
      <c r="AD357" s="2">
        <f>COUNTIFS(Table1[region],Table1[[#This Row],[region]],Table1[default_flag],1)/COUNTIF(Table1[region],Table1[[#This Row],[region]])</f>
        <v>3.1914893617021274E-2</v>
      </c>
      <c r="AE357" s="2">
        <f>COUNTIFS(Table1[channel],Table1[[#This Row],[channel]],Table1[prepayment_flag],1)/COUNTIF(Table1[channel],Table1[[#This Row],[channel]])</f>
        <v>7.1090047393364927E-2</v>
      </c>
      <c r="AF357" s="2">
        <f>AVERAGEIFS(Table1[interest_rate_pct],Table1[product],Table1[[#This Row],[product]],Table1[risk_band],Table1[[#This Row],[risk_band]])</f>
        <v>18.603181818181817</v>
      </c>
      <c r="AG357" s="2" t="str" cm="1">
        <f t="array" ref="AG357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357" s="2">
        <f>COUNTIF(Table1[DTI band],Table1[[#This Row],[DTI band]])</f>
        <v>122</v>
      </c>
      <c r="AI357" s="2" t="str" cm="1">
        <f t="array" ref="AI357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357" s="2">
        <f>COUNTIF(Table1[LTV band],Table1[[#This Row],[LTV band]])</f>
        <v>302</v>
      </c>
      <c r="AK357" s="19">
        <f>COUNTIFS(Table1[count_loan_perband],Table1[[#This Row],[count_loan_perband]],Table1[default_flag],1)/COUNTIF(Table1[count_loan_perband],Table1[[#This Row],[count_loan_perband]])</f>
        <v>3.6423841059602648E-2</v>
      </c>
      <c r="AL357" s="19" t="str" cm="1">
        <f t="array" ref="AL357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357" s="19">
        <f>IF(Table1[[#This Row],[dpd]] &gt;=30,1,0)</f>
        <v>0</v>
      </c>
      <c r="AN357" s="19">
        <f>COUNTIFS(Table1[Loan size],Table1[[#This Row],[Loan size]],Table1[dpd flag],1)/COUNTIF(Table1[Loan size],Table1[[#This Row],[Loan size]])</f>
        <v>0.13934426229508196</v>
      </c>
      <c r="AO357" s="19" t="str">
        <f>IF(OR(Table1[[#This Row],[credit_score]] &lt; 600, Table1[ [#This Row],[dti_ratio] ] &gt; 0.5, Table1[[#This Row],[dpd]] &gt;=30), "high risk", " not riskY")</f>
        <v xml:space="preserve"> not riskY</v>
      </c>
      <c r="AP357" s="29">
        <f>EOMONTH(Table1[[#This Row],[origination_date]],0)</f>
        <v>45535</v>
      </c>
      <c r="AQ357" s="19">
        <f>SUMIFS(Table1[loan_amount],Table1[origination month],Table1[[#This Row],[origination month]])</f>
        <v>16249800</v>
      </c>
      <c r="AR357" s="19">
        <f>AVERAGEIFS(Table1[months_on_book],Table1[product],Table1[[#This Row],[product]])</f>
        <v>21.092024539877301</v>
      </c>
      <c r="AS357" s="19" t="str">
        <f ca="1">IF(EDATE(Table1[[#This Row],[origination_date]],6) &gt;= TODAY(), "New Loan", "Old Loan")</f>
        <v>Old Loan</v>
      </c>
      <c r="AT357" s="19" t="str">
        <f>"Q"&amp;ROUNDUP(MONTH(Table1[[#This Row],[origination_date]])/3,0)&amp;YEAR(Table1[[#This Row],[origination_date]])</f>
        <v>Q32024</v>
      </c>
      <c r="AU357" s="19">
        <f>SUMIFS(Table1[loan_amount],Table1[quarter],Table1[[#This Row],[quarter]])</f>
        <v>52597700</v>
      </c>
    </row>
    <row r="358" spans="2:47" x14ac:dyDescent="0.2">
      <c r="B358" s="5" t="s">
        <v>127</v>
      </c>
      <c r="C358" s="2" t="s">
        <v>627</v>
      </c>
      <c r="D358" s="3">
        <v>45533</v>
      </c>
      <c r="E358" s="2" t="s">
        <v>1026</v>
      </c>
      <c r="F358" s="2" t="s">
        <v>1029</v>
      </c>
      <c r="G358" s="2" t="s">
        <v>1034</v>
      </c>
      <c r="H358" s="2" t="s">
        <v>1038</v>
      </c>
      <c r="I358" s="2">
        <v>180</v>
      </c>
      <c r="J358" s="2">
        <v>630700</v>
      </c>
      <c r="K358" s="2">
        <v>14.9</v>
      </c>
      <c r="L358" s="2">
        <v>8784</v>
      </c>
      <c r="M358" s="2">
        <v>1238704</v>
      </c>
      <c r="N358" s="2">
        <v>760</v>
      </c>
      <c r="O358" s="2" t="s">
        <v>1043</v>
      </c>
      <c r="P358" s="2">
        <v>0.27</v>
      </c>
      <c r="Q358" s="2">
        <v>0.56999999999999995</v>
      </c>
      <c r="R358" s="2">
        <v>0</v>
      </c>
      <c r="S358" s="2">
        <v>16</v>
      </c>
      <c r="T358" s="2">
        <v>128064</v>
      </c>
      <c r="U358" s="2">
        <v>552756</v>
      </c>
      <c r="V358" s="2">
        <v>60</v>
      </c>
      <c r="W358" s="2">
        <v>0</v>
      </c>
      <c r="X358" s="2">
        <v>0</v>
      </c>
      <c r="Y358" s="2" t="s">
        <v>1048</v>
      </c>
      <c r="Z358" s="12">
        <f>SUMIF(Table1[product],Table1[[#This Row],[product]],Table1[loan_amount])</f>
        <v>74897600</v>
      </c>
      <c r="AA358" s="15">
        <f>SUMIF(Table1[region],Table1[[#This Row],[region]],Table1[current_balance])</f>
        <v>105779369</v>
      </c>
      <c r="AB358" s="2">
        <f>COUNTIF(Table1[loan_status],Table1[[#This Row],[loan_status]])</f>
        <v>47</v>
      </c>
      <c r="AC358" s="2">
        <f>COUNTIF(Table1[default_flag],1)/ROWS(Table1[loan_id])</f>
        <v>2.5999999999999999E-2</v>
      </c>
      <c r="AD358" s="2">
        <f>COUNTIFS(Table1[region],Table1[[#This Row],[region]],Table1[default_flag],1)/COUNTIF(Table1[region],Table1[[#This Row],[region]])</f>
        <v>2.6548672566371681E-2</v>
      </c>
      <c r="AE358" s="2">
        <f>COUNTIFS(Table1[channel],Table1[[#This Row],[channel]],Table1[prepayment_flag],1)/COUNTIF(Table1[channel],Table1[[#This Row],[channel]])</f>
        <v>7.1090047393364927E-2</v>
      </c>
      <c r="AF358" s="2">
        <f>AVERAGEIFS(Table1[interest_rate_pct],Table1[product],Table1[[#This Row],[product]],Table1[risk_band],Table1[[#This Row],[risk_band]])</f>
        <v>13.328333333333335</v>
      </c>
      <c r="AG358" s="2" t="str" cm="1">
        <f t="array" ref="AG358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358" s="2">
        <f>COUNTIF(Table1[DTI band],Table1[[#This Row],[DTI band]])</f>
        <v>122</v>
      </c>
      <c r="AI358" s="2" t="str" cm="1">
        <f t="array" ref="AI358">_xlfn.IFS(Table1[[#This Row],[ltv_ratio]] &lt; 0.6, "less than 0.6 -less risky", Table1[[#This Row],[ltv_ratio]]  &lt;= 0.8, "0.6 - 0.8 -medium risky",Table1[[#This Row],[ltv_ratio]] &gt; 0.8, "greater than 0.8 -highly risky")</f>
        <v>less than 0.6 -less risky</v>
      </c>
      <c r="AJ358" s="2">
        <f>COUNTIF(Table1[LTV band],Table1[[#This Row],[LTV band]])</f>
        <v>57</v>
      </c>
      <c r="AK358" s="19">
        <f>COUNTIFS(Table1[count_loan_perband],Table1[[#This Row],[count_loan_perband]],Table1[default_flag],1)/COUNTIF(Table1[count_loan_perband],Table1[[#This Row],[count_loan_perband]])</f>
        <v>0</v>
      </c>
      <c r="AL358" s="19" t="str" cm="1">
        <f t="array" ref="AL358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358" s="19">
        <f>IF(Table1[[#This Row],[dpd]] &gt;=30,1,0)</f>
        <v>1</v>
      </c>
      <c r="AN358" s="19">
        <f>COUNTIFS(Table1[Loan size],Table1[[#This Row],[Loan size]],Table1[dpd flag],1)/COUNTIF(Table1[Loan size],Table1[[#This Row],[Loan size]])</f>
        <v>0.13934426229508196</v>
      </c>
      <c r="AO358" s="19" t="str">
        <f>IF(OR(Table1[[#This Row],[credit_score]] &lt; 600, Table1[ [#This Row],[dti_ratio] ] &gt; 0.5, Table1[[#This Row],[dpd]] &gt;=30), "high risk", " not riskY")</f>
        <v>high risk</v>
      </c>
      <c r="AP358" s="29">
        <f>EOMONTH(Table1[[#This Row],[origination_date]],0)</f>
        <v>45535</v>
      </c>
      <c r="AQ358" s="19">
        <f>SUMIFS(Table1[loan_amount],Table1[origination month],Table1[[#This Row],[origination month]])</f>
        <v>16249800</v>
      </c>
      <c r="AR358" s="19">
        <f>AVERAGEIFS(Table1[months_on_book],Table1[product],Table1[[#This Row],[product]])</f>
        <v>21.092024539877301</v>
      </c>
      <c r="AS358" s="19" t="str">
        <f ca="1">IF(EDATE(Table1[[#This Row],[origination_date]],6) &gt;= TODAY(), "New Loan", "Old Loan")</f>
        <v>Old Loan</v>
      </c>
      <c r="AT358" s="19" t="str">
        <f>"Q"&amp;ROUNDUP(MONTH(Table1[[#This Row],[origination_date]])/3,0)&amp;YEAR(Table1[[#This Row],[origination_date]])</f>
        <v>Q32024</v>
      </c>
      <c r="AU358" s="19">
        <f>SUMIFS(Table1[loan_amount],Table1[quarter],Table1[[#This Row],[quarter]])</f>
        <v>52597700</v>
      </c>
    </row>
    <row r="359" spans="2:47" x14ac:dyDescent="0.2">
      <c r="B359" s="5" t="s">
        <v>498</v>
      </c>
      <c r="C359" s="2" t="s">
        <v>998</v>
      </c>
      <c r="D359" s="3">
        <v>45530</v>
      </c>
      <c r="E359" s="2" t="s">
        <v>1024</v>
      </c>
      <c r="F359" s="2" t="s">
        <v>1030</v>
      </c>
      <c r="G359" s="2" t="s">
        <v>1034</v>
      </c>
      <c r="H359" s="2" t="s">
        <v>1038</v>
      </c>
      <c r="I359" s="2">
        <v>36</v>
      </c>
      <c r="J359" s="2">
        <v>709000</v>
      </c>
      <c r="K359" s="2">
        <v>14.09</v>
      </c>
      <c r="L359" s="2">
        <v>24263</v>
      </c>
      <c r="M359" s="2">
        <v>1126651</v>
      </c>
      <c r="N359" s="2">
        <v>635</v>
      </c>
      <c r="O359" s="2" t="s">
        <v>1045</v>
      </c>
      <c r="P359" s="2">
        <v>0.23</v>
      </c>
      <c r="Q359" s="2">
        <v>0.63</v>
      </c>
      <c r="R359" s="2">
        <v>1125900</v>
      </c>
      <c r="S359" s="2">
        <v>16</v>
      </c>
      <c r="T359" s="2">
        <v>359040</v>
      </c>
      <c r="U359" s="2">
        <v>403239</v>
      </c>
      <c r="V359" s="2">
        <v>0</v>
      </c>
      <c r="W359" s="2">
        <v>1</v>
      </c>
      <c r="X359" s="2">
        <v>0</v>
      </c>
      <c r="Y359" s="2" t="s">
        <v>1047</v>
      </c>
      <c r="Z359" s="12">
        <f>SUMIF(Table1[product],Table1[[#This Row],[product]],Table1[loan_amount])</f>
        <v>92273000</v>
      </c>
      <c r="AA359" s="15">
        <f>SUMIF(Table1[region],Table1[[#This Row],[region]],Table1[current_balance])</f>
        <v>105779369</v>
      </c>
      <c r="AB359" s="2">
        <f>COUNTIF(Table1[loan_status],Table1[[#This Row],[loan_status]])</f>
        <v>139</v>
      </c>
      <c r="AC359" s="2">
        <f>COUNTIF(Table1[default_flag],1)/ROWS(Table1[loan_id])</f>
        <v>2.5999999999999999E-2</v>
      </c>
      <c r="AD359" s="2">
        <f>COUNTIFS(Table1[region],Table1[[#This Row],[region]],Table1[default_flag],1)/COUNTIF(Table1[region],Table1[[#This Row],[region]])</f>
        <v>2.6548672566371681E-2</v>
      </c>
      <c r="AE359" s="2">
        <f>COUNTIFS(Table1[channel],Table1[[#This Row],[channel]],Table1[prepayment_flag],1)/COUNTIF(Table1[channel],Table1[[#This Row],[channel]])</f>
        <v>5.8201058201058198E-2</v>
      </c>
      <c r="AF359" s="2">
        <f>AVERAGEIFS(Table1[interest_rate_pct],Table1[product],Table1[[#This Row],[product]],Table1[risk_band],Table1[[#This Row],[risk_band]])</f>
        <v>15.092000000000001</v>
      </c>
      <c r="AG359" s="2" t="str" cm="1">
        <f t="array" ref="AG359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359" s="2">
        <f>COUNTIF(Table1[DTI band],Table1[[#This Row],[DTI band]])</f>
        <v>122</v>
      </c>
      <c r="AI359" s="2" t="str" cm="1">
        <f t="array" ref="AI359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359" s="2">
        <f>COUNTIF(Table1[LTV band],Table1[[#This Row],[LTV band]])</f>
        <v>302</v>
      </c>
      <c r="AK359" s="19">
        <f>COUNTIFS(Table1[count_loan_perband],Table1[[#This Row],[count_loan_perband]],Table1[default_flag],1)/COUNTIF(Table1[count_loan_perband],Table1[[#This Row],[count_loan_perband]])</f>
        <v>3.6423841059602648E-2</v>
      </c>
      <c r="AL359" s="19" t="str" cm="1">
        <f t="array" ref="AL359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359" s="19">
        <f>IF(Table1[[#This Row],[dpd]] &gt;=30,1,0)</f>
        <v>0</v>
      </c>
      <c r="AN359" s="19">
        <f>COUNTIFS(Table1[Loan size],Table1[[#This Row],[Loan size]],Table1[dpd flag],1)/COUNTIF(Table1[Loan size],Table1[[#This Row],[Loan size]])</f>
        <v>0.13934426229508196</v>
      </c>
      <c r="AO359" s="19" t="str">
        <f>IF(OR(Table1[[#This Row],[credit_score]] &lt; 600, Table1[ [#This Row],[dti_ratio] ] &gt; 0.5, Table1[[#This Row],[dpd]] &gt;=30), "high risk", " not riskY")</f>
        <v xml:space="preserve"> not riskY</v>
      </c>
      <c r="AP359" s="29">
        <f>EOMONTH(Table1[[#This Row],[origination_date]],0)</f>
        <v>45535</v>
      </c>
      <c r="AQ359" s="19">
        <f>SUMIFS(Table1[loan_amount],Table1[origination month],Table1[[#This Row],[origination month]])</f>
        <v>16249800</v>
      </c>
      <c r="AR359" s="19">
        <f>AVERAGEIFS(Table1[months_on_book],Table1[product],Table1[[#This Row],[product]])</f>
        <v>20.262135922330096</v>
      </c>
      <c r="AS359" s="19" t="str">
        <f ca="1">IF(EDATE(Table1[[#This Row],[origination_date]],6) &gt;= TODAY(), "New Loan", "Old Loan")</f>
        <v>Old Loan</v>
      </c>
      <c r="AT359" s="19" t="str">
        <f>"Q"&amp;ROUNDUP(MONTH(Table1[[#This Row],[origination_date]])/3,0)&amp;YEAR(Table1[[#This Row],[origination_date]])</f>
        <v>Q32024</v>
      </c>
      <c r="AU359" s="19">
        <f>SUMIFS(Table1[loan_amount],Table1[quarter],Table1[[#This Row],[quarter]])</f>
        <v>52597700</v>
      </c>
    </row>
    <row r="360" spans="2:47" x14ac:dyDescent="0.2">
      <c r="B360" s="5" t="s">
        <v>234</v>
      </c>
      <c r="C360" s="2" t="s">
        <v>734</v>
      </c>
      <c r="D360" s="3">
        <v>45491</v>
      </c>
      <c r="E360" s="2" t="s">
        <v>1024</v>
      </c>
      <c r="F360" s="2" t="s">
        <v>1031</v>
      </c>
      <c r="G360" s="2" t="s">
        <v>1037</v>
      </c>
      <c r="H360" s="2" t="s">
        <v>1038</v>
      </c>
      <c r="I360" s="2">
        <v>18</v>
      </c>
      <c r="J360" s="2">
        <v>725200</v>
      </c>
      <c r="K360" s="2">
        <v>7.94</v>
      </c>
      <c r="L360" s="2">
        <v>42869</v>
      </c>
      <c r="M360" s="2">
        <v>1037630</v>
      </c>
      <c r="N360" s="2">
        <v>757</v>
      </c>
      <c r="O360" s="2" t="s">
        <v>1043</v>
      </c>
      <c r="P360" s="2">
        <v>0.19</v>
      </c>
      <c r="Q360" s="2">
        <v>0.47</v>
      </c>
      <c r="R360" s="2">
        <v>1527700</v>
      </c>
      <c r="S360" s="2">
        <v>17</v>
      </c>
      <c r="T360" s="2">
        <v>626866</v>
      </c>
      <c r="U360" s="2">
        <v>130963</v>
      </c>
      <c r="V360" s="2">
        <v>0</v>
      </c>
      <c r="W360" s="2">
        <v>0</v>
      </c>
      <c r="X360" s="2">
        <v>0</v>
      </c>
      <c r="Y360" s="2" t="s">
        <v>1049</v>
      </c>
      <c r="Z360" s="12">
        <f>SUMIF(Table1[product],Table1[[#This Row],[product]],Table1[loan_amount])</f>
        <v>92273000</v>
      </c>
      <c r="AA360" s="15">
        <f>SUMIF(Table1[region],Table1[[#This Row],[region]],Table1[current_balance])</f>
        <v>94548000</v>
      </c>
      <c r="AB360" s="2">
        <f>COUNTIF(Table1[loan_status],Table1[[#This Row],[loan_status]])</f>
        <v>301</v>
      </c>
      <c r="AC360" s="2">
        <f>COUNTIF(Table1[default_flag],1)/ROWS(Table1[loan_id])</f>
        <v>2.5999999999999999E-2</v>
      </c>
      <c r="AD360" s="2">
        <f>COUNTIFS(Table1[region],Table1[[#This Row],[region]],Table1[default_flag],1)/COUNTIF(Table1[region],Table1[[#This Row],[region]])</f>
        <v>0</v>
      </c>
      <c r="AE360" s="2">
        <f>COUNTIFS(Table1[channel],Table1[[#This Row],[channel]],Table1[prepayment_flag],1)/COUNTIF(Table1[channel],Table1[[#This Row],[channel]])</f>
        <v>0.12</v>
      </c>
      <c r="AF360" s="2">
        <f>AVERAGEIFS(Table1[interest_rate_pct],Table1[product],Table1[[#This Row],[product]],Table1[risk_band],Table1[[#This Row],[risk_band]])</f>
        <v>7.9444999999999997</v>
      </c>
      <c r="AG360" s="2" t="str" cm="1">
        <f t="array" ref="AG360">_xlfn.IFS(Table1[[#This Row],[dti_ratio]] &lt; 0.2, " less than 0.2", Table1[[#This Row],[dti_ratio]] &lt; 0.3, "0.2 - 0.3", Table1[[#This Row],[dti_ratio]] &lt;= 0.5, "0.35 - 0.5", Table1[[#This Row],[dti_ratio]] &gt; 0.5, "greater than 0.5")</f>
        <v xml:space="preserve"> less than 0.2</v>
      </c>
      <c r="AH360" s="2">
        <f>COUNTIF(Table1[DTI band],Table1[[#This Row],[DTI band]])</f>
        <v>86</v>
      </c>
      <c r="AI360" s="2" t="str" cm="1">
        <f t="array" ref="AI360">_xlfn.IFS(Table1[[#This Row],[ltv_ratio]] &lt; 0.6, "less than 0.6 -less risky", Table1[[#This Row],[ltv_ratio]]  &lt;= 0.8, "0.6 - 0.8 -medium risky",Table1[[#This Row],[ltv_ratio]] &gt; 0.8, "greater than 0.8 -highly risky")</f>
        <v>less than 0.6 -less risky</v>
      </c>
      <c r="AJ360" s="2">
        <f>COUNTIF(Table1[LTV band],Table1[[#This Row],[LTV band]])</f>
        <v>57</v>
      </c>
      <c r="AK360" s="19">
        <f>COUNTIFS(Table1[count_loan_perband],Table1[[#This Row],[count_loan_perband]],Table1[default_flag],1)/COUNTIF(Table1[count_loan_perband],Table1[[#This Row],[count_loan_perband]])</f>
        <v>0</v>
      </c>
      <c r="AL360" s="19" t="str" cm="1">
        <f t="array" ref="AL360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360" s="19">
        <f>IF(Table1[[#This Row],[dpd]] &gt;=30,1,0)</f>
        <v>0</v>
      </c>
      <c r="AN360" s="19">
        <f>COUNTIFS(Table1[Loan size],Table1[[#This Row],[Loan size]],Table1[dpd flag],1)/COUNTIF(Table1[Loan size],Table1[[#This Row],[Loan size]])</f>
        <v>0.13934426229508196</v>
      </c>
      <c r="AO360" s="19" t="str">
        <f>IF(OR(Table1[[#This Row],[credit_score]] &lt; 600, Table1[ [#This Row],[dti_ratio] ] &gt; 0.5, Table1[[#This Row],[dpd]] &gt;=30), "high risk", " not riskY")</f>
        <v xml:space="preserve"> not riskY</v>
      </c>
      <c r="AP360" s="29">
        <f>EOMONTH(Table1[[#This Row],[origination_date]],0)</f>
        <v>45504</v>
      </c>
      <c r="AQ360" s="19">
        <f>SUMIFS(Table1[loan_amount],Table1[origination month],Table1[[#This Row],[origination month]])</f>
        <v>25320300</v>
      </c>
      <c r="AR360" s="19">
        <f>AVERAGEIFS(Table1[months_on_book],Table1[product],Table1[[#This Row],[product]])</f>
        <v>20.262135922330096</v>
      </c>
      <c r="AS360" s="19" t="str">
        <f ca="1">IF(EDATE(Table1[[#This Row],[origination_date]],6) &gt;= TODAY(), "New Loan", "Old Loan")</f>
        <v>Old Loan</v>
      </c>
      <c r="AT360" s="19" t="str">
        <f>"Q"&amp;ROUNDUP(MONTH(Table1[[#This Row],[origination_date]])/3,0)&amp;YEAR(Table1[[#This Row],[origination_date]])</f>
        <v>Q32024</v>
      </c>
      <c r="AU360" s="19">
        <f>SUMIFS(Table1[loan_amount],Table1[quarter],Table1[[#This Row],[quarter]])</f>
        <v>52597700</v>
      </c>
    </row>
    <row r="361" spans="2:47" x14ac:dyDescent="0.2">
      <c r="B361" s="5" t="s">
        <v>307</v>
      </c>
      <c r="C361" s="2" t="s">
        <v>807</v>
      </c>
      <c r="D361" s="3">
        <v>45497</v>
      </c>
      <c r="E361" s="2" t="s">
        <v>1026</v>
      </c>
      <c r="F361" s="2" t="s">
        <v>1031</v>
      </c>
      <c r="G361" s="2" t="s">
        <v>1034</v>
      </c>
      <c r="H361" s="2" t="s">
        <v>1039</v>
      </c>
      <c r="I361" s="2">
        <v>12</v>
      </c>
      <c r="J361" s="2">
        <v>604500</v>
      </c>
      <c r="K361" s="2">
        <v>20.12</v>
      </c>
      <c r="L361" s="2">
        <v>56032</v>
      </c>
      <c r="M361" s="2">
        <v>805018</v>
      </c>
      <c r="N361" s="2">
        <v>650</v>
      </c>
      <c r="O361" s="2" t="s">
        <v>1042</v>
      </c>
      <c r="P361" s="2">
        <v>0.19</v>
      </c>
      <c r="Q361" s="2">
        <v>0.61</v>
      </c>
      <c r="R361" s="2">
        <v>0</v>
      </c>
      <c r="S361" s="2">
        <v>12</v>
      </c>
      <c r="T361" s="2">
        <v>626787</v>
      </c>
      <c r="U361" s="2">
        <v>26363</v>
      </c>
      <c r="V361" s="2">
        <v>0</v>
      </c>
      <c r="W361" s="2">
        <v>0</v>
      </c>
      <c r="X361" s="2">
        <v>0</v>
      </c>
      <c r="Y361" s="2" t="s">
        <v>1047</v>
      </c>
      <c r="Z361" s="12">
        <f>SUMIF(Table1[product],Table1[[#This Row],[product]],Table1[loan_amount])</f>
        <v>74897600</v>
      </c>
      <c r="AA361" s="15">
        <f>SUMIF(Table1[region],Table1[[#This Row],[region]],Table1[current_balance])</f>
        <v>105779369</v>
      </c>
      <c r="AB361" s="2">
        <f>COUNTIF(Table1[loan_status],Table1[[#This Row],[loan_status]])</f>
        <v>139</v>
      </c>
      <c r="AC361" s="2">
        <f>COUNTIF(Table1[default_flag],1)/ROWS(Table1[loan_id])</f>
        <v>2.5999999999999999E-2</v>
      </c>
      <c r="AD361" s="2">
        <f>COUNTIFS(Table1[region],Table1[[#This Row],[region]],Table1[default_flag],1)/COUNTIF(Table1[region],Table1[[#This Row],[region]])</f>
        <v>2.6548672566371681E-2</v>
      </c>
      <c r="AE361" s="2">
        <f>COUNTIFS(Table1[channel],Table1[[#This Row],[channel]],Table1[prepayment_flag],1)/COUNTIF(Table1[channel],Table1[[#This Row],[channel]])</f>
        <v>0.12</v>
      </c>
      <c r="AF361" s="2">
        <f>AVERAGEIFS(Table1[interest_rate_pct],Table1[product],Table1[[#This Row],[product]],Table1[risk_band],Table1[[#This Row],[risk_band]])</f>
        <v>18.603181818181817</v>
      </c>
      <c r="AG361" s="2" t="str" cm="1">
        <f t="array" ref="AG361">_xlfn.IFS(Table1[[#This Row],[dti_ratio]] &lt; 0.2, " less than 0.2", Table1[[#This Row],[dti_ratio]] &lt; 0.3, "0.2 - 0.3", Table1[[#This Row],[dti_ratio]] &lt;= 0.5, "0.35 - 0.5", Table1[[#This Row],[dti_ratio]] &gt; 0.5, "greater than 0.5")</f>
        <v xml:space="preserve"> less than 0.2</v>
      </c>
      <c r="AH361" s="2">
        <f>COUNTIF(Table1[DTI band],Table1[[#This Row],[DTI band]])</f>
        <v>86</v>
      </c>
      <c r="AI361" s="2" t="str" cm="1">
        <f t="array" ref="AI361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361" s="2">
        <f>COUNTIF(Table1[LTV band],Table1[[#This Row],[LTV band]])</f>
        <v>302</v>
      </c>
      <c r="AK361" s="19">
        <f>COUNTIFS(Table1[count_loan_perband],Table1[[#This Row],[count_loan_perband]],Table1[default_flag],1)/COUNTIF(Table1[count_loan_perband],Table1[[#This Row],[count_loan_perband]])</f>
        <v>3.6423841059602648E-2</v>
      </c>
      <c r="AL361" s="19" t="str" cm="1">
        <f t="array" ref="AL361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361" s="19">
        <f>IF(Table1[[#This Row],[dpd]] &gt;=30,1,0)</f>
        <v>0</v>
      </c>
      <c r="AN361" s="19">
        <f>COUNTIFS(Table1[Loan size],Table1[[#This Row],[Loan size]],Table1[dpd flag],1)/COUNTIF(Table1[Loan size],Table1[[#This Row],[Loan size]])</f>
        <v>0.13934426229508196</v>
      </c>
      <c r="AO361" s="19" t="str">
        <f>IF(OR(Table1[[#This Row],[credit_score]] &lt; 600, Table1[ [#This Row],[dti_ratio] ] &gt; 0.5, Table1[[#This Row],[dpd]] &gt;=30), "high risk", " not riskY")</f>
        <v xml:space="preserve"> not riskY</v>
      </c>
      <c r="AP361" s="29">
        <f>EOMONTH(Table1[[#This Row],[origination_date]],0)</f>
        <v>45504</v>
      </c>
      <c r="AQ361" s="19">
        <f>SUMIFS(Table1[loan_amount],Table1[origination month],Table1[[#This Row],[origination month]])</f>
        <v>25320300</v>
      </c>
      <c r="AR361" s="19">
        <f>AVERAGEIFS(Table1[months_on_book],Table1[product],Table1[[#This Row],[product]])</f>
        <v>21.092024539877301</v>
      </c>
      <c r="AS361" s="19" t="str">
        <f ca="1">IF(EDATE(Table1[[#This Row],[origination_date]],6) &gt;= TODAY(), "New Loan", "Old Loan")</f>
        <v>Old Loan</v>
      </c>
      <c r="AT361" s="19" t="str">
        <f>"Q"&amp;ROUNDUP(MONTH(Table1[[#This Row],[origination_date]])/3,0)&amp;YEAR(Table1[[#This Row],[origination_date]])</f>
        <v>Q32024</v>
      </c>
      <c r="AU361" s="19">
        <f>SUMIFS(Table1[loan_amount],Table1[quarter],Table1[[#This Row],[quarter]])</f>
        <v>52597700</v>
      </c>
    </row>
    <row r="362" spans="2:47" x14ac:dyDescent="0.2">
      <c r="B362" s="5" t="s">
        <v>63</v>
      </c>
      <c r="C362" s="2" t="s">
        <v>563</v>
      </c>
      <c r="D362" s="3">
        <v>45478</v>
      </c>
      <c r="E362" s="2" t="s">
        <v>1027</v>
      </c>
      <c r="F362" s="2" t="s">
        <v>1029</v>
      </c>
      <c r="G362" s="2" t="s">
        <v>1035</v>
      </c>
      <c r="H362" s="2" t="s">
        <v>1038</v>
      </c>
      <c r="I362" s="2">
        <v>240</v>
      </c>
      <c r="J362" s="2">
        <v>5013400</v>
      </c>
      <c r="K362" s="2">
        <v>11.43</v>
      </c>
      <c r="L362" s="2">
        <v>53223</v>
      </c>
      <c r="M362" s="2">
        <v>1497369</v>
      </c>
      <c r="N362" s="2">
        <v>667</v>
      </c>
      <c r="O362" s="2" t="s">
        <v>1042</v>
      </c>
      <c r="P362" s="2">
        <v>0.15</v>
      </c>
      <c r="Q362" s="2">
        <v>0.77</v>
      </c>
      <c r="R362" s="2">
        <v>6482800</v>
      </c>
      <c r="S362" s="2">
        <v>17</v>
      </c>
      <c r="T362" s="2">
        <v>896777</v>
      </c>
      <c r="U362" s="2">
        <v>4441341</v>
      </c>
      <c r="V362" s="2">
        <v>0</v>
      </c>
      <c r="W362" s="2">
        <v>0</v>
      </c>
      <c r="X362" s="2">
        <v>0</v>
      </c>
      <c r="Y362" s="2" t="s">
        <v>1049</v>
      </c>
      <c r="Z362" s="12">
        <f>SUMIF(Table1[product],Table1[[#This Row],[product]],Table1[loan_amount])</f>
        <v>403369500</v>
      </c>
      <c r="AA362" s="15">
        <f>SUMIF(Table1[region],Table1[[#This Row],[region]],Table1[current_balance])</f>
        <v>83903255</v>
      </c>
      <c r="AB362" s="2">
        <f>COUNTIF(Table1[loan_status],Table1[[#This Row],[loan_status]])</f>
        <v>301</v>
      </c>
      <c r="AC362" s="2">
        <f>COUNTIF(Table1[default_flag],1)/ROWS(Table1[loan_id])</f>
        <v>2.5999999999999999E-2</v>
      </c>
      <c r="AD362" s="2">
        <f>COUNTIFS(Table1[region],Table1[[#This Row],[region]],Table1[default_flag],1)/COUNTIF(Table1[region],Table1[[#This Row],[region]])</f>
        <v>4.2553191489361701E-2</v>
      </c>
      <c r="AE362" s="2">
        <f>COUNTIFS(Table1[channel],Table1[[#This Row],[channel]],Table1[prepayment_flag],1)/COUNTIF(Table1[channel],Table1[[#This Row],[channel]])</f>
        <v>7.1090047393364927E-2</v>
      </c>
      <c r="AF362" s="2">
        <f>AVERAGEIFS(Table1[interest_rate_pct],Table1[product],Table1[[#This Row],[product]],Table1[risk_band],Table1[[#This Row],[risk_band]])</f>
        <v>11.719736842105268</v>
      </c>
      <c r="AG362" s="2" t="str" cm="1">
        <f t="array" ref="AG362">_xlfn.IFS(Table1[[#This Row],[dti_ratio]] &lt; 0.2, " less than 0.2", Table1[[#This Row],[dti_ratio]] &lt; 0.3, "0.2 - 0.3", Table1[[#This Row],[dti_ratio]] &lt;= 0.5, "0.35 - 0.5", Table1[[#This Row],[dti_ratio]] &gt; 0.5, "greater than 0.5")</f>
        <v xml:space="preserve"> less than 0.2</v>
      </c>
      <c r="AH362" s="2">
        <f>COUNTIF(Table1[DTI band],Table1[[#This Row],[DTI band]])</f>
        <v>86</v>
      </c>
      <c r="AI362" s="2" t="str" cm="1">
        <f t="array" ref="AI362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362" s="2">
        <f>COUNTIF(Table1[LTV band],Table1[[#This Row],[LTV band]])</f>
        <v>302</v>
      </c>
      <c r="AK362" s="19">
        <f>COUNTIFS(Table1[count_loan_perband],Table1[[#This Row],[count_loan_perband]],Table1[default_flag],1)/COUNTIF(Table1[count_loan_perband],Table1[[#This Row],[count_loan_perband]])</f>
        <v>3.6423841059602648E-2</v>
      </c>
      <c r="AL362" s="19" t="str" cm="1">
        <f t="array" ref="AL362">_xlfn.IFS(Table1[[#This Row],[loan_amount]] &lt; 900000, "lower size (&lt; 9L)", Table1[[#This Row],[loan_amount]] &lt;=3300000, "medium size (&lt;=33L)", Table1[[#This Row],[loan_amount]] &gt; 3300000, "larger size (&gt; 33L)")</f>
        <v>larger size (&gt; 33L)</v>
      </c>
      <c r="AM362" s="19">
        <f>IF(Table1[[#This Row],[dpd]] &gt;=30,1,0)</f>
        <v>0</v>
      </c>
      <c r="AN362" s="19">
        <f>COUNTIFS(Table1[Loan size],Table1[[#This Row],[Loan size]],Table1[dpd flag],1)/COUNTIF(Table1[Loan size],Table1[[#This Row],[Loan size]])</f>
        <v>0.16250000000000001</v>
      </c>
      <c r="AO362" s="19" t="str">
        <f>IF(OR(Table1[[#This Row],[credit_score]] &lt; 600, Table1[ [#This Row],[dti_ratio] ] &gt; 0.5, Table1[[#This Row],[dpd]] &gt;=30), "high risk", " not riskY")</f>
        <v xml:space="preserve"> not riskY</v>
      </c>
      <c r="AP362" s="29">
        <f>EOMONTH(Table1[[#This Row],[origination_date]],0)</f>
        <v>45504</v>
      </c>
      <c r="AQ362" s="19">
        <f>SUMIFS(Table1[loan_amount],Table1[origination month],Table1[[#This Row],[origination month]])</f>
        <v>25320300</v>
      </c>
      <c r="AR362" s="19">
        <f>AVERAGEIFS(Table1[months_on_book],Table1[product],Table1[[#This Row],[product]])</f>
        <v>20.516129032258064</v>
      </c>
      <c r="AS362" s="19" t="str">
        <f ca="1">IF(EDATE(Table1[[#This Row],[origination_date]],6) &gt;= TODAY(), "New Loan", "Old Loan")</f>
        <v>Old Loan</v>
      </c>
      <c r="AT362" s="19" t="str">
        <f>"Q"&amp;ROUNDUP(MONTH(Table1[[#This Row],[origination_date]])/3,0)&amp;YEAR(Table1[[#This Row],[origination_date]])</f>
        <v>Q32024</v>
      </c>
      <c r="AU362" s="19">
        <f>SUMIFS(Table1[loan_amount],Table1[quarter],Table1[[#This Row],[quarter]])</f>
        <v>52597700</v>
      </c>
    </row>
    <row r="363" spans="2:47" x14ac:dyDescent="0.2">
      <c r="B363" s="5" t="s">
        <v>298</v>
      </c>
      <c r="C363" s="2" t="s">
        <v>798</v>
      </c>
      <c r="D363" s="3">
        <v>45562</v>
      </c>
      <c r="E363" s="2" t="s">
        <v>1026</v>
      </c>
      <c r="F363" s="2" t="s">
        <v>1031</v>
      </c>
      <c r="G363" s="2" t="s">
        <v>1037</v>
      </c>
      <c r="H363" s="2" t="s">
        <v>1038</v>
      </c>
      <c r="I363" s="2">
        <v>72</v>
      </c>
      <c r="J363" s="2">
        <v>431000</v>
      </c>
      <c r="K363" s="2">
        <v>19.829999999999998</v>
      </c>
      <c r="L363" s="2">
        <v>10281</v>
      </c>
      <c r="M363" s="2">
        <v>1266118</v>
      </c>
      <c r="N363" s="2">
        <v>635</v>
      </c>
      <c r="O363" s="2" t="s">
        <v>1045</v>
      </c>
      <c r="P363" s="2">
        <v>0.12</v>
      </c>
      <c r="Q363" s="2">
        <v>0.77</v>
      </c>
      <c r="R363" s="2">
        <v>0</v>
      </c>
      <c r="S363" s="2">
        <v>15</v>
      </c>
      <c r="T363" s="2">
        <v>132918</v>
      </c>
      <c r="U363" s="2">
        <v>340816</v>
      </c>
      <c r="V363" s="2">
        <v>30</v>
      </c>
      <c r="W363" s="2">
        <v>0</v>
      </c>
      <c r="X363" s="2">
        <v>0</v>
      </c>
      <c r="Y363" s="2" t="s">
        <v>1048</v>
      </c>
      <c r="Z363" s="12">
        <f>SUMIF(Table1[product],Table1[[#This Row],[product]],Table1[loan_amount])</f>
        <v>74897600</v>
      </c>
      <c r="AA363" s="15">
        <f>SUMIF(Table1[region],Table1[[#This Row],[region]],Table1[current_balance])</f>
        <v>94548000</v>
      </c>
      <c r="AB363" s="2">
        <f>COUNTIF(Table1[loan_status],Table1[[#This Row],[loan_status]])</f>
        <v>47</v>
      </c>
      <c r="AC363" s="2">
        <f>COUNTIF(Table1[default_flag],1)/ROWS(Table1[loan_id])</f>
        <v>2.5999999999999999E-2</v>
      </c>
      <c r="AD363" s="2">
        <f>COUNTIFS(Table1[region],Table1[[#This Row],[region]],Table1[default_flag],1)/COUNTIF(Table1[region],Table1[[#This Row],[region]])</f>
        <v>0</v>
      </c>
      <c r="AE363" s="2">
        <f>COUNTIFS(Table1[channel],Table1[[#This Row],[channel]],Table1[prepayment_flag],1)/COUNTIF(Table1[channel],Table1[[#This Row],[channel]])</f>
        <v>0.12</v>
      </c>
      <c r="AF363" s="2">
        <f>AVERAGEIFS(Table1[interest_rate_pct],Table1[product],Table1[[#This Row],[product]],Table1[risk_band],Table1[[#This Row],[risk_band]])</f>
        <v>20.962592592592593</v>
      </c>
      <c r="AG363" s="2" t="str" cm="1">
        <f t="array" ref="AG363">_xlfn.IFS(Table1[[#This Row],[dti_ratio]] &lt; 0.2, " less than 0.2", Table1[[#This Row],[dti_ratio]] &lt; 0.3, "0.2 - 0.3", Table1[[#This Row],[dti_ratio]] &lt;= 0.5, "0.35 - 0.5", Table1[[#This Row],[dti_ratio]] &gt; 0.5, "greater than 0.5")</f>
        <v xml:space="preserve"> less than 0.2</v>
      </c>
      <c r="AH363" s="2">
        <f>COUNTIF(Table1[DTI band],Table1[[#This Row],[DTI band]])</f>
        <v>86</v>
      </c>
      <c r="AI363" s="2" t="str" cm="1">
        <f t="array" ref="AI363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363" s="2">
        <f>COUNTIF(Table1[LTV band],Table1[[#This Row],[LTV band]])</f>
        <v>302</v>
      </c>
      <c r="AK363" s="19">
        <f>COUNTIFS(Table1[count_loan_perband],Table1[[#This Row],[count_loan_perband]],Table1[default_flag],1)/COUNTIF(Table1[count_loan_perband],Table1[[#This Row],[count_loan_perband]])</f>
        <v>3.6423841059602648E-2</v>
      </c>
      <c r="AL363" s="19" t="str" cm="1">
        <f t="array" ref="AL363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363" s="19">
        <f>IF(Table1[[#This Row],[dpd]] &gt;=30,1,0)</f>
        <v>1</v>
      </c>
      <c r="AN363" s="19">
        <f>COUNTIFS(Table1[Loan size],Table1[[#This Row],[Loan size]],Table1[dpd flag],1)/COUNTIF(Table1[Loan size],Table1[[#This Row],[Loan size]])</f>
        <v>0.13934426229508196</v>
      </c>
      <c r="AO363" s="19" t="str">
        <f>IF(OR(Table1[[#This Row],[credit_score]] &lt; 600, Table1[ [#This Row],[dti_ratio] ] &gt; 0.5, Table1[[#This Row],[dpd]] &gt;=30), "high risk", " not riskY")</f>
        <v>high risk</v>
      </c>
      <c r="AP363" s="29">
        <f>EOMONTH(Table1[[#This Row],[origination_date]],0)</f>
        <v>45565</v>
      </c>
      <c r="AQ363" s="19">
        <f>SUMIFS(Table1[loan_amount],Table1[origination month],Table1[[#This Row],[origination month]])</f>
        <v>11027600</v>
      </c>
      <c r="AR363" s="19">
        <f>AVERAGEIFS(Table1[months_on_book],Table1[product],Table1[[#This Row],[product]])</f>
        <v>21.092024539877301</v>
      </c>
      <c r="AS363" s="19" t="str">
        <f ca="1">IF(EDATE(Table1[[#This Row],[origination_date]],6) &gt;= TODAY(), "New Loan", "Old Loan")</f>
        <v>Old Loan</v>
      </c>
      <c r="AT363" s="19" t="str">
        <f>"Q"&amp;ROUNDUP(MONTH(Table1[[#This Row],[origination_date]])/3,0)&amp;YEAR(Table1[[#This Row],[origination_date]])</f>
        <v>Q32024</v>
      </c>
      <c r="AU363" s="19">
        <f>SUMIFS(Table1[loan_amount],Table1[quarter],Table1[[#This Row],[quarter]])</f>
        <v>52597700</v>
      </c>
    </row>
    <row r="364" spans="2:47" x14ac:dyDescent="0.2">
      <c r="B364" s="5" t="s">
        <v>338</v>
      </c>
      <c r="C364" s="2" t="s">
        <v>838</v>
      </c>
      <c r="D364" s="3">
        <v>45520</v>
      </c>
      <c r="E364" s="2" t="s">
        <v>1024</v>
      </c>
      <c r="F364" s="2" t="s">
        <v>1029</v>
      </c>
      <c r="G364" s="2" t="s">
        <v>1037</v>
      </c>
      <c r="H364" s="2" t="s">
        <v>1038</v>
      </c>
      <c r="I364" s="2">
        <v>60</v>
      </c>
      <c r="J364" s="2">
        <v>959000</v>
      </c>
      <c r="K364" s="2">
        <v>13.2</v>
      </c>
      <c r="L364" s="2">
        <v>21919</v>
      </c>
      <c r="M364" s="2">
        <v>1033445</v>
      </c>
      <c r="N364" s="2">
        <v>634</v>
      </c>
      <c r="O364" s="2" t="s">
        <v>1045</v>
      </c>
      <c r="P364" s="2">
        <v>0.09</v>
      </c>
      <c r="Q364" s="2">
        <v>0.63</v>
      </c>
      <c r="R364" s="2">
        <v>1515500</v>
      </c>
      <c r="S364" s="2">
        <v>16</v>
      </c>
      <c r="T364" s="2">
        <v>354264</v>
      </c>
      <c r="U364" s="2">
        <v>672250</v>
      </c>
      <c r="V364" s="2">
        <v>0</v>
      </c>
      <c r="W364" s="2">
        <v>0</v>
      </c>
      <c r="X364" s="2">
        <v>0</v>
      </c>
      <c r="Y364" s="2" t="s">
        <v>1049</v>
      </c>
      <c r="Z364" s="12">
        <f>SUMIF(Table1[product],Table1[[#This Row],[product]],Table1[loan_amount])</f>
        <v>92273000</v>
      </c>
      <c r="AA364" s="15">
        <f>SUMIF(Table1[region],Table1[[#This Row],[region]],Table1[current_balance])</f>
        <v>94548000</v>
      </c>
      <c r="AB364" s="2">
        <f>COUNTIF(Table1[loan_status],Table1[[#This Row],[loan_status]])</f>
        <v>301</v>
      </c>
      <c r="AC364" s="2">
        <f>COUNTIF(Table1[default_flag],1)/ROWS(Table1[loan_id])</f>
        <v>2.5999999999999999E-2</v>
      </c>
      <c r="AD364" s="2">
        <f>COUNTIFS(Table1[region],Table1[[#This Row],[region]],Table1[default_flag],1)/COUNTIF(Table1[region],Table1[[#This Row],[region]])</f>
        <v>0</v>
      </c>
      <c r="AE364" s="2">
        <f>COUNTIFS(Table1[channel],Table1[[#This Row],[channel]],Table1[prepayment_flag],1)/COUNTIF(Table1[channel],Table1[[#This Row],[channel]])</f>
        <v>7.1090047393364927E-2</v>
      </c>
      <c r="AF364" s="2">
        <f>AVERAGEIFS(Table1[interest_rate_pct],Table1[product],Table1[[#This Row],[product]],Table1[risk_band],Table1[[#This Row],[risk_band]])</f>
        <v>15.092000000000001</v>
      </c>
      <c r="AG364" s="2" t="str" cm="1">
        <f t="array" ref="AG364">_xlfn.IFS(Table1[[#This Row],[dti_ratio]] &lt; 0.2, " less than 0.2", Table1[[#This Row],[dti_ratio]] &lt; 0.3, "0.2 - 0.3", Table1[[#This Row],[dti_ratio]] &lt;= 0.5, "0.35 - 0.5", Table1[[#This Row],[dti_ratio]] &gt; 0.5, "greater than 0.5")</f>
        <v xml:space="preserve"> less than 0.2</v>
      </c>
      <c r="AH364" s="2">
        <f>COUNTIF(Table1[DTI band],Table1[[#This Row],[DTI band]])</f>
        <v>86</v>
      </c>
      <c r="AI364" s="2" t="str" cm="1">
        <f t="array" ref="AI364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364" s="2">
        <f>COUNTIF(Table1[LTV band],Table1[[#This Row],[LTV band]])</f>
        <v>302</v>
      </c>
      <c r="AK364" s="19">
        <f>COUNTIFS(Table1[count_loan_perband],Table1[[#This Row],[count_loan_perband]],Table1[default_flag],1)/COUNTIF(Table1[count_loan_perband],Table1[[#This Row],[count_loan_perband]])</f>
        <v>3.6423841059602648E-2</v>
      </c>
      <c r="AL364" s="19" t="str" cm="1">
        <f t="array" ref="AL364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364" s="19">
        <f>IF(Table1[[#This Row],[dpd]] &gt;=30,1,0)</f>
        <v>0</v>
      </c>
      <c r="AN364" s="19">
        <f>COUNTIFS(Table1[Loan size],Table1[[#This Row],[Loan size]],Table1[dpd flag],1)/COUNTIF(Table1[Loan size],Table1[[#This Row],[Loan size]])</f>
        <v>0.15909090909090909</v>
      </c>
      <c r="AO364" s="19" t="str">
        <f>IF(OR(Table1[[#This Row],[credit_score]] &lt; 600, Table1[ [#This Row],[dti_ratio] ] &gt; 0.5, Table1[[#This Row],[dpd]] &gt;=30), "high risk", " not riskY")</f>
        <v xml:space="preserve"> not riskY</v>
      </c>
      <c r="AP364" s="29">
        <f>EOMONTH(Table1[[#This Row],[origination_date]],0)</f>
        <v>45535</v>
      </c>
      <c r="AQ364" s="19">
        <f>SUMIFS(Table1[loan_amount],Table1[origination month],Table1[[#This Row],[origination month]])</f>
        <v>16249800</v>
      </c>
      <c r="AR364" s="19">
        <f>AVERAGEIFS(Table1[months_on_book],Table1[product],Table1[[#This Row],[product]])</f>
        <v>20.262135922330096</v>
      </c>
      <c r="AS364" s="19" t="str">
        <f ca="1">IF(EDATE(Table1[[#This Row],[origination_date]],6) &gt;= TODAY(), "New Loan", "Old Loan")</f>
        <v>Old Loan</v>
      </c>
      <c r="AT364" s="19" t="str">
        <f>"Q"&amp;ROUNDUP(MONTH(Table1[[#This Row],[origination_date]])/3,0)&amp;YEAR(Table1[[#This Row],[origination_date]])</f>
        <v>Q32024</v>
      </c>
      <c r="AU364" s="19">
        <f>SUMIFS(Table1[loan_amount],Table1[quarter],Table1[[#This Row],[quarter]])</f>
        <v>52597700</v>
      </c>
    </row>
    <row r="365" spans="2:47" x14ac:dyDescent="0.2">
      <c r="B365" s="5" t="s">
        <v>263</v>
      </c>
      <c r="C365" s="2" t="s">
        <v>763</v>
      </c>
      <c r="D365" s="3">
        <v>45888</v>
      </c>
      <c r="E365" s="2" t="s">
        <v>1024</v>
      </c>
      <c r="F365" s="2" t="s">
        <v>1029</v>
      </c>
      <c r="G365" s="2" t="s">
        <v>1034</v>
      </c>
      <c r="H365" s="2" t="s">
        <v>1038</v>
      </c>
      <c r="I365" s="2">
        <v>120</v>
      </c>
      <c r="J365" s="2">
        <v>1388000</v>
      </c>
      <c r="K365" s="2">
        <v>10.56</v>
      </c>
      <c r="L365" s="2">
        <v>18776</v>
      </c>
      <c r="M365" s="2">
        <v>845703</v>
      </c>
      <c r="N365" s="2">
        <v>726</v>
      </c>
      <c r="O365" s="2" t="s">
        <v>1044</v>
      </c>
      <c r="P365" s="2">
        <v>0.56000000000000005</v>
      </c>
      <c r="Q365" s="2">
        <v>0.73</v>
      </c>
      <c r="R365" s="2">
        <v>1905200</v>
      </c>
      <c r="S365" s="2">
        <v>4</v>
      </c>
      <c r="T365" s="2">
        <v>71356</v>
      </c>
      <c r="U365" s="2">
        <v>1336187</v>
      </c>
      <c r="V365" s="2">
        <v>0</v>
      </c>
      <c r="W365" s="2">
        <v>1</v>
      </c>
      <c r="X365" s="2">
        <v>0</v>
      </c>
      <c r="Y365" s="2" t="s">
        <v>1047</v>
      </c>
      <c r="Z365" s="12">
        <f>SUMIF(Table1[product],Table1[[#This Row],[product]],Table1[loan_amount])</f>
        <v>92273000</v>
      </c>
      <c r="AA365" s="15">
        <f>SUMIF(Table1[region],Table1[[#This Row],[region]],Table1[current_balance])</f>
        <v>105779369</v>
      </c>
      <c r="AB365" s="2">
        <f>COUNTIF(Table1[loan_status],Table1[[#This Row],[loan_status]])</f>
        <v>139</v>
      </c>
      <c r="AC365" s="2">
        <f>COUNTIF(Table1[default_flag],1)/ROWS(Table1[loan_id])</f>
        <v>2.5999999999999999E-2</v>
      </c>
      <c r="AD365" s="2">
        <f>COUNTIFS(Table1[region],Table1[[#This Row],[region]],Table1[default_flag],1)/COUNTIF(Table1[region],Table1[[#This Row],[region]])</f>
        <v>2.6548672566371681E-2</v>
      </c>
      <c r="AE365" s="2">
        <f>COUNTIFS(Table1[channel],Table1[[#This Row],[channel]],Table1[prepayment_flag],1)/COUNTIF(Table1[channel],Table1[[#This Row],[channel]])</f>
        <v>7.1090047393364927E-2</v>
      </c>
      <c r="AF365" s="2">
        <f>AVERAGEIFS(Table1[interest_rate_pct],Table1[product],Table1[[#This Row],[product]],Table1[risk_band],Table1[[#This Row],[risk_band]])</f>
        <v>10.611923076923079</v>
      </c>
      <c r="AG365" s="2" t="str" cm="1">
        <f t="array" ref="AG365">_xlfn.IFS(Table1[[#This Row],[dti_ratio]] &lt; 0.2, " less than 0.2", Table1[[#This Row],[dti_ratio]] &lt; 0.3, "0.2 - 0.3", Table1[[#This Row],[dti_ratio]] &lt;= 0.5, "0.35 - 0.5", Table1[[#This Row],[dti_ratio]] &gt; 0.5, "greater than 0.5")</f>
        <v>greater than 0.5</v>
      </c>
      <c r="AH365" s="2">
        <f>COUNTIF(Table1[DTI band],Table1[[#This Row],[DTI band]])</f>
        <v>32</v>
      </c>
      <c r="AI365" s="2" t="str" cm="1">
        <f t="array" ref="AI365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365" s="2">
        <f>COUNTIF(Table1[LTV band],Table1[[#This Row],[LTV band]])</f>
        <v>302</v>
      </c>
      <c r="AK365" s="19">
        <f>COUNTIFS(Table1[count_loan_perband],Table1[[#This Row],[count_loan_perband]],Table1[default_flag],1)/COUNTIF(Table1[count_loan_perband],Table1[[#This Row],[count_loan_perband]])</f>
        <v>3.6423841059602648E-2</v>
      </c>
      <c r="AL365" s="19" t="str" cm="1">
        <f t="array" ref="AL365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365" s="19">
        <f>IF(Table1[[#This Row],[dpd]] &gt;=30,1,0)</f>
        <v>0</v>
      </c>
      <c r="AN365" s="19">
        <f>COUNTIFS(Table1[Loan size],Table1[[#This Row],[Loan size]],Table1[dpd flag],1)/COUNTIF(Table1[Loan size],Table1[[#This Row],[Loan size]])</f>
        <v>0.15909090909090909</v>
      </c>
      <c r="AO365" s="19" t="str">
        <f>IF(OR(Table1[[#This Row],[credit_score]] &lt; 600, Table1[ [#This Row],[dti_ratio] ] &gt; 0.5, Table1[[#This Row],[dpd]] &gt;=30), "high risk", " not riskY")</f>
        <v>high risk</v>
      </c>
      <c r="AP365" s="29">
        <f>EOMONTH(Table1[[#This Row],[origination_date]],0)</f>
        <v>45900</v>
      </c>
      <c r="AQ365" s="19">
        <f>SUMIFS(Table1[loan_amount],Table1[origination month],Table1[[#This Row],[origination month]])</f>
        <v>21976400</v>
      </c>
      <c r="AR365" s="19">
        <f>AVERAGEIFS(Table1[months_on_book],Table1[product],Table1[[#This Row],[product]])</f>
        <v>20.262135922330096</v>
      </c>
      <c r="AS365" s="19" t="str">
        <f ca="1">IF(EDATE(Table1[[#This Row],[origination_date]],6) &gt;= TODAY(), "New Loan", "Old Loan")</f>
        <v>New Loan</v>
      </c>
      <c r="AT365" s="19" t="str">
        <f>"Q"&amp;ROUNDUP(MONTH(Table1[[#This Row],[origination_date]])/3,0)&amp;YEAR(Table1[[#This Row],[origination_date]])</f>
        <v>Q32025</v>
      </c>
      <c r="AU365" s="19">
        <f>SUMIFS(Table1[loan_amount],Table1[quarter],Table1[[#This Row],[quarter]])</f>
        <v>59662800</v>
      </c>
    </row>
    <row r="366" spans="2:47" x14ac:dyDescent="0.2">
      <c r="B366" s="5" t="s">
        <v>384</v>
      </c>
      <c r="C366" s="2" t="s">
        <v>884</v>
      </c>
      <c r="D366" s="3">
        <v>45876</v>
      </c>
      <c r="E366" s="2" t="s">
        <v>1028</v>
      </c>
      <c r="F366" s="2" t="s">
        <v>1030</v>
      </c>
      <c r="G366" s="2" t="s">
        <v>1037</v>
      </c>
      <c r="H366" s="2" t="s">
        <v>1038</v>
      </c>
      <c r="I366" s="2">
        <v>24</v>
      </c>
      <c r="J366" s="2">
        <v>1565900</v>
      </c>
      <c r="K366" s="2">
        <v>11.5</v>
      </c>
      <c r="L366" s="2">
        <v>73347</v>
      </c>
      <c r="M366" s="2">
        <v>790838</v>
      </c>
      <c r="N366" s="2">
        <v>722</v>
      </c>
      <c r="O366" s="2" t="s">
        <v>1044</v>
      </c>
      <c r="P366" s="2">
        <v>0.51</v>
      </c>
      <c r="Q366" s="2">
        <v>0.72</v>
      </c>
      <c r="R366" s="2">
        <v>0</v>
      </c>
      <c r="S366" s="2">
        <v>4</v>
      </c>
      <c r="T366" s="2">
        <v>266058</v>
      </c>
      <c r="U366" s="2">
        <v>1323852</v>
      </c>
      <c r="V366" s="2">
        <v>45</v>
      </c>
      <c r="W366" s="2">
        <v>0</v>
      </c>
      <c r="X366" s="2">
        <v>0</v>
      </c>
      <c r="Y366" s="2" t="s">
        <v>1048</v>
      </c>
      <c r="Z366" s="12">
        <f>SUMIF(Table1[product],Table1[[#This Row],[product]],Table1[loan_amount])</f>
        <v>62765800</v>
      </c>
      <c r="AA366" s="15">
        <f>SUMIF(Table1[region],Table1[[#This Row],[region]],Table1[current_balance])</f>
        <v>94548000</v>
      </c>
      <c r="AB366" s="2">
        <f>COUNTIF(Table1[loan_status],Table1[[#This Row],[loan_status]])</f>
        <v>47</v>
      </c>
      <c r="AC366" s="2">
        <f>COUNTIF(Table1[default_flag],1)/ROWS(Table1[loan_id])</f>
        <v>2.5999999999999999E-2</v>
      </c>
      <c r="AD366" s="2">
        <f>COUNTIFS(Table1[region],Table1[[#This Row],[region]],Table1[default_flag],1)/COUNTIF(Table1[region],Table1[[#This Row],[region]])</f>
        <v>0</v>
      </c>
      <c r="AE366" s="2">
        <f>COUNTIFS(Table1[channel],Table1[[#This Row],[channel]],Table1[prepayment_flag],1)/COUNTIF(Table1[channel],Table1[[#This Row],[channel]])</f>
        <v>5.8201058201058198E-2</v>
      </c>
      <c r="AF366" s="2">
        <f>AVERAGEIFS(Table1[interest_rate_pct],Table1[product],Table1[[#This Row],[product]],Table1[risk_band],Table1[[#This Row],[risk_band]])</f>
        <v>10.832666666666663</v>
      </c>
      <c r="AG366" s="2" t="str" cm="1">
        <f t="array" ref="AG366">_xlfn.IFS(Table1[[#This Row],[dti_ratio]] &lt; 0.2, " less than 0.2", Table1[[#This Row],[dti_ratio]] &lt; 0.3, "0.2 - 0.3", Table1[[#This Row],[dti_ratio]] &lt;= 0.5, "0.35 - 0.5", Table1[[#This Row],[dti_ratio]] &gt; 0.5, "greater than 0.5")</f>
        <v>greater than 0.5</v>
      </c>
      <c r="AH366" s="2">
        <f>COUNTIF(Table1[DTI band],Table1[[#This Row],[DTI band]])</f>
        <v>32</v>
      </c>
      <c r="AI366" s="2" t="str" cm="1">
        <f t="array" ref="AI366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366" s="2">
        <f>COUNTIF(Table1[LTV band],Table1[[#This Row],[LTV band]])</f>
        <v>302</v>
      </c>
      <c r="AK366" s="19">
        <f>COUNTIFS(Table1[count_loan_perband],Table1[[#This Row],[count_loan_perband]],Table1[default_flag],1)/COUNTIF(Table1[count_loan_perband],Table1[[#This Row],[count_loan_perband]])</f>
        <v>3.6423841059602648E-2</v>
      </c>
      <c r="AL366" s="19" t="str" cm="1">
        <f t="array" ref="AL366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366" s="19">
        <f>IF(Table1[[#This Row],[dpd]] &gt;=30,1,0)</f>
        <v>1</v>
      </c>
      <c r="AN366" s="19">
        <f>COUNTIFS(Table1[Loan size],Table1[[#This Row],[Loan size]],Table1[dpd flag],1)/COUNTIF(Table1[Loan size],Table1[[#This Row],[Loan size]])</f>
        <v>0.15909090909090909</v>
      </c>
      <c r="AO366" s="19" t="str">
        <f>IF(OR(Table1[[#This Row],[credit_score]] &lt; 600, Table1[ [#This Row],[dti_ratio] ] &gt; 0.5, Table1[[#This Row],[dpd]] &gt;=30), "high risk", " not riskY")</f>
        <v>high risk</v>
      </c>
      <c r="AP366" s="29">
        <f>EOMONTH(Table1[[#This Row],[origination_date]],0)</f>
        <v>45900</v>
      </c>
      <c r="AQ366" s="19">
        <f>SUMIFS(Table1[loan_amount],Table1[origination month],Table1[[#This Row],[origination month]])</f>
        <v>21976400</v>
      </c>
      <c r="AR366" s="19">
        <f>AVERAGEIFS(Table1[months_on_book],Table1[product],Table1[[#This Row],[product]])</f>
        <v>21.962962962962962</v>
      </c>
      <c r="AS366" s="19" t="str">
        <f ca="1">IF(EDATE(Table1[[#This Row],[origination_date]],6) &gt;= TODAY(), "New Loan", "Old Loan")</f>
        <v>New Loan</v>
      </c>
      <c r="AT366" s="19" t="str">
        <f>"Q"&amp;ROUNDUP(MONTH(Table1[[#This Row],[origination_date]])/3,0)&amp;YEAR(Table1[[#This Row],[origination_date]])</f>
        <v>Q32025</v>
      </c>
      <c r="AU366" s="19">
        <f>SUMIFS(Table1[loan_amount],Table1[quarter],Table1[[#This Row],[quarter]])</f>
        <v>59662800</v>
      </c>
    </row>
    <row r="367" spans="2:47" x14ac:dyDescent="0.2">
      <c r="B367" s="5" t="s">
        <v>522</v>
      </c>
      <c r="C367" s="2" t="s">
        <v>1022</v>
      </c>
      <c r="D367" s="3">
        <v>45928</v>
      </c>
      <c r="E367" s="2" t="s">
        <v>1024</v>
      </c>
      <c r="F367" s="2" t="s">
        <v>1029</v>
      </c>
      <c r="G367" s="2" t="s">
        <v>1037</v>
      </c>
      <c r="H367" s="2" t="s">
        <v>1039</v>
      </c>
      <c r="I367" s="2">
        <v>360</v>
      </c>
      <c r="J367" s="2">
        <v>1174400</v>
      </c>
      <c r="K367" s="2">
        <v>13.85</v>
      </c>
      <c r="L367" s="2">
        <v>13776</v>
      </c>
      <c r="M367" s="2">
        <v>1299284</v>
      </c>
      <c r="N367" s="2">
        <v>647</v>
      </c>
      <c r="O367" s="2" t="s">
        <v>1045</v>
      </c>
      <c r="P367" s="2">
        <v>0.47</v>
      </c>
      <c r="Q367" s="2">
        <v>0.65</v>
      </c>
      <c r="R367" s="2">
        <v>1806700</v>
      </c>
      <c r="S367" s="2">
        <v>3</v>
      </c>
      <c r="T367" s="2">
        <v>42017</v>
      </c>
      <c r="U367" s="2">
        <v>1148648</v>
      </c>
      <c r="V367" s="2">
        <v>10</v>
      </c>
      <c r="W367" s="2">
        <v>0</v>
      </c>
      <c r="X367" s="2">
        <v>0</v>
      </c>
      <c r="Y367" s="2" t="s">
        <v>1049</v>
      </c>
      <c r="Z367" s="12">
        <f>SUMIF(Table1[product],Table1[[#This Row],[product]],Table1[loan_amount])</f>
        <v>92273000</v>
      </c>
      <c r="AA367" s="15">
        <f>SUMIF(Table1[region],Table1[[#This Row],[region]],Table1[current_balance])</f>
        <v>94548000</v>
      </c>
      <c r="AB367" s="2">
        <f>COUNTIF(Table1[loan_status],Table1[[#This Row],[loan_status]])</f>
        <v>301</v>
      </c>
      <c r="AC367" s="2">
        <f>COUNTIF(Table1[default_flag],1)/ROWS(Table1[loan_id])</f>
        <v>2.5999999999999999E-2</v>
      </c>
      <c r="AD367" s="2">
        <f>COUNTIFS(Table1[region],Table1[[#This Row],[region]],Table1[default_flag],1)/COUNTIF(Table1[region],Table1[[#This Row],[region]])</f>
        <v>0</v>
      </c>
      <c r="AE367" s="2">
        <f>COUNTIFS(Table1[channel],Table1[[#This Row],[channel]],Table1[prepayment_flag],1)/COUNTIF(Table1[channel],Table1[[#This Row],[channel]])</f>
        <v>7.1090047393364927E-2</v>
      </c>
      <c r="AF367" s="2">
        <f>AVERAGEIFS(Table1[interest_rate_pct],Table1[product],Table1[[#This Row],[product]],Table1[risk_band],Table1[[#This Row],[risk_band]])</f>
        <v>15.092000000000001</v>
      </c>
      <c r="AG367" s="2" t="str" cm="1">
        <f t="array" ref="AG367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367" s="2">
        <f>COUNTIF(Table1[DTI band],Table1[[#This Row],[DTI band]])</f>
        <v>260</v>
      </c>
      <c r="AI367" s="2" t="str" cm="1">
        <f t="array" ref="AI367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367" s="2">
        <f>COUNTIF(Table1[LTV band],Table1[[#This Row],[LTV band]])</f>
        <v>302</v>
      </c>
      <c r="AK367" s="19">
        <f>COUNTIFS(Table1[count_loan_perband],Table1[[#This Row],[count_loan_perband]],Table1[default_flag],1)/COUNTIF(Table1[count_loan_perband],Table1[[#This Row],[count_loan_perband]])</f>
        <v>3.6423841059602648E-2</v>
      </c>
      <c r="AL367" s="19" t="str" cm="1">
        <f t="array" ref="AL367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367" s="19">
        <f>IF(Table1[[#This Row],[dpd]] &gt;=30,1,0)</f>
        <v>0</v>
      </c>
      <c r="AN367" s="19">
        <f>COUNTIFS(Table1[Loan size],Table1[[#This Row],[Loan size]],Table1[dpd flag],1)/COUNTIF(Table1[Loan size],Table1[[#This Row],[Loan size]])</f>
        <v>0.15909090909090909</v>
      </c>
      <c r="AO367" s="19" t="str">
        <f>IF(OR(Table1[[#This Row],[credit_score]] &lt; 600, Table1[ [#This Row],[dti_ratio] ] &gt; 0.5, Table1[[#This Row],[dpd]] &gt;=30), "high risk", " not riskY")</f>
        <v xml:space="preserve"> not riskY</v>
      </c>
      <c r="AP367" s="29">
        <f>EOMONTH(Table1[[#This Row],[origination_date]],0)</f>
        <v>45930</v>
      </c>
      <c r="AQ367" s="19">
        <f>SUMIFS(Table1[loan_amount],Table1[origination month],Table1[[#This Row],[origination month]])</f>
        <v>8810700</v>
      </c>
      <c r="AR367" s="19">
        <f>AVERAGEIFS(Table1[months_on_book],Table1[product],Table1[[#This Row],[product]])</f>
        <v>20.262135922330096</v>
      </c>
      <c r="AS367" s="19" t="str">
        <f ca="1">IF(EDATE(Table1[[#This Row],[origination_date]],6) &gt;= TODAY(), "New Loan", "Old Loan")</f>
        <v>New Loan</v>
      </c>
      <c r="AT367" s="19" t="str">
        <f>"Q"&amp;ROUNDUP(MONTH(Table1[[#This Row],[origination_date]])/3,0)&amp;YEAR(Table1[[#This Row],[origination_date]])</f>
        <v>Q32025</v>
      </c>
      <c r="AU367" s="19">
        <f>SUMIFS(Table1[loan_amount],Table1[quarter],Table1[[#This Row],[quarter]])</f>
        <v>59662800</v>
      </c>
    </row>
    <row r="368" spans="2:47" x14ac:dyDescent="0.2">
      <c r="B368" s="5" t="s">
        <v>28</v>
      </c>
      <c r="C368" s="2" t="s">
        <v>528</v>
      </c>
      <c r="D368" s="3">
        <v>45907</v>
      </c>
      <c r="E368" s="2" t="s">
        <v>1024</v>
      </c>
      <c r="F368" s="2" t="s">
        <v>1030</v>
      </c>
      <c r="G368" s="2" t="s">
        <v>1036</v>
      </c>
      <c r="H368" s="2" t="s">
        <v>1039</v>
      </c>
      <c r="I368" s="2">
        <v>120</v>
      </c>
      <c r="J368" s="2">
        <v>1203000</v>
      </c>
      <c r="K368" s="2">
        <v>15.32</v>
      </c>
      <c r="L368" s="2">
        <v>19645</v>
      </c>
      <c r="M368" s="2">
        <v>748230</v>
      </c>
      <c r="N368" s="2">
        <v>631</v>
      </c>
      <c r="O368" s="2" t="s">
        <v>1045</v>
      </c>
      <c r="P368" s="2">
        <v>0.44</v>
      </c>
      <c r="Q368" s="2">
        <v>0.79</v>
      </c>
      <c r="R368" s="2">
        <v>1519200</v>
      </c>
      <c r="S368" s="2">
        <v>3</v>
      </c>
      <c r="T368" s="2">
        <v>51015</v>
      </c>
      <c r="U368" s="2">
        <v>1170415</v>
      </c>
      <c r="V368" s="2">
        <v>0</v>
      </c>
      <c r="W368" s="2">
        <v>0</v>
      </c>
      <c r="X368" s="2">
        <v>0</v>
      </c>
      <c r="Y368" s="2" t="s">
        <v>1049</v>
      </c>
      <c r="Z368" s="12">
        <f>SUMIF(Table1[product],Table1[[#This Row],[product]],Table1[loan_amount])</f>
        <v>92273000</v>
      </c>
      <c r="AA368" s="15">
        <f>SUMIF(Table1[region],Table1[[#This Row],[region]],Table1[current_balance])</f>
        <v>98928695</v>
      </c>
      <c r="AB368" s="2">
        <f>COUNTIF(Table1[loan_status],Table1[[#This Row],[loan_status]])</f>
        <v>301</v>
      </c>
      <c r="AC368" s="2">
        <f>COUNTIF(Table1[default_flag],1)/ROWS(Table1[loan_id])</f>
        <v>2.5999999999999999E-2</v>
      </c>
      <c r="AD368" s="2">
        <f>COUNTIFS(Table1[region],Table1[[#This Row],[region]],Table1[default_flag],1)/COUNTIF(Table1[region],Table1[[#This Row],[region]])</f>
        <v>2.8571428571428571E-2</v>
      </c>
      <c r="AE368" s="2">
        <f>COUNTIFS(Table1[channel],Table1[[#This Row],[channel]],Table1[prepayment_flag],1)/COUNTIF(Table1[channel],Table1[[#This Row],[channel]])</f>
        <v>5.8201058201058198E-2</v>
      </c>
      <c r="AF368" s="2">
        <f>AVERAGEIFS(Table1[interest_rate_pct],Table1[product],Table1[[#This Row],[product]],Table1[risk_band],Table1[[#This Row],[risk_band]])</f>
        <v>15.092000000000001</v>
      </c>
      <c r="AG368" s="2" t="str" cm="1">
        <f t="array" ref="AG368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368" s="2">
        <f>COUNTIF(Table1[DTI band],Table1[[#This Row],[DTI band]])</f>
        <v>260</v>
      </c>
      <c r="AI368" s="2" t="str" cm="1">
        <f t="array" ref="AI368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368" s="2">
        <f>COUNTIF(Table1[LTV band],Table1[[#This Row],[LTV band]])</f>
        <v>302</v>
      </c>
      <c r="AK368" s="19">
        <f>COUNTIFS(Table1[count_loan_perband],Table1[[#This Row],[count_loan_perband]],Table1[default_flag],1)/COUNTIF(Table1[count_loan_perband],Table1[[#This Row],[count_loan_perband]])</f>
        <v>3.6423841059602648E-2</v>
      </c>
      <c r="AL368" s="19" t="str" cm="1">
        <f t="array" ref="AL368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368" s="19">
        <f>IF(Table1[[#This Row],[dpd]] &gt;=30,1,0)</f>
        <v>0</v>
      </c>
      <c r="AN368" s="19">
        <f>COUNTIFS(Table1[Loan size],Table1[[#This Row],[Loan size]],Table1[dpd flag],1)/COUNTIF(Table1[Loan size],Table1[[#This Row],[Loan size]])</f>
        <v>0.15909090909090909</v>
      </c>
      <c r="AO368" s="19" t="str">
        <f>IF(OR(Table1[[#This Row],[credit_score]] &lt; 600, Table1[ [#This Row],[dti_ratio] ] &gt; 0.5, Table1[[#This Row],[dpd]] &gt;=30), "high risk", " not riskY")</f>
        <v xml:space="preserve"> not riskY</v>
      </c>
      <c r="AP368" s="29">
        <f>EOMONTH(Table1[[#This Row],[origination_date]],0)</f>
        <v>45930</v>
      </c>
      <c r="AQ368" s="19">
        <f>SUMIFS(Table1[loan_amount],Table1[origination month],Table1[[#This Row],[origination month]])</f>
        <v>8810700</v>
      </c>
      <c r="AR368" s="19">
        <f>AVERAGEIFS(Table1[months_on_book],Table1[product],Table1[[#This Row],[product]])</f>
        <v>20.262135922330096</v>
      </c>
      <c r="AS368" s="19" t="str">
        <f ca="1">IF(EDATE(Table1[[#This Row],[origination_date]],6) &gt;= TODAY(), "New Loan", "Old Loan")</f>
        <v>New Loan</v>
      </c>
      <c r="AT368" s="19" t="str">
        <f>"Q"&amp;ROUNDUP(MONTH(Table1[[#This Row],[origination_date]])/3,0)&amp;YEAR(Table1[[#This Row],[origination_date]])</f>
        <v>Q32025</v>
      </c>
      <c r="AU368" s="19">
        <f>SUMIFS(Table1[loan_amount],Table1[quarter],Table1[[#This Row],[quarter]])</f>
        <v>59662800</v>
      </c>
    </row>
    <row r="369" spans="2:47" x14ac:dyDescent="0.2">
      <c r="B369" s="5" t="s">
        <v>237</v>
      </c>
      <c r="C369" s="2" t="s">
        <v>737</v>
      </c>
      <c r="D369" s="3">
        <v>45842</v>
      </c>
      <c r="E369" s="2" t="s">
        <v>1024</v>
      </c>
      <c r="F369" s="2" t="s">
        <v>1030</v>
      </c>
      <c r="G369" s="2" t="s">
        <v>1035</v>
      </c>
      <c r="H369" s="2" t="s">
        <v>1038</v>
      </c>
      <c r="I369" s="2">
        <v>18</v>
      </c>
      <c r="J369" s="2">
        <v>1182600</v>
      </c>
      <c r="K369" s="2">
        <v>16.7</v>
      </c>
      <c r="L369" s="2">
        <v>74726</v>
      </c>
      <c r="M369" s="2">
        <v>735547</v>
      </c>
      <c r="N369" s="2">
        <v>602</v>
      </c>
      <c r="O369" s="2" t="s">
        <v>1045</v>
      </c>
      <c r="P369" s="2">
        <v>0.43</v>
      </c>
      <c r="Q369" s="2">
        <v>0.81</v>
      </c>
      <c r="R369" s="2">
        <v>1468900</v>
      </c>
      <c r="S369" s="2">
        <v>5</v>
      </c>
      <c r="T369" s="2">
        <v>328424</v>
      </c>
      <c r="U369" s="2">
        <v>887092</v>
      </c>
      <c r="V369" s="2">
        <v>0</v>
      </c>
      <c r="W369" s="2">
        <v>1</v>
      </c>
      <c r="X369" s="2">
        <v>0</v>
      </c>
      <c r="Y369" s="2" t="s">
        <v>1047</v>
      </c>
      <c r="Z369" s="12">
        <f>SUMIF(Table1[product],Table1[[#This Row],[product]],Table1[loan_amount])</f>
        <v>92273000</v>
      </c>
      <c r="AA369" s="15">
        <f>SUMIF(Table1[region],Table1[[#This Row],[region]],Table1[current_balance])</f>
        <v>83903255</v>
      </c>
      <c r="AB369" s="2">
        <f>COUNTIF(Table1[loan_status],Table1[[#This Row],[loan_status]])</f>
        <v>139</v>
      </c>
      <c r="AC369" s="2">
        <f>COUNTIF(Table1[default_flag],1)/ROWS(Table1[loan_id])</f>
        <v>2.5999999999999999E-2</v>
      </c>
      <c r="AD369" s="2">
        <f>COUNTIFS(Table1[region],Table1[[#This Row],[region]],Table1[default_flag],1)/COUNTIF(Table1[region],Table1[[#This Row],[region]])</f>
        <v>4.2553191489361701E-2</v>
      </c>
      <c r="AE369" s="2">
        <f>COUNTIFS(Table1[channel],Table1[[#This Row],[channel]],Table1[prepayment_flag],1)/COUNTIF(Table1[channel],Table1[[#This Row],[channel]])</f>
        <v>5.8201058201058198E-2</v>
      </c>
      <c r="AF369" s="2">
        <f>AVERAGEIFS(Table1[interest_rate_pct],Table1[product],Table1[[#This Row],[product]],Table1[risk_band],Table1[[#This Row],[risk_band]])</f>
        <v>15.092000000000001</v>
      </c>
      <c r="AG369" s="2" t="str" cm="1">
        <f t="array" ref="AG369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369" s="2">
        <f>COUNTIF(Table1[DTI band],Table1[[#This Row],[DTI band]])</f>
        <v>260</v>
      </c>
      <c r="AI369" s="2" t="str" cm="1">
        <f t="array" ref="AI369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369" s="2">
        <f>COUNTIF(Table1[LTV band],Table1[[#This Row],[LTV band]])</f>
        <v>141</v>
      </c>
      <c r="AK369" s="19">
        <f>COUNTIFS(Table1[count_loan_perband],Table1[[#This Row],[count_loan_perband]],Table1[default_flag],1)/COUNTIF(Table1[count_loan_perband],Table1[[#This Row],[count_loan_perband]])</f>
        <v>1.4184397163120567E-2</v>
      </c>
      <c r="AL369" s="19" t="str" cm="1">
        <f t="array" ref="AL369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369" s="19">
        <f>IF(Table1[[#This Row],[dpd]] &gt;=30,1,0)</f>
        <v>0</v>
      </c>
      <c r="AN369" s="19">
        <f>COUNTIFS(Table1[Loan size],Table1[[#This Row],[Loan size]],Table1[dpd flag],1)/COUNTIF(Table1[Loan size],Table1[[#This Row],[Loan size]])</f>
        <v>0.15909090909090909</v>
      </c>
      <c r="AO369" s="19" t="str">
        <f>IF(OR(Table1[[#This Row],[credit_score]] &lt; 600, Table1[ [#This Row],[dti_ratio] ] &gt; 0.5, Table1[[#This Row],[dpd]] &gt;=30), "high risk", " not riskY")</f>
        <v xml:space="preserve"> not riskY</v>
      </c>
      <c r="AP369" s="29">
        <f>EOMONTH(Table1[[#This Row],[origination_date]],0)</f>
        <v>45869</v>
      </c>
      <c r="AQ369" s="19">
        <f>SUMIFS(Table1[loan_amount],Table1[origination month],Table1[[#This Row],[origination month]])</f>
        <v>28875700</v>
      </c>
      <c r="AR369" s="19">
        <f>AVERAGEIFS(Table1[months_on_book],Table1[product],Table1[[#This Row],[product]])</f>
        <v>20.262135922330096</v>
      </c>
      <c r="AS369" s="19" t="str">
        <f ca="1">IF(EDATE(Table1[[#This Row],[origination_date]],6) &gt;= TODAY(), "New Loan", "Old Loan")</f>
        <v>Old Loan</v>
      </c>
      <c r="AT369" s="19" t="str">
        <f>"Q"&amp;ROUNDUP(MONTH(Table1[[#This Row],[origination_date]])/3,0)&amp;YEAR(Table1[[#This Row],[origination_date]])</f>
        <v>Q32025</v>
      </c>
      <c r="AU369" s="19">
        <f>SUMIFS(Table1[loan_amount],Table1[quarter],Table1[[#This Row],[quarter]])</f>
        <v>59662800</v>
      </c>
    </row>
    <row r="370" spans="2:47" x14ac:dyDescent="0.2">
      <c r="B370" s="5" t="s">
        <v>100</v>
      </c>
      <c r="C370" s="2" t="s">
        <v>600</v>
      </c>
      <c r="D370" s="3">
        <v>45894</v>
      </c>
      <c r="E370" s="2" t="s">
        <v>1026</v>
      </c>
      <c r="F370" s="2" t="s">
        <v>1029</v>
      </c>
      <c r="G370" s="2" t="s">
        <v>1034</v>
      </c>
      <c r="H370" s="2" t="s">
        <v>1038</v>
      </c>
      <c r="I370" s="2">
        <v>240</v>
      </c>
      <c r="J370" s="2">
        <v>359200</v>
      </c>
      <c r="K370" s="2">
        <v>21.21</v>
      </c>
      <c r="L370" s="2">
        <v>6445</v>
      </c>
      <c r="M370" s="2">
        <v>940227</v>
      </c>
      <c r="N370" s="2">
        <v>604</v>
      </c>
      <c r="O370" s="2" t="s">
        <v>1045</v>
      </c>
      <c r="P370" s="2">
        <v>0.41</v>
      </c>
      <c r="Q370" s="2">
        <v>0.9</v>
      </c>
      <c r="R370" s="2">
        <v>0</v>
      </c>
      <c r="S370" s="2">
        <v>4</v>
      </c>
      <c r="T370" s="2">
        <v>26055</v>
      </c>
      <c r="U370" s="2">
        <v>343303</v>
      </c>
      <c r="V370" s="2">
        <v>0</v>
      </c>
      <c r="W370" s="2">
        <v>0</v>
      </c>
      <c r="X370" s="2">
        <v>0</v>
      </c>
      <c r="Y370" s="2" t="s">
        <v>1049</v>
      </c>
      <c r="Z370" s="12">
        <f>SUMIF(Table1[product],Table1[[#This Row],[product]],Table1[loan_amount])</f>
        <v>74897600</v>
      </c>
      <c r="AA370" s="15">
        <f>SUMIF(Table1[region],Table1[[#This Row],[region]],Table1[current_balance])</f>
        <v>105779369</v>
      </c>
      <c r="AB370" s="2">
        <f>COUNTIF(Table1[loan_status],Table1[[#This Row],[loan_status]])</f>
        <v>301</v>
      </c>
      <c r="AC370" s="2">
        <f>COUNTIF(Table1[default_flag],1)/ROWS(Table1[loan_id])</f>
        <v>2.5999999999999999E-2</v>
      </c>
      <c r="AD370" s="2">
        <f>COUNTIFS(Table1[region],Table1[[#This Row],[region]],Table1[default_flag],1)/COUNTIF(Table1[region],Table1[[#This Row],[region]])</f>
        <v>2.6548672566371681E-2</v>
      </c>
      <c r="AE370" s="2">
        <f>COUNTIFS(Table1[channel],Table1[[#This Row],[channel]],Table1[prepayment_flag],1)/COUNTIF(Table1[channel],Table1[[#This Row],[channel]])</f>
        <v>7.1090047393364927E-2</v>
      </c>
      <c r="AF370" s="2">
        <f>AVERAGEIFS(Table1[interest_rate_pct],Table1[product],Table1[[#This Row],[product]],Table1[risk_band],Table1[[#This Row],[risk_band]])</f>
        <v>20.962592592592593</v>
      </c>
      <c r="AG370" s="2" t="str" cm="1">
        <f t="array" ref="AG370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370" s="2">
        <f>COUNTIF(Table1[DTI band],Table1[[#This Row],[DTI band]])</f>
        <v>260</v>
      </c>
      <c r="AI370" s="2" t="str" cm="1">
        <f t="array" ref="AI370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370" s="2">
        <f>COUNTIF(Table1[LTV band],Table1[[#This Row],[LTV band]])</f>
        <v>141</v>
      </c>
      <c r="AK370" s="19">
        <f>COUNTIFS(Table1[count_loan_perband],Table1[[#This Row],[count_loan_perband]],Table1[default_flag],1)/COUNTIF(Table1[count_loan_perband],Table1[[#This Row],[count_loan_perband]])</f>
        <v>1.4184397163120567E-2</v>
      </c>
      <c r="AL370" s="19" t="str" cm="1">
        <f t="array" ref="AL370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370" s="19">
        <f>IF(Table1[[#This Row],[dpd]] &gt;=30,1,0)</f>
        <v>0</v>
      </c>
      <c r="AN370" s="19">
        <f>COUNTIFS(Table1[Loan size],Table1[[#This Row],[Loan size]],Table1[dpd flag],1)/COUNTIF(Table1[Loan size],Table1[[#This Row],[Loan size]])</f>
        <v>0.13934426229508196</v>
      </c>
      <c r="AO370" s="19" t="str">
        <f>IF(OR(Table1[[#This Row],[credit_score]] &lt; 600, Table1[ [#This Row],[dti_ratio] ] &gt; 0.5, Table1[[#This Row],[dpd]] &gt;=30), "high risk", " not riskY")</f>
        <v xml:space="preserve"> not riskY</v>
      </c>
      <c r="AP370" s="29">
        <f>EOMONTH(Table1[[#This Row],[origination_date]],0)</f>
        <v>45900</v>
      </c>
      <c r="AQ370" s="19">
        <f>SUMIFS(Table1[loan_amount],Table1[origination month],Table1[[#This Row],[origination month]])</f>
        <v>21976400</v>
      </c>
      <c r="AR370" s="19">
        <f>AVERAGEIFS(Table1[months_on_book],Table1[product],Table1[[#This Row],[product]])</f>
        <v>21.092024539877301</v>
      </c>
      <c r="AS370" s="19" t="str">
        <f ca="1">IF(EDATE(Table1[[#This Row],[origination_date]],6) &gt;= TODAY(), "New Loan", "Old Loan")</f>
        <v>New Loan</v>
      </c>
      <c r="AT370" s="19" t="str">
        <f>"Q"&amp;ROUNDUP(MONTH(Table1[[#This Row],[origination_date]])/3,0)&amp;YEAR(Table1[[#This Row],[origination_date]])</f>
        <v>Q32025</v>
      </c>
      <c r="AU370" s="19">
        <f>SUMIFS(Table1[loan_amount],Table1[quarter],Table1[[#This Row],[quarter]])</f>
        <v>59662800</v>
      </c>
    </row>
    <row r="371" spans="2:47" x14ac:dyDescent="0.2">
      <c r="B371" s="5" t="s">
        <v>402</v>
      </c>
      <c r="C371" s="2" t="s">
        <v>902</v>
      </c>
      <c r="D371" s="3">
        <v>45885</v>
      </c>
      <c r="E371" s="2" t="s">
        <v>1026</v>
      </c>
      <c r="F371" s="2" t="s">
        <v>1032</v>
      </c>
      <c r="G371" s="2" t="s">
        <v>1035</v>
      </c>
      <c r="H371" s="2" t="s">
        <v>1038</v>
      </c>
      <c r="I371" s="2">
        <v>18</v>
      </c>
      <c r="J371" s="2">
        <v>279300</v>
      </c>
      <c r="K371" s="2">
        <v>9.33</v>
      </c>
      <c r="L371" s="2">
        <v>16688</v>
      </c>
      <c r="M371" s="2">
        <v>689489</v>
      </c>
      <c r="N371" s="2">
        <v>843</v>
      </c>
      <c r="O371" s="2" t="s">
        <v>1043</v>
      </c>
      <c r="P371" s="2">
        <v>0.38</v>
      </c>
      <c r="Q371" s="2">
        <v>0.79</v>
      </c>
      <c r="R371" s="2">
        <v>0</v>
      </c>
      <c r="S371" s="2">
        <v>4</v>
      </c>
      <c r="T371" s="2">
        <v>60345</v>
      </c>
      <c r="U371" s="2">
        <v>222429</v>
      </c>
      <c r="V371" s="2">
        <v>0</v>
      </c>
      <c r="W371" s="2">
        <v>0</v>
      </c>
      <c r="X371" s="2">
        <v>0</v>
      </c>
      <c r="Y371" s="2" t="s">
        <v>1049</v>
      </c>
      <c r="Z371" s="12">
        <f>SUMIF(Table1[product],Table1[[#This Row],[product]],Table1[loan_amount])</f>
        <v>74897600</v>
      </c>
      <c r="AA371" s="15">
        <f>SUMIF(Table1[region],Table1[[#This Row],[region]],Table1[current_balance])</f>
        <v>83903255</v>
      </c>
      <c r="AB371" s="2">
        <f>COUNTIF(Table1[loan_status],Table1[[#This Row],[loan_status]])</f>
        <v>301</v>
      </c>
      <c r="AC371" s="2">
        <f>COUNTIF(Table1[default_flag],1)/ROWS(Table1[loan_id])</f>
        <v>2.5999999999999999E-2</v>
      </c>
      <c r="AD371" s="2">
        <f>COUNTIFS(Table1[region],Table1[[#This Row],[region]],Table1[default_flag],1)/COUNTIF(Table1[region],Table1[[#This Row],[region]])</f>
        <v>4.2553191489361701E-2</v>
      </c>
      <c r="AE371" s="2">
        <f>COUNTIFS(Table1[channel],Table1[[#This Row],[channel]],Table1[prepayment_flag],1)/COUNTIF(Table1[channel],Table1[[#This Row],[channel]])</f>
        <v>0.1</v>
      </c>
      <c r="AF371" s="2">
        <f>AVERAGEIFS(Table1[interest_rate_pct],Table1[product],Table1[[#This Row],[product]],Table1[risk_band],Table1[[#This Row],[risk_band]])</f>
        <v>13.328333333333335</v>
      </c>
      <c r="AG371" s="2" t="str" cm="1">
        <f t="array" ref="AG371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371" s="2">
        <f>COUNTIF(Table1[DTI band],Table1[[#This Row],[DTI band]])</f>
        <v>260</v>
      </c>
      <c r="AI371" s="2" t="str" cm="1">
        <f t="array" ref="AI371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371" s="2">
        <f>COUNTIF(Table1[LTV band],Table1[[#This Row],[LTV band]])</f>
        <v>302</v>
      </c>
      <c r="AK371" s="19">
        <f>COUNTIFS(Table1[count_loan_perband],Table1[[#This Row],[count_loan_perband]],Table1[default_flag],1)/COUNTIF(Table1[count_loan_perband],Table1[[#This Row],[count_loan_perband]])</f>
        <v>3.6423841059602648E-2</v>
      </c>
      <c r="AL371" s="19" t="str" cm="1">
        <f t="array" ref="AL371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371" s="19">
        <f>IF(Table1[[#This Row],[dpd]] &gt;=30,1,0)</f>
        <v>0</v>
      </c>
      <c r="AN371" s="19">
        <f>COUNTIFS(Table1[Loan size],Table1[[#This Row],[Loan size]],Table1[dpd flag],1)/COUNTIF(Table1[Loan size],Table1[[#This Row],[Loan size]])</f>
        <v>0.13934426229508196</v>
      </c>
      <c r="AO371" s="19" t="str">
        <f>IF(OR(Table1[[#This Row],[credit_score]] &lt; 600, Table1[ [#This Row],[dti_ratio] ] &gt; 0.5, Table1[[#This Row],[dpd]] &gt;=30), "high risk", " not riskY")</f>
        <v xml:space="preserve"> not riskY</v>
      </c>
      <c r="AP371" s="29">
        <f>EOMONTH(Table1[[#This Row],[origination_date]],0)</f>
        <v>45900</v>
      </c>
      <c r="AQ371" s="19">
        <f>SUMIFS(Table1[loan_amount],Table1[origination month],Table1[[#This Row],[origination month]])</f>
        <v>21976400</v>
      </c>
      <c r="AR371" s="19">
        <f>AVERAGEIFS(Table1[months_on_book],Table1[product],Table1[[#This Row],[product]])</f>
        <v>21.092024539877301</v>
      </c>
      <c r="AS371" s="19" t="str">
        <f ca="1">IF(EDATE(Table1[[#This Row],[origination_date]],6) &gt;= TODAY(), "New Loan", "Old Loan")</f>
        <v>New Loan</v>
      </c>
      <c r="AT371" s="19" t="str">
        <f>"Q"&amp;ROUNDUP(MONTH(Table1[[#This Row],[origination_date]])/3,0)&amp;YEAR(Table1[[#This Row],[origination_date]])</f>
        <v>Q32025</v>
      </c>
      <c r="AU371" s="19">
        <f>SUMIFS(Table1[loan_amount],Table1[quarter],Table1[[#This Row],[quarter]])</f>
        <v>59662800</v>
      </c>
    </row>
    <row r="372" spans="2:47" x14ac:dyDescent="0.2">
      <c r="B372" s="5" t="s">
        <v>236</v>
      </c>
      <c r="C372" s="2" t="s">
        <v>736</v>
      </c>
      <c r="D372" s="3">
        <v>45852</v>
      </c>
      <c r="E372" s="2" t="s">
        <v>1025</v>
      </c>
      <c r="F372" s="2" t="s">
        <v>1029</v>
      </c>
      <c r="G372" s="2" t="s">
        <v>1035</v>
      </c>
      <c r="H372" s="2" t="s">
        <v>1039</v>
      </c>
      <c r="I372" s="2">
        <v>24</v>
      </c>
      <c r="J372" s="2">
        <v>2723000</v>
      </c>
      <c r="K372" s="2">
        <v>18.82</v>
      </c>
      <c r="L372" s="2">
        <v>137025</v>
      </c>
      <c r="M372" s="2">
        <v>1162552</v>
      </c>
      <c r="N372" s="2">
        <v>633</v>
      </c>
      <c r="O372" s="2" t="s">
        <v>1045</v>
      </c>
      <c r="P372" s="2">
        <v>0.37</v>
      </c>
      <c r="Q372" s="2">
        <v>0.94</v>
      </c>
      <c r="R372" s="2">
        <v>2907800</v>
      </c>
      <c r="S372" s="2">
        <v>5</v>
      </c>
      <c r="T372" s="2">
        <v>651922</v>
      </c>
      <c r="U372" s="2">
        <v>2156489</v>
      </c>
      <c r="V372" s="2">
        <v>30</v>
      </c>
      <c r="W372" s="2">
        <v>0</v>
      </c>
      <c r="X372" s="2">
        <v>0</v>
      </c>
      <c r="Y372" s="2" t="s">
        <v>1048</v>
      </c>
      <c r="Z372" s="12">
        <f>SUMIF(Table1[product],Table1[[#This Row],[product]],Table1[loan_amount])</f>
        <v>201475100</v>
      </c>
      <c r="AA372" s="15">
        <f>SUMIF(Table1[region],Table1[[#This Row],[region]],Table1[current_balance])</f>
        <v>83903255</v>
      </c>
      <c r="AB372" s="2">
        <f>COUNTIF(Table1[loan_status],Table1[[#This Row],[loan_status]])</f>
        <v>47</v>
      </c>
      <c r="AC372" s="2">
        <f>COUNTIF(Table1[default_flag],1)/ROWS(Table1[loan_id])</f>
        <v>2.5999999999999999E-2</v>
      </c>
      <c r="AD372" s="2">
        <f>COUNTIFS(Table1[region],Table1[[#This Row],[region]],Table1[default_flag],1)/COUNTIF(Table1[region],Table1[[#This Row],[region]])</f>
        <v>4.2553191489361701E-2</v>
      </c>
      <c r="AE372" s="2">
        <f>COUNTIFS(Table1[channel],Table1[[#This Row],[channel]],Table1[prepayment_flag],1)/COUNTIF(Table1[channel],Table1[[#This Row],[channel]])</f>
        <v>7.1090047393364927E-2</v>
      </c>
      <c r="AF372" s="2">
        <f>AVERAGEIFS(Table1[interest_rate_pct],Table1[product],Table1[[#This Row],[product]],Table1[risk_band],Table1[[#This Row],[risk_band]])</f>
        <v>18.241249999999997</v>
      </c>
      <c r="AG372" s="2" t="str" cm="1">
        <f t="array" ref="AG372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372" s="2">
        <f>COUNTIF(Table1[DTI band],Table1[[#This Row],[DTI band]])</f>
        <v>260</v>
      </c>
      <c r="AI372" s="2" t="str" cm="1">
        <f t="array" ref="AI372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372" s="2">
        <f>COUNTIF(Table1[LTV band],Table1[[#This Row],[LTV band]])</f>
        <v>141</v>
      </c>
      <c r="AK372" s="19">
        <f>COUNTIFS(Table1[count_loan_perband],Table1[[#This Row],[count_loan_perband]],Table1[default_flag],1)/COUNTIF(Table1[count_loan_perband],Table1[[#This Row],[count_loan_perband]])</f>
        <v>1.4184397163120567E-2</v>
      </c>
      <c r="AL372" s="19" t="str" cm="1">
        <f t="array" ref="AL372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372" s="19">
        <f>IF(Table1[[#This Row],[dpd]] &gt;=30,1,0)</f>
        <v>1</v>
      </c>
      <c r="AN372" s="19">
        <f>COUNTIFS(Table1[Loan size],Table1[[#This Row],[Loan size]],Table1[dpd flag],1)/COUNTIF(Table1[Loan size],Table1[[#This Row],[Loan size]])</f>
        <v>0.15909090909090909</v>
      </c>
      <c r="AO372" s="19" t="str">
        <f>IF(OR(Table1[[#This Row],[credit_score]] &lt; 600, Table1[ [#This Row],[dti_ratio] ] &gt; 0.5, Table1[[#This Row],[dpd]] &gt;=30), "high risk", " not riskY")</f>
        <v>high risk</v>
      </c>
      <c r="AP372" s="29">
        <f>EOMONTH(Table1[[#This Row],[origination_date]],0)</f>
        <v>45869</v>
      </c>
      <c r="AQ372" s="19">
        <f>SUMIFS(Table1[loan_amount],Table1[origination month],Table1[[#This Row],[origination month]])</f>
        <v>28875700</v>
      </c>
      <c r="AR372" s="19">
        <f>AVERAGEIFS(Table1[months_on_book],Table1[product],Table1[[#This Row],[product]])</f>
        <v>19.091954022988507</v>
      </c>
      <c r="AS372" s="19" t="str">
        <f ca="1">IF(EDATE(Table1[[#This Row],[origination_date]],6) &gt;= TODAY(), "New Loan", "Old Loan")</f>
        <v>Old Loan</v>
      </c>
      <c r="AT372" s="19" t="str">
        <f>"Q"&amp;ROUNDUP(MONTH(Table1[[#This Row],[origination_date]])/3,0)&amp;YEAR(Table1[[#This Row],[origination_date]])</f>
        <v>Q32025</v>
      </c>
      <c r="AU372" s="19">
        <f>SUMIFS(Table1[loan_amount],Table1[quarter],Table1[[#This Row],[quarter]])</f>
        <v>59662800</v>
      </c>
    </row>
    <row r="373" spans="2:47" x14ac:dyDescent="0.2">
      <c r="B373" s="5" t="s">
        <v>414</v>
      </c>
      <c r="C373" s="2" t="s">
        <v>914</v>
      </c>
      <c r="D373" s="3">
        <v>45844</v>
      </c>
      <c r="E373" s="2" t="s">
        <v>1025</v>
      </c>
      <c r="F373" s="2" t="s">
        <v>1029</v>
      </c>
      <c r="G373" s="2" t="s">
        <v>1034</v>
      </c>
      <c r="H373" s="2" t="s">
        <v>1039</v>
      </c>
      <c r="I373" s="2">
        <v>48</v>
      </c>
      <c r="J373" s="2">
        <v>5442100</v>
      </c>
      <c r="K373" s="2">
        <v>14.48</v>
      </c>
      <c r="L373" s="2">
        <v>150027</v>
      </c>
      <c r="M373" s="2">
        <v>1573574</v>
      </c>
      <c r="N373" s="2">
        <v>694</v>
      </c>
      <c r="O373" s="2" t="s">
        <v>1042</v>
      </c>
      <c r="P373" s="2">
        <v>0.35</v>
      </c>
      <c r="Q373" s="2">
        <v>0.8</v>
      </c>
      <c r="R373" s="2">
        <v>6791100</v>
      </c>
      <c r="S373" s="2">
        <v>5</v>
      </c>
      <c r="T373" s="2">
        <v>683704</v>
      </c>
      <c r="U373" s="2">
        <v>4889732</v>
      </c>
      <c r="V373" s="2">
        <v>60</v>
      </c>
      <c r="W373" s="2">
        <v>0</v>
      </c>
      <c r="X373" s="2">
        <v>0</v>
      </c>
      <c r="Y373" s="2" t="s">
        <v>1048</v>
      </c>
      <c r="Z373" s="12">
        <f>SUMIF(Table1[product],Table1[[#This Row],[product]],Table1[loan_amount])</f>
        <v>201475100</v>
      </c>
      <c r="AA373" s="15">
        <f>SUMIF(Table1[region],Table1[[#This Row],[region]],Table1[current_balance])</f>
        <v>105779369</v>
      </c>
      <c r="AB373" s="2">
        <f>COUNTIF(Table1[loan_status],Table1[[#This Row],[loan_status]])</f>
        <v>47</v>
      </c>
      <c r="AC373" s="2">
        <f>COUNTIF(Table1[default_flag],1)/ROWS(Table1[loan_id])</f>
        <v>2.5999999999999999E-2</v>
      </c>
      <c r="AD373" s="2">
        <f>COUNTIFS(Table1[region],Table1[[#This Row],[region]],Table1[default_flag],1)/COUNTIF(Table1[region],Table1[[#This Row],[region]])</f>
        <v>2.6548672566371681E-2</v>
      </c>
      <c r="AE373" s="2">
        <f>COUNTIFS(Table1[channel],Table1[[#This Row],[channel]],Table1[prepayment_flag],1)/COUNTIF(Table1[channel],Table1[[#This Row],[channel]])</f>
        <v>7.1090047393364927E-2</v>
      </c>
      <c r="AF373" s="2">
        <f>AVERAGEIFS(Table1[interest_rate_pct],Table1[product],Table1[[#This Row],[product]],Table1[risk_band],Table1[[#This Row],[risk_band]])</f>
        <v>15.841379310344831</v>
      </c>
      <c r="AG373" s="2" t="str" cm="1">
        <f t="array" ref="AG373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373" s="2">
        <f>COUNTIF(Table1[DTI band],Table1[[#This Row],[DTI band]])</f>
        <v>260</v>
      </c>
      <c r="AI373" s="2" t="str" cm="1">
        <f t="array" ref="AI373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373" s="2">
        <f>COUNTIF(Table1[LTV band],Table1[[#This Row],[LTV band]])</f>
        <v>302</v>
      </c>
      <c r="AK373" s="19">
        <f>COUNTIFS(Table1[count_loan_perband],Table1[[#This Row],[count_loan_perband]],Table1[default_flag],1)/COUNTIF(Table1[count_loan_perband],Table1[[#This Row],[count_loan_perband]])</f>
        <v>3.6423841059602648E-2</v>
      </c>
      <c r="AL373" s="19" t="str" cm="1">
        <f t="array" ref="AL373">_xlfn.IFS(Table1[[#This Row],[loan_amount]] &lt; 900000, "lower size (&lt; 9L)", Table1[[#This Row],[loan_amount]] &lt;=3300000, "medium size (&lt;=33L)", Table1[[#This Row],[loan_amount]] &gt; 3300000, "larger size (&gt; 33L)")</f>
        <v>larger size (&gt; 33L)</v>
      </c>
      <c r="AM373" s="19">
        <f>IF(Table1[[#This Row],[dpd]] &gt;=30,1,0)</f>
        <v>1</v>
      </c>
      <c r="AN373" s="19">
        <f>COUNTIFS(Table1[Loan size],Table1[[#This Row],[Loan size]],Table1[dpd flag],1)/COUNTIF(Table1[Loan size],Table1[[#This Row],[Loan size]])</f>
        <v>0.16250000000000001</v>
      </c>
      <c r="AO373" s="19" t="str">
        <f>IF(OR(Table1[[#This Row],[credit_score]] &lt; 600, Table1[ [#This Row],[dti_ratio] ] &gt; 0.5, Table1[[#This Row],[dpd]] &gt;=30), "high risk", " not riskY")</f>
        <v>high risk</v>
      </c>
      <c r="AP373" s="29">
        <f>EOMONTH(Table1[[#This Row],[origination_date]],0)</f>
        <v>45869</v>
      </c>
      <c r="AQ373" s="19">
        <f>SUMIFS(Table1[loan_amount],Table1[origination month],Table1[[#This Row],[origination month]])</f>
        <v>28875700</v>
      </c>
      <c r="AR373" s="19">
        <f>AVERAGEIFS(Table1[months_on_book],Table1[product],Table1[[#This Row],[product]])</f>
        <v>19.091954022988507</v>
      </c>
      <c r="AS373" s="19" t="str">
        <f ca="1">IF(EDATE(Table1[[#This Row],[origination_date]],6) &gt;= TODAY(), "New Loan", "Old Loan")</f>
        <v>Old Loan</v>
      </c>
      <c r="AT373" s="19" t="str">
        <f>"Q"&amp;ROUNDUP(MONTH(Table1[[#This Row],[origination_date]])/3,0)&amp;YEAR(Table1[[#This Row],[origination_date]])</f>
        <v>Q32025</v>
      </c>
      <c r="AU373" s="19">
        <f>SUMIFS(Table1[loan_amount],Table1[quarter],Table1[[#This Row],[quarter]])</f>
        <v>59662800</v>
      </c>
    </row>
    <row r="374" spans="2:47" x14ac:dyDescent="0.2">
      <c r="B374" s="5" t="s">
        <v>433</v>
      </c>
      <c r="C374" s="2" t="s">
        <v>933</v>
      </c>
      <c r="D374" s="3">
        <v>45853</v>
      </c>
      <c r="E374" s="2" t="s">
        <v>1025</v>
      </c>
      <c r="F374" s="2" t="s">
        <v>1031</v>
      </c>
      <c r="G374" s="2" t="s">
        <v>1037</v>
      </c>
      <c r="H374" s="2" t="s">
        <v>1041</v>
      </c>
      <c r="I374" s="2">
        <v>24</v>
      </c>
      <c r="J374" s="2">
        <v>2819600</v>
      </c>
      <c r="K374" s="2">
        <v>14.5</v>
      </c>
      <c r="L374" s="2">
        <v>136044</v>
      </c>
      <c r="M374" s="2">
        <v>1737437</v>
      </c>
      <c r="N374" s="2">
        <v>706</v>
      </c>
      <c r="O374" s="2" t="s">
        <v>1044</v>
      </c>
      <c r="P374" s="2">
        <v>0.33</v>
      </c>
      <c r="Q374" s="2">
        <v>0.51</v>
      </c>
      <c r="R374" s="2">
        <v>5478500</v>
      </c>
      <c r="S374" s="2">
        <v>5</v>
      </c>
      <c r="T374" s="2">
        <v>617220</v>
      </c>
      <c r="U374" s="2">
        <v>2270520</v>
      </c>
      <c r="V374" s="2">
        <v>0</v>
      </c>
      <c r="W374" s="2">
        <v>0</v>
      </c>
      <c r="X374" s="2">
        <v>0</v>
      </c>
      <c r="Y374" s="2" t="s">
        <v>1049</v>
      </c>
      <c r="Z374" s="12">
        <f>SUMIF(Table1[product],Table1[[#This Row],[product]],Table1[loan_amount])</f>
        <v>201475100</v>
      </c>
      <c r="AA374" s="15">
        <f>SUMIF(Table1[region],Table1[[#This Row],[region]],Table1[current_balance])</f>
        <v>94548000</v>
      </c>
      <c r="AB374" s="2">
        <f>COUNTIF(Table1[loan_status],Table1[[#This Row],[loan_status]])</f>
        <v>301</v>
      </c>
      <c r="AC374" s="2">
        <f>COUNTIF(Table1[default_flag],1)/ROWS(Table1[loan_id])</f>
        <v>2.5999999999999999E-2</v>
      </c>
      <c r="AD374" s="2">
        <f>COUNTIFS(Table1[region],Table1[[#This Row],[region]],Table1[default_flag],1)/COUNTIF(Table1[region],Table1[[#This Row],[region]])</f>
        <v>0</v>
      </c>
      <c r="AE374" s="2">
        <f>COUNTIFS(Table1[channel],Table1[[#This Row],[channel]],Table1[prepayment_flag],1)/COUNTIF(Table1[channel],Table1[[#This Row],[channel]])</f>
        <v>0.12</v>
      </c>
      <c r="AF374" s="2">
        <f>AVERAGEIFS(Table1[interest_rate_pct],Table1[product],Table1[[#This Row],[product]],Table1[risk_band],Table1[[#This Row],[risk_band]])</f>
        <v>13.042631578947367</v>
      </c>
      <c r="AG374" s="2" t="str" cm="1">
        <f t="array" ref="AG374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374" s="2">
        <f>COUNTIF(Table1[DTI band],Table1[[#This Row],[DTI band]])</f>
        <v>260</v>
      </c>
      <c r="AI374" s="2" t="str" cm="1">
        <f t="array" ref="AI374">_xlfn.IFS(Table1[[#This Row],[ltv_ratio]] &lt; 0.6, "less than 0.6 -less risky", Table1[[#This Row],[ltv_ratio]]  &lt;= 0.8, "0.6 - 0.8 -medium risky",Table1[[#This Row],[ltv_ratio]] &gt; 0.8, "greater than 0.8 -highly risky")</f>
        <v>less than 0.6 -less risky</v>
      </c>
      <c r="AJ374" s="2">
        <f>COUNTIF(Table1[LTV band],Table1[[#This Row],[LTV band]])</f>
        <v>57</v>
      </c>
      <c r="AK374" s="19">
        <f>COUNTIFS(Table1[count_loan_perband],Table1[[#This Row],[count_loan_perband]],Table1[default_flag],1)/COUNTIF(Table1[count_loan_perband],Table1[[#This Row],[count_loan_perband]])</f>
        <v>0</v>
      </c>
      <c r="AL374" s="19" t="str" cm="1">
        <f t="array" ref="AL374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374" s="19">
        <f>IF(Table1[[#This Row],[dpd]] &gt;=30,1,0)</f>
        <v>0</v>
      </c>
      <c r="AN374" s="19">
        <f>COUNTIFS(Table1[Loan size],Table1[[#This Row],[Loan size]],Table1[dpd flag],1)/COUNTIF(Table1[Loan size],Table1[[#This Row],[Loan size]])</f>
        <v>0.15909090909090909</v>
      </c>
      <c r="AO374" s="19" t="str">
        <f>IF(OR(Table1[[#This Row],[credit_score]] &lt; 600, Table1[ [#This Row],[dti_ratio] ] &gt; 0.5, Table1[[#This Row],[dpd]] &gt;=30), "high risk", " not riskY")</f>
        <v xml:space="preserve"> not riskY</v>
      </c>
      <c r="AP374" s="29">
        <f>EOMONTH(Table1[[#This Row],[origination_date]],0)</f>
        <v>45869</v>
      </c>
      <c r="AQ374" s="19">
        <f>SUMIFS(Table1[loan_amount],Table1[origination month],Table1[[#This Row],[origination month]])</f>
        <v>28875700</v>
      </c>
      <c r="AR374" s="19">
        <f>AVERAGEIFS(Table1[months_on_book],Table1[product],Table1[[#This Row],[product]])</f>
        <v>19.091954022988507</v>
      </c>
      <c r="AS374" s="19" t="str">
        <f ca="1">IF(EDATE(Table1[[#This Row],[origination_date]],6) &gt;= TODAY(), "New Loan", "Old Loan")</f>
        <v>Old Loan</v>
      </c>
      <c r="AT374" s="19" t="str">
        <f>"Q"&amp;ROUNDUP(MONTH(Table1[[#This Row],[origination_date]])/3,0)&amp;YEAR(Table1[[#This Row],[origination_date]])</f>
        <v>Q32025</v>
      </c>
      <c r="AU374" s="19">
        <f>SUMIFS(Table1[loan_amount],Table1[quarter],Table1[[#This Row],[quarter]])</f>
        <v>59662800</v>
      </c>
    </row>
    <row r="375" spans="2:47" x14ac:dyDescent="0.2">
      <c r="B375" s="5" t="s">
        <v>444</v>
      </c>
      <c r="C375" s="2" t="s">
        <v>944</v>
      </c>
      <c r="D375" s="3">
        <v>45879</v>
      </c>
      <c r="E375" s="2" t="s">
        <v>1027</v>
      </c>
      <c r="F375" s="2" t="s">
        <v>1032</v>
      </c>
      <c r="G375" s="2" t="s">
        <v>1037</v>
      </c>
      <c r="H375" s="2" t="s">
        <v>1039</v>
      </c>
      <c r="I375" s="2">
        <v>48</v>
      </c>
      <c r="J375" s="2">
        <v>4970700</v>
      </c>
      <c r="K375" s="2">
        <v>7.44</v>
      </c>
      <c r="L375" s="2">
        <v>120047</v>
      </c>
      <c r="M375" s="2">
        <v>1186686</v>
      </c>
      <c r="N375" s="2">
        <v>766</v>
      </c>
      <c r="O375" s="2" t="s">
        <v>1043</v>
      </c>
      <c r="P375" s="2">
        <v>0.32</v>
      </c>
      <c r="Q375" s="2">
        <v>0.73</v>
      </c>
      <c r="R375" s="2">
        <v>6764800</v>
      </c>
      <c r="S375" s="2">
        <v>4</v>
      </c>
      <c r="T375" s="2">
        <v>408370</v>
      </c>
      <c r="U375" s="2">
        <v>4611639</v>
      </c>
      <c r="V375" s="2">
        <v>0</v>
      </c>
      <c r="W375" s="2">
        <v>0</v>
      </c>
      <c r="X375" s="2">
        <v>0</v>
      </c>
      <c r="Y375" s="2" t="s">
        <v>1049</v>
      </c>
      <c r="Z375" s="12">
        <f>SUMIF(Table1[product],Table1[[#This Row],[product]],Table1[loan_amount])</f>
        <v>403369500</v>
      </c>
      <c r="AA375" s="15">
        <f>SUMIF(Table1[region],Table1[[#This Row],[region]],Table1[current_balance])</f>
        <v>94548000</v>
      </c>
      <c r="AB375" s="2">
        <f>COUNTIF(Table1[loan_status],Table1[[#This Row],[loan_status]])</f>
        <v>301</v>
      </c>
      <c r="AC375" s="2">
        <f>COUNTIF(Table1[default_flag],1)/ROWS(Table1[loan_id])</f>
        <v>2.5999999999999999E-2</v>
      </c>
      <c r="AD375" s="2">
        <f>COUNTIFS(Table1[region],Table1[[#This Row],[region]],Table1[default_flag],1)/COUNTIF(Table1[region],Table1[[#This Row],[region]])</f>
        <v>0</v>
      </c>
      <c r="AE375" s="2">
        <f>COUNTIFS(Table1[channel],Table1[[#This Row],[channel]],Table1[prepayment_flag],1)/COUNTIF(Table1[channel],Table1[[#This Row],[channel]])</f>
        <v>0.1</v>
      </c>
      <c r="AF375" s="2">
        <f>AVERAGEIFS(Table1[interest_rate_pct],Table1[product],Table1[[#This Row],[product]],Table1[risk_band],Table1[[#This Row],[risk_band]])</f>
        <v>7.1876190476190471</v>
      </c>
      <c r="AG375" s="2" t="str" cm="1">
        <f t="array" ref="AG375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375" s="2">
        <f>COUNTIF(Table1[DTI band],Table1[[#This Row],[DTI band]])</f>
        <v>260</v>
      </c>
      <c r="AI375" s="2" t="str" cm="1">
        <f t="array" ref="AI375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375" s="2">
        <f>COUNTIF(Table1[LTV band],Table1[[#This Row],[LTV band]])</f>
        <v>302</v>
      </c>
      <c r="AK375" s="19">
        <f>COUNTIFS(Table1[count_loan_perband],Table1[[#This Row],[count_loan_perband]],Table1[default_flag],1)/COUNTIF(Table1[count_loan_perband],Table1[[#This Row],[count_loan_perband]])</f>
        <v>3.6423841059602648E-2</v>
      </c>
      <c r="AL375" s="19" t="str" cm="1">
        <f t="array" ref="AL375">_xlfn.IFS(Table1[[#This Row],[loan_amount]] &lt; 900000, "lower size (&lt; 9L)", Table1[[#This Row],[loan_amount]] &lt;=3300000, "medium size (&lt;=33L)", Table1[[#This Row],[loan_amount]] &gt; 3300000, "larger size (&gt; 33L)")</f>
        <v>larger size (&gt; 33L)</v>
      </c>
      <c r="AM375" s="19">
        <f>IF(Table1[[#This Row],[dpd]] &gt;=30,1,0)</f>
        <v>0</v>
      </c>
      <c r="AN375" s="19">
        <f>COUNTIFS(Table1[Loan size],Table1[[#This Row],[Loan size]],Table1[dpd flag],1)/COUNTIF(Table1[Loan size],Table1[[#This Row],[Loan size]])</f>
        <v>0.16250000000000001</v>
      </c>
      <c r="AO375" s="19" t="str">
        <f>IF(OR(Table1[[#This Row],[credit_score]] &lt; 600, Table1[ [#This Row],[dti_ratio] ] &gt; 0.5, Table1[[#This Row],[dpd]] &gt;=30), "high risk", " not riskY")</f>
        <v xml:space="preserve"> not riskY</v>
      </c>
      <c r="AP375" s="29">
        <f>EOMONTH(Table1[[#This Row],[origination_date]],0)</f>
        <v>45900</v>
      </c>
      <c r="AQ375" s="19">
        <f>SUMIFS(Table1[loan_amount],Table1[origination month],Table1[[#This Row],[origination month]])</f>
        <v>21976400</v>
      </c>
      <c r="AR375" s="19">
        <f>AVERAGEIFS(Table1[months_on_book],Table1[product],Table1[[#This Row],[product]])</f>
        <v>20.516129032258064</v>
      </c>
      <c r="AS375" s="19" t="str">
        <f ca="1">IF(EDATE(Table1[[#This Row],[origination_date]],6) &gt;= TODAY(), "New Loan", "Old Loan")</f>
        <v>New Loan</v>
      </c>
      <c r="AT375" s="19" t="str">
        <f>"Q"&amp;ROUNDUP(MONTH(Table1[[#This Row],[origination_date]])/3,0)&amp;YEAR(Table1[[#This Row],[origination_date]])</f>
        <v>Q32025</v>
      </c>
      <c r="AU375" s="19">
        <f>SUMIFS(Table1[loan_amount],Table1[quarter],Table1[[#This Row],[quarter]])</f>
        <v>59662800</v>
      </c>
    </row>
    <row r="376" spans="2:47" x14ac:dyDescent="0.2">
      <c r="B376" s="5" t="s">
        <v>460</v>
      </c>
      <c r="C376" s="2" t="s">
        <v>960</v>
      </c>
      <c r="D376" s="3">
        <v>45925</v>
      </c>
      <c r="E376" s="2" t="s">
        <v>1026</v>
      </c>
      <c r="F376" s="2" t="s">
        <v>1030</v>
      </c>
      <c r="G376" s="2" t="s">
        <v>1034</v>
      </c>
      <c r="H376" s="2" t="s">
        <v>1039</v>
      </c>
      <c r="I376" s="2">
        <v>72</v>
      </c>
      <c r="J376" s="2">
        <v>485500</v>
      </c>
      <c r="K376" s="2">
        <v>15.82</v>
      </c>
      <c r="L376" s="2">
        <v>10483</v>
      </c>
      <c r="M376" s="2">
        <v>873831</v>
      </c>
      <c r="N376" s="2">
        <v>736</v>
      </c>
      <c r="O376" s="2" t="s">
        <v>1044</v>
      </c>
      <c r="P376" s="2">
        <v>0.3</v>
      </c>
      <c r="Q376" s="2">
        <v>0.81</v>
      </c>
      <c r="R376" s="2">
        <v>0</v>
      </c>
      <c r="S376" s="2">
        <v>3</v>
      </c>
      <c r="T376" s="2">
        <v>31856</v>
      </c>
      <c r="U376" s="2">
        <v>461325</v>
      </c>
      <c r="V376" s="2">
        <v>90</v>
      </c>
      <c r="W376" s="2">
        <v>0</v>
      </c>
      <c r="X376" s="2">
        <v>1</v>
      </c>
      <c r="Y376" s="2" t="s">
        <v>1050</v>
      </c>
      <c r="Z376" s="12">
        <f>SUMIF(Table1[product],Table1[[#This Row],[product]],Table1[loan_amount])</f>
        <v>74897600</v>
      </c>
      <c r="AA376" s="15">
        <f>SUMIF(Table1[region],Table1[[#This Row],[region]],Table1[current_balance])</f>
        <v>105779369</v>
      </c>
      <c r="AB376" s="2">
        <f>COUNTIF(Table1[loan_status],Table1[[#This Row],[loan_status]])</f>
        <v>13</v>
      </c>
      <c r="AC376" s="2">
        <f>COUNTIF(Table1[default_flag],1)/ROWS(Table1[loan_id])</f>
        <v>2.5999999999999999E-2</v>
      </c>
      <c r="AD376" s="2">
        <f>COUNTIFS(Table1[region],Table1[[#This Row],[region]],Table1[default_flag],1)/COUNTIF(Table1[region],Table1[[#This Row],[region]])</f>
        <v>2.6548672566371681E-2</v>
      </c>
      <c r="AE376" s="2">
        <f>COUNTIFS(Table1[channel],Table1[[#This Row],[channel]],Table1[prepayment_flag],1)/COUNTIF(Table1[channel],Table1[[#This Row],[channel]])</f>
        <v>5.8201058201058198E-2</v>
      </c>
      <c r="AF376" s="2">
        <f>AVERAGEIFS(Table1[interest_rate_pct],Table1[product],Table1[[#This Row],[product]],Table1[risk_band],Table1[[#This Row],[risk_band]])</f>
        <v>16.500166666666669</v>
      </c>
      <c r="AG376" s="2" t="str" cm="1">
        <f t="array" ref="AG376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376" s="2">
        <f>COUNTIF(Table1[DTI band],Table1[[#This Row],[DTI band]])</f>
        <v>260</v>
      </c>
      <c r="AI376" s="2" t="str" cm="1">
        <f t="array" ref="AI376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376" s="2">
        <f>COUNTIF(Table1[LTV band],Table1[[#This Row],[LTV band]])</f>
        <v>141</v>
      </c>
      <c r="AK376" s="19">
        <f>COUNTIFS(Table1[count_loan_perband],Table1[[#This Row],[count_loan_perband]],Table1[default_flag],1)/COUNTIF(Table1[count_loan_perband],Table1[[#This Row],[count_loan_perband]])</f>
        <v>1.4184397163120567E-2</v>
      </c>
      <c r="AL376" s="19" t="str" cm="1">
        <f t="array" ref="AL376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376" s="19">
        <f>IF(Table1[[#This Row],[dpd]] &gt;=30,1,0)</f>
        <v>1</v>
      </c>
      <c r="AN376" s="19">
        <f>COUNTIFS(Table1[Loan size],Table1[[#This Row],[Loan size]],Table1[dpd flag],1)/COUNTIF(Table1[Loan size],Table1[[#This Row],[Loan size]])</f>
        <v>0.13934426229508196</v>
      </c>
      <c r="AO376" s="19" t="str">
        <f>IF(OR(Table1[[#This Row],[credit_score]] &lt; 600, Table1[ [#This Row],[dti_ratio] ] &gt; 0.5, Table1[[#This Row],[dpd]] &gt;=30), "high risk", " not riskY")</f>
        <v>high risk</v>
      </c>
      <c r="AP376" s="29">
        <f>EOMONTH(Table1[[#This Row],[origination_date]],0)</f>
        <v>45930</v>
      </c>
      <c r="AQ376" s="19">
        <f>SUMIFS(Table1[loan_amount],Table1[origination month],Table1[[#This Row],[origination month]])</f>
        <v>8810700</v>
      </c>
      <c r="AR376" s="19">
        <f>AVERAGEIFS(Table1[months_on_book],Table1[product],Table1[[#This Row],[product]])</f>
        <v>21.092024539877301</v>
      </c>
      <c r="AS376" s="19" t="str">
        <f ca="1">IF(EDATE(Table1[[#This Row],[origination_date]],6) &gt;= TODAY(), "New Loan", "Old Loan")</f>
        <v>New Loan</v>
      </c>
      <c r="AT376" s="19" t="str">
        <f>"Q"&amp;ROUNDUP(MONTH(Table1[[#This Row],[origination_date]])/3,0)&amp;YEAR(Table1[[#This Row],[origination_date]])</f>
        <v>Q32025</v>
      </c>
      <c r="AU376" s="19">
        <f>SUMIFS(Table1[loan_amount],Table1[quarter],Table1[[#This Row],[quarter]])</f>
        <v>59662800</v>
      </c>
    </row>
    <row r="377" spans="2:47" x14ac:dyDescent="0.2">
      <c r="B377" s="5" t="s">
        <v>501</v>
      </c>
      <c r="C377" s="2" t="s">
        <v>1001</v>
      </c>
      <c r="D377" s="3">
        <v>45884</v>
      </c>
      <c r="E377" s="2" t="s">
        <v>1027</v>
      </c>
      <c r="F377" s="2" t="s">
        <v>1029</v>
      </c>
      <c r="G377" s="2" t="s">
        <v>1036</v>
      </c>
      <c r="H377" s="2" t="s">
        <v>1041</v>
      </c>
      <c r="I377" s="2">
        <v>48</v>
      </c>
      <c r="J377" s="2">
        <v>5399800</v>
      </c>
      <c r="K377" s="2">
        <v>11.23</v>
      </c>
      <c r="L377" s="2">
        <v>140165</v>
      </c>
      <c r="M377" s="2">
        <v>838325</v>
      </c>
      <c r="N377" s="2">
        <v>668</v>
      </c>
      <c r="O377" s="2" t="s">
        <v>1042</v>
      </c>
      <c r="P377" s="2">
        <v>0.28999999999999998</v>
      </c>
      <c r="Q377" s="2">
        <v>0.71</v>
      </c>
      <c r="R377" s="2">
        <v>7642500</v>
      </c>
      <c r="S377" s="2">
        <v>4</v>
      </c>
      <c r="T377" s="2">
        <v>563369</v>
      </c>
      <c r="U377" s="2">
        <v>4917284</v>
      </c>
      <c r="V377" s="2">
        <v>0</v>
      </c>
      <c r="W377" s="2">
        <v>0</v>
      </c>
      <c r="X377" s="2">
        <v>0</v>
      </c>
      <c r="Y377" s="2" t="s">
        <v>1049</v>
      </c>
      <c r="Z377" s="12">
        <f>SUMIF(Table1[product],Table1[[#This Row],[product]],Table1[loan_amount])</f>
        <v>403369500</v>
      </c>
      <c r="AA377" s="15">
        <f>SUMIF(Table1[region],Table1[[#This Row],[region]],Table1[current_balance])</f>
        <v>98928695</v>
      </c>
      <c r="AB377" s="2">
        <f>COUNTIF(Table1[loan_status],Table1[[#This Row],[loan_status]])</f>
        <v>301</v>
      </c>
      <c r="AC377" s="2">
        <f>COUNTIF(Table1[default_flag],1)/ROWS(Table1[loan_id])</f>
        <v>2.5999999999999999E-2</v>
      </c>
      <c r="AD377" s="2">
        <f>COUNTIFS(Table1[region],Table1[[#This Row],[region]],Table1[default_flag],1)/COUNTIF(Table1[region],Table1[[#This Row],[region]])</f>
        <v>2.8571428571428571E-2</v>
      </c>
      <c r="AE377" s="2">
        <f>COUNTIFS(Table1[channel],Table1[[#This Row],[channel]],Table1[prepayment_flag],1)/COUNTIF(Table1[channel],Table1[[#This Row],[channel]])</f>
        <v>7.1090047393364927E-2</v>
      </c>
      <c r="AF377" s="2">
        <f>AVERAGEIFS(Table1[interest_rate_pct],Table1[product],Table1[[#This Row],[product]],Table1[risk_band],Table1[[#This Row],[risk_band]])</f>
        <v>11.719736842105268</v>
      </c>
      <c r="AG377" s="2" t="str" cm="1">
        <f t="array" ref="AG377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377" s="2">
        <f>COUNTIF(Table1[DTI band],Table1[[#This Row],[DTI band]])</f>
        <v>122</v>
      </c>
      <c r="AI377" s="2" t="str" cm="1">
        <f t="array" ref="AI377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377" s="2">
        <f>COUNTIF(Table1[LTV band],Table1[[#This Row],[LTV band]])</f>
        <v>302</v>
      </c>
      <c r="AK377" s="19">
        <f>COUNTIFS(Table1[count_loan_perband],Table1[[#This Row],[count_loan_perband]],Table1[default_flag],1)/COUNTIF(Table1[count_loan_perband],Table1[[#This Row],[count_loan_perband]])</f>
        <v>3.6423841059602648E-2</v>
      </c>
      <c r="AL377" s="19" t="str" cm="1">
        <f t="array" ref="AL377">_xlfn.IFS(Table1[[#This Row],[loan_amount]] &lt; 900000, "lower size (&lt; 9L)", Table1[[#This Row],[loan_amount]] &lt;=3300000, "medium size (&lt;=33L)", Table1[[#This Row],[loan_amount]] &gt; 3300000, "larger size (&gt; 33L)")</f>
        <v>larger size (&gt; 33L)</v>
      </c>
      <c r="AM377" s="19">
        <f>IF(Table1[[#This Row],[dpd]] &gt;=30,1,0)</f>
        <v>0</v>
      </c>
      <c r="AN377" s="19">
        <f>COUNTIFS(Table1[Loan size],Table1[[#This Row],[Loan size]],Table1[dpd flag],1)/COUNTIF(Table1[Loan size],Table1[[#This Row],[Loan size]])</f>
        <v>0.16250000000000001</v>
      </c>
      <c r="AO377" s="19" t="str">
        <f>IF(OR(Table1[[#This Row],[credit_score]] &lt; 600, Table1[ [#This Row],[dti_ratio] ] &gt; 0.5, Table1[[#This Row],[dpd]] &gt;=30), "high risk", " not riskY")</f>
        <v xml:space="preserve"> not riskY</v>
      </c>
      <c r="AP377" s="29">
        <f>EOMONTH(Table1[[#This Row],[origination_date]],0)</f>
        <v>45900</v>
      </c>
      <c r="AQ377" s="19">
        <f>SUMIFS(Table1[loan_amount],Table1[origination month],Table1[[#This Row],[origination month]])</f>
        <v>21976400</v>
      </c>
      <c r="AR377" s="19">
        <f>AVERAGEIFS(Table1[months_on_book],Table1[product],Table1[[#This Row],[product]])</f>
        <v>20.516129032258064</v>
      </c>
      <c r="AS377" s="19" t="str">
        <f ca="1">IF(EDATE(Table1[[#This Row],[origination_date]],6) &gt;= TODAY(), "New Loan", "Old Loan")</f>
        <v>New Loan</v>
      </c>
      <c r="AT377" s="19" t="str">
        <f>"Q"&amp;ROUNDUP(MONTH(Table1[[#This Row],[origination_date]])/3,0)&amp;YEAR(Table1[[#This Row],[origination_date]])</f>
        <v>Q32025</v>
      </c>
      <c r="AU377" s="19">
        <f>SUMIFS(Table1[loan_amount],Table1[quarter],Table1[[#This Row],[quarter]])</f>
        <v>59662800</v>
      </c>
    </row>
    <row r="378" spans="2:47" x14ac:dyDescent="0.2">
      <c r="B378" s="5" t="s">
        <v>227</v>
      </c>
      <c r="C378" s="2" t="s">
        <v>727</v>
      </c>
      <c r="D378" s="3">
        <v>45873</v>
      </c>
      <c r="E378" s="2" t="s">
        <v>1027</v>
      </c>
      <c r="F378" s="2" t="s">
        <v>1029</v>
      </c>
      <c r="G378" s="2" t="s">
        <v>1033</v>
      </c>
      <c r="H378" s="2" t="s">
        <v>1038</v>
      </c>
      <c r="I378" s="2">
        <v>18</v>
      </c>
      <c r="J378" s="2">
        <v>3115400</v>
      </c>
      <c r="K378" s="2">
        <v>8.2799999999999994</v>
      </c>
      <c r="L378" s="2">
        <v>184644</v>
      </c>
      <c r="M378" s="2">
        <v>762721</v>
      </c>
      <c r="N378" s="2">
        <v>741</v>
      </c>
      <c r="O378" s="2" t="s">
        <v>1044</v>
      </c>
      <c r="P378" s="2">
        <v>0.26</v>
      </c>
      <c r="Q378" s="2">
        <v>0.81</v>
      </c>
      <c r="R378" s="2">
        <v>3840800</v>
      </c>
      <c r="S378" s="2">
        <v>4</v>
      </c>
      <c r="T378" s="2">
        <v>661833</v>
      </c>
      <c r="U378" s="2">
        <v>2487961</v>
      </c>
      <c r="V378" s="2">
        <v>0</v>
      </c>
      <c r="W378" s="2">
        <v>0</v>
      </c>
      <c r="X378" s="2">
        <v>0</v>
      </c>
      <c r="Y378" s="2" t="s">
        <v>1049</v>
      </c>
      <c r="Z378" s="12">
        <f>SUMIF(Table1[product],Table1[[#This Row],[product]],Table1[loan_amount])</f>
        <v>403369500</v>
      </c>
      <c r="AA378" s="15">
        <f>SUMIF(Table1[region],Table1[[#This Row],[region]],Table1[current_balance])</f>
        <v>83297251</v>
      </c>
      <c r="AB378" s="2">
        <f>COUNTIF(Table1[loan_status],Table1[[#This Row],[loan_status]])</f>
        <v>301</v>
      </c>
      <c r="AC378" s="2">
        <f>COUNTIF(Table1[default_flag],1)/ROWS(Table1[loan_id])</f>
        <v>2.5999999999999999E-2</v>
      </c>
      <c r="AD378" s="2">
        <f>COUNTIFS(Table1[region],Table1[[#This Row],[region]],Table1[default_flag],1)/COUNTIF(Table1[region],Table1[[#This Row],[region]])</f>
        <v>3.1914893617021274E-2</v>
      </c>
      <c r="AE378" s="2">
        <f>COUNTIFS(Table1[channel],Table1[[#This Row],[channel]],Table1[prepayment_flag],1)/COUNTIF(Table1[channel],Table1[[#This Row],[channel]])</f>
        <v>7.1090047393364927E-2</v>
      </c>
      <c r="AF378" s="2">
        <f>AVERAGEIFS(Table1[interest_rate_pct],Table1[product],Table1[[#This Row],[product]],Table1[risk_band],Table1[[#This Row],[risk_band]])</f>
        <v>8.8557142857142868</v>
      </c>
      <c r="AG378" s="2" t="str" cm="1">
        <f t="array" ref="AG378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378" s="2">
        <f>COUNTIF(Table1[DTI band],Table1[[#This Row],[DTI band]])</f>
        <v>122</v>
      </c>
      <c r="AI378" s="2" t="str" cm="1">
        <f t="array" ref="AI378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378" s="2">
        <f>COUNTIF(Table1[LTV band],Table1[[#This Row],[LTV band]])</f>
        <v>141</v>
      </c>
      <c r="AK378" s="19">
        <f>COUNTIFS(Table1[count_loan_perband],Table1[[#This Row],[count_loan_perband]],Table1[default_flag],1)/COUNTIF(Table1[count_loan_perband],Table1[[#This Row],[count_loan_perband]])</f>
        <v>1.4184397163120567E-2</v>
      </c>
      <c r="AL378" s="19" t="str" cm="1">
        <f t="array" ref="AL378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378" s="19">
        <f>IF(Table1[[#This Row],[dpd]] &gt;=30,1,0)</f>
        <v>0</v>
      </c>
      <c r="AN378" s="19">
        <f>COUNTIFS(Table1[Loan size],Table1[[#This Row],[Loan size]],Table1[dpd flag],1)/COUNTIF(Table1[Loan size],Table1[[#This Row],[Loan size]])</f>
        <v>0.15909090909090909</v>
      </c>
      <c r="AO378" s="19" t="str">
        <f>IF(OR(Table1[[#This Row],[credit_score]] &lt; 600, Table1[ [#This Row],[dti_ratio] ] &gt; 0.5, Table1[[#This Row],[dpd]] &gt;=30), "high risk", " not riskY")</f>
        <v xml:space="preserve"> not riskY</v>
      </c>
      <c r="AP378" s="29">
        <f>EOMONTH(Table1[[#This Row],[origination_date]],0)</f>
        <v>45900</v>
      </c>
      <c r="AQ378" s="19">
        <f>SUMIFS(Table1[loan_amount],Table1[origination month],Table1[[#This Row],[origination month]])</f>
        <v>21976400</v>
      </c>
      <c r="AR378" s="19">
        <f>AVERAGEIFS(Table1[months_on_book],Table1[product],Table1[[#This Row],[product]])</f>
        <v>20.516129032258064</v>
      </c>
      <c r="AS378" s="19" t="str">
        <f ca="1">IF(EDATE(Table1[[#This Row],[origination_date]],6) &gt;= TODAY(), "New Loan", "Old Loan")</f>
        <v>New Loan</v>
      </c>
      <c r="AT378" s="19" t="str">
        <f>"Q"&amp;ROUNDUP(MONTH(Table1[[#This Row],[origination_date]])/3,0)&amp;YEAR(Table1[[#This Row],[origination_date]])</f>
        <v>Q32025</v>
      </c>
      <c r="AU378" s="19">
        <f>SUMIFS(Table1[loan_amount],Table1[quarter],Table1[[#This Row],[quarter]])</f>
        <v>59662800</v>
      </c>
    </row>
    <row r="379" spans="2:47" x14ac:dyDescent="0.2">
      <c r="B379" s="5" t="s">
        <v>389</v>
      </c>
      <c r="C379" s="2" t="s">
        <v>889</v>
      </c>
      <c r="D379" s="3">
        <v>45852</v>
      </c>
      <c r="E379" s="2" t="s">
        <v>1025</v>
      </c>
      <c r="F379" s="2" t="s">
        <v>1030</v>
      </c>
      <c r="G379" s="2" t="s">
        <v>1034</v>
      </c>
      <c r="H379" s="2" t="s">
        <v>1038</v>
      </c>
      <c r="I379" s="2">
        <v>360</v>
      </c>
      <c r="J379" s="2">
        <v>3380200</v>
      </c>
      <c r="K379" s="2">
        <v>16.43</v>
      </c>
      <c r="L379" s="2">
        <v>46629</v>
      </c>
      <c r="M379" s="2">
        <v>1535784</v>
      </c>
      <c r="N379" s="2">
        <v>684</v>
      </c>
      <c r="O379" s="2" t="s">
        <v>1042</v>
      </c>
      <c r="P379" s="2">
        <v>0.26</v>
      </c>
      <c r="Q379" s="2">
        <v>0.78</v>
      </c>
      <c r="R379" s="2">
        <v>4319400</v>
      </c>
      <c r="S379" s="2">
        <v>5</v>
      </c>
      <c r="T379" s="2">
        <v>228756</v>
      </c>
      <c r="U379" s="2">
        <v>3244005</v>
      </c>
      <c r="V379" s="2">
        <v>0</v>
      </c>
      <c r="W379" s="2">
        <v>0</v>
      </c>
      <c r="X379" s="2">
        <v>0</v>
      </c>
      <c r="Y379" s="2" t="s">
        <v>1049</v>
      </c>
      <c r="Z379" s="12">
        <f>SUMIF(Table1[product],Table1[[#This Row],[product]],Table1[loan_amount])</f>
        <v>201475100</v>
      </c>
      <c r="AA379" s="15">
        <f>SUMIF(Table1[region],Table1[[#This Row],[region]],Table1[current_balance])</f>
        <v>105779369</v>
      </c>
      <c r="AB379" s="2">
        <f>COUNTIF(Table1[loan_status],Table1[[#This Row],[loan_status]])</f>
        <v>301</v>
      </c>
      <c r="AC379" s="2">
        <f>COUNTIF(Table1[default_flag],1)/ROWS(Table1[loan_id])</f>
        <v>2.5999999999999999E-2</v>
      </c>
      <c r="AD379" s="2">
        <f>COUNTIFS(Table1[region],Table1[[#This Row],[region]],Table1[default_flag],1)/COUNTIF(Table1[region],Table1[[#This Row],[region]])</f>
        <v>2.6548672566371681E-2</v>
      </c>
      <c r="AE379" s="2">
        <f>COUNTIFS(Table1[channel],Table1[[#This Row],[channel]],Table1[prepayment_flag],1)/COUNTIF(Table1[channel],Table1[[#This Row],[channel]])</f>
        <v>5.8201058201058198E-2</v>
      </c>
      <c r="AF379" s="2">
        <f>AVERAGEIFS(Table1[interest_rate_pct],Table1[product],Table1[[#This Row],[product]],Table1[risk_band],Table1[[#This Row],[risk_band]])</f>
        <v>15.841379310344831</v>
      </c>
      <c r="AG379" s="2" t="str" cm="1">
        <f t="array" ref="AG379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379" s="2">
        <f>COUNTIF(Table1[DTI band],Table1[[#This Row],[DTI band]])</f>
        <v>122</v>
      </c>
      <c r="AI379" s="2" t="str" cm="1">
        <f t="array" ref="AI379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379" s="2">
        <f>COUNTIF(Table1[LTV band],Table1[[#This Row],[LTV band]])</f>
        <v>302</v>
      </c>
      <c r="AK379" s="19">
        <f>COUNTIFS(Table1[count_loan_perband],Table1[[#This Row],[count_loan_perband]],Table1[default_flag],1)/COUNTIF(Table1[count_loan_perband],Table1[[#This Row],[count_loan_perband]])</f>
        <v>3.6423841059602648E-2</v>
      </c>
      <c r="AL379" s="19" t="str" cm="1">
        <f t="array" ref="AL379">_xlfn.IFS(Table1[[#This Row],[loan_amount]] &lt; 900000, "lower size (&lt; 9L)", Table1[[#This Row],[loan_amount]] &lt;=3300000, "medium size (&lt;=33L)", Table1[[#This Row],[loan_amount]] &gt; 3300000, "larger size (&gt; 33L)")</f>
        <v>larger size (&gt; 33L)</v>
      </c>
      <c r="AM379" s="19">
        <f>IF(Table1[[#This Row],[dpd]] &gt;=30,1,0)</f>
        <v>0</v>
      </c>
      <c r="AN379" s="19">
        <f>COUNTIFS(Table1[Loan size],Table1[[#This Row],[Loan size]],Table1[dpd flag],1)/COUNTIF(Table1[Loan size],Table1[[#This Row],[Loan size]])</f>
        <v>0.16250000000000001</v>
      </c>
      <c r="AO379" s="19" t="str">
        <f>IF(OR(Table1[[#This Row],[credit_score]] &lt; 600, Table1[ [#This Row],[dti_ratio] ] &gt; 0.5, Table1[[#This Row],[dpd]] &gt;=30), "high risk", " not riskY")</f>
        <v xml:space="preserve"> not riskY</v>
      </c>
      <c r="AP379" s="29">
        <f>EOMONTH(Table1[[#This Row],[origination_date]],0)</f>
        <v>45869</v>
      </c>
      <c r="AQ379" s="19">
        <f>SUMIFS(Table1[loan_amount],Table1[origination month],Table1[[#This Row],[origination month]])</f>
        <v>28875700</v>
      </c>
      <c r="AR379" s="19">
        <f>AVERAGEIFS(Table1[months_on_book],Table1[product],Table1[[#This Row],[product]])</f>
        <v>19.091954022988507</v>
      </c>
      <c r="AS379" s="19" t="str">
        <f ca="1">IF(EDATE(Table1[[#This Row],[origination_date]],6) &gt;= TODAY(), "New Loan", "Old Loan")</f>
        <v>Old Loan</v>
      </c>
      <c r="AT379" s="19" t="str">
        <f>"Q"&amp;ROUNDUP(MONTH(Table1[[#This Row],[origination_date]])/3,0)&amp;YEAR(Table1[[#This Row],[origination_date]])</f>
        <v>Q32025</v>
      </c>
      <c r="AU379" s="19">
        <f>SUMIFS(Table1[loan_amount],Table1[quarter],Table1[[#This Row],[quarter]])</f>
        <v>59662800</v>
      </c>
    </row>
    <row r="380" spans="2:47" x14ac:dyDescent="0.2">
      <c r="B380" s="5" t="s">
        <v>503</v>
      </c>
      <c r="C380" s="2" t="s">
        <v>1003</v>
      </c>
      <c r="D380" s="3">
        <v>45862</v>
      </c>
      <c r="E380" s="2" t="s">
        <v>1026</v>
      </c>
      <c r="F380" s="2" t="s">
        <v>1030</v>
      </c>
      <c r="G380" s="2" t="s">
        <v>1037</v>
      </c>
      <c r="H380" s="2" t="s">
        <v>1038</v>
      </c>
      <c r="I380" s="2">
        <v>24</v>
      </c>
      <c r="J380" s="2">
        <v>434200</v>
      </c>
      <c r="K380" s="2">
        <v>20.12</v>
      </c>
      <c r="L380" s="2">
        <v>22124</v>
      </c>
      <c r="M380" s="2">
        <v>1000412</v>
      </c>
      <c r="N380" s="2">
        <v>647</v>
      </c>
      <c r="O380" s="2" t="s">
        <v>1045</v>
      </c>
      <c r="P380" s="2">
        <v>0.25</v>
      </c>
      <c r="Q380" s="2">
        <v>0.85</v>
      </c>
      <c r="R380" s="2">
        <v>0</v>
      </c>
      <c r="S380" s="2">
        <v>5</v>
      </c>
      <c r="T380" s="2">
        <v>98220</v>
      </c>
      <c r="U380" s="2">
        <v>350540</v>
      </c>
      <c r="V380" s="2">
        <v>0</v>
      </c>
      <c r="W380" s="2">
        <v>0</v>
      </c>
      <c r="X380" s="2">
        <v>0</v>
      </c>
      <c r="Y380" s="2" t="s">
        <v>1049</v>
      </c>
      <c r="Z380" s="12">
        <f>SUMIF(Table1[product],Table1[[#This Row],[product]],Table1[loan_amount])</f>
        <v>74897600</v>
      </c>
      <c r="AA380" s="15">
        <f>SUMIF(Table1[region],Table1[[#This Row],[region]],Table1[current_balance])</f>
        <v>94548000</v>
      </c>
      <c r="AB380" s="2">
        <f>COUNTIF(Table1[loan_status],Table1[[#This Row],[loan_status]])</f>
        <v>301</v>
      </c>
      <c r="AC380" s="2">
        <f>COUNTIF(Table1[default_flag],1)/ROWS(Table1[loan_id])</f>
        <v>2.5999999999999999E-2</v>
      </c>
      <c r="AD380" s="2">
        <f>COUNTIFS(Table1[region],Table1[[#This Row],[region]],Table1[default_flag],1)/COUNTIF(Table1[region],Table1[[#This Row],[region]])</f>
        <v>0</v>
      </c>
      <c r="AE380" s="2">
        <f>COUNTIFS(Table1[channel],Table1[[#This Row],[channel]],Table1[prepayment_flag],1)/COUNTIF(Table1[channel],Table1[[#This Row],[channel]])</f>
        <v>5.8201058201058198E-2</v>
      </c>
      <c r="AF380" s="2">
        <f>AVERAGEIFS(Table1[interest_rate_pct],Table1[product],Table1[[#This Row],[product]],Table1[risk_band],Table1[[#This Row],[risk_band]])</f>
        <v>20.962592592592593</v>
      </c>
      <c r="AG380" s="2" t="str" cm="1">
        <f t="array" ref="AG380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380" s="2">
        <f>COUNTIF(Table1[DTI band],Table1[[#This Row],[DTI band]])</f>
        <v>122</v>
      </c>
      <c r="AI380" s="2" t="str" cm="1">
        <f t="array" ref="AI380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380" s="2">
        <f>COUNTIF(Table1[LTV band],Table1[[#This Row],[LTV band]])</f>
        <v>141</v>
      </c>
      <c r="AK380" s="19">
        <f>COUNTIFS(Table1[count_loan_perband],Table1[[#This Row],[count_loan_perband]],Table1[default_flag],1)/COUNTIF(Table1[count_loan_perband],Table1[[#This Row],[count_loan_perband]])</f>
        <v>1.4184397163120567E-2</v>
      </c>
      <c r="AL380" s="19" t="str" cm="1">
        <f t="array" ref="AL380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380" s="19">
        <f>IF(Table1[[#This Row],[dpd]] &gt;=30,1,0)</f>
        <v>0</v>
      </c>
      <c r="AN380" s="19">
        <f>COUNTIFS(Table1[Loan size],Table1[[#This Row],[Loan size]],Table1[dpd flag],1)/COUNTIF(Table1[Loan size],Table1[[#This Row],[Loan size]])</f>
        <v>0.13934426229508196</v>
      </c>
      <c r="AO380" s="19" t="str">
        <f>IF(OR(Table1[[#This Row],[credit_score]] &lt; 600, Table1[ [#This Row],[dti_ratio] ] &gt; 0.5, Table1[[#This Row],[dpd]] &gt;=30), "high risk", " not riskY")</f>
        <v xml:space="preserve"> not riskY</v>
      </c>
      <c r="AP380" s="29">
        <f>EOMONTH(Table1[[#This Row],[origination_date]],0)</f>
        <v>45869</v>
      </c>
      <c r="AQ380" s="19">
        <f>SUMIFS(Table1[loan_amount],Table1[origination month],Table1[[#This Row],[origination month]])</f>
        <v>28875700</v>
      </c>
      <c r="AR380" s="19">
        <f>AVERAGEIFS(Table1[months_on_book],Table1[product],Table1[[#This Row],[product]])</f>
        <v>21.092024539877301</v>
      </c>
      <c r="AS380" s="19" t="str">
        <f ca="1">IF(EDATE(Table1[[#This Row],[origination_date]],6) &gt;= TODAY(), "New Loan", "Old Loan")</f>
        <v>Old Loan</v>
      </c>
      <c r="AT380" s="19" t="str">
        <f>"Q"&amp;ROUNDUP(MONTH(Table1[[#This Row],[origination_date]])/3,0)&amp;YEAR(Table1[[#This Row],[origination_date]])</f>
        <v>Q32025</v>
      </c>
      <c r="AU380" s="19">
        <f>SUMIFS(Table1[loan_amount],Table1[quarter],Table1[[#This Row],[quarter]])</f>
        <v>59662800</v>
      </c>
    </row>
    <row r="381" spans="2:47" x14ac:dyDescent="0.2">
      <c r="B381" s="5" t="s">
        <v>97</v>
      </c>
      <c r="C381" s="2" t="s">
        <v>597</v>
      </c>
      <c r="D381" s="3">
        <v>45922</v>
      </c>
      <c r="E381" s="2" t="s">
        <v>1024</v>
      </c>
      <c r="F381" s="2" t="s">
        <v>1029</v>
      </c>
      <c r="G381" s="2" t="s">
        <v>1037</v>
      </c>
      <c r="H381" s="2" t="s">
        <v>1038</v>
      </c>
      <c r="I381" s="2">
        <v>72</v>
      </c>
      <c r="J381" s="2">
        <v>812300</v>
      </c>
      <c r="K381" s="2">
        <v>10.34</v>
      </c>
      <c r="L381" s="2">
        <v>15188</v>
      </c>
      <c r="M381" s="2">
        <v>1760385</v>
      </c>
      <c r="N381" s="2">
        <v>749</v>
      </c>
      <c r="O381" s="2" t="s">
        <v>1044</v>
      </c>
      <c r="P381" s="2">
        <v>0.24</v>
      </c>
      <c r="Q381" s="2">
        <v>0.73</v>
      </c>
      <c r="R381" s="2">
        <v>1113100</v>
      </c>
      <c r="S381" s="2">
        <v>3</v>
      </c>
      <c r="T381" s="2">
        <v>45279</v>
      </c>
      <c r="U381" s="2">
        <v>775420</v>
      </c>
      <c r="V381" s="2">
        <v>0</v>
      </c>
      <c r="W381" s="2">
        <v>0</v>
      </c>
      <c r="X381" s="2">
        <v>0</v>
      </c>
      <c r="Y381" s="2" t="s">
        <v>1049</v>
      </c>
      <c r="Z381" s="12">
        <f>SUMIF(Table1[product],Table1[[#This Row],[product]],Table1[loan_amount])</f>
        <v>92273000</v>
      </c>
      <c r="AA381" s="15">
        <f>SUMIF(Table1[region],Table1[[#This Row],[region]],Table1[current_balance])</f>
        <v>94548000</v>
      </c>
      <c r="AB381" s="2">
        <f>COUNTIF(Table1[loan_status],Table1[[#This Row],[loan_status]])</f>
        <v>301</v>
      </c>
      <c r="AC381" s="2">
        <f>COUNTIF(Table1[default_flag],1)/ROWS(Table1[loan_id])</f>
        <v>2.5999999999999999E-2</v>
      </c>
      <c r="AD381" s="2">
        <f>COUNTIFS(Table1[region],Table1[[#This Row],[region]],Table1[default_flag],1)/COUNTIF(Table1[region],Table1[[#This Row],[region]])</f>
        <v>0</v>
      </c>
      <c r="AE381" s="2">
        <f>COUNTIFS(Table1[channel],Table1[[#This Row],[channel]],Table1[prepayment_flag],1)/COUNTIF(Table1[channel],Table1[[#This Row],[channel]])</f>
        <v>7.1090047393364927E-2</v>
      </c>
      <c r="AF381" s="2">
        <f>AVERAGEIFS(Table1[interest_rate_pct],Table1[product],Table1[[#This Row],[product]],Table1[risk_band],Table1[[#This Row],[risk_band]])</f>
        <v>10.611923076923079</v>
      </c>
      <c r="AG381" s="2" t="str" cm="1">
        <f t="array" ref="AG381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381" s="2">
        <f>COUNTIF(Table1[DTI band],Table1[[#This Row],[DTI band]])</f>
        <v>122</v>
      </c>
      <c r="AI381" s="2" t="str" cm="1">
        <f t="array" ref="AI381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381" s="2">
        <f>COUNTIF(Table1[LTV band],Table1[[#This Row],[LTV band]])</f>
        <v>302</v>
      </c>
      <c r="AK381" s="19">
        <f>COUNTIFS(Table1[count_loan_perband],Table1[[#This Row],[count_loan_perband]],Table1[default_flag],1)/COUNTIF(Table1[count_loan_perband],Table1[[#This Row],[count_loan_perband]])</f>
        <v>3.6423841059602648E-2</v>
      </c>
      <c r="AL381" s="19" t="str" cm="1">
        <f t="array" ref="AL381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381" s="19">
        <f>IF(Table1[[#This Row],[dpd]] &gt;=30,1,0)</f>
        <v>0</v>
      </c>
      <c r="AN381" s="19">
        <f>COUNTIFS(Table1[Loan size],Table1[[#This Row],[Loan size]],Table1[dpd flag],1)/COUNTIF(Table1[Loan size],Table1[[#This Row],[Loan size]])</f>
        <v>0.13934426229508196</v>
      </c>
      <c r="AO381" s="19" t="str">
        <f>IF(OR(Table1[[#This Row],[credit_score]] &lt; 600, Table1[ [#This Row],[dti_ratio] ] &gt; 0.5, Table1[[#This Row],[dpd]] &gt;=30), "high risk", " not riskY")</f>
        <v xml:space="preserve"> not riskY</v>
      </c>
      <c r="AP381" s="29">
        <f>EOMONTH(Table1[[#This Row],[origination_date]],0)</f>
        <v>45930</v>
      </c>
      <c r="AQ381" s="19">
        <f>SUMIFS(Table1[loan_amount],Table1[origination month],Table1[[#This Row],[origination month]])</f>
        <v>8810700</v>
      </c>
      <c r="AR381" s="19">
        <f>AVERAGEIFS(Table1[months_on_book],Table1[product],Table1[[#This Row],[product]])</f>
        <v>20.262135922330096</v>
      </c>
      <c r="AS381" s="19" t="str">
        <f ca="1">IF(EDATE(Table1[[#This Row],[origination_date]],6) &gt;= TODAY(), "New Loan", "Old Loan")</f>
        <v>New Loan</v>
      </c>
      <c r="AT381" s="19" t="str">
        <f>"Q"&amp;ROUNDUP(MONTH(Table1[[#This Row],[origination_date]])/3,0)&amp;YEAR(Table1[[#This Row],[origination_date]])</f>
        <v>Q32025</v>
      </c>
      <c r="AU381" s="19">
        <f>SUMIFS(Table1[loan_amount],Table1[quarter],Table1[[#This Row],[quarter]])</f>
        <v>59662800</v>
      </c>
    </row>
    <row r="382" spans="2:47" x14ac:dyDescent="0.2">
      <c r="B382" s="5" t="s">
        <v>373</v>
      </c>
      <c r="C382" s="2" t="s">
        <v>873</v>
      </c>
      <c r="D382" s="3">
        <v>45860</v>
      </c>
      <c r="E382" s="2" t="s">
        <v>1026</v>
      </c>
      <c r="F382" s="2" t="s">
        <v>1030</v>
      </c>
      <c r="G382" s="2" t="s">
        <v>1033</v>
      </c>
      <c r="H382" s="2" t="s">
        <v>1038</v>
      </c>
      <c r="I382" s="2">
        <v>36</v>
      </c>
      <c r="J382" s="2">
        <v>527300</v>
      </c>
      <c r="K382" s="2">
        <v>19.21</v>
      </c>
      <c r="L382" s="2">
        <v>19385</v>
      </c>
      <c r="M382" s="2">
        <v>490636</v>
      </c>
      <c r="N382" s="2">
        <v>661</v>
      </c>
      <c r="O382" s="2" t="s">
        <v>1042</v>
      </c>
      <c r="P382" s="2">
        <v>0.23</v>
      </c>
      <c r="Q382" s="2">
        <v>0.89</v>
      </c>
      <c r="R382" s="2">
        <v>0</v>
      </c>
      <c r="S382" s="2">
        <v>5</v>
      </c>
      <c r="T382" s="2">
        <v>96966</v>
      </c>
      <c r="U382" s="2">
        <v>447216</v>
      </c>
      <c r="V382" s="2">
        <v>45</v>
      </c>
      <c r="W382" s="2">
        <v>0</v>
      </c>
      <c r="X382" s="2">
        <v>0</v>
      </c>
      <c r="Y382" s="2" t="s">
        <v>1048</v>
      </c>
      <c r="Z382" s="12">
        <f>SUMIF(Table1[product],Table1[[#This Row],[product]],Table1[loan_amount])</f>
        <v>74897600</v>
      </c>
      <c r="AA382" s="15">
        <f>SUMIF(Table1[region],Table1[[#This Row],[region]],Table1[current_balance])</f>
        <v>83297251</v>
      </c>
      <c r="AB382" s="2">
        <f>COUNTIF(Table1[loan_status],Table1[[#This Row],[loan_status]])</f>
        <v>47</v>
      </c>
      <c r="AC382" s="2">
        <f>COUNTIF(Table1[default_flag],1)/ROWS(Table1[loan_id])</f>
        <v>2.5999999999999999E-2</v>
      </c>
      <c r="AD382" s="2">
        <f>COUNTIFS(Table1[region],Table1[[#This Row],[region]],Table1[default_flag],1)/COUNTIF(Table1[region],Table1[[#This Row],[region]])</f>
        <v>3.1914893617021274E-2</v>
      </c>
      <c r="AE382" s="2">
        <f>COUNTIFS(Table1[channel],Table1[[#This Row],[channel]],Table1[prepayment_flag],1)/COUNTIF(Table1[channel],Table1[[#This Row],[channel]])</f>
        <v>5.8201058201058198E-2</v>
      </c>
      <c r="AF382" s="2">
        <f>AVERAGEIFS(Table1[interest_rate_pct],Table1[product],Table1[[#This Row],[product]],Table1[risk_band],Table1[[#This Row],[risk_band]])</f>
        <v>18.603181818181817</v>
      </c>
      <c r="AG382" s="2" t="str" cm="1">
        <f t="array" ref="AG382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382" s="2">
        <f>COUNTIF(Table1[DTI band],Table1[[#This Row],[DTI band]])</f>
        <v>122</v>
      </c>
      <c r="AI382" s="2" t="str" cm="1">
        <f t="array" ref="AI382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382" s="2">
        <f>COUNTIF(Table1[LTV band],Table1[[#This Row],[LTV band]])</f>
        <v>141</v>
      </c>
      <c r="AK382" s="19">
        <f>COUNTIFS(Table1[count_loan_perband],Table1[[#This Row],[count_loan_perband]],Table1[default_flag],1)/COUNTIF(Table1[count_loan_perband],Table1[[#This Row],[count_loan_perband]])</f>
        <v>1.4184397163120567E-2</v>
      </c>
      <c r="AL382" s="19" t="str" cm="1">
        <f t="array" ref="AL382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382" s="19">
        <f>IF(Table1[[#This Row],[dpd]] &gt;=30,1,0)</f>
        <v>1</v>
      </c>
      <c r="AN382" s="19">
        <f>COUNTIFS(Table1[Loan size],Table1[[#This Row],[Loan size]],Table1[dpd flag],1)/COUNTIF(Table1[Loan size],Table1[[#This Row],[Loan size]])</f>
        <v>0.13934426229508196</v>
      </c>
      <c r="AO382" s="19" t="str">
        <f>IF(OR(Table1[[#This Row],[credit_score]] &lt; 600, Table1[ [#This Row],[dti_ratio] ] &gt; 0.5, Table1[[#This Row],[dpd]] &gt;=30), "high risk", " not riskY")</f>
        <v>high risk</v>
      </c>
      <c r="AP382" s="29">
        <f>EOMONTH(Table1[[#This Row],[origination_date]],0)</f>
        <v>45869</v>
      </c>
      <c r="AQ382" s="19">
        <f>SUMIFS(Table1[loan_amount],Table1[origination month],Table1[[#This Row],[origination month]])</f>
        <v>28875700</v>
      </c>
      <c r="AR382" s="19">
        <f>AVERAGEIFS(Table1[months_on_book],Table1[product],Table1[[#This Row],[product]])</f>
        <v>21.092024539877301</v>
      </c>
      <c r="AS382" s="19" t="str">
        <f ca="1">IF(EDATE(Table1[[#This Row],[origination_date]],6) &gt;= TODAY(), "New Loan", "Old Loan")</f>
        <v>Old Loan</v>
      </c>
      <c r="AT382" s="19" t="str">
        <f>"Q"&amp;ROUNDUP(MONTH(Table1[[#This Row],[origination_date]])/3,0)&amp;YEAR(Table1[[#This Row],[origination_date]])</f>
        <v>Q32025</v>
      </c>
      <c r="AU382" s="19">
        <f>SUMIFS(Table1[loan_amount],Table1[quarter],Table1[[#This Row],[quarter]])</f>
        <v>59662800</v>
      </c>
    </row>
    <row r="383" spans="2:47" x14ac:dyDescent="0.2">
      <c r="B383" s="5" t="s">
        <v>497</v>
      </c>
      <c r="C383" s="2" t="s">
        <v>997</v>
      </c>
      <c r="D383" s="3">
        <v>45861</v>
      </c>
      <c r="E383" s="2" t="s">
        <v>1025</v>
      </c>
      <c r="F383" s="2" t="s">
        <v>1029</v>
      </c>
      <c r="G383" s="2" t="s">
        <v>1033</v>
      </c>
      <c r="H383" s="2" t="s">
        <v>1038</v>
      </c>
      <c r="I383" s="2">
        <v>36</v>
      </c>
      <c r="J383" s="2">
        <v>1238300</v>
      </c>
      <c r="K383" s="2">
        <v>17.68</v>
      </c>
      <c r="L383" s="2">
        <v>44569</v>
      </c>
      <c r="M383" s="2">
        <v>551508</v>
      </c>
      <c r="N383" s="2">
        <v>664</v>
      </c>
      <c r="O383" s="2" t="s">
        <v>1042</v>
      </c>
      <c r="P383" s="2">
        <v>0.23</v>
      </c>
      <c r="Q383" s="2">
        <v>0.87</v>
      </c>
      <c r="R383" s="2">
        <v>1418800</v>
      </c>
      <c r="S383" s="2">
        <v>5</v>
      </c>
      <c r="T383" s="2">
        <v>213118</v>
      </c>
      <c r="U383" s="2">
        <v>1061671</v>
      </c>
      <c r="V383" s="2">
        <v>0</v>
      </c>
      <c r="W383" s="2">
        <v>0</v>
      </c>
      <c r="X383" s="2">
        <v>0</v>
      </c>
      <c r="Y383" s="2" t="s">
        <v>1049</v>
      </c>
      <c r="Z383" s="12">
        <f>SUMIF(Table1[product],Table1[[#This Row],[product]],Table1[loan_amount])</f>
        <v>201475100</v>
      </c>
      <c r="AA383" s="15">
        <f>SUMIF(Table1[region],Table1[[#This Row],[region]],Table1[current_balance])</f>
        <v>83297251</v>
      </c>
      <c r="AB383" s="2">
        <f>COUNTIF(Table1[loan_status],Table1[[#This Row],[loan_status]])</f>
        <v>301</v>
      </c>
      <c r="AC383" s="2">
        <f>COUNTIF(Table1[default_flag],1)/ROWS(Table1[loan_id])</f>
        <v>2.5999999999999999E-2</v>
      </c>
      <c r="AD383" s="2">
        <f>COUNTIFS(Table1[region],Table1[[#This Row],[region]],Table1[default_flag],1)/COUNTIF(Table1[region],Table1[[#This Row],[region]])</f>
        <v>3.1914893617021274E-2</v>
      </c>
      <c r="AE383" s="2">
        <f>COUNTIFS(Table1[channel],Table1[[#This Row],[channel]],Table1[prepayment_flag],1)/COUNTIF(Table1[channel],Table1[[#This Row],[channel]])</f>
        <v>7.1090047393364927E-2</v>
      </c>
      <c r="AF383" s="2">
        <f>AVERAGEIFS(Table1[interest_rate_pct],Table1[product],Table1[[#This Row],[product]],Table1[risk_band],Table1[[#This Row],[risk_band]])</f>
        <v>15.841379310344831</v>
      </c>
      <c r="AG383" s="2" t="str" cm="1">
        <f t="array" ref="AG383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383" s="2">
        <f>COUNTIF(Table1[DTI band],Table1[[#This Row],[DTI band]])</f>
        <v>122</v>
      </c>
      <c r="AI383" s="2" t="str" cm="1">
        <f t="array" ref="AI383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383" s="2">
        <f>COUNTIF(Table1[LTV band],Table1[[#This Row],[LTV band]])</f>
        <v>141</v>
      </c>
      <c r="AK383" s="19">
        <f>COUNTIFS(Table1[count_loan_perband],Table1[[#This Row],[count_loan_perband]],Table1[default_flag],1)/COUNTIF(Table1[count_loan_perband],Table1[[#This Row],[count_loan_perband]])</f>
        <v>1.4184397163120567E-2</v>
      </c>
      <c r="AL383" s="19" t="str" cm="1">
        <f t="array" ref="AL383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383" s="19">
        <f>IF(Table1[[#This Row],[dpd]] &gt;=30,1,0)</f>
        <v>0</v>
      </c>
      <c r="AN383" s="19">
        <f>COUNTIFS(Table1[Loan size],Table1[[#This Row],[Loan size]],Table1[dpd flag],1)/COUNTIF(Table1[Loan size],Table1[[#This Row],[Loan size]])</f>
        <v>0.15909090909090909</v>
      </c>
      <c r="AO383" s="19" t="str">
        <f>IF(OR(Table1[[#This Row],[credit_score]] &lt; 600, Table1[ [#This Row],[dti_ratio] ] &gt; 0.5, Table1[[#This Row],[dpd]] &gt;=30), "high risk", " not riskY")</f>
        <v xml:space="preserve"> not riskY</v>
      </c>
      <c r="AP383" s="29">
        <f>EOMONTH(Table1[[#This Row],[origination_date]],0)</f>
        <v>45869</v>
      </c>
      <c r="AQ383" s="19">
        <f>SUMIFS(Table1[loan_amount],Table1[origination month],Table1[[#This Row],[origination month]])</f>
        <v>28875700</v>
      </c>
      <c r="AR383" s="19">
        <f>AVERAGEIFS(Table1[months_on_book],Table1[product],Table1[[#This Row],[product]])</f>
        <v>19.091954022988507</v>
      </c>
      <c r="AS383" s="19" t="str">
        <f ca="1">IF(EDATE(Table1[[#This Row],[origination_date]],6) &gt;= TODAY(), "New Loan", "Old Loan")</f>
        <v>Old Loan</v>
      </c>
      <c r="AT383" s="19" t="str">
        <f>"Q"&amp;ROUNDUP(MONTH(Table1[[#This Row],[origination_date]])/3,0)&amp;YEAR(Table1[[#This Row],[origination_date]])</f>
        <v>Q32025</v>
      </c>
      <c r="AU383" s="19">
        <f>SUMIFS(Table1[loan_amount],Table1[quarter],Table1[[#This Row],[quarter]])</f>
        <v>59662800</v>
      </c>
    </row>
    <row r="384" spans="2:47" x14ac:dyDescent="0.2">
      <c r="B384" s="5" t="s">
        <v>48</v>
      </c>
      <c r="C384" s="2" t="s">
        <v>548</v>
      </c>
      <c r="D384" s="3">
        <v>45878</v>
      </c>
      <c r="E384" s="2" t="s">
        <v>1026</v>
      </c>
      <c r="F384" s="2" t="s">
        <v>1031</v>
      </c>
      <c r="G384" s="2" t="s">
        <v>1034</v>
      </c>
      <c r="H384" s="2" t="s">
        <v>1041</v>
      </c>
      <c r="I384" s="2">
        <v>240</v>
      </c>
      <c r="J384" s="2">
        <v>601800</v>
      </c>
      <c r="K384" s="2">
        <v>18.579999999999998</v>
      </c>
      <c r="L384" s="2">
        <v>9557</v>
      </c>
      <c r="M384" s="2">
        <v>1562567</v>
      </c>
      <c r="N384" s="2">
        <v>679</v>
      </c>
      <c r="O384" s="2" t="s">
        <v>1042</v>
      </c>
      <c r="P384" s="2">
        <v>0.21</v>
      </c>
      <c r="Q384" s="2">
        <v>0.62</v>
      </c>
      <c r="R384" s="2">
        <v>0</v>
      </c>
      <c r="S384" s="2">
        <v>4</v>
      </c>
      <c r="T384" s="2">
        <v>35320</v>
      </c>
      <c r="U384" s="2">
        <v>581389</v>
      </c>
      <c r="V384" s="2">
        <v>0</v>
      </c>
      <c r="W384" s="2">
        <v>0</v>
      </c>
      <c r="X384" s="2">
        <v>0</v>
      </c>
      <c r="Y384" s="2" t="s">
        <v>1049</v>
      </c>
      <c r="Z384" s="12">
        <f>SUMIF(Table1[product],Table1[[#This Row],[product]],Table1[loan_amount])</f>
        <v>74897600</v>
      </c>
      <c r="AA384" s="15">
        <f>SUMIF(Table1[region],Table1[[#This Row],[region]],Table1[current_balance])</f>
        <v>105779369</v>
      </c>
      <c r="AB384" s="2">
        <f>COUNTIF(Table1[loan_status],Table1[[#This Row],[loan_status]])</f>
        <v>301</v>
      </c>
      <c r="AC384" s="2">
        <f>COUNTIF(Table1[default_flag],1)/ROWS(Table1[loan_id])</f>
        <v>2.5999999999999999E-2</v>
      </c>
      <c r="AD384" s="2">
        <f>COUNTIFS(Table1[region],Table1[[#This Row],[region]],Table1[default_flag],1)/COUNTIF(Table1[region],Table1[[#This Row],[region]])</f>
        <v>2.6548672566371681E-2</v>
      </c>
      <c r="AE384" s="2">
        <f>COUNTIFS(Table1[channel],Table1[[#This Row],[channel]],Table1[prepayment_flag],1)/COUNTIF(Table1[channel],Table1[[#This Row],[channel]])</f>
        <v>0.12</v>
      </c>
      <c r="AF384" s="2">
        <f>AVERAGEIFS(Table1[interest_rate_pct],Table1[product],Table1[[#This Row],[product]],Table1[risk_band],Table1[[#This Row],[risk_band]])</f>
        <v>18.603181818181817</v>
      </c>
      <c r="AG384" s="2" t="str" cm="1">
        <f t="array" ref="AG384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384" s="2">
        <f>COUNTIF(Table1[DTI band],Table1[[#This Row],[DTI band]])</f>
        <v>122</v>
      </c>
      <c r="AI384" s="2" t="str" cm="1">
        <f t="array" ref="AI384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384" s="2">
        <f>COUNTIF(Table1[LTV band],Table1[[#This Row],[LTV band]])</f>
        <v>302</v>
      </c>
      <c r="AK384" s="19">
        <f>COUNTIFS(Table1[count_loan_perband],Table1[[#This Row],[count_loan_perband]],Table1[default_flag],1)/COUNTIF(Table1[count_loan_perband],Table1[[#This Row],[count_loan_perband]])</f>
        <v>3.6423841059602648E-2</v>
      </c>
      <c r="AL384" s="19" t="str" cm="1">
        <f t="array" ref="AL384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384" s="19">
        <f>IF(Table1[[#This Row],[dpd]] &gt;=30,1,0)</f>
        <v>0</v>
      </c>
      <c r="AN384" s="19">
        <f>COUNTIFS(Table1[Loan size],Table1[[#This Row],[Loan size]],Table1[dpd flag],1)/COUNTIF(Table1[Loan size],Table1[[#This Row],[Loan size]])</f>
        <v>0.13934426229508196</v>
      </c>
      <c r="AO384" s="19" t="str">
        <f>IF(OR(Table1[[#This Row],[credit_score]] &lt; 600, Table1[ [#This Row],[dti_ratio] ] &gt; 0.5, Table1[[#This Row],[dpd]] &gt;=30), "high risk", " not riskY")</f>
        <v xml:space="preserve"> not riskY</v>
      </c>
      <c r="AP384" s="29">
        <f>EOMONTH(Table1[[#This Row],[origination_date]],0)</f>
        <v>45900</v>
      </c>
      <c r="AQ384" s="19">
        <f>SUMIFS(Table1[loan_amount],Table1[origination month],Table1[[#This Row],[origination month]])</f>
        <v>21976400</v>
      </c>
      <c r="AR384" s="19">
        <f>AVERAGEIFS(Table1[months_on_book],Table1[product],Table1[[#This Row],[product]])</f>
        <v>21.092024539877301</v>
      </c>
      <c r="AS384" s="19" t="str">
        <f ca="1">IF(EDATE(Table1[[#This Row],[origination_date]],6) &gt;= TODAY(), "New Loan", "Old Loan")</f>
        <v>New Loan</v>
      </c>
      <c r="AT384" s="19" t="str">
        <f>"Q"&amp;ROUNDUP(MONTH(Table1[[#This Row],[origination_date]])/3,0)&amp;YEAR(Table1[[#This Row],[origination_date]])</f>
        <v>Q32025</v>
      </c>
      <c r="AU384" s="19">
        <f>SUMIFS(Table1[loan_amount],Table1[quarter],Table1[[#This Row],[quarter]])</f>
        <v>59662800</v>
      </c>
    </row>
    <row r="385" spans="2:47" x14ac:dyDescent="0.2">
      <c r="B385" s="5" t="s">
        <v>122</v>
      </c>
      <c r="C385" s="2" t="s">
        <v>622</v>
      </c>
      <c r="D385" s="3">
        <v>45898</v>
      </c>
      <c r="E385" s="2" t="s">
        <v>1028</v>
      </c>
      <c r="F385" s="2" t="s">
        <v>1030</v>
      </c>
      <c r="G385" s="2" t="s">
        <v>1036</v>
      </c>
      <c r="H385" s="2" t="s">
        <v>1038</v>
      </c>
      <c r="I385" s="2">
        <v>48</v>
      </c>
      <c r="J385" s="2">
        <v>2070100</v>
      </c>
      <c r="K385" s="2">
        <v>13.29</v>
      </c>
      <c r="L385" s="2">
        <v>55834</v>
      </c>
      <c r="M385" s="2">
        <v>1079030</v>
      </c>
      <c r="N385" s="2">
        <v>688</v>
      </c>
      <c r="O385" s="2" t="s">
        <v>1042</v>
      </c>
      <c r="P385" s="2">
        <v>0.2</v>
      </c>
      <c r="Q385" s="2">
        <v>0.7</v>
      </c>
      <c r="R385" s="2">
        <v>0</v>
      </c>
      <c r="S385" s="2">
        <v>4</v>
      </c>
      <c r="T385" s="2">
        <v>198457</v>
      </c>
      <c r="U385" s="2">
        <v>1908325</v>
      </c>
      <c r="V385" s="2">
        <v>10</v>
      </c>
      <c r="W385" s="2">
        <v>0</v>
      </c>
      <c r="X385" s="2">
        <v>0</v>
      </c>
      <c r="Y385" s="2" t="s">
        <v>1049</v>
      </c>
      <c r="Z385" s="12">
        <f>SUMIF(Table1[product],Table1[[#This Row],[product]],Table1[loan_amount])</f>
        <v>62765800</v>
      </c>
      <c r="AA385" s="15">
        <f>SUMIF(Table1[region],Table1[[#This Row],[region]],Table1[current_balance])</f>
        <v>98928695</v>
      </c>
      <c r="AB385" s="2">
        <f>COUNTIF(Table1[loan_status],Table1[[#This Row],[loan_status]])</f>
        <v>301</v>
      </c>
      <c r="AC385" s="2">
        <f>COUNTIF(Table1[default_flag],1)/ROWS(Table1[loan_id])</f>
        <v>2.5999999999999999E-2</v>
      </c>
      <c r="AD385" s="2">
        <f>COUNTIFS(Table1[region],Table1[[#This Row],[region]],Table1[default_flag],1)/COUNTIF(Table1[region],Table1[[#This Row],[region]])</f>
        <v>2.8571428571428571E-2</v>
      </c>
      <c r="AE385" s="2">
        <f>COUNTIFS(Table1[channel],Table1[[#This Row],[channel]],Table1[prepayment_flag],1)/COUNTIF(Table1[channel],Table1[[#This Row],[channel]])</f>
        <v>5.8201058201058198E-2</v>
      </c>
      <c r="AF385" s="2">
        <f>AVERAGEIFS(Table1[interest_rate_pct],Table1[product],Table1[[#This Row],[product]],Table1[risk_band],Table1[[#This Row],[risk_band]])</f>
        <v>13.463888888888889</v>
      </c>
      <c r="AG385" s="2" t="str" cm="1">
        <f t="array" ref="AG385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385" s="2">
        <f>COUNTIF(Table1[DTI band],Table1[[#This Row],[DTI band]])</f>
        <v>122</v>
      </c>
      <c r="AI385" s="2" t="str" cm="1">
        <f t="array" ref="AI385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385" s="2">
        <f>COUNTIF(Table1[LTV band],Table1[[#This Row],[LTV band]])</f>
        <v>302</v>
      </c>
      <c r="AK385" s="19">
        <f>COUNTIFS(Table1[count_loan_perband],Table1[[#This Row],[count_loan_perband]],Table1[default_flag],1)/COUNTIF(Table1[count_loan_perband],Table1[[#This Row],[count_loan_perband]])</f>
        <v>3.6423841059602648E-2</v>
      </c>
      <c r="AL385" s="19" t="str" cm="1">
        <f t="array" ref="AL385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385" s="19">
        <f>IF(Table1[[#This Row],[dpd]] &gt;=30,1,0)</f>
        <v>0</v>
      </c>
      <c r="AN385" s="19">
        <f>COUNTIFS(Table1[Loan size],Table1[[#This Row],[Loan size]],Table1[dpd flag],1)/COUNTIF(Table1[Loan size],Table1[[#This Row],[Loan size]])</f>
        <v>0.15909090909090909</v>
      </c>
      <c r="AO385" s="19" t="str">
        <f>IF(OR(Table1[[#This Row],[credit_score]] &lt; 600, Table1[ [#This Row],[dti_ratio] ] &gt; 0.5, Table1[[#This Row],[dpd]] &gt;=30), "high risk", " not riskY")</f>
        <v xml:space="preserve"> not riskY</v>
      </c>
      <c r="AP385" s="29">
        <f>EOMONTH(Table1[[#This Row],[origination_date]],0)</f>
        <v>45900</v>
      </c>
      <c r="AQ385" s="19">
        <f>SUMIFS(Table1[loan_amount],Table1[origination month],Table1[[#This Row],[origination month]])</f>
        <v>21976400</v>
      </c>
      <c r="AR385" s="19">
        <f>AVERAGEIFS(Table1[months_on_book],Table1[product],Table1[[#This Row],[product]])</f>
        <v>21.962962962962962</v>
      </c>
      <c r="AS385" s="19" t="str">
        <f ca="1">IF(EDATE(Table1[[#This Row],[origination_date]],6) &gt;= TODAY(), "New Loan", "Old Loan")</f>
        <v>New Loan</v>
      </c>
      <c r="AT385" s="19" t="str">
        <f>"Q"&amp;ROUNDUP(MONTH(Table1[[#This Row],[origination_date]])/3,0)&amp;YEAR(Table1[[#This Row],[origination_date]])</f>
        <v>Q32025</v>
      </c>
      <c r="AU385" s="19">
        <f>SUMIFS(Table1[loan_amount],Table1[quarter],Table1[[#This Row],[quarter]])</f>
        <v>59662800</v>
      </c>
    </row>
    <row r="386" spans="2:47" x14ac:dyDescent="0.2">
      <c r="B386" s="5" t="s">
        <v>135</v>
      </c>
      <c r="C386" s="2" t="s">
        <v>635</v>
      </c>
      <c r="D386" s="3">
        <v>45852</v>
      </c>
      <c r="E386" s="2" t="s">
        <v>1025</v>
      </c>
      <c r="F386" s="2" t="s">
        <v>1029</v>
      </c>
      <c r="G386" s="2" t="s">
        <v>1033</v>
      </c>
      <c r="H386" s="2" t="s">
        <v>1039</v>
      </c>
      <c r="I386" s="2">
        <v>120</v>
      </c>
      <c r="J386" s="2">
        <v>3956100</v>
      </c>
      <c r="K386" s="2">
        <v>20.420000000000002</v>
      </c>
      <c r="L386" s="2">
        <v>77559</v>
      </c>
      <c r="M386" s="2">
        <v>662871</v>
      </c>
      <c r="N386" s="2">
        <v>590</v>
      </c>
      <c r="O386" s="2" t="s">
        <v>1046</v>
      </c>
      <c r="P386" s="2">
        <v>0.2</v>
      </c>
      <c r="Q386" s="2">
        <v>0.66</v>
      </c>
      <c r="R386" s="2">
        <v>5964100</v>
      </c>
      <c r="S386" s="2">
        <v>5</v>
      </c>
      <c r="T386" s="2">
        <v>349708</v>
      </c>
      <c r="U386" s="2">
        <v>3741031</v>
      </c>
      <c r="V386" s="2">
        <v>0</v>
      </c>
      <c r="W386" s="2">
        <v>1</v>
      </c>
      <c r="X386" s="2">
        <v>0</v>
      </c>
      <c r="Y386" s="2" t="s">
        <v>1047</v>
      </c>
      <c r="Z386" s="12">
        <f>SUMIF(Table1[product],Table1[[#This Row],[product]],Table1[loan_amount])</f>
        <v>201475100</v>
      </c>
      <c r="AA386" s="15">
        <f>SUMIF(Table1[region],Table1[[#This Row],[region]],Table1[current_balance])</f>
        <v>83297251</v>
      </c>
      <c r="AB386" s="2">
        <f>COUNTIF(Table1[loan_status],Table1[[#This Row],[loan_status]])</f>
        <v>139</v>
      </c>
      <c r="AC386" s="2">
        <f>COUNTIF(Table1[default_flag],1)/ROWS(Table1[loan_id])</f>
        <v>2.5999999999999999E-2</v>
      </c>
      <c r="AD386" s="2">
        <f>COUNTIFS(Table1[region],Table1[[#This Row],[region]],Table1[default_flag],1)/COUNTIF(Table1[region],Table1[[#This Row],[region]])</f>
        <v>3.1914893617021274E-2</v>
      </c>
      <c r="AE386" s="2">
        <f>COUNTIFS(Table1[channel],Table1[[#This Row],[channel]],Table1[prepayment_flag],1)/COUNTIF(Table1[channel],Table1[[#This Row],[channel]])</f>
        <v>7.1090047393364927E-2</v>
      </c>
      <c r="AF386" s="2">
        <f>AVERAGEIFS(Table1[interest_rate_pct],Table1[product],Table1[[#This Row],[product]],Table1[risk_band],Table1[[#This Row],[risk_band]])</f>
        <v>20.521428571428572</v>
      </c>
      <c r="AG386" s="2" t="str" cm="1">
        <f t="array" ref="AG386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386" s="2">
        <f>COUNTIF(Table1[DTI band],Table1[[#This Row],[DTI band]])</f>
        <v>122</v>
      </c>
      <c r="AI386" s="2" t="str" cm="1">
        <f t="array" ref="AI386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386" s="2">
        <f>COUNTIF(Table1[LTV band],Table1[[#This Row],[LTV band]])</f>
        <v>302</v>
      </c>
      <c r="AK386" s="19">
        <f>COUNTIFS(Table1[count_loan_perband],Table1[[#This Row],[count_loan_perband]],Table1[default_flag],1)/COUNTIF(Table1[count_loan_perband],Table1[[#This Row],[count_loan_perband]])</f>
        <v>3.6423841059602648E-2</v>
      </c>
      <c r="AL386" s="19" t="str" cm="1">
        <f t="array" ref="AL386">_xlfn.IFS(Table1[[#This Row],[loan_amount]] &lt; 900000, "lower size (&lt; 9L)", Table1[[#This Row],[loan_amount]] &lt;=3300000, "medium size (&lt;=33L)", Table1[[#This Row],[loan_amount]] &gt; 3300000, "larger size (&gt; 33L)")</f>
        <v>larger size (&gt; 33L)</v>
      </c>
      <c r="AM386" s="19">
        <f>IF(Table1[[#This Row],[dpd]] &gt;=30,1,0)</f>
        <v>0</v>
      </c>
      <c r="AN386" s="19">
        <f>COUNTIFS(Table1[Loan size],Table1[[#This Row],[Loan size]],Table1[dpd flag],1)/COUNTIF(Table1[Loan size],Table1[[#This Row],[Loan size]])</f>
        <v>0.16250000000000001</v>
      </c>
      <c r="AO386" s="19" t="str">
        <f>IF(OR(Table1[[#This Row],[credit_score]] &lt; 600, Table1[ [#This Row],[dti_ratio] ] &gt; 0.5, Table1[[#This Row],[dpd]] &gt;=30), "high risk", " not riskY")</f>
        <v>high risk</v>
      </c>
      <c r="AP386" s="29">
        <f>EOMONTH(Table1[[#This Row],[origination_date]],0)</f>
        <v>45869</v>
      </c>
      <c r="AQ386" s="19">
        <f>SUMIFS(Table1[loan_amount],Table1[origination month],Table1[[#This Row],[origination month]])</f>
        <v>28875700</v>
      </c>
      <c r="AR386" s="19">
        <f>AVERAGEIFS(Table1[months_on_book],Table1[product],Table1[[#This Row],[product]])</f>
        <v>19.091954022988507</v>
      </c>
      <c r="AS386" s="19" t="str">
        <f ca="1">IF(EDATE(Table1[[#This Row],[origination_date]],6) &gt;= TODAY(), "New Loan", "Old Loan")</f>
        <v>Old Loan</v>
      </c>
      <c r="AT386" s="19" t="str">
        <f>"Q"&amp;ROUNDUP(MONTH(Table1[[#This Row],[origination_date]])/3,0)&amp;YEAR(Table1[[#This Row],[origination_date]])</f>
        <v>Q32025</v>
      </c>
      <c r="AU386" s="19">
        <f>SUMIFS(Table1[loan_amount],Table1[quarter],Table1[[#This Row],[quarter]])</f>
        <v>59662800</v>
      </c>
    </row>
    <row r="387" spans="2:47" x14ac:dyDescent="0.2">
      <c r="B387" s="5" t="s">
        <v>401</v>
      </c>
      <c r="C387" s="2" t="s">
        <v>901</v>
      </c>
      <c r="D387" s="3">
        <v>45893</v>
      </c>
      <c r="E387" s="2" t="s">
        <v>1025</v>
      </c>
      <c r="F387" s="2" t="s">
        <v>1030</v>
      </c>
      <c r="G387" s="2" t="s">
        <v>1036</v>
      </c>
      <c r="H387" s="2" t="s">
        <v>1041</v>
      </c>
      <c r="I387" s="2">
        <v>36</v>
      </c>
      <c r="J387" s="2">
        <v>1711000</v>
      </c>
      <c r="K387" s="2">
        <v>18.309999999999999</v>
      </c>
      <c r="L387" s="2">
        <v>62123</v>
      </c>
      <c r="M387" s="2">
        <v>928951</v>
      </c>
      <c r="N387" s="2">
        <v>614</v>
      </c>
      <c r="O387" s="2" t="s">
        <v>1045</v>
      </c>
      <c r="P387" s="2">
        <v>0.2</v>
      </c>
      <c r="Q387" s="2">
        <v>0.63</v>
      </c>
      <c r="R387" s="2">
        <v>2700300</v>
      </c>
      <c r="S387" s="2">
        <v>4</v>
      </c>
      <c r="T387" s="2">
        <v>214943</v>
      </c>
      <c r="U387" s="2">
        <v>1537828</v>
      </c>
      <c r="V387" s="2">
        <v>90</v>
      </c>
      <c r="W387" s="2">
        <v>0</v>
      </c>
      <c r="X387" s="2">
        <v>1</v>
      </c>
      <c r="Y387" s="2" t="s">
        <v>1050</v>
      </c>
      <c r="Z387" s="12">
        <f>SUMIF(Table1[product],Table1[[#This Row],[product]],Table1[loan_amount])</f>
        <v>201475100</v>
      </c>
      <c r="AA387" s="15">
        <f>SUMIF(Table1[region],Table1[[#This Row],[region]],Table1[current_balance])</f>
        <v>98928695</v>
      </c>
      <c r="AB387" s="2">
        <f>COUNTIF(Table1[loan_status],Table1[[#This Row],[loan_status]])</f>
        <v>13</v>
      </c>
      <c r="AC387" s="2">
        <f>COUNTIF(Table1[default_flag],1)/ROWS(Table1[loan_id])</f>
        <v>2.5999999999999999E-2</v>
      </c>
      <c r="AD387" s="2">
        <f>COUNTIFS(Table1[region],Table1[[#This Row],[region]],Table1[default_flag],1)/COUNTIF(Table1[region],Table1[[#This Row],[region]])</f>
        <v>2.8571428571428571E-2</v>
      </c>
      <c r="AE387" s="2">
        <f>COUNTIFS(Table1[channel],Table1[[#This Row],[channel]],Table1[prepayment_flag],1)/COUNTIF(Table1[channel],Table1[[#This Row],[channel]])</f>
        <v>5.8201058201058198E-2</v>
      </c>
      <c r="AF387" s="2">
        <f>AVERAGEIFS(Table1[interest_rate_pct],Table1[product],Table1[[#This Row],[product]],Table1[risk_band],Table1[[#This Row],[risk_band]])</f>
        <v>18.241249999999997</v>
      </c>
      <c r="AG387" s="2" t="str" cm="1">
        <f t="array" ref="AG387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387" s="2">
        <f>COUNTIF(Table1[DTI band],Table1[[#This Row],[DTI band]])</f>
        <v>122</v>
      </c>
      <c r="AI387" s="2" t="str" cm="1">
        <f t="array" ref="AI387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387" s="2">
        <f>COUNTIF(Table1[LTV band],Table1[[#This Row],[LTV band]])</f>
        <v>302</v>
      </c>
      <c r="AK387" s="19">
        <f>COUNTIFS(Table1[count_loan_perband],Table1[[#This Row],[count_loan_perband]],Table1[default_flag],1)/COUNTIF(Table1[count_loan_perband],Table1[[#This Row],[count_loan_perband]])</f>
        <v>3.6423841059602648E-2</v>
      </c>
      <c r="AL387" s="19" t="str" cm="1">
        <f t="array" ref="AL387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387" s="19">
        <f>IF(Table1[[#This Row],[dpd]] &gt;=30,1,0)</f>
        <v>1</v>
      </c>
      <c r="AN387" s="19">
        <f>COUNTIFS(Table1[Loan size],Table1[[#This Row],[Loan size]],Table1[dpd flag],1)/COUNTIF(Table1[Loan size],Table1[[#This Row],[Loan size]])</f>
        <v>0.15909090909090909</v>
      </c>
      <c r="AO387" s="19" t="str">
        <f>IF(OR(Table1[[#This Row],[credit_score]] &lt; 600, Table1[ [#This Row],[dti_ratio] ] &gt; 0.5, Table1[[#This Row],[dpd]] &gt;=30), "high risk", " not riskY")</f>
        <v>high risk</v>
      </c>
      <c r="AP387" s="29">
        <f>EOMONTH(Table1[[#This Row],[origination_date]],0)</f>
        <v>45900</v>
      </c>
      <c r="AQ387" s="19">
        <f>SUMIFS(Table1[loan_amount],Table1[origination month],Table1[[#This Row],[origination month]])</f>
        <v>21976400</v>
      </c>
      <c r="AR387" s="19">
        <f>AVERAGEIFS(Table1[months_on_book],Table1[product],Table1[[#This Row],[product]])</f>
        <v>19.091954022988507</v>
      </c>
      <c r="AS387" s="19" t="str">
        <f ca="1">IF(EDATE(Table1[[#This Row],[origination_date]],6) &gt;= TODAY(), "New Loan", "Old Loan")</f>
        <v>New Loan</v>
      </c>
      <c r="AT387" s="19" t="str">
        <f>"Q"&amp;ROUNDUP(MONTH(Table1[[#This Row],[origination_date]])/3,0)&amp;YEAR(Table1[[#This Row],[origination_date]])</f>
        <v>Q32025</v>
      </c>
      <c r="AU387" s="19">
        <f>SUMIFS(Table1[loan_amount],Table1[quarter],Table1[[#This Row],[quarter]])</f>
        <v>59662800</v>
      </c>
    </row>
    <row r="388" spans="2:47" x14ac:dyDescent="0.2">
      <c r="B388" s="5" t="s">
        <v>334</v>
      </c>
      <c r="C388" s="2" t="s">
        <v>834</v>
      </c>
      <c r="D388" s="3">
        <v>45870</v>
      </c>
      <c r="E388" s="2" t="s">
        <v>1026</v>
      </c>
      <c r="F388" s="2" t="s">
        <v>1030</v>
      </c>
      <c r="G388" s="2" t="s">
        <v>1034</v>
      </c>
      <c r="H388" s="2" t="s">
        <v>1039</v>
      </c>
      <c r="I388" s="2">
        <v>36</v>
      </c>
      <c r="J388" s="2">
        <v>515200</v>
      </c>
      <c r="K388" s="2">
        <v>18.03</v>
      </c>
      <c r="L388" s="2">
        <v>18633</v>
      </c>
      <c r="M388" s="2">
        <v>809868</v>
      </c>
      <c r="N388" s="2">
        <v>686</v>
      </c>
      <c r="O388" s="2" t="s">
        <v>1042</v>
      </c>
      <c r="P388" s="2">
        <v>0.19</v>
      </c>
      <c r="Q388" s="2">
        <v>0.65</v>
      </c>
      <c r="R388" s="2">
        <v>0</v>
      </c>
      <c r="S388" s="2">
        <v>4</v>
      </c>
      <c r="T388" s="2">
        <v>75678</v>
      </c>
      <c r="U388" s="2">
        <v>451907</v>
      </c>
      <c r="V388" s="2">
        <v>0</v>
      </c>
      <c r="W388" s="2">
        <v>0</v>
      </c>
      <c r="X388" s="2">
        <v>0</v>
      </c>
      <c r="Y388" s="2" t="s">
        <v>1049</v>
      </c>
      <c r="Z388" s="12">
        <f>SUMIF(Table1[product],Table1[[#This Row],[product]],Table1[loan_amount])</f>
        <v>74897600</v>
      </c>
      <c r="AA388" s="15">
        <f>SUMIF(Table1[region],Table1[[#This Row],[region]],Table1[current_balance])</f>
        <v>105779369</v>
      </c>
      <c r="AB388" s="2">
        <f>COUNTIF(Table1[loan_status],Table1[[#This Row],[loan_status]])</f>
        <v>301</v>
      </c>
      <c r="AC388" s="2">
        <f>COUNTIF(Table1[default_flag],1)/ROWS(Table1[loan_id])</f>
        <v>2.5999999999999999E-2</v>
      </c>
      <c r="AD388" s="2">
        <f>COUNTIFS(Table1[region],Table1[[#This Row],[region]],Table1[default_flag],1)/COUNTIF(Table1[region],Table1[[#This Row],[region]])</f>
        <v>2.6548672566371681E-2</v>
      </c>
      <c r="AE388" s="2">
        <f>COUNTIFS(Table1[channel],Table1[[#This Row],[channel]],Table1[prepayment_flag],1)/COUNTIF(Table1[channel],Table1[[#This Row],[channel]])</f>
        <v>5.8201058201058198E-2</v>
      </c>
      <c r="AF388" s="2">
        <f>AVERAGEIFS(Table1[interest_rate_pct],Table1[product],Table1[[#This Row],[product]],Table1[risk_band],Table1[[#This Row],[risk_band]])</f>
        <v>18.603181818181817</v>
      </c>
      <c r="AG388" s="2" t="str" cm="1">
        <f t="array" ref="AG388">_xlfn.IFS(Table1[[#This Row],[dti_ratio]] &lt; 0.2, " less than 0.2", Table1[[#This Row],[dti_ratio]] &lt; 0.3, "0.2 - 0.3", Table1[[#This Row],[dti_ratio]] &lt;= 0.5, "0.35 - 0.5", Table1[[#This Row],[dti_ratio]] &gt; 0.5, "greater than 0.5")</f>
        <v xml:space="preserve"> less than 0.2</v>
      </c>
      <c r="AH388" s="2">
        <f>COUNTIF(Table1[DTI band],Table1[[#This Row],[DTI band]])</f>
        <v>86</v>
      </c>
      <c r="AI388" s="2" t="str" cm="1">
        <f t="array" ref="AI388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388" s="2">
        <f>COUNTIF(Table1[LTV band],Table1[[#This Row],[LTV band]])</f>
        <v>302</v>
      </c>
      <c r="AK388" s="19">
        <f>COUNTIFS(Table1[count_loan_perband],Table1[[#This Row],[count_loan_perband]],Table1[default_flag],1)/COUNTIF(Table1[count_loan_perband],Table1[[#This Row],[count_loan_perband]])</f>
        <v>3.6423841059602648E-2</v>
      </c>
      <c r="AL388" s="19" t="str" cm="1">
        <f t="array" ref="AL388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388" s="19">
        <f>IF(Table1[[#This Row],[dpd]] &gt;=30,1,0)</f>
        <v>0</v>
      </c>
      <c r="AN388" s="19">
        <f>COUNTIFS(Table1[Loan size],Table1[[#This Row],[Loan size]],Table1[dpd flag],1)/COUNTIF(Table1[Loan size],Table1[[#This Row],[Loan size]])</f>
        <v>0.13934426229508196</v>
      </c>
      <c r="AO388" s="19" t="str">
        <f>IF(OR(Table1[[#This Row],[credit_score]] &lt; 600, Table1[ [#This Row],[dti_ratio] ] &gt; 0.5, Table1[[#This Row],[dpd]] &gt;=30), "high risk", " not riskY")</f>
        <v xml:space="preserve"> not riskY</v>
      </c>
      <c r="AP388" s="29">
        <f>EOMONTH(Table1[[#This Row],[origination_date]],0)</f>
        <v>45900</v>
      </c>
      <c r="AQ388" s="19">
        <f>SUMIFS(Table1[loan_amount],Table1[origination month],Table1[[#This Row],[origination month]])</f>
        <v>21976400</v>
      </c>
      <c r="AR388" s="19">
        <f>AVERAGEIFS(Table1[months_on_book],Table1[product],Table1[[#This Row],[product]])</f>
        <v>21.092024539877301</v>
      </c>
      <c r="AS388" s="19" t="str">
        <f ca="1">IF(EDATE(Table1[[#This Row],[origination_date]],6) &gt;= TODAY(), "New Loan", "Old Loan")</f>
        <v>New Loan</v>
      </c>
      <c r="AT388" s="19" t="str">
        <f>"Q"&amp;ROUNDUP(MONTH(Table1[[#This Row],[origination_date]])/3,0)&amp;YEAR(Table1[[#This Row],[origination_date]])</f>
        <v>Q32025</v>
      </c>
      <c r="AU388" s="19">
        <f>SUMIFS(Table1[loan_amount],Table1[quarter],Table1[[#This Row],[quarter]])</f>
        <v>59662800</v>
      </c>
    </row>
    <row r="389" spans="2:47" x14ac:dyDescent="0.2">
      <c r="B389" s="5" t="s">
        <v>269</v>
      </c>
      <c r="C389" s="2" t="s">
        <v>769</v>
      </c>
      <c r="D389" s="3">
        <v>45859</v>
      </c>
      <c r="E389" s="2" t="s">
        <v>1026</v>
      </c>
      <c r="F389" s="2" t="s">
        <v>1031</v>
      </c>
      <c r="G389" s="2" t="s">
        <v>1033</v>
      </c>
      <c r="H389" s="2" t="s">
        <v>1039</v>
      </c>
      <c r="I389" s="2">
        <v>48</v>
      </c>
      <c r="J389" s="2">
        <v>208000</v>
      </c>
      <c r="K389" s="2">
        <v>22.28</v>
      </c>
      <c r="L389" s="2">
        <v>6585</v>
      </c>
      <c r="M389" s="2">
        <v>862118</v>
      </c>
      <c r="N389" s="2">
        <v>629</v>
      </c>
      <c r="O389" s="2" t="s">
        <v>1045</v>
      </c>
      <c r="P389" s="2">
        <v>0.18</v>
      </c>
      <c r="Q389" s="2">
        <v>0.73</v>
      </c>
      <c r="R389" s="2">
        <v>0</v>
      </c>
      <c r="S389" s="2">
        <v>5</v>
      </c>
      <c r="T389" s="2">
        <v>30451</v>
      </c>
      <c r="U389" s="2">
        <v>185273</v>
      </c>
      <c r="V389" s="2">
        <v>0</v>
      </c>
      <c r="W389" s="2">
        <v>0</v>
      </c>
      <c r="X389" s="2">
        <v>0</v>
      </c>
      <c r="Y389" s="2" t="s">
        <v>1049</v>
      </c>
      <c r="Z389" s="12">
        <f>SUMIF(Table1[product],Table1[[#This Row],[product]],Table1[loan_amount])</f>
        <v>74897600</v>
      </c>
      <c r="AA389" s="15">
        <f>SUMIF(Table1[region],Table1[[#This Row],[region]],Table1[current_balance])</f>
        <v>83297251</v>
      </c>
      <c r="AB389" s="2">
        <f>COUNTIF(Table1[loan_status],Table1[[#This Row],[loan_status]])</f>
        <v>301</v>
      </c>
      <c r="AC389" s="2">
        <f>COUNTIF(Table1[default_flag],1)/ROWS(Table1[loan_id])</f>
        <v>2.5999999999999999E-2</v>
      </c>
      <c r="AD389" s="2">
        <f>COUNTIFS(Table1[region],Table1[[#This Row],[region]],Table1[default_flag],1)/COUNTIF(Table1[region],Table1[[#This Row],[region]])</f>
        <v>3.1914893617021274E-2</v>
      </c>
      <c r="AE389" s="2">
        <f>COUNTIFS(Table1[channel],Table1[[#This Row],[channel]],Table1[prepayment_flag],1)/COUNTIF(Table1[channel],Table1[[#This Row],[channel]])</f>
        <v>0.12</v>
      </c>
      <c r="AF389" s="2">
        <f>AVERAGEIFS(Table1[interest_rate_pct],Table1[product],Table1[[#This Row],[product]],Table1[risk_band],Table1[[#This Row],[risk_band]])</f>
        <v>20.962592592592593</v>
      </c>
      <c r="AG389" s="2" t="str" cm="1">
        <f t="array" ref="AG389">_xlfn.IFS(Table1[[#This Row],[dti_ratio]] &lt; 0.2, " less than 0.2", Table1[[#This Row],[dti_ratio]] &lt; 0.3, "0.2 - 0.3", Table1[[#This Row],[dti_ratio]] &lt;= 0.5, "0.35 - 0.5", Table1[[#This Row],[dti_ratio]] &gt; 0.5, "greater than 0.5")</f>
        <v xml:space="preserve"> less than 0.2</v>
      </c>
      <c r="AH389" s="2">
        <f>COUNTIF(Table1[DTI band],Table1[[#This Row],[DTI band]])</f>
        <v>86</v>
      </c>
      <c r="AI389" s="2" t="str" cm="1">
        <f t="array" ref="AI389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389" s="2">
        <f>COUNTIF(Table1[LTV band],Table1[[#This Row],[LTV band]])</f>
        <v>302</v>
      </c>
      <c r="AK389" s="19">
        <f>COUNTIFS(Table1[count_loan_perband],Table1[[#This Row],[count_loan_perband]],Table1[default_flag],1)/COUNTIF(Table1[count_loan_perband],Table1[[#This Row],[count_loan_perband]])</f>
        <v>3.6423841059602648E-2</v>
      </c>
      <c r="AL389" s="19" t="str" cm="1">
        <f t="array" ref="AL389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389" s="19">
        <f>IF(Table1[[#This Row],[dpd]] &gt;=30,1,0)</f>
        <v>0</v>
      </c>
      <c r="AN389" s="19">
        <f>COUNTIFS(Table1[Loan size],Table1[[#This Row],[Loan size]],Table1[dpd flag],1)/COUNTIF(Table1[Loan size],Table1[[#This Row],[Loan size]])</f>
        <v>0.13934426229508196</v>
      </c>
      <c r="AO389" s="19" t="str">
        <f>IF(OR(Table1[[#This Row],[credit_score]] &lt; 600, Table1[ [#This Row],[dti_ratio] ] &gt; 0.5, Table1[[#This Row],[dpd]] &gt;=30), "high risk", " not riskY")</f>
        <v xml:space="preserve"> not riskY</v>
      </c>
      <c r="AP389" s="29">
        <f>EOMONTH(Table1[[#This Row],[origination_date]],0)</f>
        <v>45869</v>
      </c>
      <c r="AQ389" s="19">
        <f>SUMIFS(Table1[loan_amount],Table1[origination month],Table1[[#This Row],[origination month]])</f>
        <v>28875700</v>
      </c>
      <c r="AR389" s="19">
        <f>AVERAGEIFS(Table1[months_on_book],Table1[product],Table1[[#This Row],[product]])</f>
        <v>21.092024539877301</v>
      </c>
      <c r="AS389" s="19" t="str">
        <f ca="1">IF(EDATE(Table1[[#This Row],[origination_date]],6) &gt;= TODAY(), "New Loan", "Old Loan")</f>
        <v>Old Loan</v>
      </c>
      <c r="AT389" s="19" t="str">
        <f>"Q"&amp;ROUNDUP(MONTH(Table1[[#This Row],[origination_date]])/3,0)&amp;YEAR(Table1[[#This Row],[origination_date]])</f>
        <v>Q32025</v>
      </c>
      <c r="AU389" s="19">
        <f>SUMIFS(Table1[loan_amount],Table1[quarter],Table1[[#This Row],[quarter]])</f>
        <v>59662800</v>
      </c>
    </row>
    <row r="390" spans="2:47" x14ac:dyDescent="0.2">
      <c r="B390" s="5" t="s">
        <v>290</v>
      </c>
      <c r="C390" s="2" t="s">
        <v>790</v>
      </c>
      <c r="D390" s="3">
        <v>45903</v>
      </c>
      <c r="E390" s="2" t="s">
        <v>1027</v>
      </c>
      <c r="F390" s="2" t="s">
        <v>1029</v>
      </c>
      <c r="G390" s="2" t="s">
        <v>1037</v>
      </c>
      <c r="H390" s="2" t="s">
        <v>1038</v>
      </c>
      <c r="I390" s="2">
        <v>240</v>
      </c>
      <c r="J390" s="2">
        <v>4816600</v>
      </c>
      <c r="K390" s="2">
        <v>13.34</v>
      </c>
      <c r="L390" s="2">
        <v>57601</v>
      </c>
      <c r="M390" s="2">
        <v>613855</v>
      </c>
      <c r="N390" s="2">
        <v>620</v>
      </c>
      <c r="O390" s="2" t="s">
        <v>1045</v>
      </c>
      <c r="P390" s="2">
        <v>0.17</v>
      </c>
      <c r="Q390" s="2">
        <v>0.76</v>
      </c>
      <c r="R390" s="2">
        <v>6306800</v>
      </c>
      <c r="S390" s="2">
        <v>3</v>
      </c>
      <c r="T390" s="2">
        <v>147142</v>
      </c>
      <c r="U390" s="2">
        <v>4733711</v>
      </c>
      <c r="V390" s="2">
        <v>0</v>
      </c>
      <c r="W390" s="2">
        <v>0</v>
      </c>
      <c r="X390" s="2">
        <v>0</v>
      </c>
      <c r="Y390" s="2" t="s">
        <v>1049</v>
      </c>
      <c r="Z390" s="12">
        <f>SUMIF(Table1[product],Table1[[#This Row],[product]],Table1[loan_amount])</f>
        <v>403369500</v>
      </c>
      <c r="AA390" s="15">
        <f>SUMIF(Table1[region],Table1[[#This Row],[region]],Table1[current_balance])</f>
        <v>94548000</v>
      </c>
      <c r="AB390" s="2">
        <f>COUNTIF(Table1[loan_status],Table1[[#This Row],[loan_status]])</f>
        <v>301</v>
      </c>
      <c r="AC390" s="2">
        <f>COUNTIF(Table1[default_flag],1)/ROWS(Table1[loan_id])</f>
        <v>2.5999999999999999E-2</v>
      </c>
      <c r="AD390" s="2">
        <f>COUNTIFS(Table1[region],Table1[[#This Row],[region]],Table1[default_flag],1)/COUNTIF(Table1[region],Table1[[#This Row],[region]])</f>
        <v>0</v>
      </c>
      <c r="AE390" s="2">
        <f>COUNTIFS(Table1[channel],Table1[[#This Row],[channel]],Table1[prepayment_flag],1)/COUNTIF(Table1[channel],Table1[[#This Row],[channel]])</f>
        <v>7.1090047393364927E-2</v>
      </c>
      <c r="AF390" s="2">
        <f>AVERAGEIFS(Table1[interest_rate_pct],Table1[product],Table1[[#This Row],[product]],Table1[risk_band],Table1[[#This Row],[risk_band]])</f>
        <v>13.406874999999999</v>
      </c>
      <c r="AG390" s="2" t="str" cm="1">
        <f t="array" ref="AG390">_xlfn.IFS(Table1[[#This Row],[dti_ratio]] &lt; 0.2, " less than 0.2", Table1[[#This Row],[dti_ratio]] &lt; 0.3, "0.2 - 0.3", Table1[[#This Row],[dti_ratio]] &lt;= 0.5, "0.35 - 0.5", Table1[[#This Row],[dti_ratio]] &gt; 0.5, "greater than 0.5")</f>
        <v xml:space="preserve"> less than 0.2</v>
      </c>
      <c r="AH390" s="2">
        <f>COUNTIF(Table1[DTI band],Table1[[#This Row],[DTI band]])</f>
        <v>86</v>
      </c>
      <c r="AI390" s="2" t="str" cm="1">
        <f t="array" ref="AI390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390" s="2">
        <f>COUNTIF(Table1[LTV band],Table1[[#This Row],[LTV band]])</f>
        <v>302</v>
      </c>
      <c r="AK390" s="19">
        <f>COUNTIFS(Table1[count_loan_perband],Table1[[#This Row],[count_loan_perband]],Table1[default_flag],1)/COUNTIF(Table1[count_loan_perband],Table1[[#This Row],[count_loan_perband]])</f>
        <v>3.6423841059602648E-2</v>
      </c>
      <c r="AL390" s="19" t="str" cm="1">
        <f t="array" ref="AL390">_xlfn.IFS(Table1[[#This Row],[loan_amount]] &lt; 900000, "lower size (&lt; 9L)", Table1[[#This Row],[loan_amount]] &lt;=3300000, "medium size (&lt;=33L)", Table1[[#This Row],[loan_amount]] &gt; 3300000, "larger size (&gt; 33L)")</f>
        <v>larger size (&gt; 33L)</v>
      </c>
      <c r="AM390" s="19">
        <f>IF(Table1[[#This Row],[dpd]] &gt;=30,1,0)</f>
        <v>0</v>
      </c>
      <c r="AN390" s="19">
        <f>COUNTIFS(Table1[Loan size],Table1[[#This Row],[Loan size]],Table1[dpd flag],1)/COUNTIF(Table1[Loan size],Table1[[#This Row],[Loan size]])</f>
        <v>0.16250000000000001</v>
      </c>
      <c r="AO390" s="19" t="str">
        <f>IF(OR(Table1[[#This Row],[credit_score]] &lt; 600, Table1[ [#This Row],[dti_ratio] ] &gt; 0.5, Table1[[#This Row],[dpd]] &gt;=30), "high risk", " not riskY")</f>
        <v xml:space="preserve"> not riskY</v>
      </c>
      <c r="AP390" s="29">
        <f>EOMONTH(Table1[[#This Row],[origination_date]],0)</f>
        <v>45930</v>
      </c>
      <c r="AQ390" s="19">
        <f>SUMIFS(Table1[loan_amount],Table1[origination month],Table1[[#This Row],[origination month]])</f>
        <v>8810700</v>
      </c>
      <c r="AR390" s="19">
        <f>AVERAGEIFS(Table1[months_on_book],Table1[product],Table1[[#This Row],[product]])</f>
        <v>20.516129032258064</v>
      </c>
      <c r="AS390" s="19" t="str">
        <f ca="1">IF(EDATE(Table1[[#This Row],[origination_date]],6) &gt;= TODAY(), "New Loan", "Old Loan")</f>
        <v>New Loan</v>
      </c>
      <c r="AT390" s="19" t="str">
        <f>"Q"&amp;ROUNDUP(MONTH(Table1[[#This Row],[origination_date]])/3,0)&amp;YEAR(Table1[[#This Row],[origination_date]])</f>
        <v>Q32025</v>
      </c>
      <c r="AU390" s="19">
        <f>SUMIFS(Table1[loan_amount],Table1[quarter],Table1[[#This Row],[quarter]])</f>
        <v>59662800</v>
      </c>
    </row>
    <row r="391" spans="2:47" x14ac:dyDescent="0.2">
      <c r="B391" s="5" t="s">
        <v>279</v>
      </c>
      <c r="C391" s="2" t="s">
        <v>779</v>
      </c>
      <c r="D391" s="3">
        <v>45920</v>
      </c>
      <c r="E391" s="2" t="s">
        <v>1026</v>
      </c>
      <c r="F391" s="2" t="s">
        <v>1030</v>
      </c>
      <c r="G391" s="2" t="s">
        <v>1036</v>
      </c>
      <c r="H391" s="2" t="s">
        <v>1041</v>
      </c>
      <c r="I391" s="2">
        <v>180</v>
      </c>
      <c r="J391" s="2">
        <v>318900</v>
      </c>
      <c r="K391" s="2">
        <v>16.37</v>
      </c>
      <c r="L391" s="2">
        <v>4766</v>
      </c>
      <c r="M391" s="2">
        <v>519874</v>
      </c>
      <c r="N391" s="2">
        <v>722</v>
      </c>
      <c r="O391" s="2" t="s">
        <v>1044</v>
      </c>
      <c r="P391" s="2">
        <v>0.11</v>
      </c>
      <c r="Q391" s="2">
        <v>0.46</v>
      </c>
      <c r="R391" s="2">
        <v>0</v>
      </c>
      <c r="S391" s="2">
        <v>3</v>
      </c>
      <c r="T391" s="2">
        <v>13109</v>
      </c>
      <c r="U391" s="2">
        <v>311011</v>
      </c>
      <c r="V391" s="2">
        <v>0</v>
      </c>
      <c r="W391" s="2">
        <v>0</v>
      </c>
      <c r="X391" s="2">
        <v>0</v>
      </c>
      <c r="Y391" s="2" t="s">
        <v>1049</v>
      </c>
      <c r="Z391" s="12">
        <f>SUMIF(Table1[product],Table1[[#This Row],[product]],Table1[loan_amount])</f>
        <v>74897600</v>
      </c>
      <c r="AA391" s="15">
        <f>SUMIF(Table1[region],Table1[[#This Row],[region]],Table1[current_balance])</f>
        <v>98928695</v>
      </c>
      <c r="AB391" s="2">
        <f>COUNTIF(Table1[loan_status],Table1[[#This Row],[loan_status]])</f>
        <v>301</v>
      </c>
      <c r="AC391" s="2">
        <f>COUNTIF(Table1[default_flag],1)/ROWS(Table1[loan_id])</f>
        <v>2.5999999999999999E-2</v>
      </c>
      <c r="AD391" s="2">
        <f>COUNTIFS(Table1[region],Table1[[#This Row],[region]],Table1[default_flag],1)/COUNTIF(Table1[region],Table1[[#This Row],[region]])</f>
        <v>2.8571428571428571E-2</v>
      </c>
      <c r="AE391" s="2">
        <f>COUNTIFS(Table1[channel],Table1[[#This Row],[channel]],Table1[prepayment_flag],1)/COUNTIF(Table1[channel],Table1[[#This Row],[channel]])</f>
        <v>5.8201058201058198E-2</v>
      </c>
      <c r="AF391" s="2">
        <f>AVERAGEIFS(Table1[interest_rate_pct],Table1[product],Table1[[#This Row],[product]],Table1[risk_band],Table1[[#This Row],[risk_band]])</f>
        <v>16.500166666666669</v>
      </c>
      <c r="AG391" s="2" t="str" cm="1">
        <f t="array" ref="AG391">_xlfn.IFS(Table1[[#This Row],[dti_ratio]] &lt; 0.2, " less than 0.2", Table1[[#This Row],[dti_ratio]] &lt; 0.3, "0.2 - 0.3", Table1[[#This Row],[dti_ratio]] &lt;= 0.5, "0.35 - 0.5", Table1[[#This Row],[dti_ratio]] &gt; 0.5, "greater than 0.5")</f>
        <v xml:space="preserve"> less than 0.2</v>
      </c>
      <c r="AH391" s="2">
        <f>COUNTIF(Table1[DTI band],Table1[[#This Row],[DTI band]])</f>
        <v>86</v>
      </c>
      <c r="AI391" s="2" t="str" cm="1">
        <f t="array" ref="AI391">_xlfn.IFS(Table1[[#This Row],[ltv_ratio]] &lt; 0.6, "less than 0.6 -less risky", Table1[[#This Row],[ltv_ratio]]  &lt;= 0.8, "0.6 - 0.8 -medium risky",Table1[[#This Row],[ltv_ratio]] &gt; 0.8, "greater than 0.8 -highly risky")</f>
        <v>less than 0.6 -less risky</v>
      </c>
      <c r="AJ391" s="2">
        <f>COUNTIF(Table1[LTV band],Table1[[#This Row],[LTV band]])</f>
        <v>57</v>
      </c>
      <c r="AK391" s="19">
        <f>COUNTIFS(Table1[count_loan_perband],Table1[[#This Row],[count_loan_perband]],Table1[default_flag],1)/COUNTIF(Table1[count_loan_perband],Table1[[#This Row],[count_loan_perband]])</f>
        <v>0</v>
      </c>
      <c r="AL391" s="19" t="str" cm="1">
        <f t="array" ref="AL391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391" s="19">
        <f>IF(Table1[[#This Row],[dpd]] &gt;=30,1,0)</f>
        <v>0</v>
      </c>
      <c r="AN391" s="19">
        <f>COUNTIFS(Table1[Loan size],Table1[[#This Row],[Loan size]],Table1[dpd flag],1)/COUNTIF(Table1[Loan size],Table1[[#This Row],[Loan size]])</f>
        <v>0.13934426229508196</v>
      </c>
      <c r="AO391" s="19" t="str">
        <f>IF(OR(Table1[[#This Row],[credit_score]] &lt; 600, Table1[ [#This Row],[dti_ratio] ] &gt; 0.5, Table1[[#This Row],[dpd]] &gt;=30), "high risk", " not riskY")</f>
        <v xml:space="preserve"> not riskY</v>
      </c>
      <c r="AP391" s="29">
        <f>EOMONTH(Table1[[#This Row],[origination_date]],0)</f>
        <v>45930</v>
      </c>
      <c r="AQ391" s="19">
        <f>SUMIFS(Table1[loan_amount],Table1[origination month],Table1[[#This Row],[origination month]])</f>
        <v>8810700</v>
      </c>
      <c r="AR391" s="19">
        <f>AVERAGEIFS(Table1[months_on_book],Table1[product],Table1[[#This Row],[product]])</f>
        <v>21.092024539877301</v>
      </c>
      <c r="AS391" s="19" t="str">
        <f ca="1">IF(EDATE(Table1[[#This Row],[origination_date]],6) &gt;= TODAY(), "New Loan", "Old Loan")</f>
        <v>New Loan</v>
      </c>
      <c r="AT391" s="19" t="str">
        <f>"Q"&amp;ROUNDUP(MONTH(Table1[[#This Row],[origination_date]])/3,0)&amp;YEAR(Table1[[#This Row],[origination_date]])</f>
        <v>Q32025</v>
      </c>
      <c r="AU391" s="19">
        <f>SUMIFS(Table1[loan_amount],Table1[quarter],Table1[[#This Row],[quarter]])</f>
        <v>59662800</v>
      </c>
    </row>
    <row r="392" spans="2:47" x14ac:dyDescent="0.2">
      <c r="B392" s="5" t="s">
        <v>513</v>
      </c>
      <c r="C392" s="2" t="s">
        <v>1013</v>
      </c>
      <c r="D392" s="3">
        <v>45845</v>
      </c>
      <c r="E392" s="2" t="s">
        <v>1027</v>
      </c>
      <c r="F392" s="2" t="s">
        <v>1031</v>
      </c>
      <c r="G392" s="2" t="s">
        <v>1036</v>
      </c>
      <c r="H392" s="2" t="s">
        <v>1038</v>
      </c>
      <c r="I392" s="2">
        <v>72</v>
      </c>
      <c r="J392" s="2">
        <v>6964300</v>
      </c>
      <c r="K392" s="2">
        <v>13.07</v>
      </c>
      <c r="L392" s="2">
        <v>140060</v>
      </c>
      <c r="M392" s="2">
        <v>1025078</v>
      </c>
      <c r="N392" s="2">
        <v>618</v>
      </c>
      <c r="O392" s="2" t="s">
        <v>1045</v>
      </c>
      <c r="P392" s="2">
        <v>0.05</v>
      </c>
      <c r="Q392" s="2">
        <v>0.72</v>
      </c>
      <c r="R392" s="2">
        <v>9691900</v>
      </c>
      <c r="S392" s="2">
        <v>5</v>
      </c>
      <c r="T392" s="2">
        <v>618952</v>
      </c>
      <c r="U392" s="2">
        <v>6497054</v>
      </c>
      <c r="V392" s="2">
        <v>0</v>
      </c>
      <c r="W392" s="2">
        <v>0</v>
      </c>
      <c r="X392" s="2">
        <v>0</v>
      </c>
      <c r="Y392" s="2" t="s">
        <v>1049</v>
      </c>
      <c r="Z392" s="12">
        <f>SUMIF(Table1[product],Table1[[#This Row],[product]],Table1[loan_amount])</f>
        <v>403369500</v>
      </c>
      <c r="AA392" s="15">
        <f>SUMIF(Table1[region],Table1[[#This Row],[region]],Table1[current_balance])</f>
        <v>98928695</v>
      </c>
      <c r="AB392" s="2">
        <f>COUNTIF(Table1[loan_status],Table1[[#This Row],[loan_status]])</f>
        <v>301</v>
      </c>
      <c r="AC392" s="2">
        <f>COUNTIF(Table1[default_flag],1)/ROWS(Table1[loan_id])</f>
        <v>2.5999999999999999E-2</v>
      </c>
      <c r="AD392" s="2">
        <f>COUNTIFS(Table1[region],Table1[[#This Row],[region]],Table1[default_flag],1)/COUNTIF(Table1[region],Table1[[#This Row],[region]])</f>
        <v>2.8571428571428571E-2</v>
      </c>
      <c r="AE392" s="2">
        <f>COUNTIFS(Table1[channel],Table1[[#This Row],[channel]],Table1[prepayment_flag],1)/COUNTIF(Table1[channel],Table1[[#This Row],[channel]])</f>
        <v>0.12</v>
      </c>
      <c r="AF392" s="2">
        <f>AVERAGEIFS(Table1[interest_rate_pct],Table1[product],Table1[[#This Row],[product]],Table1[risk_band],Table1[[#This Row],[risk_band]])</f>
        <v>13.406874999999999</v>
      </c>
      <c r="AG392" s="2" t="str" cm="1">
        <f t="array" ref="AG392">_xlfn.IFS(Table1[[#This Row],[dti_ratio]] &lt; 0.2, " less than 0.2", Table1[[#This Row],[dti_ratio]] &lt; 0.3, "0.2 - 0.3", Table1[[#This Row],[dti_ratio]] &lt;= 0.5, "0.35 - 0.5", Table1[[#This Row],[dti_ratio]] &gt; 0.5, "greater than 0.5")</f>
        <v xml:space="preserve"> less than 0.2</v>
      </c>
      <c r="AH392" s="2">
        <f>COUNTIF(Table1[DTI band],Table1[[#This Row],[DTI band]])</f>
        <v>86</v>
      </c>
      <c r="AI392" s="2" t="str" cm="1">
        <f t="array" ref="AI392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392" s="2">
        <f>COUNTIF(Table1[LTV band],Table1[[#This Row],[LTV band]])</f>
        <v>302</v>
      </c>
      <c r="AK392" s="19">
        <f>COUNTIFS(Table1[count_loan_perband],Table1[[#This Row],[count_loan_perband]],Table1[default_flag],1)/COUNTIF(Table1[count_loan_perband],Table1[[#This Row],[count_loan_perband]])</f>
        <v>3.6423841059602648E-2</v>
      </c>
      <c r="AL392" s="19" t="str" cm="1">
        <f t="array" ref="AL392">_xlfn.IFS(Table1[[#This Row],[loan_amount]] &lt; 900000, "lower size (&lt; 9L)", Table1[[#This Row],[loan_amount]] &lt;=3300000, "medium size (&lt;=33L)", Table1[[#This Row],[loan_amount]] &gt; 3300000, "larger size (&gt; 33L)")</f>
        <v>larger size (&gt; 33L)</v>
      </c>
      <c r="AM392" s="19">
        <f>IF(Table1[[#This Row],[dpd]] &gt;=30,1,0)</f>
        <v>0</v>
      </c>
      <c r="AN392" s="19">
        <f>COUNTIFS(Table1[Loan size],Table1[[#This Row],[Loan size]],Table1[dpd flag],1)/COUNTIF(Table1[Loan size],Table1[[#This Row],[Loan size]])</f>
        <v>0.16250000000000001</v>
      </c>
      <c r="AO392" s="19" t="str">
        <f>IF(OR(Table1[[#This Row],[credit_score]] &lt; 600, Table1[ [#This Row],[dti_ratio] ] &gt; 0.5, Table1[[#This Row],[dpd]] &gt;=30), "high risk", " not riskY")</f>
        <v xml:space="preserve"> not riskY</v>
      </c>
      <c r="AP392" s="29">
        <f>EOMONTH(Table1[[#This Row],[origination_date]],0)</f>
        <v>45869</v>
      </c>
      <c r="AQ392" s="19">
        <f>SUMIFS(Table1[loan_amount],Table1[origination month],Table1[[#This Row],[origination month]])</f>
        <v>28875700</v>
      </c>
      <c r="AR392" s="19">
        <f>AVERAGEIFS(Table1[months_on_book],Table1[product],Table1[[#This Row],[product]])</f>
        <v>20.516129032258064</v>
      </c>
      <c r="AS392" s="19" t="str">
        <f ca="1">IF(EDATE(Table1[[#This Row],[origination_date]],6) &gt;= TODAY(), "New Loan", "Old Loan")</f>
        <v>Old Loan</v>
      </c>
      <c r="AT392" s="19" t="str">
        <f>"Q"&amp;ROUNDUP(MONTH(Table1[[#This Row],[origination_date]])/3,0)&amp;YEAR(Table1[[#This Row],[origination_date]])</f>
        <v>Q32025</v>
      </c>
      <c r="AU392" s="19">
        <f>SUMIFS(Table1[loan_amount],Table1[quarter],Table1[[#This Row],[quarter]])</f>
        <v>59662800</v>
      </c>
    </row>
    <row r="393" spans="2:47" x14ac:dyDescent="0.2">
      <c r="B393" s="5" t="s">
        <v>266</v>
      </c>
      <c r="C393" s="2" t="s">
        <v>766</v>
      </c>
      <c r="D393" s="3">
        <v>44913</v>
      </c>
      <c r="E393" s="2" t="s">
        <v>1025</v>
      </c>
      <c r="F393" s="2" t="s">
        <v>1031</v>
      </c>
      <c r="G393" s="2" t="s">
        <v>1034</v>
      </c>
      <c r="H393" s="2" t="s">
        <v>1041</v>
      </c>
      <c r="I393" s="2">
        <v>60</v>
      </c>
      <c r="J393" s="2">
        <v>3745900</v>
      </c>
      <c r="K393" s="2">
        <v>16.489999999999998</v>
      </c>
      <c r="L393" s="2">
        <v>92071</v>
      </c>
      <c r="M393" s="2">
        <v>927516</v>
      </c>
      <c r="N393" s="2">
        <v>673</v>
      </c>
      <c r="O393" s="2" t="s">
        <v>1042</v>
      </c>
      <c r="P393" s="2">
        <v>0.53</v>
      </c>
      <c r="Q393" s="2">
        <v>0.68</v>
      </c>
      <c r="R393" s="2">
        <v>5511700</v>
      </c>
      <c r="S393" s="2">
        <v>36</v>
      </c>
      <c r="T393" s="2">
        <v>3142746</v>
      </c>
      <c r="U393" s="2">
        <v>1344393</v>
      </c>
      <c r="V393" s="2">
        <v>0</v>
      </c>
      <c r="W393" s="2">
        <v>0</v>
      </c>
      <c r="X393" s="2">
        <v>0</v>
      </c>
      <c r="Y393" s="2" t="s">
        <v>1049</v>
      </c>
      <c r="Z393" s="12">
        <f>SUMIF(Table1[product],Table1[[#This Row],[product]],Table1[loan_amount])</f>
        <v>201475100</v>
      </c>
      <c r="AA393" s="15">
        <f>SUMIF(Table1[region],Table1[[#This Row],[region]],Table1[current_balance])</f>
        <v>105779369</v>
      </c>
      <c r="AB393" s="2">
        <f>COUNTIF(Table1[loan_status],Table1[[#This Row],[loan_status]])</f>
        <v>301</v>
      </c>
      <c r="AC393" s="2">
        <f>COUNTIF(Table1[default_flag],1)/ROWS(Table1[loan_id])</f>
        <v>2.5999999999999999E-2</v>
      </c>
      <c r="AD393" s="2">
        <f>COUNTIFS(Table1[region],Table1[[#This Row],[region]],Table1[default_flag],1)/COUNTIF(Table1[region],Table1[[#This Row],[region]])</f>
        <v>2.6548672566371681E-2</v>
      </c>
      <c r="AE393" s="2">
        <f>COUNTIFS(Table1[channel],Table1[[#This Row],[channel]],Table1[prepayment_flag],1)/COUNTIF(Table1[channel],Table1[[#This Row],[channel]])</f>
        <v>0.12</v>
      </c>
      <c r="AF393" s="2">
        <f>AVERAGEIFS(Table1[interest_rate_pct],Table1[product],Table1[[#This Row],[product]],Table1[risk_band],Table1[[#This Row],[risk_band]])</f>
        <v>15.841379310344831</v>
      </c>
      <c r="AG393" s="2" t="str" cm="1">
        <f t="array" ref="AG393">_xlfn.IFS(Table1[[#This Row],[dti_ratio]] &lt; 0.2, " less than 0.2", Table1[[#This Row],[dti_ratio]] &lt; 0.3, "0.2 - 0.3", Table1[[#This Row],[dti_ratio]] &lt;= 0.5, "0.35 - 0.5", Table1[[#This Row],[dti_ratio]] &gt; 0.5, "greater than 0.5")</f>
        <v>greater than 0.5</v>
      </c>
      <c r="AH393" s="2">
        <f>COUNTIF(Table1[DTI band],Table1[[#This Row],[DTI band]])</f>
        <v>32</v>
      </c>
      <c r="AI393" s="2" t="str" cm="1">
        <f t="array" ref="AI393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393" s="2">
        <f>COUNTIF(Table1[LTV band],Table1[[#This Row],[LTV band]])</f>
        <v>302</v>
      </c>
      <c r="AK393" s="19">
        <f>COUNTIFS(Table1[count_loan_perband],Table1[[#This Row],[count_loan_perband]],Table1[default_flag],1)/COUNTIF(Table1[count_loan_perband],Table1[[#This Row],[count_loan_perband]])</f>
        <v>3.6423841059602648E-2</v>
      </c>
      <c r="AL393" s="19" t="str" cm="1">
        <f t="array" ref="AL393">_xlfn.IFS(Table1[[#This Row],[loan_amount]] &lt; 900000, "lower size (&lt; 9L)", Table1[[#This Row],[loan_amount]] &lt;=3300000, "medium size (&lt;=33L)", Table1[[#This Row],[loan_amount]] &gt; 3300000, "larger size (&gt; 33L)")</f>
        <v>larger size (&gt; 33L)</v>
      </c>
      <c r="AM393" s="19">
        <f>IF(Table1[[#This Row],[dpd]] &gt;=30,1,0)</f>
        <v>0</v>
      </c>
      <c r="AN393" s="19">
        <f>COUNTIFS(Table1[Loan size],Table1[[#This Row],[Loan size]],Table1[dpd flag],1)/COUNTIF(Table1[Loan size],Table1[[#This Row],[Loan size]])</f>
        <v>0.16250000000000001</v>
      </c>
      <c r="AO393" s="19" t="str">
        <f>IF(OR(Table1[[#This Row],[credit_score]] &lt; 600, Table1[ [#This Row],[dti_ratio] ] &gt; 0.5, Table1[[#This Row],[dpd]] &gt;=30), "high risk", " not riskY")</f>
        <v>high risk</v>
      </c>
      <c r="AP393" s="29">
        <f>EOMONTH(Table1[[#This Row],[origination_date]],0)</f>
        <v>44926</v>
      </c>
      <c r="AQ393" s="19">
        <f>SUMIFS(Table1[loan_amount],Table1[origination month],Table1[[#This Row],[origination month]])</f>
        <v>18330100</v>
      </c>
      <c r="AR393" s="19">
        <f>AVERAGEIFS(Table1[months_on_book],Table1[product],Table1[[#This Row],[product]])</f>
        <v>19.091954022988507</v>
      </c>
      <c r="AS393" s="19" t="str">
        <f ca="1">IF(EDATE(Table1[[#This Row],[origination_date]],6) &gt;= TODAY(), "New Loan", "Old Loan")</f>
        <v>Old Loan</v>
      </c>
      <c r="AT393" s="19" t="str">
        <f>"Q"&amp;ROUNDUP(MONTH(Table1[[#This Row],[origination_date]])/3,0)&amp;YEAR(Table1[[#This Row],[origination_date]])</f>
        <v>Q42022</v>
      </c>
      <c r="AU393" s="19">
        <f>SUMIFS(Table1[loan_amount],Table1[quarter],Table1[[#This Row],[quarter]])</f>
        <v>51169300</v>
      </c>
    </row>
    <row r="394" spans="2:47" x14ac:dyDescent="0.2">
      <c r="B394" s="5" t="s">
        <v>370</v>
      </c>
      <c r="C394" s="2" t="s">
        <v>870</v>
      </c>
      <c r="D394" s="3">
        <v>44889</v>
      </c>
      <c r="E394" s="2" t="s">
        <v>1027</v>
      </c>
      <c r="F394" s="2" t="s">
        <v>1029</v>
      </c>
      <c r="G394" s="2" t="s">
        <v>1035</v>
      </c>
      <c r="H394" s="2" t="s">
        <v>1038</v>
      </c>
      <c r="I394" s="2">
        <v>12</v>
      </c>
      <c r="J394" s="2">
        <v>8283400</v>
      </c>
      <c r="K394" s="2">
        <v>12.2</v>
      </c>
      <c r="L394" s="2">
        <v>736745</v>
      </c>
      <c r="M394" s="2">
        <v>1460017</v>
      </c>
      <c r="N394" s="2">
        <v>663</v>
      </c>
      <c r="O394" s="2" t="s">
        <v>1042</v>
      </c>
      <c r="P394" s="2">
        <v>0.48</v>
      </c>
      <c r="Q394" s="2">
        <v>0.8</v>
      </c>
      <c r="R394" s="2">
        <v>10417400</v>
      </c>
      <c r="S394" s="2">
        <v>12</v>
      </c>
      <c r="T394" s="2">
        <v>8717593</v>
      </c>
      <c r="U394" s="2">
        <v>0</v>
      </c>
      <c r="V394" s="2">
        <v>0</v>
      </c>
      <c r="W394" s="2">
        <v>0</v>
      </c>
      <c r="X394" s="2">
        <v>0</v>
      </c>
      <c r="Y394" s="2" t="s">
        <v>1047</v>
      </c>
      <c r="Z394" s="12">
        <f>SUMIF(Table1[product],Table1[[#This Row],[product]],Table1[loan_amount])</f>
        <v>403369500</v>
      </c>
      <c r="AA394" s="15">
        <f>SUMIF(Table1[region],Table1[[#This Row],[region]],Table1[current_balance])</f>
        <v>83903255</v>
      </c>
      <c r="AB394" s="2">
        <f>COUNTIF(Table1[loan_status],Table1[[#This Row],[loan_status]])</f>
        <v>139</v>
      </c>
      <c r="AC394" s="2">
        <f>COUNTIF(Table1[default_flag],1)/ROWS(Table1[loan_id])</f>
        <v>2.5999999999999999E-2</v>
      </c>
      <c r="AD394" s="2">
        <f>COUNTIFS(Table1[region],Table1[[#This Row],[region]],Table1[default_flag],1)/COUNTIF(Table1[region],Table1[[#This Row],[region]])</f>
        <v>4.2553191489361701E-2</v>
      </c>
      <c r="AE394" s="2">
        <f>COUNTIFS(Table1[channel],Table1[[#This Row],[channel]],Table1[prepayment_flag],1)/COUNTIF(Table1[channel],Table1[[#This Row],[channel]])</f>
        <v>7.1090047393364927E-2</v>
      </c>
      <c r="AF394" s="2">
        <f>AVERAGEIFS(Table1[interest_rate_pct],Table1[product],Table1[[#This Row],[product]],Table1[risk_band],Table1[[#This Row],[risk_band]])</f>
        <v>11.719736842105268</v>
      </c>
      <c r="AG394" s="2" t="str" cm="1">
        <f t="array" ref="AG394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394" s="2">
        <f>COUNTIF(Table1[DTI band],Table1[[#This Row],[DTI band]])</f>
        <v>260</v>
      </c>
      <c r="AI394" s="2" t="str" cm="1">
        <f t="array" ref="AI394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394" s="2">
        <f>COUNTIF(Table1[LTV band],Table1[[#This Row],[LTV band]])</f>
        <v>302</v>
      </c>
      <c r="AK394" s="19">
        <f>COUNTIFS(Table1[count_loan_perband],Table1[[#This Row],[count_loan_perband]],Table1[default_flag],1)/COUNTIF(Table1[count_loan_perband],Table1[[#This Row],[count_loan_perband]])</f>
        <v>3.6423841059602648E-2</v>
      </c>
      <c r="AL394" s="19" t="str" cm="1">
        <f t="array" ref="AL394">_xlfn.IFS(Table1[[#This Row],[loan_amount]] &lt; 900000, "lower size (&lt; 9L)", Table1[[#This Row],[loan_amount]] &lt;=3300000, "medium size (&lt;=33L)", Table1[[#This Row],[loan_amount]] &gt; 3300000, "larger size (&gt; 33L)")</f>
        <v>larger size (&gt; 33L)</v>
      </c>
      <c r="AM394" s="19">
        <f>IF(Table1[[#This Row],[dpd]] &gt;=30,1,0)</f>
        <v>0</v>
      </c>
      <c r="AN394" s="19">
        <f>COUNTIFS(Table1[Loan size],Table1[[#This Row],[Loan size]],Table1[dpd flag],1)/COUNTIF(Table1[Loan size],Table1[[#This Row],[Loan size]])</f>
        <v>0.16250000000000001</v>
      </c>
      <c r="AO394" s="19" t="str">
        <f>IF(OR(Table1[[#This Row],[credit_score]] &lt; 600, Table1[ [#This Row],[dti_ratio] ] &gt; 0.5, Table1[[#This Row],[dpd]] &gt;=30), "high risk", " not riskY")</f>
        <v xml:space="preserve"> not riskY</v>
      </c>
      <c r="AP394" s="29">
        <f>EOMONTH(Table1[[#This Row],[origination_date]],0)</f>
        <v>44895</v>
      </c>
      <c r="AQ394" s="19">
        <f>SUMIFS(Table1[loan_amount],Table1[origination month],Table1[[#This Row],[origination month]])</f>
        <v>16312200</v>
      </c>
      <c r="AR394" s="19">
        <f>AVERAGEIFS(Table1[months_on_book],Table1[product],Table1[[#This Row],[product]])</f>
        <v>20.516129032258064</v>
      </c>
      <c r="AS394" s="19" t="str">
        <f ca="1">IF(EDATE(Table1[[#This Row],[origination_date]],6) &gt;= TODAY(), "New Loan", "Old Loan")</f>
        <v>Old Loan</v>
      </c>
      <c r="AT394" s="19" t="str">
        <f>"Q"&amp;ROUNDUP(MONTH(Table1[[#This Row],[origination_date]])/3,0)&amp;YEAR(Table1[[#This Row],[origination_date]])</f>
        <v>Q42022</v>
      </c>
      <c r="AU394" s="19">
        <f>SUMIFS(Table1[loan_amount],Table1[quarter],Table1[[#This Row],[quarter]])</f>
        <v>51169300</v>
      </c>
    </row>
    <row r="395" spans="2:47" x14ac:dyDescent="0.2">
      <c r="B395" s="5" t="s">
        <v>296</v>
      </c>
      <c r="C395" s="2" t="s">
        <v>796</v>
      </c>
      <c r="D395" s="3">
        <v>44907</v>
      </c>
      <c r="E395" s="2" t="s">
        <v>1026</v>
      </c>
      <c r="F395" s="2" t="s">
        <v>1032</v>
      </c>
      <c r="G395" s="2" t="s">
        <v>1034</v>
      </c>
      <c r="H395" s="2" t="s">
        <v>1038</v>
      </c>
      <c r="I395" s="2">
        <v>360</v>
      </c>
      <c r="J395" s="2">
        <v>396300</v>
      </c>
      <c r="K395" s="2">
        <v>17.91</v>
      </c>
      <c r="L395" s="2">
        <v>5943</v>
      </c>
      <c r="M395" s="2">
        <v>1389698</v>
      </c>
      <c r="N395" s="2">
        <v>682</v>
      </c>
      <c r="O395" s="2" t="s">
        <v>1042</v>
      </c>
      <c r="P395" s="2">
        <v>0.47</v>
      </c>
      <c r="Q395" s="2">
        <v>0.91</v>
      </c>
      <c r="R395" s="2">
        <v>0</v>
      </c>
      <c r="S395" s="2">
        <v>36</v>
      </c>
      <c r="T395" s="2">
        <v>191798</v>
      </c>
      <c r="U395" s="2">
        <v>289675</v>
      </c>
      <c r="V395" s="2">
        <v>0</v>
      </c>
      <c r="W395" s="2">
        <v>0</v>
      </c>
      <c r="X395" s="2">
        <v>0</v>
      </c>
      <c r="Y395" s="2" t="s">
        <v>1049</v>
      </c>
      <c r="Z395" s="12">
        <f>SUMIF(Table1[product],Table1[[#This Row],[product]],Table1[loan_amount])</f>
        <v>74897600</v>
      </c>
      <c r="AA395" s="15">
        <f>SUMIF(Table1[region],Table1[[#This Row],[region]],Table1[current_balance])</f>
        <v>105779369</v>
      </c>
      <c r="AB395" s="2">
        <f>COUNTIF(Table1[loan_status],Table1[[#This Row],[loan_status]])</f>
        <v>301</v>
      </c>
      <c r="AC395" s="2">
        <f>COUNTIF(Table1[default_flag],1)/ROWS(Table1[loan_id])</f>
        <v>2.5999999999999999E-2</v>
      </c>
      <c r="AD395" s="2">
        <f>COUNTIFS(Table1[region],Table1[[#This Row],[region]],Table1[default_flag],1)/COUNTIF(Table1[region],Table1[[#This Row],[region]])</f>
        <v>2.6548672566371681E-2</v>
      </c>
      <c r="AE395" s="2">
        <f>COUNTIFS(Table1[channel],Table1[[#This Row],[channel]],Table1[prepayment_flag],1)/COUNTIF(Table1[channel],Table1[[#This Row],[channel]])</f>
        <v>0.1</v>
      </c>
      <c r="AF395" s="2">
        <f>AVERAGEIFS(Table1[interest_rate_pct],Table1[product],Table1[[#This Row],[product]],Table1[risk_band],Table1[[#This Row],[risk_band]])</f>
        <v>18.603181818181817</v>
      </c>
      <c r="AG395" s="2" t="str" cm="1">
        <f t="array" ref="AG395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395" s="2">
        <f>COUNTIF(Table1[DTI band],Table1[[#This Row],[DTI band]])</f>
        <v>260</v>
      </c>
      <c r="AI395" s="2" t="str" cm="1">
        <f t="array" ref="AI395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395" s="2">
        <f>COUNTIF(Table1[LTV band],Table1[[#This Row],[LTV band]])</f>
        <v>141</v>
      </c>
      <c r="AK395" s="19">
        <f>COUNTIFS(Table1[count_loan_perband],Table1[[#This Row],[count_loan_perband]],Table1[default_flag],1)/COUNTIF(Table1[count_loan_perband],Table1[[#This Row],[count_loan_perband]])</f>
        <v>1.4184397163120567E-2</v>
      </c>
      <c r="AL395" s="19" t="str" cm="1">
        <f t="array" ref="AL395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395" s="19">
        <f>IF(Table1[[#This Row],[dpd]] &gt;=30,1,0)</f>
        <v>0</v>
      </c>
      <c r="AN395" s="19">
        <f>COUNTIFS(Table1[Loan size],Table1[[#This Row],[Loan size]],Table1[dpd flag],1)/COUNTIF(Table1[Loan size],Table1[[#This Row],[Loan size]])</f>
        <v>0.13934426229508196</v>
      </c>
      <c r="AO395" s="19" t="str">
        <f>IF(OR(Table1[[#This Row],[credit_score]] &lt; 600, Table1[ [#This Row],[dti_ratio] ] &gt; 0.5, Table1[[#This Row],[dpd]] &gt;=30), "high risk", " not riskY")</f>
        <v xml:space="preserve"> not riskY</v>
      </c>
      <c r="AP395" s="29">
        <f>EOMONTH(Table1[[#This Row],[origination_date]],0)</f>
        <v>44926</v>
      </c>
      <c r="AQ395" s="19">
        <f>SUMIFS(Table1[loan_amount],Table1[origination month],Table1[[#This Row],[origination month]])</f>
        <v>18330100</v>
      </c>
      <c r="AR395" s="19">
        <f>AVERAGEIFS(Table1[months_on_book],Table1[product],Table1[[#This Row],[product]])</f>
        <v>21.092024539877301</v>
      </c>
      <c r="AS395" s="19" t="str">
        <f ca="1">IF(EDATE(Table1[[#This Row],[origination_date]],6) &gt;= TODAY(), "New Loan", "Old Loan")</f>
        <v>Old Loan</v>
      </c>
      <c r="AT395" s="19" t="str">
        <f>"Q"&amp;ROUNDUP(MONTH(Table1[[#This Row],[origination_date]])/3,0)&amp;YEAR(Table1[[#This Row],[origination_date]])</f>
        <v>Q42022</v>
      </c>
      <c r="AU395" s="19">
        <f>SUMIFS(Table1[loan_amount],Table1[quarter],Table1[[#This Row],[quarter]])</f>
        <v>51169300</v>
      </c>
    </row>
    <row r="396" spans="2:47" x14ac:dyDescent="0.2">
      <c r="B396" s="5" t="s">
        <v>431</v>
      </c>
      <c r="C396" s="2" t="s">
        <v>931</v>
      </c>
      <c r="D396" s="3">
        <v>44875</v>
      </c>
      <c r="E396" s="2" t="s">
        <v>1027</v>
      </c>
      <c r="F396" s="2" t="s">
        <v>1032</v>
      </c>
      <c r="G396" s="2" t="s">
        <v>1034</v>
      </c>
      <c r="H396" s="2" t="s">
        <v>1039</v>
      </c>
      <c r="I396" s="2">
        <v>120</v>
      </c>
      <c r="J396" s="2">
        <v>3964200</v>
      </c>
      <c r="K396" s="2">
        <v>12.18</v>
      </c>
      <c r="L396" s="2">
        <v>57288</v>
      </c>
      <c r="M396" s="2">
        <v>1100677</v>
      </c>
      <c r="N396" s="2">
        <v>661</v>
      </c>
      <c r="O396" s="2" t="s">
        <v>1042</v>
      </c>
      <c r="P396" s="2">
        <v>0.42</v>
      </c>
      <c r="Q396" s="2">
        <v>0.96</v>
      </c>
      <c r="R396" s="2">
        <v>4137600</v>
      </c>
      <c r="S396" s="2">
        <v>37</v>
      </c>
      <c r="T396" s="2">
        <v>2078564</v>
      </c>
      <c r="U396" s="2">
        <v>2481138</v>
      </c>
      <c r="V396" s="2">
        <v>5</v>
      </c>
      <c r="W396" s="2">
        <v>0</v>
      </c>
      <c r="X396" s="2">
        <v>0</v>
      </c>
      <c r="Y396" s="2" t="s">
        <v>1049</v>
      </c>
      <c r="Z396" s="12">
        <f>SUMIF(Table1[product],Table1[[#This Row],[product]],Table1[loan_amount])</f>
        <v>403369500</v>
      </c>
      <c r="AA396" s="15">
        <f>SUMIF(Table1[region],Table1[[#This Row],[region]],Table1[current_balance])</f>
        <v>105779369</v>
      </c>
      <c r="AB396" s="2">
        <f>COUNTIF(Table1[loan_status],Table1[[#This Row],[loan_status]])</f>
        <v>301</v>
      </c>
      <c r="AC396" s="2">
        <f>COUNTIF(Table1[default_flag],1)/ROWS(Table1[loan_id])</f>
        <v>2.5999999999999999E-2</v>
      </c>
      <c r="AD396" s="2">
        <f>COUNTIFS(Table1[region],Table1[[#This Row],[region]],Table1[default_flag],1)/COUNTIF(Table1[region],Table1[[#This Row],[region]])</f>
        <v>2.6548672566371681E-2</v>
      </c>
      <c r="AE396" s="2">
        <f>COUNTIFS(Table1[channel],Table1[[#This Row],[channel]],Table1[prepayment_flag],1)/COUNTIF(Table1[channel],Table1[[#This Row],[channel]])</f>
        <v>0.1</v>
      </c>
      <c r="AF396" s="2">
        <f>AVERAGEIFS(Table1[interest_rate_pct],Table1[product],Table1[[#This Row],[product]],Table1[risk_band],Table1[[#This Row],[risk_band]])</f>
        <v>11.719736842105268</v>
      </c>
      <c r="AG396" s="2" t="str" cm="1">
        <f t="array" ref="AG396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396" s="2">
        <f>COUNTIF(Table1[DTI band],Table1[[#This Row],[DTI band]])</f>
        <v>260</v>
      </c>
      <c r="AI396" s="2" t="str" cm="1">
        <f t="array" ref="AI396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396" s="2">
        <f>COUNTIF(Table1[LTV band],Table1[[#This Row],[LTV band]])</f>
        <v>141</v>
      </c>
      <c r="AK396" s="19">
        <f>COUNTIFS(Table1[count_loan_perband],Table1[[#This Row],[count_loan_perband]],Table1[default_flag],1)/COUNTIF(Table1[count_loan_perband],Table1[[#This Row],[count_loan_perband]])</f>
        <v>1.4184397163120567E-2</v>
      </c>
      <c r="AL396" s="19" t="str" cm="1">
        <f t="array" ref="AL396">_xlfn.IFS(Table1[[#This Row],[loan_amount]] &lt; 900000, "lower size (&lt; 9L)", Table1[[#This Row],[loan_amount]] &lt;=3300000, "medium size (&lt;=33L)", Table1[[#This Row],[loan_amount]] &gt; 3300000, "larger size (&gt; 33L)")</f>
        <v>larger size (&gt; 33L)</v>
      </c>
      <c r="AM396" s="19">
        <f>IF(Table1[[#This Row],[dpd]] &gt;=30,1,0)</f>
        <v>0</v>
      </c>
      <c r="AN396" s="19">
        <f>COUNTIFS(Table1[Loan size],Table1[[#This Row],[Loan size]],Table1[dpd flag],1)/COUNTIF(Table1[Loan size],Table1[[#This Row],[Loan size]])</f>
        <v>0.16250000000000001</v>
      </c>
      <c r="AO396" s="19" t="str">
        <f>IF(OR(Table1[[#This Row],[credit_score]] &lt; 600, Table1[ [#This Row],[dti_ratio] ] &gt; 0.5, Table1[[#This Row],[dpd]] &gt;=30), "high risk", " not riskY")</f>
        <v xml:space="preserve"> not riskY</v>
      </c>
      <c r="AP396" s="29">
        <f>EOMONTH(Table1[[#This Row],[origination_date]],0)</f>
        <v>44895</v>
      </c>
      <c r="AQ396" s="19">
        <f>SUMIFS(Table1[loan_amount],Table1[origination month],Table1[[#This Row],[origination month]])</f>
        <v>16312200</v>
      </c>
      <c r="AR396" s="19">
        <f>AVERAGEIFS(Table1[months_on_book],Table1[product],Table1[[#This Row],[product]])</f>
        <v>20.516129032258064</v>
      </c>
      <c r="AS396" s="19" t="str">
        <f ca="1">IF(EDATE(Table1[[#This Row],[origination_date]],6) &gt;= TODAY(), "New Loan", "Old Loan")</f>
        <v>Old Loan</v>
      </c>
      <c r="AT396" s="19" t="str">
        <f>"Q"&amp;ROUNDUP(MONTH(Table1[[#This Row],[origination_date]])/3,0)&amp;YEAR(Table1[[#This Row],[origination_date]])</f>
        <v>Q42022</v>
      </c>
      <c r="AU396" s="19">
        <f>SUMIFS(Table1[loan_amount],Table1[quarter],Table1[[#This Row],[quarter]])</f>
        <v>51169300</v>
      </c>
    </row>
    <row r="397" spans="2:47" x14ac:dyDescent="0.2">
      <c r="B397" s="5" t="s">
        <v>349</v>
      </c>
      <c r="C397" s="2" t="s">
        <v>849</v>
      </c>
      <c r="D397" s="3">
        <v>44897</v>
      </c>
      <c r="E397" s="2" t="s">
        <v>1024</v>
      </c>
      <c r="F397" s="2" t="s">
        <v>1029</v>
      </c>
      <c r="G397" s="2" t="s">
        <v>1034</v>
      </c>
      <c r="H397" s="2" t="s">
        <v>1039</v>
      </c>
      <c r="I397" s="2">
        <v>72</v>
      </c>
      <c r="J397" s="2">
        <v>269300</v>
      </c>
      <c r="K397" s="2">
        <v>7.84</v>
      </c>
      <c r="L397" s="2">
        <v>4701</v>
      </c>
      <c r="M397" s="2">
        <v>444323</v>
      </c>
      <c r="N397" s="2">
        <v>788</v>
      </c>
      <c r="O397" s="2" t="s">
        <v>1043</v>
      </c>
      <c r="P397" s="2">
        <v>0.4</v>
      </c>
      <c r="Q397" s="2">
        <v>0.83</v>
      </c>
      <c r="R397" s="2">
        <v>323800</v>
      </c>
      <c r="S397" s="2">
        <v>36</v>
      </c>
      <c r="T397" s="2">
        <v>145317</v>
      </c>
      <c r="U397" s="2">
        <v>149319</v>
      </c>
      <c r="V397" s="2">
        <v>15</v>
      </c>
      <c r="W397" s="2">
        <v>0</v>
      </c>
      <c r="X397" s="2">
        <v>0</v>
      </c>
      <c r="Y397" s="2" t="s">
        <v>1049</v>
      </c>
      <c r="Z397" s="12">
        <f>SUMIF(Table1[product],Table1[[#This Row],[product]],Table1[loan_amount])</f>
        <v>92273000</v>
      </c>
      <c r="AA397" s="15">
        <f>SUMIF(Table1[region],Table1[[#This Row],[region]],Table1[current_balance])</f>
        <v>105779369</v>
      </c>
      <c r="AB397" s="2">
        <f>COUNTIF(Table1[loan_status],Table1[[#This Row],[loan_status]])</f>
        <v>301</v>
      </c>
      <c r="AC397" s="2">
        <f>COUNTIF(Table1[default_flag],1)/ROWS(Table1[loan_id])</f>
        <v>2.5999999999999999E-2</v>
      </c>
      <c r="AD397" s="2">
        <f>COUNTIFS(Table1[region],Table1[[#This Row],[region]],Table1[default_flag],1)/COUNTIF(Table1[region],Table1[[#This Row],[region]])</f>
        <v>2.6548672566371681E-2</v>
      </c>
      <c r="AE397" s="2">
        <f>COUNTIFS(Table1[channel],Table1[[#This Row],[channel]],Table1[prepayment_flag],1)/COUNTIF(Table1[channel],Table1[[#This Row],[channel]])</f>
        <v>7.1090047393364927E-2</v>
      </c>
      <c r="AF397" s="2">
        <f>AVERAGEIFS(Table1[interest_rate_pct],Table1[product],Table1[[#This Row],[product]],Table1[risk_band],Table1[[#This Row],[risk_band]])</f>
        <v>7.9444999999999997</v>
      </c>
      <c r="AG397" s="2" t="str" cm="1">
        <f t="array" ref="AG397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397" s="2">
        <f>COUNTIF(Table1[DTI band],Table1[[#This Row],[DTI band]])</f>
        <v>260</v>
      </c>
      <c r="AI397" s="2" t="str" cm="1">
        <f t="array" ref="AI397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397" s="2">
        <f>COUNTIF(Table1[LTV band],Table1[[#This Row],[LTV band]])</f>
        <v>141</v>
      </c>
      <c r="AK397" s="19">
        <f>COUNTIFS(Table1[count_loan_perband],Table1[[#This Row],[count_loan_perband]],Table1[default_flag],1)/COUNTIF(Table1[count_loan_perband],Table1[[#This Row],[count_loan_perband]])</f>
        <v>1.4184397163120567E-2</v>
      </c>
      <c r="AL397" s="19" t="str" cm="1">
        <f t="array" ref="AL397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397" s="19">
        <f>IF(Table1[[#This Row],[dpd]] &gt;=30,1,0)</f>
        <v>0</v>
      </c>
      <c r="AN397" s="19">
        <f>COUNTIFS(Table1[Loan size],Table1[[#This Row],[Loan size]],Table1[dpd flag],1)/COUNTIF(Table1[Loan size],Table1[[#This Row],[Loan size]])</f>
        <v>0.13934426229508196</v>
      </c>
      <c r="AO397" s="19" t="str">
        <f>IF(OR(Table1[[#This Row],[credit_score]] &lt; 600, Table1[ [#This Row],[dti_ratio] ] &gt; 0.5, Table1[[#This Row],[dpd]] &gt;=30), "high risk", " not riskY")</f>
        <v xml:space="preserve"> not riskY</v>
      </c>
      <c r="AP397" s="29">
        <f>EOMONTH(Table1[[#This Row],[origination_date]],0)</f>
        <v>44926</v>
      </c>
      <c r="AQ397" s="19">
        <f>SUMIFS(Table1[loan_amount],Table1[origination month],Table1[[#This Row],[origination month]])</f>
        <v>18330100</v>
      </c>
      <c r="AR397" s="19">
        <f>AVERAGEIFS(Table1[months_on_book],Table1[product],Table1[[#This Row],[product]])</f>
        <v>20.262135922330096</v>
      </c>
      <c r="AS397" s="19" t="str">
        <f ca="1">IF(EDATE(Table1[[#This Row],[origination_date]],6) &gt;= TODAY(), "New Loan", "Old Loan")</f>
        <v>Old Loan</v>
      </c>
      <c r="AT397" s="19" t="str">
        <f>"Q"&amp;ROUNDUP(MONTH(Table1[[#This Row],[origination_date]])/3,0)&amp;YEAR(Table1[[#This Row],[origination_date]])</f>
        <v>Q42022</v>
      </c>
      <c r="AU397" s="19">
        <f>SUMIFS(Table1[loan_amount],Table1[quarter],Table1[[#This Row],[quarter]])</f>
        <v>51169300</v>
      </c>
    </row>
    <row r="398" spans="2:47" x14ac:dyDescent="0.2">
      <c r="B398" s="5" t="s">
        <v>184</v>
      </c>
      <c r="C398" s="2" t="s">
        <v>684</v>
      </c>
      <c r="D398" s="3">
        <v>44839</v>
      </c>
      <c r="E398" s="2" t="s">
        <v>1027</v>
      </c>
      <c r="F398" s="2" t="s">
        <v>1031</v>
      </c>
      <c r="G398" s="2" t="s">
        <v>1033</v>
      </c>
      <c r="H398" s="2" t="s">
        <v>1038</v>
      </c>
      <c r="I398" s="2">
        <v>120</v>
      </c>
      <c r="J398" s="2">
        <v>6919400</v>
      </c>
      <c r="K398" s="2">
        <v>13.95</v>
      </c>
      <c r="L398" s="2">
        <v>107227</v>
      </c>
      <c r="M398" s="2">
        <v>1402252</v>
      </c>
      <c r="N398" s="2">
        <v>646</v>
      </c>
      <c r="O398" s="2" t="s">
        <v>1045</v>
      </c>
      <c r="P398" s="2">
        <v>0.39</v>
      </c>
      <c r="Q398" s="2">
        <v>0.82</v>
      </c>
      <c r="R398" s="2">
        <v>8474100</v>
      </c>
      <c r="S398" s="2">
        <v>38</v>
      </c>
      <c r="T398" s="2">
        <v>4008423</v>
      </c>
      <c r="U398" s="2">
        <v>4133635</v>
      </c>
      <c r="V398" s="2">
        <v>45</v>
      </c>
      <c r="W398" s="2">
        <v>0</v>
      </c>
      <c r="X398" s="2">
        <v>0</v>
      </c>
      <c r="Y398" s="2" t="s">
        <v>1048</v>
      </c>
      <c r="Z398" s="12">
        <f>SUMIF(Table1[product],Table1[[#This Row],[product]],Table1[loan_amount])</f>
        <v>403369500</v>
      </c>
      <c r="AA398" s="15">
        <f>SUMIF(Table1[region],Table1[[#This Row],[region]],Table1[current_balance])</f>
        <v>83297251</v>
      </c>
      <c r="AB398" s="2">
        <f>COUNTIF(Table1[loan_status],Table1[[#This Row],[loan_status]])</f>
        <v>47</v>
      </c>
      <c r="AC398" s="2">
        <f>COUNTIF(Table1[default_flag],1)/ROWS(Table1[loan_id])</f>
        <v>2.5999999999999999E-2</v>
      </c>
      <c r="AD398" s="2">
        <f>COUNTIFS(Table1[region],Table1[[#This Row],[region]],Table1[default_flag],1)/COUNTIF(Table1[region],Table1[[#This Row],[region]])</f>
        <v>3.1914893617021274E-2</v>
      </c>
      <c r="AE398" s="2">
        <f>COUNTIFS(Table1[channel],Table1[[#This Row],[channel]],Table1[prepayment_flag],1)/COUNTIF(Table1[channel],Table1[[#This Row],[channel]])</f>
        <v>0.12</v>
      </c>
      <c r="AF398" s="2">
        <f>AVERAGEIFS(Table1[interest_rate_pct],Table1[product],Table1[[#This Row],[product]],Table1[risk_band],Table1[[#This Row],[risk_band]])</f>
        <v>13.406874999999999</v>
      </c>
      <c r="AG398" s="2" t="str" cm="1">
        <f t="array" ref="AG398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398" s="2">
        <f>COUNTIF(Table1[DTI band],Table1[[#This Row],[DTI band]])</f>
        <v>260</v>
      </c>
      <c r="AI398" s="2" t="str" cm="1">
        <f t="array" ref="AI398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398" s="2">
        <f>COUNTIF(Table1[LTV band],Table1[[#This Row],[LTV band]])</f>
        <v>141</v>
      </c>
      <c r="AK398" s="19">
        <f>COUNTIFS(Table1[count_loan_perband],Table1[[#This Row],[count_loan_perband]],Table1[default_flag],1)/COUNTIF(Table1[count_loan_perband],Table1[[#This Row],[count_loan_perband]])</f>
        <v>1.4184397163120567E-2</v>
      </c>
      <c r="AL398" s="19" t="str" cm="1">
        <f t="array" ref="AL398">_xlfn.IFS(Table1[[#This Row],[loan_amount]] &lt; 900000, "lower size (&lt; 9L)", Table1[[#This Row],[loan_amount]] &lt;=3300000, "medium size (&lt;=33L)", Table1[[#This Row],[loan_amount]] &gt; 3300000, "larger size (&gt; 33L)")</f>
        <v>larger size (&gt; 33L)</v>
      </c>
      <c r="AM398" s="19">
        <f>IF(Table1[[#This Row],[dpd]] &gt;=30,1,0)</f>
        <v>1</v>
      </c>
      <c r="AN398" s="19">
        <f>COUNTIFS(Table1[Loan size],Table1[[#This Row],[Loan size]],Table1[dpd flag],1)/COUNTIF(Table1[Loan size],Table1[[#This Row],[Loan size]])</f>
        <v>0.16250000000000001</v>
      </c>
      <c r="AO398" s="19" t="str">
        <f>IF(OR(Table1[[#This Row],[credit_score]] &lt; 600, Table1[ [#This Row],[dti_ratio] ] &gt; 0.5, Table1[[#This Row],[dpd]] &gt;=30), "high risk", " not riskY")</f>
        <v>high risk</v>
      </c>
      <c r="AP398" s="29">
        <f>EOMONTH(Table1[[#This Row],[origination_date]],0)</f>
        <v>44865</v>
      </c>
      <c r="AQ398" s="19">
        <f>SUMIFS(Table1[loan_amount],Table1[origination month],Table1[[#This Row],[origination month]])</f>
        <v>16527000</v>
      </c>
      <c r="AR398" s="19">
        <f>AVERAGEIFS(Table1[months_on_book],Table1[product],Table1[[#This Row],[product]])</f>
        <v>20.516129032258064</v>
      </c>
      <c r="AS398" s="19" t="str">
        <f ca="1">IF(EDATE(Table1[[#This Row],[origination_date]],6) &gt;= TODAY(), "New Loan", "Old Loan")</f>
        <v>Old Loan</v>
      </c>
      <c r="AT398" s="19" t="str">
        <f>"Q"&amp;ROUNDUP(MONTH(Table1[[#This Row],[origination_date]])/3,0)&amp;YEAR(Table1[[#This Row],[origination_date]])</f>
        <v>Q42022</v>
      </c>
      <c r="AU398" s="19">
        <f>SUMIFS(Table1[loan_amount],Table1[quarter],Table1[[#This Row],[quarter]])</f>
        <v>51169300</v>
      </c>
    </row>
    <row r="399" spans="2:47" x14ac:dyDescent="0.2">
      <c r="B399" s="5" t="s">
        <v>406</v>
      </c>
      <c r="C399" s="2" t="s">
        <v>906</v>
      </c>
      <c r="D399" s="3">
        <v>44913</v>
      </c>
      <c r="E399" s="2" t="s">
        <v>1026</v>
      </c>
      <c r="F399" s="2" t="s">
        <v>1030</v>
      </c>
      <c r="G399" s="2" t="s">
        <v>1034</v>
      </c>
      <c r="H399" s="2" t="s">
        <v>1038</v>
      </c>
      <c r="I399" s="2">
        <v>84</v>
      </c>
      <c r="J399" s="2">
        <v>536500</v>
      </c>
      <c r="K399" s="2">
        <v>16.010000000000002</v>
      </c>
      <c r="L399" s="2">
        <v>10659</v>
      </c>
      <c r="M399" s="2">
        <v>1248579</v>
      </c>
      <c r="N399" s="2">
        <v>725</v>
      </c>
      <c r="O399" s="2" t="s">
        <v>1044</v>
      </c>
      <c r="P399" s="2">
        <v>0.35</v>
      </c>
      <c r="Q399" s="2">
        <v>0.64</v>
      </c>
      <c r="R399" s="2">
        <v>0</v>
      </c>
      <c r="S399" s="2">
        <v>36</v>
      </c>
      <c r="T399" s="2">
        <v>347507</v>
      </c>
      <c r="U399" s="2">
        <v>292065</v>
      </c>
      <c r="V399" s="2">
        <v>0</v>
      </c>
      <c r="W399" s="2">
        <v>0</v>
      </c>
      <c r="X399" s="2">
        <v>0</v>
      </c>
      <c r="Y399" s="2" t="s">
        <v>1049</v>
      </c>
      <c r="Z399" s="12">
        <f>SUMIF(Table1[product],Table1[[#This Row],[product]],Table1[loan_amount])</f>
        <v>74897600</v>
      </c>
      <c r="AA399" s="15">
        <f>SUMIF(Table1[region],Table1[[#This Row],[region]],Table1[current_balance])</f>
        <v>105779369</v>
      </c>
      <c r="AB399" s="2">
        <f>COUNTIF(Table1[loan_status],Table1[[#This Row],[loan_status]])</f>
        <v>301</v>
      </c>
      <c r="AC399" s="2">
        <f>COUNTIF(Table1[default_flag],1)/ROWS(Table1[loan_id])</f>
        <v>2.5999999999999999E-2</v>
      </c>
      <c r="AD399" s="2">
        <f>COUNTIFS(Table1[region],Table1[[#This Row],[region]],Table1[default_flag],1)/COUNTIF(Table1[region],Table1[[#This Row],[region]])</f>
        <v>2.6548672566371681E-2</v>
      </c>
      <c r="AE399" s="2">
        <f>COUNTIFS(Table1[channel],Table1[[#This Row],[channel]],Table1[prepayment_flag],1)/COUNTIF(Table1[channel],Table1[[#This Row],[channel]])</f>
        <v>5.8201058201058198E-2</v>
      </c>
      <c r="AF399" s="2">
        <f>AVERAGEIFS(Table1[interest_rate_pct],Table1[product],Table1[[#This Row],[product]],Table1[risk_band],Table1[[#This Row],[risk_band]])</f>
        <v>16.500166666666669</v>
      </c>
      <c r="AG399" s="2" t="str" cm="1">
        <f t="array" ref="AG399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399" s="2">
        <f>COUNTIF(Table1[DTI band],Table1[[#This Row],[DTI band]])</f>
        <v>260</v>
      </c>
      <c r="AI399" s="2" t="str" cm="1">
        <f t="array" ref="AI399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399" s="2">
        <f>COUNTIF(Table1[LTV band],Table1[[#This Row],[LTV band]])</f>
        <v>302</v>
      </c>
      <c r="AK399" s="19">
        <f>COUNTIFS(Table1[count_loan_perband],Table1[[#This Row],[count_loan_perband]],Table1[default_flag],1)/COUNTIF(Table1[count_loan_perband],Table1[[#This Row],[count_loan_perband]])</f>
        <v>3.6423841059602648E-2</v>
      </c>
      <c r="AL399" s="19" t="str" cm="1">
        <f t="array" ref="AL399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399" s="19">
        <f>IF(Table1[[#This Row],[dpd]] &gt;=30,1,0)</f>
        <v>0</v>
      </c>
      <c r="AN399" s="19">
        <f>COUNTIFS(Table1[Loan size],Table1[[#This Row],[Loan size]],Table1[dpd flag],1)/COUNTIF(Table1[Loan size],Table1[[#This Row],[Loan size]])</f>
        <v>0.13934426229508196</v>
      </c>
      <c r="AO399" s="19" t="str">
        <f>IF(OR(Table1[[#This Row],[credit_score]] &lt; 600, Table1[ [#This Row],[dti_ratio] ] &gt; 0.5, Table1[[#This Row],[dpd]] &gt;=30), "high risk", " not riskY")</f>
        <v xml:space="preserve"> not riskY</v>
      </c>
      <c r="AP399" s="29">
        <f>EOMONTH(Table1[[#This Row],[origination_date]],0)</f>
        <v>44926</v>
      </c>
      <c r="AQ399" s="19">
        <f>SUMIFS(Table1[loan_amount],Table1[origination month],Table1[[#This Row],[origination month]])</f>
        <v>18330100</v>
      </c>
      <c r="AR399" s="19">
        <f>AVERAGEIFS(Table1[months_on_book],Table1[product],Table1[[#This Row],[product]])</f>
        <v>21.092024539877301</v>
      </c>
      <c r="AS399" s="19" t="str">
        <f ca="1">IF(EDATE(Table1[[#This Row],[origination_date]],6) &gt;= TODAY(), "New Loan", "Old Loan")</f>
        <v>Old Loan</v>
      </c>
      <c r="AT399" s="19" t="str">
        <f>"Q"&amp;ROUNDUP(MONTH(Table1[[#This Row],[origination_date]])/3,0)&amp;YEAR(Table1[[#This Row],[origination_date]])</f>
        <v>Q42022</v>
      </c>
      <c r="AU399" s="19">
        <f>SUMIFS(Table1[loan_amount],Table1[quarter],Table1[[#This Row],[quarter]])</f>
        <v>51169300</v>
      </c>
    </row>
    <row r="400" spans="2:47" x14ac:dyDescent="0.2">
      <c r="B400" s="5" t="s">
        <v>506</v>
      </c>
      <c r="C400" s="2" t="s">
        <v>1006</v>
      </c>
      <c r="D400" s="3">
        <v>44850</v>
      </c>
      <c r="E400" s="2" t="s">
        <v>1028</v>
      </c>
      <c r="F400" s="2" t="s">
        <v>1029</v>
      </c>
      <c r="G400" s="2" t="s">
        <v>1035</v>
      </c>
      <c r="H400" s="2" t="s">
        <v>1038</v>
      </c>
      <c r="I400" s="2">
        <v>36</v>
      </c>
      <c r="J400" s="2">
        <v>636600</v>
      </c>
      <c r="K400" s="2">
        <v>9.1300000000000008</v>
      </c>
      <c r="L400" s="2">
        <v>20282</v>
      </c>
      <c r="M400" s="2">
        <v>229552</v>
      </c>
      <c r="N400" s="2">
        <v>736</v>
      </c>
      <c r="O400" s="2" t="s">
        <v>1044</v>
      </c>
      <c r="P400" s="2">
        <v>0.34</v>
      </c>
      <c r="Q400" s="2">
        <v>1.01</v>
      </c>
      <c r="R400" s="2">
        <v>0</v>
      </c>
      <c r="S400" s="2">
        <v>36</v>
      </c>
      <c r="T400" s="2">
        <v>727869</v>
      </c>
      <c r="U400" s="2">
        <v>0</v>
      </c>
      <c r="V400" s="2">
        <v>30</v>
      </c>
      <c r="W400" s="2">
        <v>0</v>
      </c>
      <c r="X400" s="2">
        <v>0</v>
      </c>
      <c r="Y400" s="2" t="s">
        <v>1047</v>
      </c>
      <c r="Z400" s="12">
        <f>SUMIF(Table1[product],Table1[[#This Row],[product]],Table1[loan_amount])</f>
        <v>62765800</v>
      </c>
      <c r="AA400" s="15">
        <f>SUMIF(Table1[region],Table1[[#This Row],[region]],Table1[current_balance])</f>
        <v>83903255</v>
      </c>
      <c r="AB400" s="2">
        <f>COUNTIF(Table1[loan_status],Table1[[#This Row],[loan_status]])</f>
        <v>139</v>
      </c>
      <c r="AC400" s="2">
        <f>COUNTIF(Table1[default_flag],1)/ROWS(Table1[loan_id])</f>
        <v>2.5999999999999999E-2</v>
      </c>
      <c r="AD400" s="2">
        <f>COUNTIFS(Table1[region],Table1[[#This Row],[region]],Table1[default_flag],1)/COUNTIF(Table1[region],Table1[[#This Row],[region]])</f>
        <v>4.2553191489361701E-2</v>
      </c>
      <c r="AE400" s="2">
        <f>COUNTIFS(Table1[channel],Table1[[#This Row],[channel]],Table1[prepayment_flag],1)/COUNTIF(Table1[channel],Table1[[#This Row],[channel]])</f>
        <v>7.1090047393364927E-2</v>
      </c>
      <c r="AF400" s="2">
        <f>AVERAGEIFS(Table1[interest_rate_pct],Table1[product],Table1[[#This Row],[product]],Table1[risk_band],Table1[[#This Row],[risk_band]])</f>
        <v>10.832666666666663</v>
      </c>
      <c r="AG400" s="2" t="str" cm="1">
        <f t="array" ref="AG400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400" s="2">
        <f>COUNTIF(Table1[DTI band],Table1[[#This Row],[DTI band]])</f>
        <v>260</v>
      </c>
      <c r="AI400" s="2" t="str" cm="1">
        <f t="array" ref="AI400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400" s="2">
        <f>COUNTIF(Table1[LTV band],Table1[[#This Row],[LTV band]])</f>
        <v>141</v>
      </c>
      <c r="AK400" s="19">
        <f>COUNTIFS(Table1[count_loan_perband],Table1[[#This Row],[count_loan_perband]],Table1[default_flag],1)/COUNTIF(Table1[count_loan_perband],Table1[[#This Row],[count_loan_perband]])</f>
        <v>1.4184397163120567E-2</v>
      </c>
      <c r="AL400" s="19" t="str" cm="1">
        <f t="array" ref="AL400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400" s="19">
        <f>IF(Table1[[#This Row],[dpd]] &gt;=30,1,0)</f>
        <v>1</v>
      </c>
      <c r="AN400" s="19">
        <f>COUNTIFS(Table1[Loan size],Table1[[#This Row],[Loan size]],Table1[dpd flag],1)/COUNTIF(Table1[Loan size],Table1[[#This Row],[Loan size]])</f>
        <v>0.13934426229508196</v>
      </c>
      <c r="AO400" s="19" t="str">
        <f>IF(OR(Table1[[#This Row],[credit_score]] &lt; 600, Table1[ [#This Row],[dti_ratio] ] &gt; 0.5, Table1[[#This Row],[dpd]] &gt;=30), "high risk", " not riskY")</f>
        <v>high risk</v>
      </c>
      <c r="AP400" s="29">
        <f>EOMONTH(Table1[[#This Row],[origination_date]],0)</f>
        <v>44865</v>
      </c>
      <c r="AQ400" s="19">
        <f>SUMIFS(Table1[loan_amount],Table1[origination month],Table1[[#This Row],[origination month]])</f>
        <v>16527000</v>
      </c>
      <c r="AR400" s="19">
        <f>AVERAGEIFS(Table1[months_on_book],Table1[product],Table1[[#This Row],[product]])</f>
        <v>21.962962962962962</v>
      </c>
      <c r="AS400" s="19" t="str">
        <f ca="1">IF(EDATE(Table1[[#This Row],[origination_date]],6) &gt;= TODAY(), "New Loan", "Old Loan")</f>
        <v>Old Loan</v>
      </c>
      <c r="AT400" s="19" t="str">
        <f>"Q"&amp;ROUNDUP(MONTH(Table1[[#This Row],[origination_date]])/3,0)&amp;YEAR(Table1[[#This Row],[origination_date]])</f>
        <v>Q42022</v>
      </c>
      <c r="AU400" s="19">
        <f>SUMIFS(Table1[loan_amount],Table1[quarter],Table1[[#This Row],[quarter]])</f>
        <v>51169300</v>
      </c>
    </row>
    <row r="401" spans="2:47" x14ac:dyDescent="0.2">
      <c r="B401" s="5" t="s">
        <v>252</v>
      </c>
      <c r="C401" s="2" t="s">
        <v>752</v>
      </c>
      <c r="D401" s="3">
        <v>44896</v>
      </c>
      <c r="E401" s="2" t="s">
        <v>1028</v>
      </c>
      <c r="F401" s="2" t="s">
        <v>1029</v>
      </c>
      <c r="G401" s="2" t="s">
        <v>1034</v>
      </c>
      <c r="H401" s="2" t="s">
        <v>1038</v>
      </c>
      <c r="I401" s="2">
        <v>48</v>
      </c>
      <c r="J401" s="2">
        <v>1117800</v>
      </c>
      <c r="K401" s="2">
        <v>14.57</v>
      </c>
      <c r="L401" s="2">
        <v>30866</v>
      </c>
      <c r="M401" s="2">
        <v>891026</v>
      </c>
      <c r="N401" s="2">
        <v>658</v>
      </c>
      <c r="O401" s="2" t="s">
        <v>1042</v>
      </c>
      <c r="P401" s="2">
        <v>0.33</v>
      </c>
      <c r="Q401" s="2">
        <v>0.9</v>
      </c>
      <c r="R401" s="2">
        <v>0</v>
      </c>
      <c r="S401" s="2">
        <v>36</v>
      </c>
      <c r="T401" s="2">
        <v>1067590</v>
      </c>
      <c r="U401" s="2">
        <v>245646</v>
      </c>
      <c r="V401" s="2">
        <v>0</v>
      </c>
      <c r="W401" s="2">
        <v>0</v>
      </c>
      <c r="X401" s="2">
        <v>0</v>
      </c>
      <c r="Y401" s="2" t="s">
        <v>1049</v>
      </c>
      <c r="Z401" s="12">
        <f>SUMIF(Table1[product],Table1[[#This Row],[product]],Table1[loan_amount])</f>
        <v>62765800</v>
      </c>
      <c r="AA401" s="15">
        <f>SUMIF(Table1[region],Table1[[#This Row],[region]],Table1[current_balance])</f>
        <v>105779369</v>
      </c>
      <c r="AB401" s="2">
        <f>COUNTIF(Table1[loan_status],Table1[[#This Row],[loan_status]])</f>
        <v>301</v>
      </c>
      <c r="AC401" s="2">
        <f>COUNTIF(Table1[default_flag],1)/ROWS(Table1[loan_id])</f>
        <v>2.5999999999999999E-2</v>
      </c>
      <c r="AD401" s="2">
        <f>COUNTIFS(Table1[region],Table1[[#This Row],[region]],Table1[default_flag],1)/COUNTIF(Table1[region],Table1[[#This Row],[region]])</f>
        <v>2.6548672566371681E-2</v>
      </c>
      <c r="AE401" s="2">
        <f>COUNTIFS(Table1[channel],Table1[[#This Row],[channel]],Table1[prepayment_flag],1)/COUNTIF(Table1[channel],Table1[[#This Row],[channel]])</f>
        <v>7.1090047393364927E-2</v>
      </c>
      <c r="AF401" s="2">
        <f>AVERAGEIFS(Table1[interest_rate_pct],Table1[product],Table1[[#This Row],[product]],Table1[risk_band],Table1[[#This Row],[risk_band]])</f>
        <v>13.463888888888889</v>
      </c>
      <c r="AG401" s="2" t="str" cm="1">
        <f t="array" ref="AG401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401" s="2">
        <f>COUNTIF(Table1[DTI band],Table1[[#This Row],[DTI band]])</f>
        <v>260</v>
      </c>
      <c r="AI401" s="2" t="str" cm="1">
        <f t="array" ref="AI401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401" s="2">
        <f>COUNTIF(Table1[LTV band],Table1[[#This Row],[LTV band]])</f>
        <v>141</v>
      </c>
      <c r="AK401" s="19">
        <f>COUNTIFS(Table1[count_loan_perband],Table1[[#This Row],[count_loan_perband]],Table1[default_flag],1)/COUNTIF(Table1[count_loan_perband],Table1[[#This Row],[count_loan_perband]])</f>
        <v>1.4184397163120567E-2</v>
      </c>
      <c r="AL401" s="19" t="str" cm="1">
        <f t="array" ref="AL401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401" s="19">
        <f>IF(Table1[[#This Row],[dpd]] &gt;=30,1,0)</f>
        <v>0</v>
      </c>
      <c r="AN401" s="19">
        <f>COUNTIFS(Table1[Loan size],Table1[[#This Row],[Loan size]],Table1[dpd flag],1)/COUNTIF(Table1[Loan size],Table1[[#This Row],[Loan size]])</f>
        <v>0.15909090909090909</v>
      </c>
      <c r="AO401" s="19" t="str">
        <f>IF(OR(Table1[[#This Row],[credit_score]] &lt; 600, Table1[ [#This Row],[dti_ratio] ] &gt; 0.5, Table1[[#This Row],[dpd]] &gt;=30), "high risk", " not riskY")</f>
        <v xml:space="preserve"> not riskY</v>
      </c>
      <c r="AP401" s="29">
        <f>EOMONTH(Table1[[#This Row],[origination_date]],0)</f>
        <v>44926</v>
      </c>
      <c r="AQ401" s="19">
        <f>SUMIFS(Table1[loan_amount],Table1[origination month],Table1[[#This Row],[origination month]])</f>
        <v>18330100</v>
      </c>
      <c r="AR401" s="19">
        <f>AVERAGEIFS(Table1[months_on_book],Table1[product],Table1[[#This Row],[product]])</f>
        <v>21.962962962962962</v>
      </c>
      <c r="AS401" s="19" t="str">
        <f ca="1">IF(EDATE(Table1[[#This Row],[origination_date]],6) &gt;= TODAY(), "New Loan", "Old Loan")</f>
        <v>Old Loan</v>
      </c>
      <c r="AT401" s="19" t="str">
        <f>"Q"&amp;ROUNDUP(MONTH(Table1[[#This Row],[origination_date]])/3,0)&amp;YEAR(Table1[[#This Row],[origination_date]])</f>
        <v>Q42022</v>
      </c>
      <c r="AU401" s="19">
        <f>SUMIFS(Table1[loan_amount],Table1[quarter],Table1[[#This Row],[quarter]])</f>
        <v>51169300</v>
      </c>
    </row>
    <row r="402" spans="2:47" x14ac:dyDescent="0.2">
      <c r="B402" s="5" t="s">
        <v>489</v>
      </c>
      <c r="C402" s="2" t="s">
        <v>989</v>
      </c>
      <c r="D402" s="3">
        <v>44879</v>
      </c>
      <c r="E402" s="2" t="s">
        <v>1028</v>
      </c>
      <c r="F402" s="2" t="s">
        <v>1030</v>
      </c>
      <c r="G402" s="2" t="s">
        <v>1033</v>
      </c>
      <c r="H402" s="2" t="s">
        <v>1041</v>
      </c>
      <c r="I402" s="2">
        <v>72</v>
      </c>
      <c r="J402" s="2">
        <v>2151300</v>
      </c>
      <c r="K402" s="2">
        <v>15.14</v>
      </c>
      <c r="L402" s="2">
        <v>45653</v>
      </c>
      <c r="M402" s="2">
        <v>1200024</v>
      </c>
      <c r="N402" s="2">
        <v>653</v>
      </c>
      <c r="O402" s="2" t="s">
        <v>1042</v>
      </c>
      <c r="P402" s="2">
        <v>0.31</v>
      </c>
      <c r="Q402" s="2">
        <v>0.63</v>
      </c>
      <c r="R402" s="2">
        <v>0</v>
      </c>
      <c r="S402" s="2">
        <v>37</v>
      </c>
      <c r="T402" s="2">
        <v>1521370</v>
      </c>
      <c r="U402" s="2">
        <v>1031635</v>
      </c>
      <c r="V402" s="2">
        <v>90</v>
      </c>
      <c r="W402" s="2">
        <v>0</v>
      </c>
      <c r="X402" s="2">
        <v>1</v>
      </c>
      <c r="Y402" s="2" t="s">
        <v>1050</v>
      </c>
      <c r="Z402" s="12">
        <f>SUMIF(Table1[product],Table1[[#This Row],[product]],Table1[loan_amount])</f>
        <v>62765800</v>
      </c>
      <c r="AA402" s="15">
        <f>SUMIF(Table1[region],Table1[[#This Row],[region]],Table1[current_balance])</f>
        <v>83297251</v>
      </c>
      <c r="AB402" s="2">
        <f>COUNTIF(Table1[loan_status],Table1[[#This Row],[loan_status]])</f>
        <v>13</v>
      </c>
      <c r="AC402" s="2">
        <f>COUNTIF(Table1[default_flag],1)/ROWS(Table1[loan_id])</f>
        <v>2.5999999999999999E-2</v>
      </c>
      <c r="AD402" s="2">
        <f>COUNTIFS(Table1[region],Table1[[#This Row],[region]],Table1[default_flag],1)/COUNTIF(Table1[region],Table1[[#This Row],[region]])</f>
        <v>3.1914893617021274E-2</v>
      </c>
      <c r="AE402" s="2">
        <f>COUNTIFS(Table1[channel],Table1[[#This Row],[channel]],Table1[prepayment_flag],1)/COUNTIF(Table1[channel],Table1[[#This Row],[channel]])</f>
        <v>5.8201058201058198E-2</v>
      </c>
      <c r="AF402" s="2">
        <f>AVERAGEIFS(Table1[interest_rate_pct],Table1[product],Table1[[#This Row],[product]],Table1[risk_band],Table1[[#This Row],[risk_band]])</f>
        <v>13.463888888888889</v>
      </c>
      <c r="AG402" s="2" t="str" cm="1">
        <f t="array" ref="AG402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402" s="2">
        <f>COUNTIF(Table1[DTI band],Table1[[#This Row],[DTI band]])</f>
        <v>260</v>
      </c>
      <c r="AI402" s="2" t="str" cm="1">
        <f t="array" ref="AI402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402" s="2">
        <f>COUNTIF(Table1[LTV band],Table1[[#This Row],[LTV band]])</f>
        <v>302</v>
      </c>
      <c r="AK402" s="19">
        <f>COUNTIFS(Table1[count_loan_perband],Table1[[#This Row],[count_loan_perband]],Table1[default_flag],1)/COUNTIF(Table1[count_loan_perband],Table1[[#This Row],[count_loan_perband]])</f>
        <v>3.6423841059602648E-2</v>
      </c>
      <c r="AL402" s="19" t="str" cm="1">
        <f t="array" ref="AL402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402" s="19">
        <f>IF(Table1[[#This Row],[dpd]] &gt;=30,1,0)</f>
        <v>1</v>
      </c>
      <c r="AN402" s="19">
        <f>COUNTIFS(Table1[Loan size],Table1[[#This Row],[Loan size]],Table1[dpd flag],1)/COUNTIF(Table1[Loan size],Table1[[#This Row],[Loan size]])</f>
        <v>0.15909090909090909</v>
      </c>
      <c r="AO402" s="19" t="str">
        <f>IF(OR(Table1[[#This Row],[credit_score]] &lt; 600, Table1[ [#This Row],[dti_ratio] ] &gt; 0.5, Table1[[#This Row],[dpd]] &gt;=30), "high risk", " not riskY")</f>
        <v>high risk</v>
      </c>
      <c r="AP402" s="29">
        <f>EOMONTH(Table1[[#This Row],[origination_date]],0)</f>
        <v>44895</v>
      </c>
      <c r="AQ402" s="19">
        <f>SUMIFS(Table1[loan_amount],Table1[origination month],Table1[[#This Row],[origination month]])</f>
        <v>16312200</v>
      </c>
      <c r="AR402" s="19">
        <f>AVERAGEIFS(Table1[months_on_book],Table1[product],Table1[[#This Row],[product]])</f>
        <v>21.962962962962962</v>
      </c>
      <c r="AS402" s="19" t="str">
        <f ca="1">IF(EDATE(Table1[[#This Row],[origination_date]],6) &gt;= TODAY(), "New Loan", "Old Loan")</f>
        <v>Old Loan</v>
      </c>
      <c r="AT402" s="19" t="str">
        <f>"Q"&amp;ROUNDUP(MONTH(Table1[[#This Row],[origination_date]])/3,0)&amp;YEAR(Table1[[#This Row],[origination_date]])</f>
        <v>Q42022</v>
      </c>
      <c r="AU402" s="19">
        <f>SUMIFS(Table1[loan_amount],Table1[quarter],Table1[[#This Row],[quarter]])</f>
        <v>51169300</v>
      </c>
    </row>
    <row r="403" spans="2:47" x14ac:dyDescent="0.2">
      <c r="B403" s="5" t="s">
        <v>397</v>
      </c>
      <c r="C403" s="2" t="s">
        <v>897</v>
      </c>
      <c r="D403" s="3">
        <v>44902</v>
      </c>
      <c r="E403" s="2" t="s">
        <v>1027</v>
      </c>
      <c r="F403" s="2" t="s">
        <v>1030</v>
      </c>
      <c r="G403" s="2" t="s">
        <v>1033</v>
      </c>
      <c r="H403" s="2" t="s">
        <v>1039</v>
      </c>
      <c r="I403" s="2">
        <v>48</v>
      </c>
      <c r="J403" s="2">
        <v>3168700</v>
      </c>
      <c r="K403" s="2">
        <v>7</v>
      </c>
      <c r="L403" s="2">
        <v>75878</v>
      </c>
      <c r="M403" s="2">
        <v>1005790</v>
      </c>
      <c r="N403" s="2">
        <v>756</v>
      </c>
      <c r="O403" s="2" t="s">
        <v>1043</v>
      </c>
      <c r="P403" s="2">
        <v>0.3</v>
      </c>
      <c r="Q403" s="2">
        <v>0.89</v>
      </c>
      <c r="R403" s="2">
        <v>3576900</v>
      </c>
      <c r="S403" s="2">
        <v>36</v>
      </c>
      <c r="T403" s="2">
        <v>2499931</v>
      </c>
      <c r="U403" s="2">
        <v>934940</v>
      </c>
      <c r="V403" s="2">
        <v>0</v>
      </c>
      <c r="W403" s="2">
        <v>0</v>
      </c>
      <c r="X403" s="2">
        <v>0</v>
      </c>
      <c r="Y403" s="2" t="s">
        <v>1049</v>
      </c>
      <c r="Z403" s="12">
        <f>SUMIF(Table1[product],Table1[[#This Row],[product]],Table1[loan_amount])</f>
        <v>403369500</v>
      </c>
      <c r="AA403" s="15">
        <f>SUMIF(Table1[region],Table1[[#This Row],[region]],Table1[current_balance])</f>
        <v>83297251</v>
      </c>
      <c r="AB403" s="2">
        <f>COUNTIF(Table1[loan_status],Table1[[#This Row],[loan_status]])</f>
        <v>301</v>
      </c>
      <c r="AC403" s="2">
        <f>COUNTIF(Table1[default_flag],1)/ROWS(Table1[loan_id])</f>
        <v>2.5999999999999999E-2</v>
      </c>
      <c r="AD403" s="2">
        <f>COUNTIFS(Table1[region],Table1[[#This Row],[region]],Table1[default_flag],1)/COUNTIF(Table1[region],Table1[[#This Row],[region]])</f>
        <v>3.1914893617021274E-2</v>
      </c>
      <c r="AE403" s="2">
        <f>COUNTIFS(Table1[channel],Table1[[#This Row],[channel]],Table1[prepayment_flag],1)/COUNTIF(Table1[channel],Table1[[#This Row],[channel]])</f>
        <v>5.8201058201058198E-2</v>
      </c>
      <c r="AF403" s="2">
        <f>AVERAGEIFS(Table1[interest_rate_pct],Table1[product],Table1[[#This Row],[product]],Table1[risk_band],Table1[[#This Row],[risk_band]])</f>
        <v>7.1876190476190471</v>
      </c>
      <c r="AG403" s="2" t="str" cm="1">
        <f t="array" ref="AG403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403" s="2">
        <f>COUNTIF(Table1[DTI band],Table1[[#This Row],[DTI band]])</f>
        <v>260</v>
      </c>
      <c r="AI403" s="2" t="str" cm="1">
        <f t="array" ref="AI403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403" s="2">
        <f>COUNTIF(Table1[LTV band],Table1[[#This Row],[LTV band]])</f>
        <v>141</v>
      </c>
      <c r="AK403" s="19">
        <f>COUNTIFS(Table1[count_loan_perband],Table1[[#This Row],[count_loan_perband]],Table1[default_flag],1)/COUNTIF(Table1[count_loan_perband],Table1[[#This Row],[count_loan_perband]])</f>
        <v>1.4184397163120567E-2</v>
      </c>
      <c r="AL403" s="19" t="str" cm="1">
        <f t="array" ref="AL403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403" s="19">
        <f>IF(Table1[[#This Row],[dpd]] &gt;=30,1,0)</f>
        <v>0</v>
      </c>
      <c r="AN403" s="19">
        <f>COUNTIFS(Table1[Loan size],Table1[[#This Row],[Loan size]],Table1[dpd flag],1)/COUNTIF(Table1[Loan size],Table1[[#This Row],[Loan size]])</f>
        <v>0.15909090909090909</v>
      </c>
      <c r="AO403" s="19" t="str">
        <f>IF(OR(Table1[[#This Row],[credit_score]] &lt; 600, Table1[ [#This Row],[dti_ratio] ] &gt; 0.5, Table1[[#This Row],[dpd]] &gt;=30), "high risk", " not riskY")</f>
        <v xml:space="preserve"> not riskY</v>
      </c>
      <c r="AP403" s="29">
        <f>EOMONTH(Table1[[#This Row],[origination_date]],0)</f>
        <v>44926</v>
      </c>
      <c r="AQ403" s="19">
        <f>SUMIFS(Table1[loan_amount],Table1[origination month],Table1[[#This Row],[origination month]])</f>
        <v>18330100</v>
      </c>
      <c r="AR403" s="19">
        <f>AVERAGEIFS(Table1[months_on_book],Table1[product],Table1[[#This Row],[product]])</f>
        <v>20.516129032258064</v>
      </c>
      <c r="AS403" s="19" t="str">
        <f ca="1">IF(EDATE(Table1[[#This Row],[origination_date]],6) &gt;= TODAY(), "New Loan", "Old Loan")</f>
        <v>Old Loan</v>
      </c>
      <c r="AT403" s="19" t="str">
        <f>"Q"&amp;ROUNDUP(MONTH(Table1[[#This Row],[origination_date]])/3,0)&amp;YEAR(Table1[[#This Row],[origination_date]])</f>
        <v>Q42022</v>
      </c>
      <c r="AU403" s="19">
        <f>SUMIFS(Table1[loan_amount],Table1[quarter],Table1[[#This Row],[quarter]])</f>
        <v>51169300</v>
      </c>
    </row>
    <row r="404" spans="2:47" x14ac:dyDescent="0.2">
      <c r="B404" s="5" t="s">
        <v>193</v>
      </c>
      <c r="C404" s="2" t="s">
        <v>693</v>
      </c>
      <c r="D404" s="3">
        <v>44837</v>
      </c>
      <c r="E404" s="2" t="s">
        <v>1027</v>
      </c>
      <c r="F404" s="2" t="s">
        <v>1029</v>
      </c>
      <c r="G404" s="2" t="s">
        <v>1035</v>
      </c>
      <c r="H404" s="2" t="s">
        <v>1038</v>
      </c>
      <c r="I404" s="2">
        <v>120</v>
      </c>
      <c r="J404" s="2">
        <v>2844400</v>
      </c>
      <c r="K404" s="2">
        <v>13.98</v>
      </c>
      <c r="L404" s="2">
        <v>44130</v>
      </c>
      <c r="M404" s="2">
        <v>165278</v>
      </c>
      <c r="N404" s="2">
        <v>661</v>
      </c>
      <c r="O404" s="2" t="s">
        <v>1042</v>
      </c>
      <c r="P404" s="2">
        <v>0.28999999999999998</v>
      </c>
      <c r="Q404" s="2">
        <v>0.85</v>
      </c>
      <c r="R404" s="2">
        <v>3336300</v>
      </c>
      <c r="S404" s="2">
        <v>38</v>
      </c>
      <c r="T404" s="2">
        <v>1658093</v>
      </c>
      <c r="U404" s="2">
        <v>1689993</v>
      </c>
      <c r="V404" s="2">
        <v>120</v>
      </c>
      <c r="W404" s="2">
        <v>0</v>
      </c>
      <c r="X404" s="2">
        <v>1</v>
      </c>
      <c r="Y404" s="2" t="s">
        <v>1050</v>
      </c>
      <c r="Z404" s="12">
        <f>SUMIF(Table1[product],Table1[[#This Row],[product]],Table1[loan_amount])</f>
        <v>403369500</v>
      </c>
      <c r="AA404" s="15">
        <f>SUMIF(Table1[region],Table1[[#This Row],[region]],Table1[current_balance])</f>
        <v>83903255</v>
      </c>
      <c r="AB404" s="2">
        <f>COUNTIF(Table1[loan_status],Table1[[#This Row],[loan_status]])</f>
        <v>13</v>
      </c>
      <c r="AC404" s="2">
        <f>COUNTIF(Table1[default_flag],1)/ROWS(Table1[loan_id])</f>
        <v>2.5999999999999999E-2</v>
      </c>
      <c r="AD404" s="2">
        <f>COUNTIFS(Table1[region],Table1[[#This Row],[region]],Table1[default_flag],1)/COUNTIF(Table1[region],Table1[[#This Row],[region]])</f>
        <v>4.2553191489361701E-2</v>
      </c>
      <c r="AE404" s="2">
        <f>COUNTIFS(Table1[channel],Table1[[#This Row],[channel]],Table1[prepayment_flag],1)/COUNTIF(Table1[channel],Table1[[#This Row],[channel]])</f>
        <v>7.1090047393364927E-2</v>
      </c>
      <c r="AF404" s="2">
        <f>AVERAGEIFS(Table1[interest_rate_pct],Table1[product],Table1[[#This Row],[product]],Table1[risk_band],Table1[[#This Row],[risk_band]])</f>
        <v>11.719736842105268</v>
      </c>
      <c r="AG404" s="2" t="str" cm="1">
        <f t="array" ref="AG404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404" s="2">
        <f>COUNTIF(Table1[DTI band],Table1[[#This Row],[DTI band]])</f>
        <v>122</v>
      </c>
      <c r="AI404" s="2" t="str" cm="1">
        <f t="array" ref="AI404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404" s="2">
        <f>COUNTIF(Table1[LTV band],Table1[[#This Row],[LTV band]])</f>
        <v>141</v>
      </c>
      <c r="AK404" s="19">
        <f>COUNTIFS(Table1[count_loan_perband],Table1[[#This Row],[count_loan_perband]],Table1[default_flag],1)/COUNTIF(Table1[count_loan_perband],Table1[[#This Row],[count_loan_perband]])</f>
        <v>1.4184397163120567E-2</v>
      </c>
      <c r="AL404" s="19" t="str" cm="1">
        <f t="array" ref="AL404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404" s="19">
        <f>IF(Table1[[#This Row],[dpd]] &gt;=30,1,0)</f>
        <v>1</v>
      </c>
      <c r="AN404" s="19">
        <f>COUNTIFS(Table1[Loan size],Table1[[#This Row],[Loan size]],Table1[dpd flag],1)/COUNTIF(Table1[Loan size],Table1[[#This Row],[Loan size]])</f>
        <v>0.15909090909090909</v>
      </c>
      <c r="AO404" s="19" t="str">
        <f>IF(OR(Table1[[#This Row],[credit_score]] &lt; 600, Table1[ [#This Row],[dti_ratio] ] &gt; 0.5, Table1[[#This Row],[dpd]] &gt;=30), "high risk", " not riskY")</f>
        <v>high risk</v>
      </c>
      <c r="AP404" s="29">
        <f>EOMONTH(Table1[[#This Row],[origination_date]],0)</f>
        <v>44865</v>
      </c>
      <c r="AQ404" s="19">
        <f>SUMIFS(Table1[loan_amount],Table1[origination month],Table1[[#This Row],[origination month]])</f>
        <v>16527000</v>
      </c>
      <c r="AR404" s="19">
        <f>AVERAGEIFS(Table1[months_on_book],Table1[product],Table1[[#This Row],[product]])</f>
        <v>20.516129032258064</v>
      </c>
      <c r="AS404" s="19" t="str">
        <f ca="1">IF(EDATE(Table1[[#This Row],[origination_date]],6) &gt;= TODAY(), "New Loan", "Old Loan")</f>
        <v>Old Loan</v>
      </c>
      <c r="AT404" s="19" t="str">
        <f>"Q"&amp;ROUNDUP(MONTH(Table1[[#This Row],[origination_date]])/3,0)&amp;YEAR(Table1[[#This Row],[origination_date]])</f>
        <v>Q42022</v>
      </c>
      <c r="AU404" s="19">
        <f>SUMIFS(Table1[loan_amount],Table1[quarter],Table1[[#This Row],[quarter]])</f>
        <v>51169300</v>
      </c>
    </row>
    <row r="405" spans="2:47" x14ac:dyDescent="0.2">
      <c r="B405" s="5" t="s">
        <v>304</v>
      </c>
      <c r="C405" s="2" t="s">
        <v>804</v>
      </c>
      <c r="D405" s="3">
        <v>44926</v>
      </c>
      <c r="E405" s="2" t="s">
        <v>1026</v>
      </c>
      <c r="F405" s="2" t="s">
        <v>1030</v>
      </c>
      <c r="G405" s="2" t="s">
        <v>1033</v>
      </c>
      <c r="H405" s="2" t="s">
        <v>1038</v>
      </c>
      <c r="I405" s="2">
        <v>36</v>
      </c>
      <c r="J405" s="2">
        <v>633800</v>
      </c>
      <c r="K405" s="2">
        <v>13.57</v>
      </c>
      <c r="L405" s="2">
        <v>21530</v>
      </c>
      <c r="M405" s="2">
        <v>1037024</v>
      </c>
      <c r="N405" s="2">
        <v>765</v>
      </c>
      <c r="O405" s="2" t="s">
        <v>1043</v>
      </c>
      <c r="P405" s="2">
        <v>0.28999999999999998</v>
      </c>
      <c r="Q405" s="2">
        <v>0.71</v>
      </c>
      <c r="R405" s="2">
        <v>0</v>
      </c>
      <c r="S405" s="2">
        <v>36</v>
      </c>
      <c r="T405" s="2">
        <v>687111</v>
      </c>
      <c r="U405" s="2">
        <v>49897</v>
      </c>
      <c r="V405" s="2">
        <v>0</v>
      </c>
      <c r="W405" s="2">
        <v>0</v>
      </c>
      <c r="X405" s="2">
        <v>0</v>
      </c>
      <c r="Y405" s="2" t="s">
        <v>1047</v>
      </c>
      <c r="Z405" s="12">
        <f>SUMIF(Table1[product],Table1[[#This Row],[product]],Table1[loan_amount])</f>
        <v>74897600</v>
      </c>
      <c r="AA405" s="15">
        <f>SUMIF(Table1[region],Table1[[#This Row],[region]],Table1[current_balance])</f>
        <v>83297251</v>
      </c>
      <c r="AB405" s="2">
        <f>COUNTIF(Table1[loan_status],Table1[[#This Row],[loan_status]])</f>
        <v>139</v>
      </c>
      <c r="AC405" s="2">
        <f>COUNTIF(Table1[default_flag],1)/ROWS(Table1[loan_id])</f>
        <v>2.5999999999999999E-2</v>
      </c>
      <c r="AD405" s="2">
        <f>COUNTIFS(Table1[region],Table1[[#This Row],[region]],Table1[default_flag],1)/COUNTIF(Table1[region],Table1[[#This Row],[region]])</f>
        <v>3.1914893617021274E-2</v>
      </c>
      <c r="AE405" s="2">
        <f>COUNTIFS(Table1[channel],Table1[[#This Row],[channel]],Table1[prepayment_flag],1)/COUNTIF(Table1[channel],Table1[[#This Row],[channel]])</f>
        <v>5.8201058201058198E-2</v>
      </c>
      <c r="AF405" s="2">
        <f>AVERAGEIFS(Table1[interest_rate_pct],Table1[product],Table1[[#This Row],[product]],Table1[risk_band],Table1[[#This Row],[risk_band]])</f>
        <v>13.328333333333335</v>
      </c>
      <c r="AG405" s="2" t="str" cm="1">
        <f t="array" ref="AG405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405" s="2">
        <f>COUNTIF(Table1[DTI band],Table1[[#This Row],[DTI band]])</f>
        <v>122</v>
      </c>
      <c r="AI405" s="2" t="str" cm="1">
        <f t="array" ref="AI405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405" s="2">
        <f>COUNTIF(Table1[LTV band],Table1[[#This Row],[LTV band]])</f>
        <v>302</v>
      </c>
      <c r="AK405" s="19">
        <f>COUNTIFS(Table1[count_loan_perband],Table1[[#This Row],[count_loan_perband]],Table1[default_flag],1)/COUNTIF(Table1[count_loan_perband],Table1[[#This Row],[count_loan_perband]])</f>
        <v>3.6423841059602648E-2</v>
      </c>
      <c r="AL405" s="19" t="str" cm="1">
        <f t="array" ref="AL405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405" s="19">
        <f>IF(Table1[[#This Row],[dpd]] &gt;=30,1,0)</f>
        <v>0</v>
      </c>
      <c r="AN405" s="19">
        <f>COUNTIFS(Table1[Loan size],Table1[[#This Row],[Loan size]],Table1[dpd flag],1)/COUNTIF(Table1[Loan size],Table1[[#This Row],[Loan size]])</f>
        <v>0.13934426229508196</v>
      </c>
      <c r="AO405" s="19" t="str">
        <f>IF(OR(Table1[[#This Row],[credit_score]] &lt; 600, Table1[ [#This Row],[dti_ratio] ] &gt; 0.5, Table1[[#This Row],[dpd]] &gt;=30), "high risk", " not riskY")</f>
        <v xml:space="preserve"> not riskY</v>
      </c>
      <c r="AP405" s="29">
        <f>EOMONTH(Table1[[#This Row],[origination_date]],0)</f>
        <v>44926</v>
      </c>
      <c r="AQ405" s="19">
        <f>SUMIFS(Table1[loan_amount],Table1[origination month],Table1[[#This Row],[origination month]])</f>
        <v>18330100</v>
      </c>
      <c r="AR405" s="19">
        <f>AVERAGEIFS(Table1[months_on_book],Table1[product],Table1[[#This Row],[product]])</f>
        <v>21.092024539877301</v>
      </c>
      <c r="AS405" s="19" t="str">
        <f ca="1">IF(EDATE(Table1[[#This Row],[origination_date]],6) &gt;= TODAY(), "New Loan", "Old Loan")</f>
        <v>Old Loan</v>
      </c>
      <c r="AT405" s="19" t="str">
        <f>"Q"&amp;ROUNDUP(MONTH(Table1[[#This Row],[origination_date]])/3,0)&amp;YEAR(Table1[[#This Row],[origination_date]])</f>
        <v>Q42022</v>
      </c>
      <c r="AU405" s="19">
        <f>SUMIFS(Table1[loan_amount],Table1[quarter],Table1[[#This Row],[quarter]])</f>
        <v>51169300</v>
      </c>
    </row>
    <row r="406" spans="2:47" x14ac:dyDescent="0.2">
      <c r="B406" s="5" t="s">
        <v>341</v>
      </c>
      <c r="C406" s="2" t="s">
        <v>841</v>
      </c>
      <c r="D406" s="3">
        <v>44894</v>
      </c>
      <c r="E406" s="2" t="s">
        <v>1026</v>
      </c>
      <c r="F406" s="2" t="s">
        <v>1030</v>
      </c>
      <c r="G406" s="2" t="s">
        <v>1037</v>
      </c>
      <c r="H406" s="2" t="s">
        <v>1038</v>
      </c>
      <c r="I406" s="2">
        <v>48</v>
      </c>
      <c r="J406" s="2">
        <v>438900</v>
      </c>
      <c r="K406" s="2">
        <v>20.440000000000001</v>
      </c>
      <c r="L406" s="2">
        <v>13459</v>
      </c>
      <c r="M406" s="2">
        <v>766987</v>
      </c>
      <c r="N406" s="2">
        <v>616</v>
      </c>
      <c r="O406" s="2" t="s">
        <v>1045</v>
      </c>
      <c r="P406" s="2">
        <v>0.28999999999999998</v>
      </c>
      <c r="Q406" s="2">
        <v>0.79</v>
      </c>
      <c r="R406" s="2">
        <v>0</v>
      </c>
      <c r="S406" s="2">
        <v>37</v>
      </c>
      <c r="T406" s="2">
        <v>462045</v>
      </c>
      <c r="U406" s="2">
        <v>87499</v>
      </c>
      <c r="V406" s="2">
        <v>60</v>
      </c>
      <c r="W406" s="2">
        <v>0</v>
      </c>
      <c r="X406" s="2">
        <v>0</v>
      </c>
      <c r="Y406" s="2" t="s">
        <v>1048</v>
      </c>
      <c r="Z406" s="12">
        <f>SUMIF(Table1[product],Table1[[#This Row],[product]],Table1[loan_amount])</f>
        <v>74897600</v>
      </c>
      <c r="AA406" s="15">
        <f>SUMIF(Table1[region],Table1[[#This Row],[region]],Table1[current_balance])</f>
        <v>94548000</v>
      </c>
      <c r="AB406" s="2">
        <f>COUNTIF(Table1[loan_status],Table1[[#This Row],[loan_status]])</f>
        <v>47</v>
      </c>
      <c r="AC406" s="2">
        <f>COUNTIF(Table1[default_flag],1)/ROWS(Table1[loan_id])</f>
        <v>2.5999999999999999E-2</v>
      </c>
      <c r="AD406" s="2">
        <f>COUNTIFS(Table1[region],Table1[[#This Row],[region]],Table1[default_flag],1)/COUNTIF(Table1[region],Table1[[#This Row],[region]])</f>
        <v>0</v>
      </c>
      <c r="AE406" s="2">
        <f>COUNTIFS(Table1[channel],Table1[[#This Row],[channel]],Table1[prepayment_flag],1)/COUNTIF(Table1[channel],Table1[[#This Row],[channel]])</f>
        <v>5.8201058201058198E-2</v>
      </c>
      <c r="AF406" s="2">
        <f>AVERAGEIFS(Table1[interest_rate_pct],Table1[product],Table1[[#This Row],[product]],Table1[risk_band],Table1[[#This Row],[risk_band]])</f>
        <v>20.962592592592593</v>
      </c>
      <c r="AG406" s="2" t="str" cm="1">
        <f t="array" ref="AG406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406" s="2">
        <f>COUNTIF(Table1[DTI band],Table1[[#This Row],[DTI band]])</f>
        <v>122</v>
      </c>
      <c r="AI406" s="2" t="str" cm="1">
        <f t="array" ref="AI406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406" s="2">
        <f>COUNTIF(Table1[LTV band],Table1[[#This Row],[LTV band]])</f>
        <v>302</v>
      </c>
      <c r="AK406" s="19">
        <f>COUNTIFS(Table1[count_loan_perband],Table1[[#This Row],[count_loan_perband]],Table1[default_flag],1)/COUNTIF(Table1[count_loan_perband],Table1[[#This Row],[count_loan_perband]])</f>
        <v>3.6423841059602648E-2</v>
      </c>
      <c r="AL406" s="19" t="str" cm="1">
        <f t="array" ref="AL406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406" s="19">
        <f>IF(Table1[[#This Row],[dpd]] &gt;=30,1,0)</f>
        <v>1</v>
      </c>
      <c r="AN406" s="19">
        <f>COUNTIFS(Table1[Loan size],Table1[[#This Row],[Loan size]],Table1[dpd flag],1)/COUNTIF(Table1[Loan size],Table1[[#This Row],[Loan size]])</f>
        <v>0.13934426229508196</v>
      </c>
      <c r="AO406" s="19" t="str">
        <f>IF(OR(Table1[[#This Row],[credit_score]] &lt; 600, Table1[ [#This Row],[dti_ratio] ] &gt; 0.5, Table1[[#This Row],[dpd]] &gt;=30), "high risk", " not riskY")</f>
        <v>high risk</v>
      </c>
      <c r="AP406" s="29">
        <f>EOMONTH(Table1[[#This Row],[origination_date]],0)</f>
        <v>44895</v>
      </c>
      <c r="AQ406" s="19">
        <f>SUMIFS(Table1[loan_amount],Table1[origination month],Table1[[#This Row],[origination month]])</f>
        <v>16312200</v>
      </c>
      <c r="AR406" s="19">
        <f>AVERAGEIFS(Table1[months_on_book],Table1[product],Table1[[#This Row],[product]])</f>
        <v>21.092024539877301</v>
      </c>
      <c r="AS406" s="19" t="str">
        <f ca="1">IF(EDATE(Table1[[#This Row],[origination_date]],6) &gt;= TODAY(), "New Loan", "Old Loan")</f>
        <v>Old Loan</v>
      </c>
      <c r="AT406" s="19" t="str">
        <f>"Q"&amp;ROUNDUP(MONTH(Table1[[#This Row],[origination_date]])/3,0)&amp;YEAR(Table1[[#This Row],[origination_date]])</f>
        <v>Q42022</v>
      </c>
      <c r="AU406" s="19">
        <f>SUMIFS(Table1[loan_amount],Table1[quarter],Table1[[#This Row],[quarter]])</f>
        <v>51169300</v>
      </c>
    </row>
    <row r="407" spans="2:47" x14ac:dyDescent="0.2">
      <c r="B407" s="5" t="s">
        <v>204</v>
      </c>
      <c r="C407" s="2" t="s">
        <v>704</v>
      </c>
      <c r="D407" s="3">
        <v>44870</v>
      </c>
      <c r="E407" s="2" t="s">
        <v>1024</v>
      </c>
      <c r="F407" s="2" t="s">
        <v>1029</v>
      </c>
      <c r="G407" s="2" t="s">
        <v>1033</v>
      </c>
      <c r="H407" s="2" t="s">
        <v>1038</v>
      </c>
      <c r="I407" s="2">
        <v>180</v>
      </c>
      <c r="J407" s="2">
        <v>1154800</v>
      </c>
      <c r="K407" s="2">
        <v>15.16</v>
      </c>
      <c r="L407" s="2">
        <v>16289</v>
      </c>
      <c r="M407" s="2">
        <v>1318719</v>
      </c>
      <c r="N407" s="2">
        <v>620</v>
      </c>
      <c r="O407" s="2" t="s">
        <v>1045</v>
      </c>
      <c r="P407" s="2">
        <v>0.28000000000000003</v>
      </c>
      <c r="Q407" s="2">
        <v>0.74</v>
      </c>
      <c r="R407" s="2">
        <v>1552600</v>
      </c>
      <c r="S407" s="2">
        <v>37</v>
      </c>
      <c r="T407" s="2">
        <v>537390</v>
      </c>
      <c r="U407" s="2">
        <v>833327</v>
      </c>
      <c r="V407" s="2">
        <v>0</v>
      </c>
      <c r="W407" s="2">
        <v>0</v>
      </c>
      <c r="X407" s="2">
        <v>0</v>
      </c>
      <c r="Y407" s="2" t="s">
        <v>1049</v>
      </c>
      <c r="Z407" s="12">
        <f>SUMIF(Table1[product],Table1[[#This Row],[product]],Table1[loan_amount])</f>
        <v>92273000</v>
      </c>
      <c r="AA407" s="15">
        <f>SUMIF(Table1[region],Table1[[#This Row],[region]],Table1[current_balance])</f>
        <v>83297251</v>
      </c>
      <c r="AB407" s="2">
        <f>COUNTIF(Table1[loan_status],Table1[[#This Row],[loan_status]])</f>
        <v>301</v>
      </c>
      <c r="AC407" s="2">
        <f>COUNTIF(Table1[default_flag],1)/ROWS(Table1[loan_id])</f>
        <v>2.5999999999999999E-2</v>
      </c>
      <c r="AD407" s="2">
        <f>COUNTIFS(Table1[region],Table1[[#This Row],[region]],Table1[default_flag],1)/COUNTIF(Table1[region],Table1[[#This Row],[region]])</f>
        <v>3.1914893617021274E-2</v>
      </c>
      <c r="AE407" s="2">
        <f>COUNTIFS(Table1[channel],Table1[[#This Row],[channel]],Table1[prepayment_flag],1)/COUNTIF(Table1[channel],Table1[[#This Row],[channel]])</f>
        <v>7.1090047393364927E-2</v>
      </c>
      <c r="AF407" s="2">
        <f>AVERAGEIFS(Table1[interest_rate_pct],Table1[product],Table1[[#This Row],[product]],Table1[risk_band],Table1[[#This Row],[risk_band]])</f>
        <v>15.092000000000001</v>
      </c>
      <c r="AG407" s="2" t="str" cm="1">
        <f t="array" ref="AG407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407" s="2">
        <f>COUNTIF(Table1[DTI band],Table1[[#This Row],[DTI band]])</f>
        <v>122</v>
      </c>
      <c r="AI407" s="2" t="str" cm="1">
        <f t="array" ref="AI407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407" s="2">
        <f>COUNTIF(Table1[LTV band],Table1[[#This Row],[LTV band]])</f>
        <v>302</v>
      </c>
      <c r="AK407" s="19">
        <f>COUNTIFS(Table1[count_loan_perband],Table1[[#This Row],[count_loan_perband]],Table1[default_flag],1)/COUNTIF(Table1[count_loan_perband],Table1[[#This Row],[count_loan_perband]])</f>
        <v>3.6423841059602648E-2</v>
      </c>
      <c r="AL407" s="19" t="str" cm="1">
        <f t="array" ref="AL407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407" s="19">
        <f>IF(Table1[[#This Row],[dpd]] &gt;=30,1,0)</f>
        <v>0</v>
      </c>
      <c r="AN407" s="19">
        <f>COUNTIFS(Table1[Loan size],Table1[[#This Row],[Loan size]],Table1[dpd flag],1)/COUNTIF(Table1[Loan size],Table1[[#This Row],[Loan size]])</f>
        <v>0.15909090909090909</v>
      </c>
      <c r="AO407" s="19" t="str">
        <f>IF(OR(Table1[[#This Row],[credit_score]] &lt; 600, Table1[ [#This Row],[dti_ratio] ] &gt; 0.5, Table1[[#This Row],[dpd]] &gt;=30), "high risk", " not riskY")</f>
        <v xml:space="preserve"> not riskY</v>
      </c>
      <c r="AP407" s="29">
        <f>EOMONTH(Table1[[#This Row],[origination_date]],0)</f>
        <v>44895</v>
      </c>
      <c r="AQ407" s="19">
        <f>SUMIFS(Table1[loan_amount],Table1[origination month],Table1[[#This Row],[origination month]])</f>
        <v>16312200</v>
      </c>
      <c r="AR407" s="19">
        <f>AVERAGEIFS(Table1[months_on_book],Table1[product],Table1[[#This Row],[product]])</f>
        <v>20.262135922330096</v>
      </c>
      <c r="AS407" s="19" t="str">
        <f ca="1">IF(EDATE(Table1[[#This Row],[origination_date]],6) &gt;= TODAY(), "New Loan", "Old Loan")</f>
        <v>Old Loan</v>
      </c>
      <c r="AT407" s="19" t="str">
        <f>"Q"&amp;ROUNDUP(MONTH(Table1[[#This Row],[origination_date]])/3,0)&amp;YEAR(Table1[[#This Row],[origination_date]])</f>
        <v>Q42022</v>
      </c>
      <c r="AU407" s="19">
        <f>SUMIFS(Table1[loan_amount],Table1[quarter],Table1[[#This Row],[quarter]])</f>
        <v>51169300</v>
      </c>
    </row>
    <row r="408" spans="2:47" x14ac:dyDescent="0.2">
      <c r="B408" s="5" t="s">
        <v>211</v>
      </c>
      <c r="C408" s="2" t="s">
        <v>711</v>
      </c>
      <c r="D408" s="3">
        <v>44860</v>
      </c>
      <c r="E408" s="2" t="s">
        <v>1025</v>
      </c>
      <c r="F408" s="2" t="s">
        <v>1029</v>
      </c>
      <c r="G408" s="2" t="s">
        <v>1034</v>
      </c>
      <c r="H408" s="2" t="s">
        <v>1040</v>
      </c>
      <c r="I408" s="2">
        <v>36</v>
      </c>
      <c r="J408" s="2">
        <v>1677900</v>
      </c>
      <c r="K408" s="2">
        <v>16.39</v>
      </c>
      <c r="L408" s="2">
        <v>59314</v>
      </c>
      <c r="M408" s="2">
        <v>694720</v>
      </c>
      <c r="N408" s="2">
        <v>653</v>
      </c>
      <c r="O408" s="2" t="s">
        <v>1042</v>
      </c>
      <c r="P408" s="2">
        <v>0.28000000000000003</v>
      </c>
      <c r="Q408" s="2">
        <v>0.73</v>
      </c>
      <c r="R408" s="2">
        <v>2313400</v>
      </c>
      <c r="S408" s="2">
        <v>36</v>
      </c>
      <c r="T408" s="2">
        <v>2006761</v>
      </c>
      <c r="U408" s="2">
        <v>1148</v>
      </c>
      <c r="V408" s="2">
        <v>90</v>
      </c>
      <c r="W408" s="2">
        <v>0</v>
      </c>
      <c r="X408" s="2">
        <v>1</v>
      </c>
      <c r="Y408" s="2" t="s">
        <v>1050</v>
      </c>
      <c r="Z408" s="12">
        <f>SUMIF(Table1[product],Table1[[#This Row],[product]],Table1[loan_amount])</f>
        <v>201475100</v>
      </c>
      <c r="AA408" s="15">
        <f>SUMIF(Table1[region],Table1[[#This Row],[region]],Table1[current_balance])</f>
        <v>105779369</v>
      </c>
      <c r="AB408" s="2">
        <f>COUNTIF(Table1[loan_status],Table1[[#This Row],[loan_status]])</f>
        <v>13</v>
      </c>
      <c r="AC408" s="2">
        <f>COUNTIF(Table1[default_flag],1)/ROWS(Table1[loan_id])</f>
        <v>2.5999999999999999E-2</v>
      </c>
      <c r="AD408" s="2">
        <f>COUNTIFS(Table1[region],Table1[[#This Row],[region]],Table1[default_flag],1)/COUNTIF(Table1[region],Table1[[#This Row],[region]])</f>
        <v>2.6548672566371681E-2</v>
      </c>
      <c r="AE408" s="2">
        <f>COUNTIFS(Table1[channel],Table1[[#This Row],[channel]],Table1[prepayment_flag],1)/COUNTIF(Table1[channel],Table1[[#This Row],[channel]])</f>
        <v>7.1090047393364927E-2</v>
      </c>
      <c r="AF408" s="2">
        <f>AVERAGEIFS(Table1[interest_rate_pct],Table1[product],Table1[[#This Row],[product]],Table1[risk_band],Table1[[#This Row],[risk_band]])</f>
        <v>15.841379310344831</v>
      </c>
      <c r="AG408" s="2" t="str" cm="1">
        <f t="array" ref="AG408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408" s="2">
        <f>COUNTIF(Table1[DTI band],Table1[[#This Row],[DTI band]])</f>
        <v>122</v>
      </c>
      <c r="AI408" s="2" t="str" cm="1">
        <f t="array" ref="AI408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408" s="2">
        <f>COUNTIF(Table1[LTV band],Table1[[#This Row],[LTV band]])</f>
        <v>302</v>
      </c>
      <c r="AK408" s="19">
        <f>COUNTIFS(Table1[count_loan_perband],Table1[[#This Row],[count_loan_perband]],Table1[default_flag],1)/COUNTIF(Table1[count_loan_perband],Table1[[#This Row],[count_loan_perband]])</f>
        <v>3.6423841059602648E-2</v>
      </c>
      <c r="AL408" s="19" t="str" cm="1">
        <f t="array" ref="AL408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408" s="19">
        <f>IF(Table1[[#This Row],[dpd]] &gt;=30,1,0)</f>
        <v>1</v>
      </c>
      <c r="AN408" s="19">
        <f>COUNTIFS(Table1[Loan size],Table1[[#This Row],[Loan size]],Table1[dpd flag],1)/COUNTIF(Table1[Loan size],Table1[[#This Row],[Loan size]])</f>
        <v>0.15909090909090909</v>
      </c>
      <c r="AO408" s="19" t="str">
        <f>IF(OR(Table1[[#This Row],[credit_score]] &lt; 600, Table1[ [#This Row],[dti_ratio] ] &gt; 0.5, Table1[[#This Row],[dpd]] &gt;=30), "high risk", " not riskY")</f>
        <v>high risk</v>
      </c>
      <c r="AP408" s="29">
        <f>EOMONTH(Table1[[#This Row],[origination_date]],0)</f>
        <v>44865</v>
      </c>
      <c r="AQ408" s="19">
        <f>SUMIFS(Table1[loan_amount],Table1[origination month],Table1[[#This Row],[origination month]])</f>
        <v>16527000</v>
      </c>
      <c r="AR408" s="19">
        <f>AVERAGEIFS(Table1[months_on_book],Table1[product],Table1[[#This Row],[product]])</f>
        <v>19.091954022988507</v>
      </c>
      <c r="AS408" s="19" t="str">
        <f ca="1">IF(EDATE(Table1[[#This Row],[origination_date]],6) &gt;= TODAY(), "New Loan", "Old Loan")</f>
        <v>Old Loan</v>
      </c>
      <c r="AT408" s="19" t="str">
        <f>"Q"&amp;ROUNDUP(MONTH(Table1[[#This Row],[origination_date]])/3,0)&amp;YEAR(Table1[[#This Row],[origination_date]])</f>
        <v>Q42022</v>
      </c>
      <c r="AU408" s="19">
        <f>SUMIFS(Table1[loan_amount],Table1[quarter],Table1[[#This Row],[quarter]])</f>
        <v>51169300</v>
      </c>
    </row>
    <row r="409" spans="2:47" x14ac:dyDescent="0.2">
      <c r="B409" s="5" t="s">
        <v>57</v>
      </c>
      <c r="C409" s="2" t="s">
        <v>557</v>
      </c>
      <c r="D409" s="3">
        <v>44835</v>
      </c>
      <c r="E409" s="2" t="s">
        <v>1024</v>
      </c>
      <c r="F409" s="2" t="s">
        <v>1030</v>
      </c>
      <c r="G409" s="2" t="s">
        <v>1033</v>
      </c>
      <c r="H409" s="2" t="s">
        <v>1041</v>
      </c>
      <c r="I409" s="2">
        <v>24</v>
      </c>
      <c r="J409" s="2">
        <v>360900</v>
      </c>
      <c r="K409" s="2">
        <v>11.52</v>
      </c>
      <c r="L409" s="2">
        <v>16908</v>
      </c>
      <c r="M409" s="2">
        <v>660918</v>
      </c>
      <c r="N409" s="2">
        <v>702</v>
      </c>
      <c r="O409" s="2" t="s">
        <v>1044</v>
      </c>
      <c r="P409" s="2">
        <v>0.24</v>
      </c>
      <c r="Q409" s="2">
        <v>0.84</v>
      </c>
      <c r="R409" s="2">
        <v>432100</v>
      </c>
      <c r="S409" s="2">
        <v>24</v>
      </c>
      <c r="T409" s="2">
        <v>368338</v>
      </c>
      <c r="U409" s="2">
        <v>25823</v>
      </c>
      <c r="V409" s="2">
        <v>0</v>
      </c>
      <c r="W409" s="2">
        <v>0</v>
      </c>
      <c r="X409" s="2">
        <v>0</v>
      </c>
      <c r="Y409" s="2" t="s">
        <v>1047</v>
      </c>
      <c r="Z409" s="12">
        <f>SUMIF(Table1[product],Table1[[#This Row],[product]],Table1[loan_amount])</f>
        <v>92273000</v>
      </c>
      <c r="AA409" s="15">
        <f>SUMIF(Table1[region],Table1[[#This Row],[region]],Table1[current_balance])</f>
        <v>83297251</v>
      </c>
      <c r="AB409" s="2">
        <f>COUNTIF(Table1[loan_status],Table1[[#This Row],[loan_status]])</f>
        <v>139</v>
      </c>
      <c r="AC409" s="2">
        <f>COUNTIF(Table1[default_flag],1)/ROWS(Table1[loan_id])</f>
        <v>2.5999999999999999E-2</v>
      </c>
      <c r="AD409" s="2">
        <f>COUNTIFS(Table1[region],Table1[[#This Row],[region]],Table1[default_flag],1)/COUNTIF(Table1[region],Table1[[#This Row],[region]])</f>
        <v>3.1914893617021274E-2</v>
      </c>
      <c r="AE409" s="2">
        <f>COUNTIFS(Table1[channel],Table1[[#This Row],[channel]],Table1[prepayment_flag],1)/COUNTIF(Table1[channel],Table1[[#This Row],[channel]])</f>
        <v>5.8201058201058198E-2</v>
      </c>
      <c r="AF409" s="2">
        <f>AVERAGEIFS(Table1[interest_rate_pct],Table1[product],Table1[[#This Row],[product]],Table1[risk_band],Table1[[#This Row],[risk_band]])</f>
        <v>10.611923076923079</v>
      </c>
      <c r="AG409" s="2" t="str" cm="1">
        <f t="array" ref="AG409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409" s="2">
        <f>COUNTIF(Table1[DTI band],Table1[[#This Row],[DTI band]])</f>
        <v>122</v>
      </c>
      <c r="AI409" s="2" t="str" cm="1">
        <f t="array" ref="AI409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409" s="2">
        <f>COUNTIF(Table1[LTV band],Table1[[#This Row],[LTV band]])</f>
        <v>141</v>
      </c>
      <c r="AK409" s="19">
        <f>COUNTIFS(Table1[count_loan_perband],Table1[[#This Row],[count_loan_perband]],Table1[default_flag],1)/COUNTIF(Table1[count_loan_perband],Table1[[#This Row],[count_loan_perband]])</f>
        <v>1.4184397163120567E-2</v>
      </c>
      <c r="AL409" s="19" t="str" cm="1">
        <f t="array" ref="AL409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409" s="19">
        <f>IF(Table1[[#This Row],[dpd]] &gt;=30,1,0)</f>
        <v>0</v>
      </c>
      <c r="AN409" s="19">
        <f>COUNTIFS(Table1[Loan size],Table1[[#This Row],[Loan size]],Table1[dpd flag],1)/COUNTIF(Table1[Loan size],Table1[[#This Row],[Loan size]])</f>
        <v>0.13934426229508196</v>
      </c>
      <c r="AO409" s="19" t="str">
        <f>IF(OR(Table1[[#This Row],[credit_score]] &lt; 600, Table1[ [#This Row],[dti_ratio] ] &gt; 0.5, Table1[[#This Row],[dpd]] &gt;=30), "high risk", " not riskY")</f>
        <v xml:space="preserve"> not riskY</v>
      </c>
      <c r="AP409" s="29">
        <f>EOMONTH(Table1[[#This Row],[origination_date]],0)</f>
        <v>44865</v>
      </c>
      <c r="AQ409" s="19">
        <f>SUMIFS(Table1[loan_amount],Table1[origination month],Table1[[#This Row],[origination month]])</f>
        <v>16527000</v>
      </c>
      <c r="AR409" s="19">
        <f>AVERAGEIFS(Table1[months_on_book],Table1[product],Table1[[#This Row],[product]])</f>
        <v>20.262135922330096</v>
      </c>
      <c r="AS409" s="19" t="str">
        <f ca="1">IF(EDATE(Table1[[#This Row],[origination_date]],6) &gt;= TODAY(), "New Loan", "Old Loan")</f>
        <v>Old Loan</v>
      </c>
      <c r="AT409" s="19" t="str">
        <f>"Q"&amp;ROUNDUP(MONTH(Table1[[#This Row],[origination_date]])/3,0)&amp;YEAR(Table1[[#This Row],[origination_date]])</f>
        <v>Q42022</v>
      </c>
      <c r="AU409" s="19">
        <f>SUMIFS(Table1[loan_amount],Table1[quarter],Table1[[#This Row],[quarter]])</f>
        <v>51169300</v>
      </c>
    </row>
    <row r="410" spans="2:47" x14ac:dyDescent="0.2">
      <c r="B410" s="5" t="s">
        <v>274</v>
      </c>
      <c r="C410" s="2" t="s">
        <v>774</v>
      </c>
      <c r="D410" s="3">
        <v>44858</v>
      </c>
      <c r="E410" s="2" t="s">
        <v>1026</v>
      </c>
      <c r="F410" s="2" t="s">
        <v>1029</v>
      </c>
      <c r="G410" s="2" t="s">
        <v>1035</v>
      </c>
      <c r="H410" s="2" t="s">
        <v>1038</v>
      </c>
      <c r="I410" s="2">
        <v>24</v>
      </c>
      <c r="J410" s="2">
        <v>432400</v>
      </c>
      <c r="K410" s="2">
        <v>14.42</v>
      </c>
      <c r="L410" s="2">
        <v>20847</v>
      </c>
      <c r="M410" s="2">
        <v>1540834</v>
      </c>
      <c r="N410" s="2">
        <v>751</v>
      </c>
      <c r="O410" s="2" t="s">
        <v>1043</v>
      </c>
      <c r="P410" s="2">
        <v>0.24</v>
      </c>
      <c r="Q410" s="2">
        <v>0.78</v>
      </c>
      <c r="R410" s="2">
        <v>0</v>
      </c>
      <c r="S410" s="2">
        <v>24</v>
      </c>
      <c r="T410" s="2">
        <v>487005</v>
      </c>
      <c r="U410" s="2">
        <v>0</v>
      </c>
      <c r="V410" s="2">
        <v>90</v>
      </c>
      <c r="W410" s="2">
        <v>0</v>
      </c>
      <c r="X410" s="2">
        <v>1</v>
      </c>
      <c r="Y410" s="2" t="s">
        <v>1050</v>
      </c>
      <c r="Z410" s="12">
        <f>SUMIF(Table1[product],Table1[[#This Row],[product]],Table1[loan_amount])</f>
        <v>74897600</v>
      </c>
      <c r="AA410" s="15">
        <f>SUMIF(Table1[region],Table1[[#This Row],[region]],Table1[current_balance])</f>
        <v>83903255</v>
      </c>
      <c r="AB410" s="2">
        <f>COUNTIF(Table1[loan_status],Table1[[#This Row],[loan_status]])</f>
        <v>13</v>
      </c>
      <c r="AC410" s="2">
        <f>COUNTIF(Table1[default_flag],1)/ROWS(Table1[loan_id])</f>
        <v>2.5999999999999999E-2</v>
      </c>
      <c r="AD410" s="2">
        <f>COUNTIFS(Table1[region],Table1[[#This Row],[region]],Table1[default_flag],1)/COUNTIF(Table1[region],Table1[[#This Row],[region]])</f>
        <v>4.2553191489361701E-2</v>
      </c>
      <c r="AE410" s="2">
        <f>COUNTIFS(Table1[channel],Table1[[#This Row],[channel]],Table1[prepayment_flag],1)/COUNTIF(Table1[channel],Table1[[#This Row],[channel]])</f>
        <v>7.1090047393364927E-2</v>
      </c>
      <c r="AF410" s="2">
        <f>AVERAGEIFS(Table1[interest_rate_pct],Table1[product],Table1[[#This Row],[product]],Table1[risk_band],Table1[[#This Row],[risk_band]])</f>
        <v>13.328333333333335</v>
      </c>
      <c r="AG410" s="2" t="str" cm="1">
        <f t="array" ref="AG410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410" s="2">
        <f>COUNTIF(Table1[DTI band],Table1[[#This Row],[DTI band]])</f>
        <v>122</v>
      </c>
      <c r="AI410" s="2" t="str" cm="1">
        <f t="array" ref="AI410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410" s="2">
        <f>COUNTIF(Table1[LTV band],Table1[[#This Row],[LTV band]])</f>
        <v>302</v>
      </c>
      <c r="AK410" s="19">
        <f>COUNTIFS(Table1[count_loan_perband],Table1[[#This Row],[count_loan_perband]],Table1[default_flag],1)/COUNTIF(Table1[count_loan_perband],Table1[[#This Row],[count_loan_perband]])</f>
        <v>3.6423841059602648E-2</v>
      </c>
      <c r="AL410" s="19" t="str" cm="1">
        <f t="array" ref="AL410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410" s="19">
        <f>IF(Table1[[#This Row],[dpd]] &gt;=30,1,0)</f>
        <v>1</v>
      </c>
      <c r="AN410" s="19">
        <f>COUNTIFS(Table1[Loan size],Table1[[#This Row],[Loan size]],Table1[dpd flag],1)/COUNTIF(Table1[Loan size],Table1[[#This Row],[Loan size]])</f>
        <v>0.13934426229508196</v>
      </c>
      <c r="AO410" s="19" t="str">
        <f>IF(OR(Table1[[#This Row],[credit_score]] &lt; 600, Table1[ [#This Row],[dti_ratio] ] &gt; 0.5, Table1[[#This Row],[dpd]] &gt;=30), "high risk", " not riskY")</f>
        <v>high risk</v>
      </c>
      <c r="AP410" s="29">
        <f>EOMONTH(Table1[[#This Row],[origination_date]],0)</f>
        <v>44865</v>
      </c>
      <c r="AQ410" s="19">
        <f>SUMIFS(Table1[loan_amount],Table1[origination month],Table1[[#This Row],[origination month]])</f>
        <v>16527000</v>
      </c>
      <c r="AR410" s="19">
        <f>AVERAGEIFS(Table1[months_on_book],Table1[product],Table1[[#This Row],[product]])</f>
        <v>21.092024539877301</v>
      </c>
      <c r="AS410" s="19" t="str">
        <f ca="1">IF(EDATE(Table1[[#This Row],[origination_date]],6) &gt;= TODAY(), "New Loan", "Old Loan")</f>
        <v>Old Loan</v>
      </c>
      <c r="AT410" s="19" t="str">
        <f>"Q"&amp;ROUNDUP(MONTH(Table1[[#This Row],[origination_date]])/3,0)&amp;YEAR(Table1[[#This Row],[origination_date]])</f>
        <v>Q42022</v>
      </c>
      <c r="AU410" s="19">
        <f>SUMIFS(Table1[loan_amount],Table1[quarter],Table1[[#This Row],[quarter]])</f>
        <v>51169300</v>
      </c>
    </row>
    <row r="411" spans="2:47" x14ac:dyDescent="0.2">
      <c r="B411" s="5" t="s">
        <v>430</v>
      </c>
      <c r="C411" s="2" t="s">
        <v>930</v>
      </c>
      <c r="D411" s="3">
        <v>44901</v>
      </c>
      <c r="E411" s="2" t="s">
        <v>1028</v>
      </c>
      <c r="F411" s="2" t="s">
        <v>1029</v>
      </c>
      <c r="G411" s="2" t="s">
        <v>1036</v>
      </c>
      <c r="H411" s="2" t="s">
        <v>1039</v>
      </c>
      <c r="I411" s="2">
        <v>72</v>
      </c>
      <c r="J411" s="2">
        <v>1471100</v>
      </c>
      <c r="K411" s="2">
        <v>12.52</v>
      </c>
      <c r="L411" s="2">
        <v>29160</v>
      </c>
      <c r="M411" s="2">
        <v>762227</v>
      </c>
      <c r="N411" s="2">
        <v>687</v>
      </c>
      <c r="O411" s="2" t="s">
        <v>1042</v>
      </c>
      <c r="P411" s="2">
        <v>0.24</v>
      </c>
      <c r="Q411" s="2">
        <v>0.68</v>
      </c>
      <c r="R411" s="2">
        <v>0</v>
      </c>
      <c r="S411" s="2">
        <v>36</v>
      </c>
      <c r="T411" s="2">
        <v>933136</v>
      </c>
      <c r="U411" s="2">
        <v>758982</v>
      </c>
      <c r="V411" s="2">
        <v>10</v>
      </c>
      <c r="W411" s="2">
        <v>0</v>
      </c>
      <c r="X411" s="2">
        <v>0</v>
      </c>
      <c r="Y411" s="2" t="s">
        <v>1049</v>
      </c>
      <c r="Z411" s="12">
        <f>SUMIF(Table1[product],Table1[[#This Row],[product]],Table1[loan_amount])</f>
        <v>62765800</v>
      </c>
      <c r="AA411" s="15">
        <f>SUMIF(Table1[region],Table1[[#This Row],[region]],Table1[current_balance])</f>
        <v>98928695</v>
      </c>
      <c r="AB411" s="2">
        <f>COUNTIF(Table1[loan_status],Table1[[#This Row],[loan_status]])</f>
        <v>301</v>
      </c>
      <c r="AC411" s="2">
        <f>COUNTIF(Table1[default_flag],1)/ROWS(Table1[loan_id])</f>
        <v>2.5999999999999999E-2</v>
      </c>
      <c r="AD411" s="2">
        <f>COUNTIFS(Table1[region],Table1[[#This Row],[region]],Table1[default_flag],1)/COUNTIF(Table1[region],Table1[[#This Row],[region]])</f>
        <v>2.8571428571428571E-2</v>
      </c>
      <c r="AE411" s="2">
        <f>COUNTIFS(Table1[channel],Table1[[#This Row],[channel]],Table1[prepayment_flag],1)/COUNTIF(Table1[channel],Table1[[#This Row],[channel]])</f>
        <v>7.1090047393364927E-2</v>
      </c>
      <c r="AF411" s="2">
        <f>AVERAGEIFS(Table1[interest_rate_pct],Table1[product],Table1[[#This Row],[product]],Table1[risk_band],Table1[[#This Row],[risk_band]])</f>
        <v>13.463888888888889</v>
      </c>
      <c r="AG411" s="2" t="str" cm="1">
        <f t="array" ref="AG411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411" s="2">
        <f>COUNTIF(Table1[DTI band],Table1[[#This Row],[DTI band]])</f>
        <v>122</v>
      </c>
      <c r="AI411" s="2" t="str" cm="1">
        <f t="array" ref="AI411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411" s="2">
        <f>COUNTIF(Table1[LTV band],Table1[[#This Row],[LTV band]])</f>
        <v>302</v>
      </c>
      <c r="AK411" s="19">
        <f>COUNTIFS(Table1[count_loan_perband],Table1[[#This Row],[count_loan_perband]],Table1[default_flag],1)/COUNTIF(Table1[count_loan_perband],Table1[[#This Row],[count_loan_perband]])</f>
        <v>3.6423841059602648E-2</v>
      </c>
      <c r="AL411" s="19" t="str" cm="1">
        <f t="array" ref="AL411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411" s="19">
        <f>IF(Table1[[#This Row],[dpd]] &gt;=30,1,0)</f>
        <v>0</v>
      </c>
      <c r="AN411" s="19">
        <f>COUNTIFS(Table1[Loan size],Table1[[#This Row],[Loan size]],Table1[dpd flag],1)/COUNTIF(Table1[Loan size],Table1[[#This Row],[Loan size]])</f>
        <v>0.15909090909090909</v>
      </c>
      <c r="AO411" s="19" t="str">
        <f>IF(OR(Table1[[#This Row],[credit_score]] &lt; 600, Table1[ [#This Row],[dti_ratio] ] &gt; 0.5, Table1[[#This Row],[dpd]] &gt;=30), "high risk", " not riskY")</f>
        <v xml:space="preserve"> not riskY</v>
      </c>
      <c r="AP411" s="29">
        <f>EOMONTH(Table1[[#This Row],[origination_date]],0)</f>
        <v>44926</v>
      </c>
      <c r="AQ411" s="19">
        <f>SUMIFS(Table1[loan_amount],Table1[origination month],Table1[[#This Row],[origination month]])</f>
        <v>18330100</v>
      </c>
      <c r="AR411" s="19">
        <f>AVERAGEIFS(Table1[months_on_book],Table1[product],Table1[[#This Row],[product]])</f>
        <v>21.962962962962962</v>
      </c>
      <c r="AS411" s="19" t="str">
        <f ca="1">IF(EDATE(Table1[[#This Row],[origination_date]],6) &gt;= TODAY(), "New Loan", "Old Loan")</f>
        <v>Old Loan</v>
      </c>
      <c r="AT411" s="19" t="str">
        <f>"Q"&amp;ROUNDUP(MONTH(Table1[[#This Row],[origination_date]])/3,0)&amp;YEAR(Table1[[#This Row],[origination_date]])</f>
        <v>Q42022</v>
      </c>
      <c r="AU411" s="19">
        <f>SUMIFS(Table1[loan_amount],Table1[quarter],Table1[[#This Row],[quarter]])</f>
        <v>51169300</v>
      </c>
    </row>
    <row r="412" spans="2:47" x14ac:dyDescent="0.2">
      <c r="B412" s="5" t="s">
        <v>523</v>
      </c>
      <c r="C412" s="2" t="s">
        <v>1023</v>
      </c>
      <c r="D412" s="3">
        <v>44911</v>
      </c>
      <c r="E412" s="2" t="s">
        <v>1025</v>
      </c>
      <c r="F412" s="2" t="s">
        <v>1032</v>
      </c>
      <c r="G412" s="2" t="s">
        <v>1037</v>
      </c>
      <c r="H412" s="2" t="s">
        <v>1038</v>
      </c>
      <c r="I412" s="2">
        <v>24</v>
      </c>
      <c r="J412" s="2">
        <v>1965500</v>
      </c>
      <c r="K412" s="2">
        <v>12.11</v>
      </c>
      <c r="L412" s="2">
        <v>92624</v>
      </c>
      <c r="M412" s="2">
        <v>312311</v>
      </c>
      <c r="N412" s="2">
        <v>755</v>
      </c>
      <c r="O412" s="2" t="s">
        <v>1043</v>
      </c>
      <c r="P412" s="2">
        <v>0.23</v>
      </c>
      <c r="Q412" s="2">
        <v>0.86</v>
      </c>
      <c r="R412" s="2">
        <v>2297200</v>
      </c>
      <c r="S412" s="2">
        <v>24</v>
      </c>
      <c r="T412" s="2">
        <v>2168605</v>
      </c>
      <c r="U412" s="2">
        <v>0</v>
      </c>
      <c r="V412" s="2">
        <v>45</v>
      </c>
      <c r="W412" s="2">
        <v>0</v>
      </c>
      <c r="X412" s="2">
        <v>0</v>
      </c>
      <c r="Y412" s="2" t="s">
        <v>1047</v>
      </c>
      <c r="Z412" s="12">
        <f>SUMIF(Table1[product],Table1[[#This Row],[product]],Table1[loan_amount])</f>
        <v>201475100</v>
      </c>
      <c r="AA412" s="15">
        <f>SUMIF(Table1[region],Table1[[#This Row],[region]],Table1[current_balance])</f>
        <v>94548000</v>
      </c>
      <c r="AB412" s="2">
        <f>COUNTIF(Table1[loan_status],Table1[[#This Row],[loan_status]])</f>
        <v>139</v>
      </c>
      <c r="AC412" s="2">
        <f>COUNTIF(Table1[default_flag],1)/ROWS(Table1[loan_id])</f>
        <v>2.5999999999999999E-2</v>
      </c>
      <c r="AD412" s="2">
        <f>COUNTIFS(Table1[region],Table1[[#This Row],[region]],Table1[default_flag],1)/COUNTIF(Table1[region],Table1[[#This Row],[region]])</f>
        <v>0</v>
      </c>
      <c r="AE412" s="2">
        <f>COUNTIFS(Table1[channel],Table1[[#This Row],[channel]],Table1[prepayment_flag],1)/COUNTIF(Table1[channel],Table1[[#This Row],[channel]])</f>
        <v>0.1</v>
      </c>
      <c r="AF412" s="2">
        <f>AVERAGEIFS(Table1[interest_rate_pct],Table1[product],Table1[[#This Row],[product]],Table1[risk_band],Table1[[#This Row],[risk_band]])</f>
        <v>10.537499999999998</v>
      </c>
      <c r="AG412" s="2" t="str" cm="1">
        <f t="array" ref="AG412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412" s="2">
        <f>COUNTIF(Table1[DTI band],Table1[[#This Row],[DTI band]])</f>
        <v>122</v>
      </c>
      <c r="AI412" s="2" t="str" cm="1">
        <f t="array" ref="AI412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412" s="2">
        <f>COUNTIF(Table1[LTV band],Table1[[#This Row],[LTV band]])</f>
        <v>141</v>
      </c>
      <c r="AK412" s="19">
        <f>COUNTIFS(Table1[count_loan_perband],Table1[[#This Row],[count_loan_perband]],Table1[default_flag],1)/COUNTIF(Table1[count_loan_perband],Table1[[#This Row],[count_loan_perband]])</f>
        <v>1.4184397163120567E-2</v>
      </c>
      <c r="AL412" s="19" t="str" cm="1">
        <f t="array" ref="AL412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412" s="19">
        <f>IF(Table1[[#This Row],[dpd]] &gt;=30,1,0)</f>
        <v>1</v>
      </c>
      <c r="AN412" s="19">
        <f>COUNTIFS(Table1[Loan size],Table1[[#This Row],[Loan size]],Table1[dpd flag],1)/COUNTIF(Table1[Loan size],Table1[[#This Row],[Loan size]])</f>
        <v>0.15909090909090909</v>
      </c>
      <c r="AO412" s="19" t="str">
        <f>IF(OR(Table1[[#This Row],[credit_score]] &lt; 600, Table1[ [#This Row],[dti_ratio] ] &gt; 0.5, Table1[[#This Row],[dpd]] &gt;=30), "high risk", " not riskY")</f>
        <v>high risk</v>
      </c>
      <c r="AP412" s="29">
        <f>EOMONTH(Table1[[#This Row],[origination_date]],0)</f>
        <v>44926</v>
      </c>
      <c r="AQ412" s="19">
        <f>SUMIFS(Table1[loan_amount],Table1[origination month],Table1[[#This Row],[origination month]])</f>
        <v>18330100</v>
      </c>
      <c r="AR412" s="19">
        <f>AVERAGEIFS(Table1[months_on_book],Table1[product],Table1[[#This Row],[product]])</f>
        <v>19.091954022988507</v>
      </c>
      <c r="AS412" s="19" t="str">
        <f ca="1">IF(EDATE(Table1[[#This Row],[origination_date]],6) &gt;= TODAY(), "New Loan", "Old Loan")</f>
        <v>Old Loan</v>
      </c>
      <c r="AT412" s="19" t="str">
        <f>"Q"&amp;ROUNDUP(MONTH(Table1[[#This Row],[origination_date]])/3,0)&amp;YEAR(Table1[[#This Row],[origination_date]])</f>
        <v>Q42022</v>
      </c>
      <c r="AU412" s="19">
        <f>SUMIFS(Table1[loan_amount],Table1[quarter],Table1[[#This Row],[quarter]])</f>
        <v>51169300</v>
      </c>
    </row>
    <row r="413" spans="2:47" x14ac:dyDescent="0.2">
      <c r="B413" s="5" t="s">
        <v>276</v>
      </c>
      <c r="C413" s="2" t="s">
        <v>776</v>
      </c>
      <c r="D413" s="3">
        <v>44891</v>
      </c>
      <c r="E413" s="2" t="s">
        <v>1026</v>
      </c>
      <c r="F413" s="2" t="s">
        <v>1029</v>
      </c>
      <c r="G413" s="2" t="s">
        <v>1036</v>
      </c>
      <c r="H413" s="2" t="s">
        <v>1040</v>
      </c>
      <c r="I413" s="2">
        <v>48</v>
      </c>
      <c r="J413" s="2">
        <v>319600</v>
      </c>
      <c r="K413" s="2">
        <v>14.93</v>
      </c>
      <c r="L413" s="2">
        <v>8883</v>
      </c>
      <c r="M413" s="2">
        <v>454467</v>
      </c>
      <c r="N413" s="2">
        <v>759</v>
      </c>
      <c r="O413" s="2" t="s">
        <v>1043</v>
      </c>
      <c r="P413" s="2">
        <v>0.19</v>
      </c>
      <c r="Q413" s="2">
        <v>0.56000000000000005</v>
      </c>
      <c r="R413" s="2">
        <v>0</v>
      </c>
      <c r="S413" s="2">
        <v>37</v>
      </c>
      <c r="T413" s="2">
        <v>312943</v>
      </c>
      <c r="U413" s="2">
        <v>65507</v>
      </c>
      <c r="V413" s="2">
        <v>0</v>
      </c>
      <c r="W413" s="2">
        <v>0</v>
      </c>
      <c r="X413" s="2">
        <v>0</v>
      </c>
      <c r="Y413" s="2" t="s">
        <v>1049</v>
      </c>
      <c r="Z413" s="12">
        <f>SUMIF(Table1[product],Table1[[#This Row],[product]],Table1[loan_amount])</f>
        <v>74897600</v>
      </c>
      <c r="AA413" s="15">
        <f>SUMIF(Table1[region],Table1[[#This Row],[region]],Table1[current_balance])</f>
        <v>98928695</v>
      </c>
      <c r="AB413" s="2">
        <f>COUNTIF(Table1[loan_status],Table1[[#This Row],[loan_status]])</f>
        <v>301</v>
      </c>
      <c r="AC413" s="2">
        <f>COUNTIF(Table1[default_flag],1)/ROWS(Table1[loan_id])</f>
        <v>2.5999999999999999E-2</v>
      </c>
      <c r="AD413" s="2">
        <f>COUNTIFS(Table1[region],Table1[[#This Row],[region]],Table1[default_flag],1)/COUNTIF(Table1[region],Table1[[#This Row],[region]])</f>
        <v>2.8571428571428571E-2</v>
      </c>
      <c r="AE413" s="2">
        <f>COUNTIFS(Table1[channel],Table1[[#This Row],[channel]],Table1[prepayment_flag],1)/COUNTIF(Table1[channel],Table1[[#This Row],[channel]])</f>
        <v>7.1090047393364927E-2</v>
      </c>
      <c r="AF413" s="2">
        <f>AVERAGEIFS(Table1[interest_rate_pct],Table1[product],Table1[[#This Row],[product]],Table1[risk_band],Table1[[#This Row],[risk_band]])</f>
        <v>13.328333333333335</v>
      </c>
      <c r="AG413" s="2" t="str" cm="1">
        <f t="array" ref="AG413">_xlfn.IFS(Table1[[#This Row],[dti_ratio]] &lt; 0.2, " less than 0.2", Table1[[#This Row],[dti_ratio]] &lt; 0.3, "0.2 - 0.3", Table1[[#This Row],[dti_ratio]] &lt;= 0.5, "0.35 - 0.5", Table1[[#This Row],[dti_ratio]] &gt; 0.5, "greater than 0.5")</f>
        <v xml:space="preserve"> less than 0.2</v>
      </c>
      <c r="AH413" s="2">
        <f>COUNTIF(Table1[DTI band],Table1[[#This Row],[DTI band]])</f>
        <v>86</v>
      </c>
      <c r="AI413" s="2" t="str" cm="1">
        <f t="array" ref="AI413">_xlfn.IFS(Table1[[#This Row],[ltv_ratio]] &lt; 0.6, "less than 0.6 -less risky", Table1[[#This Row],[ltv_ratio]]  &lt;= 0.8, "0.6 - 0.8 -medium risky",Table1[[#This Row],[ltv_ratio]] &gt; 0.8, "greater than 0.8 -highly risky")</f>
        <v>less than 0.6 -less risky</v>
      </c>
      <c r="AJ413" s="2">
        <f>COUNTIF(Table1[LTV band],Table1[[#This Row],[LTV band]])</f>
        <v>57</v>
      </c>
      <c r="AK413" s="19">
        <f>COUNTIFS(Table1[count_loan_perband],Table1[[#This Row],[count_loan_perband]],Table1[default_flag],1)/COUNTIF(Table1[count_loan_perband],Table1[[#This Row],[count_loan_perband]])</f>
        <v>0</v>
      </c>
      <c r="AL413" s="19" t="str" cm="1">
        <f t="array" ref="AL413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413" s="19">
        <f>IF(Table1[[#This Row],[dpd]] &gt;=30,1,0)</f>
        <v>0</v>
      </c>
      <c r="AN413" s="19">
        <f>COUNTIFS(Table1[Loan size],Table1[[#This Row],[Loan size]],Table1[dpd flag],1)/COUNTIF(Table1[Loan size],Table1[[#This Row],[Loan size]])</f>
        <v>0.13934426229508196</v>
      </c>
      <c r="AO413" s="19" t="str">
        <f>IF(OR(Table1[[#This Row],[credit_score]] &lt; 600, Table1[ [#This Row],[dti_ratio] ] &gt; 0.5, Table1[[#This Row],[dpd]] &gt;=30), "high risk", " not riskY")</f>
        <v xml:space="preserve"> not riskY</v>
      </c>
      <c r="AP413" s="29">
        <f>EOMONTH(Table1[[#This Row],[origination_date]],0)</f>
        <v>44895</v>
      </c>
      <c r="AQ413" s="19">
        <f>SUMIFS(Table1[loan_amount],Table1[origination month],Table1[[#This Row],[origination month]])</f>
        <v>16312200</v>
      </c>
      <c r="AR413" s="19">
        <f>AVERAGEIFS(Table1[months_on_book],Table1[product],Table1[[#This Row],[product]])</f>
        <v>21.092024539877301</v>
      </c>
      <c r="AS413" s="19" t="str">
        <f ca="1">IF(EDATE(Table1[[#This Row],[origination_date]],6) &gt;= TODAY(), "New Loan", "Old Loan")</f>
        <v>Old Loan</v>
      </c>
      <c r="AT413" s="19" t="str">
        <f>"Q"&amp;ROUNDUP(MONTH(Table1[[#This Row],[origination_date]])/3,0)&amp;YEAR(Table1[[#This Row],[origination_date]])</f>
        <v>Q42022</v>
      </c>
      <c r="AU413" s="19">
        <f>SUMIFS(Table1[loan_amount],Table1[quarter],Table1[[#This Row],[quarter]])</f>
        <v>51169300</v>
      </c>
    </row>
    <row r="414" spans="2:47" x14ac:dyDescent="0.2">
      <c r="B414" s="5" t="s">
        <v>43</v>
      </c>
      <c r="C414" s="2" t="s">
        <v>543</v>
      </c>
      <c r="D414" s="3">
        <v>44920</v>
      </c>
      <c r="E414" s="2" t="s">
        <v>1026</v>
      </c>
      <c r="F414" s="2" t="s">
        <v>1029</v>
      </c>
      <c r="G414" s="2" t="s">
        <v>1034</v>
      </c>
      <c r="H414" s="2" t="s">
        <v>1038</v>
      </c>
      <c r="I414" s="2">
        <v>12</v>
      </c>
      <c r="J414" s="2">
        <v>226500</v>
      </c>
      <c r="K414" s="2">
        <v>20.100000000000001</v>
      </c>
      <c r="L414" s="2">
        <v>20993</v>
      </c>
      <c r="M414" s="2">
        <v>878644</v>
      </c>
      <c r="N414" s="2">
        <v>650</v>
      </c>
      <c r="O414" s="2" t="s">
        <v>1042</v>
      </c>
      <c r="P414" s="2">
        <v>0.18</v>
      </c>
      <c r="Q414" s="2">
        <v>0.85</v>
      </c>
      <c r="R414" s="2">
        <v>0</v>
      </c>
      <c r="S414" s="2">
        <v>12</v>
      </c>
      <c r="T414" s="2">
        <v>250114</v>
      </c>
      <c r="U414" s="2">
        <v>0</v>
      </c>
      <c r="V414" s="2">
        <v>0</v>
      </c>
      <c r="W414" s="2">
        <v>0</v>
      </c>
      <c r="X414" s="2">
        <v>0</v>
      </c>
      <c r="Y414" s="2" t="s">
        <v>1047</v>
      </c>
      <c r="Z414" s="12">
        <f>SUMIF(Table1[product],Table1[[#This Row],[product]],Table1[loan_amount])</f>
        <v>74897600</v>
      </c>
      <c r="AA414" s="15">
        <f>SUMIF(Table1[region],Table1[[#This Row],[region]],Table1[current_balance])</f>
        <v>105779369</v>
      </c>
      <c r="AB414" s="2">
        <f>COUNTIF(Table1[loan_status],Table1[[#This Row],[loan_status]])</f>
        <v>139</v>
      </c>
      <c r="AC414" s="2">
        <f>COUNTIF(Table1[default_flag],1)/ROWS(Table1[loan_id])</f>
        <v>2.5999999999999999E-2</v>
      </c>
      <c r="AD414" s="2">
        <f>COUNTIFS(Table1[region],Table1[[#This Row],[region]],Table1[default_flag],1)/COUNTIF(Table1[region],Table1[[#This Row],[region]])</f>
        <v>2.6548672566371681E-2</v>
      </c>
      <c r="AE414" s="2">
        <f>COUNTIFS(Table1[channel],Table1[[#This Row],[channel]],Table1[prepayment_flag],1)/COUNTIF(Table1[channel],Table1[[#This Row],[channel]])</f>
        <v>7.1090047393364927E-2</v>
      </c>
      <c r="AF414" s="2">
        <f>AVERAGEIFS(Table1[interest_rate_pct],Table1[product],Table1[[#This Row],[product]],Table1[risk_band],Table1[[#This Row],[risk_band]])</f>
        <v>18.603181818181817</v>
      </c>
      <c r="AG414" s="2" t="str" cm="1">
        <f t="array" ref="AG414">_xlfn.IFS(Table1[[#This Row],[dti_ratio]] &lt; 0.2, " less than 0.2", Table1[[#This Row],[dti_ratio]] &lt; 0.3, "0.2 - 0.3", Table1[[#This Row],[dti_ratio]] &lt;= 0.5, "0.35 - 0.5", Table1[[#This Row],[dti_ratio]] &gt; 0.5, "greater than 0.5")</f>
        <v xml:space="preserve"> less than 0.2</v>
      </c>
      <c r="AH414" s="2">
        <f>COUNTIF(Table1[DTI band],Table1[[#This Row],[DTI band]])</f>
        <v>86</v>
      </c>
      <c r="AI414" s="2" t="str" cm="1">
        <f t="array" ref="AI414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414" s="2">
        <f>COUNTIF(Table1[LTV band],Table1[[#This Row],[LTV band]])</f>
        <v>141</v>
      </c>
      <c r="AK414" s="19">
        <f>COUNTIFS(Table1[count_loan_perband],Table1[[#This Row],[count_loan_perband]],Table1[default_flag],1)/COUNTIF(Table1[count_loan_perband],Table1[[#This Row],[count_loan_perband]])</f>
        <v>1.4184397163120567E-2</v>
      </c>
      <c r="AL414" s="19" t="str" cm="1">
        <f t="array" ref="AL414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414" s="19">
        <f>IF(Table1[[#This Row],[dpd]] &gt;=30,1,0)</f>
        <v>0</v>
      </c>
      <c r="AN414" s="19">
        <f>COUNTIFS(Table1[Loan size],Table1[[#This Row],[Loan size]],Table1[dpd flag],1)/COUNTIF(Table1[Loan size],Table1[[#This Row],[Loan size]])</f>
        <v>0.13934426229508196</v>
      </c>
      <c r="AO414" s="19" t="str">
        <f>IF(OR(Table1[[#This Row],[credit_score]] &lt; 600, Table1[ [#This Row],[dti_ratio] ] &gt; 0.5, Table1[[#This Row],[dpd]] &gt;=30), "high risk", " not riskY")</f>
        <v xml:space="preserve"> not riskY</v>
      </c>
      <c r="AP414" s="29">
        <f>EOMONTH(Table1[[#This Row],[origination_date]],0)</f>
        <v>44926</v>
      </c>
      <c r="AQ414" s="19">
        <f>SUMIFS(Table1[loan_amount],Table1[origination month],Table1[[#This Row],[origination month]])</f>
        <v>18330100</v>
      </c>
      <c r="AR414" s="19">
        <f>AVERAGEIFS(Table1[months_on_book],Table1[product],Table1[[#This Row],[product]])</f>
        <v>21.092024539877301</v>
      </c>
      <c r="AS414" s="19" t="str">
        <f ca="1">IF(EDATE(Table1[[#This Row],[origination_date]],6) &gt;= TODAY(), "New Loan", "Old Loan")</f>
        <v>Old Loan</v>
      </c>
      <c r="AT414" s="19" t="str">
        <f>"Q"&amp;ROUNDUP(MONTH(Table1[[#This Row],[origination_date]])/3,0)&amp;YEAR(Table1[[#This Row],[origination_date]])</f>
        <v>Q42022</v>
      </c>
      <c r="AU414" s="19">
        <f>SUMIFS(Table1[loan_amount],Table1[quarter],Table1[[#This Row],[quarter]])</f>
        <v>51169300</v>
      </c>
    </row>
    <row r="415" spans="2:47" x14ac:dyDescent="0.2">
      <c r="B415" s="5" t="s">
        <v>114</v>
      </c>
      <c r="C415" s="2" t="s">
        <v>614</v>
      </c>
      <c r="D415" s="3">
        <v>44898</v>
      </c>
      <c r="E415" s="2" t="s">
        <v>1027</v>
      </c>
      <c r="F415" s="2" t="s">
        <v>1031</v>
      </c>
      <c r="G415" s="2" t="s">
        <v>1037</v>
      </c>
      <c r="H415" s="2" t="s">
        <v>1041</v>
      </c>
      <c r="I415" s="2">
        <v>120</v>
      </c>
      <c r="J415" s="2">
        <v>1392400</v>
      </c>
      <c r="K415" s="2">
        <v>12.35</v>
      </c>
      <c r="L415" s="2">
        <v>20260</v>
      </c>
      <c r="M415" s="2">
        <v>1772874</v>
      </c>
      <c r="N415" s="2">
        <v>673</v>
      </c>
      <c r="O415" s="2" t="s">
        <v>1042</v>
      </c>
      <c r="P415" s="2">
        <v>0.18</v>
      </c>
      <c r="Q415" s="2">
        <v>0.51</v>
      </c>
      <c r="R415" s="2">
        <v>2731600</v>
      </c>
      <c r="S415" s="2">
        <v>36</v>
      </c>
      <c r="T415" s="2">
        <v>649831</v>
      </c>
      <c r="U415" s="2">
        <v>948923</v>
      </c>
      <c r="V415" s="2">
        <v>0</v>
      </c>
      <c r="W415" s="2">
        <v>0</v>
      </c>
      <c r="X415" s="2">
        <v>0</v>
      </c>
      <c r="Y415" s="2" t="s">
        <v>1049</v>
      </c>
      <c r="Z415" s="12">
        <f>SUMIF(Table1[product],Table1[[#This Row],[product]],Table1[loan_amount])</f>
        <v>403369500</v>
      </c>
      <c r="AA415" s="15">
        <f>SUMIF(Table1[region],Table1[[#This Row],[region]],Table1[current_balance])</f>
        <v>94548000</v>
      </c>
      <c r="AB415" s="2">
        <f>COUNTIF(Table1[loan_status],Table1[[#This Row],[loan_status]])</f>
        <v>301</v>
      </c>
      <c r="AC415" s="2">
        <f>COUNTIF(Table1[default_flag],1)/ROWS(Table1[loan_id])</f>
        <v>2.5999999999999999E-2</v>
      </c>
      <c r="AD415" s="2">
        <f>COUNTIFS(Table1[region],Table1[[#This Row],[region]],Table1[default_flag],1)/COUNTIF(Table1[region],Table1[[#This Row],[region]])</f>
        <v>0</v>
      </c>
      <c r="AE415" s="2">
        <f>COUNTIFS(Table1[channel],Table1[[#This Row],[channel]],Table1[prepayment_flag],1)/COUNTIF(Table1[channel],Table1[[#This Row],[channel]])</f>
        <v>0.12</v>
      </c>
      <c r="AF415" s="2">
        <f>AVERAGEIFS(Table1[interest_rate_pct],Table1[product],Table1[[#This Row],[product]],Table1[risk_band],Table1[[#This Row],[risk_band]])</f>
        <v>11.719736842105268</v>
      </c>
      <c r="AG415" s="2" t="str" cm="1">
        <f t="array" ref="AG415">_xlfn.IFS(Table1[[#This Row],[dti_ratio]] &lt; 0.2, " less than 0.2", Table1[[#This Row],[dti_ratio]] &lt; 0.3, "0.2 - 0.3", Table1[[#This Row],[dti_ratio]] &lt;= 0.5, "0.35 - 0.5", Table1[[#This Row],[dti_ratio]] &gt; 0.5, "greater than 0.5")</f>
        <v xml:space="preserve"> less than 0.2</v>
      </c>
      <c r="AH415" s="2">
        <f>COUNTIF(Table1[DTI band],Table1[[#This Row],[DTI band]])</f>
        <v>86</v>
      </c>
      <c r="AI415" s="2" t="str" cm="1">
        <f t="array" ref="AI415">_xlfn.IFS(Table1[[#This Row],[ltv_ratio]] &lt; 0.6, "less than 0.6 -less risky", Table1[[#This Row],[ltv_ratio]]  &lt;= 0.8, "0.6 - 0.8 -medium risky",Table1[[#This Row],[ltv_ratio]] &gt; 0.8, "greater than 0.8 -highly risky")</f>
        <v>less than 0.6 -less risky</v>
      </c>
      <c r="AJ415" s="2">
        <f>COUNTIF(Table1[LTV band],Table1[[#This Row],[LTV band]])</f>
        <v>57</v>
      </c>
      <c r="AK415" s="19">
        <f>COUNTIFS(Table1[count_loan_perband],Table1[[#This Row],[count_loan_perband]],Table1[default_flag],1)/COUNTIF(Table1[count_loan_perband],Table1[[#This Row],[count_loan_perband]])</f>
        <v>0</v>
      </c>
      <c r="AL415" s="19" t="str" cm="1">
        <f t="array" ref="AL415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415" s="19">
        <f>IF(Table1[[#This Row],[dpd]] &gt;=30,1,0)</f>
        <v>0</v>
      </c>
      <c r="AN415" s="19">
        <f>COUNTIFS(Table1[Loan size],Table1[[#This Row],[Loan size]],Table1[dpd flag],1)/COUNTIF(Table1[Loan size],Table1[[#This Row],[Loan size]])</f>
        <v>0.15909090909090909</v>
      </c>
      <c r="AO415" s="19" t="str">
        <f>IF(OR(Table1[[#This Row],[credit_score]] &lt; 600, Table1[ [#This Row],[dti_ratio] ] &gt; 0.5, Table1[[#This Row],[dpd]] &gt;=30), "high risk", " not riskY")</f>
        <v xml:space="preserve"> not riskY</v>
      </c>
      <c r="AP415" s="29">
        <f>EOMONTH(Table1[[#This Row],[origination_date]],0)</f>
        <v>44926</v>
      </c>
      <c r="AQ415" s="19">
        <f>SUMIFS(Table1[loan_amount],Table1[origination month],Table1[[#This Row],[origination month]])</f>
        <v>18330100</v>
      </c>
      <c r="AR415" s="19">
        <f>AVERAGEIFS(Table1[months_on_book],Table1[product],Table1[[#This Row],[product]])</f>
        <v>20.516129032258064</v>
      </c>
      <c r="AS415" s="19" t="str">
        <f ca="1">IF(EDATE(Table1[[#This Row],[origination_date]],6) &gt;= TODAY(), "New Loan", "Old Loan")</f>
        <v>Old Loan</v>
      </c>
      <c r="AT415" s="19" t="str">
        <f>"Q"&amp;ROUNDUP(MONTH(Table1[[#This Row],[origination_date]])/3,0)&amp;YEAR(Table1[[#This Row],[origination_date]])</f>
        <v>Q42022</v>
      </c>
      <c r="AU415" s="19">
        <f>SUMIFS(Table1[loan_amount],Table1[quarter],Table1[[#This Row],[quarter]])</f>
        <v>51169300</v>
      </c>
    </row>
    <row r="416" spans="2:47" x14ac:dyDescent="0.2">
      <c r="B416" s="5" t="s">
        <v>235</v>
      </c>
      <c r="C416" s="2" t="s">
        <v>735</v>
      </c>
      <c r="D416" s="3">
        <v>44910</v>
      </c>
      <c r="E416" s="2" t="s">
        <v>1025</v>
      </c>
      <c r="F416" s="2" t="s">
        <v>1029</v>
      </c>
      <c r="G416" s="2" t="s">
        <v>1034</v>
      </c>
      <c r="H416" s="2" t="s">
        <v>1039</v>
      </c>
      <c r="I416" s="2">
        <v>12</v>
      </c>
      <c r="J416" s="2">
        <v>1171300</v>
      </c>
      <c r="K416" s="2">
        <v>12.09</v>
      </c>
      <c r="L416" s="2">
        <v>104118</v>
      </c>
      <c r="M416" s="2">
        <v>1053831</v>
      </c>
      <c r="N416" s="2">
        <v>718</v>
      </c>
      <c r="O416" s="2" t="s">
        <v>1044</v>
      </c>
      <c r="P416" s="2">
        <v>0.18</v>
      </c>
      <c r="Q416" s="2">
        <v>0.73</v>
      </c>
      <c r="R416" s="2">
        <v>1603900</v>
      </c>
      <c r="S416" s="2">
        <v>12</v>
      </c>
      <c r="T416" s="2">
        <v>1242275</v>
      </c>
      <c r="U416" s="2">
        <v>0</v>
      </c>
      <c r="V416" s="2">
        <v>15</v>
      </c>
      <c r="W416" s="2">
        <v>0</v>
      </c>
      <c r="X416" s="2">
        <v>0</v>
      </c>
      <c r="Y416" s="2" t="s">
        <v>1047</v>
      </c>
      <c r="Z416" s="12">
        <f>SUMIF(Table1[product],Table1[[#This Row],[product]],Table1[loan_amount])</f>
        <v>201475100</v>
      </c>
      <c r="AA416" s="15">
        <f>SUMIF(Table1[region],Table1[[#This Row],[region]],Table1[current_balance])</f>
        <v>105779369</v>
      </c>
      <c r="AB416" s="2">
        <f>COUNTIF(Table1[loan_status],Table1[[#This Row],[loan_status]])</f>
        <v>139</v>
      </c>
      <c r="AC416" s="2">
        <f>COUNTIF(Table1[default_flag],1)/ROWS(Table1[loan_id])</f>
        <v>2.5999999999999999E-2</v>
      </c>
      <c r="AD416" s="2">
        <f>COUNTIFS(Table1[region],Table1[[#This Row],[region]],Table1[default_flag],1)/COUNTIF(Table1[region],Table1[[#This Row],[region]])</f>
        <v>2.6548672566371681E-2</v>
      </c>
      <c r="AE416" s="2">
        <f>COUNTIFS(Table1[channel],Table1[[#This Row],[channel]],Table1[prepayment_flag],1)/COUNTIF(Table1[channel],Table1[[#This Row],[channel]])</f>
        <v>7.1090047393364927E-2</v>
      </c>
      <c r="AF416" s="2">
        <f>AVERAGEIFS(Table1[interest_rate_pct],Table1[product],Table1[[#This Row],[product]],Table1[risk_band],Table1[[#This Row],[risk_band]])</f>
        <v>13.042631578947367</v>
      </c>
      <c r="AG416" s="2" t="str" cm="1">
        <f t="array" ref="AG416">_xlfn.IFS(Table1[[#This Row],[dti_ratio]] &lt; 0.2, " less than 0.2", Table1[[#This Row],[dti_ratio]] &lt; 0.3, "0.2 - 0.3", Table1[[#This Row],[dti_ratio]] &lt;= 0.5, "0.35 - 0.5", Table1[[#This Row],[dti_ratio]] &gt; 0.5, "greater than 0.5")</f>
        <v xml:space="preserve"> less than 0.2</v>
      </c>
      <c r="AH416" s="2">
        <f>COUNTIF(Table1[DTI band],Table1[[#This Row],[DTI band]])</f>
        <v>86</v>
      </c>
      <c r="AI416" s="2" t="str" cm="1">
        <f t="array" ref="AI416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416" s="2">
        <f>COUNTIF(Table1[LTV band],Table1[[#This Row],[LTV band]])</f>
        <v>302</v>
      </c>
      <c r="AK416" s="19">
        <f>COUNTIFS(Table1[count_loan_perband],Table1[[#This Row],[count_loan_perband]],Table1[default_flag],1)/COUNTIF(Table1[count_loan_perband],Table1[[#This Row],[count_loan_perband]])</f>
        <v>3.6423841059602648E-2</v>
      </c>
      <c r="AL416" s="19" t="str" cm="1">
        <f t="array" ref="AL416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416" s="19">
        <f>IF(Table1[[#This Row],[dpd]] &gt;=30,1,0)</f>
        <v>0</v>
      </c>
      <c r="AN416" s="19">
        <f>COUNTIFS(Table1[Loan size],Table1[[#This Row],[Loan size]],Table1[dpd flag],1)/COUNTIF(Table1[Loan size],Table1[[#This Row],[Loan size]])</f>
        <v>0.15909090909090909</v>
      </c>
      <c r="AO416" s="19" t="str">
        <f>IF(OR(Table1[[#This Row],[credit_score]] &lt; 600, Table1[ [#This Row],[dti_ratio] ] &gt; 0.5, Table1[[#This Row],[dpd]] &gt;=30), "high risk", " not riskY")</f>
        <v xml:space="preserve"> not riskY</v>
      </c>
      <c r="AP416" s="29">
        <f>EOMONTH(Table1[[#This Row],[origination_date]],0)</f>
        <v>44926</v>
      </c>
      <c r="AQ416" s="19">
        <f>SUMIFS(Table1[loan_amount],Table1[origination month],Table1[[#This Row],[origination month]])</f>
        <v>18330100</v>
      </c>
      <c r="AR416" s="19">
        <f>AVERAGEIFS(Table1[months_on_book],Table1[product],Table1[[#This Row],[product]])</f>
        <v>19.091954022988507</v>
      </c>
      <c r="AS416" s="19" t="str">
        <f ca="1">IF(EDATE(Table1[[#This Row],[origination_date]],6) &gt;= TODAY(), "New Loan", "Old Loan")</f>
        <v>Old Loan</v>
      </c>
      <c r="AT416" s="19" t="str">
        <f>"Q"&amp;ROUNDUP(MONTH(Table1[[#This Row],[origination_date]])/3,0)&amp;YEAR(Table1[[#This Row],[origination_date]])</f>
        <v>Q42022</v>
      </c>
      <c r="AU416" s="19">
        <f>SUMIFS(Table1[loan_amount],Table1[quarter],Table1[[#This Row],[quarter]])</f>
        <v>51169300</v>
      </c>
    </row>
    <row r="417" spans="2:47" x14ac:dyDescent="0.2">
      <c r="B417" s="5" t="s">
        <v>143</v>
      </c>
      <c r="C417" s="2" t="s">
        <v>643</v>
      </c>
      <c r="D417" s="3">
        <v>44904</v>
      </c>
      <c r="E417" s="2" t="s">
        <v>1026</v>
      </c>
      <c r="F417" s="2" t="s">
        <v>1032</v>
      </c>
      <c r="G417" s="2" t="s">
        <v>1033</v>
      </c>
      <c r="H417" s="2" t="s">
        <v>1038</v>
      </c>
      <c r="I417" s="2">
        <v>12</v>
      </c>
      <c r="J417" s="2">
        <v>740300</v>
      </c>
      <c r="K417" s="2">
        <v>15.53</v>
      </c>
      <c r="L417" s="2">
        <v>67004</v>
      </c>
      <c r="M417" s="2">
        <v>1185361</v>
      </c>
      <c r="N417" s="2">
        <v>732</v>
      </c>
      <c r="O417" s="2" t="s">
        <v>1044</v>
      </c>
      <c r="P417" s="2">
        <v>0.17</v>
      </c>
      <c r="Q417" s="2">
        <v>0.78</v>
      </c>
      <c r="R417" s="2">
        <v>0</v>
      </c>
      <c r="S417" s="2">
        <v>12</v>
      </c>
      <c r="T417" s="2">
        <v>719713</v>
      </c>
      <c r="U417" s="2">
        <v>66574</v>
      </c>
      <c r="V417" s="2">
        <v>0</v>
      </c>
      <c r="W417" s="2">
        <v>0</v>
      </c>
      <c r="X417" s="2">
        <v>0</v>
      </c>
      <c r="Y417" s="2" t="s">
        <v>1047</v>
      </c>
      <c r="Z417" s="12">
        <f>SUMIF(Table1[product],Table1[[#This Row],[product]],Table1[loan_amount])</f>
        <v>74897600</v>
      </c>
      <c r="AA417" s="15">
        <f>SUMIF(Table1[region],Table1[[#This Row],[region]],Table1[current_balance])</f>
        <v>83297251</v>
      </c>
      <c r="AB417" s="2">
        <f>COUNTIF(Table1[loan_status],Table1[[#This Row],[loan_status]])</f>
        <v>139</v>
      </c>
      <c r="AC417" s="2">
        <f>COUNTIF(Table1[default_flag],1)/ROWS(Table1[loan_id])</f>
        <v>2.5999999999999999E-2</v>
      </c>
      <c r="AD417" s="2">
        <f>COUNTIFS(Table1[region],Table1[[#This Row],[region]],Table1[default_flag],1)/COUNTIF(Table1[region],Table1[[#This Row],[region]])</f>
        <v>3.1914893617021274E-2</v>
      </c>
      <c r="AE417" s="2">
        <f>COUNTIFS(Table1[channel],Table1[[#This Row],[channel]],Table1[prepayment_flag],1)/COUNTIF(Table1[channel],Table1[[#This Row],[channel]])</f>
        <v>0.1</v>
      </c>
      <c r="AF417" s="2">
        <f>AVERAGEIFS(Table1[interest_rate_pct],Table1[product],Table1[[#This Row],[product]],Table1[risk_band],Table1[[#This Row],[risk_band]])</f>
        <v>16.500166666666669</v>
      </c>
      <c r="AG417" s="2" t="str" cm="1">
        <f t="array" ref="AG417">_xlfn.IFS(Table1[[#This Row],[dti_ratio]] &lt; 0.2, " less than 0.2", Table1[[#This Row],[dti_ratio]] &lt; 0.3, "0.2 - 0.3", Table1[[#This Row],[dti_ratio]] &lt;= 0.5, "0.35 - 0.5", Table1[[#This Row],[dti_ratio]] &gt; 0.5, "greater than 0.5")</f>
        <v xml:space="preserve"> less than 0.2</v>
      </c>
      <c r="AH417" s="2">
        <f>COUNTIF(Table1[DTI band],Table1[[#This Row],[DTI band]])</f>
        <v>86</v>
      </c>
      <c r="AI417" s="2" t="str" cm="1">
        <f t="array" ref="AI417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417" s="2">
        <f>COUNTIF(Table1[LTV band],Table1[[#This Row],[LTV band]])</f>
        <v>302</v>
      </c>
      <c r="AK417" s="19">
        <f>COUNTIFS(Table1[count_loan_perband],Table1[[#This Row],[count_loan_perband]],Table1[default_flag],1)/COUNTIF(Table1[count_loan_perband],Table1[[#This Row],[count_loan_perband]])</f>
        <v>3.6423841059602648E-2</v>
      </c>
      <c r="AL417" s="19" t="str" cm="1">
        <f t="array" ref="AL417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417" s="19">
        <f>IF(Table1[[#This Row],[dpd]] &gt;=30,1,0)</f>
        <v>0</v>
      </c>
      <c r="AN417" s="19">
        <f>COUNTIFS(Table1[Loan size],Table1[[#This Row],[Loan size]],Table1[dpd flag],1)/COUNTIF(Table1[Loan size],Table1[[#This Row],[Loan size]])</f>
        <v>0.13934426229508196</v>
      </c>
      <c r="AO417" s="19" t="str">
        <f>IF(OR(Table1[[#This Row],[credit_score]] &lt; 600, Table1[ [#This Row],[dti_ratio] ] &gt; 0.5, Table1[[#This Row],[dpd]] &gt;=30), "high risk", " not riskY")</f>
        <v xml:space="preserve"> not riskY</v>
      </c>
      <c r="AP417" s="29">
        <f>EOMONTH(Table1[[#This Row],[origination_date]],0)</f>
        <v>44926</v>
      </c>
      <c r="AQ417" s="19">
        <f>SUMIFS(Table1[loan_amount],Table1[origination month],Table1[[#This Row],[origination month]])</f>
        <v>18330100</v>
      </c>
      <c r="AR417" s="19">
        <f>AVERAGEIFS(Table1[months_on_book],Table1[product],Table1[[#This Row],[product]])</f>
        <v>21.092024539877301</v>
      </c>
      <c r="AS417" s="19" t="str">
        <f ca="1">IF(EDATE(Table1[[#This Row],[origination_date]],6) &gt;= TODAY(), "New Loan", "Old Loan")</f>
        <v>Old Loan</v>
      </c>
      <c r="AT417" s="19" t="str">
        <f>"Q"&amp;ROUNDUP(MONTH(Table1[[#This Row],[origination_date]])/3,0)&amp;YEAR(Table1[[#This Row],[origination_date]])</f>
        <v>Q42022</v>
      </c>
      <c r="AU417" s="19">
        <f>SUMIFS(Table1[loan_amount],Table1[quarter],Table1[[#This Row],[quarter]])</f>
        <v>51169300</v>
      </c>
    </row>
    <row r="418" spans="2:47" x14ac:dyDescent="0.2">
      <c r="B418" s="5" t="s">
        <v>449</v>
      </c>
      <c r="C418" s="2" t="s">
        <v>949</v>
      </c>
      <c r="D418" s="3">
        <v>44848</v>
      </c>
      <c r="E418" s="2" t="s">
        <v>1027</v>
      </c>
      <c r="F418" s="2" t="s">
        <v>1029</v>
      </c>
      <c r="G418" s="2" t="s">
        <v>1033</v>
      </c>
      <c r="H418" s="2" t="s">
        <v>1038</v>
      </c>
      <c r="I418" s="2">
        <v>36</v>
      </c>
      <c r="J418" s="2">
        <v>3655400</v>
      </c>
      <c r="K418" s="2">
        <v>13.27</v>
      </c>
      <c r="L418" s="2">
        <v>123641</v>
      </c>
      <c r="M418" s="2">
        <v>1278823</v>
      </c>
      <c r="N418" s="2">
        <v>635</v>
      </c>
      <c r="O418" s="2" t="s">
        <v>1045</v>
      </c>
      <c r="P418" s="2">
        <v>0.14000000000000001</v>
      </c>
      <c r="Q418" s="2">
        <v>0.72</v>
      </c>
      <c r="R418" s="2">
        <v>5090800</v>
      </c>
      <c r="S418" s="2">
        <v>36</v>
      </c>
      <c r="T418" s="2">
        <v>3990510</v>
      </c>
      <c r="U418" s="2">
        <v>246976</v>
      </c>
      <c r="V418" s="2">
        <v>0</v>
      </c>
      <c r="W418" s="2">
        <v>0</v>
      </c>
      <c r="X418" s="2">
        <v>0</v>
      </c>
      <c r="Y418" s="2" t="s">
        <v>1047</v>
      </c>
      <c r="Z418" s="12">
        <f>SUMIF(Table1[product],Table1[[#This Row],[product]],Table1[loan_amount])</f>
        <v>403369500</v>
      </c>
      <c r="AA418" s="15">
        <f>SUMIF(Table1[region],Table1[[#This Row],[region]],Table1[current_balance])</f>
        <v>83297251</v>
      </c>
      <c r="AB418" s="2">
        <f>COUNTIF(Table1[loan_status],Table1[[#This Row],[loan_status]])</f>
        <v>139</v>
      </c>
      <c r="AC418" s="2">
        <f>COUNTIF(Table1[default_flag],1)/ROWS(Table1[loan_id])</f>
        <v>2.5999999999999999E-2</v>
      </c>
      <c r="AD418" s="2">
        <f>COUNTIFS(Table1[region],Table1[[#This Row],[region]],Table1[default_flag],1)/COUNTIF(Table1[region],Table1[[#This Row],[region]])</f>
        <v>3.1914893617021274E-2</v>
      </c>
      <c r="AE418" s="2">
        <f>COUNTIFS(Table1[channel],Table1[[#This Row],[channel]],Table1[prepayment_flag],1)/COUNTIF(Table1[channel],Table1[[#This Row],[channel]])</f>
        <v>7.1090047393364927E-2</v>
      </c>
      <c r="AF418" s="2">
        <f>AVERAGEIFS(Table1[interest_rate_pct],Table1[product],Table1[[#This Row],[product]],Table1[risk_band],Table1[[#This Row],[risk_band]])</f>
        <v>13.406874999999999</v>
      </c>
      <c r="AG418" s="2" t="str" cm="1">
        <f t="array" ref="AG418">_xlfn.IFS(Table1[[#This Row],[dti_ratio]] &lt; 0.2, " less than 0.2", Table1[[#This Row],[dti_ratio]] &lt; 0.3, "0.2 - 0.3", Table1[[#This Row],[dti_ratio]] &lt;= 0.5, "0.35 - 0.5", Table1[[#This Row],[dti_ratio]] &gt; 0.5, "greater than 0.5")</f>
        <v xml:space="preserve"> less than 0.2</v>
      </c>
      <c r="AH418" s="2">
        <f>COUNTIF(Table1[DTI band],Table1[[#This Row],[DTI band]])</f>
        <v>86</v>
      </c>
      <c r="AI418" s="2" t="str" cm="1">
        <f t="array" ref="AI418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418" s="2">
        <f>COUNTIF(Table1[LTV band],Table1[[#This Row],[LTV band]])</f>
        <v>302</v>
      </c>
      <c r="AK418" s="19">
        <f>COUNTIFS(Table1[count_loan_perband],Table1[[#This Row],[count_loan_perband]],Table1[default_flag],1)/COUNTIF(Table1[count_loan_perband],Table1[[#This Row],[count_loan_perband]])</f>
        <v>3.6423841059602648E-2</v>
      </c>
      <c r="AL418" s="19" t="str" cm="1">
        <f t="array" ref="AL418">_xlfn.IFS(Table1[[#This Row],[loan_amount]] &lt; 900000, "lower size (&lt; 9L)", Table1[[#This Row],[loan_amount]] &lt;=3300000, "medium size (&lt;=33L)", Table1[[#This Row],[loan_amount]] &gt; 3300000, "larger size (&gt; 33L)")</f>
        <v>larger size (&gt; 33L)</v>
      </c>
      <c r="AM418" s="19">
        <f>IF(Table1[[#This Row],[dpd]] &gt;=30,1,0)</f>
        <v>0</v>
      </c>
      <c r="AN418" s="19">
        <f>COUNTIFS(Table1[Loan size],Table1[[#This Row],[Loan size]],Table1[dpd flag],1)/COUNTIF(Table1[Loan size],Table1[[#This Row],[Loan size]])</f>
        <v>0.16250000000000001</v>
      </c>
      <c r="AO418" s="19" t="str">
        <f>IF(OR(Table1[[#This Row],[credit_score]] &lt; 600, Table1[ [#This Row],[dti_ratio] ] &gt; 0.5, Table1[[#This Row],[dpd]] &gt;=30), "high risk", " not riskY")</f>
        <v xml:space="preserve"> not riskY</v>
      </c>
      <c r="AP418" s="29">
        <f>EOMONTH(Table1[[#This Row],[origination_date]],0)</f>
        <v>44865</v>
      </c>
      <c r="AQ418" s="19">
        <f>SUMIFS(Table1[loan_amount],Table1[origination month],Table1[[#This Row],[origination month]])</f>
        <v>16527000</v>
      </c>
      <c r="AR418" s="19">
        <f>AVERAGEIFS(Table1[months_on_book],Table1[product],Table1[[#This Row],[product]])</f>
        <v>20.516129032258064</v>
      </c>
      <c r="AS418" s="19" t="str">
        <f ca="1">IF(EDATE(Table1[[#This Row],[origination_date]],6) &gt;= TODAY(), "New Loan", "Old Loan")</f>
        <v>Old Loan</v>
      </c>
      <c r="AT418" s="19" t="str">
        <f>"Q"&amp;ROUNDUP(MONTH(Table1[[#This Row],[origination_date]])/3,0)&amp;YEAR(Table1[[#This Row],[origination_date]])</f>
        <v>Q42022</v>
      </c>
      <c r="AU418" s="19">
        <f>SUMIFS(Table1[loan_amount],Table1[quarter],Table1[[#This Row],[quarter]])</f>
        <v>51169300</v>
      </c>
    </row>
    <row r="419" spans="2:47" x14ac:dyDescent="0.2">
      <c r="B419" s="5" t="s">
        <v>337</v>
      </c>
      <c r="C419" s="2" t="s">
        <v>837</v>
      </c>
      <c r="D419" s="3">
        <v>44907</v>
      </c>
      <c r="E419" s="2" t="s">
        <v>1028</v>
      </c>
      <c r="F419" s="2" t="s">
        <v>1030</v>
      </c>
      <c r="G419" s="2" t="s">
        <v>1035</v>
      </c>
      <c r="H419" s="2" t="s">
        <v>1039</v>
      </c>
      <c r="I419" s="2">
        <v>240</v>
      </c>
      <c r="J419" s="2">
        <v>1494700</v>
      </c>
      <c r="K419" s="2">
        <v>12.15</v>
      </c>
      <c r="L419" s="2">
        <v>16615</v>
      </c>
      <c r="M419" s="2">
        <v>534158</v>
      </c>
      <c r="N419" s="2">
        <v>675</v>
      </c>
      <c r="O419" s="2" t="s">
        <v>1042</v>
      </c>
      <c r="P419" s="2">
        <v>0.05</v>
      </c>
      <c r="Q419" s="2">
        <v>0.79</v>
      </c>
      <c r="R419" s="2">
        <v>0</v>
      </c>
      <c r="S419" s="2">
        <v>36</v>
      </c>
      <c r="T419" s="2">
        <v>545517</v>
      </c>
      <c r="U419" s="2">
        <v>1167110</v>
      </c>
      <c r="V419" s="2">
        <v>0</v>
      </c>
      <c r="W419" s="2">
        <v>0</v>
      </c>
      <c r="X419" s="2">
        <v>0</v>
      </c>
      <c r="Y419" s="2" t="s">
        <v>1049</v>
      </c>
      <c r="Z419" s="12">
        <f>SUMIF(Table1[product],Table1[[#This Row],[product]],Table1[loan_amount])</f>
        <v>62765800</v>
      </c>
      <c r="AA419" s="15">
        <f>SUMIF(Table1[region],Table1[[#This Row],[region]],Table1[current_balance])</f>
        <v>83903255</v>
      </c>
      <c r="AB419" s="2">
        <f>COUNTIF(Table1[loan_status],Table1[[#This Row],[loan_status]])</f>
        <v>301</v>
      </c>
      <c r="AC419" s="2">
        <f>COUNTIF(Table1[default_flag],1)/ROWS(Table1[loan_id])</f>
        <v>2.5999999999999999E-2</v>
      </c>
      <c r="AD419" s="2">
        <f>COUNTIFS(Table1[region],Table1[[#This Row],[region]],Table1[default_flag],1)/COUNTIF(Table1[region],Table1[[#This Row],[region]])</f>
        <v>4.2553191489361701E-2</v>
      </c>
      <c r="AE419" s="2">
        <f>COUNTIFS(Table1[channel],Table1[[#This Row],[channel]],Table1[prepayment_flag],1)/COUNTIF(Table1[channel],Table1[[#This Row],[channel]])</f>
        <v>5.8201058201058198E-2</v>
      </c>
      <c r="AF419" s="2">
        <f>AVERAGEIFS(Table1[interest_rate_pct],Table1[product],Table1[[#This Row],[product]],Table1[risk_band],Table1[[#This Row],[risk_band]])</f>
        <v>13.463888888888889</v>
      </c>
      <c r="AG419" s="2" t="str" cm="1">
        <f t="array" ref="AG419">_xlfn.IFS(Table1[[#This Row],[dti_ratio]] &lt; 0.2, " less than 0.2", Table1[[#This Row],[dti_ratio]] &lt; 0.3, "0.2 - 0.3", Table1[[#This Row],[dti_ratio]] &lt;= 0.5, "0.35 - 0.5", Table1[[#This Row],[dti_ratio]] &gt; 0.5, "greater than 0.5")</f>
        <v xml:space="preserve"> less than 0.2</v>
      </c>
      <c r="AH419" s="2">
        <f>COUNTIF(Table1[DTI band],Table1[[#This Row],[DTI band]])</f>
        <v>86</v>
      </c>
      <c r="AI419" s="2" t="str" cm="1">
        <f t="array" ref="AI419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419" s="2">
        <f>COUNTIF(Table1[LTV band],Table1[[#This Row],[LTV band]])</f>
        <v>302</v>
      </c>
      <c r="AK419" s="19">
        <f>COUNTIFS(Table1[count_loan_perband],Table1[[#This Row],[count_loan_perband]],Table1[default_flag],1)/COUNTIF(Table1[count_loan_perband],Table1[[#This Row],[count_loan_perband]])</f>
        <v>3.6423841059602648E-2</v>
      </c>
      <c r="AL419" s="19" t="str" cm="1">
        <f t="array" ref="AL419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419" s="19">
        <f>IF(Table1[[#This Row],[dpd]] &gt;=30,1,0)</f>
        <v>0</v>
      </c>
      <c r="AN419" s="19">
        <f>COUNTIFS(Table1[Loan size],Table1[[#This Row],[Loan size]],Table1[dpd flag],1)/COUNTIF(Table1[Loan size],Table1[[#This Row],[Loan size]])</f>
        <v>0.15909090909090909</v>
      </c>
      <c r="AO419" s="19" t="str">
        <f>IF(OR(Table1[[#This Row],[credit_score]] &lt; 600, Table1[ [#This Row],[dti_ratio] ] &gt; 0.5, Table1[[#This Row],[dpd]] &gt;=30), "high risk", " not riskY")</f>
        <v xml:space="preserve"> not riskY</v>
      </c>
      <c r="AP419" s="29">
        <f>EOMONTH(Table1[[#This Row],[origination_date]],0)</f>
        <v>44926</v>
      </c>
      <c r="AQ419" s="19">
        <f>SUMIFS(Table1[loan_amount],Table1[origination month],Table1[[#This Row],[origination month]])</f>
        <v>18330100</v>
      </c>
      <c r="AR419" s="19">
        <f>AVERAGEIFS(Table1[months_on_book],Table1[product],Table1[[#This Row],[product]])</f>
        <v>21.962962962962962</v>
      </c>
      <c r="AS419" s="19" t="str">
        <f ca="1">IF(EDATE(Table1[[#This Row],[origination_date]],6) &gt;= TODAY(), "New Loan", "Old Loan")</f>
        <v>Old Loan</v>
      </c>
      <c r="AT419" s="19" t="str">
        <f>"Q"&amp;ROUNDUP(MONTH(Table1[[#This Row],[origination_date]])/3,0)&amp;YEAR(Table1[[#This Row],[origination_date]])</f>
        <v>Q42022</v>
      </c>
      <c r="AU419" s="19">
        <f>SUMIFS(Table1[loan_amount],Table1[quarter],Table1[[#This Row],[quarter]])</f>
        <v>51169300</v>
      </c>
    </row>
    <row r="420" spans="2:47" x14ac:dyDescent="0.2">
      <c r="B420" s="5" t="s">
        <v>282</v>
      </c>
      <c r="C420" s="2" t="s">
        <v>782</v>
      </c>
      <c r="D420" s="3">
        <v>45283</v>
      </c>
      <c r="E420" s="2" t="s">
        <v>1024</v>
      </c>
      <c r="F420" s="2" t="s">
        <v>1030</v>
      </c>
      <c r="G420" s="2" t="s">
        <v>1036</v>
      </c>
      <c r="H420" s="2" t="s">
        <v>1040</v>
      </c>
      <c r="I420" s="2">
        <v>48</v>
      </c>
      <c r="J420" s="2">
        <v>709100</v>
      </c>
      <c r="K420" s="2">
        <v>16.57</v>
      </c>
      <c r="L420" s="2">
        <v>20304</v>
      </c>
      <c r="M420" s="2">
        <v>612054</v>
      </c>
      <c r="N420" s="2">
        <v>616</v>
      </c>
      <c r="O420" s="2" t="s">
        <v>1045</v>
      </c>
      <c r="P420" s="2">
        <v>0.62</v>
      </c>
      <c r="Q420" s="2">
        <v>0.51</v>
      </c>
      <c r="R420" s="2">
        <v>1388800</v>
      </c>
      <c r="S420" s="2">
        <v>24</v>
      </c>
      <c r="T420" s="2">
        <v>438611</v>
      </c>
      <c r="U420" s="2">
        <v>364487</v>
      </c>
      <c r="V420" s="2">
        <v>0</v>
      </c>
      <c r="W420" s="2">
        <v>0</v>
      </c>
      <c r="X420" s="2">
        <v>0</v>
      </c>
      <c r="Y420" s="2" t="s">
        <v>1049</v>
      </c>
      <c r="Z420" s="12">
        <f>SUMIF(Table1[product],Table1[[#This Row],[product]],Table1[loan_amount])</f>
        <v>92273000</v>
      </c>
      <c r="AA420" s="15">
        <f>SUMIF(Table1[region],Table1[[#This Row],[region]],Table1[current_balance])</f>
        <v>98928695</v>
      </c>
      <c r="AB420" s="2">
        <f>COUNTIF(Table1[loan_status],Table1[[#This Row],[loan_status]])</f>
        <v>301</v>
      </c>
      <c r="AC420" s="2">
        <f>COUNTIF(Table1[default_flag],1)/ROWS(Table1[loan_id])</f>
        <v>2.5999999999999999E-2</v>
      </c>
      <c r="AD420" s="2">
        <f>COUNTIFS(Table1[region],Table1[[#This Row],[region]],Table1[default_flag],1)/COUNTIF(Table1[region],Table1[[#This Row],[region]])</f>
        <v>2.8571428571428571E-2</v>
      </c>
      <c r="AE420" s="2">
        <f>COUNTIFS(Table1[channel],Table1[[#This Row],[channel]],Table1[prepayment_flag],1)/COUNTIF(Table1[channel],Table1[[#This Row],[channel]])</f>
        <v>5.8201058201058198E-2</v>
      </c>
      <c r="AF420" s="2">
        <f>AVERAGEIFS(Table1[interest_rate_pct],Table1[product],Table1[[#This Row],[product]],Table1[risk_band],Table1[[#This Row],[risk_band]])</f>
        <v>15.092000000000001</v>
      </c>
      <c r="AG420" s="2" t="str" cm="1">
        <f t="array" ref="AG420">_xlfn.IFS(Table1[[#This Row],[dti_ratio]] &lt; 0.2, " less than 0.2", Table1[[#This Row],[dti_ratio]] &lt; 0.3, "0.2 - 0.3", Table1[[#This Row],[dti_ratio]] &lt;= 0.5, "0.35 - 0.5", Table1[[#This Row],[dti_ratio]] &gt; 0.5, "greater than 0.5")</f>
        <v>greater than 0.5</v>
      </c>
      <c r="AH420" s="2">
        <f>COUNTIF(Table1[DTI band],Table1[[#This Row],[DTI band]])</f>
        <v>32</v>
      </c>
      <c r="AI420" s="2" t="str" cm="1">
        <f t="array" ref="AI420">_xlfn.IFS(Table1[[#This Row],[ltv_ratio]] &lt; 0.6, "less than 0.6 -less risky", Table1[[#This Row],[ltv_ratio]]  &lt;= 0.8, "0.6 - 0.8 -medium risky",Table1[[#This Row],[ltv_ratio]] &gt; 0.8, "greater than 0.8 -highly risky")</f>
        <v>less than 0.6 -less risky</v>
      </c>
      <c r="AJ420" s="2">
        <f>COUNTIF(Table1[LTV band],Table1[[#This Row],[LTV band]])</f>
        <v>57</v>
      </c>
      <c r="AK420" s="19">
        <f>COUNTIFS(Table1[count_loan_perband],Table1[[#This Row],[count_loan_perband]],Table1[default_flag],1)/COUNTIF(Table1[count_loan_perband],Table1[[#This Row],[count_loan_perband]])</f>
        <v>0</v>
      </c>
      <c r="AL420" s="19" t="str" cm="1">
        <f t="array" ref="AL420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420" s="19">
        <f>IF(Table1[[#This Row],[dpd]] &gt;=30,1,0)</f>
        <v>0</v>
      </c>
      <c r="AN420" s="19">
        <f>COUNTIFS(Table1[Loan size],Table1[[#This Row],[Loan size]],Table1[dpd flag],1)/COUNTIF(Table1[Loan size],Table1[[#This Row],[Loan size]])</f>
        <v>0.13934426229508196</v>
      </c>
      <c r="AO420" s="19" t="str">
        <f>IF(OR(Table1[[#This Row],[credit_score]] &lt; 600, Table1[ [#This Row],[dti_ratio] ] &gt; 0.5, Table1[[#This Row],[dpd]] &gt;=30), "high risk", " not riskY")</f>
        <v>high risk</v>
      </c>
      <c r="AP420" s="29">
        <f>EOMONTH(Table1[[#This Row],[origination_date]],0)</f>
        <v>45291</v>
      </c>
      <c r="AQ420" s="19">
        <f>SUMIFS(Table1[loan_amount],Table1[origination month],Table1[[#This Row],[origination month]])</f>
        <v>28085400</v>
      </c>
      <c r="AR420" s="19">
        <f>AVERAGEIFS(Table1[months_on_book],Table1[product],Table1[[#This Row],[product]])</f>
        <v>20.262135922330096</v>
      </c>
      <c r="AS420" s="19" t="str">
        <f ca="1">IF(EDATE(Table1[[#This Row],[origination_date]],6) &gt;= TODAY(), "New Loan", "Old Loan")</f>
        <v>Old Loan</v>
      </c>
      <c r="AT420" s="19" t="str">
        <f>"Q"&amp;ROUNDUP(MONTH(Table1[[#This Row],[origination_date]])/3,0)&amp;YEAR(Table1[[#This Row],[origination_date]])</f>
        <v>Q42023</v>
      </c>
      <c r="AU420" s="19">
        <f>SUMIFS(Table1[loan_amount],Table1[quarter],Table1[[#This Row],[quarter]])</f>
        <v>58386700</v>
      </c>
    </row>
    <row r="421" spans="2:47" x14ac:dyDescent="0.2">
      <c r="B421" s="5" t="s">
        <v>72</v>
      </c>
      <c r="C421" s="2" t="s">
        <v>572</v>
      </c>
      <c r="D421" s="3">
        <v>45243</v>
      </c>
      <c r="E421" s="2" t="s">
        <v>1026</v>
      </c>
      <c r="F421" s="2" t="s">
        <v>1029</v>
      </c>
      <c r="G421" s="2" t="s">
        <v>1033</v>
      </c>
      <c r="H421" s="2" t="s">
        <v>1038</v>
      </c>
      <c r="I421" s="2">
        <v>60</v>
      </c>
      <c r="J421" s="2">
        <v>614100</v>
      </c>
      <c r="K421" s="2">
        <v>21.86</v>
      </c>
      <c r="L421" s="2">
        <v>16912</v>
      </c>
      <c r="M421" s="2">
        <v>1970836</v>
      </c>
      <c r="N421" s="2">
        <v>630</v>
      </c>
      <c r="O421" s="2" t="s">
        <v>1045</v>
      </c>
      <c r="P421" s="2">
        <v>0.52</v>
      </c>
      <c r="Q421" s="2">
        <v>0.66</v>
      </c>
      <c r="R421" s="2">
        <v>0</v>
      </c>
      <c r="S421" s="2">
        <v>25</v>
      </c>
      <c r="T421" s="2">
        <v>409131</v>
      </c>
      <c r="U421" s="2">
        <v>316838</v>
      </c>
      <c r="V421" s="2">
        <v>0</v>
      </c>
      <c r="W421" s="2">
        <v>0</v>
      </c>
      <c r="X421" s="2">
        <v>0</v>
      </c>
      <c r="Y421" s="2" t="s">
        <v>1049</v>
      </c>
      <c r="Z421" s="12">
        <f>SUMIF(Table1[product],Table1[[#This Row],[product]],Table1[loan_amount])</f>
        <v>74897600</v>
      </c>
      <c r="AA421" s="15">
        <f>SUMIF(Table1[region],Table1[[#This Row],[region]],Table1[current_balance])</f>
        <v>83297251</v>
      </c>
      <c r="AB421" s="2">
        <f>COUNTIF(Table1[loan_status],Table1[[#This Row],[loan_status]])</f>
        <v>301</v>
      </c>
      <c r="AC421" s="2">
        <f>COUNTIF(Table1[default_flag],1)/ROWS(Table1[loan_id])</f>
        <v>2.5999999999999999E-2</v>
      </c>
      <c r="AD421" s="2">
        <f>COUNTIFS(Table1[region],Table1[[#This Row],[region]],Table1[default_flag],1)/COUNTIF(Table1[region],Table1[[#This Row],[region]])</f>
        <v>3.1914893617021274E-2</v>
      </c>
      <c r="AE421" s="2">
        <f>COUNTIFS(Table1[channel],Table1[[#This Row],[channel]],Table1[prepayment_flag],1)/COUNTIF(Table1[channel],Table1[[#This Row],[channel]])</f>
        <v>7.1090047393364927E-2</v>
      </c>
      <c r="AF421" s="2">
        <f>AVERAGEIFS(Table1[interest_rate_pct],Table1[product],Table1[[#This Row],[product]],Table1[risk_band],Table1[[#This Row],[risk_band]])</f>
        <v>20.962592592592593</v>
      </c>
      <c r="AG421" s="2" t="str" cm="1">
        <f t="array" ref="AG421">_xlfn.IFS(Table1[[#This Row],[dti_ratio]] &lt; 0.2, " less than 0.2", Table1[[#This Row],[dti_ratio]] &lt; 0.3, "0.2 - 0.3", Table1[[#This Row],[dti_ratio]] &lt;= 0.5, "0.35 - 0.5", Table1[[#This Row],[dti_ratio]] &gt; 0.5, "greater than 0.5")</f>
        <v>greater than 0.5</v>
      </c>
      <c r="AH421" s="2">
        <f>COUNTIF(Table1[DTI band],Table1[[#This Row],[DTI band]])</f>
        <v>32</v>
      </c>
      <c r="AI421" s="2" t="str" cm="1">
        <f t="array" ref="AI421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421" s="2">
        <f>COUNTIF(Table1[LTV band],Table1[[#This Row],[LTV band]])</f>
        <v>302</v>
      </c>
      <c r="AK421" s="19">
        <f>COUNTIFS(Table1[count_loan_perband],Table1[[#This Row],[count_loan_perband]],Table1[default_flag],1)/COUNTIF(Table1[count_loan_perband],Table1[[#This Row],[count_loan_perband]])</f>
        <v>3.6423841059602648E-2</v>
      </c>
      <c r="AL421" s="19" t="str" cm="1">
        <f t="array" ref="AL421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421" s="19">
        <f>IF(Table1[[#This Row],[dpd]] &gt;=30,1,0)</f>
        <v>0</v>
      </c>
      <c r="AN421" s="19">
        <f>COUNTIFS(Table1[Loan size],Table1[[#This Row],[Loan size]],Table1[dpd flag],1)/COUNTIF(Table1[Loan size],Table1[[#This Row],[Loan size]])</f>
        <v>0.13934426229508196</v>
      </c>
      <c r="AO421" s="19" t="str">
        <f>IF(OR(Table1[[#This Row],[credit_score]] &lt; 600, Table1[ [#This Row],[dti_ratio] ] &gt; 0.5, Table1[[#This Row],[dpd]] &gt;=30), "high risk", " not riskY")</f>
        <v>high risk</v>
      </c>
      <c r="AP421" s="29">
        <f>EOMONTH(Table1[[#This Row],[origination_date]],0)</f>
        <v>45260</v>
      </c>
      <c r="AQ421" s="19">
        <f>SUMIFS(Table1[loan_amount],Table1[origination month],Table1[[#This Row],[origination month]])</f>
        <v>5279700</v>
      </c>
      <c r="AR421" s="19">
        <f>AVERAGEIFS(Table1[months_on_book],Table1[product],Table1[[#This Row],[product]])</f>
        <v>21.092024539877301</v>
      </c>
      <c r="AS421" s="19" t="str">
        <f ca="1">IF(EDATE(Table1[[#This Row],[origination_date]],6) &gt;= TODAY(), "New Loan", "Old Loan")</f>
        <v>Old Loan</v>
      </c>
      <c r="AT421" s="19" t="str">
        <f>"Q"&amp;ROUNDUP(MONTH(Table1[[#This Row],[origination_date]])/3,0)&amp;YEAR(Table1[[#This Row],[origination_date]])</f>
        <v>Q42023</v>
      </c>
      <c r="AU421" s="19">
        <f>SUMIFS(Table1[loan_amount],Table1[quarter],Table1[[#This Row],[quarter]])</f>
        <v>58386700</v>
      </c>
    </row>
    <row r="422" spans="2:47" x14ac:dyDescent="0.2">
      <c r="B422" s="5" t="s">
        <v>91</v>
      </c>
      <c r="C422" s="2" t="s">
        <v>591</v>
      </c>
      <c r="D422" s="3">
        <v>45288</v>
      </c>
      <c r="E422" s="2" t="s">
        <v>1027</v>
      </c>
      <c r="F422" s="2" t="s">
        <v>1029</v>
      </c>
      <c r="G422" s="2" t="s">
        <v>1034</v>
      </c>
      <c r="H422" s="2" t="s">
        <v>1038</v>
      </c>
      <c r="I422" s="2">
        <v>120</v>
      </c>
      <c r="J422" s="2">
        <v>5751700</v>
      </c>
      <c r="K422" s="2">
        <v>12.79</v>
      </c>
      <c r="L422" s="2">
        <v>85168</v>
      </c>
      <c r="M422" s="2">
        <v>1281731</v>
      </c>
      <c r="N422" s="2">
        <v>658</v>
      </c>
      <c r="O422" s="2" t="s">
        <v>1042</v>
      </c>
      <c r="P422" s="2">
        <v>0.49</v>
      </c>
      <c r="Q422" s="2">
        <v>0.82</v>
      </c>
      <c r="R422" s="2">
        <v>7029300</v>
      </c>
      <c r="S422" s="2">
        <v>24</v>
      </c>
      <c r="T422" s="2">
        <v>2083842</v>
      </c>
      <c r="U422" s="2">
        <v>4256372</v>
      </c>
      <c r="V422" s="2">
        <v>0</v>
      </c>
      <c r="W422" s="2">
        <v>0</v>
      </c>
      <c r="X422" s="2">
        <v>0</v>
      </c>
      <c r="Y422" s="2" t="s">
        <v>1049</v>
      </c>
      <c r="Z422" s="12">
        <f>SUMIF(Table1[product],Table1[[#This Row],[product]],Table1[loan_amount])</f>
        <v>403369500</v>
      </c>
      <c r="AA422" s="15">
        <f>SUMIF(Table1[region],Table1[[#This Row],[region]],Table1[current_balance])</f>
        <v>105779369</v>
      </c>
      <c r="AB422" s="2">
        <f>COUNTIF(Table1[loan_status],Table1[[#This Row],[loan_status]])</f>
        <v>301</v>
      </c>
      <c r="AC422" s="2">
        <f>COUNTIF(Table1[default_flag],1)/ROWS(Table1[loan_id])</f>
        <v>2.5999999999999999E-2</v>
      </c>
      <c r="AD422" s="2">
        <f>COUNTIFS(Table1[region],Table1[[#This Row],[region]],Table1[default_flag],1)/COUNTIF(Table1[region],Table1[[#This Row],[region]])</f>
        <v>2.6548672566371681E-2</v>
      </c>
      <c r="AE422" s="2">
        <f>COUNTIFS(Table1[channel],Table1[[#This Row],[channel]],Table1[prepayment_flag],1)/COUNTIF(Table1[channel],Table1[[#This Row],[channel]])</f>
        <v>7.1090047393364927E-2</v>
      </c>
      <c r="AF422" s="2">
        <f>AVERAGEIFS(Table1[interest_rate_pct],Table1[product],Table1[[#This Row],[product]],Table1[risk_band],Table1[[#This Row],[risk_band]])</f>
        <v>11.719736842105268</v>
      </c>
      <c r="AG422" s="2" t="str" cm="1">
        <f t="array" ref="AG422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422" s="2">
        <f>COUNTIF(Table1[DTI band],Table1[[#This Row],[DTI band]])</f>
        <v>260</v>
      </c>
      <c r="AI422" s="2" t="str" cm="1">
        <f t="array" ref="AI422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422" s="2">
        <f>COUNTIF(Table1[LTV band],Table1[[#This Row],[LTV band]])</f>
        <v>141</v>
      </c>
      <c r="AK422" s="19">
        <f>COUNTIFS(Table1[count_loan_perband],Table1[[#This Row],[count_loan_perband]],Table1[default_flag],1)/COUNTIF(Table1[count_loan_perband],Table1[[#This Row],[count_loan_perband]])</f>
        <v>1.4184397163120567E-2</v>
      </c>
      <c r="AL422" s="19" t="str" cm="1">
        <f t="array" ref="AL422">_xlfn.IFS(Table1[[#This Row],[loan_amount]] &lt; 900000, "lower size (&lt; 9L)", Table1[[#This Row],[loan_amount]] &lt;=3300000, "medium size (&lt;=33L)", Table1[[#This Row],[loan_amount]] &gt; 3300000, "larger size (&gt; 33L)")</f>
        <v>larger size (&gt; 33L)</v>
      </c>
      <c r="AM422" s="19">
        <f>IF(Table1[[#This Row],[dpd]] &gt;=30,1,0)</f>
        <v>0</v>
      </c>
      <c r="AN422" s="19">
        <f>COUNTIFS(Table1[Loan size],Table1[[#This Row],[Loan size]],Table1[dpd flag],1)/COUNTIF(Table1[Loan size],Table1[[#This Row],[Loan size]])</f>
        <v>0.16250000000000001</v>
      </c>
      <c r="AO422" s="19" t="str">
        <f>IF(OR(Table1[[#This Row],[credit_score]] &lt; 600, Table1[ [#This Row],[dti_ratio] ] &gt; 0.5, Table1[[#This Row],[dpd]] &gt;=30), "high risk", " not riskY")</f>
        <v xml:space="preserve"> not riskY</v>
      </c>
      <c r="AP422" s="29">
        <f>EOMONTH(Table1[[#This Row],[origination_date]],0)</f>
        <v>45291</v>
      </c>
      <c r="AQ422" s="19">
        <f>SUMIFS(Table1[loan_amount],Table1[origination month],Table1[[#This Row],[origination month]])</f>
        <v>28085400</v>
      </c>
      <c r="AR422" s="19">
        <f>AVERAGEIFS(Table1[months_on_book],Table1[product],Table1[[#This Row],[product]])</f>
        <v>20.516129032258064</v>
      </c>
      <c r="AS422" s="19" t="str">
        <f ca="1">IF(EDATE(Table1[[#This Row],[origination_date]],6) &gt;= TODAY(), "New Loan", "Old Loan")</f>
        <v>Old Loan</v>
      </c>
      <c r="AT422" s="19" t="str">
        <f>"Q"&amp;ROUNDUP(MONTH(Table1[[#This Row],[origination_date]])/3,0)&amp;YEAR(Table1[[#This Row],[origination_date]])</f>
        <v>Q42023</v>
      </c>
      <c r="AU422" s="19">
        <f>SUMIFS(Table1[loan_amount],Table1[quarter],Table1[[#This Row],[quarter]])</f>
        <v>58386700</v>
      </c>
    </row>
    <row r="423" spans="2:47" x14ac:dyDescent="0.2">
      <c r="B423" s="5" t="s">
        <v>66</v>
      </c>
      <c r="C423" s="2" t="s">
        <v>566</v>
      </c>
      <c r="D423" s="3">
        <v>45288</v>
      </c>
      <c r="E423" s="2" t="s">
        <v>1026</v>
      </c>
      <c r="F423" s="2" t="s">
        <v>1030</v>
      </c>
      <c r="G423" s="2" t="s">
        <v>1036</v>
      </c>
      <c r="H423" s="2" t="s">
        <v>1039</v>
      </c>
      <c r="I423" s="2">
        <v>36</v>
      </c>
      <c r="J423" s="2">
        <v>554700</v>
      </c>
      <c r="K423" s="2">
        <v>18.18</v>
      </c>
      <c r="L423" s="2">
        <v>20104</v>
      </c>
      <c r="M423" s="2">
        <v>1269735</v>
      </c>
      <c r="N423" s="2">
        <v>697</v>
      </c>
      <c r="O423" s="2" t="s">
        <v>1042</v>
      </c>
      <c r="P423" s="2">
        <v>0.45</v>
      </c>
      <c r="Q423" s="2">
        <v>0.79</v>
      </c>
      <c r="R423" s="2">
        <v>0</v>
      </c>
      <c r="S423" s="2">
        <v>24</v>
      </c>
      <c r="T423" s="2">
        <v>469622</v>
      </c>
      <c r="U423" s="2">
        <v>165754</v>
      </c>
      <c r="V423" s="2">
        <v>0</v>
      </c>
      <c r="W423" s="2">
        <v>0</v>
      </c>
      <c r="X423" s="2">
        <v>0</v>
      </c>
      <c r="Y423" s="2" t="s">
        <v>1049</v>
      </c>
      <c r="Z423" s="12">
        <f>SUMIF(Table1[product],Table1[[#This Row],[product]],Table1[loan_amount])</f>
        <v>74897600</v>
      </c>
      <c r="AA423" s="15">
        <f>SUMIF(Table1[region],Table1[[#This Row],[region]],Table1[current_balance])</f>
        <v>98928695</v>
      </c>
      <c r="AB423" s="2">
        <f>COUNTIF(Table1[loan_status],Table1[[#This Row],[loan_status]])</f>
        <v>301</v>
      </c>
      <c r="AC423" s="2">
        <f>COUNTIF(Table1[default_flag],1)/ROWS(Table1[loan_id])</f>
        <v>2.5999999999999999E-2</v>
      </c>
      <c r="AD423" s="2">
        <f>COUNTIFS(Table1[region],Table1[[#This Row],[region]],Table1[default_flag],1)/COUNTIF(Table1[region],Table1[[#This Row],[region]])</f>
        <v>2.8571428571428571E-2</v>
      </c>
      <c r="AE423" s="2">
        <f>COUNTIFS(Table1[channel],Table1[[#This Row],[channel]],Table1[prepayment_flag],1)/COUNTIF(Table1[channel],Table1[[#This Row],[channel]])</f>
        <v>5.8201058201058198E-2</v>
      </c>
      <c r="AF423" s="2">
        <f>AVERAGEIFS(Table1[interest_rate_pct],Table1[product],Table1[[#This Row],[product]],Table1[risk_band],Table1[[#This Row],[risk_band]])</f>
        <v>18.603181818181817</v>
      </c>
      <c r="AG423" s="2" t="str" cm="1">
        <f t="array" ref="AG423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423" s="2">
        <f>COUNTIF(Table1[DTI band],Table1[[#This Row],[DTI band]])</f>
        <v>260</v>
      </c>
      <c r="AI423" s="2" t="str" cm="1">
        <f t="array" ref="AI423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423" s="2">
        <f>COUNTIF(Table1[LTV band],Table1[[#This Row],[LTV band]])</f>
        <v>302</v>
      </c>
      <c r="AK423" s="19">
        <f>COUNTIFS(Table1[count_loan_perband],Table1[[#This Row],[count_loan_perband]],Table1[default_flag],1)/COUNTIF(Table1[count_loan_perband],Table1[[#This Row],[count_loan_perband]])</f>
        <v>3.6423841059602648E-2</v>
      </c>
      <c r="AL423" s="19" t="str" cm="1">
        <f t="array" ref="AL423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423" s="19">
        <f>IF(Table1[[#This Row],[dpd]] &gt;=30,1,0)</f>
        <v>0</v>
      </c>
      <c r="AN423" s="19">
        <f>COUNTIFS(Table1[Loan size],Table1[[#This Row],[Loan size]],Table1[dpd flag],1)/COUNTIF(Table1[Loan size],Table1[[#This Row],[Loan size]])</f>
        <v>0.13934426229508196</v>
      </c>
      <c r="AO423" s="19" t="str">
        <f>IF(OR(Table1[[#This Row],[credit_score]] &lt; 600, Table1[ [#This Row],[dti_ratio] ] &gt; 0.5, Table1[[#This Row],[dpd]] &gt;=30), "high risk", " not riskY")</f>
        <v xml:space="preserve"> not riskY</v>
      </c>
      <c r="AP423" s="29">
        <f>EOMONTH(Table1[[#This Row],[origination_date]],0)</f>
        <v>45291</v>
      </c>
      <c r="AQ423" s="19">
        <f>SUMIFS(Table1[loan_amount],Table1[origination month],Table1[[#This Row],[origination month]])</f>
        <v>28085400</v>
      </c>
      <c r="AR423" s="19">
        <f>AVERAGEIFS(Table1[months_on_book],Table1[product],Table1[[#This Row],[product]])</f>
        <v>21.092024539877301</v>
      </c>
      <c r="AS423" s="19" t="str">
        <f ca="1">IF(EDATE(Table1[[#This Row],[origination_date]],6) &gt;= TODAY(), "New Loan", "Old Loan")</f>
        <v>Old Loan</v>
      </c>
      <c r="AT423" s="19" t="str">
        <f>"Q"&amp;ROUNDUP(MONTH(Table1[[#This Row],[origination_date]])/3,0)&amp;YEAR(Table1[[#This Row],[origination_date]])</f>
        <v>Q42023</v>
      </c>
      <c r="AU423" s="19">
        <f>SUMIFS(Table1[loan_amount],Table1[quarter],Table1[[#This Row],[quarter]])</f>
        <v>58386700</v>
      </c>
    </row>
    <row r="424" spans="2:47" x14ac:dyDescent="0.2">
      <c r="B424" s="5" t="s">
        <v>407</v>
      </c>
      <c r="C424" s="2" t="s">
        <v>907</v>
      </c>
      <c r="D424" s="3">
        <v>45205</v>
      </c>
      <c r="E424" s="2" t="s">
        <v>1025</v>
      </c>
      <c r="F424" s="2" t="s">
        <v>1030</v>
      </c>
      <c r="G424" s="2" t="s">
        <v>1037</v>
      </c>
      <c r="H424" s="2" t="s">
        <v>1041</v>
      </c>
      <c r="I424" s="2">
        <v>72</v>
      </c>
      <c r="J424" s="2">
        <v>4208100</v>
      </c>
      <c r="K424" s="2">
        <v>20.54</v>
      </c>
      <c r="L424" s="2">
        <v>102117</v>
      </c>
      <c r="M424" s="2">
        <v>750352</v>
      </c>
      <c r="N424" s="2">
        <v>565</v>
      </c>
      <c r="O424" s="2" t="s">
        <v>1046</v>
      </c>
      <c r="P424" s="2">
        <v>0.45</v>
      </c>
      <c r="Q424" s="2">
        <v>0.79</v>
      </c>
      <c r="R424" s="2">
        <v>5318700</v>
      </c>
      <c r="S424" s="2">
        <v>26</v>
      </c>
      <c r="T424" s="2">
        <v>2320839</v>
      </c>
      <c r="U424" s="2">
        <v>2636359</v>
      </c>
      <c r="V424" s="2">
        <v>30</v>
      </c>
      <c r="W424" s="2">
        <v>0</v>
      </c>
      <c r="X424" s="2">
        <v>0</v>
      </c>
      <c r="Y424" s="2" t="s">
        <v>1048</v>
      </c>
      <c r="Z424" s="12">
        <f>SUMIF(Table1[product],Table1[[#This Row],[product]],Table1[loan_amount])</f>
        <v>201475100</v>
      </c>
      <c r="AA424" s="15">
        <f>SUMIF(Table1[region],Table1[[#This Row],[region]],Table1[current_balance])</f>
        <v>94548000</v>
      </c>
      <c r="AB424" s="2">
        <f>COUNTIF(Table1[loan_status],Table1[[#This Row],[loan_status]])</f>
        <v>47</v>
      </c>
      <c r="AC424" s="2">
        <f>COUNTIF(Table1[default_flag],1)/ROWS(Table1[loan_id])</f>
        <v>2.5999999999999999E-2</v>
      </c>
      <c r="AD424" s="2">
        <f>COUNTIFS(Table1[region],Table1[[#This Row],[region]],Table1[default_flag],1)/COUNTIF(Table1[region],Table1[[#This Row],[region]])</f>
        <v>0</v>
      </c>
      <c r="AE424" s="2">
        <f>COUNTIFS(Table1[channel],Table1[[#This Row],[channel]],Table1[prepayment_flag],1)/COUNTIF(Table1[channel],Table1[[#This Row],[channel]])</f>
        <v>5.8201058201058198E-2</v>
      </c>
      <c r="AF424" s="2">
        <f>AVERAGEIFS(Table1[interest_rate_pct],Table1[product],Table1[[#This Row],[product]],Table1[risk_band],Table1[[#This Row],[risk_band]])</f>
        <v>20.521428571428572</v>
      </c>
      <c r="AG424" s="2" t="str" cm="1">
        <f t="array" ref="AG424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424" s="2">
        <f>COUNTIF(Table1[DTI band],Table1[[#This Row],[DTI band]])</f>
        <v>260</v>
      </c>
      <c r="AI424" s="2" t="str" cm="1">
        <f t="array" ref="AI424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424" s="2">
        <f>COUNTIF(Table1[LTV band],Table1[[#This Row],[LTV band]])</f>
        <v>302</v>
      </c>
      <c r="AK424" s="19">
        <f>COUNTIFS(Table1[count_loan_perband],Table1[[#This Row],[count_loan_perband]],Table1[default_flag],1)/COUNTIF(Table1[count_loan_perband],Table1[[#This Row],[count_loan_perband]])</f>
        <v>3.6423841059602648E-2</v>
      </c>
      <c r="AL424" s="19" t="str" cm="1">
        <f t="array" ref="AL424">_xlfn.IFS(Table1[[#This Row],[loan_amount]] &lt; 900000, "lower size (&lt; 9L)", Table1[[#This Row],[loan_amount]] &lt;=3300000, "medium size (&lt;=33L)", Table1[[#This Row],[loan_amount]] &gt; 3300000, "larger size (&gt; 33L)")</f>
        <v>larger size (&gt; 33L)</v>
      </c>
      <c r="AM424" s="19">
        <f>IF(Table1[[#This Row],[dpd]] &gt;=30,1,0)</f>
        <v>1</v>
      </c>
      <c r="AN424" s="19">
        <f>COUNTIFS(Table1[Loan size],Table1[[#This Row],[Loan size]],Table1[dpd flag],1)/COUNTIF(Table1[Loan size],Table1[[#This Row],[Loan size]])</f>
        <v>0.16250000000000001</v>
      </c>
      <c r="AO424" s="19" t="str">
        <f>IF(OR(Table1[[#This Row],[credit_score]] &lt; 600, Table1[ [#This Row],[dti_ratio] ] &gt; 0.5, Table1[[#This Row],[dpd]] &gt;=30), "high risk", " not riskY")</f>
        <v>high risk</v>
      </c>
      <c r="AP424" s="29">
        <f>EOMONTH(Table1[[#This Row],[origination_date]],0)</f>
        <v>45230</v>
      </c>
      <c r="AQ424" s="19">
        <f>SUMIFS(Table1[loan_amount],Table1[origination month],Table1[[#This Row],[origination month]])</f>
        <v>25021600</v>
      </c>
      <c r="AR424" s="19">
        <f>AVERAGEIFS(Table1[months_on_book],Table1[product],Table1[[#This Row],[product]])</f>
        <v>19.091954022988507</v>
      </c>
      <c r="AS424" s="19" t="str">
        <f ca="1">IF(EDATE(Table1[[#This Row],[origination_date]],6) &gt;= TODAY(), "New Loan", "Old Loan")</f>
        <v>Old Loan</v>
      </c>
      <c r="AT424" s="19" t="str">
        <f>"Q"&amp;ROUNDUP(MONTH(Table1[[#This Row],[origination_date]])/3,0)&amp;YEAR(Table1[[#This Row],[origination_date]])</f>
        <v>Q42023</v>
      </c>
      <c r="AU424" s="19">
        <f>SUMIFS(Table1[loan_amount],Table1[quarter],Table1[[#This Row],[quarter]])</f>
        <v>58386700</v>
      </c>
    </row>
    <row r="425" spans="2:47" x14ac:dyDescent="0.2">
      <c r="B425" s="5" t="s">
        <v>486</v>
      </c>
      <c r="C425" s="2" t="s">
        <v>986</v>
      </c>
      <c r="D425" s="3">
        <v>45279</v>
      </c>
      <c r="E425" s="2" t="s">
        <v>1026</v>
      </c>
      <c r="F425" s="2" t="s">
        <v>1029</v>
      </c>
      <c r="G425" s="2" t="s">
        <v>1034</v>
      </c>
      <c r="H425" s="2" t="s">
        <v>1038</v>
      </c>
      <c r="I425" s="2">
        <v>120</v>
      </c>
      <c r="J425" s="2">
        <v>433600</v>
      </c>
      <c r="K425" s="2">
        <v>21.73</v>
      </c>
      <c r="L425" s="2">
        <v>8883</v>
      </c>
      <c r="M425" s="2">
        <v>857271</v>
      </c>
      <c r="N425" s="2">
        <v>611</v>
      </c>
      <c r="O425" s="2" t="s">
        <v>1045</v>
      </c>
      <c r="P425" s="2">
        <v>0.44</v>
      </c>
      <c r="Q425" s="2">
        <v>0.87</v>
      </c>
      <c r="R425" s="2">
        <v>0</v>
      </c>
      <c r="S425" s="2">
        <v>24</v>
      </c>
      <c r="T425" s="2">
        <v>197583</v>
      </c>
      <c r="U425" s="2">
        <v>311394</v>
      </c>
      <c r="V425" s="2">
        <v>0</v>
      </c>
      <c r="W425" s="2">
        <v>0</v>
      </c>
      <c r="X425" s="2">
        <v>0</v>
      </c>
      <c r="Y425" s="2" t="s">
        <v>1049</v>
      </c>
      <c r="Z425" s="12">
        <f>SUMIF(Table1[product],Table1[[#This Row],[product]],Table1[loan_amount])</f>
        <v>74897600</v>
      </c>
      <c r="AA425" s="15">
        <f>SUMIF(Table1[region],Table1[[#This Row],[region]],Table1[current_balance])</f>
        <v>105779369</v>
      </c>
      <c r="AB425" s="2">
        <f>COUNTIF(Table1[loan_status],Table1[[#This Row],[loan_status]])</f>
        <v>301</v>
      </c>
      <c r="AC425" s="2">
        <f>COUNTIF(Table1[default_flag],1)/ROWS(Table1[loan_id])</f>
        <v>2.5999999999999999E-2</v>
      </c>
      <c r="AD425" s="2">
        <f>COUNTIFS(Table1[region],Table1[[#This Row],[region]],Table1[default_flag],1)/COUNTIF(Table1[region],Table1[[#This Row],[region]])</f>
        <v>2.6548672566371681E-2</v>
      </c>
      <c r="AE425" s="2">
        <f>COUNTIFS(Table1[channel],Table1[[#This Row],[channel]],Table1[prepayment_flag],1)/COUNTIF(Table1[channel],Table1[[#This Row],[channel]])</f>
        <v>7.1090047393364927E-2</v>
      </c>
      <c r="AF425" s="2">
        <f>AVERAGEIFS(Table1[interest_rate_pct],Table1[product],Table1[[#This Row],[product]],Table1[risk_band],Table1[[#This Row],[risk_band]])</f>
        <v>20.962592592592593</v>
      </c>
      <c r="AG425" s="2" t="str" cm="1">
        <f t="array" ref="AG425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425" s="2">
        <f>COUNTIF(Table1[DTI band],Table1[[#This Row],[DTI band]])</f>
        <v>260</v>
      </c>
      <c r="AI425" s="2" t="str" cm="1">
        <f t="array" ref="AI425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425" s="2">
        <f>COUNTIF(Table1[LTV band],Table1[[#This Row],[LTV band]])</f>
        <v>141</v>
      </c>
      <c r="AK425" s="19">
        <f>COUNTIFS(Table1[count_loan_perband],Table1[[#This Row],[count_loan_perband]],Table1[default_flag],1)/COUNTIF(Table1[count_loan_perband],Table1[[#This Row],[count_loan_perband]])</f>
        <v>1.4184397163120567E-2</v>
      </c>
      <c r="AL425" s="19" t="str" cm="1">
        <f t="array" ref="AL425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425" s="19">
        <f>IF(Table1[[#This Row],[dpd]] &gt;=30,1,0)</f>
        <v>0</v>
      </c>
      <c r="AN425" s="19">
        <f>COUNTIFS(Table1[Loan size],Table1[[#This Row],[Loan size]],Table1[dpd flag],1)/COUNTIF(Table1[Loan size],Table1[[#This Row],[Loan size]])</f>
        <v>0.13934426229508196</v>
      </c>
      <c r="AO425" s="19" t="str">
        <f>IF(OR(Table1[[#This Row],[credit_score]] &lt; 600, Table1[ [#This Row],[dti_ratio] ] &gt; 0.5, Table1[[#This Row],[dpd]] &gt;=30), "high risk", " not riskY")</f>
        <v xml:space="preserve"> not riskY</v>
      </c>
      <c r="AP425" s="29">
        <f>EOMONTH(Table1[[#This Row],[origination_date]],0)</f>
        <v>45291</v>
      </c>
      <c r="AQ425" s="19">
        <f>SUMIFS(Table1[loan_amount],Table1[origination month],Table1[[#This Row],[origination month]])</f>
        <v>28085400</v>
      </c>
      <c r="AR425" s="19">
        <f>AVERAGEIFS(Table1[months_on_book],Table1[product],Table1[[#This Row],[product]])</f>
        <v>21.092024539877301</v>
      </c>
      <c r="AS425" s="19" t="str">
        <f ca="1">IF(EDATE(Table1[[#This Row],[origination_date]],6) &gt;= TODAY(), "New Loan", "Old Loan")</f>
        <v>Old Loan</v>
      </c>
      <c r="AT425" s="19" t="str">
        <f>"Q"&amp;ROUNDUP(MONTH(Table1[[#This Row],[origination_date]])/3,0)&amp;YEAR(Table1[[#This Row],[origination_date]])</f>
        <v>Q42023</v>
      </c>
      <c r="AU425" s="19">
        <f>SUMIFS(Table1[loan_amount],Table1[quarter],Table1[[#This Row],[quarter]])</f>
        <v>58386700</v>
      </c>
    </row>
    <row r="426" spans="2:47" x14ac:dyDescent="0.2">
      <c r="B426" s="5" t="s">
        <v>195</v>
      </c>
      <c r="C426" s="2" t="s">
        <v>695</v>
      </c>
      <c r="D426" s="3">
        <v>45275</v>
      </c>
      <c r="E426" s="2" t="s">
        <v>1027</v>
      </c>
      <c r="F426" s="2" t="s">
        <v>1032</v>
      </c>
      <c r="G426" s="2" t="s">
        <v>1033</v>
      </c>
      <c r="H426" s="2" t="s">
        <v>1041</v>
      </c>
      <c r="I426" s="2">
        <v>36</v>
      </c>
      <c r="J426" s="2">
        <v>4166000</v>
      </c>
      <c r="K426" s="2">
        <v>10.45</v>
      </c>
      <c r="L426" s="2">
        <v>135307</v>
      </c>
      <c r="M426" s="2">
        <v>585877</v>
      </c>
      <c r="N426" s="2">
        <v>693</v>
      </c>
      <c r="O426" s="2" t="s">
        <v>1042</v>
      </c>
      <c r="P426" s="2">
        <v>0.42</v>
      </c>
      <c r="Q426" s="2">
        <v>0.84</v>
      </c>
      <c r="R426" s="2">
        <v>4954500</v>
      </c>
      <c r="S426" s="2">
        <v>24</v>
      </c>
      <c r="T426" s="2">
        <v>3036603</v>
      </c>
      <c r="U426" s="2">
        <v>1477675</v>
      </c>
      <c r="V426" s="2">
        <v>45</v>
      </c>
      <c r="W426" s="2">
        <v>0</v>
      </c>
      <c r="X426" s="2">
        <v>0</v>
      </c>
      <c r="Y426" s="2" t="s">
        <v>1048</v>
      </c>
      <c r="Z426" s="12">
        <f>SUMIF(Table1[product],Table1[[#This Row],[product]],Table1[loan_amount])</f>
        <v>403369500</v>
      </c>
      <c r="AA426" s="15">
        <f>SUMIF(Table1[region],Table1[[#This Row],[region]],Table1[current_balance])</f>
        <v>83297251</v>
      </c>
      <c r="AB426" s="2">
        <f>COUNTIF(Table1[loan_status],Table1[[#This Row],[loan_status]])</f>
        <v>47</v>
      </c>
      <c r="AC426" s="2">
        <f>COUNTIF(Table1[default_flag],1)/ROWS(Table1[loan_id])</f>
        <v>2.5999999999999999E-2</v>
      </c>
      <c r="AD426" s="2">
        <f>COUNTIFS(Table1[region],Table1[[#This Row],[region]],Table1[default_flag],1)/COUNTIF(Table1[region],Table1[[#This Row],[region]])</f>
        <v>3.1914893617021274E-2</v>
      </c>
      <c r="AE426" s="2">
        <f>COUNTIFS(Table1[channel],Table1[[#This Row],[channel]],Table1[prepayment_flag],1)/COUNTIF(Table1[channel],Table1[[#This Row],[channel]])</f>
        <v>0.1</v>
      </c>
      <c r="AF426" s="2">
        <f>AVERAGEIFS(Table1[interest_rate_pct],Table1[product],Table1[[#This Row],[product]],Table1[risk_band],Table1[[#This Row],[risk_band]])</f>
        <v>11.719736842105268</v>
      </c>
      <c r="AG426" s="2" t="str" cm="1">
        <f t="array" ref="AG426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426" s="2">
        <f>COUNTIF(Table1[DTI band],Table1[[#This Row],[DTI band]])</f>
        <v>260</v>
      </c>
      <c r="AI426" s="2" t="str" cm="1">
        <f t="array" ref="AI426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426" s="2">
        <f>COUNTIF(Table1[LTV band],Table1[[#This Row],[LTV band]])</f>
        <v>141</v>
      </c>
      <c r="AK426" s="19">
        <f>COUNTIFS(Table1[count_loan_perband],Table1[[#This Row],[count_loan_perband]],Table1[default_flag],1)/COUNTIF(Table1[count_loan_perband],Table1[[#This Row],[count_loan_perband]])</f>
        <v>1.4184397163120567E-2</v>
      </c>
      <c r="AL426" s="19" t="str" cm="1">
        <f t="array" ref="AL426">_xlfn.IFS(Table1[[#This Row],[loan_amount]] &lt; 900000, "lower size (&lt; 9L)", Table1[[#This Row],[loan_amount]] &lt;=3300000, "medium size (&lt;=33L)", Table1[[#This Row],[loan_amount]] &gt; 3300000, "larger size (&gt; 33L)")</f>
        <v>larger size (&gt; 33L)</v>
      </c>
      <c r="AM426" s="19">
        <f>IF(Table1[[#This Row],[dpd]] &gt;=30,1,0)</f>
        <v>1</v>
      </c>
      <c r="AN426" s="19">
        <f>COUNTIFS(Table1[Loan size],Table1[[#This Row],[Loan size]],Table1[dpd flag],1)/COUNTIF(Table1[Loan size],Table1[[#This Row],[Loan size]])</f>
        <v>0.16250000000000001</v>
      </c>
      <c r="AO426" s="19" t="str">
        <f>IF(OR(Table1[[#This Row],[credit_score]] &lt; 600, Table1[ [#This Row],[dti_ratio] ] &gt; 0.5, Table1[[#This Row],[dpd]] &gt;=30), "high risk", " not riskY")</f>
        <v>high risk</v>
      </c>
      <c r="AP426" s="29">
        <f>EOMONTH(Table1[[#This Row],[origination_date]],0)</f>
        <v>45291</v>
      </c>
      <c r="AQ426" s="19">
        <f>SUMIFS(Table1[loan_amount],Table1[origination month],Table1[[#This Row],[origination month]])</f>
        <v>28085400</v>
      </c>
      <c r="AR426" s="19">
        <f>AVERAGEIFS(Table1[months_on_book],Table1[product],Table1[[#This Row],[product]])</f>
        <v>20.516129032258064</v>
      </c>
      <c r="AS426" s="19" t="str">
        <f ca="1">IF(EDATE(Table1[[#This Row],[origination_date]],6) &gt;= TODAY(), "New Loan", "Old Loan")</f>
        <v>Old Loan</v>
      </c>
      <c r="AT426" s="19" t="str">
        <f>"Q"&amp;ROUNDUP(MONTH(Table1[[#This Row],[origination_date]])/3,0)&amp;YEAR(Table1[[#This Row],[origination_date]])</f>
        <v>Q42023</v>
      </c>
      <c r="AU426" s="19">
        <f>SUMIFS(Table1[loan_amount],Table1[quarter],Table1[[#This Row],[quarter]])</f>
        <v>58386700</v>
      </c>
    </row>
    <row r="427" spans="2:47" x14ac:dyDescent="0.2">
      <c r="B427" s="5" t="s">
        <v>180</v>
      </c>
      <c r="C427" s="2" t="s">
        <v>680</v>
      </c>
      <c r="D427" s="3">
        <v>45282</v>
      </c>
      <c r="E427" s="2" t="s">
        <v>1025</v>
      </c>
      <c r="F427" s="2" t="s">
        <v>1029</v>
      </c>
      <c r="G427" s="2" t="s">
        <v>1033</v>
      </c>
      <c r="H427" s="2" t="s">
        <v>1039</v>
      </c>
      <c r="I427" s="2">
        <v>24</v>
      </c>
      <c r="J427" s="2">
        <v>1334600</v>
      </c>
      <c r="K427" s="2">
        <v>13.85</v>
      </c>
      <c r="L427" s="2">
        <v>63983</v>
      </c>
      <c r="M427" s="2">
        <v>758893</v>
      </c>
      <c r="N427" s="2">
        <v>739</v>
      </c>
      <c r="O427" s="2" t="s">
        <v>1044</v>
      </c>
      <c r="P427" s="2">
        <v>0.4</v>
      </c>
      <c r="Q427" s="2">
        <v>1.05</v>
      </c>
      <c r="R427" s="2">
        <v>1271200</v>
      </c>
      <c r="S427" s="2">
        <v>24</v>
      </c>
      <c r="T427" s="2">
        <v>1553051</v>
      </c>
      <c r="U427" s="2">
        <v>0</v>
      </c>
      <c r="V427" s="2">
        <v>0</v>
      </c>
      <c r="W427" s="2">
        <v>0</v>
      </c>
      <c r="X427" s="2">
        <v>0</v>
      </c>
      <c r="Y427" s="2" t="s">
        <v>1047</v>
      </c>
      <c r="Z427" s="12">
        <f>SUMIF(Table1[product],Table1[[#This Row],[product]],Table1[loan_amount])</f>
        <v>201475100</v>
      </c>
      <c r="AA427" s="15">
        <f>SUMIF(Table1[region],Table1[[#This Row],[region]],Table1[current_balance])</f>
        <v>83297251</v>
      </c>
      <c r="AB427" s="2">
        <f>COUNTIF(Table1[loan_status],Table1[[#This Row],[loan_status]])</f>
        <v>139</v>
      </c>
      <c r="AC427" s="2">
        <f>COUNTIF(Table1[default_flag],1)/ROWS(Table1[loan_id])</f>
        <v>2.5999999999999999E-2</v>
      </c>
      <c r="AD427" s="2">
        <f>COUNTIFS(Table1[region],Table1[[#This Row],[region]],Table1[default_flag],1)/COUNTIF(Table1[region],Table1[[#This Row],[region]])</f>
        <v>3.1914893617021274E-2</v>
      </c>
      <c r="AE427" s="2">
        <f>COUNTIFS(Table1[channel],Table1[[#This Row],[channel]],Table1[prepayment_flag],1)/COUNTIF(Table1[channel],Table1[[#This Row],[channel]])</f>
        <v>7.1090047393364927E-2</v>
      </c>
      <c r="AF427" s="2">
        <f>AVERAGEIFS(Table1[interest_rate_pct],Table1[product],Table1[[#This Row],[product]],Table1[risk_band],Table1[[#This Row],[risk_band]])</f>
        <v>13.042631578947367</v>
      </c>
      <c r="AG427" s="2" t="str" cm="1">
        <f t="array" ref="AG427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427" s="2">
        <f>COUNTIF(Table1[DTI band],Table1[[#This Row],[DTI band]])</f>
        <v>260</v>
      </c>
      <c r="AI427" s="2" t="str" cm="1">
        <f t="array" ref="AI427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427" s="2">
        <f>COUNTIF(Table1[LTV band],Table1[[#This Row],[LTV band]])</f>
        <v>141</v>
      </c>
      <c r="AK427" s="19">
        <f>COUNTIFS(Table1[count_loan_perband],Table1[[#This Row],[count_loan_perband]],Table1[default_flag],1)/COUNTIF(Table1[count_loan_perband],Table1[[#This Row],[count_loan_perband]])</f>
        <v>1.4184397163120567E-2</v>
      </c>
      <c r="AL427" s="19" t="str" cm="1">
        <f t="array" ref="AL427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427" s="19">
        <f>IF(Table1[[#This Row],[dpd]] &gt;=30,1,0)</f>
        <v>0</v>
      </c>
      <c r="AN427" s="19">
        <f>COUNTIFS(Table1[Loan size],Table1[[#This Row],[Loan size]],Table1[dpd flag],1)/COUNTIF(Table1[Loan size],Table1[[#This Row],[Loan size]])</f>
        <v>0.15909090909090909</v>
      </c>
      <c r="AO427" s="19" t="str">
        <f>IF(OR(Table1[[#This Row],[credit_score]] &lt; 600, Table1[ [#This Row],[dti_ratio] ] &gt; 0.5, Table1[[#This Row],[dpd]] &gt;=30), "high risk", " not riskY")</f>
        <v xml:space="preserve"> not riskY</v>
      </c>
      <c r="AP427" s="29">
        <f>EOMONTH(Table1[[#This Row],[origination_date]],0)</f>
        <v>45291</v>
      </c>
      <c r="AQ427" s="19">
        <f>SUMIFS(Table1[loan_amount],Table1[origination month],Table1[[#This Row],[origination month]])</f>
        <v>28085400</v>
      </c>
      <c r="AR427" s="19">
        <f>AVERAGEIFS(Table1[months_on_book],Table1[product],Table1[[#This Row],[product]])</f>
        <v>19.091954022988507</v>
      </c>
      <c r="AS427" s="19" t="str">
        <f ca="1">IF(EDATE(Table1[[#This Row],[origination_date]],6) &gt;= TODAY(), "New Loan", "Old Loan")</f>
        <v>Old Loan</v>
      </c>
      <c r="AT427" s="19" t="str">
        <f>"Q"&amp;ROUNDUP(MONTH(Table1[[#This Row],[origination_date]])/3,0)&amp;YEAR(Table1[[#This Row],[origination_date]])</f>
        <v>Q42023</v>
      </c>
      <c r="AU427" s="19">
        <f>SUMIFS(Table1[loan_amount],Table1[quarter],Table1[[#This Row],[quarter]])</f>
        <v>58386700</v>
      </c>
    </row>
    <row r="428" spans="2:47" x14ac:dyDescent="0.2">
      <c r="B428" s="5" t="s">
        <v>192</v>
      </c>
      <c r="C428" s="2" t="s">
        <v>692</v>
      </c>
      <c r="D428" s="3">
        <v>45212</v>
      </c>
      <c r="E428" s="2" t="s">
        <v>1025</v>
      </c>
      <c r="F428" s="2" t="s">
        <v>1029</v>
      </c>
      <c r="G428" s="2" t="s">
        <v>1037</v>
      </c>
      <c r="H428" s="2" t="s">
        <v>1038</v>
      </c>
      <c r="I428" s="2">
        <v>12</v>
      </c>
      <c r="J428" s="2">
        <v>1443800</v>
      </c>
      <c r="K428" s="2">
        <v>13.38</v>
      </c>
      <c r="L428" s="2">
        <v>129214</v>
      </c>
      <c r="M428" s="2">
        <v>407725</v>
      </c>
      <c r="N428" s="2">
        <v>744</v>
      </c>
      <c r="O428" s="2" t="s">
        <v>1044</v>
      </c>
      <c r="P428" s="2">
        <v>0.4</v>
      </c>
      <c r="Q428" s="2">
        <v>0.68</v>
      </c>
      <c r="R428" s="2">
        <v>2124900</v>
      </c>
      <c r="S428" s="2">
        <v>12</v>
      </c>
      <c r="T428" s="2">
        <v>1363582</v>
      </c>
      <c r="U428" s="2">
        <v>157490</v>
      </c>
      <c r="V428" s="2">
        <v>0</v>
      </c>
      <c r="W428" s="2">
        <v>0</v>
      </c>
      <c r="X428" s="2">
        <v>0</v>
      </c>
      <c r="Y428" s="2" t="s">
        <v>1047</v>
      </c>
      <c r="Z428" s="12">
        <f>SUMIF(Table1[product],Table1[[#This Row],[product]],Table1[loan_amount])</f>
        <v>201475100</v>
      </c>
      <c r="AA428" s="15">
        <f>SUMIF(Table1[region],Table1[[#This Row],[region]],Table1[current_balance])</f>
        <v>94548000</v>
      </c>
      <c r="AB428" s="2">
        <f>COUNTIF(Table1[loan_status],Table1[[#This Row],[loan_status]])</f>
        <v>139</v>
      </c>
      <c r="AC428" s="2">
        <f>COUNTIF(Table1[default_flag],1)/ROWS(Table1[loan_id])</f>
        <v>2.5999999999999999E-2</v>
      </c>
      <c r="AD428" s="2">
        <f>COUNTIFS(Table1[region],Table1[[#This Row],[region]],Table1[default_flag],1)/COUNTIF(Table1[region],Table1[[#This Row],[region]])</f>
        <v>0</v>
      </c>
      <c r="AE428" s="2">
        <f>COUNTIFS(Table1[channel],Table1[[#This Row],[channel]],Table1[prepayment_flag],1)/COUNTIF(Table1[channel],Table1[[#This Row],[channel]])</f>
        <v>7.1090047393364927E-2</v>
      </c>
      <c r="AF428" s="2">
        <f>AVERAGEIFS(Table1[interest_rate_pct],Table1[product],Table1[[#This Row],[product]],Table1[risk_band],Table1[[#This Row],[risk_band]])</f>
        <v>13.042631578947367</v>
      </c>
      <c r="AG428" s="2" t="str" cm="1">
        <f t="array" ref="AG428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428" s="2">
        <f>COUNTIF(Table1[DTI band],Table1[[#This Row],[DTI band]])</f>
        <v>260</v>
      </c>
      <c r="AI428" s="2" t="str" cm="1">
        <f t="array" ref="AI428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428" s="2">
        <f>COUNTIF(Table1[LTV band],Table1[[#This Row],[LTV band]])</f>
        <v>302</v>
      </c>
      <c r="AK428" s="19">
        <f>COUNTIFS(Table1[count_loan_perband],Table1[[#This Row],[count_loan_perband]],Table1[default_flag],1)/COUNTIF(Table1[count_loan_perband],Table1[[#This Row],[count_loan_perband]])</f>
        <v>3.6423841059602648E-2</v>
      </c>
      <c r="AL428" s="19" t="str" cm="1">
        <f t="array" ref="AL428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428" s="19">
        <f>IF(Table1[[#This Row],[dpd]] &gt;=30,1,0)</f>
        <v>0</v>
      </c>
      <c r="AN428" s="19">
        <f>COUNTIFS(Table1[Loan size],Table1[[#This Row],[Loan size]],Table1[dpd flag],1)/COUNTIF(Table1[Loan size],Table1[[#This Row],[Loan size]])</f>
        <v>0.15909090909090909</v>
      </c>
      <c r="AO428" s="19" t="str">
        <f>IF(OR(Table1[[#This Row],[credit_score]] &lt; 600, Table1[ [#This Row],[dti_ratio] ] &gt; 0.5, Table1[[#This Row],[dpd]] &gt;=30), "high risk", " not riskY")</f>
        <v xml:space="preserve"> not riskY</v>
      </c>
      <c r="AP428" s="29">
        <f>EOMONTH(Table1[[#This Row],[origination_date]],0)</f>
        <v>45230</v>
      </c>
      <c r="AQ428" s="19">
        <f>SUMIFS(Table1[loan_amount],Table1[origination month],Table1[[#This Row],[origination month]])</f>
        <v>25021600</v>
      </c>
      <c r="AR428" s="19">
        <f>AVERAGEIFS(Table1[months_on_book],Table1[product],Table1[[#This Row],[product]])</f>
        <v>19.091954022988507</v>
      </c>
      <c r="AS428" s="19" t="str">
        <f ca="1">IF(EDATE(Table1[[#This Row],[origination_date]],6) &gt;= TODAY(), "New Loan", "Old Loan")</f>
        <v>Old Loan</v>
      </c>
      <c r="AT428" s="19" t="str">
        <f>"Q"&amp;ROUNDUP(MONTH(Table1[[#This Row],[origination_date]])/3,0)&amp;YEAR(Table1[[#This Row],[origination_date]])</f>
        <v>Q42023</v>
      </c>
      <c r="AU428" s="19">
        <f>SUMIFS(Table1[loan_amount],Table1[quarter],Table1[[#This Row],[quarter]])</f>
        <v>58386700</v>
      </c>
    </row>
    <row r="429" spans="2:47" x14ac:dyDescent="0.2">
      <c r="B429" s="5" t="s">
        <v>120</v>
      </c>
      <c r="C429" s="2" t="s">
        <v>620</v>
      </c>
      <c r="D429" s="3">
        <v>45281</v>
      </c>
      <c r="E429" s="2" t="s">
        <v>1025</v>
      </c>
      <c r="F429" s="2" t="s">
        <v>1029</v>
      </c>
      <c r="G429" s="2" t="s">
        <v>1035</v>
      </c>
      <c r="H429" s="2" t="s">
        <v>1040</v>
      </c>
      <c r="I429" s="2">
        <v>36</v>
      </c>
      <c r="J429" s="2">
        <v>2460000</v>
      </c>
      <c r="K429" s="2">
        <v>11.13</v>
      </c>
      <c r="L429" s="2">
        <v>80689</v>
      </c>
      <c r="M429" s="2">
        <v>838761</v>
      </c>
      <c r="N429" s="2">
        <v>761</v>
      </c>
      <c r="O429" s="2" t="s">
        <v>1043</v>
      </c>
      <c r="P429" s="2">
        <v>0.38</v>
      </c>
      <c r="Q429" s="2">
        <v>0.65</v>
      </c>
      <c r="R429" s="2">
        <v>3809200</v>
      </c>
      <c r="S429" s="2">
        <v>24</v>
      </c>
      <c r="T429" s="2">
        <v>1710621</v>
      </c>
      <c r="U429" s="2">
        <v>968417</v>
      </c>
      <c r="V429" s="2">
        <v>0</v>
      </c>
      <c r="W429" s="2">
        <v>0</v>
      </c>
      <c r="X429" s="2">
        <v>0</v>
      </c>
      <c r="Y429" s="2" t="s">
        <v>1049</v>
      </c>
      <c r="Z429" s="12">
        <f>SUMIF(Table1[product],Table1[[#This Row],[product]],Table1[loan_amount])</f>
        <v>201475100</v>
      </c>
      <c r="AA429" s="15">
        <f>SUMIF(Table1[region],Table1[[#This Row],[region]],Table1[current_balance])</f>
        <v>83903255</v>
      </c>
      <c r="AB429" s="2">
        <f>COUNTIF(Table1[loan_status],Table1[[#This Row],[loan_status]])</f>
        <v>301</v>
      </c>
      <c r="AC429" s="2">
        <f>COUNTIF(Table1[default_flag],1)/ROWS(Table1[loan_id])</f>
        <v>2.5999999999999999E-2</v>
      </c>
      <c r="AD429" s="2">
        <f>COUNTIFS(Table1[region],Table1[[#This Row],[region]],Table1[default_flag],1)/COUNTIF(Table1[region],Table1[[#This Row],[region]])</f>
        <v>4.2553191489361701E-2</v>
      </c>
      <c r="AE429" s="2">
        <f>COUNTIFS(Table1[channel],Table1[[#This Row],[channel]],Table1[prepayment_flag],1)/COUNTIF(Table1[channel],Table1[[#This Row],[channel]])</f>
        <v>7.1090047393364927E-2</v>
      </c>
      <c r="AF429" s="2">
        <f>AVERAGEIFS(Table1[interest_rate_pct],Table1[product],Table1[[#This Row],[product]],Table1[risk_band],Table1[[#This Row],[risk_band]])</f>
        <v>10.537499999999998</v>
      </c>
      <c r="AG429" s="2" t="str" cm="1">
        <f t="array" ref="AG429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429" s="2">
        <f>COUNTIF(Table1[DTI band],Table1[[#This Row],[DTI band]])</f>
        <v>260</v>
      </c>
      <c r="AI429" s="2" t="str" cm="1">
        <f t="array" ref="AI429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429" s="2">
        <f>COUNTIF(Table1[LTV band],Table1[[#This Row],[LTV band]])</f>
        <v>302</v>
      </c>
      <c r="AK429" s="19">
        <f>COUNTIFS(Table1[count_loan_perband],Table1[[#This Row],[count_loan_perband]],Table1[default_flag],1)/COUNTIF(Table1[count_loan_perband],Table1[[#This Row],[count_loan_perband]])</f>
        <v>3.6423841059602648E-2</v>
      </c>
      <c r="AL429" s="19" t="str" cm="1">
        <f t="array" ref="AL429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429" s="19">
        <f>IF(Table1[[#This Row],[dpd]] &gt;=30,1,0)</f>
        <v>0</v>
      </c>
      <c r="AN429" s="19">
        <f>COUNTIFS(Table1[Loan size],Table1[[#This Row],[Loan size]],Table1[dpd flag],1)/COUNTIF(Table1[Loan size],Table1[[#This Row],[Loan size]])</f>
        <v>0.15909090909090909</v>
      </c>
      <c r="AO429" s="19" t="str">
        <f>IF(OR(Table1[[#This Row],[credit_score]] &lt; 600, Table1[ [#This Row],[dti_ratio] ] &gt; 0.5, Table1[[#This Row],[dpd]] &gt;=30), "high risk", " not riskY")</f>
        <v xml:space="preserve"> not riskY</v>
      </c>
      <c r="AP429" s="29">
        <f>EOMONTH(Table1[[#This Row],[origination_date]],0)</f>
        <v>45291</v>
      </c>
      <c r="AQ429" s="19">
        <f>SUMIFS(Table1[loan_amount],Table1[origination month],Table1[[#This Row],[origination month]])</f>
        <v>28085400</v>
      </c>
      <c r="AR429" s="19">
        <f>AVERAGEIFS(Table1[months_on_book],Table1[product],Table1[[#This Row],[product]])</f>
        <v>19.091954022988507</v>
      </c>
      <c r="AS429" s="19" t="str">
        <f ca="1">IF(EDATE(Table1[[#This Row],[origination_date]],6) &gt;= TODAY(), "New Loan", "Old Loan")</f>
        <v>Old Loan</v>
      </c>
      <c r="AT429" s="19" t="str">
        <f>"Q"&amp;ROUNDUP(MONTH(Table1[[#This Row],[origination_date]])/3,0)&amp;YEAR(Table1[[#This Row],[origination_date]])</f>
        <v>Q42023</v>
      </c>
      <c r="AU429" s="19">
        <f>SUMIFS(Table1[loan_amount],Table1[quarter],Table1[[#This Row],[quarter]])</f>
        <v>58386700</v>
      </c>
    </row>
    <row r="430" spans="2:47" x14ac:dyDescent="0.2">
      <c r="B430" s="5" t="s">
        <v>289</v>
      </c>
      <c r="C430" s="2" t="s">
        <v>789</v>
      </c>
      <c r="D430" s="3">
        <v>45262</v>
      </c>
      <c r="E430" s="2" t="s">
        <v>1028</v>
      </c>
      <c r="F430" s="2" t="s">
        <v>1029</v>
      </c>
      <c r="G430" s="2" t="s">
        <v>1037</v>
      </c>
      <c r="H430" s="2" t="s">
        <v>1040</v>
      </c>
      <c r="I430" s="2">
        <v>120</v>
      </c>
      <c r="J430" s="2">
        <v>1191500</v>
      </c>
      <c r="K430" s="2">
        <v>15.55</v>
      </c>
      <c r="L430" s="2">
        <v>19626</v>
      </c>
      <c r="M430" s="2">
        <v>816080</v>
      </c>
      <c r="N430" s="2">
        <v>643</v>
      </c>
      <c r="O430" s="2" t="s">
        <v>1045</v>
      </c>
      <c r="P430" s="2">
        <v>0.37</v>
      </c>
      <c r="Q430" s="2">
        <v>0.69</v>
      </c>
      <c r="R430" s="2">
        <v>0</v>
      </c>
      <c r="S430" s="2">
        <v>24</v>
      </c>
      <c r="T430" s="2">
        <v>407057</v>
      </c>
      <c r="U430" s="2">
        <v>932666</v>
      </c>
      <c r="V430" s="2">
        <v>0</v>
      </c>
      <c r="W430" s="2">
        <v>0</v>
      </c>
      <c r="X430" s="2">
        <v>0</v>
      </c>
      <c r="Y430" s="2" t="s">
        <v>1049</v>
      </c>
      <c r="Z430" s="12">
        <f>SUMIF(Table1[product],Table1[[#This Row],[product]],Table1[loan_amount])</f>
        <v>62765800</v>
      </c>
      <c r="AA430" s="15">
        <f>SUMIF(Table1[region],Table1[[#This Row],[region]],Table1[current_balance])</f>
        <v>94548000</v>
      </c>
      <c r="AB430" s="2">
        <f>COUNTIF(Table1[loan_status],Table1[[#This Row],[loan_status]])</f>
        <v>301</v>
      </c>
      <c r="AC430" s="2">
        <f>COUNTIF(Table1[default_flag],1)/ROWS(Table1[loan_id])</f>
        <v>2.5999999999999999E-2</v>
      </c>
      <c r="AD430" s="2">
        <f>COUNTIFS(Table1[region],Table1[[#This Row],[region]],Table1[default_flag],1)/COUNTIF(Table1[region],Table1[[#This Row],[region]])</f>
        <v>0</v>
      </c>
      <c r="AE430" s="2">
        <f>COUNTIFS(Table1[channel],Table1[[#This Row],[channel]],Table1[prepayment_flag],1)/COUNTIF(Table1[channel],Table1[[#This Row],[channel]])</f>
        <v>7.1090047393364927E-2</v>
      </c>
      <c r="AF430" s="2">
        <f>AVERAGEIFS(Table1[interest_rate_pct],Table1[product],Table1[[#This Row],[product]],Table1[risk_band],Table1[[#This Row],[risk_band]])</f>
        <v>15.810000000000002</v>
      </c>
      <c r="AG430" s="2" t="str" cm="1">
        <f t="array" ref="AG430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430" s="2">
        <f>COUNTIF(Table1[DTI band],Table1[[#This Row],[DTI band]])</f>
        <v>260</v>
      </c>
      <c r="AI430" s="2" t="str" cm="1">
        <f t="array" ref="AI430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430" s="2">
        <f>COUNTIF(Table1[LTV band],Table1[[#This Row],[LTV band]])</f>
        <v>302</v>
      </c>
      <c r="AK430" s="19">
        <f>COUNTIFS(Table1[count_loan_perband],Table1[[#This Row],[count_loan_perband]],Table1[default_flag],1)/COUNTIF(Table1[count_loan_perband],Table1[[#This Row],[count_loan_perband]])</f>
        <v>3.6423841059602648E-2</v>
      </c>
      <c r="AL430" s="19" t="str" cm="1">
        <f t="array" ref="AL430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430" s="19">
        <f>IF(Table1[[#This Row],[dpd]] &gt;=30,1,0)</f>
        <v>0</v>
      </c>
      <c r="AN430" s="19">
        <f>COUNTIFS(Table1[Loan size],Table1[[#This Row],[Loan size]],Table1[dpd flag],1)/COUNTIF(Table1[Loan size],Table1[[#This Row],[Loan size]])</f>
        <v>0.15909090909090909</v>
      </c>
      <c r="AO430" s="19" t="str">
        <f>IF(OR(Table1[[#This Row],[credit_score]] &lt; 600, Table1[ [#This Row],[dti_ratio] ] &gt; 0.5, Table1[[#This Row],[dpd]] &gt;=30), "high risk", " not riskY")</f>
        <v xml:space="preserve"> not riskY</v>
      </c>
      <c r="AP430" s="29">
        <f>EOMONTH(Table1[[#This Row],[origination_date]],0)</f>
        <v>45291</v>
      </c>
      <c r="AQ430" s="19">
        <f>SUMIFS(Table1[loan_amount],Table1[origination month],Table1[[#This Row],[origination month]])</f>
        <v>28085400</v>
      </c>
      <c r="AR430" s="19">
        <f>AVERAGEIFS(Table1[months_on_book],Table1[product],Table1[[#This Row],[product]])</f>
        <v>21.962962962962962</v>
      </c>
      <c r="AS430" s="19" t="str">
        <f ca="1">IF(EDATE(Table1[[#This Row],[origination_date]],6) &gt;= TODAY(), "New Loan", "Old Loan")</f>
        <v>Old Loan</v>
      </c>
      <c r="AT430" s="19" t="str">
        <f>"Q"&amp;ROUNDUP(MONTH(Table1[[#This Row],[origination_date]])/3,0)&amp;YEAR(Table1[[#This Row],[origination_date]])</f>
        <v>Q42023</v>
      </c>
      <c r="AU430" s="19">
        <f>SUMIFS(Table1[loan_amount],Table1[quarter],Table1[[#This Row],[quarter]])</f>
        <v>58386700</v>
      </c>
    </row>
    <row r="431" spans="2:47" x14ac:dyDescent="0.2">
      <c r="B431" s="5" t="s">
        <v>115</v>
      </c>
      <c r="C431" s="2" t="s">
        <v>615</v>
      </c>
      <c r="D431" s="3">
        <v>45263</v>
      </c>
      <c r="E431" s="2" t="s">
        <v>1024</v>
      </c>
      <c r="F431" s="2" t="s">
        <v>1032</v>
      </c>
      <c r="G431" s="2" t="s">
        <v>1033</v>
      </c>
      <c r="H431" s="2" t="s">
        <v>1038</v>
      </c>
      <c r="I431" s="2">
        <v>24</v>
      </c>
      <c r="J431" s="2">
        <v>1096000</v>
      </c>
      <c r="K431" s="2">
        <v>12.1</v>
      </c>
      <c r="L431" s="2">
        <v>51644</v>
      </c>
      <c r="M431" s="2">
        <v>647302</v>
      </c>
      <c r="N431" s="2">
        <v>691</v>
      </c>
      <c r="O431" s="2" t="s">
        <v>1042</v>
      </c>
      <c r="P431" s="2">
        <v>0.36</v>
      </c>
      <c r="Q431" s="2">
        <v>0.89</v>
      </c>
      <c r="R431" s="2">
        <v>1231000</v>
      </c>
      <c r="S431" s="2">
        <v>24</v>
      </c>
      <c r="T431" s="2">
        <v>1108313</v>
      </c>
      <c r="U431" s="2">
        <v>93780</v>
      </c>
      <c r="V431" s="2">
        <v>0</v>
      </c>
      <c r="W431" s="2">
        <v>0</v>
      </c>
      <c r="X431" s="2">
        <v>0</v>
      </c>
      <c r="Y431" s="2" t="s">
        <v>1047</v>
      </c>
      <c r="Z431" s="12">
        <f>SUMIF(Table1[product],Table1[[#This Row],[product]],Table1[loan_amount])</f>
        <v>92273000</v>
      </c>
      <c r="AA431" s="15">
        <f>SUMIF(Table1[region],Table1[[#This Row],[region]],Table1[current_balance])</f>
        <v>83297251</v>
      </c>
      <c r="AB431" s="2">
        <f>COUNTIF(Table1[loan_status],Table1[[#This Row],[loan_status]])</f>
        <v>139</v>
      </c>
      <c r="AC431" s="2">
        <f>COUNTIF(Table1[default_flag],1)/ROWS(Table1[loan_id])</f>
        <v>2.5999999999999999E-2</v>
      </c>
      <c r="AD431" s="2">
        <f>COUNTIFS(Table1[region],Table1[[#This Row],[region]],Table1[default_flag],1)/COUNTIF(Table1[region],Table1[[#This Row],[region]])</f>
        <v>3.1914893617021274E-2</v>
      </c>
      <c r="AE431" s="2">
        <f>COUNTIFS(Table1[channel],Table1[[#This Row],[channel]],Table1[prepayment_flag],1)/COUNTIF(Table1[channel],Table1[[#This Row],[channel]])</f>
        <v>0.1</v>
      </c>
      <c r="AF431" s="2">
        <f>AVERAGEIFS(Table1[interest_rate_pct],Table1[product],Table1[[#This Row],[product]],Table1[risk_band],Table1[[#This Row],[risk_band]])</f>
        <v>13.246500000000001</v>
      </c>
      <c r="AG431" s="2" t="str" cm="1">
        <f t="array" ref="AG431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431" s="2">
        <f>COUNTIF(Table1[DTI band],Table1[[#This Row],[DTI band]])</f>
        <v>260</v>
      </c>
      <c r="AI431" s="2" t="str" cm="1">
        <f t="array" ref="AI431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431" s="2">
        <f>COUNTIF(Table1[LTV band],Table1[[#This Row],[LTV band]])</f>
        <v>141</v>
      </c>
      <c r="AK431" s="19">
        <f>COUNTIFS(Table1[count_loan_perband],Table1[[#This Row],[count_loan_perband]],Table1[default_flag],1)/COUNTIF(Table1[count_loan_perband],Table1[[#This Row],[count_loan_perband]])</f>
        <v>1.4184397163120567E-2</v>
      </c>
      <c r="AL431" s="19" t="str" cm="1">
        <f t="array" ref="AL431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431" s="19">
        <f>IF(Table1[[#This Row],[dpd]] &gt;=30,1,0)</f>
        <v>0</v>
      </c>
      <c r="AN431" s="19">
        <f>COUNTIFS(Table1[Loan size],Table1[[#This Row],[Loan size]],Table1[dpd flag],1)/COUNTIF(Table1[Loan size],Table1[[#This Row],[Loan size]])</f>
        <v>0.15909090909090909</v>
      </c>
      <c r="AO431" s="19" t="str">
        <f>IF(OR(Table1[[#This Row],[credit_score]] &lt; 600, Table1[ [#This Row],[dti_ratio] ] &gt; 0.5, Table1[[#This Row],[dpd]] &gt;=30), "high risk", " not riskY")</f>
        <v xml:space="preserve"> not riskY</v>
      </c>
      <c r="AP431" s="29">
        <f>EOMONTH(Table1[[#This Row],[origination_date]],0)</f>
        <v>45291</v>
      </c>
      <c r="AQ431" s="19">
        <f>SUMIFS(Table1[loan_amount],Table1[origination month],Table1[[#This Row],[origination month]])</f>
        <v>28085400</v>
      </c>
      <c r="AR431" s="19">
        <f>AVERAGEIFS(Table1[months_on_book],Table1[product],Table1[[#This Row],[product]])</f>
        <v>20.262135922330096</v>
      </c>
      <c r="AS431" s="19" t="str">
        <f ca="1">IF(EDATE(Table1[[#This Row],[origination_date]],6) &gt;= TODAY(), "New Loan", "Old Loan")</f>
        <v>Old Loan</v>
      </c>
      <c r="AT431" s="19" t="str">
        <f>"Q"&amp;ROUNDUP(MONTH(Table1[[#This Row],[origination_date]])/3,0)&amp;YEAR(Table1[[#This Row],[origination_date]])</f>
        <v>Q42023</v>
      </c>
      <c r="AU431" s="19">
        <f>SUMIFS(Table1[loan_amount],Table1[quarter],Table1[[#This Row],[quarter]])</f>
        <v>58386700</v>
      </c>
    </row>
    <row r="432" spans="2:47" x14ac:dyDescent="0.2">
      <c r="B432" s="5" t="s">
        <v>272</v>
      </c>
      <c r="C432" s="2" t="s">
        <v>772</v>
      </c>
      <c r="D432" s="3">
        <v>45204</v>
      </c>
      <c r="E432" s="2" t="s">
        <v>1026</v>
      </c>
      <c r="F432" s="2" t="s">
        <v>1029</v>
      </c>
      <c r="G432" s="2" t="s">
        <v>1033</v>
      </c>
      <c r="H432" s="2" t="s">
        <v>1038</v>
      </c>
      <c r="I432" s="2">
        <v>36</v>
      </c>
      <c r="J432" s="2">
        <v>353900</v>
      </c>
      <c r="K432" s="2">
        <v>17.739999999999998</v>
      </c>
      <c r="L432" s="2">
        <v>12748</v>
      </c>
      <c r="M432" s="2">
        <v>713268</v>
      </c>
      <c r="N432" s="2">
        <v>711</v>
      </c>
      <c r="O432" s="2" t="s">
        <v>1044</v>
      </c>
      <c r="P432" s="2">
        <v>0.36</v>
      </c>
      <c r="Q432" s="2">
        <v>0.68</v>
      </c>
      <c r="R432" s="2">
        <v>0</v>
      </c>
      <c r="S432" s="2">
        <v>26</v>
      </c>
      <c r="T432" s="2">
        <v>297900</v>
      </c>
      <c r="U432" s="2">
        <v>110411</v>
      </c>
      <c r="V432" s="2">
        <v>0</v>
      </c>
      <c r="W432" s="2">
        <v>0</v>
      </c>
      <c r="X432" s="2">
        <v>0</v>
      </c>
      <c r="Y432" s="2" t="s">
        <v>1049</v>
      </c>
      <c r="Z432" s="12">
        <f>SUMIF(Table1[product],Table1[[#This Row],[product]],Table1[loan_amount])</f>
        <v>74897600</v>
      </c>
      <c r="AA432" s="15">
        <f>SUMIF(Table1[region],Table1[[#This Row],[region]],Table1[current_balance])</f>
        <v>83297251</v>
      </c>
      <c r="AB432" s="2">
        <f>COUNTIF(Table1[loan_status],Table1[[#This Row],[loan_status]])</f>
        <v>301</v>
      </c>
      <c r="AC432" s="2">
        <f>COUNTIF(Table1[default_flag],1)/ROWS(Table1[loan_id])</f>
        <v>2.5999999999999999E-2</v>
      </c>
      <c r="AD432" s="2">
        <f>COUNTIFS(Table1[region],Table1[[#This Row],[region]],Table1[default_flag],1)/COUNTIF(Table1[region],Table1[[#This Row],[region]])</f>
        <v>3.1914893617021274E-2</v>
      </c>
      <c r="AE432" s="2">
        <f>COUNTIFS(Table1[channel],Table1[[#This Row],[channel]],Table1[prepayment_flag],1)/COUNTIF(Table1[channel],Table1[[#This Row],[channel]])</f>
        <v>7.1090047393364927E-2</v>
      </c>
      <c r="AF432" s="2">
        <f>AVERAGEIFS(Table1[interest_rate_pct],Table1[product],Table1[[#This Row],[product]],Table1[risk_band],Table1[[#This Row],[risk_band]])</f>
        <v>16.500166666666669</v>
      </c>
      <c r="AG432" s="2" t="str" cm="1">
        <f t="array" ref="AG432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432" s="2">
        <f>COUNTIF(Table1[DTI band],Table1[[#This Row],[DTI band]])</f>
        <v>260</v>
      </c>
      <c r="AI432" s="2" t="str" cm="1">
        <f t="array" ref="AI432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432" s="2">
        <f>COUNTIF(Table1[LTV band],Table1[[#This Row],[LTV band]])</f>
        <v>302</v>
      </c>
      <c r="AK432" s="19">
        <f>COUNTIFS(Table1[count_loan_perband],Table1[[#This Row],[count_loan_perband]],Table1[default_flag],1)/COUNTIF(Table1[count_loan_perband],Table1[[#This Row],[count_loan_perband]])</f>
        <v>3.6423841059602648E-2</v>
      </c>
      <c r="AL432" s="19" t="str" cm="1">
        <f t="array" ref="AL432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432" s="19">
        <f>IF(Table1[[#This Row],[dpd]] &gt;=30,1,0)</f>
        <v>0</v>
      </c>
      <c r="AN432" s="19">
        <f>COUNTIFS(Table1[Loan size],Table1[[#This Row],[Loan size]],Table1[dpd flag],1)/COUNTIF(Table1[Loan size],Table1[[#This Row],[Loan size]])</f>
        <v>0.13934426229508196</v>
      </c>
      <c r="AO432" s="19" t="str">
        <f>IF(OR(Table1[[#This Row],[credit_score]] &lt; 600, Table1[ [#This Row],[dti_ratio] ] &gt; 0.5, Table1[[#This Row],[dpd]] &gt;=30), "high risk", " not riskY")</f>
        <v xml:space="preserve"> not riskY</v>
      </c>
      <c r="AP432" s="29">
        <f>EOMONTH(Table1[[#This Row],[origination_date]],0)</f>
        <v>45230</v>
      </c>
      <c r="AQ432" s="19">
        <f>SUMIFS(Table1[loan_amount],Table1[origination month],Table1[[#This Row],[origination month]])</f>
        <v>25021600</v>
      </c>
      <c r="AR432" s="19">
        <f>AVERAGEIFS(Table1[months_on_book],Table1[product],Table1[[#This Row],[product]])</f>
        <v>21.092024539877301</v>
      </c>
      <c r="AS432" s="19" t="str">
        <f ca="1">IF(EDATE(Table1[[#This Row],[origination_date]],6) &gt;= TODAY(), "New Loan", "Old Loan")</f>
        <v>Old Loan</v>
      </c>
      <c r="AT432" s="19" t="str">
        <f>"Q"&amp;ROUNDUP(MONTH(Table1[[#This Row],[origination_date]])/3,0)&amp;YEAR(Table1[[#This Row],[origination_date]])</f>
        <v>Q42023</v>
      </c>
      <c r="AU432" s="19">
        <f>SUMIFS(Table1[loan_amount],Table1[quarter],Table1[[#This Row],[quarter]])</f>
        <v>58386700</v>
      </c>
    </row>
    <row r="433" spans="2:47" x14ac:dyDescent="0.2">
      <c r="B433" s="5" t="s">
        <v>322</v>
      </c>
      <c r="C433" s="2" t="s">
        <v>822</v>
      </c>
      <c r="D433" s="3">
        <v>45261</v>
      </c>
      <c r="E433" s="2" t="s">
        <v>1028</v>
      </c>
      <c r="F433" s="2" t="s">
        <v>1029</v>
      </c>
      <c r="G433" s="2" t="s">
        <v>1033</v>
      </c>
      <c r="H433" s="2" t="s">
        <v>1039</v>
      </c>
      <c r="I433" s="2">
        <v>18</v>
      </c>
      <c r="J433" s="2">
        <v>695900</v>
      </c>
      <c r="K433" s="2">
        <v>9.4700000000000006</v>
      </c>
      <c r="L433" s="2">
        <v>41624</v>
      </c>
      <c r="M433" s="2">
        <v>150000</v>
      </c>
      <c r="N433" s="2">
        <v>724</v>
      </c>
      <c r="O433" s="2" t="s">
        <v>1044</v>
      </c>
      <c r="P433" s="2">
        <v>0.35</v>
      </c>
      <c r="Q433" s="2">
        <v>0.85</v>
      </c>
      <c r="R433" s="2">
        <v>0</v>
      </c>
      <c r="S433" s="2">
        <v>18</v>
      </c>
      <c r="T433" s="2">
        <v>710562</v>
      </c>
      <c r="U433" s="2">
        <v>24879</v>
      </c>
      <c r="V433" s="2">
        <v>0</v>
      </c>
      <c r="W433" s="2">
        <v>1</v>
      </c>
      <c r="X433" s="2">
        <v>0</v>
      </c>
      <c r="Y433" s="2" t="s">
        <v>1047</v>
      </c>
      <c r="Z433" s="12">
        <f>SUMIF(Table1[product],Table1[[#This Row],[product]],Table1[loan_amount])</f>
        <v>62765800</v>
      </c>
      <c r="AA433" s="15">
        <f>SUMIF(Table1[region],Table1[[#This Row],[region]],Table1[current_balance])</f>
        <v>83297251</v>
      </c>
      <c r="AB433" s="2">
        <f>COUNTIF(Table1[loan_status],Table1[[#This Row],[loan_status]])</f>
        <v>139</v>
      </c>
      <c r="AC433" s="2">
        <f>COUNTIF(Table1[default_flag],1)/ROWS(Table1[loan_id])</f>
        <v>2.5999999999999999E-2</v>
      </c>
      <c r="AD433" s="2">
        <f>COUNTIFS(Table1[region],Table1[[#This Row],[region]],Table1[default_flag],1)/COUNTIF(Table1[region],Table1[[#This Row],[region]])</f>
        <v>3.1914893617021274E-2</v>
      </c>
      <c r="AE433" s="2">
        <f>COUNTIFS(Table1[channel],Table1[[#This Row],[channel]],Table1[prepayment_flag],1)/COUNTIF(Table1[channel],Table1[[#This Row],[channel]])</f>
        <v>7.1090047393364927E-2</v>
      </c>
      <c r="AF433" s="2">
        <f>AVERAGEIFS(Table1[interest_rate_pct],Table1[product],Table1[[#This Row],[product]],Table1[risk_band],Table1[[#This Row],[risk_band]])</f>
        <v>10.832666666666663</v>
      </c>
      <c r="AG433" s="2" t="str" cm="1">
        <f t="array" ref="AG433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433" s="2">
        <f>COUNTIF(Table1[DTI band],Table1[[#This Row],[DTI band]])</f>
        <v>260</v>
      </c>
      <c r="AI433" s="2" t="str" cm="1">
        <f t="array" ref="AI433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433" s="2">
        <f>COUNTIF(Table1[LTV band],Table1[[#This Row],[LTV band]])</f>
        <v>141</v>
      </c>
      <c r="AK433" s="19">
        <f>COUNTIFS(Table1[count_loan_perband],Table1[[#This Row],[count_loan_perband]],Table1[default_flag],1)/COUNTIF(Table1[count_loan_perband],Table1[[#This Row],[count_loan_perband]])</f>
        <v>1.4184397163120567E-2</v>
      </c>
      <c r="AL433" s="19" t="str" cm="1">
        <f t="array" ref="AL433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433" s="19">
        <f>IF(Table1[[#This Row],[dpd]] &gt;=30,1,0)</f>
        <v>0</v>
      </c>
      <c r="AN433" s="19">
        <f>COUNTIFS(Table1[Loan size],Table1[[#This Row],[Loan size]],Table1[dpd flag],1)/COUNTIF(Table1[Loan size],Table1[[#This Row],[Loan size]])</f>
        <v>0.13934426229508196</v>
      </c>
      <c r="AO433" s="19" t="str">
        <f>IF(OR(Table1[[#This Row],[credit_score]] &lt; 600, Table1[ [#This Row],[dti_ratio] ] &gt; 0.5, Table1[[#This Row],[dpd]] &gt;=30), "high risk", " not riskY")</f>
        <v xml:space="preserve"> not riskY</v>
      </c>
      <c r="AP433" s="29">
        <f>EOMONTH(Table1[[#This Row],[origination_date]],0)</f>
        <v>45291</v>
      </c>
      <c r="AQ433" s="19">
        <f>SUMIFS(Table1[loan_amount],Table1[origination month],Table1[[#This Row],[origination month]])</f>
        <v>28085400</v>
      </c>
      <c r="AR433" s="19">
        <f>AVERAGEIFS(Table1[months_on_book],Table1[product],Table1[[#This Row],[product]])</f>
        <v>21.962962962962962</v>
      </c>
      <c r="AS433" s="19" t="str">
        <f ca="1">IF(EDATE(Table1[[#This Row],[origination_date]],6) &gt;= TODAY(), "New Loan", "Old Loan")</f>
        <v>Old Loan</v>
      </c>
      <c r="AT433" s="19" t="str">
        <f>"Q"&amp;ROUNDUP(MONTH(Table1[[#This Row],[origination_date]])/3,0)&amp;YEAR(Table1[[#This Row],[origination_date]])</f>
        <v>Q42023</v>
      </c>
      <c r="AU433" s="19">
        <f>SUMIFS(Table1[loan_amount],Table1[quarter],Table1[[#This Row],[quarter]])</f>
        <v>58386700</v>
      </c>
    </row>
    <row r="434" spans="2:47" x14ac:dyDescent="0.2">
      <c r="B434" s="5" t="s">
        <v>61</v>
      </c>
      <c r="C434" s="2" t="s">
        <v>561</v>
      </c>
      <c r="D434" s="3">
        <v>45229</v>
      </c>
      <c r="E434" s="2" t="s">
        <v>1026</v>
      </c>
      <c r="F434" s="2" t="s">
        <v>1029</v>
      </c>
      <c r="G434" s="2" t="s">
        <v>1035</v>
      </c>
      <c r="H434" s="2" t="s">
        <v>1038</v>
      </c>
      <c r="I434" s="2">
        <v>36</v>
      </c>
      <c r="J434" s="2">
        <v>579500</v>
      </c>
      <c r="K434" s="2">
        <v>16.190000000000001</v>
      </c>
      <c r="L434" s="2">
        <v>20428</v>
      </c>
      <c r="M434" s="2">
        <v>1094334</v>
      </c>
      <c r="N434" s="2">
        <v>715</v>
      </c>
      <c r="O434" s="2" t="s">
        <v>1044</v>
      </c>
      <c r="P434" s="2">
        <v>0.32</v>
      </c>
      <c r="Q434" s="2">
        <v>0.7</v>
      </c>
      <c r="R434" s="2">
        <v>0</v>
      </c>
      <c r="S434" s="2">
        <v>26</v>
      </c>
      <c r="T434" s="2">
        <v>490052</v>
      </c>
      <c r="U434" s="2">
        <v>170760</v>
      </c>
      <c r="V434" s="2">
        <v>0</v>
      </c>
      <c r="W434" s="2">
        <v>0</v>
      </c>
      <c r="X434" s="2">
        <v>0</v>
      </c>
      <c r="Y434" s="2" t="s">
        <v>1049</v>
      </c>
      <c r="Z434" s="12">
        <f>SUMIF(Table1[product],Table1[[#This Row],[product]],Table1[loan_amount])</f>
        <v>74897600</v>
      </c>
      <c r="AA434" s="15">
        <f>SUMIF(Table1[region],Table1[[#This Row],[region]],Table1[current_balance])</f>
        <v>83903255</v>
      </c>
      <c r="AB434" s="2">
        <f>COUNTIF(Table1[loan_status],Table1[[#This Row],[loan_status]])</f>
        <v>301</v>
      </c>
      <c r="AC434" s="2">
        <f>COUNTIF(Table1[default_flag],1)/ROWS(Table1[loan_id])</f>
        <v>2.5999999999999999E-2</v>
      </c>
      <c r="AD434" s="2">
        <f>COUNTIFS(Table1[region],Table1[[#This Row],[region]],Table1[default_flag],1)/COUNTIF(Table1[region],Table1[[#This Row],[region]])</f>
        <v>4.2553191489361701E-2</v>
      </c>
      <c r="AE434" s="2">
        <f>COUNTIFS(Table1[channel],Table1[[#This Row],[channel]],Table1[prepayment_flag],1)/COUNTIF(Table1[channel],Table1[[#This Row],[channel]])</f>
        <v>7.1090047393364927E-2</v>
      </c>
      <c r="AF434" s="2">
        <f>AVERAGEIFS(Table1[interest_rate_pct],Table1[product],Table1[[#This Row],[product]],Table1[risk_band],Table1[[#This Row],[risk_band]])</f>
        <v>16.500166666666669</v>
      </c>
      <c r="AG434" s="2" t="str" cm="1">
        <f t="array" ref="AG434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434" s="2">
        <f>COUNTIF(Table1[DTI band],Table1[[#This Row],[DTI band]])</f>
        <v>260</v>
      </c>
      <c r="AI434" s="2" t="str" cm="1">
        <f t="array" ref="AI434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434" s="2">
        <f>COUNTIF(Table1[LTV band],Table1[[#This Row],[LTV band]])</f>
        <v>302</v>
      </c>
      <c r="AK434" s="19">
        <f>COUNTIFS(Table1[count_loan_perband],Table1[[#This Row],[count_loan_perband]],Table1[default_flag],1)/COUNTIF(Table1[count_loan_perband],Table1[[#This Row],[count_loan_perband]])</f>
        <v>3.6423841059602648E-2</v>
      </c>
      <c r="AL434" s="19" t="str" cm="1">
        <f t="array" ref="AL434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434" s="19">
        <f>IF(Table1[[#This Row],[dpd]] &gt;=30,1,0)</f>
        <v>0</v>
      </c>
      <c r="AN434" s="19">
        <f>COUNTIFS(Table1[Loan size],Table1[[#This Row],[Loan size]],Table1[dpd flag],1)/COUNTIF(Table1[Loan size],Table1[[#This Row],[Loan size]])</f>
        <v>0.13934426229508196</v>
      </c>
      <c r="AO434" s="19" t="str">
        <f>IF(OR(Table1[[#This Row],[credit_score]] &lt; 600, Table1[ [#This Row],[dti_ratio] ] &gt; 0.5, Table1[[#This Row],[dpd]] &gt;=30), "high risk", " not riskY")</f>
        <v xml:space="preserve"> not riskY</v>
      </c>
      <c r="AP434" s="29">
        <f>EOMONTH(Table1[[#This Row],[origination_date]],0)</f>
        <v>45230</v>
      </c>
      <c r="AQ434" s="19">
        <f>SUMIFS(Table1[loan_amount],Table1[origination month],Table1[[#This Row],[origination month]])</f>
        <v>25021600</v>
      </c>
      <c r="AR434" s="19">
        <f>AVERAGEIFS(Table1[months_on_book],Table1[product],Table1[[#This Row],[product]])</f>
        <v>21.092024539877301</v>
      </c>
      <c r="AS434" s="19" t="str">
        <f ca="1">IF(EDATE(Table1[[#This Row],[origination_date]],6) &gt;= TODAY(), "New Loan", "Old Loan")</f>
        <v>Old Loan</v>
      </c>
      <c r="AT434" s="19" t="str">
        <f>"Q"&amp;ROUNDUP(MONTH(Table1[[#This Row],[origination_date]])/3,0)&amp;YEAR(Table1[[#This Row],[origination_date]])</f>
        <v>Q42023</v>
      </c>
      <c r="AU434" s="19">
        <f>SUMIFS(Table1[loan_amount],Table1[quarter],Table1[[#This Row],[quarter]])</f>
        <v>58386700</v>
      </c>
    </row>
    <row r="435" spans="2:47" x14ac:dyDescent="0.2">
      <c r="B435" s="5" t="s">
        <v>424</v>
      </c>
      <c r="C435" s="2" t="s">
        <v>924</v>
      </c>
      <c r="D435" s="3">
        <v>45287</v>
      </c>
      <c r="E435" s="2" t="s">
        <v>1027</v>
      </c>
      <c r="F435" s="2" t="s">
        <v>1029</v>
      </c>
      <c r="G435" s="2" t="s">
        <v>1036</v>
      </c>
      <c r="H435" s="2" t="s">
        <v>1038</v>
      </c>
      <c r="I435" s="2">
        <v>360</v>
      </c>
      <c r="J435" s="2">
        <v>1326500</v>
      </c>
      <c r="K435" s="2">
        <v>10.79</v>
      </c>
      <c r="L435" s="2">
        <v>12423</v>
      </c>
      <c r="M435" s="2">
        <v>547092</v>
      </c>
      <c r="N435" s="2">
        <v>687</v>
      </c>
      <c r="O435" s="2" t="s">
        <v>1042</v>
      </c>
      <c r="P435" s="2">
        <v>0.32</v>
      </c>
      <c r="Q435" s="2">
        <v>0.56999999999999995</v>
      </c>
      <c r="R435" s="2">
        <v>2340000</v>
      </c>
      <c r="S435" s="2">
        <v>24</v>
      </c>
      <c r="T435" s="2">
        <v>279136</v>
      </c>
      <c r="U435" s="2">
        <v>1161867</v>
      </c>
      <c r="V435" s="2">
        <v>0</v>
      </c>
      <c r="W435" s="2">
        <v>0</v>
      </c>
      <c r="X435" s="2">
        <v>0</v>
      </c>
      <c r="Y435" s="2" t="s">
        <v>1049</v>
      </c>
      <c r="Z435" s="12">
        <f>SUMIF(Table1[product],Table1[[#This Row],[product]],Table1[loan_amount])</f>
        <v>403369500</v>
      </c>
      <c r="AA435" s="15">
        <f>SUMIF(Table1[region],Table1[[#This Row],[region]],Table1[current_balance])</f>
        <v>98928695</v>
      </c>
      <c r="AB435" s="2">
        <f>COUNTIF(Table1[loan_status],Table1[[#This Row],[loan_status]])</f>
        <v>301</v>
      </c>
      <c r="AC435" s="2">
        <f>COUNTIF(Table1[default_flag],1)/ROWS(Table1[loan_id])</f>
        <v>2.5999999999999999E-2</v>
      </c>
      <c r="AD435" s="2">
        <f>COUNTIFS(Table1[region],Table1[[#This Row],[region]],Table1[default_flag],1)/COUNTIF(Table1[region],Table1[[#This Row],[region]])</f>
        <v>2.8571428571428571E-2</v>
      </c>
      <c r="AE435" s="2">
        <f>COUNTIFS(Table1[channel],Table1[[#This Row],[channel]],Table1[prepayment_flag],1)/COUNTIF(Table1[channel],Table1[[#This Row],[channel]])</f>
        <v>7.1090047393364927E-2</v>
      </c>
      <c r="AF435" s="2">
        <f>AVERAGEIFS(Table1[interest_rate_pct],Table1[product],Table1[[#This Row],[product]],Table1[risk_band],Table1[[#This Row],[risk_band]])</f>
        <v>11.719736842105268</v>
      </c>
      <c r="AG435" s="2" t="str" cm="1">
        <f t="array" ref="AG435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435" s="2">
        <f>COUNTIF(Table1[DTI band],Table1[[#This Row],[DTI band]])</f>
        <v>260</v>
      </c>
      <c r="AI435" s="2" t="str" cm="1">
        <f t="array" ref="AI435">_xlfn.IFS(Table1[[#This Row],[ltv_ratio]] &lt; 0.6, "less than 0.6 -less risky", Table1[[#This Row],[ltv_ratio]]  &lt;= 0.8, "0.6 - 0.8 -medium risky",Table1[[#This Row],[ltv_ratio]] &gt; 0.8, "greater than 0.8 -highly risky")</f>
        <v>less than 0.6 -less risky</v>
      </c>
      <c r="AJ435" s="2">
        <f>COUNTIF(Table1[LTV band],Table1[[#This Row],[LTV band]])</f>
        <v>57</v>
      </c>
      <c r="AK435" s="19">
        <f>COUNTIFS(Table1[count_loan_perband],Table1[[#This Row],[count_loan_perband]],Table1[default_flag],1)/COUNTIF(Table1[count_loan_perband],Table1[[#This Row],[count_loan_perband]])</f>
        <v>0</v>
      </c>
      <c r="AL435" s="19" t="str" cm="1">
        <f t="array" ref="AL435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435" s="19">
        <f>IF(Table1[[#This Row],[dpd]] &gt;=30,1,0)</f>
        <v>0</v>
      </c>
      <c r="AN435" s="19">
        <f>COUNTIFS(Table1[Loan size],Table1[[#This Row],[Loan size]],Table1[dpd flag],1)/COUNTIF(Table1[Loan size],Table1[[#This Row],[Loan size]])</f>
        <v>0.15909090909090909</v>
      </c>
      <c r="AO435" s="19" t="str">
        <f>IF(OR(Table1[[#This Row],[credit_score]] &lt; 600, Table1[ [#This Row],[dti_ratio] ] &gt; 0.5, Table1[[#This Row],[dpd]] &gt;=30), "high risk", " not riskY")</f>
        <v xml:space="preserve"> not riskY</v>
      </c>
      <c r="AP435" s="29">
        <f>EOMONTH(Table1[[#This Row],[origination_date]],0)</f>
        <v>45291</v>
      </c>
      <c r="AQ435" s="19">
        <f>SUMIFS(Table1[loan_amount],Table1[origination month],Table1[[#This Row],[origination month]])</f>
        <v>28085400</v>
      </c>
      <c r="AR435" s="19">
        <f>AVERAGEIFS(Table1[months_on_book],Table1[product],Table1[[#This Row],[product]])</f>
        <v>20.516129032258064</v>
      </c>
      <c r="AS435" s="19" t="str">
        <f ca="1">IF(EDATE(Table1[[#This Row],[origination_date]],6) &gt;= TODAY(), "New Loan", "Old Loan")</f>
        <v>Old Loan</v>
      </c>
      <c r="AT435" s="19" t="str">
        <f>"Q"&amp;ROUNDUP(MONTH(Table1[[#This Row],[origination_date]])/3,0)&amp;YEAR(Table1[[#This Row],[origination_date]])</f>
        <v>Q42023</v>
      </c>
      <c r="AU435" s="19">
        <f>SUMIFS(Table1[loan_amount],Table1[quarter],Table1[[#This Row],[quarter]])</f>
        <v>58386700</v>
      </c>
    </row>
    <row r="436" spans="2:47" x14ac:dyDescent="0.2">
      <c r="B436" s="5" t="s">
        <v>26</v>
      </c>
      <c r="C436" s="2" t="s">
        <v>526</v>
      </c>
      <c r="D436" s="3">
        <v>45281</v>
      </c>
      <c r="E436" s="2" t="s">
        <v>1024</v>
      </c>
      <c r="F436" s="2" t="s">
        <v>1030</v>
      </c>
      <c r="G436" s="2" t="s">
        <v>1035</v>
      </c>
      <c r="H436" s="2" t="s">
        <v>1039</v>
      </c>
      <c r="I436" s="2">
        <v>48</v>
      </c>
      <c r="J436" s="2">
        <v>727900</v>
      </c>
      <c r="K436" s="2">
        <v>12.47</v>
      </c>
      <c r="L436" s="2">
        <v>19337</v>
      </c>
      <c r="M436" s="2">
        <v>1136593</v>
      </c>
      <c r="N436" s="2">
        <v>701</v>
      </c>
      <c r="O436" s="2" t="s">
        <v>1044</v>
      </c>
      <c r="P436" s="2">
        <v>0.31</v>
      </c>
      <c r="Q436" s="2">
        <v>0.55000000000000004</v>
      </c>
      <c r="R436" s="2">
        <v>1334200</v>
      </c>
      <c r="S436" s="2">
        <v>24</v>
      </c>
      <c r="T436" s="2">
        <v>460753</v>
      </c>
      <c r="U436" s="2">
        <v>339762</v>
      </c>
      <c r="V436" s="2">
        <v>45</v>
      </c>
      <c r="W436" s="2">
        <v>0</v>
      </c>
      <c r="X436" s="2">
        <v>0</v>
      </c>
      <c r="Y436" s="2" t="s">
        <v>1048</v>
      </c>
      <c r="Z436" s="12">
        <f>SUMIF(Table1[product],Table1[[#This Row],[product]],Table1[loan_amount])</f>
        <v>92273000</v>
      </c>
      <c r="AA436" s="15">
        <f>SUMIF(Table1[region],Table1[[#This Row],[region]],Table1[current_balance])</f>
        <v>83903255</v>
      </c>
      <c r="AB436" s="2">
        <f>COUNTIF(Table1[loan_status],Table1[[#This Row],[loan_status]])</f>
        <v>47</v>
      </c>
      <c r="AC436" s="2">
        <f>COUNTIF(Table1[default_flag],1)/ROWS(Table1[loan_id])</f>
        <v>2.5999999999999999E-2</v>
      </c>
      <c r="AD436" s="2">
        <f>COUNTIFS(Table1[region],Table1[[#This Row],[region]],Table1[default_flag],1)/COUNTIF(Table1[region],Table1[[#This Row],[region]])</f>
        <v>4.2553191489361701E-2</v>
      </c>
      <c r="AE436" s="2">
        <f>COUNTIFS(Table1[channel],Table1[[#This Row],[channel]],Table1[prepayment_flag],1)/COUNTIF(Table1[channel],Table1[[#This Row],[channel]])</f>
        <v>5.8201058201058198E-2</v>
      </c>
      <c r="AF436" s="2">
        <f>AVERAGEIFS(Table1[interest_rate_pct],Table1[product],Table1[[#This Row],[product]],Table1[risk_band],Table1[[#This Row],[risk_band]])</f>
        <v>10.611923076923079</v>
      </c>
      <c r="AG436" s="2" t="str" cm="1">
        <f t="array" ref="AG436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436" s="2">
        <f>COUNTIF(Table1[DTI band],Table1[[#This Row],[DTI band]])</f>
        <v>260</v>
      </c>
      <c r="AI436" s="2" t="str" cm="1">
        <f t="array" ref="AI436">_xlfn.IFS(Table1[[#This Row],[ltv_ratio]] &lt; 0.6, "less than 0.6 -less risky", Table1[[#This Row],[ltv_ratio]]  &lt;= 0.8, "0.6 - 0.8 -medium risky",Table1[[#This Row],[ltv_ratio]] &gt; 0.8, "greater than 0.8 -highly risky")</f>
        <v>less than 0.6 -less risky</v>
      </c>
      <c r="AJ436" s="2">
        <f>COUNTIF(Table1[LTV band],Table1[[#This Row],[LTV band]])</f>
        <v>57</v>
      </c>
      <c r="AK436" s="19">
        <f>COUNTIFS(Table1[count_loan_perband],Table1[[#This Row],[count_loan_perband]],Table1[default_flag],1)/COUNTIF(Table1[count_loan_perband],Table1[[#This Row],[count_loan_perband]])</f>
        <v>0</v>
      </c>
      <c r="AL436" s="19" t="str" cm="1">
        <f t="array" ref="AL436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436" s="19">
        <f>IF(Table1[[#This Row],[dpd]] &gt;=30,1,0)</f>
        <v>1</v>
      </c>
      <c r="AN436" s="19">
        <f>COUNTIFS(Table1[Loan size],Table1[[#This Row],[Loan size]],Table1[dpd flag],1)/COUNTIF(Table1[Loan size],Table1[[#This Row],[Loan size]])</f>
        <v>0.13934426229508196</v>
      </c>
      <c r="AO436" s="19" t="str">
        <f>IF(OR(Table1[[#This Row],[credit_score]] &lt; 600, Table1[ [#This Row],[dti_ratio] ] &gt; 0.5, Table1[[#This Row],[dpd]] &gt;=30), "high risk", " not riskY")</f>
        <v>high risk</v>
      </c>
      <c r="AP436" s="29">
        <f>EOMONTH(Table1[[#This Row],[origination_date]],0)</f>
        <v>45291</v>
      </c>
      <c r="AQ436" s="19">
        <f>SUMIFS(Table1[loan_amount],Table1[origination month],Table1[[#This Row],[origination month]])</f>
        <v>28085400</v>
      </c>
      <c r="AR436" s="19">
        <f>AVERAGEIFS(Table1[months_on_book],Table1[product],Table1[[#This Row],[product]])</f>
        <v>20.262135922330096</v>
      </c>
      <c r="AS436" s="19" t="str">
        <f ca="1">IF(EDATE(Table1[[#This Row],[origination_date]],6) &gt;= TODAY(), "New Loan", "Old Loan")</f>
        <v>Old Loan</v>
      </c>
      <c r="AT436" s="19" t="str">
        <f>"Q"&amp;ROUNDUP(MONTH(Table1[[#This Row],[origination_date]])/3,0)&amp;YEAR(Table1[[#This Row],[origination_date]])</f>
        <v>Q42023</v>
      </c>
      <c r="AU436" s="19">
        <f>SUMIFS(Table1[loan_amount],Table1[quarter],Table1[[#This Row],[quarter]])</f>
        <v>58386700</v>
      </c>
    </row>
    <row r="437" spans="2:47" x14ac:dyDescent="0.2">
      <c r="B437" s="5" t="s">
        <v>286</v>
      </c>
      <c r="C437" s="2" t="s">
        <v>786</v>
      </c>
      <c r="D437" s="3">
        <v>45205</v>
      </c>
      <c r="E437" s="2" t="s">
        <v>1026</v>
      </c>
      <c r="F437" s="2" t="s">
        <v>1030</v>
      </c>
      <c r="G437" s="2" t="s">
        <v>1034</v>
      </c>
      <c r="H437" s="2" t="s">
        <v>1039</v>
      </c>
      <c r="I437" s="2">
        <v>72</v>
      </c>
      <c r="J437" s="2">
        <v>246700</v>
      </c>
      <c r="K437" s="2">
        <v>17.7</v>
      </c>
      <c r="L437" s="2">
        <v>5585</v>
      </c>
      <c r="M437" s="2">
        <v>388140</v>
      </c>
      <c r="N437" s="2">
        <v>679</v>
      </c>
      <c r="O437" s="2" t="s">
        <v>1042</v>
      </c>
      <c r="P437" s="2">
        <v>0.31</v>
      </c>
      <c r="Q437" s="2">
        <v>0.82</v>
      </c>
      <c r="R437" s="2">
        <v>0</v>
      </c>
      <c r="S437" s="2">
        <v>26</v>
      </c>
      <c r="T437" s="2">
        <v>130293</v>
      </c>
      <c r="U437" s="2">
        <v>154251</v>
      </c>
      <c r="V437" s="2">
        <v>0</v>
      </c>
      <c r="W437" s="2">
        <v>0</v>
      </c>
      <c r="X437" s="2">
        <v>0</v>
      </c>
      <c r="Y437" s="2" t="s">
        <v>1049</v>
      </c>
      <c r="Z437" s="12">
        <f>SUMIF(Table1[product],Table1[[#This Row],[product]],Table1[loan_amount])</f>
        <v>74897600</v>
      </c>
      <c r="AA437" s="15">
        <f>SUMIF(Table1[region],Table1[[#This Row],[region]],Table1[current_balance])</f>
        <v>105779369</v>
      </c>
      <c r="AB437" s="2">
        <f>COUNTIF(Table1[loan_status],Table1[[#This Row],[loan_status]])</f>
        <v>301</v>
      </c>
      <c r="AC437" s="2">
        <f>COUNTIF(Table1[default_flag],1)/ROWS(Table1[loan_id])</f>
        <v>2.5999999999999999E-2</v>
      </c>
      <c r="AD437" s="2">
        <f>COUNTIFS(Table1[region],Table1[[#This Row],[region]],Table1[default_flag],1)/COUNTIF(Table1[region],Table1[[#This Row],[region]])</f>
        <v>2.6548672566371681E-2</v>
      </c>
      <c r="AE437" s="2">
        <f>COUNTIFS(Table1[channel],Table1[[#This Row],[channel]],Table1[prepayment_flag],1)/COUNTIF(Table1[channel],Table1[[#This Row],[channel]])</f>
        <v>5.8201058201058198E-2</v>
      </c>
      <c r="AF437" s="2">
        <f>AVERAGEIFS(Table1[interest_rate_pct],Table1[product],Table1[[#This Row],[product]],Table1[risk_band],Table1[[#This Row],[risk_band]])</f>
        <v>18.603181818181817</v>
      </c>
      <c r="AG437" s="2" t="str" cm="1">
        <f t="array" ref="AG437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437" s="2">
        <f>COUNTIF(Table1[DTI band],Table1[[#This Row],[DTI band]])</f>
        <v>260</v>
      </c>
      <c r="AI437" s="2" t="str" cm="1">
        <f t="array" ref="AI437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437" s="2">
        <f>COUNTIF(Table1[LTV band],Table1[[#This Row],[LTV band]])</f>
        <v>141</v>
      </c>
      <c r="AK437" s="19">
        <f>COUNTIFS(Table1[count_loan_perband],Table1[[#This Row],[count_loan_perband]],Table1[default_flag],1)/COUNTIF(Table1[count_loan_perband],Table1[[#This Row],[count_loan_perband]])</f>
        <v>1.4184397163120567E-2</v>
      </c>
      <c r="AL437" s="19" t="str" cm="1">
        <f t="array" ref="AL437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437" s="19">
        <f>IF(Table1[[#This Row],[dpd]] &gt;=30,1,0)</f>
        <v>0</v>
      </c>
      <c r="AN437" s="19">
        <f>COUNTIFS(Table1[Loan size],Table1[[#This Row],[Loan size]],Table1[dpd flag],1)/COUNTIF(Table1[Loan size],Table1[[#This Row],[Loan size]])</f>
        <v>0.13934426229508196</v>
      </c>
      <c r="AO437" s="19" t="str">
        <f>IF(OR(Table1[[#This Row],[credit_score]] &lt; 600, Table1[ [#This Row],[dti_ratio] ] &gt; 0.5, Table1[[#This Row],[dpd]] &gt;=30), "high risk", " not riskY")</f>
        <v xml:space="preserve"> not riskY</v>
      </c>
      <c r="AP437" s="29">
        <f>EOMONTH(Table1[[#This Row],[origination_date]],0)</f>
        <v>45230</v>
      </c>
      <c r="AQ437" s="19">
        <f>SUMIFS(Table1[loan_amount],Table1[origination month],Table1[[#This Row],[origination month]])</f>
        <v>25021600</v>
      </c>
      <c r="AR437" s="19">
        <f>AVERAGEIFS(Table1[months_on_book],Table1[product],Table1[[#This Row],[product]])</f>
        <v>21.092024539877301</v>
      </c>
      <c r="AS437" s="19" t="str">
        <f ca="1">IF(EDATE(Table1[[#This Row],[origination_date]],6) &gt;= TODAY(), "New Loan", "Old Loan")</f>
        <v>Old Loan</v>
      </c>
      <c r="AT437" s="19" t="str">
        <f>"Q"&amp;ROUNDUP(MONTH(Table1[[#This Row],[origination_date]])/3,0)&amp;YEAR(Table1[[#This Row],[origination_date]])</f>
        <v>Q42023</v>
      </c>
      <c r="AU437" s="19">
        <f>SUMIFS(Table1[loan_amount],Table1[quarter],Table1[[#This Row],[quarter]])</f>
        <v>58386700</v>
      </c>
    </row>
    <row r="438" spans="2:47" x14ac:dyDescent="0.2">
      <c r="B438" s="5" t="s">
        <v>299</v>
      </c>
      <c r="C438" s="2" t="s">
        <v>799</v>
      </c>
      <c r="D438" s="3">
        <v>45272</v>
      </c>
      <c r="E438" s="2" t="s">
        <v>1028</v>
      </c>
      <c r="F438" s="2" t="s">
        <v>1031</v>
      </c>
      <c r="G438" s="2" t="s">
        <v>1035</v>
      </c>
      <c r="H438" s="2" t="s">
        <v>1038</v>
      </c>
      <c r="I438" s="2">
        <v>180</v>
      </c>
      <c r="J438" s="2">
        <v>831600</v>
      </c>
      <c r="K438" s="2">
        <v>12.25</v>
      </c>
      <c r="L438" s="2">
        <v>10115</v>
      </c>
      <c r="M438" s="2">
        <v>674754</v>
      </c>
      <c r="N438" s="2">
        <v>700</v>
      </c>
      <c r="O438" s="2" t="s">
        <v>1044</v>
      </c>
      <c r="P438" s="2">
        <v>0.31</v>
      </c>
      <c r="Q438" s="2">
        <v>0.72</v>
      </c>
      <c r="R438" s="2">
        <v>0</v>
      </c>
      <c r="S438" s="2">
        <v>24</v>
      </c>
      <c r="T438" s="2">
        <v>214682</v>
      </c>
      <c r="U438" s="2">
        <v>698415</v>
      </c>
      <c r="V438" s="2">
        <v>15</v>
      </c>
      <c r="W438" s="2">
        <v>0</v>
      </c>
      <c r="X438" s="2">
        <v>0</v>
      </c>
      <c r="Y438" s="2" t="s">
        <v>1049</v>
      </c>
      <c r="Z438" s="12">
        <f>SUMIF(Table1[product],Table1[[#This Row],[product]],Table1[loan_amount])</f>
        <v>62765800</v>
      </c>
      <c r="AA438" s="15">
        <f>SUMIF(Table1[region],Table1[[#This Row],[region]],Table1[current_balance])</f>
        <v>83903255</v>
      </c>
      <c r="AB438" s="2">
        <f>COUNTIF(Table1[loan_status],Table1[[#This Row],[loan_status]])</f>
        <v>301</v>
      </c>
      <c r="AC438" s="2">
        <f>COUNTIF(Table1[default_flag],1)/ROWS(Table1[loan_id])</f>
        <v>2.5999999999999999E-2</v>
      </c>
      <c r="AD438" s="2">
        <f>COUNTIFS(Table1[region],Table1[[#This Row],[region]],Table1[default_flag],1)/COUNTIF(Table1[region],Table1[[#This Row],[region]])</f>
        <v>4.2553191489361701E-2</v>
      </c>
      <c r="AE438" s="2">
        <f>COUNTIFS(Table1[channel],Table1[[#This Row],[channel]],Table1[prepayment_flag],1)/COUNTIF(Table1[channel],Table1[[#This Row],[channel]])</f>
        <v>0.12</v>
      </c>
      <c r="AF438" s="2">
        <f>AVERAGEIFS(Table1[interest_rate_pct],Table1[product],Table1[[#This Row],[product]],Table1[risk_band],Table1[[#This Row],[risk_band]])</f>
        <v>10.832666666666663</v>
      </c>
      <c r="AG438" s="2" t="str" cm="1">
        <f t="array" ref="AG438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438" s="2">
        <f>COUNTIF(Table1[DTI band],Table1[[#This Row],[DTI band]])</f>
        <v>260</v>
      </c>
      <c r="AI438" s="2" t="str" cm="1">
        <f t="array" ref="AI438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438" s="2">
        <f>COUNTIF(Table1[LTV band],Table1[[#This Row],[LTV band]])</f>
        <v>302</v>
      </c>
      <c r="AK438" s="19">
        <f>COUNTIFS(Table1[count_loan_perband],Table1[[#This Row],[count_loan_perband]],Table1[default_flag],1)/COUNTIF(Table1[count_loan_perband],Table1[[#This Row],[count_loan_perband]])</f>
        <v>3.6423841059602648E-2</v>
      </c>
      <c r="AL438" s="19" t="str" cm="1">
        <f t="array" ref="AL438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438" s="19">
        <f>IF(Table1[[#This Row],[dpd]] &gt;=30,1,0)</f>
        <v>0</v>
      </c>
      <c r="AN438" s="19">
        <f>COUNTIFS(Table1[Loan size],Table1[[#This Row],[Loan size]],Table1[dpd flag],1)/COUNTIF(Table1[Loan size],Table1[[#This Row],[Loan size]])</f>
        <v>0.13934426229508196</v>
      </c>
      <c r="AO438" s="19" t="str">
        <f>IF(OR(Table1[[#This Row],[credit_score]] &lt; 600, Table1[ [#This Row],[dti_ratio] ] &gt; 0.5, Table1[[#This Row],[dpd]] &gt;=30), "high risk", " not riskY")</f>
        <v xml:space="preserve"> not riskY</v>
      </c>
      <c r="AP438" s="29">
        <f>EOMONTH(Table1[[#This Row],[origination_date]],0)</f>
        <v>45291</v>
      </c>
      <c r="AQ438" s="19">
        <f>SUMIFS(Table1[loan_amount],Table1[origination month],Table1[[#This Row],[origination month]])</f>
        <v>28085400</v>
      </c>
      <c r="AR438" s="19">
        <f>AVERAGEIFS(Table1[months_on_book],Table1[product],Table1[[#This Row],[product]])</f>
        <v>21.962962962962962</v>
      </c>
      <c r="AS438" s="19" t="str">
        <f ca="1">IF(EDATE(Table1[[#This Row],[origination_date]],6) &gt;= TODAY(), "New Loan", "Old Loan")</f>
        <v>Old Loan</v>
      </c>
      <c r="AT438" s="19" t="str">
        <f>"Q"&amp;ROUNDUP(MONTH(Table1[[#This Row],[origination_date]])/3,0)&amp;YEAR(Table1[[#This Row],[origination_date]])</f>
        <v>Q42023</v>
      </c>
      <c r="AU438" s="19">
        <f>SUMIFS(Table1[loan_amount],Table1[quarter],Table1[[#This Row],[quarter]])</f>
        <v>58386700</v>
      </c>
    </row>
    <row r="439" spans="2:47" x14ac:dyDescent="0.2">
      <c r="B439" s="5" t="s">
        <v>474</v>
      </c>
      <c r="C439" s="2" t="s">
        <v>974</v>
      </c>
      <c r="D439" s="3">
        <v>45226</v>
      </c>
      <c r="E439" s="2" t="s">
        <v>1027</v>
      </c>
      <c r="F439" s="2" t="s">
        <v>1029</v>
      </c>
      <c r="G439" s="2" t="s">
        <v>1037</v>
      </c>
      <c r="H439" s="2" t="s">
        <v>1038</v>
      </c>
      <c r="I439" s="2">
        <v>48</v>
      </c>
      <c r="J439" s="2">
        <v>4201100</v>
      </c>
      <c r="K439" s="2">
        <v>12.6</v>
      </c>
      <c r="L439" s="2">
        <v>111873</v>
      </c>
      <c r="M439" s="2">
        <v>538789</v>
      </c>
      <c r="N439" s="2">
        <v>637</v>
      </c>
      <c r="O439" s="2" t="s">
        <v>1045</v>
      </c>
      <c r="P439" s="2">
        <v>0.31</v>
      </c>
      <c r="Q439" s="2">
        <v>0.85</v>
      </c>
      <c r="R439" s="2">
        <v>4960800</v>
      </c>
      <c r="S439" s="2">
        <v>26</v>
      </c>
      <c r="T439" s="2">
        <v>2856715</v>
      </c>
      <c r="U439" s="2">
        <v>1803145</v>
      </c>
      <c r="V439" s="2">
        <v>15</v>
      </c>
      <c r="W439" s="2">
        <v>0</v>
      </c>
      <c r="X439" s="2">
        <v>0</v>
      </c>
      <c r="Y439" s="2" t="s">
        <v>1049</v>
      </c>
      <c r="Z439" s="12">
        <f>SUMIF(Table1[product],Table1[[#This Row],[product]],Table1[loan_amount])</f>
        <v>403369500</v>
      </c>
      <c r="AA439" s="15">
        <f>SUMIF(Table1[region],Table1[[#This Row],[region]],Table1[current_balance])</f>
        <v>94548000</v>
      </c>
      <c r="AB439" s="2">
        <f>COUNTIF(Table1[loan_status],Table1[[#This Row],[loan_status]])</f>
        <v>301</v>
      </c>
      <c r="AC439" s="2">
        <f>COUNTIF(Table1[default_flag],1)/ROWS(Table1[loan_id])</f>
        <v>2.5999999999999999E-2</v>
      </c>
      <c r="AD439" s="2">
        <f>COUNTIFS(Table1[region],Table1[[#This Row],[region]],Table1[default_flag],1)/COUNTIF(Table1[region],Table1[[#This Row],[region]])</f>
        <v>0</v>
      </c>
      <c r="AE439" s="2">
        <f>COUNTIFS(Table1[channel],Table1[[#This Row],[channel]],Table1[prepayment_flag],1)/COUNTIF(Table1[channel],Table1[[#This Row],[channel]])</f>
        <v>7.1090047393364927E-2</v>
      </c>
      <c r="AF439" s="2">
        <f>AVERAGEIFS(Table1[interest_rate_pct],Table1[product],Table1[[#This Row],[product]],Table1[risk_band],Table1[[#This Row],[risk_band]])</f>
        <v>13.406874999999999</v>
      </c>
      <c r="AG439" s="2" t="str" cm="1">
        <f t="array" ref="AG439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439" s="2">
        <f>COUNTIF(Table1[DTI band],Table1[[#This Row],[DTI band]])</f>
        <v>260</v>
      </c>
      <c r="AI439" s="2" t="str" cm="1">
        <f t="array" ref="AI439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439" s="2">
        <f>COUNTIF(Table1[LTV band],Table1[[#This Row],[LTV band]])</f>
        <v>141</v>
      </c>
      <c r="AK439" s="19">
        <f>COUNTIFS(Table1[count_loan_perband],Table1[[#This Row],[count_loan_perband]],Table1[default_flag],1)/COUNTIF(Table1[count_loan_perband],Table1[[#This Row],[count_loan_perband]])</f>
        <v>1.4184397163120567E-2</v>
      </c>
      <c r="AL439" s="19" t="str" cm="1">
        <f t="array" ref="AL439">_xlfn.IFS(Table1[[#This Row],[loan_amount]] &lt; 900000, "lower size (&lt; 9L)", Table1[[#This Row],[loan_amount]] &lt;=3300000, "medium size (&lt;=33L)", Table1[[#This Row],[loan_amount]] &gt; 3300000, "larger size (&gt; 33L)")</f>
        <v>larger size (&gt; 33L)</v>
      </c>
      <c r="AM439" s="19">
        <f>IF(Table1[[#This Row],[dpd]] &gt;=30,1,0)</f>
        <v>0</v>
      </c>
      <c r="AN439" s="19">
        <f>COUNTIFS(Table1[Loan size],Table1[[#This Row],[Loan size]],Table1[dpd flag],1)/COUNTIF(Table1[Loan size],Table1[[#This Row],[Loan size]])</f>
        <v>0.16250000000000001</v>
      </c>
      <c r="AO439" s="19" t="str">
        <f>IF(OR(Table1[[#This Row],[credit_score]] &lt; 600, Table1[ [#This Row],[dti_ratio] ] &gt; 0.5, Table1[[#This Row],[dpd]] &gt;=30), "high risk", " not riskY")</f>
        <v xml:space="preserve"> not riskY</v>
      </c>
      <c r="AP439" s="29">
        <f>EOMONTH(Table1[[#This Row],[origination_date]],0)</f>
        <v>45230</v>
      </c>
      <c r="AQ439" s="19">
        <f>SUMIFS(Table1[loan_amount],Table1[origination month],Table1[[#This Row],[origination month]])</f>
        <v>25021600</v>
      </c>
      <c r="AR439" s="19">
        <f>AVERAGEIFS(Table1[months_on_book],Table1[product],Table1[[#This Row],[product]])</f>
        <v>20.516129032258064</v>
      </c>
      <c r="AS439" s="19" t="str">
        <f ca="1">IF(EDATE(Table1[[#This Row],[origination_date]],6) &gt;= TODAY(), "New Loan", "Old Loan")</f>
        <v>Old Loan</v>
      </c>
      <c r="AT439" s="19" t="str">
        <f>"Q"&amp;ROUNDUP(MONTH(Table1[[#This Row],[origination_date]])/3,0)&amp;YEAR(Table1[[#This Row],[origination_date]])</f>
        <v>Q42023</v>
      </c>
      <c r="AU439" s="19">
        <f>SUMIFS(Table1[loan_amount],Table1[quarter],Table1[[#This Row],[quarter]])</f>
        <v>58386700</v>
      </c>
    </row>
    <row r="440" spans="2:47" x14ac:dyDescent="0.2">
      <c r="B440" s="5" t="s">
        <v>332</v>
      </c>
      <c r="C440" s="2" t="s">
        <v>832</v>
      </c>
      <c r="D440" s="3">
        <v>45267</v>
      </c>
      <c r="E440" s="2" t="s">
        <v>1026</v>
      </c>
      <c r="F440" s="2" t="s">
        <v>1030</v>
      </c>
      <c r="G440" s="2" t="s">
        <v>1036</v>
      </c>
      <c r="H440" s="2" t="s">
        <v>1041</v>
      </c>
      <c r="I440" s="2">
        <v>120</v>
      </c>
      <c r="J440" s="2">
        <v>418400</v>
      </c>
      <c r="K440" s="2">
        <v>17.27</v>
      </c>
      <c r="L440" s="2">
        <v>7343</v>
      </c>
      <c r="M440" s="2">
        <v>1488834</v>
      </c>
      <c r="N440" s="2">
        <v>701</v>
      </c>
      <c r="O440" s="2" t="s">
        <v>1044</v>
      </c>
      <c r="P440" s="2">
        <v>0.3</v>
      </c>
      <c r="Q440" s="2">
        <v>0.66</v>
      </c>
      <c r="R440" s="2">
        <v>0</v>
      </c>
      <c r="S440" s="2">
        <v>24</v>
      </c>
      <c r="T440" s="2">
        <v>174120</v>
      </c>
      <c r="U440" s="2">
        <v>302086</v>
      </c>
      <c r="V440" s="2">
        <v>0</v>
      </c>
      <c r="W440" s="2">
        <v>0</v>
      </c>
      <c r="X440" s="2">
        <v>0</v>
      </c>
      <c r="Y440" s="2" t="s">
        <v>1049</v>
      </c>
      <c r="Z440" s="12">
        <f>SUMIF(Table1[product],Table1[[#This Row],[product]],Table1[loan_amount])</f>
        <v>74897600</v>
      </c>
      <c r="AA440" s="15">
        <f>SUMIF(Table1[region],Table1[[#This Row],[region]],Table1[current_balance])</f>
        <v>98928695</v>
      </c>
      <c r="AB440" s="2">
        <f>COUNTIF(Table1[loan_status],Table1[[#This Row],[loan_status]])</f>
        <v>301</v>
      </c>
      <c r="AC440" s="2">
        <f>COUNTIF(Table1[default_flag],1)/ROWS(Table1[loan_id])</f>
        <v>2.5999999999999999E-2</v>
      </c>
      <c r="AD440" s="2">
        <f>COUNTIFS(Table1[region],Table1[[#This Row],[region]],Table1[default_flag],1)/COUNTIF(Table1[region],Table1[[#This Row],[region]])</f>
        <v>2.8571428571428571E-2</v>
      </c>
      <c r="AE440" s="2">
        <f>COUNTIFS(Table1[channel],Table1[[#This Row],[channel]],Table1[prepayment_flag],1)/COUNTIF(Table1[channel],Table1[[#This Row],[channel]])</f>
        <v>5.8201058201058198E-2</v>
      </c>
      <c r="AF440" s="2">
        <f>AVERAGEIFS(Table1[interest_rate_pct],Table1[product],Table1[[#This Row],[product]],Table1[risk_band],Table1[[#This Row],[risk_band]])</f>
        <v>16.500166666666669</v>
      </c>
      <c r="AG440" s="2" t="str" cm="1">
        <f t="array" ref="AG440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440" s="2">
        <f>COUNTIF(Table1[DTI band],Table1[[#This Row],[DTI band]])</f>
        <v>260</v>
      </c>
      <c r="AI440" s="2" t="str" cm="1">
        <f t="array" ref="AI440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440" s="2">
        <f>COUNTIF(Table1[LTV band],Table1[[#This Row],[LTV band]])</f>
        <v>302</v>
      </c>
      <c r="AK440" s="19">
        <f>COUNTIFS(Table1[count_loan_perband],Table1[[#This Row],[count_loan_perband]],Table1[default_flag],1)/COUNTIF(Table1[count_loan_perband],Table1[[#This Row],[count_loan_perband]])</f>
        <v>3.6423841059602648E-2</v>
      </c>
      <c r="AL440" s="19" t="str" cm="1">
        <f t="array" ref="AL440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440" s="19">
        <f>IF(Table1[[#This Row],[dpd]] &gt;=30,1,0)</f>
        <v>0</v>
      </c>
      <c r="AN440" s="19">
        <f>COUNTIFS(Table1[Loan size],Table1[[#This Row],[Loan size]],Table1[dpd flag],1)/COUNTIF(Table1[Loan size],Table1[[#This Row],[Loan size]])</f>
        <v>0.13934426229508196</v>
      </c>
      <c r="AO440" s="19" t="str">
        <f>IF(OR(Table1[[#This Row],[credit_score]] &lt; 600, Table1[ [#This Row],[dti_ratio] ] &gt; 0.5, Table1[[#This Row],[dpd]] &gt;=30), "high risk", " not riskY")</f>
        <v xml:space="preserve"> not riskY</v>
      </c>
      <c r="AP440" s="29">
        <f>EOMONTH(Table1[[#This Row],[origination_date]],0)</f>
        <v>45291</v>
      </c>
      <c r="AQ440" s="19">
        <f>SUMIFS(Table1[loan_amount],Table1[origination month],Table1[[#This Row],[origination month]])</f>
        <v>28085400</v>
      </c>
      <c r="AR440" s="19">
        <f>AVERAGEIFS(Table1[months_on_book],Table1[product],Table1[[#This Row],[product]])</f>
        <v>21.092024539877301</v>
      </c>
      <c r="AS440" s="19" t="str">
        <f ca="1">IF(EDATE(Table1[[#This Row],[origination_date]],6) &gt;= TODAY(), "New Loan", "Old Loan")</f>
        <v>Old Loan</v>
      </c>
      <c r="AT440" s="19" t="str">
        <f>"Q"&amp;ROUNDUP(MONTH(Table1[[#This Row],[origination_date]])/3,0)&amp;YEAR(Table1[[#This Row],[origination_date]])</f>
        <v>Q42023</v>
      </c>
      <c r="AU440" s="19">
        <f>SUMIFS(Table1[loan_amount],Table1[quarter],Table1[[#This Row],[quarter]])</f>
        <v>58386700</v>
      </c>
    </row>
    <row r="441" spans="2:47" x14ac:dyDescent="0.2">
      <c r="B441" s="5" t="s">
        <v>165</v>
      </c>
      <c r="C441" s="2" t="s">
        <v>665</v>
      </c>
      <c r="D441" s="3">
        <v>45220</v>
      </c>
      <c r="E441" s="2" t="s">
        <v>1028</v>
      </c>
      <c r="F441" s="2" t="s">
        <v>1029</v>
      </c>
      <c r="G441" s="2" t="s">
        <v>1036</v>
      </c>
      <c r="H441" s="2" t="s">
        <v>1041</v>
      </c>
      <c r="I441" s="2">
        <v>60</v>
      </c>
      <c r="J441" s="2">
        <v>382600</v>
      </c>
      <c r="K441" s="2">
        <v>7</v>
      </c>
      <c r="L441" s="2">
        <v>7576</v>
      </c>
      <c r="M441" s="2">
        <v>993857</v>
      </c>
      <c r="N441" s="2">
        <v>850</v>
      </c>
      <c r="O441" s="2" t="s">
        <v>1043</v>
      </c>
      <c r="P441" s="2">
        <v>0.28999999999999998</v>
      </c>
      <c r="Q441" s="2">
        <v>0.79</v>
      </c>
      <c r="R441" s="2">
        <v>0</v>
      </c>
      <c r="S441" s="2">
        <v>26</v>
      </c>
      <c r="T441" s="2">
        <v>169769</v>
      </c>
      <c r="U441" s="2">
        <v>236042</v>
      </c>
      <c r="V441" s="2">
        <v>0</v>
      </c>
      <c r="W441" s="2">
        <v>0</v>
      </c>
      <c r="X441" s="2">
        <v>0</v>
      </c>
      <c r="Y441" s="2" t="s">
        <v>1049</v>
      </c>
      <c r="Z441" s="12">
        <f>SUMIF(Table1[product],Table1[[#This Row],[product]],Table1[loan_amount])</f>
        <v>62765800</v>
      </c>
      <c r="AA441" s="15">
        <f>SUMIF(Table1[region],Table1[[#This Row],[region]],Table1[current_balance])</f>
        <v>98928695</v>
      </c>
      <c r="AB441" s="2">
        <f>COUNTIF(Table1[loan_status],Table1[[#This Row],[loan_status]])</f>
        <v>301</v>
      </c>
      <c r="AC441" s="2">
        <f>COUNTIF(Table1[default_flag],1)/ROWS(Table1[loan_id])</f>
        <v>2.5999999999999999E-2</v>
      </c>
      <c r="AD441" s="2">
        <f>COUNTIFS(Table1[region],Table1[[#This Row],[region]],Table1[default_flag],1)/COUNTIF(Table1[region],Table1[[#This Row],[region]])</f>
        <v>2.8571428571428571E-2</v>
      </c>
      <c r="AE441" s="2">
        <f>COUNTIFS(Table1[channel],Table1[[#This Row],[channel]],Table1[prepayment_flag],1)/COUNTIF(Table1[channel],Table1[[#This Row],[channel]])</f>
        <v>7.1090047393364927E-2</v>
      </c>
      <c r="AF441" s="2">
        <f>AVERAGEIFS(Table1[interest_rate_pct],Table1[product],Table1[[#This Row],[product]],Table1[risk_band],Table1[[#This Row],[risk_band]])</f>
        <v>8.5057142857142871</v>
      </c>
      <c r="AG441" s="2" t="str" cm="1">
        <f t="array" ref="AG441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441" s="2">
        <f>COUNTIF(Table1[DTI band],Table1[[#This Row],[DTI band]])</f>
        <v>122</v>
      </c>
      <c r="AI441" s="2" t="str" cm="1">
        <f t="array" ref="AI441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441" s="2">
        <f>COUNTIF(Table1[LTV band],Table1[[#This Row],[LTV band]])</f>
        <v>302</v>
      </c>
      <c r="AK441" s="19">
        <f>COUNTIFS(Table1[count_loan_perband],Table1[[#This Row],[count_loan_perband]],Table1[default_flag],1)/COUNTIF(Table1[count_loan_perband],Table1[[#This Row],[count_loan_perband]])</f>
        <v>3.6423841059602648E-2</v>
      </c>
      <c r="AL441" s="19" t="str" cm="1">
        <f t="array" ref="AL441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441" s="19">
        <f>IF(Table1[[#This Row],[dpd]] &gt;=30,1,0)</f>
        <v>0</v>
      </c>
      <c r="AN441" s="19">
        <f>COUNTIFS(Table1[Loan size],Table1[[#This Row],[Loan size]],Table1[dpd flag],1)/COUNTIF(Table1[Loan size],Table1[[#This Row],[Loan size]])</f>
        <v>0.13934426229508196</v>
      </c>
      <c r="AO441" s="19" t="str">
        <f>IF(OR(Table1[[#This Row],[credit_score]] &lt; 600, Table1[ [#This Row],[dti_ratio] ] &gt; 0.5, Table1[[#This Row],[dpd]] &gt;=30), "high risk", " not riskY")</f>
        <v xml:space="preserve"> not riskY</v>
      </c>
      <c r="AP441" s="29">
        <f>EOMONTH(Table1[[#This Row],[origination_date]],0)</f>
        <v>45230</v>
      </c>
      <c r="AQ441" s="19">
        <f>SUMIFS(Table1[loan_amount],Table1[origination month],Table1[[#This Row],[origination month]])</f>
        <v>25021600</v>
      </c>
      <c r="AR441" s="19">
        <f>AVERAGEIFS(Table1[months_on_book],Table1[product],Table1[[#This Row],[product]])</f>
        <v>21.962962962962962</v>
      </c>
      <c r="AS441" s="19" t="str">
        <f ca="1">IF(EDATE(Table1[[#This Row],[origination_date]],6) &gt;= TODAY(), "New Loan", "Old Loan")</f>
        <v>Old Loan</v>
      </c>
      <c r="AT441" s="19" t="str">
        <f>"Q"&amp;ROUNDUP(MONTH(Table1[[#This Row],[origination_date]])/3,0)&amp;YEAR(Table1[[#This Row],[origination_date]])</f>
        <v>Q42023</v>
      </c>
      <c r="AU441" s="19">
        <f>SUMIFS(Table1[loan_amount],Table1[quarter],Table1[[#This Row],[quarter]])</f>
        <v>58386700</v>
      </c>
    </row>
    <row r="442" spans="2:47" x14ac:dyDescent="0.2">
      <c r="B442" s="5" t="s">
        <v>287</v>
      </c>
      <c r="C442" s="2" t="s">
        <v>787</v>
      </c>
      <c r="D442" s="3">
        <v>45247</v>
      </c>
      <c r="E442" s="2" t="s">
        <v>1024</v>
      </c>
      <c r="F442" s="2" t="s">
        <v>1029</v>
      </c>
      <c r="G442" s="2" t="s">
        <v>1036</v>
      </c>
      <c r="H442" s="2" t="s">
        <v>1038</v>
      </c>
      <c r="I442" s="2">
        <v>18</v>
      </c>
      <c r="J442" s="2">
        <v>154500</v>
      </c>
      <c r="K442" s="2">
        <v>11.05</v>
      </c>
      <c r="L442" s="2">
        <v>9354</v>
      </c>
      <c r="M442" s="2">
        <v>884055</v>
      </c>
      <c r="N442" s="2">
        <v>703</v>
      </c>
      <c r="O442" s="2" t="s">
        <v>1044</v>
      </c>
      <c r="P442" s="2">
        <v>0.28999999999999998</v>
      </c>
      <c r="Q442" s="2">
        <v>0.61</v>
      </c>
      <c r="R442" s="2">
        <v>251300</v>
      </c>
      <c r="S442" s="2">
        <v>18</v>
      </c>
      <c r="T442" s="2">
        <v>161863</v>
      </c>
      <c r="U442" s="2">
        <v>2880</v>
      </c>
      <c r="V442" s="2">
        <v>0</v>
      </c>
      <c r="W442" s="2">
        <v>0</v>
      </c>
      <c r="X442" s="2">
        <v>0</v>
      </c>
      <c r="Y442" s="2" t="s">
        <v>1047</v>
      </c>
      <c r="Z442" s="12">
        <f>SUMIF(Table1[product],Table1[[#This Row],[product]],Table1[loan_amount])</f>
        <v>92273000</v>
      </c>
      <c r="AA442" s="15">
        <f>SUMIF(Table1[region],Table1[[#This Row],[region]],Table1[current_balance])</f>
        <v>98928695</v>
      </c>
      <c r="AB442" s="2">
        <f>COUNTIF(Table1[loan_status],Table1[[#This Row],[loan_status]])</f>
        <v>139</v>
      </c>
      <c r="AC442" s="2">
        <f>COUNTIF(Table1[default_flag],1)/ROWS(Table1[loan_id])</f>
        <v>2.5999999999999999E-2</v>
      </c>
      <c r="AD442" s="2">
        <f>COUNTIFS(Table1[region],Table1[[#This Row],[region]],Table1[default_flag],1)/COUNTIF(Table1[region],Table1[[#This Row],[region]])</f>
        <v>2.8571428571428571E-2</v>
      </c>
      <c r="AE442" s="2">
        <f>COUNTIFS(Table1[channel],Table1[[#This Row],[channel]],Table1[prepayment_flag],1)/COUNTIF(Table1[channel],Table1[[#This Row],[channel]])</f>
        <v>7.1090047393364927E-2</v>
      </c>
      <c r="AF442" s="2">
        <f>AVERAGEIFS(Table1[interest_rate_pct],Table1[product],Table1[[#This Row],[product]],Table1[risk_band],Table1[[#This Row],[risk_band]])</f>
        <v>10.611923076923079</v>
      </c>
      <c r="AG442" s="2" t="str" cm="1">
        <f t="array" ref="AG442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442" s="2">
        <f>COUNTIF(Table1[DTI band],Table1[[#This Row],[DTI band]])</f>
        <v>122</v>
      </c>
      <c r="AI442" s="2" t="str" cm="1">
        <f t="array" ref="AI442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442" s="2">
        <f>COUNTIF(Table1[LTV band],Table1[[#This Row],[LTV band]])</f>
        <v>302</v>
      </c>
      <c r="AK442" s="19">
        <f>COUNTIFS(Table1[count_loan_perband],Table1[[#This Row],[count_loan_perband]],Table1[default_flag],1)/COUNTIF(Table1[count_loan_perband],Table1[[#This Row],[count_loan_perband]])</f>
        <v>3.6423841059602648E-2</v>
      </c>
      <c r="AL442" s="19" t="str" cm="1">
        <f t="array" ref="AL442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442" s="19">
        <f>IF(Table1[[#This Row],[dpd]] &gt;=30,1,0)</f>
        <v>0</v>
      </c>
      <c r="AN442" s="19">
        <f>COUNTIFS(Table1[Loan size],Table1[[#This Row],[Loan size]],Table1[dpd flag],1)/COUNTIF(Table1[Loan size],Table1[[#This Row],[Loan size]])</f>
        <v>0.13934426229508196</v>
      </c>
      <c r="AO442" s="19" t="str">
        <f>IF(OR(Table1[[#This Row],[credit_score]] &lt; 600, Table1[ [#This Row],[dti_ratio] ] &gt; 0.5, Table1[[#This Row],[dpd]] &gt;=30), "high risk", " not riskY")</f>
        <v xml:space="preserve"> not riskY</v>
      </c>
      <c r="AP442" s="29">
        <f>EOMONTH(Table1[[#This Row],[origination_date]],0)</f>
        <v>45260</v>
      </c>
      <c r="AQ442" s="19">
        <f>SUMIFS(Table1[loan_amount],Table1[origination month],Table1[[#This Row],[origination month]])</f>
        <v>5279700</v>
      </c>
      <c r="AR442" s="19">
        <f>AVERAGEIFS(Table1[months_on_book],Table1[product],Table1[[#This Row],[product]])</f>
        <v>20.262135922330096</v>
      </c>
      <c r="AS442" s="19" t="str">
        <f ca="1">IF(EDATE(Table1[[#This Row],[origination_date]],6) &gt;= TODAY(), "New Loan", "Old Loan")</f>
        <v>Old Loan</v>
      </c>
      <c r="AT442" s="19" t="str">
        <f>"Q"&amp;ROUNDUP(MONTH(Table1[[#This Row],[origination_date]])/3,0)&amp;YEAR(Table1[[#This Row],[origination_date]])</f>
        <v>Q42023</v>
      </c>
      <c r="AU442" s="19">
        <f>SUMIFS(Table1[loan_amount],Table1[quarter],Table1[[#This Row],[quarter]])</f>
        <v>58386700</v>
      </c>
    </row>
    <row r="443" spans="2:47" x14ac:dyDescent="0.2">
      <c r="B443" s="5" t="s">
        <v>458</v>
      </c>
      <c r="C443" s="2" t="s">
        <v>958</v>
      </c>
      <c r="D443" s="3">
        <v>45204</v>
      </c>
      <c r="E443" s="2" t="s">
        <v>1028</v>
      </c>
      <c r="F443" s="2" t="s">
        <v>1029</v>
      </c>
      <c r="G443" s="2" t="s">
        <v>1034</v>
      </c>
      <c r="H443" s="2" t="s">
        <v>1039</v>
      </c>
      <c r="I443" s="2">
        <v>18</v>
      </c>
      <c r="J443" s="2">
        <v>1405200</v>
      </c>
      <c r="K443" s="2">
        <v>7.63</v>
      </c>
      <c r="L443" s="2">
        <v>82867</v>
      </c>
      <c r="M443" s="2">
        <v>1093577</v>
      </c>
      <c r="N443" s="2">
        <v>771</v>
      </c>
      <c r="O443" s="2" t="s">
        <v>1043</v>
      </c>
      <c r="P443" s="2">
        <v>0.28999999999999998</v>
      </c>
      <c r="Q443" s="2">
        <v>0.77</v>
      </c>
      <c r="R443" s="2">
        <v>0</v>
      </c>
      <c r="S443" s="2">
        <v>18</v>
      </c>
      <c r="T443" s="2">
        <v>1393963</v>
      </c>
      <c r="U443" s="2">
        <v>75567</v>
      </c>
      <c r="V443" s="2">
        <v>0</v>
      </c>
      <c r="W443" s="2">
        <v>0</v>
      </c>
      <c r="X443" s="2">
        <v>0</v>
      </c>
      <c r="Y443" s="2" t="s">
        <v>1047</v>
      </c>
      <c r="Z443" s="12">
        <f>SUMIF(Table1[product],Table1[[#This Row],[product]],Table1[loan_amount])</f>
        <v>62765800</v>
      </c>
      <c r="AA443" s="15">
        <f>SUMIF(Table1[region],Table1[[#This Row],[region]],Table1[current_balance])</f>
        <v>105779369</v>
      </c>
      <c r="AB443" s="2">
        <f>COUNTIF(Table1[loan_status],Table1[[#This Row],[loan_status]])</f>
        <v>139</v>
      </c>
      <c r="AC443" s="2">
        <f>COUNTIF(Table1[default_flag],1)/ROWS(Table1[loan_id])</f>
        <v>2.5999999999999999E-2</v>
      </c>
      <c r="AD443" s="2">
        <f>COUNTIFS(Table1[region],Table1[[#This Row],[region]],Table1[default_flag],1)/COUNTIF(Table1[region],Table1[[#This Row],[region]])</f>
        <v>2.6548672566371681E-2</v>
      </c>
      <c r="AE443" s="2">
        <f>COUNTIFS(Table1[channel],Table1[[#This Row],[channel]],Table1[prepayment_flag],1)/COUNTIF(Table1[channel],Table1[[#This Row],[channel]])</f>
        <v>7.1090047393364927E-2</v>
      </c>
      <c r="AF443" s="2">
        <f>AVERAGEIFS(Table1[interest_rate_pct],Table1[product],Table1[[#This Row],[product]],Table1[risk_band],Table1[[#This Row],[risk_band]])</f>
        <v>8.5057142857142871</v>
      </c>
      <c r="AG443" s="2" t="str" cm="1">
        <f t="array" ref="AG443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443" s="2">
        <f>COUNTIF(Table1[DTI band],Table1[[#This Row],[DTI band]])</f>
        <v>122</v>
      </c>
      <c r="AI443" s="2" t="str" cm="1">
        <f t="array" ref="AI443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443" s="2">
        <f>COUNTIF(Table1[LTV band],Table1[[#This Row],[LTV band]])</f>
        <v>302</v>
      </c>
      <c r="AK443" s="19">
        <f>COUNTIFS(Table1[count_loan_perband],Table1[[#This Row],[count_loan_perband]],Table1[default_flag],1)/COUNTIF(Table1[count_loan_perband],Table1[[#This Row],[count_loan_perband]])</f>
        <v>3.6423841059602648E-2</v>
      </c>
      <c r="AL443" s="19" t="str" cm="1">
        <f t="array" ref="AL443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443" s="19">
        <f>IF(Table1[[#This Row],[dpd]] &gt;=30,1,0)</f>
        <v>0</v>
      </c>
      <c r="AN443" s="19">
        <f>COUNTIFS(Table1[Loan size],Table1[[#This Row],[Loan size]],Table1[dpd flag],1)/COUNTIF(Table1[Loan size],Table1[[#This Row],[Loan size]])</f>
        <v>0.15909090909090909</v>
      </c>
      <c r="AO443" s="19" t="str">
        <f>IF(OR(Table1[[#This Row],[credit_score]] &lt; 600, Table1[ [#This Row],[dti_ratio] ] &gt; 0.5, Table1[[#This Row],[dpd]] &gt;=30), "high risk", " not riskY")</f>
        <v xml:space="preserve"> not riskY</v>
      </c>
      <c r="AP443" s="29">
        <f>EOMONTH(Table1[[#This Row],[origination_date]],0)</f>
        <v>45230</v>
      </c>
      <c r="AQ443" s="19">
        <f>SUMIFS(Table1[loan_amount],Table1[origination month],Table1[[#This Row],[origination month]])</f>
        <v>25021600</v>
      </c>
      <c r="AR443" s="19">
        <f>AVERAGEIFS(Table1[months_on_book],Table1[product],Table1[[#This Row],[product]])</f>
        <v>21.962962962962962</v>
      </c>
      <c r="AS443" s="19" t="str">
        <f ca="1">IF(EDATE(Table1[[#This Row],[origination_date]],6) &gt;= TODAY(), "New Loan", "Old Loan")</f>
        <v>Old Loan</v>
      </c>
      <c r="AT443" s="19" t="str">
        <f>"Q"&amp;ROUNDUP(MONTH(Table1[[#This Row],[origination_date]])/3,0)&amp;YEAR(Table1[[#This Row],[origination_date]])</f>
        <v>Q42023</v>
      </c>
      <c r="AU443" s="19">
        <f>SUMIFS(Table1[loan_amount],Table1[quarter],Table1[[#This Row],[quarter]])</f>
        <v>58386700</v>
      </c>
    </row>
    <row r="444" spans="2:47" x14ac:dyDescent="0.2">
      <c r="B444" s="5" t="s">
        <v>415</v>
      </c>
      <c r="C444" s="2" t="s">
        <v>915</v>
      </c>
      <c r="D444" s="3">
        <v>45204</v>
      </c>
      <c r="E444" s="2" t="s">
        <v>1026</v>
      </c>
      <c r="F444" s="2" t="s">
        <v>1029</v>
      </c>
      <c r="G444" s="2" t="s">
        <v>1036</v>
      </c>
      <c r="H444" s="2" t="s">
        <v>1039</v>
      </c>
      <c r="I444" s="2">
        <v>12</v>
      </c>
      <c r="J444" s="2">
        <v>470300</v>
      </c>
      <c r="K444" s="2">
        <v>17.489999999999998</v>
      </c>
      <c r="L444" s="2">
        <v>43003</v>
      </c>
      <c r="M444" s="2">
        <v>1451572</v>
      </c>
      <c r="N444" s="2">
        <v>697</v>
      </c>
      <c r="O444" s="2" t="s">
        <v>1042</v>
      </c>
      <c r="P444" s="2">
        <v>0.28000000000000003</v>
      </c>
      <c r="Q444" s="2">
        <v>0.9</v>
      </c>
      <c r="R444" s="2">
        <v>0</v>
      </c>
      <c r="S444" s="2">
        <v>12</v>
      </c>
      <c r="T444" s="2">
        <v>504312</v>
      </c>
      <c r="U444" s="2">
        <v>0</v>
      </c>
      <c r="V444" s="2">
        <v>0</v>
      </c>
      <c r="W444" s="2">
        <v>0</v>
      </c>
      <c r="X444" s="2">
        <v>0</v>
      </c>
      <c r="Y444" s="2" t="s">
        <v>1047</v>
      </c>
      <c r="Z444" s="12">
        <f>SUMIF(Table1[product],Table1[[#This Row],[product]],Table1[loan_amount])</f>
        <v>74897600</v>
      </c>
      <c r="AA444" s="15">
        <f>SUMIF(Table1[region],Table1[[#This Row],[region]],Table1[current_balance])</f>
        <v>98928695</v>
      </c>
      <c r="AB444" s="2">
        <f>COUNTIF(Table1[loan_status],Table1[[#This Row],[loan_status]])</f>
        <v>139</v>
      </c>
      <c r="AC444" s="2">
        <f>COUNTIF(Table1[default_flag],1)/ROWS(Table1[loan_id])</f>
        <v>2.5999999999999999E-2</v>
      </c>
      <c r="AD444" s="2">
        <f>COUNTIFS(Table1[region],Table1[[#This Row],[region]],Table1[default_flag],1)/COUNTIF(Table1[region],Table1[[#This Row],[region]])</f>
        <v>2.8571428571428571E-2</v>
      </c>
      <c r="AE444" s="2">
        <f>COUNTIFS(Table1[channel],Table1[[#This Row],[channel]],Table1[prepayment_flag],1)/COUNTIF(Table1[channel],Table1[[#This Row],[channel]])</f>
        <v>7.1090047393364927E-2</v>
      </c>
      <c r="AF444" s="2">
        <f>AVERAGEIFS(Table1[interest_rate_pct],Table1[product],Table1[[#This Row],[product]],Table1[risk_band],Table1[[#This Row],[risk_band]])</f>
        <v>18.603181818181817</v>
      </c>
      <c r="AG444" s="2" t="str" cm="1">
        <f t="array" ref="AG444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444" s="2">
        <f>COUNTIF(Table1[DTI band],Table1[[#This Row],[DTI band]])</f>
        <v>122</v>
      </c>
      <c r="AI444" s="2" t="str" cm="1">
        <f t="array" ref="AI444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444" s="2">
        <f>COUNTIF(Table1[LTV band],Table1[[#This Row],[LTV band]])</f>
        <v>141</v>
      </c>
      <c r="AK444" s="19">
        <f>COUNTIFS(Table1[count_loan_perband],Table1[[#This Row],[count_loan_perband]],Table1[default_flag],1)/COUNTIF(Table1[count_loan_perband],Table1[[#This Row],[count_loan_perband]])</f>
        <v>1.4184397163120567E-2</v>
      </c>
      <c r="AL444" s="19" t="str" cm="1">
        <f t="array" ref="AL444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444" s="19">
        <f>IF(Table1[[#This Row],[dpd]] &gt;=30,1,0)</f>
        <v>0</v>
      </c>
      <c r="AN444" s="19">
        <f>COUNTIFS(Table1[Loan size],Table1[[#This Row],[Loan size]],Table1[dpd flag],1)/COUNTIF(Table1[Loan size],Table1[[#This Row],[Loan size]])</f>
        <v>0.13934426229508196</v>
      </c>
      <c r="AO444" s="19" t="str">
        <f>IF(OR(Table1[[#This Row],[credit_score]] &lt; 600, Table1[ [#This Row],[dti_ratio] ] &gt; 0.5, Table1[[#This Row],[dpd]] &gt;=30), "high risk", " not riskY")</f>
        <v xml:space="preserve"> not riskY</v>
      </c>
      <c r="AP444" s="29">
        <f>EOMONTH(Table1[[#This Row],[origination_date]],0)</f>
        <v>45230</v>
      </c>
      <c r="AQ444" s="19">
        <f>SUMIFS(Table1[loan_amount],Table1[origination month],Table1[[#This Row],[origination month]])</f>
        <v>25021600</v>
      </c>
      <c r="AR444" s="19">
        <f>AVERAGEIFS(Table1[months_on_book],Table1[product],Table1[[#This Row],[product]])</f>
        <v>21.092024539877301</v>
      </c>
      <c r="AS444" s="19" t="str">
        <f ca="1">IF(EDATE(Table1[[#This Row],[origination_date]],6) &gt;= TODAY(), "New Loan", "Old Loan")</f>
        <v>Old Loan</v>
      </c>
      <c r="AT444" s="19" t="str">
        <f>"Q"&amp;ROUNDUP(MONTH(Table1[[#This Row],[origination_date]])/3,0)&amp;YEAR(Table1[[#This Row],[origination_date]])</f>
        <v>Q42023</v>
      </c>
      <c r="AU444" s="19">
        <f>SUMIFS(Table1[loan_amount],Table1[quarter],Table1[[#This Row],[quarter]])</f>
        <v>58386700</v>
      </c>
    </row>
    <row r="445" spans="2:47" x14ac:dyDescent="0.2">
      <c r="B445" s="5" t="s">
        <v>476</v>
      </c>
      <c r="C445" s="2" t="s">
        <v>976</v>
      </c>
      <c r="D445" s="3">
        <v>45210</v>
      </c>
      <c r="E445" s="2" t="s">
        <v>1026</v>
      </c>
      <c r="F445" s="2" t="s">
        <v>1031</v>
      </c>
      <c r="G445" s="2" t="s">
        <v>1037</v>
      </c>
      <c r="H445" s="2" t="s">
        <v>1038</v>
      </c>
      <c r="I445" s="2">
        <v>12</v>
      </c>
      <c r="J445" s="2">
        <v>330200</v>
      </c>
      <c r="K445" s="2">
        <v>17.04</v>
      </c>
      <c r="L445" s="2">
        <v>30122</v>
      </c>
      <c r="M445" s="2">
        <v>772450</v>
      </c>
      <c r="N445" s="2">
        <v>732</v>
      </c>
      <c r="O445" s="2" t="s">
        <v>1044</v>
      </c>
      <c r="P445" s="2">
        <v>0.28000000000000003</v>
      </c>
      <c r="Q445" s="2">
        <v>0.74</v>
      </c>
      <c r="R445" s="2">
        <v>0</v>
      </c>
      <c r="S445" s="2">
        <v>12</v>
      </c>
      <c r="T445" s="2">
        <v>336687</v>
      </c>
      <c r="U445" s="2">
        <v>16019</v>
      </c>
      <c r="V445" s="2">
        <v>30</v>
      </c>
      <c r="W445" s="2">
        <v>0</v>
      </c>
      <c r="X445" s="2">
        <v>0</v>
      </c>
      <c r="Y445" s="2" t="s">
        <v>1047</v>
      </c>
      <c r="Z445" s="12">
        <f>SUMIF(Table1[product],Table1[[#This Row],[product]],Table1[loan_amount])</f>
        <v>74897600</v>
      </c>
      <c r="AA445" s="15">
        <f>SUMIF(Table1[region],Table1[[#This Row],[region]],Table1[current_balance])</f>
        <v>94548000</v>
      </c>
      <c r="AB445" s="2">
        <f>COUNTIF(Table1[loan_status],Table1[[#This Row],[loan_status]])</f>
        <v>139</v>
      </c>
      <c r="AC445" s="2">
        <f>COUNTIF(Table1[default_flag],1)/ROWS(Table1[loan_id])</f>
        <v>2.5999999999999999E-2</v>
      </c>
      <c r="AD445" s="2">
        <f>COUNTIFS(Table1[region],Table1[[#This Row],[region]],Table1[default_flag],1)/COUNTIF(Table1[region],Table1[[#This Row],[region]])</f>
        <v>0</v>
      </c>
      <c r="AE445" s="2">
        <f>COUNTIFS(Table1[channel],Table1[[#This Row],[channel]],Table1[prepayment_flag],1)/COUNTIF(Table1[channel],Table1[[#This Row],[channel]])</f>
        <v>0.12</v>
      </c>
      <c r="AF445" s="2">
        <f>AVERAGEIFS(Table1[interest_rate_pct],Table1[product],Table1[[#This Row],[product]],Table1[risk_band],Table1[[#This Row],[risk_band]])</f>
        <v>16.500166666666669</v>
      </c>
      <c r="AG445" s="2" t="str" cm="1">
        <f t="array" ref="AG445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445" s="2">
        <f>COUNTIF(Table1[DTI band],Table1[[#This Row],[DTI band]])</f>
        <v>122</v>
      </c>
      <c r="AI445" s="2" t="str" cm="1">
        <f t="array" ref="AI445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445" s="2">
        <f>COUNTIF(Table1[LTV band],Table1[[#This Row],[LTV band]])</f>
        <v>302</v>
      </c>
      <c r="AK445" s="19">
        <f>COUNTIFS(Table1[count_loan_perband],Table1[[#This Row],[count_loan_perband]],Table1[default_flag],1)/COUNTIF(Table1[count_loan_perband],Table1[[#This Row],[count_loan_perband]])</f>
        <v>3.6423841059602648E-2</v>
      </c>
      <c r="AL445" s="19" t="str" cm="1">
        <f t="array" ref="AL445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445" s="19">
        <f>IF(Table1[[#This Row],[dpd]] &gt;=30,1,0)</f>
        <v>1</v>
      </c>
      <c r="AN445" s="19">
        <f>COUNTIFS(Table1[Loan size],Table1[[#This Row],[Loan size]],Table1[dpd flag],1)/COUNTIF(Table1[Loan size],Table1[[#This Row],[Loan size]])</f>
        <v>0.13934426229508196</v>
      </c>
      <c r="AO445" s="19" t="str">
        <f>IF(OR(Table1[[#This Row],[credit_score]] &lt; 600, Table1[ [#This Row],[dti_ratio] ] &gt; 0.5, Table1[[#This Row],[dpd]] &gt;=30), "high risk", " not riskY")</f>
        <v>high risk</v>
      </c>
      <c r="AP445" s="29">
        <f>EOMONTH(Table1[[#This Row],[origination_date]],0)</f>
        <v>45230</v>
      </c>
      <c r="AQ445" s="19">
        <f>SUMIFS(Table1[loan_amount],Table1[origination month],Table1[[#This Row],[origination month]])</f>
        <v>25021600</v>
      </c>
      <c r="AR445" s="19">
        <f>AVERAGEIFS(Table1[months_on_book],Table1[product],Table1[[#This Row],[product]])</f>
        <v>21.092024539877301</v>
      </c>
      <c r="AS445" s="19" t="str">
        <f ca="1">IF(EDATE(Table1[[#This Row],[origination_date]],6) &gt;= TODAY(), "New Loan", "Old Loan")</f>
        <v>Old Loan</v>
      </c>
      <c r="AT445" s="19" t="str">
        <f>"Q"&amp;ROUNDUP(MONTH(Table1[[#This Row],[origination_date]])/3,0)&amp;YEAR(Table1[[#This Row],[origination_date]])</f>
        <v>Q42023</v>
      </c>
      <c r="AU445" s="19">
        <f>SUMIFS(Table1[loan_amount],Table1[quarter],Table1[[#This Row],[quarter]])</f>
        <v>58386700</v>
      </c>
    </row>
    <row r="446" spans="2:47" x14ac:dyDescent="0.2">
      <c r="B446" s="5" t="s">
        <v>209</v>
      </c>
      <c r="C446" s="2" t="s">
        <v>709</v>
      </c>
      <c r="D446" s="3">
        <v>45252</v>
      </c>
      <c r="E446" s="2" t="s">
        <v>1026</v>
      </c>
      <c r="F446" s="2" t="s">
        <v>1030</v>
      </c>
      <c r="G446" s="2" t="s">
        <v>1033</v>
      </c>
      <c r="H446" s="2" t="s">
        <v>1038</v>
      </c>
      <c r="I446" s="2">
        <v>12</v>
      </c>
      <c r="J446" s="2">
        <v>494500</v>
      </c>
      <c r="K446" s="2">
        <v>14.82</v>
      </c>
      <c r="L446" s="2">
        <v>44591</v>
      </c>
      <c r="M446" s="2">
        <v>1118464</v>
      </c>
      <c r="N446" s="2">
        <v>753</v>
      </c>
      <c r="O446" s="2" t="s">
        <v>1043</v>
      </c>
      <c r="P446" s="2">
        <v>0.25</v>
      </c>
      <c r="Q446" s="2">
        <v>0.84</v>
      </c>
      <c r="R446" s="2">
        <v>0</v>
      </c>
      <c r="S446" s="2">
        <v>12</v>
      </c>
      <c r="T446" s="2">
        <v>493726</v>
      </c>
      <c r="U446" s="2">
        <v>30088</v>
      </c>
      <c r="V446" s="2">
        <v>0</v>
      </c>
      <c r="W446" s="2">
        <v>0</v>
      </c>
      <c r="X446" s="2">
        <v>0</v>
      </c>
      <c r="Y446" s="2" t="s">
        <v>1047</v>
      </c>
      <c r="Z446" s="12">
        <f>SUMIF(Table1[product],Table1[[#This Row],[product]],Table1[loan_amount])</f>
        <v>74897600</v>
      </c>
      <c r="AA446" s="15">
        <f>SUMIF(Table1[region],Table1[[#This Row],[region]],Table1[current_balance])</f>
        <v>83297251</v>
      </c>
      <c r="AB446" s="2">
        <f>COUNTIF(Table1[loan_status],Table1[[#This Row],[loan_status]])</f>
        <v>139</v>
      </c>
      <c r="AC446" s="2">
        <f>COUNTIF(Table1[default_flag],1)/ROWS(Table1[loan_id])</f>
        <v>2.5999999999999999E-2</v>
      </c>
      <c r="AD446" s="2">
        <f>COUNTIFS(Table1[region],Table1[[#This Row],[region]],Table1[default_flag],1)/COUNTIF(Table1[region],Table1[[#This Row],[region]])</f>
        <v>3.1914893617021274E-2</v>
      </c>
      <c r="AE446" s="2">
        <f>COUNTIFS(Table1[channel],Table1[[#This Row],[channel]],Table1[prepayment_flag],1)/COUNTIF(Table1[channel],Table1[[#This Row],[channel]])</f>
        <v>5.8201058201058198E-2</v>
      </c>
      <c r="AF446" s="2">
        <f>AVERAGEIFS(Table1[interest_rate_pct],Table1[product],Table1[[#This Row],[product]],Table1[risk_band],Table1[[#This Row],[risk_band]])</f>
        <v>13.328333333333335</v>
      </c>
      <c r="AG446" s="2" t="str" cm="1">
        <f t="array" ref="AG446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446" s="2">
        <f>COUNTIF(Table1[DTI band],Table1[[#This Row],[DTI band]])</f>
        <v>122</v>
      </c>
      <c r="AI446" s="2" t="str" cm="1">
        <f t="array" ref="AI446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446" s="2">
        <f>COUNTIF(Table1[LTV band],Table1[[#This Row],[LTV band]])</f>
        <v>141</v>
      </c>
      <c r="AK446" s="19">
        <f>COUNTIFS(Table1[count_loan_perband],Table1[[#This Row],[count_loan_perband]],Table1[default_flag],1)/COUNTIF(Table1[count_loan_perband],Table1[[#This Row],[count_loan_perband]])</f>
        <v>1.4184397163120567E-2</v>
      </c>
      <c r="AL446" s="19" t="str" cm="1">
        <f t="array" ref="AL446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446" s="19">
        <f>IF(Table1[[#This Row],[dpd]] &gt;=30,1,0)</f>
        <v>0</v>
      </c>
      <c r="AN446" s="19">
        <f>COUNTIFS(Table1[Loan size],Table1[[#This Row],[Loan size]],Table1[dpd flag],1)/COUNTIF(Table1[Loan size],Table1[[#This Row],[Loan size]])</f>
        <v>0.13934426229508196</v>
      </c>
      <c r="AO446" s="19" t="str">
        <f>IF(OR(Table1[[#This Row],[credit_score]] &lt; 600, Table1[ [#This Row],[dti_ratio] ] &gt; 0.5, Table1[[#This Row],[dpd]] &gt;=30), "high risk", " not riskY")</f>
        <v xml:space="preserve"> not riskY</v>
      </c>
      <c r="AP446" s="29">
        <f>EOMONTH(Table1[[#This Row],[origination_date]],0)</f>
        <v>45260</v>
      </c>
      <c r="AQ446" s="19">
        <f>SUMIFS(Table1[loan_amount],Table1[origination month],Table1[[#This Row],[origination month]])</f>
        <v>5279700</v>
      </c>
      <c r="AR446" s="19">
        <f>AVERAGEIFS(Table1[months_on_book],Table1[product],Table1[[#This Row],[product]])</f>
        <v>21.092024539877301</v>
      </c>
      <c r="AS446" s="19" t="str">
        <f ca="1">IF(EDATE(Table1[[#This Row],[origination_date]],6) &gt;= TODAY(), "New Loan", "Old Loan")</f>
        <v>Old Loan</v>
      </c>
      <c r="AT446" s="19" t="str">
        <f>"Q"&amp;ROUNDUP(MONTH(Table1[[#This Row],[origination_date]])/3,0)&amp;YEAR(Table1[[#This Row],[origination_date]])</f>
        <v>Q42023</v>
      </c>
      <c r="AU446" s="19">
        <f>SUMIFS(Table1[loan_amount],Table1[quarter],Table1[[#This Row],[quarter]])</f>
        <v>58386700</v>
      </c>
    </row>
    <row r="447" spans="2:47" x14ac:dyDescent="0.2">
      <c r="B447" s="5" t="s">
        <v>291</v>
      </c>
      <c r="C447" s="2" t="s">
        <v>791</v>
      </c>
      <c r="D447" s="3">
        <v>45233</v>
      </c>
      <c r="E447" s="2" t="s">
        <v>1026</v>
      </c>
      <c r="F447" s="2" t="s">
        <v>1029</v>
      </c>
      <c r="G447" s="2" t="s">
        <v>1036</v>
      </c>
      <c r="H447" s="2" t="s">
        <v>1039</v>
      </c>
      <c r="I447" s="2">
        <v>360</v>
      </c>
      <c r="J447" s="2">
        <v>410000</v>
      </c>
      <c r="K447" s="2">
        <v>19.3</v>
      </c>
      <c r="L447" s="2">
        <v>6615</v>
      </c>
      <c r="M447" s="2">
        <v>729510</v>
      </c>
      <c r="N447" s="2">
        <v>666</v>
      </c>
      <c r="O447" s="2" t="s">
        <v>1042</v>
      </c>
      <c r="P447" s="2">
        <v>0.24</v>
      </c>
      <c r="Q447" s="2">
        <v>0.72</v>
      </c>
      <c r="R447" s="2">
        <v>0</v>
      </c>
      <c r="S447" s="2">
        <v>25</v>
      </c>
      <c r="T447" s="2">
        <v>152887</v>
      </c>
      <c r="U447" s="2">
        <v>323055</v>
      </c>
      <c r="V447" s="2">
        <v>0</v>
      </c>
      <c r="W447" s="2">
        <v>0</v>
      </c>
      <c r="X447" s="2">
        <v>0</v>
      </c>
      <c r="Y447" s="2" t="s">
        <v>1049</v>
      </c>
      <c r="Z447" s="12">
        <f>SUMIF(Table1[product],Table1[[#This Row],[product]],Table1[loan_amount])</f>
        <v>74897600</v>
      </c>
      <c r="AA447" s="15">
        <f>SUMIF(Table1[region],Table1[[#This Row],[region]],Table1[current_balance])</f>
        <v>98928695</v>
      </c>
      <c r="AB447" s="2">
        <f>COUNTIF(Table1[loan_status],Table1[[#This Row],[loan_status]])</f>
        <v>301</v>
      </c>
      <c r="AC447" s="2">
        <f>COUNTIF(Table1[default_flag],1)/ROWS(Table1[loan_id])</f>
        <v>2.5999999999999999E-2</v>
      </c>
      <c r="AD447" s="2">
        <f>COUNTIFS(Table1[region],Table1[[#This Row],[region]],Table1[default_flag],1)/COUNTIF(Table1[region],Table1[[#This Row],[region]])</f>
        <v>2.8571428571428571E-2</v>
      </c>
      <c r="AE447" s="2">
        <f>COUNTIFS(Table1[channel],Table1[[#This Row],[channel]],Table1[prepayment_flag],1)/COUNTIF(Table1[channel],Table1[[#This Row],[channel]])</f>
        <v>7.1090047393364927E-2</v>
      </c>
      <c r="AF447" s="2">
        <f>AVERAGEIFS(Table1[interest_rate_pct],Table1[product],Table1[[#This Row],[product]],Table1[risk_band],Table1[[#This Row],[risk_band]])</f>
        <v>18.603181818181817</v>
      </c>
      <c r="AG447" s="2" t="str" cm="1">
        <f t="array" ref="AG447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447" s="2">
        <f>COUNTIF(Table1[DTI band],Table1[[#This Row],[DTI band]])</f>
        <v>122</v>
      </c>
      <c r="AI447" s="2" t="str" cm="1">
        <f t="array" ref="AI447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447" s="2">
        <f>COUNTIF(Table1[LTV band],Table1[[#This Row],[LTV band]])</f>
        <v>302</v>
      </c>
      <c r="AK447" s="19">
        <f>COUNTIFS(Table1[count_loan_perband],Table1[[#This Row],[count_loan_perband]],Table1[default_flag],1)/COUNTIF(Table1[count_loan_perband],Table1[[#This Row],[count_loan_perband]])</f>
        <v>3.6423841059602648E-2</v>
      </c>
      <c r="AL447" s="19" t="str" cm="1">
        <f t="array" ref="AL447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447" s="19">
        <f>IF(Table1[[#This Row],[dpd]] &gt;=30,1,0)</f>
        <v>0</v>
      </c>
      <c r="AN447" s="19">
        <f>COUNTIFS(Table1[Loan size],Table1[[#This Row],[Loan size]],Table1[dpd flag],1)/COUNTIF(Table1[Loan size],Table1[[#This Row],[Loan size]])</f>
        <v>0.13934426229508196</v>
      </c>
      <c r="AO447" s="19" t="str">
        <f>IF(OR(Table1[[#This Row],[credit_score]] &lt; 600, Table1[ [#This Row],[dti_ratio] ] &gt; 0.5, Table1[[#This Row],[dpd]] &gt;=30), "high risk", " not riskY")</f>
        <v xml:space="preserve"> not riskY</v>
      </c>
      <c r="AP447" s="29">
        <f>EOMONTH(Table1[[#This Row],[origination_date]],0)</f>
        <v>45260</v>
      </c>
      <c r="AQ447" s="19">
        <f>SUMIFS(Table1[loan_amount],Table1[origination month],Table1[[#This Row],[origination month]])</f>
        <v>5279700</v>
      </c>
      <c r="AR447" s="19">
        <f>AVERAGEIFS(Table1[months_on_book],Table1[product],Table1[[#This Row],[product]])</f>
        <v>21.092024539877301</v>
      </c>
      <c r="AS447" s="19" t="str">
        <f ca="1">IF(EDATE(Table1[[#This Row],[origination_date]],6) &gt;= TODAY(), "New Loan", "Old Loan")</f>
        <v>Old Loan</v>
      </c>
      <c r="AT447" s="19" t="str">
        <f>"Q"&amp;ROUNDUP(MONTH(Table1[[#This Row],[origination_date]])/3,0)&amp;YEAR(Table1[[#This Row],[origination_date]])</f>
        <v>Q42023</v>
      </c>
      <c r="AU447" s="19">
        <f>SUMIFS(Table1[loan_amount],Table1[quarter],Table1[[#This Row],[quarter]])</f>
        <v>58386700</v>
      </c>
    </row>
    <row r="448" spans="2:47" x14ac:dyDescent="0.2">
      <c r="B448" s="5" t="s">
        <v>84</v>
      </c>
      <c r="C448" s="2" t="s">
        <v>584</v>
      </c>
      <c r="D448" s="3">
        <v>45230</v>
      </c>
      <c r="E448" s="2" t="s">
        <v>1027</v>
      </c>
      <c r="F448" s="2" t="s">
        <v>1030</v>
      </c>
      <c r="G448" s="2" t="s">
        <v>1035</v>
      </c>
      <c r="H448" s="2" t="s">
        <v>1041</v>
      </c>
      <c r="I448" s="2">
        <v>60</v>
      </c>
      <c r="J448" s="2">
        <v>4037400</v>
      </c>
      <c r="K448" s="2">
        <v>10.87</v>
      </c>
      <c r="L448" s="2">
        <v>87521</v>
      </c>
      <c r="M448" s="2">
        <v>908557</v>
      </c>
      <c r="N448" s="2">
        <v>694</v>
      </c>
      <c r="O448" s="2" t="s">
        <v>1042</v>
      </c>
      <c r="P448" s="2">
        <v>0.22</v>
      </c>
      <c r="Q448" s="2">
        <v>0.74</v>
      </c>
      <c r="R448" s="2">
        <v>5491800</v>
      </c>
      <c r="S448" s="2">
        <v>26</v>
      </c>
      <c r="T448" s="2">
        <v>2169718</v>
      </c>
      <c r="U448" s="2">
        <v>2248032</v>
      </c>
      <c r="V448" s="2">
        <v>0</v>
      </c>
      <c r="W448" s="2">
        <v>0</v>
      </c>
      <c r="X448" s="2">
        <v>0</v>
      </c>
      <c r="Y448" s="2" t="s">
        <v>1049</v>
      </c>
      <c r="Z448" s="12">
        <f>SUMIF(Table1[product],Table1[[#This Row],[product]],Table1[loan_amount])</f>
        <v>403369500</v>
      </c>
      <c r="AA448" s="15">
        <f>SUMIF(Table1[region],Table1[[#This Row],[region]],Table1[current_balance])</f>
        <v>83903255</v>
      </c>
      <c r="AB448" s="2">
        <f>COUNTIF(Table1[loan_status],Table1[[#This Row],[loan_status]])</f>
        <v>301</v>
      </c>
      <c r="AC448" s="2">
        <f>COUNTIF(Table1[default_flag],1)/ROWS(Table1[loan_id])</f>
        <v>2.5999999999999999E-2</v>
      </c>
      <c r="AD448" s="2">
        <f>COUNTIFS(Table1[region],Table1[[#This Row],[region]],Table1[default_flag],1)/COUNTIF(Table1[region],Table1[[#This Row],[region]])</f>
        <v>4.2553191489361701E-2</v>
      </c>
      <c r="AE448" s="2">
        <f>COUNTIFS(Table1[channel],Table1[[#This Row],[channel]],Table1[prepayment_flag],1)/COUNTIF(Table1[channel],Table1[[#This Row],[channel]])</f>
        <v>5.8201058201058198E-2</v>
      </c>
      <c r="AF448" s="2">
        <f>AVERAGEIFS(Table1[interest_rate_pct],Table1[product],Table1[[#This Row],[product]],Table1[risk_band],Table1[[#This Row],[risk_band]])</f>
        <v>11.719736842105268</v>
      </c>
      <c r="AG448" s="2" t="str" cm="1">
        <f t="array" ref="AG448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448" s="2">
        <f>COUNTIF(Table1[DTI band],Table1[[#This Row],[DTI band]])</f>
        <v>122</v>
      </c>
      <c r="AI448" s="2" t="str" cm="1">
        <f t="array" ref="AI448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448" s="2">
        <f>COUNTIF(Table1[LTV band],Table1[[#This Row],[LTV band]])</f>
        <v>302</v>
      </c>
      <c r="AK448" s="19">
        <f>COUNTIFS(Table1[count_loan_perband],Table1[[#This Row],[count_loan_perband]],Table1[default_flag],1)/COUNTIF(Table1[count_loan_perband],Table1[[#This Row],[count_loan_perband]])</f>
        <v>3.6423841059602648E-2</v>
      </c>
      <c r="AL448" s="19" t="str" cm="1">
        <f t="array" ref="AL448">_xlfn.IFS(Table1[[#This Row],[loan_amount]] &lt; 900000, "lower size (&lt; 9L)", Table1[[#This Row],[loan_amount]] &lt;=3300000, "medium size (&lt;=33L)", Table1[[#This Row],[loan_amount]] &gt; 3300000, "larger size (&gt; 33L)")</f>
        <v>larger size (&gt; 33L)</v>
      </c>
      <c r="AM448" s="19">
        <f>IF(Table1[[#This Row],[dpd]] &gt;=30,1,0)</f>
        <v>0</v>
      </c>
      <c r="AN448" s="19">
        <f>COUNTIFS(Table1[Loan size],Table1[[#This Row],[Loan size]],Table1[dpd flag],1)/COUNTIF(Table1[Loan size],Table1[[#This Row],[Loan size]])</f>
        <v>0.16250000000000001</v>
      </c>
      <c r="AO448" s="19" t="str">
        <f>IF(OR(Table1[[#This Row],[credit_score]] &lt; 600, Table1[ [#This Row],[dti_ratio] ] &gt; 0.5, Table1[[#This Row],[dpd]] &gt;=30), "high risk", " not riskY")</f>
        <v xml:space="preserve"> not riskY</v>
      </c>
      <c r="AP448" s="29">
        <f>EOMONTH(Table1[[#This Row],[origination_date]],0)</f>
        <v>45230</v>
      </c>
      <c r="AQ448" s="19">
        <f>SUMIFS(Table1[loan_amount],Table1[origination month],Table1[[#This Row],[origination month]])</f>
        <v>25021600</v>
      </c>
      <c r="AR448" s="19">
        <f>AVERAGEIFS(Table1[months_on_book],Table1[product],Table1[[#This Row],[product]])</f>
        <v>20.516129032258064</v>
      </c>
      <c r="AS448" s="19" t="str">
        <f ca="1">IF(EDATE(Table1[[#This Row],[origination_date]],6) &gt;= TODAY(), "New Loan", "Old Loan")</f>
        <v>Old Loan</v>
      </c>
      <c r="AT448" s="19" t="str">
        <f>"Q"&amp;ROUNDUP(MONTH(Table1[[#This Row],[origination_date]])/3,0)&amp;YEAR(Table1[[#This Row],[origination_date]])</f>
        <v>Q42023</v>
      </c>
      <c r="AU448" s="19">
        <f>SUMIFS(Table1[loan_amount],Table1[quarter],Table1[[#This Row],[quarter]])</f>
        <v>58386700</v>
      </c>
    </row>
    <row r="449" spans="2:47" x14ac:dyDescent="0.2">
      <c r="B449" s="5" t="s">
        <v>254</v>
      </c>
      <c r="C449" s="2" t="s">
        <v>754</v>
      </c>
      <c r="D449" s="3">
        <v>45262</v>
      </c>
      <c r="E449" s="2" t="s">
        <v>1026</v>
      </c>
      <c r="F449" s="2" t="s">
        <v>1029</v>
      </c>
      <c r="G449" s="2" t="s">
        <v>1033</v>
      </c>
      <c r="H449" s="2" t="s">
        <v>1038</v>
      </c>
      <c r="I449" s="2">
        <v>60</v>
      </c>
      <c r="J449" s="2">
        <v>485300</v>
      </c>
      <c r="K449" s="2">
        <v>19.07</v>
      </c>
      <c r="L449" s="2">
        <v>12608</v>
      </c>
      <c r="M449" s="2">
        <v>1421544</v>
      </c>
      <c r="N449" s="2">
        <v>669</v>
      </c>
      <c r="O449" s="2" t="s">
        <v>1042</v>
      </c>
      <c r="P449" s="2">
        <v>0.22</v>
      </c>
      <c r="Q449" s="2">
        <v>0.73</v>
      </c>
      <c r="R449" s="2">
        <v>0</v>
      </c>
      <c r="S449" s="2">
        <v>24</v>
      </c>
      <c r="T449" s="2">
        <v>287182</v>
      </c>
      <c r="U449" s="2">
        <v>272155</v>
      </c>
      <c r="V449" s="2">
        <v>0</v>
      </c>
      <c r="W449" s="2">
        <v>0</v>
      </c>
      <c r="X449" s="2">
        <v>0</v>
      </c>
      <c r="Y449" s="2" t="s">
        <v>1049</v>
      </c>
      <c r="Z449" s="12">
        <f>SUMIF(Table1[product],Table1[[#This Row],[product]],Table1[loan_amount])</f>
        <v>74897600</v>
      </c>
      <c r="AA449" s="15">
        <f>SUMIF(Table1[region],Table1[[#This Row],[region]],Table1[current_balance])</f>
        <v>83297251</v>
      </c>
      <c r="AB449" s="2">
        <f>COUNTIF(Table1[loan_status],Table1[[#This Row],[loan_status]])</f>
        <v>301</v>
      </c>
      <c r="AC449" s="2">
        <f>COUNTIF(Table1[default_flag],1)/ROWS(Table1[loan_id])</f>
        <v>2.5999999999999999E-2</v>
      </c>
      <c r="AD449" s="2">
        <f>COUNTIFS(Table1[region],Table1[[#This Row],[region]],Table1[default_flag],1)/COUNTIF(Table1[region],Table1[[#This Row],[region]])</f>
        <v>3.1914893617021274E-2</v>
      </c>
      <c r="AE449" s="2">
        <f>COUNTIFS(Table1[channel],Table1[[#This Row],[channel]],Table1[prepayment_flag],1)/COUNTIF(Table1[channel],Table1[[#This Row],[channel]])</f>
        <v>7.1090047393364927E-2</v>
      </c>
      <c r="AF449" s="2">
        <f>AVERAGEIFS(Table1[interest_rate_pct],Table1[product],Table1[[#This Row],[product]],Table1[risk_band],Table1[[#This Row],[risk_band]])</f>
        <v>18.603181818181817</v>
      </c>
      <c r="AG449" s="2" t="str" cm="1">
        <f t="array" ref="AG449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449" s="2">
        <f>COUNTIF(Table1[DTI band],Table1[[#This Row],[DTI band]])</f>
        <v>122</v>
      </c>
      <c r="AI449" s="2" t="str" cm="1">
        <f t="array" ref="AI449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449" s="2">
        <f>COUNTIF(Table1[LTV band],Table1[[#This Row],[LTV band]])</f>
        <v>302</v>
      </c>
      <c r="AK449" s="19">
        <f>COUNTIFS(Table1[count_loan_perband],Table1[[#This Row],[count_loan_perband]],Table1[default_flag],1)/COUNTIF(Table1[count_loan_perband],Table1[[#This Row],[count_loan_perband]])</f>
        <v>3.6423841059602648E-2</v>
      </c>
      <c r="AL449" s="19" t="str" cm="1">
        <f t="array" ref="AL449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449" s="19">
        <f>IF(Table1[[#This Row],[dpd]] &gt;=30,1,0)</f>
        <v>0</v>
      </c>
      <c r="AN449" s="19">
        <f>COUNTIFS(Table1[Loan size],Table1[[#This Row],[Loan size]],Table1[dpd flag],1)/COUNTIF(Table1[Loan size],Table1[[#This Row],[Loan size]])</f>
        <v>0.13934426229508196</v>
      </c>
      <c r="AO449" s="19" t="str">
        <f>IF(OR(Table1[[#This Row],[credit_score]] &lt; 600, Table1[ [#This Row],[dti_ratio] ] &gt; 0.5, Table1[[#This Row],[dpd]] &gt;=30), "high risk", " not riskY")</f>
        <v xml:space="preserve"> not riskY</v>
      </c>
      <c r="AP449" s="29">
        <f>EOMONTH(Table1[[#This Row],[origination_date]],0)</f>
        <v>45291</v>
      </c>
      <c r="AQ449" s="19">
        <f>SUMIFS(Table1[loan_amount],Table1[origination month],Table1[[#This Row],[origination month]])</f>
        <v>28085400</v>
      </c>
      <c r="AR449" s="19">
        <f>AVERAGEIFS(Table1[months_on_book],Table1[product],Table1[[#This Row],[product]])</f>
        <v>21.092024539877301</v>
      </c>
      <c r="AS449" s="19" t="str">
        <f ca="1">IF(EDATE(Table1[[#This Row],[origination_date]],6) &gt;= TODAY(), "New Loan", "Old Loan")</f>
        <v>Old Loan</v>
      </c>
      <c r="AT449" s="19" t="str">
        <f>"Q"&amp;ROUNDUP(MONTH(Table1[[#This Row],[origination_date]])/3,0)&amp;YEAR(Table1[[#This Row],[origination_date]])</f>
        <v>Q42023</v>
      </c>
      <c r="AU449" s="19">
        <f>SUMIFS(Table1[loan_amount],Table1[quarter],Table1[[#This Row],[quarter]])</f>
        <v>58386700</v>
      </c>
    </row>
    <row r="450" spans="2:47" x14ac:dyDescent="0.2">
      <c r="B450" s="5" t="s">
        <v>319</v>
      </c>
      <c r="C450" s="2" t="s">
        <v>819</v>
      </c>
      <c r="D450" s="3">
        <v>45202</v>
      </c>
      <c r="E450" s="2" t="s">
        <v>1027</v>
      </c>
      <c r="F450" s="2" t="s">
        <v>1029</v>
      </c>
      <c r="G450" s="2" t="s">
        <v>1034</v>
      </c>
      <c r="H450" s="2" t="s">
        <v>1038</v>
      </c>
      <c r="I450" s="2">
        <v>36</v>
      </c>
      <c r="J450" s="2">
        <v>6928900</v>
      </c>
      <c r="K450" s="2">
        <v>8.7899999999999991</v>
      </c>
      <c r="L450" s="2">
        <v>219661</v>
      </c>
      <c r="M450" s="2">
        <v>1413171</v>
      </c>
      <c r="N450" s="2">
        <v>717</v>
      </c>
      <c r="O450" s="2" t="s">
        <v>1044</v>
      </c>
      <c r="P450" s="2">
        <v>0.21</v>
      </c>
      <c r="Q450" s="2">
        <v>0.7</v>
      </c>
      <c r="R450" s="2">
        <v>9892200</v>
      </c>
      <c r="S450" s="2">
        <v>26</v>
      </c>
      <c r="T450" s="2">
        <v>5097897</v>
      </c>
      <c r="U450" s="2">
        <v>2358847</v>
      </c>
      <c r="V450" s="2">
        <v>0</v>
      </c>
      <c r="W450" s="2">
        <v>1</v>
      </c>
      <c r="X450" s="2">
        <v>0</v>
      </c>
      <c r="Y450" s="2" t="s">
        <v>1047</v>
      </c>
      <c r="Z450" s="12">
        <f>SUMIF(Table1[product],Table1[[#This Row],[product]],Table1[loan_amount])</f>
        <v>403369500</v>
      </c>
      <c r="AA450" s="15">
        <f>SUMIF(Table1[region],Table1[[#This Row],[region]],Table1[current_balance])</f>
        <v>105779369</v>
      </c>
      <c r="AB450" s="2">
        <f>COUNTIF(Table1[loan_status],Table1[[#This Row],[loan_status]])</f>
        <v>139</v>
      </c>
      <c r="AC450" s="2">
        <f>COUNTIF(Table1[default_flag],1)/ROWS(Table1[loan_id])</f>
        <v>2.5999999999999999E-2</v>
      </c>
      <c r="AD450" s="2">
        <f>COUNTIFS(Table1[region],Table1[[#This Row],[region]],Table1[default_flag],1)/COUNTIF(Table1[region],Table1[[#This Row],[region]])</f>
        <v>2.6548672566371681E-2</v>
      </c>
      <c r="AE450" s="2">
        <f>COUNTIFS(Table1[channel],Table1[[#This Row],[channel]],Table1[prepayment_flag],1)/COUNTIF(Table1[channel],Table1[[#This Row],[channel]])</f>
        <v>7.1090047393364927E-2</v>
      </c>
      <c r="AF450" s="2">
        <f>AVERAGEIFS(Table1[interest_rate_pct],Table1[product],Table1[[#This Row],[product]],Table1[risk_band],Table1[[#This Row],[risk_band]])</f>
        <v>8.8557142857142868</v>
      </c>
      <c r="AG450" s="2" t="str" cm="1">
        <f t="array" ref="AG450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450" s="2">
        <f>COUNTIF(Table1[DTI band],Table1[[#This Row],[DTI band]])</f>
        <v>122</v>
      </c>
      <c r="AI450" s="2" t="str" cm="1">
        <f t="array" ref="AI450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450" s="2">
        <f>COUNTIF(Table1[LTV band],Table1[[#This Row],[LTV band]])</f>
        <v>302</v>
      </c>
      <c r="AK450" s="19">
        <f>COUNTIFS(Table1[count_loan_perband],Table1[[#This Row],[count_loan_perband]],Table1[default_flag],1)/COUNTIF(Table1[count_loan_perband],Table1[[#This Row],[count_loan_perband]])</f>
        <v>3.6423841059602648E-2</v>
      </c>
      <c r="AL450" s="19" t="str" cm="1">
        <f t="array" ref="AL450">_xlfn.IFS(Table1[[#This Row],[loan_amount]] &lt; 900000, "lower size (&lt; 9L)", Table1[[#This Row],[loan_amount]] &lt;=3300000, "medium size (&lt;=33L)", Table1[[#This Row],[loan_amount]] &gt; 3300000, "larger size (&gt; 33L)")</f>
        <v>larger size (&gt; 33L)</v>
      </c>
      <c r="AM450" s="19">
        <f>IF(Table1[[#This Row],[dpd]] &gt;=30,1,0)</f>
        <v>0</v>
      </c>
      <c r="AN450" s="19">
        <f>COUNTIFS(Table1[Loan size],Table1[[#This Row],[Loan size]],Table1[dpd flag],1)/COUNTIF(Table1[Loan size],Table1[[#This Row],[Loan size]])</f>
        <v>0.16250000000000001</v>
      </c>
      <c r="AO450" s="19" t="str">
        <f>IF(OR(Table1[[#This Row],[credit_score]] &lt; 600, Table1[ [#This Row],[dti_ratio] ] &gt; 0.5, Table1[[#This Row],[dpd]] &gt;=30), "high risk", " not riskY")</f>
        <v xml:space="preserve"> not riskY</v>
      </c>
      <c r="AP450" s="29">
        <f>EOMONTH(Table1[[#This Row],[origination_date]],0)</f>
        <v>45230</v>
      </c>
      <c r="AQ450" s="19">
        <f>SUMIFS(Table1[loan_amount],Table1[origination month],Table1[[#This Row],[origination month]])</f>
        <v>25021600</v>
      </c>
      <c r="AR450" s="19">
        <f>AVERAGEIFS(Table1[months_on_book],Table1[product],Table1[[#This Row],[product]])</f>
        <v>20.516129032258064</v>
      </c>
      <c r="AS450" s="19" t="str">
        <f ca="1">IF(EDATE(Table1[[#This Row],[origination_date]],6) &gt;= TODAY(), "New Loan", "Old Loan")</f>
        <v>Old Loan</v>
      </c>
      <c r="AT450" s="19" t="str">
        <f>"Q"&amp;ROUNDUP(MONTH(Table1[[#This Row],[origination_date]])/3,0)&amp;YEAR(Table1[[#This Row],[origination_date]])</f>
        <v>Q42023</v>
      </c>
      <c r="AU450" s="19">
        <f>SUMIFS(Table1[loan_amount],Table1[quarter],Table1[[#This Row],[quarter]])</f>
        <v>58386700</v>
      </c>
    </row>
    <row r="451" spans="2:47" x14ac:dyDescent="0.2">
      <c r="B451" s="5" t="s">
        <v>422</v>
      </c>
      <c r="C451" s="2" t="s">
        <v>922</v>
      </c>
      <c r="D451" s="3">
        <v>45288</v>
      </c>
      <c r="E451" s="2" t="s">
        <v>1025</v>
      </c>
      <c r="F451" s="2" t="s">
        <v>1031</v>
      </c>
      <c r="G451" s="2" t="s">
        <v>1037</v>
      </c>
      <c r="H451" s="2" t="s">
        <v>1041</v>
      </c>
      <c r="I451" s="2">
        <v>36</v>
      </c>
      <c r="J451" s="2">
        <v>965600</v>
      </c>
      <c r="K451" s="2">
        <v>12.89</v>
      </c>
      <c r="L451" s="2">
        <v>32484</v>
      </c>
      <c r="M451" s="2">
        <v>380061</v>
      </c>
      <c r="N451" s="2">
        <v>735</v>
      </c>
      <c r="O451" s="2" t="s">
        <v>1044</v>
      </c>
      <c r="P451" s="2">
        <v>0.19</v>
      </c>
      <c r="Q451" s="2">
        <v>0.74</v>
      </c>
      <c r="R451" s="2">
        <v>1311500</v>
      </c>
      <c r="S451" s="2">
        <v>24</v>
      </c>
      <c r="T451" s="2">
        <v>667104</v>
      </c>
      <c r="U451" s="2">
        <v>398069</v>
      </c>
      <c r="V451" s="2">
        <v>0</v>
      </c>
      <c r="W451" s="2">
        <v>0</v>
      </c>
      <c r="X451" s="2">
        <v>0</v>
      </c>
      <c r="Y451" s="2" t="s">
        <v>1049</v>
      </c>
      <c r="Z451" s="12">
        <f>SUMIF(Table1[product],Table1[[#This Row],[product]],Table1[loan_amount])</f>
        <v>201475100</v>
      </c>
      <c r="AA451" s="15">
        <f>SUMIF(Table1[region],Table1[[#This Row],[region]],Table1[current_balance])</f>
        <v>94548000</v>
      </c>
      <c r="AB451" s="2">
        <f>COUNTIF(Table1[loan_status],Table1[[#This Row],[loan_status]])</f>
        <v>301</v>
      </c>
      <c r="AC451" s="2">
        <f>COUNTIF(Table1[default_flag],1)/ROWS(Table1[loan_id])</f>
        <v>2.5999999999999999E-2</v>
      </c>
      <c r="AD451" s="2">
        <f>COUNTIFS(Table1[region],Table1[[#This Row],[region]],Table1[default_flag],1)/COUNTIF(Table1[region],Table1[[#This Row],[region]])</f>
        <v>0</v>
      </c>
      <c r="AE451" s="2">
        <f>COUNTIFS(Table1[channel],Table1[[#This Row],[channel]],Table1[prepayment_flag],1)/COUNTIF(Table1[channel],Table1[[#This Row],[channel]])</f>
        <v>0.12</v>
      </c>
      <c r="AF451" s="2">
        <f>AVERAGEIFS(Table1[interest_rate_pct],Table1[product],Table1[[#This Row],[product]],Table1[risk_band],Table1[[#This Row],[risk_band]])</f>
        <v>13.042631578947367</v>
      </c>
      <c r="AG451" s="2" t="str" cm="1">
        <f t="array" ref="AG451">_xlfn.IFS(Table1[[#This Row],[dti_ratio]] &lt; 0.2, " less than 0.2", Table1[[#This Row],[dti_ratio]] &lt; 0.3, "0.2 - 0.3", Table1[[#This Row],[dti_ratio]] &lt;= 0.5, "0.35 - 0.5", Table1[[#This Row],[dti_ratio]] &gt; 0.5, "greater than 0.5")</f>
        <v xml:space="preserve"> less than 0.2</v>
      </c>
      <c r="AH451" s="2">
        <f>COUNTIF(Table1[DTI band],Table1[[#This Row],[DTI band]])</f>
        <v>86</v>
      </c>
      <c r="AI451" s="2" t="str" cm="1">
        <f t="array" ref="AI451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451" s="2">
        <f>COUNTIF(Table1[LTV band],Table1[[#This Row],[LTV band]])</f>
        <v>302</v>
      </c>
      <c r="AK451" s="19">
        <f>COUNTIFS(Table1[count_loan_perband],Table1[[#This Row],[count_loan_perband]],Table1[default_flag],1)/COUNTIF(Table1[count_loan_perband],Table1[[#This Row],[count_loan_perband]])</f>
        <v>3.6423841059602648E-2</v>
      </c>
      <c r="AL451" s="19" t="str" cm="1">
        <f t="array" ref="AL451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451" s="19">
        <f>IF(Table1[[#This Row],[dpd]] &gt;=30,1,0)</f>
        <v>0</v>
      </c>
      <c r="AN451" s="19">
        <f>COUNTIFS(Table1[Loan size],Table1[[#This Row],[Loan size]],Table1[dpd flag],1)/COUNTIF(Table1[Loan size],Table1[[#This Row],[Loan size]])</f>
        <v>0.15909090909090909</v>
      </c>
      <c r="AO451" s="19" t="str">
        <f>IF(OR(Table1[[#This Row],[credit_score]] &lt; 600, Table1[ [#This Row],[dti_ratio] ] &gt; 0.5, Table1[[#This Row],[dpd]] &gt;=30), "high risk", " not riskY")</f>
        <v xml:space="preserve"> not riskY</v>
      </c>
      <c r="AP451" s="29">
        <f>EOMONTH(Table1[[#This Row],[origination_date]],0)</f>
        <v>45291</v>
      </c>
      <c r="AQ451" s="19">
        <f>SUMIFS(Table1[loan_amount],Table1[origination month],Table1[[#This Row],[origination month]])</f>
        <v>28085400</v>
      </c>
      <c r="AR451" s="19">
        <f>AVERAGEIFS(Table1[months_on_book],Table1[product],Table1[[#This Row],[product]])</f>
        <v>19.091954022988507</v>
      </c>
      <c r="AS451" s="19" t="str">
        <f ca="1">IF(EDATE(Table1[[#This Row],[origination_date]],6) &gt;= TODAY(), "New Loan", "Old Loan")</f>
        <v>Old Loan</v>
      </c>
      <c r="AT451" s="19" t="str">
        <f>"Q"&amp;ROUNDUP(MONTH(Table1[[#This Row],[origination_date]])/3,0)&amp;YEAR(Table1[[#This Row],[origination_date]])</f>
        <v>Q42023</v>
      </c>
      <c r="AU451" s="19">
        <f>SUMIFS(Table1[loan_amount],Table1[quarter],Table1[[#This Row],[quarter]])</f>
        <v>58386700</v>
      </c>
    </row>
    <row r="452" spans="2:47" x14ac:dyDescent="0.2">
      <c r="B452" s="5" t="s">
        <v>173</v>
      </c>
      <c r="C452" s="2" t="s">
        <v>673</v>
      </c>
      <c r="D452" s="3">
        <v>45234</v>
      </c>
      <c r="E452" s="2" t="s">
        <v>1025</v>
      </c>
      <c r="F452" s="2" t="s">
        <v>1030</v>
      </c>
      <c r="G452" s="2" t="s">
        <v>1034</v>
      </c>
      <c r="H452" s="2" t="s">
        <v>1039</v>
      </c>
      <c r="I452" s="2">
        <v>24</v>
      </c>
      <c r="J452" s="2">
        <v>1065000</v>
      </c>
      <c r="K452" s="2">
        <v>14.91</v>
      </c>
      <c r="L452" s="2">
        <v>51593</v>
      </c>
      <c r="M452" s="2">
        <v>940943</v>
      </c>
      <c r="N452" s="2">
        <v>689</v>
      </c>
      <c r="O452" s="2" t="s">
        <v>1042</v>
      </c>
      <c r="P452" s="2">
        <v>0.17</v>
      </c>
      <c r="Q452" s="2">
        <v>0.85</v>
      </c>
      <c r="R452" s="2">
        <v>1247300</v>
      </c>
      <c r="S452" s="2">
        <v>24</v>
      </c>
      <c r="T452" s="2">
        <v>1188546</v>
      </c>
      <c r="U452" s="2">
        <v>3487</v>
      </c>
      <c r="V452" s="2">
        <v>0</v>
      </c>
      <c r="W452" s="2">
        <v>0</v>
      </c>
      <c r="X452" s="2">
        <v>0</v>
      </c>
      <c r="Y452" s="2" t="s">
        <v>1047</v>
      </c>
      <c r="Z452" s="12">
        <f>SUMIF(Table1[product],Table1[[#This Row],[product]],Table1[loan_amount])</f>
        <v>201475100</v>
      </c>
      <c r="AA452" s="15">
        <f>SUMIF(Table1[region],Table1[[#This Row],[region]],Table1[current_balance])</f>
        <v>105779369</v>
      </c>
      <c r="AB452" s="2">
        <f>COUNTIF(Table1[loan_status],Table1[[#This Row],[loan_status]])</f>
        <v>139</v>
      </c>
      <c r="AC452" s="2">
        <f>COUNTIF(Table1[default_flag],1)/ROWS(Table1[loan_id])</f>
        <v>2.5999999999999999E-2</v>
      </c>
      <c r="AD452" s="2">
        <f>COUNTIFS(Table1[region],Table1[[#This Row],[region]],Table1[default_flag],1)/COUNTIF(Table1[region],Table1[[#This Row],[region]])</f>
        <v>2.6548672566371681E-2</v>
      </c>
      <c r="AE452" s="2">
        <f>COUNTIFS(Table1[channel],Table1[[#This Row],[channel]],Table1[prepayment_flag],1)/COUNTIF(Table1[channel],Table1[[#This Row],[channel]])</f>
        <v>5.8201058201058198E-2</v>
      </c>
      <c r="AF452" s="2">
        <f>AVERAGEIFS(Table1[interest_rate_pct],Table1[product],Table1[[#This Row],[product]],Table1[risk_band],Table1[[#This Row],[risk_band]])</f>
        <v>15.841379310344831</v>
      </c>
      <c r="AG452" s="2" t="str" cm="1">
        <f t="array" ref="AG452">_xlfn.IFS(Table1[[#This Row],[dti_ratio]] &lt; 0.2, " less than 0.2", Table1[[#This Row],[dti_ratio]] &lt; 0.3, "0.2 - 0.3", Table1[[#This Row],[dti_ratio]] &lt;= 0.5, "0.35 - 0.5", Table1[[#This Row],[dti_ratio]] &gt; 0.5, "greater than 0.5")</f>
        <v xml:space="preserve"> less than 0.2</v>
      </c>
      <c r="AH452" s="2">
        <f>COUNTIF(Table1[DTI band],Table1[[#This Row],[DTI band]])</f>
        <v>86</v>
      </c>
      <c r="AI452" s="2" t="str" cm="1">
        <f t="array" ref="AI452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452" s="2">
        <f>COUNTIF(Table1[LTV band],Table1[[#This Row],[LTV band]])</f>
        <v>141</v>
      </c>
      <c r="AK452" s="19">
        <f>COUNTIFS(Table1[count_loan_perband],Table1[[#This Row],[count_loan_perband]],Table1[default_flag],1)/COUNTIF(Table1[count_loan_perband],Table1[[#This Row],[count_loan_perband]])</f>
        <v>1.4184397163120567E-2</v>
      </c>
      <c r="AL452" s="19" t="str" cm="1">
        <f t="array" ref="AL452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452" s="19">
        <f>IF(Table1[[#This Row],[dpd]] &gt;=30,1,0)</f>
        <v>0</v>
      </c>
      <c r="AN452" s="19">
        <f>COUNTIFS(Table1[Loan size],Table1[[#This Row],[Loan size]],Table1[dpd flag],1)/COUNTIF(Table1[Loan size],Table1[[#This Row],[Loan size]])</f>
        <v>0.15909090909090909</v>
      </c>
      <c r="AO452" s="19" t="str">
        <f>IF(OR(Table1[[#This Row],[credit_score]] &lt; 600, Table1[ [#This Row],[dti_ratio] ] &gt; 0.5, Table1[[#This Row],[dpd]] &gt;=30), "high risk", " not riskY")</f>
        <v xml:space="preserve"> not riskY</v>
      </c>
      <c r="AP452" s="29">
        <f>EOMONTH(Table1[[#This Row],[origination_date]],0)</f>
        <v>45260</v>
      </c>
      <c r="AQ452" s="19">
        <f>SUMIFS(Table1[loan_amount],Table1[origination month],Table1[[#This Row],[origination month]])</f>
        <v>5279700</v>
      </c>
      <c r="AR452" s="19">
        <f>AVERAGEIFS(Table1[months_on_book],Table1[product],Table1[[#This Row],[product]])</f>
        <v>19.091954022988507</v>
      </c>
      <c r="AS452" s="19" t="str">
        <f ca="1">IF(EDATE(Table1[[#This Row],[origination_date]],6) &gt;= TODAY(), "New Loan", "Old Loan")</f>
        <v>Old Loan</v>
      </c>
      <c r="AT452" s="19" t="str">
        <f>"Q"&amp;ROUNDUP(MONTH(Table1[[#This Row],[origination_date]])/3,0)&amp;YEAR(Table1[[#This Row],[origination_date]])</f>
        <v>Q42023</v>
      </c>
      <c r="AU452" s="19">
        <f>SUMIFS(Table1[loan_amount],Table1[quarter],Table1[[#This Row],[quarter]])</f>
        <v>58386700</v>
      </c>
    </row>
    <row r="453" spans="2:47" x14ac:dyDescent="0.2">
      <c r="B453" s="5" t="s">
        <v>190</v>
      </c>
      <c r="C453" s="2" t="s">
        <v>690</v>
      </c>
      <c r="D453" s="3">
        <v>45259</v>
      </c>
      <c r="E453" s="2" t="s">
        <v>1025</v>
      </c>
      <c r="F453" s="2" t="s">
        <v>1030</v>
      </c>
      <c r="G453" s="2" t="s">
        <v>1034</v>
      </c>
      <c r="H453" s="2" t="s">
        <v>1038</v>
      </c>
      <c r="I453" s="2">
        <v>120</v>
      </c>
      <c r="J453" s="2">
        <v>2097100</v>
      </c>
      <c r="K453" s="2">
        <v>15.61</v>
      </c>
      <c r="L453" s="2">
        <v>34621</v>
      </c>
      <c r="M453" s="2">
        <v>582334</v>
      </c>
      <c r="N453" s="2">
        <v>698</v>
      </c>
      <c r="O453" s="2" t="s">
        <v>1042</v>
      </c>
      <c r="P453" s="2">
        <v>0.16</v>
      </c>
      <c r="Q453" s="2">
        <v>0.65</v>
      </c>
      <c r="R453" s="2">
        <v>3210900</v>
      </c>
      <c r="S453" s="2">
        <v>25</v>
      </c>
      <c r="T453" s="2">
        <v>797893</v>
      </c>
      <c r="U453" s="2">
        <v>1572005</v>
      </c>
      <c r="V453" s="2">
        <v>0</v>
      </c>
      <c r="W453" s="2">
        <v>0</v>
      </c>
      <c r="X453" s="2">
        <v>0</v>
      </c>
      <c r="Y453" s="2" t="s">
        <v>1049</v>
      </c>
      <c r="Z453" s="12">
        <f>SUMIF(Table1[product],Table1[[#This Row],[product]],Table1[loan_amount])</f>
        <v>201475100</v>
      </c>
      <c r="AA453" s="15">
        <f>SUMIF(Table1[region],Table1[[#This Row],[region]],Table1[current_balance])</f>
        <v>105779369</v>
      </c>
      <c r="AB453" s="2">
        <f>COUNTIF(Table1[loan_status],Table1[[#This Row],[loan_status]])</f>
        <v>301</v>
      </c>
      <c r="AC453" s="2">
        <f>COUNTIF(Table1[default_flag],1)/ROWS(Table1[loan_id])</f>
        <v>2.5999999999999999E-2</v>
      </c>
      <c r="AD453" s="2">
        <f>COUNTIFS(Table1[region],Table1[[#This Row],[region]],Table1[default_flag],1)/COUNTIF(Table1[region],Table1[[#This Row],[region]])</f>
        <v>2.6548672566371681E-2</v>
      </c>
      <c r="AE453" s="2">
        <f>COUNTIFS(Table1[channel],Table1[[#This Row],[channel]],Table1[prepayment_flag],1)/COUNTIF(Table1[channel],Table1[[#This Row],[channel]])</f>
        <v>5.8201058201058198E-2</v>
      </c>
      <c r="AF453" s="2">
        <f>AVERAGEIFS(Table1[interest_rate_pct],Table1[product],Table1[[#This Row],[product]],Table1[risk_band],Table1[[#This Row],[risk_band]])</f>
        <v>15.841379310344831</v>
      </c>
      <c r="AG453" s="2" t="str" cm="1">
        <f t="array" ref="AG453">_xlfn.IFS(Table1[[#This Row],[dti_ratio]] &lt; 0.2, " less than 0.2", Table1[[#This Row],[dti_ratio]] &lt; 0.3, "0.2 - 0.3", Table1[[#This Row],[dti_ratio]] &lt;= 0.5, "0.35 - 0.5", Table1[[#This Row],[dti_ratio]] &gt; 0.5, "greater than 0.5")</f>
        <v xml:space="preserve"> less than 0.2</v>
      </c>
      <c r="AH453" s="2">
        <f>COUNTIF(Table1[DTI band],Table1[[#This Row],[DTI band]])</f>
        <v>86</v>
      </c>
      <c r="AI453" s="2" t="str" cm="1">
        <f t="array" ref="AI453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453" s="2">
        <f>COUNTIF(Table1[LTV band],Table1[[#This Row],[LTV band]])</f>
        <v>302</v>
      </c>
      <c r="AK453" s="19">
        <f>COUNTIFS(Table1[count_loan_perband],Table1[[#This Row],[count_loan_perband]],Table1[default_flag],1)/COUNTIF(Table1[count_loan_perband],Table1[[#This Row],[count_loan_perband]])</f>
        <v>3.6423841059602648E-2</v>
      </c>
      <c r="AL453" s="19" t="str" cm="1">
        <f t="array" ref="AL453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453" s="19">
        <f>IF(Table1[[#This Row],[dpd]] &gt;=30,1,0)</f>
        <v>0</v>
      </c>
      <c r="AN453" s="19">
        <f>COUNTIFS(Table1[Loan size],Table1[[#This Row],[Loan size]],Table1[dpd flag],1)/COUNTIF(Table1[Loan size],Table1[[#This Row],[Loan size]])</f>
        <v>0.15909090909090909</v>
      </c>
      <c r="AO453" s="19" t="str">
        <f>IF(OR(Table1[[#This Row],[credit_score]] &lt; 600, Table1[ [#This Row],[dti_ratio] ] &gt; 0.5, Table1[[#This Row],[dpd]] &gt;=30), "high risk", " not riskY")</f>
        <v xml:space="preserve"> not riskY</v>
      </c>
      <c r="AP453" s="29">
        <f>EOMONTH(Table1[[#This Row],[origination_date]],0)</f>
        <v>45260</v>
      </c>
      <c r="AQ453" s="19">
        <f>SUMIFS(Table1[loan_amount],Table1[origination month],Table1[[#This Row],[origination month]])</f>
        <v>5279700</v>
      </c>
      <c r="AR453" s="19">
        <f>AVERAGEIFS(Table1[months_on_book],Table1[product],Table1[[#This Row],[product]])</f>
        <v>19.091954022988507</v>
      </c>
      <c r="AS453" s="19" t="str">
        <f ca="1">IF(EDATE(Table1[[#This Row],[origination_date]],6) &gt;= TODAY(), "New Loan", "Old Loan")</f>
        <v>Old Loan</v>
      </c>
      <c r="AT453" s="19" t="str">
        <f>"Q"&amp;ROUNDUP(MONTH(Table1[[#This Row],[origination_date]])/3,0)&amp;YEAR(Table1[[#This Row],[origination_date]])</f>
        <v>Q42023</v>
      </c>
      <c r="AU453" s="19">
        <f>SUMIFS(Table1[loan_amount],Table1[quarter],Table1[[#This Row],[quarter]])</f>
        <v>58386700</v>
      </c>
    </row>
    <row r="454" spans="2:47" x14ac:dyDescent="0.2">
      <c r="B454" s="5" t="s">
        <v>509</v>
      </c>
      <c r="C454" s="2" t="s">
        <v>1009</v>
      </c>
      <c r="D454" s="3">
        <v>45202</v>
      </c>
      <c r="E454" s="2" t="s">
        <v>1024</v>
      </c>
      <c r="F454" s="2" t="s">
        <v>1029</v>
      </c>
      <c r="G454" s="2" t="s">
        <v>1034</v>
      </c>
      <c r="H454" s="2" t="s">
        <v>1038</v>
      </c>
      <c r="I454" s="2">
        <v>48</v>
      </c>
      <c r="J454" s="2">
        <v>433900</v>
      </c>
      <c r="K454" s="2">
        <v>9.5500000000000007</v>
      </c>
      <c r="L454" s="2">
        <v>10911</v>
      </c>
      <c r="M454" s="2">
        <v>1265974</v>
      </c>
      <c r="N454" s="2">
        <v>722</v>
      </c>
      <c r="O454" s="2" t="s">
        <v>1044</v>
      </c>
      <c r="P454" s="2">
        <v>0.16</v>
      </c>
      <c r="Q454" s="2">
        <v>0.76</v>
      </c>
      <c r="R454" s="2">
        <v>570200</v>
      </c>
      <c r="S454" s="2">
        <v>26</v>
      </c>
      <c r="T454" s="2">
        <v>282776</v>
      </c>
      <c r="U454" s="2">
        <v>187036</v>
      </c>
      <c r="V454" s="2">
        <v>5</v>
      </c>
      <c r="W454" s="2">
        <v>0</v>
      </c>
      <c r="X454" s="2">
        <v>0</v>
      </c>
      <c r="Y454" s="2" t="s">
        <v>1049</v>
      </c>
      <c r="Z454" s="12">
        <f>SUMIF(Table1[product],Table1[[#This Row],[product]],Table1[loan_amount])</f>
        <v>92273000</v>
      </c>
      <c r="AA454" s="15">
        <f>SUMIF(Table1[region],Table1[[#This Row],[region]],Table1[current_balance])</f>
        <v>105779369</v>
      </c>
      <c r="AB454" s="2">
        <f>COUNTIF(Table1[loan_status],Table1[[#This Row],[loan_status]])</f>
        <v>301</v>
      </c>
      <c r="AC454" s="2">
        <f>COUNTIF(Table1[default_flag],1)/ROWS(Table1[loan_id])</f>
        <v>2.5999999999999999E-2</v>
      </c>
      <c r="AD454" s="2">
        <f>COUNTIFS(Table1[region],Table1[[#This Row],[region]],Table1[default_flag],1)/COUNTIF(Table1[region],Table1[[#This Row],[region]])</f>
        <v>2.6548672566371681E-2</v>
      </c>
      <c r="AE454" s="2">
        <f>COUNTIFS(Table1[channel],Table1[[#This Row],[channel]],Table1[prepayment_flag],1)/COUNTIF(Table1[channel],Table1[[#This Row],[channel]])</f>
        <v>7.1090047393364927E-2</v>
      </c>
      <c r="AF454" s="2">
        <f>AVERAGEIFS(Table1[interest_rate_pct],Table1[product],Table1[[#This Row],[product]],Table1[risk_band],Table1[[#This Row],[risk_band]])</f>
        <v>10.611923076923079</v>
      </c>
      <c r="AG454" s="2" t="str" cm="1">
        <f t="array" ref="AG454">_xlfn.IFS(Table1[[#This Row],[dti_ratio]] &lt; 0.2, " less than 0.2", Table1[[#This Row],[dti_ratio]] &lt; 0.3, "0.2 - 0.3", Table1[[#This Row],[dti_ratio]] &lt;= 0.5, "0.35 - 0.5", Table1[[#This Row],[dti_ratio]] &gt; 0.5, "greater than 0.5")</f>
        <v xml:space="preserve"> less than 0.2</v>
      </c>
      <c r="AH454" s="2">
        <f>COUNTIF(Table1[DTI band],Table1[[#This Row],[DTI band]])</f>
        <v>86</v>
      </c>
      <c r="AI454" s="2" t="str" cm="1">
        <f t="array" ref="AI454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454" s="2">
        <f>COUNTIF(Table1[LTV band],Table1[[#This Row],[LTV band]])</f>
        <v>302</v>
      </c>
      <c r="AK454" s="19">
        <f>COUNTIFS(Table1[count_loan_perband],Table1[[#This Row],[count_loan_perband]],Table1[default_flag],1)/COUNTIF(Table1[count_loan_perband],Table1[[#This Row],[count_loan_perband]])</f>
        <v>3.6423841059602648E-2</v>
      </c>
      <c r="AL454" s="19" t="str" cm="1">
        <f t="array" ref="AL454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454" s="19">
        <f>IF(Table1[[#This Row],[dpd]] &gt;=30,1,0)</f>
        <v>0</v>
      </c>
      <c r="AN454" s="19">
        <f>COUNTIFS(Table1[Loan size],Table1[[#This Row],[Loan size]],Table1[dpd flag],1)/COUNTIF(Table1[Loan size],Table1[[#This Row],[Loan size]])</f>
        <v>0.13934426229508196</v>
      </c>
      <c r="AO454" s="19" t="str">
        <f>IF(OR(Table1[[#This Row],[credit_score]] &lt; 600, Table1[ [#This Row],[dti_ratio] ] &gt; 0.5, Table1[[#This Row],[dpd]] &gt;=30), "high risk", " not riskY")</f>
        <v xml:space="preserve"> not riskY</v>
      </c>
      <c r="AP454" s="29">
        <f>EOMONTH(Table1[[#This Row],[origination_date]],0)</f>
        <v>45230</v>
      </c>
      <c r="AQ454" s="19">
        <f>SUMIFS(Table1[loan_amount],Table1[origination month],Table1[[#This Row],[origination month]])</f>
        <v>25021600</v>
      </c>
      <c r="AR454" s="19">
        <f>AVERAGEIFS(Table1[months_on_book],Table1[product],Table1[[#This Row],[product]])</f>
        <v>20.262135922330096</v>
      </c>
      <c r="AS454" s="19" t="str">
        <f ca="1">IF(EDATE(Table1[[#This Row],[origination_date]],6) &gt;= TODAY(), "New Loan", "Old Loan")</f>
        <v>Old Loan</v>
      </c>
      <c r="AT454" s="19" t="str">
        <f>"Q"&amp;ROUNDUP(MONTH(Table1[[#This Row],[origination_date]])/3,0)&amp;YEAR(Table1[[#This Row],[origination_date]])</f>
        <v>Q42023</v>
      </c>
      <c r="AU454" s="19">
        <f>SUMIFS(Table1[loan_amount],Table1[quarter],Table1[[#This Row],[quarter]])</f>
        <v>58386700</v>
      </c>
    </row>
    <row r="455" spans="2:47" x14ac:dyDescent="0.2">
      <c r="B455" s="5" t="s">
        <v>462</v>
      </c>
      <c r="C455" s="2" t="s">
        <v>962</v>
      </c>
      <c r="D455" s="3">
        <v>45268</v>
      </c>
      <c r="E455" s="2" t="s">
        <v>1028</v>
      </c>
      <c r="F455" s="2" t="s">
        <v>1030</v>
      </c>
      <c r="G455" s="2" t="s">
        <v>1034</v>
      </c>
      <c r="H455" s="2" t="s">
        <v>1038</v>
      </c>
      <c r="I455" s="2">
        <v>12</v>
      </c>
      <c r="J455" s="2">
        <v>388300</v>
      </c>
      <c r="K455" s="2">
        <v>14.01</v>
      </c>
      <c r="L455" s="2">
        <v>34866</v>
      </c>
      <c r="M455" s="2">
        <v>440391</v>
      </c>
      <c r="N455" s="2">
        <v>688</v>
      </c>
      <c r="O455" s="2" t="s">
        <v>1042</v>
      </c>
      <c r="P455" s="2">
        <v>0.15</v>
      </c>
      <c r="Q455" s="2">
        <v>0.91</v>
      </c>
      <c r="R455" s="2">
        <v>0</v>
      </c>
      <c r="S455" s="2">
        <v>12</v>
      </c>
      <c r="T455" s="2">
        <v>383017</v>
      </c>
      <c r="U455" s="2">
        <v>27043</v>
      </c>
      <c r="V455" s="2">
        <v>0</v>
      </c>
      <c r="W455" s="2">
        <v>0</v>
      </c>
      <c r="X455" s="2">
        <v>0</v>
      </c>
      <c r="Y455" s="2" t="s">
        <v>1047</v>
      </c>
      <c r="Z455" s="12">
        <f>SUMIF(Table1[product],Table1[[#This Row],[product]],Table1[loan_amount])</f>
        <v>62765800</v>
      </c>
      <c r="AA455" s="15">
        <f>SUMIF(Table1[region],Table1[[#This Row],[region]],Table1[current_balance])</f>
        <v>105779369</v>
      </c>
      <c r="AB455" s="2">
        <f>COUNTIF(Table1[loan_status],Table1[[#This Row],[loan_status]])</f>
        <v>139</v>
      </c>
      <c r="AC455" s="2">
        <f>COUNTIF(Table1[default_flag],1)/ROWS(Table1[loan_id])</f>
        <v>2.5999999999999999E-2</v>
      </c>
      <c r="AD455" s="2">
        <f>COUNTIFS(Table1[region],Table1[[#This Row],[region]],Table1[default_flag],1)/COUNTIF(Table1[region],Table1[[#This Row],[region]])</f>
        <v>2.6548672566371681E-2</v>
      </c>
      <c r="AE455" s="2">
        <f>COUNTIFS(Table1[channel],Table1[[#This Row],[channel]],Table1[prepayment_flag],1)/COUNTIF(Table1[channel],Table1[[#This Row],[channel]])</f>
        <v>5.8201058201058198E-2</v>
      </c>
      <c r="AF455" s="2">
        <f>AVERAGEIFS(Table1[interest_rate_pct],Table1[product],Table1[[#This Row],[product]],Table1[risk_band],Table1[[#This Row],[risk_band]])</f>
        <v>13.463888888888889</v>
      </c>
      <c r="AG455" s="2" t="str" cm="1">
        <f t="array" ref="AG455">_xlfn.IFS(Table1[[#This Row],[dti_ratio]] &lt; 0.2, " less than 0.2", Table1[[#This Row],[dti_ratio]] &lt; 0.3, "0.2 - 0.3", Table1[[#This Row],[dti_ratio]] &lt;= 0.5, "0.35 - 0.5", Table1[[#This Row],[dti_ratio]] &gt; 0.5, "greater than 0.5")</f>
        <v xml:space="preserve"> less than 0.2</v>
      </c>
      <c r="AH455" s="2">
        <f>COUNTIF(Table1[DTI band],Table1[[#This Row],[DTI band]])</f>
        <v>86</v>
      </c>
      <c r="AI455" s="2" t="str" cm="1">
        <f t="array" ref="AI455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455" s="2">
        <f>COUNTIF(Table1[LTV band],Table1[[#This Row],[LTV band]])</f>
        <v>141</v>
      </c>
      <c r="AK455" s="19">
        <f>COUNTIFS(Table1[count_loan_perband],Table1[[#This Row],[count_loan_perband]],Table1[default_flag],1)/COUNTIF(Table1[count_loan_perband],Table1[[#This Row],[count_loan_perband]])</f>
        <v>1.4184397163120567E-2</v>
      </c>
      <c r="AL455" s="19" t="str" cm="1">
        <f t="array" ref="AL455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455" s="19">
        <f>IF(Table1[[#This Row],[dpd]] &gt;=30,1,0)</f>
        <v>0</v>
      </c>
      <c r="AN455" s="19">
        <f>COUNTIFS(Table1[Loan size],Table1[[#This Row],[Loan size]],Table1[dpd flag],1)/COUNTIF(Table1[Loan size],Table1[[#This Row],[Loan size]])</f>
        <v>0.13934426229508196</v>
      </c>
      <c r="AO455" s="19" t="str">
        <f>IF(OR(Table1[[#This Row],[credit_score]] &lt; 600, Table1[ [#This Row],[dti_ratio] ] &gt; 0.5, Table1[[#This Row],[dpd]] &gt;=30), "high risk", " not riskY")</f>
        <v xml:space="preserve"> not riskY</v>
      </c>
      <c r="AP455" s="29">
        <f>EOMONTH(Table1[[#This Row],[origination_date]],0)</f>
        <v>45291</v>
      </c>
      <c r="AQ455" s="19">
        <f>SUMIFS(Table1[loan_amount],Table1[origination month],Table1[[#This Row],[origination month]])</f>
        <v>28085400</v>
      </c>
      <c r="AR455" s="19">
        <f>AVERAGEIFS(Table1[months_on_book],Table1[product],Table1[[#This Row],[product]])</f>
        <v>21.962962962962962</v>
      </c>
      <c r="AS455" s="19" t="str">
        <f ca="1">IF(EDATE(Table1[[#This Row],[origination_date]],6) &gt;= TODAY(), "New Loan", "Old Loan")</f>
        <v>Old Loan</v>
      </c>
      <c r="AT455" s="19" t="str">
        <f>"Q"&amp;ROUNDUP(MONTH(Table1[[#This Row],[origination_date]])/3,0)&amp;YEAR(Table1[[#This Row],[origination_date]])</f>
        <v>Q42023</v>
      </c>
      <c r="AU455" s="19">
        <f>SUMIFS(Table1[loan_amount],Table1[quarter],Table1[[#This Row],[quarter]])</f>
        <v>58386700</v>
      </c>
    </row>
    <row r="456" spans="2:47" x14ac:dyDescent="0.2">
      <c r="B456" s="5" t="s">
        <v>329</v>
      </c>
      <c r="C456" s="2" t="s">
        <v>829</v>
      </c>
      <c r="D456" s="3">
        <v>45244</v>
      </c>
      <c r="E456" s="2" t="s">
        <v>1026</v>
      </c>
      <c r="F456" s="2" t="s">
        <v>1031</v>
      </c>
      <c r="G456" s="2" t="s">
        <v>1034</v>
      </c>
      <c r="H456" s="2" t="s">
        <v>1038</v>
      </c>
      <c r="I456" s="2">
        <v>36</v>
      </c>
      <c r="J456" s="2">
        <v>444500</v>
      </c>
      <c r="K456" s="2">
        <v>16.489999999999998</v>
      </c>
      <c r="L456" s="2">
        <v>15735</v>
      </c>
      <c r="M456" s="2">
        <v>845252</v>
      </c>
      <c r="N456" s="2">
        <v>714</v>
      </c>
      <c r="O456" s="2" t="s">
        <v>1044</v>
      </c>
      <c r="P456" s="2">
        <v>0.14000000000000001</v>
      </c>
      <c r="Q456" s="2">
        <v>0.5</v>
      </c>
      <c r="R456" s="2">
        <v>0</v>
      </c>
      <c r="S456" s="2">
        <v>25</v>
      </c>
      <c r="T456" s="2">
        <v>380243</v>
      </c>
      <c r="U456" s="2">
        <v>125339</v>
      </c>
      <c r="V456" s="2">
        <v>0</v>
      </c>
      <c r="W456" s="2">
        <v>0</v>
      </c>
      <c r="X456" s="2">
        <v>0</v>
      </c>
      <c r="Y456" s="2" t="s">
        <v>1049</v>
      </c>
      <c r="Z456" s="12">
        <f>SUMIF(Table1[product],Table1[[#This Row],[product]],Table1[loan_amount])</f>
        <v>74897600</v>
      </c>
      <c r="AA456" s="15">
        <f>SUMIF(Table1[region],Table1[[#This Row],[region]],Table1[current_balance])</f>
        <v>105779369</v>
      </c>
      <c r="AB456" s="2">
        <f>COUNTIF(Table1[loan_status],Table1[[#This Row],[loan_status]])</f>
        <v>301</v>
      </c>
      <c r="AC456" s="2">
        <f>COUNTIF(Table1[default_flag],1)/ROWS(Table1[loan_id])</f>
        <v>2.5999999999999999E-2</v>
      </c>
      <c r="AD456" s="2">
        <f>COUNTIFS(Table1[region],Table1[[#This Row],[region]],Table1[default_flag],1)/COUNTIF(Table1[region],Table1[[#This Row],[region]])</f>
        <v>2.6548672566371681E-2</v>
      </c>
      <c r="AE456" s="2">
        <f>COUNTIFS(Table1[channel],Table1[[#This Row],[channel]],Table1[prepayment_flag],1)/COUNTIF(Table1[channel],Table1[[#This Row],[channel]])</f>
        <v>0.12</v>
      </c>
      <c r="AF456" s="2">
        <f>AVERAGEIFS(Table1[interest_rate_pct],Table1[product],Table1[[#This Row],[product]],Table1[risk_band],Table1[[#This Row],[risk_band]])</f>
        <v>16.500166666666669</v>
      </c>
      <c r="AG456" s="2" t="str" cm="1">
        <f t="array" ref="AG456">_xlfn.IFS(Table1[[#This Row],[dti_ratio]] &lt; 0.2, " less than 0.2", Table1[[#This Row],[dti_ratio]] &lt; 0.3, "0.2 - 0.3", Table1[[#This Row],[dti_ratio]] &lt;= 0.5, "0.35 - 0.5", Table1[[#This Row],[dti_ratio]] &gt; 0.5, "greater than 0.5")</f>
        <v xml:space="preserve"> less than 0.2</v>
      </c>
      <c r="AH456" s="2">
        <f>COUNTIF(Table1[DTI band],Table1[[#This Row],[DTI band]])</f>
        <v>86</v>
      </c>
      <c r="AI456" s="2" t="str" cm="1">
        <f t="array" ref="AI456">_xlfn.IFS(Table1[[#This Row],[ltv_ratio]] &lt; 0.6, "less than 0.6 -less risky", Table1[[#This Row],[ltv_ratio]]  &lt;= 0.8, "0.6 - 0.8 -medium risky",Table1[[#This Row],[ltv_ratio]] &gt; 0.8, "greater than 0.8 -highly risky")</f>
        <v>less than 0.6 -less risky</v>
      </c>
      <c r="AJ456" s="2">
        <f>COUNTIF(Table1[LTV band],Table1[[#This Row],[LTV band]])</f>
        <v>57</v>
      </c>
      <c r="AK456" s="19">
        <f>COUNTIFS(Table1[count_loan_perband],Table1[[#This Row],[count_loan_perband]],Table1[default_flag],1)/COUNTIF(Table1[count_loan_perband],Table1[[#This Row],[count_loan_perband]])</f>
        <v>0</v>
      </c>
      <c r="AL456" s="19" t="str" cm="1">
        <f t="array" ref="AL456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456" s="19">
        <f>IF(Table1[[#This Row],[dpd]] &gt;=30,1,0)</f>
        <v>0</v>
      </c>
      <c r="AN456" s="19">
        <f>COUNTIFS(Table1[Loan size],Table1[[#This Row],[Loan size]],Table1[dpd flag],1)/COUNTIF(Table1[Loan size],Table1[[#This Row],[Loan size]])</f>
        <v>0.13934426229508196</v>
      </c>
      <c r="AO456" s="19" t="str">
        <f>IF(OR(Table1[[#This Row],[credit_score]] &lt; 600, Table1[ [#This Row],[dti_ratio] ] &gt; 0.5, Table1[[#This Row],[dpd]] &gt;=30), "high risk", " not riskY")</f>
        <v xml:space="preserve"> not riskY</v>
      </c>
      <c r="AP456" s="29">
        <f>EOMONTH(Table1[[#This Row],[origination_date]],0)</f>
        <v>45260</v>
      </c>
      <c r="AQ456" s="19">
        <f>SUMIFS(Table1[loan_amount],Table1[origination month],Table1[[#This Row],[origination month]])</f>
        <v>5279700</v>
      </c>
      <c r="AR456" s="19">
        <f>AVERAGEIFS(Table1[months_on_book],Table1[product],Table1[[#This Row],[product]])</f>
        <v>21.092024539877301</v>
      </c>
      <c r="AS456" s="19" t="str">
        <f ca="1">IF(EDATE(Table1[[#This Row],[origination_date]],6) &gt;= TODAY(), "New Loan", "Old Loan")</f>
        <v>Old Loan</v>
      </c>
      <c r="AT456" s="19" t="str">
        <f>"Q"&amp;ROUNDUP(MONTH(Table1[[#This Row],[origination_date]])/3,0)&amp;YEAR(Table1[[#This Row],[origination_date]])</f>
        <v>Q42023</v>
      </c>
      <c r="AU456" s="19">
        <f>SUMIFS(Table1[loan_amount],Table1[quarter],Table1[[#This Row],[quarter]])</f>
        <v>58386700</v>
      </c>
    </row>
    <row r="457" spans="2:47" x14ac:dyDescent="0.2">
      <c r="B457" s="5" t="s">
        <v>521</v>
      </c>
      <c r="C457" s="2" t="s">
        <v>1021</v>
      </c>
      <c r="D457" s="3">
        <v>45270</v>
      </c>
      <c r="E457" s="2" t="s">
        <v>1025</v>
      </c>
      <c r="F457" s="2" t="s">
        <v>1029</v>
      </c>
      <c r="G457" s="2" t="s">
        <v>1034</v>
      </c>
      <c r="H457" s="2" t="s">
        <v>1040</v>
      </c>
      <c r="I457" s="2">
        <v>12</v>
      </c>
      <c r="J457" s="2">
        <v>4548700</v>
      </c>
      <c r="K457" s="2">
        <v>13.39</v>
      </c>
      <c r="L457" s="2">
        <v>407110</v>
      </c>
      <c r="M457" s="2">
        <v>1096115</v>
      </c>
      <c r="N457" s="2">
        <v>719</v>
      </c>
      <c r="O457" s="2" t="s">
        <v>1044</v>
      </c>
      <c r="P457" s="2">
        <v>0.12</v>
      </c>
      <c r="Q457" s="2">
        <v>0.71</v>
      </c>
      <c r="R457" s="2">
        <v>6442800</v>
      </c>
      <c r="S457" s="2">
        <v>12</v>
      </c>
      <c r="T457" s="2">
        <v>4922349</v>
      </c>
      <c r="U457" s="2">
        <v>0</v>
      </c>
      <c r="V457" s="2">
        <v>10</v>
      </c>
      <c r="W457" s="2">
        <v>0</v>
      </c>
      <c r="X457" s="2">
        <v>0</v>
      </c>
      <c r="Y457" s="2" t="s">
        <v>1047</v>
      </c>
      <c r="Z457" s="12">
        <f>SUMIF(Table1[product],Table1[[#This Row],[product]],Table1[loan_amount])</f>
        <v>201475100</v>
      </c>
      <c r="AA457" s="15">
        <f>SUMIF(Table1[region],Table1[[#This Row],[region]],Table1[current_balance])</f>
        <v>105779369</v>
      </c>
      <c r="AB457" s="2">
        <f>COUNTIF(Table1[loan_status],Table1[[#This Row],[loan_status]])</f>
        <v>139</v>
      </c>
      <c r="AC457" s="2">
        <f>COUNTIF(Table1[default_flag],1)/ROWS(Table1[loan_id])</f>
        <v>2.5999999999999999E-2</v>
      </c>
      <c r="AD457" s="2">
        <f>COUNTIFS(Table1[region],Table1[[#This Row],[region]],Table1[default_flag],1)/COUNTIF(Table1[region],Table1[[#This Row],[region]])</f>
        <v>2.6548672566371681E-2</v>
      </c>
      <c r="AE457" s="2">
        <f>COUNTIFS(Table1[channel],Table1[[#This Row],[channel]],Table1[prepayment_flag],1)/COUNTIF(Table1[channel],Table1[[#This Row],[channel]])</f>
        <v>7.1090047393364927E-2</v>
      </c>
      <c r="AF457" s="2">
        <f>AVERAGEIFS(Table1[interest_rate_pct],Table1[product],Table1[[#This Row],[product]],Table1[risk_band],Table1[[#This Row],[risk_band]])</f>
        <v>13.042631578947367</v>
      </c>
      <c r="AG457" s="2" t="str" cm="1">
        <f t="array" ref="AG457">_xlfn.IFS(Table1[[#This Row],[dti_ratio]] &lt; 0.2, " less than 0.2", Table1[[#This Row],[dti_ratio]] &lt; 0.3, "0.2 - 0.3", Table1[[#This Row],[dti_ratio]] &lt;= 0.5, "0.35 - 0.5", Table1[[#This Row],[dti_ratio]] &gt; 0.5, "greater than 0.5")</f>
        <v xml:space="preserve"> less than 0.2</v>
      </c>
      <c r="AH457" s="2">
        <f>COUNTIF(Table1[DTI band],Table1[[#This Row],[DTI band]])</f>
        <v>86</v>
      </c>
      <c r="AI457" s="2" t="str" cm="1">
        <f t="array" ref="AI457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457" s="2">
        <f>COUNTIF(Table1[LTV band],Table1[[#This Row],[LTV band]])</f>
        <v>302</v>
      </c>
      <c r="AK457" s="19">
        <f>COUNTIFS(Table1[count_loan_perband],Table1[[#This Row],[count_loan_perband]],Table1[default_flag],1)/COUNTIF(Table1[count_loan_perband],Table1[[#This Row],[count_loan_perband]])</f>
        <v>3.6423841059602648E-2</v>
      </c>
      <c r="AL457" s="19" t="str" cm="1">
        <f t="array" ref="AL457">_xlfn.IFS(Table1[[#This Row],[loan_amount]] &lt; 900000, "lower size (&lt; 9L)", Table1[[#This Row],[loan_amount]] &lt;=3300000, "medium size (&lt;=33L)", Table1[[#This Row],[loan_amount]] &gt; 3300000, "larger size (&gt; 33L)")</f>
        <v>larger size (&gt; 33L)</v>
      </c>
      <c r="AM457" s="19">
        <f>IF(Table1[[#This Row],[dpd]] &gt;=30,1,0)</f>
        <v>0</v>
      </c>
      <c r="AN457" s="19">
        <f>COUNTIFS(Table1[Loan size],Table1[[#This Row],[Loan size]],Table1[dpd flag],1)/COUNTIF(Table1[Loan size],Table1[[#This Row],[Loan size]])</f>
        <v>0.16250000000000001</v>
      </c>
      <c r="AO457" s="19" t="str">
        <f>IF(OR(Table1[[#This Row],[credit_score]] &lt; 600, Table1[ [#This Row],[dti_ratio] ] &gt; 0.5, Table1[[#This Row],[dpd]] &gt;=30), "high risk", " not riskY")</f>
        <v xml:space="preserve"> not riskY</v>
      </c>
      <c r="AP457" s="29">
        <f>EOMONTH(Table1[[#This Row],[origination_date]],0)</f>
        <v>45291</v>
      </c>
      <c r="AQ457" s="19">
        <f>SUMIFS(Table1[loan_amount],Table1[origination month],Table1[[#This Row],[origination month]])</f>
        <v>28085400</v>
      </c>
      <c r="AR457" s="19">
        <f>AVERAGEIFS(Table1[months_on_book],Table1[product],Table1[[#This Row],[product]])</f>
        <v>19.091954022988507</v>
      </c>
      <c r="AS457" s="19" t="str">
        <f ca="1">IF(EDATE(Table1[[#This Row],[origination_date]],6) &gt;= TODAY(), "New Loan", "Old Loan")</f>
        <v>Old Loan</v>
      </c>
      <c r="AT457" s="19" t="str">
        <f>"Q"&amp;ROUNDUP(MONTH(Table1[[#This Row],[origination_date]])/3,0)&amp;YEAR(Table1[[#This Row],[origination_date]])</f>
        <v>Q42023</v>
      </c>
      <c r="AU457" s="19">
        <f>SUMIFS(Table1[loan_amount],Table1[quarter],Table1[[#This Row],[quarter]])</f>
        <v>58386700</v>
      </c>
    </row>
    <row r="458" spans="2:47" x14ac:dyDescent="0.2">
      <c r="B458" s="5" t="s">
        <v>275</v>
      </c>
      <c r="C458" s="2" t="s">
        <v>775</v>
      </c>
      <c r="D458" s="3">
        <v>45648</v>
      </c>
      <c r="E458" s="2" t="s">
        <v>1026</v>
      </c>
      <c r="F458" s="2" t="s">
        <v>1030</v>
      </c>
      <c r="G458" s="2" t="s">
        <v>1035</v>
      </c>
      <c r="H458" s="2" t="s">
        <v>1038</v>
      </c>
      <c r="I458" s="2">
        <v>240</v>
      </c>
      <c r="J458" s="2">
        <v>635600</v>
      </c>
      <c r="K458" s="2">
        <v>15.61</v>
      </c>
      <c r="L458" s="2">
        <v>8657</v>
      </c>
      <c r="M458" s="2">
        <v>1256829</v>
      </c>
      <c r="N458" s="2">
        <v>722</v>
      </c>
      <c r="O458" s="2" t="s">
        <v>1044</v>
      </c>
      <c r="P458" s="2">
        <v>0.66</v>
      </c>
      <c r="Q458" s="2">
        <v>0.77</v>
      </c>
      <c r="R458" s="2">
        <v>0</v>
      </c>
      <c r="S458" s="2">
        <v>12</v>
      </c>
      <c r="T458" s="2">
        <v>93530</v>
      </c>
      <c r="U458" s="2">
        <v>581757</v>
      </c>
      <c r="V458" s="2">
        <v>0</v>
      </c>
      <c r="W458" s="2">
        <v>0</v>
      </c>
      <c r="X458" s="2">
        <v>0</v>
      </c>
      <c r="Y458" s="2" t="s">
        <v>1049</v>
      </c>
      <c r="Z458" s="12">
        <f>SUMIF(Table1[product],Table1[[#This Row],[product]],Table1[loan_amount])</f>
        <v>74897600</v>
      </c>
      <c r="AA458" s="15">
        <f>SUMIF(Table1[region],Table1[[#This Row],[region]],Table1[current_balance])</f>
        <v>83903255</v>
      </c>
      <c r="AB458" s="2">
        <f>COUNTIF(Table1[loan_status],Table1[[#This Row],[loan_status]])</f>
        <v>301</v>
      </c>
      <c r="AC458" s="2">
        <f>COUNTIF(Table1[default_flag],1)/ROWS(Table1[loan_id])</f>
        <v>2.5999999999999999E-2</v>
      </c>
      <c r="AD458" s="2">
        <f>COUNTIFS(Table1[region],Table1[[#This Row],[region]],Table1[default_flag],1)/COUNTIF(Table1[region],Table1[[#This Row],[region]])</f>
        <v>4.2553191489361701E-2</v>
      </c>
      <c r="AE458" s="2">
        <f>COUNTIFS(Table1[channel],Table1[[#This Row],[channel]],Table1[prepayment_flag],1)/COUNTIF(Table1[channel],Table1[[#This Row],[channel]])</f>
        <v>5.8201058201058198E-2</v>
      </c>
      <c r="AF458" s="2">
        <f>AVERAGEIFS(Table1[interest_rate_pct],Table1[product],Table1[[#This Row],[product]],Table1[risk_band],Table1[[#This Row],[risk_band]])</f>
        <v>16.500166666666669</v>
      </c>
      <c r="AG458" s="2" t="str" cm="1">
        <f t="array" ref="AG458">_xlfn.IFS(Table1[[#This Row],[dti_ratio]] &lt; 0.2, " less than 0.2", Table1[[#This Row],[dti_ratio]] &lt; 0.3, "0.2 - 0.3", Table1[[#This Row],[dti_ratio]] &lt;= 0.5, "0.35 - 0.5", Table1[[#This Row],[dti_ratio]] &gt; 0.5, "greater than 0.5")</f>
        <v>greater than 0.5</v>
      </c>
      <c r="AH458" s="2">
        <f>COUNTIF(Table1[DTI band],Table1[[#This Row],[DTI band]])</f>
        <v>32</v>
      </c>
      <c r="AI458" s="2" t="str" cm="1">
        <f t="array" ref="AI458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458" s="2">
        <f>COUNTIF(Table1[LTV band],Table1[[#This Row],[LTV band]])</f>
        <v>302</v>
      </c>
      <c r="AK458" s="19">
        <f>COUNTIFS(Table1[count_loan_perband],Table1[[#This Row],[count_loan_perband]],Table1[default_flag],1)/COUNTIF(Table1[count_loan_perband],Table1[[#This Row],[count_loan_perband]])</f>
        <v>3.6423841059602648E-2</v>
      </c>
      <c r="AL458" s="19" t="str" cm="1">
        <f t="array" ref="AL458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458" s="19">
        <f>IF(Table1[[#This Row],[dpd]] &gt;=30,1,0)</f>
        <v>0</v>
      </c>
      <c r="AN458" s="19">
        <f>COUNTIFS(Table1[Loan size],Table1[[#This Row],[Loan size]],Table1[dpd flag],1)/COUNTIF(Table1[Loan size],Table1[[#This Row],[Loan size]])</f>
        <v>0.13934426229508196</v>
      </c>
      <c r="AO458" s="19" t="str">
        <f>IF(OR(Table1[[#This Row],[credit_score]] &lt; 600, Table1[ [#This Row],[dti_ratio] ] &gt; 0.5, Table1[[#This Row],[dpd]] &gt;=30), "high risk", " not riskY")</f>
        <v>high risk</v>
      </c>
      <c r="AP458" s="29">
        <f>EOMONTH(Table1[[#This Row],[origination_date]],0)</f>
        <v>45657</v>
      </c>
      <c r="AQ458" s="19">
        <f>SUMIFS(Table1[loan_amount],Table1[origination month],Table1[[#This Row],[origination month]])</f>
        <v>19904900</v>
      </c>
      <c r="AR458" s="19">
        <f>AVERAGEIFS(Table1[months_on_book],Table1[product],Table1[[#This Row],[product]])</f>
        <v>21.092024539877301</v>
      </c>
      <c r="AS458" s="19" t="str">
        <f ca="1">IF(EDATE(Table1[[#This Row],[origination_date]],6) &gt;= TODAY(), "New Loan", "Old Loan")</f>
        <v>Old Loan</v>
      </c>
      <c r="AT458" s="19" t="str">
        <f>"Q"&amp;ROUNDUP(MONTH(Table1[[#This Row],[origination_date]])/3,0)&amp;YEAR(Table1[[#This Row],[origination_date]])</f>
        <v>Q42024</v>
      </c>
      <c r="AU458" s="19">
        <f>SUMIFS(Table1[loan_amount],Table1[quarter],Table1[[#This Row],[quarter]])</f>
        <v>53441200</v>
      </c>
    </row>
    <row r="459" spans="2:47" x14ac:dyDescent="0.2">
      <c r="B459" s="5" t="s">
        <v>149</v>
      </c>
      <c r="C459" s="2" t="s">
        <v>649</v>
      </c>
      <c r="D459" s="3">
        <v>45611</v>
      </c>
      <c r="E459" s="2" t="s">
        <v>1024</v>
      </c>
      <c r="F459" s="2" t="s">
        <v>1030</v>
      </c>
      <c r="G459" s="2" t="s">
        <v>1035</v>
      </c>
      <c r="H459" s="2" t="s">
        <v>1038</v>
      </c>
      <c r="I459" s="2">
        <v>24</v>
      </c>
      <c r="J459" s="2">
        <v>873600</v>
      </c>
      <c r="K459" s="2">
        <v>18.670000000000002</v>
      </c>
      <c r="L459" s="2">
        <v>43897</v>
      </c>
      <c r="M459" s="2">
        <v>1027921</v>
      </c>
      <c r="N459" s="2">
        <v>576</v>
      </c>
      <c r="O459" s="2" t="s">
        <v>1046</v>
      </c>
      <c r="P459" s="2">
        <v>0.56000000000000005</v>
      </c>
      <c r="Q459" s="2">
        <v>0.67</v>
      </c>
      <c r="R459" s="2">
        <v>1296900</v>
      </c>
      <c r="S459" s="2">
        <v>13</v>
      </c>
      <c r="T459" s="2">
        <v>488838</v>
      </c>
      <c r="U459" s="2">
        <v>455439</v>
      </c>
      <c r="V459" s="2">
        <v>30</v>
      </c>
      <c r="W459" s="2">
        <v>0</v>
      </c>
      <c r="X459" s="2">
        <v>0</v>
      </c>
      <c r="Y459" s="2" t="s">
        <v>1048</v>
      </c>
      <c r="Z459" s="12">
        <f>SUMIF(Table1[product],Table1[[#This Row],[product]],Table1[loan_amount])</f>
        <v>92273000</v>
      </c>
      <c r="AA459" s="15">
        <f>SUMIF(Table1[region],Table1[[#This Row],[region]],Table1[current_balance])</f>
        <v>83903255</v>
      </c>
      <c r="AB459" s="2">
        <f>COUNTIF(Table1[loan_status],Table1[[#This Row],[loan_status]])</f>
        <v>47</v>
      </c>
      <c r="AC459" s="2">
        <f>COUNTIF(Table1[default_flag],1)/ROWS(Table1[loan_id])</f>
        <v>2.5999999999999999E-2</v>
      </c>
      <c r="AD459" s="2">
        <f>COUNTIFS(Table1[region],Table1[[#This Row],[region]],Table1[default_flag],1)/COUNTIF(Table1[region],Table1[[#This Row],[region]])</f>
        <v>4.2553191489361701E-2</v>
      </c>
      <c r="AE459" s="2">
        <f>COUNTIFS(Table1[channel],Table1[[#This Row],[channel]],Table1[prepayment_flag],1)/COUNTIF(Table1[channel],Table1[[#This Row],[channel]])</f>
        <v>5.8201058201058198E-2</v>
      </c>
      <c r="AF459" s="2">
        <f>AVERAGEIFS(Table1[interest_rate_pct],Table1[product],Table1[[#This Row],[product]],Table1[risk_band],Table1[[#This Row],[risk_band]])</f>
        <v>17.744166666666668</v>
      </c>
      <c r="AG459" s="2" t="str" cm="1">
        <f t="array" ref="AG459">_xlfn.IFS(Table1[[#This Row],[dti_ratio]] &lt; 0.2, " less than 0.2", Table1[[#This Row],[dti_ratio]] &lt; 0.3, "0.2 - 0.3", Table1[[#This Row],[dti_ratio]] &lt;= 0.5, "0.35 - 0.5", Table1[[#This Row],[dti_ratio]] &gt; 0.5, "greater than 0.5")</f>
        <v>greater than 0.5</v>
      </c>
      <c r="AH459" s="2">
        <f>COUNTIF(Table1[DTI band],Table1[[#This Row],[DTI band]])</f>
        <v>32</v>
      </c>
      <c r="AI459" s="2" t="str" cm="1">
        <f t="array" ref="AI459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459" s="2">
        <f>COUNTIF(Table1[LTV band],Table1[[#This Row],[LTV band]])</f>
        <v>302</v>
      </c>
      <c r="AK459" s="19">
        <f>COUNTIFS(Table1[count_loan_perband],Table1[[#This Row],[count_loan_perband]],Table1[default_flag],1)/COUNTIF(Table1[count_loan_perband],Table1[[#This Row],[count_loan_perband]])</f>
        <v>3.6423841059602648E-2</v>
      </c>
      <c r="AL459" s="19" t="str" cm="1">
        <f t="array" ref="AL459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459" s="19">
        <f>IF(Table1[[#This Row],[dpd]] &gt;=30,1,0)</f>
        <v>1</v>
      </c>
      <c r="AN459" s="19">
        <f>COUNTIFS(Table1[Loan size],Table1[[#This Row],[Loan size]],Table1[dpd flag],1)/COUNTIF(Table1[Loan size],Table1[[#This Row],[Loan size]])</f>
        <v>0.13934426229508196</v>
      </c>
      <c r="AO459" s="19" t="str">
        <f>IF(OR(Table1[[#This Row],[credit_score]] &lt; 600, Table1[ [#This Row],[dti_ratio] ] &gt; 0.5, Table1[[#This Row],[dpd]] &gt;=30), "high risk", " not riskY")</f>
        <v>high risk</v>
      </c>
      <c r="AP459" s="29">
        <f>EOMONTH(Table1[[#This Row],[origination_date]],0)</f>
        <v>45626</v>
      </c>
      <c r="AQ459" s="19">
        <f>SUMIFS(Table1[loan_amount],Table1[origination month],Table1[[#This Row],[origination month]])</f>
        <v>18553400</v>
      </c>
      <c r="AR459" s="19">
        <f>AVERAGEIFS(Table1[months_on_book],Table1[product],Table1[[#This Row],[product]])</f>
        <v>20.262135922330096</v>
      </c>
      <c r="AS459" s="19" t="str">
        <f ca="1">IF(EDATE(Table1[[#This Row],[origination_date]],6) &gt;= TODAY(), "New Loan", "Old Loan")</f>
        <v>Old Loan</v>
      </c>
      <c r="AT459" s="19" t="str">
        <f>"Q"&amp;ROUNDUP(MONTH(Table1[[#This Row],[origination_date]])/3,0)&amp;YEAR(Table1[[#This Row],[origination_date]])</f>
        <v>Q42024</v>
      </c>
      <c r="AU459" s="19">
        <f>SUMIFS(Table1[loan_amount],Table1[quarter],Table1[[#This Row],[quarter]])</f>
        <v>53441200</v>
      </c>
    </row>
    <row r="460" spans="2:47" x14ac:dyDescent="0.2">
      <c r="B460" s="5" t="s">
        <v>376</v>
      </c>
      <c r="C460" s="2" t="s">
        <v>876</v>
      </c>
      <c r="D460" s="3">
        <v>45610</v>
      </c>
      <c r="E460" s="2" t="s">
        <v>1028</v>
      </c>
      <c r="F460" s="2" t="s">
        <v>1030</v>
      </c>
      <c r="G460" s="2" t="s">
        <v>1037</v>
      </c>
      <c r="H460" s="2" t="s">
        <v>1038</v>
      </c>
      <c r="I460" s="2">
        <v>36</v>
      </c>
      <c r="J460" s="2">
        <v>316400</v>
      </c>
      <c r="K460" s="2">
        <v>14.32</v>
      </c>
      <c r="L460" s="2">
        <v>10863</v>
      </c>
      <c r="M460" s="2">
        <v>1089396</v>
      </c>
      <c r="N460" s="2">
        <v>671</v>
      </c>
      <c r="O460" s="2" t="s">
        <v>1042</v>
      </c>
      <c r="P460" s="2">
        <v>0.55000000000000004</v>
      </c>
      <c r="Q460" s="2">
        <v>0.73</v>
      </c>
      <c r="R460" s="2">
        <v>0</v>
      </c>
      <c r="S460" s="2">
        <v>13</v>
      </c>
      <c r="T460" s="2">
        <v>133783</v>
      </c>
      <c r="U460" s="2">
        <v>202251</v>
      </c>
      <c r="V460" s="2">
        <v>5</v>
      </c>
      <c r="W460" s="2">
        <v>0</v>
      </c>
      <c r="X460" s="2">
        <v>0</v>
      </c>
      <c r="Y460" s="2" t="s">
        <v>1049</v>
      </c>
      <c r="Z460" s="12">
        <f>SUMIF(Table1[product],Table1[[#This Row],[product]],Table1[loan_amount])</f>
        <v>62765800</v>
      </c>
      <c r="AA460" s="15">
        <f>SUMIF(Table1[region],Table1[[#This Row],[region]],Table1[current_balance])</f>
        <v>94548000</v>
      </c>
      <c r="AB460" s="2">
        <f>COUNTIF(Table1[loan_status],Table1[[#This Row],[loan_status]])</f>
        <v>301</v>
      </c>
      <c r="AC460" s="2">
        <f>COUNTIF(Table1[default_flag],1)/ROWS(Table1[loan_id])</f>
        <v>2.5999999999999999E-2</v>
      </c>
      <c r="AD460" s="2">
        <f>COUNTIFS(Table1[region],Table1[[#This Row],[region]],Table1[default_flag],1)/COUNTIF(Table1[region],Table1[[#This Row],[region]])</f>
        <v>0</v>
      </c>
      <c r="AE460" s="2">
        <f>COUNTIFS(Table1[channel],Table1[[#This Row],[channel]],Table1[prepayment_flag],1)/COUNTIF(Table1[channel],Table1[[#This Row],[channel]])</f>
        <v>5.8201058201058198E-2</v>
      </c>
      <c r="AF460" s="2">
        <f>AVERAGEIFS(Table1[interest_rate_pct],Table1[product],Table1[[#This Row],[product]],Table1[risk_band],Table1[[#This Row],[risk_band]])</f>
        <v>13.463888888888889</v>
      </c>
      <c r="AG460" s="2" t="str" cm="1">
        <f t="array" ref="AG460">_xlfn.IFS(Table1[[#This Row],[dti_ratio]] &lt; 0.2, " less than 0.2", Table1[[#This Row],[dti_ratio]] &lt; 0.3, "0.2 - 0.3", Table1[[#This Row],[dti_ratio]] &lt;= 0.5, "0.35 - 0.5", Table1[[#This Row],[dti_ratio]] &gt; 0.5, "greater than 0.5")</f>
        <v>greater than 0.5</v>
      </c>
      <c r="AH460" s="2">
        <f>COUNTIF(Table1[DTI band],Table1[[#This Row],[DTI band]])</f>
        <v>32</v>
      </c>
      <c r="AI460" s="2" t="str" cm="1">
        <f t="array" ref="AI460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460" s="2">
        <f>COUNTIF(Table1[LTV band],Table1[[#This Row],[LTV band]])</f>
        <v>302</v>
      </c>
      <c r="AK460" s="19">
        <f>COUNTIFS(Table1[count_loan_perband],Table1[[#This Row],[count_loan_perband]],Table1[default_flag],1)/COUNTIF(Table1[count_loan_perband],Table1[[#This Row],[count_loan_perband]])</f>
        <v>3.6423841059602648E-2</v>
      </c>
      <c r="AL460" s="19" t="str" cm="1">
        <f t="array" ref="AL460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460" s="19">
        <f>IF(Table1[[#This Row],[dpd]] &gt;=30,1,0)</f>
        <v>0</v>
      </c>
      <c r="AN460" s="19">
        <f>COUNTIFS(Table1[Loan size],Table1[[#This Row],[Loan size]],Table1[dpd flag],1)/COUNTIF(Table1[Loan size],Table1[[#This Row],[Loan size]])</f>
        <v>0.13934426229508196</v>
      </c>
      <c r="AO460" s="19" t="str">
        <f>IF(OR(Table1[[#This Row],[credit_score]] &lt; 600, Table1[ [#This Row],[dti_ratio] ] &gt; 0.5, Table1[[#This Row],[dpd]] &gt;=30), "high risk", " not riskY")</f>
        <v>high risk</v>
      </c>
      <c r="AP460" s="29">
        <f>EOMONTH(Table1[[#This Row],[origination_date]],0)</f>
        <v>45626</v>
      </c>
      <c r="AQ460" s="19">
        <f>SUMIFS(Table1[loan_amount],Table1[origination month],Table1[[#This Row],[origination month]])</f>
        <v>18553400</v>
      </c>
      <c r="AR460" s="19">
        <f>AVERAGEIFS(Table1[months_on_book],Table1[product],Table1[[#This Row],[product]])</f>
        <v>21.962962962962962</v>
      </c>
      <c r="AS460" s="19" t="str">
        <f ca="1">IF(EDATE(Table1[[#This Row],[origination_date]],6) &gt;= TODAY(), "New Loan", "Old Loan")</f>
        <v>Old Loan</v>
      </c>
      <c r="AT460" s="19" t="str">
        <f>"Q"&amp;ROUNDUP(MONTH(Table1[[#This Row],[origination_date]])/3,0)&amp;YEAR(Table1[[#This Row],[origination_date]])</f>
        <v>Q42024</v>
      </c>
      <c r="AU460" s="19">
        <f>SUMIFS(Table1[loan_amount],Table1[quarter],Table1[[#This Row],[quarter]])</f>
        <v>53441200</v>
      </c>
    </row>
    <row r="461" spans="2:47" x14ac:dyDescent="0.2">
      <c r="B461" s="5" t="s">
        <v>96</v>
      </c>
      <c r="C461" s="2" t="s">
        <v>596</v>
      </c>
      <c r="D461" s="3">
        <v>45619</v>
      </c>
      <c r="E461" s="2" t="s">
        <v>1026</v>
      </c>
      <c r="F461" s="2" t="s">
        <v>1029</v>
      </c>
      <c r="G461" s="2" t="s">
        <v>1033</v>
      </c>
      <c r="H461" s="2" t="s">
        <v>1038</v>
      </c>
      <c r="I461" s="2">
        <v>36</v>
      </c>
      <c r="J461" s="2">
        <v>50000</v>
      </c>
      <c r="K461" s="2">
        <v>19.98</v>
      </c>
      <c r="L461" s="2">
        <v>1858</v>
      </c>
      <c r="M461" s="2">
        <v>770251</v>
      </c>
      <c r="N461" s="2">
        <v>652</v>
      </c>
      <c r="O461" s="2" t="s">
        <v>1042</v>
      </c>
      <c r="P461" s="2">
        <v>0.49</v>
      </c>
      <c r="Q461" s="2">
        <v>0.79</v>
      </c>
      <c r="R461" s="2">
        <v>0</v>
      </c>
      <c r="S461" s="2">
        <v>13</v>
      </c>
      <c r="T461" s="2">
        <v>21110</v>
      </c>
      <c r="U461" s="2">
        <v>33219</v>
      </c>
      <c r="V461" s="2">
        <v>0</v>
      </c>
      <c r="W461" s="2">
        <v>0</v>
      </c>
      <c r="X461" s="2">
        <v>0</v>
      </c>
      <c r="Y461" s="2" t="s">
        <v>1049</v>
      </c>
      <c r="Z461" s="12">
        <f>SUMIF(Table1[product],Table1[[#This Row],[product]],Table1[loan_amount])</f>
        <v>74897600</v>
      </c>
      <c r="AA461" s="15">
        <f>SUMIF(Table1[region],Table1[[#This Row],[region]],Table1[current_balance])</f>
        <v>83297251</v>
      </c>
      <c r="AB461" s="2">
        <f>COUNTIF(Table1[loan_status],Table1[[#This Row],[loan_status]])</f>
        <v>301</v>
      </c>
      <c r="AC461" s="2">
        <f>COUNTIF(Table1[default_flag],1)/ROWS(Table1[loan_id])</f>
        <v>2.5999999999999999E-2</v>
      </c>
      <c r="AD461" s="2">
        <f>COUNTIFS(Table1[region],Table1[[#This Row],[region]],Table1[default_flag],1)/COUNTIF(Table1[region],Table1[[#This Row],[region]])</f>
        <v>3.1914893617021274E-2</v>
      </c>
      <c r="AE461" s="2">
        <f>COUNTIFS(Table1[channel],Table1[[#This Row],[channel]],Table1[prepayment_flag],1)/COUNTIF(Table1[channel],Table1[[#This Row],[channel]])</f>
        <v>7.1090047393364927E-2</v>
      </c>
      <c r="AF461" s="2">
        <f>AVERAGEIFS(Table1[interest_rate_pct],Table1[product],Table1[[#This Row],[product]],Table1[risk_band],Table1[[#This Row],[risk_band]])</f>
        <v>18.603181818181817</v>
      </c>
      <c r="AG461" s="2" t="str" cm="1">
        <f t="array" ref="AG461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461" s="2">
        <f>COUNTIF(Table1[DTI band],Table1[[#This Row],[DTI band]])</f>
        <v>260</v>
      </c>
      <c r="AI461" s="2" t="str" cm="1">
        <f t="array" ref="AI461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461" s="2">
        <f>COUNTIF(Table1[LTV band],Table1[[#This Row],[LTV band]])</f>
        <v>302</v>
      </c>
      <c r="AK461" s="19">
        <f>COUNTIFS(Table1[count_loan_perband],Table1[[#This Row],[count_loan_perband]],Table1[default_flag],1)/COUNTIF(Table1[count_loan_perband],Table1[[#This Row],[count_loan_perband]])</f>
        <v>3.6423841059602648E-2</v>
      </c>
      <c r="AL461" s="19" t="str" cm="1">
        <f t="array" ref="AL461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461" s="19">
        <f>IF(Table1[[#This Row],[dpd]] &gt;=30,1,0)</f>
        <v>0</v>
      </c>
      <c r="AN461" s="19">
        <f>COUNTIFS(Table1[Loan size],Table1[[#This Row],[Loan size]],Table1[dpd flag],1)/COUNTIF(Table1[Loan size],Table1[[#This Row],[Loan size]])</f>
        <v>0.13934426229508196</v>
      </c>
      <c r="AO461" s="19" t="str">
        <f>IF(OR(Table1[[#This Row],[credit_score]] &lt; 600, Table1[ [#This Row],[dti_ratio] ] &gt; 0.5, Table1[[#This Row],[dpd]] &gt;=30), "high risk", " not riskY")</f>
        <v xml:space="preserve"> not riskY</v>
      </c>
      <c r="AP461" s="29">
        <f>EOMONTH(Table1[[#This Row],[origination_date]],0)</f>
        <v>45626</v>
      </c>
      <c r="AQ461" s="19">
        <f>SUMIFS(Table1[loan_amount],Table1[origination month],Table1[[#This Row],[origination month]])</f>
        <v>18553400</v>
      </c>
      <c r="AR461" s="19">
        <f>AVERAGEIFS(Table1[months_on_book],Table1[product],Table1[[#This Row],[product]])</f>
        <v>21.092024539877301</v>
      </c>
      <c r="AS461" s="19" t="str">
        <f ca="1">IF(EDATE(Table1[[#This Row],[origination_date]],6) &gt;= TODAY(), "New Loan", "Old Loan")</f>
        <v>Old Loan</v>
      </c>
      <c r="AT461" s="19" t="str">
        <f>"Q"&amp;ROUNDUP(MONTH(Table1[[#This Row],[origination_date]])/3,0)&amp;YEAR(Table1[[#This Row],[origination_date]])</f>
        <v>Q42024</v>
      </c>
      <c r="AU461" s="19">
        <f>SUMIFS(Table1[loan_amount],Table1[quarter],Table1[[#This Row],[quarter]])</f>
        <v>53441200</v>
      </c>
    </row>
    <row r="462" spans="2:47" x14ac:dyDescent="0.2">
      <c r="B462" s="5" t="s">
        <v>481</v>
      </c>
      <c r="C462" s="2" t="s">
        <v>981</v>
      </c>
      <c r="D462" s="3">
        <v>45567</v>
      </c>
      <c r="E462" s="2" t="s">
        <v>1026</v>
      </c>
      <c r="F462" s="2" t="s">
        <v>1029</v>
      </c>
      <c r="G462" s="2" t="s">
        <v>1036</v>
      </c>
      <c r="H462" s="2" t="s">
        <v>1039</v>
      </c>
      <c r="I462" s="2">
        <v>180</v>
      </c>
      <c r="J462" s="2">
        <v>478900</v>
      </c>
      <c r="K462" s="2">
        <v>14.16</v>
      </c>
      <c r="L462" s="2">
        <v>6429</v>
      </c>
      <c r="M462" s="2">
        <v>825116</v>
      </c>
      <c r="N462" s="2">
        <v>759</v>
      </c>
      <c r="O462" s="2" t="s">
        <v>1043</v>
      </c>
      <c r="P462" s="2">
        <v>0.48</v>
      </c>
      <c r="Q462" s="2">
        <v>0.77</v>
      </c>
      <c r="R462" s="2">
        <v>0</v>
      </c>
      <c r="S462" s="2">
        <v>14</v>
      </c>
      <c r="T462" s="2">
        <v>80377</v>
      </c>
      <c r="U462" s="2">
        <v>430169</v>
      </c>
      <c r="V462" s="2">
        <v>45</v>
      </c>
      <c r="W462" s="2">
        <v>0</v>
      </c>
      <c r="X462" s="2">
        <v>0</v>
      </c>
      <c r="Y462" s="2" t="s">
        <v>1048</v>
      </c>
      <c r="Z462" s="12">
        <f>SUMIF(Table1[product],Table1[[#This Row],[product]],Table1[loan_amount])</f>
        <v>74897600</v>
      </c>
      <c r="AA462" s="15">
        <f>SUMIF(Table1[region],Table1[[#This Row],[region]],Table1[current_balance])</f>
        <v>98928695</v>
      </c>
      <c r="AB462" s="2">
        <f>COUNTIF(Table1[loan_status],Table1[[#This Row],[loan_status]])</f>
        <v>47</v>
      </c>
      <c r="AC462" s="2">
        <f>COUNTIF(Table1[default_flag],1)/ROWS(Table1[loan_id])</f>
        <v>2.5999999999999999E-2</v>
      </c>
      <c r="AD462" s="2">
        <f>COUNTIFS(Table1[region],Table1[[#This Row],[region]],Table1[default_flag],1)/COUNTIF(Table1[region],Table1[[#This Row],[region]])</f>
        <v>2.8571428571428571E-2</v>
      </c>
      <c r="AE462" s="2">
        <f>COUNTIFS(Table1[channel],Table1[[#This Row],[channel]],Table1[prepayment_flag],1)/COUNTIF(Table1[channel],Table1[[#This Row],[channel]])</f>
        <v>7.1090047393364927E-2</v>
      </c>
      <c r="AF462" s="2">
        <f>AVERAGEIFS(Table1[interest_rate_pct],Table1[product],Table1[[#This Row],[product]],Table1[risk_band],Table1[[#This Row],[risk_band]])</f>
        <v>13.328333333333335</v>
      </c>
      <c r="AG462" s="2" t="str" cm="1">
        <f t="array" ref="AG462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462" s="2">
        <f>COUNTIF(Table1[DTI band],Table1[[#This Row],[DTI band]])</f>
        <v>260</v>
      </c>
      <c r="AI462" s="2" t="str" cm="1">
        <f t="array" ref="AI462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462" s="2">
        <f>COUNTIF(Table1[LTV band],Table1[[#This Row],[LTV band]])</f>
        <v>302</v>
      </c>
      <c r="AK462" s="19">
        <f>COUNTIFS(Table1[count_loan_perband],Table1[[#This Row],[count_loan_perband]],Table1[default_flag],1)/COUNTIF(Table1[count_loan_perband],Table1[[#This Row],[count_loan_perband]])</f>
        <v>3.6423841059602648E-2</v>
      </c>
      <c r="AL462" s="19" t="str" cm="1">
        <f t="array" ref="AL462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462" s="19">
        <f>IF(Table1[[#This Row],[dpd]] &gt;=30,1,0)</f>
        <v>1</v>
      </c>
      <c r="AN462" s="19">
        <f>COUNTIFS(Table1[Loan size],Table1[[#This Row],[Loan size]],Table1[dpd flag],1)/COUNTIF(Table1[Loan size],Table1[[#This Row],[Loan size]])</f>
        <v>0.13934426229508196</v>
      </c>
      <c r="AO462" s="19" t="str">
        <f>IF(OR(Table1[[#This Row],[credit_score]] &lt; 600, Table1[ [#This Row],[dti_ratio] ] &gt; 0.5, Table1[[#This Row],[dpd]] &gt;=30), "high risk", " not riskY")</f>
        <v>high risk</v>
      </c>
      <c r="AP462" s="29">
        <f>EOMONTH(Table1[[#This Row],[origination_date]],0)</f>
        <v>45596</v>
      </c>
      <c r="AQ462" s="19">
        <f>SUMIFS(Table1[loan_amount],Table1[origination month],Table1[[#This Row],[origination month]])</f>
        <v>14982900</v>
      </c>
      <c r="AR462" s="19">
        <f>AVERAGEIFS(Table1[months_on_book],Table1[product],Table1[[#This Row],[product]])</f>
        <v>21.092024539877301</v>
      </c>
      <c r="AS462" s="19" t="str">
        <f ca="1">IF(EDATE(Table1[[#This Row],[origination_date]],6) &gt;= TODAY(), "New Loan", "Old Loan")</f>
        <v>Old Loan</v>
      </c>
      <c r="AT462" s="19" t="str">
        <f>"Q"&amp;ROUNDUP(MONTH(Table1[[#This Row],[origination_date]])/3,0)&amp;YEAR(Table1[[#This Row],[origination_date]])</f>
        <v>Q42024</v>
      </c>
      <c r="AU462" s="19">
        <f>SUMIFS(Table1[loan_amount],Table1[quarter],Table1[[#This Row],[quarter]])</f>
        <v>53441200</v>
      </c>
    </row>
    <row r="463" spans="2:47" x14ac:dyDescent="0.2">
      <c r="B463" s="5" t="s">
        <v>200</v>
      </c>
      <c r="C463" s="2" t="s">
        <v>700</v>
      </c>
      <c r="D463" s="3">
        <v>45637</v>
      </c>
      <c r="E463" s="2" t="s">
        <v>1027</v>
      </c>
      <c r="F463" s="2" t="s">
        <v>1029</v>
      </c>
      <c r="G463" s="2" t="s">
        <v>1033</v>
      </c>
      <c r="H463" s="2" t="s">
        <v>1038</v>
      </c>
      <c r="I463" s="2">
        <v>60</v>
      </c>
      <c r="J463" s="2">
        <v>3418900</v>
      </c>
      <c r="K463" s="2">
        <v>10.91</v>
      </c>
      <c r="L463" s="2">
        <v>74182</v>
      </c>
      <c r="M463" s="2">
        <v>1004621</v>
      </c>
      <c r="N463" s="2">
        <v>670</v>
      </c>
      <c r="O463" s="2" t="s">
        <v>1042</v>
      </c>
      <c r="P463" s="2">
        <v>0.47</v>
      </c>
      <c r="Q463" s="2">
        <v>0.75</v>
      </c>
      <c r="R463" s="2">
        <v>4540300</v>
      </c>
      <c r="S463" s="2">
        <v>12</v>
      </c>
      <c r="T463" s="2">
        <v>880043</v>
      </c>
      <c r="U463" s="2">
        <v>2688058</v>
      </c>
      <c r="V463" s="2">
        <v>0</v>
      </c>
      <c r="W463" s="2">
        <v>0</v>
      </c>
      <c r="X463" s="2">
        <v>0</v>
      </c>
      <c r="Y463" s="2" t="s">
        <v>1049</v>
      </c>
      <c r="Z463" s="12">
        <f>SUMIF(Table1[product],Table1[[#This Row],[product]],Table1[loan_amount])</f>
        <v>403369500</v>
      </c>
      <c r="AA463" s="15">
        <f>SUMIF(Table1[region],Table1[[#This Row],[region]],Table1[current_balance])</f>
        <v>83297251</v>
      </c>
      <c r="AB463" s="2">
        <f>COUNTIF(Table1[loan_status],Table1[[#This Row],[loan_status]])</f>
        <v>301</v>
      </c>
      <c r="AC463" s="2">
        <f>COUNTIF(Table1[default_flag],1)/ROWS(Table1[loan_id])</f>
        <v>2.5999999999999999E-2</v>
      </c>
      <c r="AD463" s="2">
        <f>COUNTIFS(Table1[region],Table1[[#This Row],[region]],Table1[default_flag],1)/COUNTIF(Table1[region],Table1[[#This Row],[region]])</f>
        <v>3.1914893617021274E-2</v>
      </c>
      <c r="AE463" s="2">
        <f>COUNTIFS(Table1[channel],Table1[[#This Row],[channel]],Table1[prepayment_flag],1)/COUNTIF(Table1[channel],Table1[[#This Row],[channel]])</f>
        <v>7.1090047393364927E-2</v>
      </c>
      <c r="AF463" s="2">
        <f>AVERAGEIFS(Table1[interest_rate_pct],Table1[product],Table1[[#This Row],[product]],Table1[risk_band],Table1[[#This Row],[risk_band]])</f>
        <v>11.719736842105268</v>
      </c>
      <c r="AG463" s="2" t="str" cm="1">
        <f t="array" ref="AG463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463" s="2">
        <f>COUNTIF(Table1[DTI band],Table1[[#This Row],[DTI band]])</f>
        <v>260</v>
      </c>
      <c r="AI463" s="2" t="str" cm="1">
        <f t="array" ref="AI463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463" s="2">
        <f>COUNTIF(Table1[LTV band],Table1[[#This Row],[LTV band]])</f>
        <v>302</v>
      </c>
      <c r="AK463" s="19">
        <f>COUNTIFS(Table1[count_loan_perband],Table1[[#This Row],[count_loan_perband]],Table1[default_flag],1)/COUNTIF(Table1[count_loan_perband],Table1[[#This Row],[count_loan_perband]])</f>
        <v>3.6423841059602648E-2</v>
      </c>
      <c r="AL463" s="19" t="str" cm="1">
        <f t="array" ref="AL463">_xlfn.IFS(Table1[[#This Row],[loan_amount]] &lt; 900000, "lower size (&lt; 9L)", Table1[[#This Row],[loan_amount]] &lt;=3300000, "medium size (&lt;=33L)", Table1[[#This Row],[loan_amount]] &gt; 3300000, "larger size (&gt; 33L)")</f>
        <v>larger size (&gt; 33L)</v>
      </c>
      <c r="AM463" s="19">
        <f>IF(Table1[[#This Row],[dpd]] &gt;=30,1,0)</f>
        <v>0</v>
      </c>
      <c r="AN463" s="19">
        <f>COUNTIFS(Table1[Loan size],Table1[[#This Row],[Loan size]],Table1[dpd flag],1)/COUNTIF(Table1[Loan size],Table1[[#This Row],[Loan size]])</f>
        <v>0.16250000000000001</v>
      </c>
      <c r="AO463" s="19" t="str">
        <f>IF(OR(Table1[[#This Row],[credit_score]] &lt; 600, Table1[ [#This Row],[dti_ratio] ] &gt; 0.5, Table1[[#This Row],[dpd]] &gt;=30), "high risk", " not riskY")</f>
        <v xml:space="preserve"> not riskY</v>
      </c>
      <c r="AP463" s="29">
        <f>EOMONTH(Table1[[#This Row],[origination_date]],0)</f>
        <v>45657</v>
      </c>
      <c r="AQ463" s="19">
        <f>SUMIFS(Table1[loan_amount],Table1[origination month],Table1[[#This Row],[origination month]])</f>
        <v>19904900</v>
      </c>
      <c r="AR463" s="19">
        <f>AVERAGEIFS(Table1[months_on_book],Table1[product],Table1[[#This Row],[product]])</f>
        <v>20.516129032258064</v>
      </c>
      <c r="AS463" s="19" t="str">
        <f ca="1">IF(EDATE(Table1[[#This Row],[origination_date]],6) &gt;= TODAY(), "New Loan", "Old Loan")</f>
        <v>Old Loan</v>
      </c>
      <c r="AT463" s="19" t="str">
        <f>"Q"&amp;ROUNDUP(MONTH(Table1[[#This Row],[origination_date]])/3,0)&amp;YEAR(Table1[[#This Row],[origination_date]])</f>
        <v>Q42024</v>
      </c>
      <c r="AU463" s="19">
        <f>SUMIFS(Table1[loan_amount],Table1[quarter],Table1[[#This Row],[quarter]])</f>
        <v>53441200</v>
      </c>
    </row>
    <row r="464" spans="2:47" x14ac:dyDescent="0.2">
      <c r="B464" s="5" t="s">
        <v>246</v>
      </c>
      <c r="C464" s="2" t="s">
        <v>746</v>
      </c>
      <c r="D464" s="3">
        <v>45571</v>
      </c>
      <c r="E464" s="2" t="s">
        <v>1024</v>
      </c>
      <c r="F464" s="2" t="s">
        <v>1032</v>
      </c>
      <c r="G464" s="2" t="s">
        <v>1033</v>
      </c>
      <c r="H464" s="2" t="s">
        <v>1038</v>
      </c>
      <c r="I464" s="2">
        <v>120</v>
      </c>
      <c r="J464" s="2">
        <v>390900</v>
      </c>
      <c r="K464" s="2">
        <v>15.54</v>
      </c>
      <c r="L464" s="2">
        <v>6436</v>
      </c>
      <c r="M464" s="2">
        <v>864896</v>
      </c>
      <c r="N464" s="2">
        <v>604</v>
      </c>
      <c r="O464" s="2" t="s">
        <v>1045</v>
      </c>
      <c r="P464" s="2">
        <v>0.42</v>
      </c>
      <c r="Q464" s="2">
        <v>0.64</v>
      </c>
      <c r="R464" s="2">
        <v>615400</v>
      </c>
      <c r="S464" s="2">
        <v>14</v>
      </c>
      <c r="T464" s="2">
        <v>91782</v>
      </c>
      <c r="U464" s="2">
        <v>327466</v>
      </c>
      <c r="V464" s="2">
        <v>60</v>
      </c>
      <c r="W464" s="2">
        <v>0</v>
      </c>
      <c r="X464" s="2">
        <v>0</v>
      </c>
      <c r="Y464" s="2" t="s">
        <v>1048</v>
      </c>
      <c r="Z464" s="12">
        <f>SUMIF(Table1[product],Table1[[#This Row],[product]],Table1[loan_amount])</f>
        <v>92273000</v>
      </c>
      <c r="AA464" s="15">
        <f>SUMIF(Table1[region],Table1[[#This Row],[region]],Table1[current_balance])</f>
        <v>83297251</v>
      </c>
      <c r="AB464" s="2">
        <f>COUNTIF(Table1[loan_status],Table1[[#This Row],[loan_status]])</f>
        <v>47</v>
      </c>
      <c r="AC464" s="2">
        <f>COUNTIF(Table1[default_flag],1)/ROWS(Table1[loan_id])</f>
        <v>2.5999999999999999E-2</v>
      </c>
      <c r="AD464" s="2">
        <f>COUNTIFS(Table1[region],Table1[[#This Row],[region]],Table1[default_flag],1)/COUNTIF(Table1[region],Table1[[#This Row],[region]])</f>
        <v>3.1914893617021274E-2</v>
      </c>
      <c r="AE464" s="2">
        <f>COUNTIFS(Table1[channel],Table1[[#This Row],[channel]],Table1[prepayment_flag],1)/COUNTIF(Table1[channel],Table1[[#This Row],[channel]])</f>
        <v>0.1</v>
      </c>
      <c r="AF464" s="2">
        <f>AVERAGEIFS(Table1[interest_rate_pct],Table1[product],Table1[[#This Row],[product]],Table1[risk_band],Table1[[#This Row],[risk_band]])</f>
        <v>15.092000000000001</v>
      </c>
      <c r="AG464" s="2" t="str" cm="1">
        <f t="array" ref="AG464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464" s="2">
        <f>COUNTIF(Table1[DTI band],Table1[[#This Row],[DTI band]])</f>
        <v>260</v>
      </c>
      <c r="AI464" s="2" t="str" cm="1">
        <f t="array" ref="AI464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464" s="2">
        <f>COUNTIF(Table1[LTV band],Table1[[#This Row],[LTV band]])</f>
        <v>302</v>
      </c>
      <c r="AK464" s="19">
        <f>COUNTIFS(Table1[count_loan_perband],Table1[[#This Row],[count_loan_perband]],Table1[default_flag],1)/COUNTIF(Table1[count_loan_perband],Table1[[#This Row],[count_loan_perband]])</f>
        <v>3.6423841059602648E-2</v>
      </c>
      <c r="AL464" s="19" t="str" cm="1">
        <f t="array" ref="AL464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464" s="19">
        <f>IF(Table1[[#This Row],[dpd]] &gt;=30,1,0)</f>
        <v>1</v>
      </c>
      <c r="AN464" s="19">
        <f>COUNTIFS(Table1[Loan size],Table1[[#This Row],[Loan size]],Table1[dpd flag],1)/COUNTIF(Table1[Loan size],Table1[[#This Row],[Loan size]])</f>
        <v>0.13934426229508196</v>
      </c>
      <c r="AO464" s="19" t="str">
        <f>IF(OR(Table1[[#This Row],[credit_score]] &lt; 600, Table1[ [#This Row],[dti_ratio] ] &gt; 0.5, Table1[[#This Row],[dpd]] &gt;=30), "high risk", " not riskY")</f>
        <v>high risk</v>
      </c>
      <c r="AP464" s="29">
        <f>EOMONTH(Table1[[#This Row],[origination_date]],0)</f>
        <v>45596</v>
      </c>
      <c r="AQ464" s="19">
        <f>SUMIFS(Table1[loan_amount],Table1[origination month],Table1[[#This Row],[origination month]])</f>
        <v>14982900</v>
      </c>
      <c r="AR464" s="19">
        <f>AVERAGEIFS(Table1[months_on_book],Table1[product],Table1[[#This Row],[product]])</f>
        <v>20.262135922330096</v>
      </c>
      <c r="AS464" s="19" t="str">
        <f ca="1">IF(EDATE(Table1[[#This Row],[origination_date]],6) &gt;= TODAY(), "New Loan", "Old Loan")</f>
        <v>Old Loan</v>
      </c>
      <c r="AT464" s="19" t="str">
        <f>"Q"&amp;ROUNDUP(MONTH(Table1[[#This Row],[origination_date]])/3,0)&amp;YEAR(Table1[[#This Row],[origination_date]])</f>
        <v>Q42024</v>
      </c>
      <c r="AU464" s="19">
        <f>SUMIFS(Table1[loan_amount],Table1[quarter],Table1[[#This Row],[quarter]])</f>
        <v>53441200</v>
      </c>
    </row>
    <row r="465" spans="2:47" x14ac:dyDescent="0.2">
      <c r="B465" s="5" t="s">
        <v>133</v>
      </c>
      <c r="C465" s="2" t="s">
        <v>633</v>
      </c>
      <c r="D465" s="3">
        <v>45598</v>
      </c>
      <c r="E465" s="2" t="s">
        <v>1025</v>
      </c>
      <c r="F465" s="2" t="s">
        <v>1030</v>
      </c>
      <c r="G465" s="2" t="s">
        <v>1036</v>
      </c>
      <c r="H465" s="2" t="s">
        <v>1038</v>
      </c>
      <c r="I465" s="2">
        <v>24</v>
      </c>
      <c r="J465" s="2">
        <v>2149400</v>
      </c>
      <c r="K465" s="2">
        <v>17.36</v>
      </c>
      <c r="L465" s="2">
        <v>106643</v>
      </c>
      <c r="M465" s="2">
        <v>553113</v>
      </c>
      <c r="N465" s="2">
        <v>660</v>
      </c>
      <c r="O465" s="2" t="s">
        <v>1042</v>
      </c>
      <c r="P465" s="2">
        <v>0.4</v>
      </c>
      <c r="Q465" s="2">
        <v>0.88</v>
      </c>
      <c r="R465" s="2">
        <v>2431500</v>
      </c>
      <c r="S465" s="2">
        <v>13</v>
      </c>
      <c r="T465" s="2">
        <v>1349877</v>
      </c>
      <c r="U465" s="2">
        <v>961215</v>
      </c>
      <c r="V465" s="2">
        <v>45</v>
      </c>
      <c r="W465" s="2">
        <v>0</v>
      </c>
      <c r="X465" s="2">
        <v>0</v>
      </c>
      <c r="Y465" s="2" t="s">
        <v>1048</v>
      </c>
      <c r="Z465" s="12">
        <f>SUMIF(Table1[product],Table1[[#This Row],[product]],Table1[loan_amount])</f>
        <v>201475100</v>
      </c>
      <c r="AA465" s="15">
        <f>SUMIF(Table1[region],Table1[[#This Row],[region]],Table1[current_balance])</f>
        <v>98928695</v>
      </c>
      <c r="AB465" s="2">
        <f>COUNTIF(Table1[loan_status],Table1[[#This Row],[loan_status]])</f>
        <v>47</v>
      </c>
      <c r="AC465" s="2">
        <f>COUNTIF(Table1[default_flag],1)/ROWS(Table1[loan_id])</f>
        <v>2.5999999999999999E-2</v>
      </c>
      <c r="AD465" s="2">
        <f>COUNTIFS(Table1[region],Table1[[#This Row],[region]],Table1[default_flag],1)/COUNTIF(Table1[region],Table1[[#This Row],[region]])</f>
        <v>2.8571428571428571E-2</v>
      </c>
      <c r="AE465" s="2">
        <f>COUNTIFS(Table1[channel],Table1[[#This Row],[channel]],Table1[prepayment_flag],1)/COUNTIF(Table1[channel],Table1[[#This Row],[channel]])</f>
        <v>5.8201058201058198E-2</v>
      </c>
      <c r="AF465" s="2">
        <f>AVERAGEIFS(Table1[interest_rate_pct],Table1[product],Table1[[#This Row],[product]],Table1[risk_band],Table1[[#This Row],[risk_band]])</f>
        <v>15.841379310344831</v>
      </c>
      <c r="AG465" s="2" t="str" cm="1">
        <f t="array" ref="AG465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465" s="2">
        <f>COUNTIF(Table1[DTI band],Table1[[#This Row],[DTI band]])</f>
        <v>260</v>
      </c>
      <c r="AI465" s="2" t="str" cm="1">
        <f t="array" ref="AI465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465" s="2">
        <f>COUNTIF(Table1[LTV band],Table1[[#This Row],[LTV band]])</f>
        <v>141</v>
      </c>
      <c r="AK465" s="19">
        <f>COUNTIFS(Table1[count_loan_perband],Table1[[#This Row],[count_loan_perband]],Table1[default_flag],1)/COUNTIF(Table1[count_loan_perband],Table1[[#This Row],[count_loan_perband]])</f>
        <v>1.4184397163120567E-2</v>
      </c>
      <c r="AL465" s="19" t="str" cm="1">
        <f t="array" ref="AL465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465" s="19">
        <f>IF(Table1[[#This Row],[dpd]] &gt;=30,1,0)</f>
        <v>1</v>
      </c>
      <c r="AN465" s="19">
        <f>COUNTIFS(Table1[Loan size],Table1[[#This Row],[Loan size]],Table1[dpd flag],1)/COUNTIF(Table1[Loan size],Table1[[#This Row],[Loan size]])</f>
        <v>0.15909090909090909</v>
      </c>
      <c r="AO465" s="19" t="str">
        <f>IF(OR(Table1[[#This Row],[credit_score]] &lt; 600, Table1[ [#This Row],[dti_ratio] ] &gt; 0.5, Table1[[#This Row],[dpd]] &gt;=30), "high risk", " not riskY")</f>
        <v>high risk</v>
      </c>
      <c r="AP465" s="29">
        <f>EOMONTH(Table1[[#This Row],[origination_date]],0)</f>
        <v>45626</v>
      </c>
      <c r="AQ465" s="19">
        <f>SUMIFS(Table1[loan_amount],Table1[origination month],Table1[[#This Row],[origination month]])</f>
        <v>18553400</v>
      </c>
      <c r="AR465" s="19">
        <f>AVERAGEIFS(Table1[months_on_book],Table1[product],Table1[[#This Row],[product]])</f>
        <v>19.091954022988507</v>
      </c>
      <c r="AS465" s="19" t="str">
        <f ca="1">IF(EDATE(Table1[[#This Row],[origination_date]],6) &gt;= TODAY(), "New Loan", "Old Loan")</f>
        <v>Old Loan</v>
      </c>
      <c r="AT465" s="19" t="str">
        <f>"Q"&amp;ROUNDUP(MONTH(Table1[[#This Row],[origination_date]])/3,0)&amp;YEAR(Table1[[#This Row],[origination_date]])</f>
        <v>Q42024</v>
      </c>
      <c r="AU465" s="19">
        <f>SUMIFS(Table1[loan_amount],Table1[quarter],Table1[[#This Row],[quarter]])</f>
        <v>53441200</v>
      </c>
    </row>
    <row r="466" spans="2:47" x14ac:dyDescent="0.2">
      <c r="B466" s="5" t="s">
        <v>131</v>
      </c>
      <c r="C466" s="2" t="s">
        <v>631</v>
      </c>
      <c r="D466" s="3">
        <v>45634</v>
      </c>
      <c r="E466" s="2" t="s">
        <v>1026</v>
      </c>
      <c r="F466" s="2" t="s">
        <v>1029</v>
      </c>
      <c r="G466" s="2" t="s">
        <v>1037</v>
      </c>
      <c r="H466" s="2" t="s">
        <v>1038</v>
      </c>
      <c r="I466" s="2">
        <v>180</v>
      </c>
      <c r="J466" s="2">
        <v>386100</v>
      </c>
      <c r="K466" s="2">
        <v>17.32</v>
      </c>
      <c r="L466" s="2">
        <v>6030</v>
      </c>
      <c r="M466" s="2">
        <v>1078031</v>
      </c>
      <c r="N466" s="2">
        <v>702</v>
      </c>
      <c r="O466" s="2" t="s">
        <v>1044</v>
      </c>
      <c r="P466" s="2">
        <v>0.39</v>
      </c>
      <c r="Q466" s="2">
        <v>0.78</v>
      </c>
      <c r="R466" s="2">
        <v>0</v>
      </c>
      <c r="S466" s="2">
        <v>12</v>
      </c>
      <c r="T466" s="2">
        <v>67656</v>
      </c>
      <c r="U466" s="2">
        <v>345193</v>
      </c>
      <c r="V466" s="2">
        <v>0</v>
      </c>
      <c r="W466" s="2">
        <v>0</v>
      </c>
      <c r="X466" s="2">
        <v>0</v>
      </c>
      <c r="Y466" s="2" t="s">
        <v>1049</v>
      </c>
      <c r="Z466" s="12">
        <f>SUMIF(Table1[product],Table1[[#This Row],[product]],Table1[loan_amount])</f>
        <v>74897600</v>
      </c>
      <c r="AA466" s="15">
        <f>SUMIF(Table1[region],Table1[[#This Row],[region]],Table1[current_balance])</f>
        <v>94548000</v>
      </c>
      <c r="AB466" s="2">
        <f>COUNTIF(Table1[loan_status],Table1[[#This Row],[loan_status]])</f>
        <v>301</v>
      </c>
      <c r="AC466" s="2">
        <f>COUNTIF(Table1[default_flag],1)/ROWS(Table1[loan_id])</f>
        <v>2.5999999999999999E-2</v>
      </c>
      <c r="AD466" s="2">
        <f>COUNTIFS(Table1[region],Table1[[#This Row],[region]],Table1[default_flag],1)/COUNTIF(Table1[region],Table1[[#This Row],[region]])</f>
        <v>0</v>
      </c>
      <c r="AE466" s="2">
        <f>COUNTIFS(Table1[channel],Table1[[#This Row],[channel]],Table1[prepayment_flag],1)/COUNTIF(Table1[channel],Table1[[#This Row],[channel]])</f>
        <v>7.1090047393364927E-2</v>
      </c>
      <c r="AF466" s="2">
        <f>AVERAGEIFS(Table1[interest_rate_pct],Table1[product],Table1[[#This Row],[product]],Table1[risk_band],Table1[[#This Row],[risk_band]])</f>
        <v>16.500166666666669</v>
      </c>
      <c r="AG466" s="2" t="str" cm="1">
        <f t="array" ref="AG466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466" s="2">
        <f>COUNTIF(Table1[DTI band],Table1[[#This Row],[DTI band]])</f>
        <v>260</v>
      </c>
      <c r="AI466" s="2" t="str" cm="1">
        <f t="array" ref="AI466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466" s="2">
        <f>COUNTIF(Table1[LTV band],Table1[[#This Row],[LTV band]])</f>
        <v>302</v>
      </c>
      <c r="AK466" s="19">
        <f>COUNTIFS(Table1[count_loan_perband],Table1[[#This Row],[count_loan_perband]],Table1[default_flag],1)/COUNTIF(Table1[count_loan_perband],Table1[[#This Row],[count_loan_perband]])</f>
        <v>3.6423841059602648E-2</v>
      </c>
      <c r="AL466" s="19" t="str" cm="1">
        <f t="array" ref="AL466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466" s="19">
        <f>IF(Table1[[#This Row],[dpd]] &gt;=30,1,0)</f>
        <v>0</v>
      </c>
      <c r="AN466" s="19">
        <f>COUNTIFS(Table1[Loan size],Table1[[#This Row],[Loan size]],Table1[dpd flag],1)/COUNTIF(Table1[Loan size],Table1[[#This Row],[Loan size]])</f>
        <v>0.13934426229508196</v>
      </c>
      <c r="AO466" s="19" t="str">
        <f>IF(OR(Table1[[#This Row],[credit_score]] &lt; 600, Table1[ [#This Row],[dti_ratio] ] &gt; 0.5, Table1[[#This Row],[dpd]] &gt;=30), "high risk", " not riskY")</f>
        <v xml:space="preserve"> not riskY</v>
      </c>
      <c r="AP466" s="29">
        <f>EOMONTH(Table1[[#This Row],[origination_date]],0)</f>
        <v>45657</v>
      </c>
      <c r="AQ466" s="19">
        <f>SUMIFS(Table1[loan_amount],Table1[origination month],Table1[[#This Row],[origination month]])</f>
        <v>19904900</v>
      </c>
      <c r="AR466" s="19">
        <f>AVERAGEIFS(Table1[months_on_book],Table1[product],Table1[[#This Row],[product]])</f>
        <v>21.092024539877301</v>
      </c>
      <c r="AS466" s="19" t="str">
        <f ca="1">IF(EDATE(Table1[[#This Row],[origination_date]],6) &gt;= TODAY(), "New Loan", "Old Loan")</f>
        <v>Old Loan</v>
      </c>
      <c r="AT466" s="19" t="str">
        <f>"Q"&amp;ROUNDUP(MONTH(Table1[[#This Row],[origination_date]])/3,0)&amp;YEAR(Table1[[#This Row],[origination_date]])</f>
        <v>Q42024</v>
      </c>
      <c r="AU466" s="19">
        <f>SUMIFS(Table1[loan_amount],Table1[quarter],Table1[[#This Row],[quarter]])</f>
        <v>53441200</v>
      </c>
    </row>
    <row r="467" spans="2:47" x14ac:dyDescent="0.2">
      <c r="B467" s="5" t="s">
        <v>183</v>
      </c>
      <c r="C467" s="2" t="s">
        <v>683</v>
      </c>
      <c r="D467" s="3">
        <v>45638</v>
      </c>
      <c r="E467" s="2" t="s">
        <v>1027</v>
      </c>
      <c r="F467" s="2" t="s">
        <v>1029</v>
      </c>
      <c r="G467" s="2" t="s">
        <v>1036</v>
      </c>
      <c r="H467" s="2" t="s">
        <v>1038</v>
      </c>
      <c r="I467" s="2">
        <v>360</v>
      </c>
      <c r="J467" s="2">
        <v>3166500</v>
      </c>
      <c r="K467" s="2">
        <v>11.37</v>
      </c>
      <c r="L467" s="2">
        <v>31044</v>
      </c>
      <c r="M467" s="2">
        <v>1216841</v>
      </c>
      <c r="N467" s="2">
        <v>672</v>
      </c>
      <c r="O467" s="2" t="s">
        <v>1042</v>
      </c>
      <c r="P467" s="2">
        <v>0.39</v>
      </c>
      <c r="Q467" s="2">
        <v>0.63</v>
      </c>
      <c r="R467" s="2">
        <v>5017800</v>
      </c>
      <c r="S467" s="2">
        <v>12</v>
      </c>
      <c r="T467" s="2">
        <v>332312</v>
      </c>
      <c r="U467" s="2">
        <v>2978200</v>
      </c>
      <c r="V467" s="2">
        <v>30</v>
      </c>
      <c r="W467" s="2">
        <v>0</v>
      </c>
      <c r="X467" s="2">
        <v>0</v>
      </c>
      <c r="Y467" s="2" t="s">
        <v>1048</v>
      </c>
      <c r="Z467" s="12">
        <f>SUMIF(Table1[product],Table1[[#This Row],[product]],Table1[loan_amount])</f>
        <v>403369500</v>
      </c>
      <c r="AA467" s="15">
        <f>SUMIF(Table1[region],Table1[[#This Row],[region]],Table1[current_balance])</f>
        <v>98928695</v>
      </c>
      <c r="AB467" s="2">
        <f>COUNTIF(Table1[loan_status],Table1[[#This Row],[loan_status]])</f>
        <v>47</v>
      </c>
      <c r="AC467" s="2">
        <f>COUNTIF(Table1[default_flag],1)/ROWS(Table1[loan_id])</f>
        <v>2.5999999999999999E-2</v>
      </c>
      <c r="AD467" s="2">
        <f>COUNTIFS(Table1[region],Table1[[#This Row],[region]],Table1[default_flag],1)/COUNTIF(Table1[region],Table1[[#This Row],[region]])</f>
        <v>2.8571428571428571E-2</v>
      </c>
      <c r="AE467" s="2">
        <f>COUNTIFS(Table1[channel],Table1[[#This Row],[channel]],Table1[prepayment_flag],1)/COUNTIF(Table1[channel],Table1[[#This Row],[channel]])</f>
        <v>7.1090047393364927E-2</v>
      </c>
      <c r="AF467" s="2">
        <f>AVERAGEIFS(Table1[interest_rate_pct],Table1[product],Table1[[#This Row],[product]],Table1[risk_band],Table1[[#This Row],[risk_band]])</f>
        <v>11.719736842105268</v>
      </c>
      <c r="AG467" s="2" t="str" cm="1">
        <f t="array" ref="AG467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467" s="2">
        <f>COUNTIF(Table1[DTI band],Table1[[#This Row],[DTI band]])</f>
        <v>260</v>
      </c>
      <c r="AI467" s="2" t="str" cm="1">
        <f t="array" ref="AI467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467" s="2">
        <f>COUNTIF(Table1[LTV band],Table1[[#This Row],[LTV band]])</f>
        <v>302</v>
      </c>
      <c r="AK467" s="19">
        <f>COUNTIFS(Table1[count_loan_perband],Table1[[#This Row],[count_loan_perband]],Table1[default_flag],1)/COUNTIF(Table1[count_loan_perband],Table1[[#This Row],[count_loan_perband]])</f>
        <v>3.6423841059602648E-2</v>
      </c>
      <c r="AL467" s="19" t="str" cm="1">
        <f t="array" ref="AL467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467" s="19">
        <f>IF(Table1[[#This Row],[dpd]] &gt;=30,1,0)</f>
        <v>1</v>
      </c>
      <c r="AN467" s="19">
        <f>COUNTIFS(Table1[Loan size],Table1[[#This Row],[Loan size]],Table1[dpd flag],1)/COUNTIF(Table1[Loan size],Table1[[#This Row],[Loan size]])</f>
        <v>0.15909090909090909</v>
      </c>
      <c r="AO467" s="19" t="str">
        <f>IF(OR(Table1[[#This Row],[credit_score]] &lt; 600, Table1[ [#This Row],[dti_ratio] ] &gt; 0.5, Table1[[#This Row],[dpd]] &gt;=30), "high risk", " not riskY")</f>
        <v>high risk</v>
      </c>
      <c r="AP467" s="29">
        <f>EOMONTH(Table1[[#This Row],[origination_date]],0)</f>
        <v>45657</v>
      </c>
      <c r="AQ467" s="19">
        <f>SUMIFS(Table1[loan_amount],Table1[origination month],Table1[[#This Row],[origination month]])</f>
        <v>19904900</v>
      </c>
      <c r="AR467" s="19">
        <f>AVERAGEIFS(Table1[months_on_book],Table1[product],Table1[[#This Row],[product]])</f>
        <v>20.516129032258064</v>
      </c>
      <c r="AS467" s="19" t="str">
        <f ca="1">IF(EDATE(Table1[[#This Row],[origination_date]],6) &gt;= TODAY(), "New Loan", "Old Loan")</f>
        <v>Old Loan</v>
      </c>
      <c r="AT467" s="19" t="str">
        <f>"Q"&amp;ROUNDUP(MONTH(Table1[[#This Row],[origination_date]])/3,0)&amp;YEAR(Table1[[#This Row],[origination_date]])</f>
        <v>Q42024</v>
      </c>
      <c r="AU467" s="19">
        <f>SUMIFS(Table1[loan_amount],Table1[quarter],Table1[[#This Row],[quarter]])</f>
        <v>53441200</v>
      </c>
    </row>
    <row r="468" spans="2:47" x14ac:dyDescent="0.2">
      <c r="B468" s="5" t="s">
        <v>32</v>
      </c>
      <c r="C468" s="2" t="s">
        <v>532</v>
      </c>
      <c r="D468" s="3">
        <v>45643</v>
      </c>
      <c r="E468" s="2" t="s">
        <v>1024</v>
      </c>
      <c r="F468" s="2" t="s">
        <v>1031</v>
      </c>
      <c r="G468" s="2" t="s">
        <v>1033</v>
      </c>
      <c r="H468" s="2" t="s">
        <v>1038</v>
      </c>
      <c r="I468" s="2">
        <v>12</v>
      </c>
      <c r="J468" s="2">
        <v>574000</v>
      </c>
      <c r="K468" s="2">
        <v>15.08</v>
      </c>
      <c r="L468" s="2">
        <v>51830</v>
      </c>
      <c r="M468" s="2">
        <v>903844</v>
      </c>
      <c r="N468" s="2">
        <v>649</v>
      </c>
      <c r="O468" s="2" t="s">
        <v>1045</v>
      </c>
      <c r="P468" s="2">
        <v>0.37</v>
      </c>
      <c r="Q468" s="2">
        <v>0.94</v>
      </c>
      <c r="R468" s="2">
        <v>613200</v>
      </c>
      <c r="S468" s="2">
        <v>12</v>
      </c>
      <c r="T468" s="2">
        <v>587088</v>
      </c>
      <c r="U468" s="2">
        <v>21536</v>
      </c>
      <c r="V468" s="2">
        <v>0</v>
      </c>
      <c r="W468" s="2">
        <v>0</v>
      </c>
      <c r="X468" s="2">
        <v>0</v>
      </c>
      <c r="Y468" s="2" t="s">
        <v>1047</v>
      </c>
      <c r="Z468" s="12">
        <f>SUMIF(Table1[product],Table1[[#This Row],[product]],Table1[loan_amount])</f>
        <v>92273000</v>
      </c>
      <c r="AA468" s="15">
        <f>SUMIF(Table1[region],Table1[[#This Row],[region]],Table1[current_balance])</f>
        <v>83297251</v>
      </c>
      <c r="AB468" s="2">
        <f>COUNTIF(Table1[loan_status],Table1[[#This Row],[loan_status]])</f>
        <v>139</v>
      </c>
      <c r="AC468" s="2">
        <f>COUNTIF(Table1[default_flag],1)/ROWS(Table1[loan_id])</f>
        <v>2.5999999999999999E-2</v>
      </c>
      <c r="AD468" s="2">
        <f>COUNTIFS(Table1[region],Table1[[#This Row],[region]],Table1[default_flag],1)/COUNTIF(Table1[region],Table1[[#This Row],[region]])</f>
        <v>3.1914893617021274E-2</v>
      </c>
      <c r="AE468" s="2">
        <f>COUNTIFS(Table1[channel],Table1[[#This Row],[channel]],Table1[prepayment_flag],1)/COUNTIF(Table1[channel],Table1[[#This Row],[channel]])</f>
        <v>0.12</v>
      </c>
      <c r="AF468" s="2">
        <f>AVERAGEIFS(Table1[interest_rate_pct],Table1[product],Table1[[#This Row],[product]],Table1[risk_band],Table1[[#This Row],[risk_band]])</f>
        <v>15.092000000000001</v>
      </c>
      <c r="AG468" s="2" t="str" cm="1">
        <f t="array" ref="AG468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468" s="2">
        <f>COUNTIF(Table1[DTI band],Table1[[#This Row],[DTI band]])</f>
        <v>260</v>
      </c>
      <c r="AI468" s="2" t="str" cm="1">
        <f t="array" ref="AI468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468" s="2">
        <f>COUNTIF(Table1[LTV band],Table1[[#This Row],[LTV band]])</f>
        <v>141</v>
      </c>
      <c r="AK468" s="19">
        <f>COUNTIFS(Table1[count_loan_perband],Table1[[#This Row],[count_loan_perband]],Table1[default_flag],1)/COUNTIF(Table1[count_loan_perband],Table1[[#This Row],[count_loan_perband]])</f>
        <v>1.4184397163120567E-2</v>
      </c>
      <c r="AL468" s="19" t="str" cm="1">
        <f t="array" ref="AL468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468" s="19">
        <f>IF(Table1[[#This Row],[dpd]] &gt;=30,1,0)</f>
        <v>0</v>
      </c>
      <c r="AN468" s="19">
        <f>COUNTIFS(Table1[Loan size],Table1[[#This Row],[Loan size]],Table1[dpd flag],1)/COUNTIF(Table1[Loan size],Table1[[#This Row],[Loan size]])</f>
        <v>0.13934426229508196</v>
      </c>
      <c r="AO468" s="19" t="str">
        <f>IF(OR(Table1[[#This Row],[credit_score]] &lt; 600, Table1[ [#This Row],[dti_ratio] ] &gt; 0.5, Table1[[#This Row],[dpd]] &gt;=30), "high risk", " not riskY")</f>
        <v xml:space="preserve"> not riskY</v>
      </c>
      <c r="AP468" s="29">
        <f>EOMONTH(Table1[[#This Row],[origination_date]],0)</f>
        <v>45657</v>
      </c>
      <c r="AQ468" s="19">
        <f>SUMIFS(Table1[loan_amount],Table1[origination month],Table1[[#This Row],[origination month]])</f>
        <v>19904900</v>
      </c>
      <c r="AR468" s="19">
        <f>AVERAGEIFS(Table1[months_on_book],Table1[product],Table1[[#This Row],[product]])</f>
        <v>20.262135922330096</v>
      </c>
      <c r="AS468" s="19" t="str">
        <f ca="1">IF(EDATE(Table1[[#This Row],[origination_date]],6) &gt;= TODAY(), "New Loan", "Old Loan")</f>
        <v>Old Loan</v>
      </c>
      <c r="AT468" s="19" t="str">
        <f>"Q"&amp;ROUNDUP(MONTH(Table1[[#This Row],[origination_date]])/3,0)&amp;YEAR(Table1[[#This Row],[origination_date]])</f>
        <v>Q42024</v>
      </c>
      <c r="AU468" s="19">
        <f>SUMIFS(Table1[loan_amount],Table1[quarter],Table1[[#This Row],[quarter]])</f>
        <v>53441200</v>
      </c>
    </row>
    <row r="469" spans="2:47" x14ac:dyDescent="0.2">
      <c r="B469" s="5" t="s">
        <v>253</v>
      </c>
      <c r="C469" s="2" t="s">
        <v>753</v>
      </c>
      <c r="D469" s="3">
        <v>45570</v>
      </c>
      <c r="E469" s="2" t="s">
        <v>1025</v>
      </c>
      <c r="F469" s="2" t="s">
        <v>1029</v>
      </c>
      <c r="G469" s="2" t="s">
        <v>1034</v>
      </c>
      <c r="H469" s="2" t="s">
        <v>1038</v>
      </c>
      <c r="I469" s="2">
        <v>12</v>
      </c>
      <c r="J469" s="2">
        <v>1148500</v>
      </c>
      <c r="K469" s="2">
        <v>10.44</v>
      </c>
      <c r="L469" s="2">
        <v>101207</v>
      </c>
      <c r="M469" s="2">
        <v>1025579</v>
      </c>
      <c r="N469" s="2">
        <v>759</v>
      </c>
      <c r="O469" s="2" t="s">
        <v>1043</v>
      </c>
      <c r="P469" s="2">
        <v>0.37</v>
      </c>
      <c r="Q469" s="2">
        <v>0.8</v>
      </c>
      <c r="R469" s="2">
        <v>1433700</v>
      </c>
      <c r="S469" s="2">
        <v>12</v>
      </c>
      <c r="T469" s="2">
        <v>1078722</v>
      </c>
      <c r="U469" s="2">
        <v>117739</v>
      </c>
      <c r="V469" s="2">
        <v>45</v>
      </c>
      <c r="W469" s="2">
        <v>0</v>
      </c>
      <c r="X469" s="2">
        <v>0</v>
      </c>
      <c r="Y469" s="2" t="s">
        <v>1047</v>
      </c>
      <c r="Z469" s="12">
        <f>SUMIF(Table1[product],Table1[[#This Row],[product]],Table1[loan_amount])</f>
        <v>201475100</v>
      </c>
      <c r="AA469" s="15">
        <f>SUMIF(Table1[region],Table1[[#This Row],[region]],Table1[current_balance])</f>
        <v>105779369</v>
      </c>
      <c r="AB469" s="2">
        <f>COUNTIF(Table1[loan_status],Table1[[#This Row],[loan_status]])</f>
        <v>139</v>
      </c>
      <c r="AC469" s="2">
        <f>COUNTIF(Table1[default_flag],1)/ROWS(Table1[loan_id])</f>
        <v>2.5999999999999999E-2</v>
      </c>
      <c r="AD469" s="2">
        <f>COUNTIFS(Table1[region],Table1[[#This Row],[region]],Table1[default_flag],1)/COUNTIF(Table1[region],Table1[[#This Row],[region]])</f>
        <v>2.6548672566371681E-2</v>
      </c>
      <c r="AE469" s="2">
        <f>COUNTIFS(Table1[channel],Table1[[#This Row],[channel]],Table1[prepayment_flag],1)/COUNTIF(Table1[channel],Table1[[#This Row],[channel]])</f>
        <v>7.1090047393364927E-2</v>
      </c>
      <c r="AF469" s="2">
        <f>AVERAGEIFS(Table1[interest_rate_pct],Table1[product],Table1[[#This Row],[product]],Table1[risk_band],Table1[[#This Row],[risk_band]])</f>
        <v>10.537499999999998</v>
      </c>
      <c r="AG469" s="2" t="str" cm="1">
        <f t="array" ref="AG469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469" s="2">
        <f>COUNTIF(Table1[DTI band],Table1[[#This Row],[DTI band]])</f>
        <v>260</v>
      </c>
      <c r="AI469" s="2" t="str" cm="1">
        <f t="array" ref="AI469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469" s="2">
        <f>COUNTIF(Table1[LTV band],Table1[[#This Row],[LTV band]])</f>
        <v>302</v>
      </c>
      <c r="AK469" s="19">
        <f>COUNTIFS(Table1[count_loan_perband],Table1[[#This Row],[count_loan_perband]],Table1[default_flag],1)/COUNTIF(Table1[count_loan_perband],Table1[[#This Row],[count_loan_perband]])</f>
        <v>3.6423841059602648E-2</v>
      </c>
      <c r="AL469" s="19" t="str" cm="1">
        <f t="array" ref="AL469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469" s="19">
        <f>IF(Table1[[#This Row],[dpd]] &gt;=30,1,0)</f>
        <v>1</v>
      </c>
      <c r="AN469" s="19">
        <f>COUNTIFS(Table1[Loan size],Table1[[#This Row],[Loan size]],Table1[dpd flag],1)/COUNTIF(Table1[Loan size],Table1[[#This Row],[Loan size]])</f>
        <v>0.15909090909090909</v>
      </c>
      <c r="AO469" s="19" t="str">
        <f>IF(OR(Table1[[#This Row],[credit_score]] &lt; 600, Table1[ [#This Row],[dti_ratio] ] &gt; 0.5, Table1[[#This Row],[dpd]] &gt;=30), "high risk", " not riskY")</f>
        <v>high risk</v>
      </c>
      <c r="AP469" s="29">
        <f>EOMONTH(Table1[[#This Row],[origination_date]],0)</f>
        <v>45596</v>
      </c>
      <c r="AQ469" s="19">
        <f>SUMIFS(Table1[loan_amount],Table1[origination month],Table1[[#This Row],[origination month]])</f>
        <v>14982900</v>
      </c>
      <c r="AR469" s="19">
        <f>AVERAGEIFS(Table1[months_on_book],Table1[product],Table1[[#This Row],[product]])</f>
        <v>19.091954022988507</v>
      </c>
      <c r="AS469" s="19" t="str">
        <f ca="1">IF(EDATE(Table1[[#This Row],[origination_date]],6) &gt;= TODAY(), "New Loan", "Old Loan")</f>
        <v>Old Loan</v>
      </c>
      <c r="AT469" s="19" t="str">
        <f>"Q"&amp;ROUNDUP(MONTH(Table1[[#This Row],[origination_date]])/3,0)&amp;YEAR(Table1[[#This Row],[origination_date]])</f>
        <v>Q42024</v>
      </c>
      <c r="AU469" s="19">
        <f>SUMIFS(Table1[loan_amount],Table1[quarter],Table1[[#This Row],[quarter]])</f>
        <v>53441200</v>
      </c>
    </row>
    <row r="470" spans="2:47" x14ac:dyDescent="0.2">
      <c r="B470" s="5" t="s">
        <v>382</v>
      </c>
      <c r="C470" s="2" t="s">
        <v>882</v>
      </c>
      <c r="D470" s="3">
        <v>45609</v>
      </c>
      <c r="E470" s="2" t="s">
        <v>1027</v>
      </c>
      <c r="F470" s="2" t="s">
        <v>1030</v>
      </c>
      <c r="G470" s="2" t="s">
        <v>1036</v>
      </c>
      <c r="H470" s="2" t="s">
        <v>1041</v>
      </c>
      <c r="I470" s="2">
        <v>48</v>
      </c>
      <c r="J470" s="2">
        <v>3448700</v>
      </c>
      <c r="K470" s="2">
        <v>9.0500000000000007</v>
      </c>
      <c r="L470" s="2">
        <v>85903</v>
      </c>
      <c r="M470" s="2">
        <v>654971</v>
      </c>
      <c r="N470" s="2">
        <v>726</v>
      </c>
      <c r="O470" s="2" t="s">
        <v>1044</v>
      </c>
      <c r="P470" s="2">
        <v>0.37</v>
      </c>
      <c r="Q470" s="2">
        <v>0.56999999999999995</v>
      </c>
      <c r="R470" s="2">
        <v>6078400</v>
      </c>
      <c r="S470" s="2">
        <v>13</v>
      </c>
      <c r="T470" s="2">
        <v>1003592</v>
      </c>
      <c r="U470" s="2">
        <v>2580355</v>
      </c>
      <c r="V470" s="2">
        <v>0</v>
      </c>
      <c r="W470" s="2">
        <v>0</v>
      </c>
      <c r="X470" s="2">
        <v>0</v>
      </c>
      <c r="Y470" s="2" t="s">
        <v>1049</v>
      </c>
      <c r="Z470" s="12">
        <f>SUMIF(Table1[product],Table1[[#This Row],[product]],Table1[loan_amount])</f>
        <v>403369500</v>
      </c>
      <c r="AA470" s="15">
        <f>SUMIF(Table1[region],Table1[[#This Row],[region]],Table1[current_balance])</f>
        <v>98928695</v>
      </c>
      <c r="AB470" s="2">
        <f>COUNTIF(Table1[loan_status],Table1[[#This Row],[loan_status]])</f>
        <v>301</v>
      </c>
      <c r="AC470" s="2">
        <f>COUNTIF(Table1[default_flag],1)/ROWS(Table1[loan_id])</f>
        <v>2.5999999999999999E-2</v>
      </c>
      <c r="AD470" s="2">
        <f>COUNTIFS(Table1[region],Table1[[#This Row],[region]],Table1[default_flag],1)/COUNTIF(Table1[region],Table1[[#This Row],[region]])</f>
        <v>2.8571428571428571E-2</v>
      </c>
      <c r="AE470" s="2">
        <f>COUNTIFS(Table1[channel],Table1[[#This Row],[channel]],Table1[prepayment_flag],1)/COUNTIF(Table1[channel],Table1[[#This Row],[channel]])</f>
        <v>5.8201058201058198E-2</v>
      </c>
      <c r="AF470" s="2">
        <f>AVERAGEIFS(Table1[interest_rate_pct],Table1[product],Table1[[#This Row],[product]],Table1[risk_band],Table1[[#This Row],[risk_band]])</f>
        <v>8.8557142857142868</v>
      </c>
      <c r="AG470" s="2" t="str" cm="1">
        <f t="array" ref="AG470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470" s="2">
        <f>COUNTIF(Table1[DTI band],Table1[[#This Row],[DTI band]])</f>
        <v>260</v>
      </c>
      <c r="AI470" s="2" t="str" cm="1">
        <f t="array" ref="AI470">_xlfn.IFS(Table1[[#This Row],[ltv_ratio]] &lt; 0.6, "less than 0.6 -less risky", Table1[[#This Row],[ltv_ratio]]  &lt;= 0.8, "0.6 - 0.8 -medium risky",Table1[[#This Row],[ltv_ratio]] &gt; 0.8, "greater than 0.8 -highly risky")</f>
        <v>less than 0.6 -less risky</v>
      </c>
      <c r="AJ470" s="2">
        <f>COUNTIF(Table1[LTV band],Table1[[#This Row],[LTV band]])</f>
        <v>57</v>
      </c>
      <c r="AK470" s="19">
        <f>COUNTIFS(Table1[count_loan_perband],Table1[[#This Row],[count_loan_perband]],Table1[default_flag],1)/COUNTIF(Table1[count_loan_perband],Table1[[#This Row],[count_loan_perband]])</f>
        <v>0</v>
      </c>
      <c r="AL470" s="19" t="str" cm="1">
        <f t="array" ref="AL470">_xlfn.IFS(Table1[[#This Row],[loan_amount]] &lt; 900000, "lower size (&lt; 9L)", Table1[[#This Row],[loan_amount]] &lt;=3300000, "medium size (&lt;=33L)", Table1[[#This Row],[loan_amount]] &gt; 3300000, "larger size (&gt; 33L)")</f>
        <v>larger size (&gt; 33L)</v>
      </c>
      <c r="AM470" s="19">
        <f>IF(Table1[[#This Row],[dpd]] &gt;=30,1,0)</f>
        <v>0</v>
      </c>
      <c r="AN470" s="19">
        <f>COUNTIFS(Table1[Loan size],Table1[[#This Row],[Loan size]],Table1[dpd flag],1)/COUNTIF(Table1[Loan size],Table1[[#This Row],[Loan size]])</f>
        <v>0.16250000000000001</v>
      </c>
      <c r="AO470" s="19" t="str">
        <f>IF(OR(Table1[[#This Row],[credit_score]] &lt; 600, Table1[ [#This Row],[dti_ratio] ] &gt; 0.5, Table1[[#This Row],[dpd]] &gt;=30), "high risk", " not riskY")</f>
        <v xml:space="preserve"> not riskY</v>
      </c>
      <c r="AP470" s="29">
        <f>EOMONTH(Table1[[#This Row],[origination_date]],0)</f>
        <v>45626</v>
      </c>
      <c r="AQ470" s="19">
        <f>SUMIFS(Table1[loan_amount],Table1[origination month],Table1[[#This Row],[origination month]])</f>
        <v>18553400</v>
      </c>
      <c r="AR470" s="19">
        <f>AVERAGEIFS(Table1[months_on_book],Table1[product],Table1[[#This Row],[product]])</f>
        <v>20.516129032258064</v>
      </c>
      <c r="AS470" s="19" t="str">
        <f ca="1">IF(EDATE(Table1[[#This Row],[origination_date]],6) &gt;= TODAY(), "New Loan", "Old Loan")</f>
        <v>Old Loan</v>
      </c>
      <c r="AT470" s="19" t="str">
        <f>"Q"&amp;ROUNDUP(MONTH(Table1[[#This Row],[origination_date]])/3,0)&amp;YEAR(Table1[[#This Row],[origination_date]])</f>
        <v>Q42024</v>
      </c>
      <c r="AU470" s="19">
        <f>SUMIFS(Table1[loan_amount],Table1[quarter],Table1[[#This Row],[quarter]])</f>
        <v>53441200</v>
      </c>
    </row>
    <row r="471" spans="2:47" x14ac:dyDescent="0.2">
      <c r="B471" s="5" t="s">
        <v>520</v>
      </c>
      <c r="C471" s="2" t="s">
        <v>1020</v>
      </c>
      <c r="D471" s="3">
        <v>45652</v>
      </c>
      <c r="E471" s="2" t="s">
        <v>1025</v>
      </c>
      <c r="F471" s="2" t="s">
        <v>1030</v>
      </c>
      <c r="G471" s="2" t="s">
        <v>1037</v>
      </c>
      <c r="H471" s="2" t="s">
        <v>1039</v>
      </c>
      <c r="I471" s="2">
        <v>360</v>
      </c>
      <c r="J471" s="2">
        <v>3528000</v>
      </c>
      <c r="K471" s="2">
        <v>7.69</v>
      </c>
      <c r="L471" s="2">
        <v>25129</v>
      </c>
      <c r="M471" s="2">
        <v>1263779</v>
      </c>
      <c r="N471" s="2">
        <v>835</v>
      </c>
      <c r="O471" s="2" t="s">
        <v>1043</v>
      </c>
      <c r="P471" s="2">
        <v>0.37</v>
      </c>
      <c r="Q471" s="2">
        <v>0.96</v>
      </c>
      <c r="R471" s="2">
        <v>3661700</v>
      </c>
      <c r="S471" s="2">
        <v>12</v>
      </c>
      <c r="T471" s="2">
        <v>305260</v>
      </c>
      <c r="U471" s="2">
        <v>3331261</v>
      </c>
      <c r="V471" s="2">
        <v>45</v>
      </c>
      <c r="W471" s="2">
        <v>1</v>
      </c>
      <c r="X471" s="2">
        <v>0</v>
      </c>
      <c r="Y471" s="2" t="s">
        <v>1047</v>
      </c>
      <c r="Z471" s="12">
        <f>SUMIF(Table1[product],Table1[[#This Row],[product]],Table1[loan_amount])</f>
        <v>201475100</v>
      </c>
      <c r="AA471" s="15">
        <f>SUMIF(Table1[region],Table1[[#This Row],[region]],Table1[current_balance])</f>
        <v>94548000</v>
      </c>
      <c r="AB471" s="2">
        <f>COUNTIF(Table1[loan_status],Table1[[#This Row],[loan_status]])</f>
        <v>139</v>
      </c>
      <c r="AC471" s="2">
        <f>COUNTIF(Table1[default_flag],1)/ROWS(Table1[loan_id])</f>
        <v>2.5999999999999999E-2</v>
      </c>
      <c r="AD471" s="2">
        <f>COUNTIFS(Table1[region],Table1[[#This Row],[region]],Table1[default_flag],1)/COUNTIF(Table1[region],Table1[[#This Row],[region]])</f>
        <v>0</v>
      </c>
      <c r="AE471" s="2">
        <f>COUNTIFS(Table1[channel],Table1[[#This Row],[channel]],Table1[prepayment_flag],1)/COUNTIF(Table1[channel],Table1[[#This Row],[channel]])</f>
        <v>5.8201058201058198E-2</v>
      </c>
      <c r="AF471" s="2">
        <f>AVERAGEIFS(Table1[interest_rate_pct],Table1[product],Table1[[#This Row],[product]],Table1[risk_band],Table1[[#This Row],[risk_band]])</f>
        <v>10.537499999999998</v>
      </c>
      <c r="AG471" s="2" t="str" cm="1">
        <f t="array" ref="AG471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471" s="2">
        <f>COUNTIF(Table1[DTI band],Table1[[#This Row],[DTI band]])</f>
        <v>260</v>
      </c>
      <c r="AI471" s="2" t="str" cm="1">
        <f t="array" ref="AI471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471" s="2">
        <f>COUNTIF(Table1[LTV band],Table1[[#This Row],[LTV band]])</f>
        <v>141</v>
      </c>
      <c r="AK471" s="19">
        <f>COUNTIFS(Table1[count_loan_perband],Table1[[#This Row],[count_loan_perband]],Table1[default_flag],1)/COUNTIF(Table1[count_loan_perband],Table1[[#This Row],[count_loan_perband]])</f>
        <v>1.4184397163120567E-2</v>
      </c>
      <c r="AL471" s="19" t="str" cm="1">
        <f t="array" ref="AL471">_xlfn.IFS(Table1[[#This Row],[loan_amount]] &lt; 900000, "lower size (&lt; 9L)", Table1[[#This Row],[loan_amount]] &lt;=3300000, "medium size (&lt;=33L)", Table1[[#This Row],[loan_amount]] &gt; 3300000, "larger size (&gt; 33L)")</f>
        <v>larger size (&gt; 33L)</v>
      </c>
      <c r="AM471" s="19">
        <f>IF(Table1[[#This Row],[dpd]] &gt;=30,1,0)</f>
        <v>1</v>
      </c>
      <c r="AN471" s="19">
        <f>COUNTIFS(Table1[Loan size],Table1[[#This Row],[Loan size]],Table1[dpd flag],1)/COUNTIF(Table1[Loan size],Table1[[#This Row],[Loan size]])</f>
        <v>0.16250000000000001</v>
      </c>
      <c r="AO471" s="19" t="str">
        <f>IF(OR(Table1[[#This Row],[credit_score]] &lt; 600, Table1[ [#This Row],[dti_ratio] ] &gt; 0.5, Table1[[#This Row],[dpd]] &gt;=30), "high risk", " not riskY")</f>
        <v>high risk</v>
      </c>
      <c r="AP471" s="29">
        <f>EOMONTH(Table1[[#This Row],[origination_date]],0)</f>
        <v>45657</v>
      </c>
      <c r="AQ471" s="19">
        <f>SUMIFS(Table1[loan_amount],Table1[origination month],Table1[[#This Row],[origination month]])</f>
        <v>19904900</v>
      </c>
      <c r="AR471" s="19">
        <f>AVERAGEIFS(Table1[months_on_book],Table1[product],Table1[[#This Row],[product]])</f>
        <v>19.091954022988507</v>
      </c>
      <c r="AS471" s="19" t="str">
        <f ca="1">IF(EDATE(Table1[[#This Row],[origination_date]],6) &gt;= TODAY(), "New Loan", "Old Loan")</f>
        <v>Old Loan</v>
      </c>
      <c r="AT471" s="19" t="str">
        <f>"Q"&amp;ROUNDUP(MONTH(Table1[[#This Row],[origination_date]])/3,0)&amp;YEAR(Table1[[#This Row],[origination_date]])</f>
        <v>Q42024</v>
      </c>
      <c r="AU471" s="19">
        <f>SUMIFS(Table1[loan_amount],Table1[quarter],Table1[[#This Row],[quarter]])</f>
        <v>53441200</v>
      </c>
    </row>
    <row r="472" spans="2:47" x14ac:dyDescent="0.2">
      <c r="B472" s="5" t="s">
        <v>65</v>
      </c>
      <c r="C472" s="2" t="s">
        <v>565</v>
      </c>
      <c r="D472" s="3">
        <v>45642</v>
      </c>
      <c r="E472" s="2" t="s">
        <v>1027</v>
      </c>
      <c r="F472" s="2" t="s">
        <v>1029</v>
      </c>
      <c r="G472" s="2" t="s">
        <v>1034</v>
      </c>
      <c r="H472" s="2" t="s">
        <v>1039</v>
      </c>
      <c r="I472" s="2">
        <v>240</v>
      </c>
      <c r="J472" s="2">
        <v>5254000</v>
      </c>
      <c r="K472" s="2">
        <v>11.91</v>
      </c>
      <c r="L472" s="2">
        <v>57522</v>
      </c>
      <c r="M472" s="2">
        <v>1042705</v>
      </c>
      <c r="N472" s="2">
        <v>682</v>
      </c>
      <c r="O472" s="2" t="s">
        <v>1042</v>
      </c>
      <c r="P472" s="2">
        <v>0.36</v>
      </c>
      <c r="Q472" s="2">
        <v>0.72</v>
      </c>
      <c r="R472" s="2">
        <v>7293700</v>
      </c>
      <c r="S472" s="2">
        <v>12</v>
      </c>
      <c r="T472" s="2">
        <v>617932</v>
      </c>
      <c r="U472" s="2">
        <v>4886369</v>
      </c>
      <c r="V472" s="2">
        <v>0</v>
      </c>
      <c r="W472" s="2">
        <v>0</v>
      </c>
      <c r="X472" s="2">
        <v>0</v>
      </c>
      <c r="Y472" s="2" t="s">
        <v>1049</v>
      </c>
      <c r="Z472" s="12">
        <f>SUMIF(Table1[product],Table1[[#This Row],[product]],Table1[loan_amount])</f>
        <v>403369500</v>
      </c>
      <c r="AA472" s="15">
        <f>SUMIF(Table1[region],Table1[[#This Row],[region]],Table1[current_balance])</f>
        <v>105779369</v>
      </c>
      <c r="AB472" s="2">
        <f>COUNTIF(Table1[loan_status],Table1[[#This Row],[loan_status]])</f>
        <v>301</v>
      </c>
      <c r="AC472" s="2">
        <f>COUNTIF(Table1[default_flag],1)/ROWS(Table1[loan_id])</f>
        <v>2.5999999999999999E-2</v>
      </c>
      <c r="AD472" s="2">
        <f>COUNTIFS(Table1[region],Table1[[#This Row],[region]],Table1[default_flag],1)/COUNTIF(Table1[region],Table1[[#This Row],[region]])</f>
        <v>2.6548672566371681E-2</v>
      </c>
      <c r="AE472" s="2">
        <f>COUNTIFS(Table1[channel],Table1[[#This Row],[channel]],Table1[prepayment_flag],1)/COUNTIF(Table1[channel],Table1[[#This Row],[channel]])</f>
        <v>7.1090047393364927E-2</v>
      </c>
      <c r="AF472" s="2">
        <f>AVERAGEIFS(Table1[interest_rate_pct],Table1[product],Table1[[#This Row],[product]],Table1[risk_band],Table1[[#This Row],[risk_band]])</f>
        <v>11.719736842105268</v>
      </c>
      <c r="AG472" s="2" t="str" cm="1">
        <f t="array" ref="AG472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472" s="2">
        <f>COUNTIF(Table1[DTI band],Table1[[#This Row],[DTI band]])</f>
        <v>260</v>
      </c>
      <c r="AI472" s="2" t="str" cm="1">
        <f t="array" ref="AI472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472" s="2">
        <f>COUNTIF(Table1[LTV band],Table1[[#This Row],[LTV band]])</f>
        <v>302</v>
      </c>
      <c r="AK472" s="19">
        <f>COUNTIFS(Table1[count_loan_perband],Table1[[#This Row],[count_loan_perband]],Table1[default_flag],1)/COUNTIF(Table1[count_loan_perband],Table1[[#This Row],[count_loan_perband]])</f>
        <v>3.6423841059602648E-2</v>
      </c>
      <c r="AL472" s="19" t="str" cm="1">
        <f t="array" ref="AL472">_xlfn.IFS(Table1[[#This Row],[loan_amount]] &lt; 900000, "lower size (&lt; 9L)", Table1[[#This Row],[loan_amount]] &lt;=3300000, "medium size (&lt;=33L)", Table1[[#This Row],[loan_amount]] &gt; 3300000, "larger size (&gt; 33L)")</f>
        <v>larger size (&gt; 33L)</v>
      </c>
      <c r="AM472" s="19">
        <f>IF(Table1[[#This Row],[dpd]] &gt;=30,1,0)</f>
        <v>0</v>
      </c>
      <c r="AN472" s="19">
        <f>COUNTIFS(Table1[Loan size],Table1[[#This Row],[Loan size]],Table1[dpd flag],1)/COUNTIF(Table1[Loan size],Table1[[#This Row],[Loan size]])</f>
        <v>0.16250000000000001</v>
      </c>
      <c r="AO472" s="19" t="str">
        <f>IF(OR(Table1[[#This Row],[credit_score]] &lt; 600, Table1[ [#This Row],[dti_ratio] ] &gt; 0.5, Table1[[#This Row],[dpd]] &gt;=30), "high risk", " not riskY")</f>
        <v xml:space="preserve"> not riskY</v>
      </c>
      <c r="AP472" s="29">
        <f>EOMONTH(Table1[[#This Row],[origination_date]],0)</f>
        <v>45657</v>
      </c>
      <c r="AQ472" s="19">
        <f>SUMIFS(Table1[loan_amount],Table1[origination month],Table1[[#This Row],[origination month]])</f>
        <v>19904900</v>
      </c>
      <c r="AR472" s="19">
        <f>AVERAGEIFS(Table1[months_on_book],Table1[product],Table1[[#This Row],[product]])</f>
        <v>20.516129032258064</v>
      </c>
      <c r="AS472" s="19" t="str">
        <f ca="1">IF(EDATE(Table1[[#This Row],[origination_date]],6) &gt;= TODAY(), "New Loan", "Old Loan")</f>
        <v>Old Loan</v>
      </c>
      <c r="AT472" s="19" t="str">
        <f>"Q"&amp;ROUNDUP(MONTH(Table1[[#This Row],[origination_date]])/3,0)&amp;YEAR(Table1[[#This Row],[origination_date]])</f>
        <v>Q42024</v>
      </c>
      <c r="AU472" s="19">
        <f>SUMIFS(Table1[loan_amount],Table1[quarter],Table1[[#This Row],[quarter]])</f>
        <v>53441200</v>
      </c>
    </row>
    <row r="473" spans="2:47" x14ac:dyDescent="0.2">
      <c r="B473" s="5" t="s">
        <v>151</v>
      </c>
      <c r="C473" s="2" t="s">
        <v>651</v>
      </c>
      <c r="D473" s="3">
        <v>45592</v>
      </c>
      <c r="E473" s="2" t="s">
        <v>1026</v>
      </c>
      <c r="F473" s="2" t="s">
        <v>1031</v>
      </c>
      <c r="G473" s="2" t="s">
        <v>1033</v>
      </c>
      <c r="H473" s="2" t="s">
        <v>1038</v>
      </c>
      <c r="I473" s="2">
        <v>240</v>
      </c>
      <c r="J473" s="2">
        <v>216300</v>
      </c>
      <c r="K473" s="2">
        <v>21.38</v>
      </c>
      <c r="L473" s="2">
        <v>3910</v>
      </c>
      <c r="M473" s="2">
        <v>235765</v>
      </c>
      <c r="N473" s="2">
        <v>631</v>
      </c>
      <c r="O473" s="2" t="s">
        <v>1045</v>
      </c>
      <c r="P473" s="2">
        <v>0.35</v>
      </c>
      <c r="Q473" s="2">
        <v>0.93</v>
      </c>
      <c r="R473" s="2">
        <v>0</v>
      </c>
      <c r="S473" s="2">
        <v>14</v>
      </c>
      <c r="T473" s="2">
        <v>53218</v>
      </c>
      <c r="U473" s="2">
        <v>184663</v>
      </c>
      <c r="V473" s="2">
        <v>0</v>
      </c>
      <c r="W473" s="2">
        <v>0</v>
      </c>
      <c r="X473" s="2">
        <v>0</v>
      </c>
      <c r="Y473" s="2" t="s">
        <v>1049</v>
      </c>
      <c r="Z473" s="12">
        <f>SUMIF(Table1[product],Table1[[#This Row],[product]],Table1[loan_amount])</f>
        <v>74897600</v>
      </c>
      <c r="AA473" s="15">
        <f>SUMIF(Table1[region],Table1[[#This Row],[region]],Table1[current_balance])</f>
        <v>83297251</v>
      </c>
      <c r="AB473" s="2">
        <f>COUNTIF(Table1[loan_status],Table1[[#This Row],[loan_status]])</f>
        <v>301</v>
      </c>
      <c r="AC473" s="2">
        <f>COUNTIF(Table1[default_flag],1)/ROWS(Table1[loan_id])</f>
        <v>2.5999999999999999E-2</v>
      </c>
      <c r="AD473" s="2">
        <f>COUNTIFS(Table1[region],Table1[[#This Row],[region]],Table1[default_flag],1)/COUNTIF(Table1[region],Table1[[#This Row],[region]])</f>
        <v>3.1914893617021274E-2</v>
      </c>
      <c r="AE473" s="2">
        <f>COUNTIFS(Table1[channel],Table1[[#This Row],[channel]],Table1[prepayment_flag],1)/COUNTIF(Table1[channel],Table1[[#This Row],[channel]])</f>
        <v>0.12</v>
      </c>
      <c r="AF473" s="2">
        <f>AVERAGEIFS(Table1[interest_rate_pct],Table1[product],Table1[[#This Row],[product]],Table1[risk_band],Table1[[#This Row],[risk_band]])</f>
        <v>20.962592592592593</v>
      </c>
      <c r="AG473" s="2" t="str" cm="1">
        <f t="array" ref="AG473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473" s="2">
        <f>COUNTIF(Table1[DTI band],Table1[[#This Row],[DTI band]])</f>
        <v>260</v>
      </c>
      <c r="AI473" s="2" t="str" cm="1">
        <f t="array" ref="AI473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473" s="2">
        <f>COUNTIF(Table1[LTV band],Table1[[#This Row],[LTV band]])</f>
        <v>141</v>
      </c>
      <c r="AK473" s="19">
        <f>COUNTIFS(Table1[count_loan_perband],Table1[[#This Row],[count_loan_perband]],Table1[default_flag],1)/COUNTIF(Table1[count_loan_perband],Table1[[#This Row],[count_loan_perband]])</f>
        <v>1.4184397163120567E-2</v>
      </c>
      <c r="AL473" s="19" t="str" cm="1">
        <f t="array" ref="AL473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473" s="19">
        <f>IF(Table1[[#This Row],[dpd]] &gt;=30,1,0)</f>
        <v>0</v>
      </c>
      <c r="AN473" s="19">
        <f>COUNTIFS(Table1[Loan size],Table1[[#This Row],[Loan size]],Table1[dpd flag],1)/COUNTIF(Table1[Loan size],Table1[[#This Row],[Loan size]])</f>
        <v>0.13934426229508196</v>
      </c>
      <c r="AO473" s="19" t="str">
        <f>IF(OR(Table1[[#This Row],[credit_score]] &lt; 600, Table1[ [#This Row],[dti_ratio] ] &gt; 0.5, Table1[[#This Row],[dpd]] &gt;=30), "high risk", " not riskY")</f>
        <v xml:space="preserve"> not riskY</v>
      </c>
      <c r="AP473" s="29">
        <f>EOMONTH(Table1[[#This Row],[origination_date]],0)</f>
        <v>45596</v>
      </c>
      <c r="AQ473" s="19">
        <f>SUMIFS(Table1[loan_amount],Table1[origination month],Table1[[#This Row],[origination month]])</f>
        <v>14982900</v>
      </c>
      <c r="AR473" s="19">
        <f>AVERAGEIFS(Table1[months_on_book],Table1[product],Table1[[#This Row],[product]])</f>
        <v>21.092024539877301</v>
      </c>
      <c r="AS473" s="19" t="str">
        <f ca="1">IF(EDATE(Table1[[#This Row],[origination_date]],6) &gt;= TODAY(), "New Loan", "Old Loan")</f>
        <v>Old Loan</v>
      </c>
      <c r="AT473" s="19" t="str">
        <f>"Q"&amp;ROUNDUP(MONTH(Table1[[#This Row],[origination_date]])/3,0)&amp;YEAR(Table1[[#This Row],[origination_date]])</f>
        <v>Q42024</v>
      </c>
      <c r="AU473" s="19">
        <f>SUMIFS(Table1[loan_amount],Table1[quarter],Table1[[#This Row],[quarter]])</f>
        <v>53441200</v>
      </c>
    </row>
    <row r="474" spans="2:47" x14ac:dyDescent="0.2">
      <c r="B474" s="5" t="s">
        <v>157</v>
      </c>
      <c r="C474" s="2" t="s">
        <v>657</v>
      </c>
      <c r="D474" s="3">
        <v>45581</v>
      </c>
      <c r="E474" s="2" t="s">
        <v>1028</v>
      </c>
      <c r="F474" s="2" t="s">
        <v>1030</v>
      </c>
      <c r="G474" s="2" t="s">
        <v>1034</v>
      </c>
      <c r="H474" s="2" t="s">
        <v>1038</v>
      </c>
      <c r="I474" s="2">
        <v>60</v>
      </c>
      <c r="J474" s="2">
        <v>704200</v>
      </c>
      <c r="K474" s="2">
        <v>8.84</v>
      </c>
      <c r="L474" s="2">
        <v>14563</v>
      </c>
      <c r="M474" s="2">
        <v>519888</v>
      </c>
      <c r="N474" s="2">
        <v>755</v>
      </c>
      <c r="O474" s="2" t="s">
        <v>1043</v>
      </c>
      <c r="P474" s="2">
        <v>0.35</v>
      </c>
      <c r="Q474" s="2">
        <v>0.69</v>
      </c>
      <c r="R474" s="2">
        <v>0</v>
      </c>
      <c r="S474" s="2">
        <v>14</v>
      </c>
      <c r="T474" s="2">
        <v>179802</v>
      </c>
      <c r="U474" s="2">
        <v>553449</v>
      </c>
      <c r="V474" s="2">
        <v>10</v>
      </c>
      <c r="W474" s="2">
        <v>0</v>
      </c>
      <c r="X474" s="2">
        <v>0</v>
      </c>
      <c r="Y474" s="2" t="s">
        <v>1049</v>
      </c>
      <c r="Z474" s="12">
        <f>SUMIF(Table1[product],Table1[[#This Row],[product]],Table1[loan_amount])</f>
        <v>62765800</v>
      </c>
      <c r="AA474" s="15">
        <f>SUMIF(Table1[region],Table1[[#This Row],[region]],Table1[current_balance])</f>
        <v>105779369</v>
      </c>
      <c r="AB474" s="2">
        <f>COUNTIF(Table1[loan_status],Table1[[#This Row],[loan_status]])</f>
        <v>301</v>
      </c>
      <c r="AC474" s="2">
        <f>COUNTIF(Table1[default_flag],1)/ROWS(Table1[loan_id])</f>
        <v>2.5999999999999999E-2</v>
      </c>
      <c r="AD474" s="2">
        <f>COUNTIFS(Table1[region],Table1[[#This Row],[region]],Table1[default_flag],1)/COUNTIF(Table1[region],Table1[[#This Row],[region]])</f>
        <v>2.6548672566371681E-2</v>
      </c>
      <c r="AE474" s="2">
        <f>COUNTIFS(Table1[channel],Table1[[#This Row],[channel]],Table1[prepayment_flag],1)/COUNTIF(Table1[channel],Table1[[#This Row],[channel]])</f>
        <v>5.8201058201058198E-2</v>
      </c>
      <c r="AF474" s="2">
        <f>AVERAGEIFS(Table1[interest_rate_pct],Table1[product],Table1[[#This Row],[product]],Table1[risk_band],Table1[[#This Row],[risk_band]])</f>
        <v>8.5057142857142871</v>
      </c>
      <c r="AG474" s="2" t="str" cm="1">
        <f t="array" ref="AG474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474" s="2">
        <f>COUNTIF(Table1[DTI band],Table1[[#This Row],[DTI band]])</f>
        <v>260</v>
      </c>
      <c r="AI474" s="2" t="str" cm="1">
        <f t="array" ref="AI474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474" s="2">
        <f>COUNTIF(Table1[LTV band],Table1[[#This Row],[LTV band]])</f>
        <v>302</v>
      </c>
      <c r="AK474" s="19">
        <f>COUNTIFS(Table1[count_loan_perband],Table1[[#This Row],[count_loan_perband]],Table1[default_flag],1)/COUNTIF(Table1[count_loan_perband],Table1[[#This Row],[count_loan_perband]])</f>
        <v>3.6423841059602648E-2</v>
      </c>
      <c r="AL474" s="19" t="str" cm="1">
        <f t="array" ref="AL474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474" s="19">
        <f>IF(Table1[[#This Row],[dpd]] &gt;=30,1,0)</f>
        <v>0</v>
      </c>
      <c r="AN474" s="19">
        <f>COUNTIFS(Table1[Loan size],Table1[[#This Row],[Loan size]],Table1[dpd flag],1)/COUNTIF(Table1[Loan size],Table1[[#This Row],[Loan size]])</f>
        <v>0.13934426229508196</v>
      </c>
      <c r="AO474" s="19" t="str">
        <f>IF(OR(Table1[[#This Row],[credit_score]] &lt; 600, Table1[ [#This Row],[dti_ratio] ] &gt; 0.5, Table1[[#This Row],[dpd]] &gt;=30), "high risk", " not riskY")</f>
        <v xml:space="preserve"> not riskY</v>
      </c>
      <c r="AP474" s="29">
        <f>EOMONTH(Table1[[#This Row],[origination_date]],0)</f>
        <v>45596</v>
      </c>
      <c r="AQ474" s="19">
        <f>SUMIFS(Table1[loan_amount],Table1[origination month],Table1[[#This Row],[origination month]])</f>
        <v>14982900</v>
      </c>
      <c r="AR474" s="19">
        <f>AVERAGEIFS(Table1[months_on_book],Table1[product],Table1[[#This Row],[product]])</f>
        <v>21.962962962962962</v>
      </c>
      <c r="AS474" s="19" t="str">
        <f ca="1">IF(EDATE(Table1[[#This Row],[origination_date]],6) &gt;= TODAY(), "New Loan", "Old Loan")</f>
        <v>Old Loan</v>
      </c>
      <c r="AT474" s="19" t="str">
        <f>"Q"&amp;ROUNDUP(MONTH(Table1[[#This Row],[origination_date]])/3,0)&amp;YEAR(Table1[[#This Row],[origination_date]])</f>
        <v>Q42024</v>
      </c>
      <c r="AU474" s="19">
        <f>SUMIFS(Table1[loan_amount],Table1[quarter],Table1[[#This Row],[quarter]])</f>
        <v>53441200</v>
      </c>
    </row>
    <row r="475" spans="2:47" x14ac:dyDescent="0.2">
      <c r="B475" s="5" t="s">
        <v>308</v>
      </c>
      <c r="C475" s="2" t="s">
        <v>808</v>
      </c>
      <c r="D475" s="3">
        <v>45652</v>
      </c>
      <c r="E475" s="2" t="s">
        <v>1026</v>
      </c>
      <c r="F475" s="2" t="s">
        <v>1029</v>
      </c>
      <c r="G475" s="2" t="s">
        <v>1034</v>
      </c>
      <c r="H475" s="2" t="s">
        <v>1041</v>
      </c>
      <c r="I475" s="2">
        <v>60</v>
      </c>
      <c r="J475" s="2">
        <v>53300</v>
      </c>
      <c r="K475" s="2">
        <v>23.37</v>
      </c>
      <c r="L475" s="2">
        <v>1514</v>
      </c>
      <c r="M475" s="2">
        <v>562679</v>
      </c>
      <c r="N475" s="2">
        <v>578</v>
      </c>
      <c r="O475" s="2" t="s">
        <v>1046</v>
      </c>
      <c r="P475" s="2">
        <v>0.34</v>
      </c>
      <c r="Q475" s="2">
        <v>0.68</v>
      </c>
      <c r="R475" s="2">
        <v>0</v>
      </c>
      <c r="S475" s="2">
        <v>12</v>
      </c>
      <c r="T475" s="2">
        <v>16311</v>
      </c>
      <c r="U475" s="2">
        <v>41971</v>
      </c>
      <c r="V475" s="2">
        <v>45</v>
      </c>
      <c r="W475" s="2">
        <v>0</v>
      </c>
      <c r="X475" s="2">
        <v>0</v>
      </c>
      <c r="Y475" s="2" t="s">
        <v>1048</v>
      </c>
      <c r="Z475" s="12">
        <f>SUMIF(Table1[product],Table1[[#This Row],[product]],Table1[loan_amount])</f>
        <v>74897600</v>
      </c>
      <c r="AA475" s="15">
        <f>SUMIF(Table1[region],Table1[[#This Row],[region]],Table1[current_balance])</f>
        <v>105779369</v>
      </c>
      <c r="AB475" s="2">
        <f>COUNTIF(Table1[loan_status],Table1[[#This Row],[loan_status]])</f>
        <v>47</v>
      </c>
      <c r="AC475" s="2">
        <f>COUNTIF(Table1[default_flag],1)/ROWS(Table1[loan_id])</f>
        <v>2.5999999999999999E-2</v>
      </c>
      <c r="AD475" s="2">
        <f>COUNTIFS(Table1[region],Table1[[#This Row],[region]],Table1[default_flag],1)/COUNTIF(Table1[region],Table1[[#This Row],[region]])</f>
        <v>2.6548672566371681E-2</v>
      </c>
      <c r="AE475" s="2">
        <f>COUNTIFS(Table1[channel],Table1[[#This Row],[channel]],Table1[prepayment_flag],1)/COUNTIF(Table1[channel],Table1[[#This Row],[channel]])</f>
        <v>7.1090047393364927E-2</v>
      </c>
      <c r="AF475" s="2">
        <f>AVERAGEIFS(Table1[interest_rate_pct],Table1[product],Table1[[#This Row],[product]],Table1[risk_band],Table1[[#This Row],[risk_band]])</f>
        <v>23.803750000000001</v>
      </c>
      <c r="AG475" s="2" t="str" cm="1">
        <f t="array" ref="AG475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475" s="2">
        <f>COUNTIF(Table1[DTI band],Table1[[#This Row],[DTI band]])</f>
        <v>260</v>
      </c>
      <c r="AI475" s="2" t="str" cm="1">
        <f t="array" ref="AI475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475" s="2">
        <f>COUNTIF(Table1[LTV band],Table1[[#This Row],[LTV band]])</f>
        <v>302</v>
      </c>
      <c r="AK475" s="19">
        <f>COUNTIFS(Table1[count_loan_perband],Table1[[#This Row],[count_loan_perband]],Table1[default_flag],1)/COUNTIF(Table1[count_loan_perband],Table1[[#This Row],[count_loan_perband]])</f>
        <v>3.6423841059602648E-2</v>
      </c>
      <c r="AL475" s="19" t="str" cm="1">
        <f t="array" ref="AL475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475" s="19">
        <f>IF(Table1[[#This Row],[dpd]] &gt;=30,1,0)</f>
        <v>1</v>
      </c>
      <c r="AN475" s="19">
        <f>COUNTIFS(Table1[Loan size],Table1[[#This Row],[Loan size]],Table1[dpd flag],1)/COUNTIF(Table1[Loan size],Table1[[#This Row],[Loan size]])</f>
        <v>0.13934426229508196</v>
      </c>
      <c r="AO475" s="19" t="str">
        <f>IF(OR(Table1[[#This Row],[credit_score]] &lt; 600, Table1[ [#This Row],[dti_ratio] ] &gt; 0.5, Table1[[#This Row],[dpd]] &gt;=30), "high risk", " not riskY")</f>
        <v>high risk</v>
      </c>
      <c r="AP475" s="29">
        <f>EOMONTH(Table1[[#This Row],[origination_date]],0)</f>
        <v>45657</v>
      </c>
      <c r="AQ475" s="19">
        <f>SUMIFS(Table1[loan_amount],Table1[origination month],Table1[[#This Row],[origination month]])</f>
        <v>19904900</v>
      </c>
      <c r="AR475" s="19">
        <f>AVERAGEIFS(Table1[months_on_book],Table1[product],Table1[[#This Row],[product]])</f>
        <v>21.092024539877301</v>
      </c>
      <c r="AS475" s="19" t="str">
        <f ca="1">IF(EDATE(Table1[[#This Row],[origination_date]],6) &gt;= TODAY(), "New Loan", "Old Loan")</f>
        <v>Old Loan</v>
      </c>
      <c r="AT475" s="19" t="str">
        <f>"Q"&amp;ROUNDUP(MONTH(Table1[[#This Row],[origination_date]])/3,0)&amp;YEAR(Table1[[#This Row],[origination_date]])</f>
        <v>Q42024</v>
      </c>
      <c r="AU475" s="19">
        <f>SUMIFS(Table1[loan_amount],Table1[quarter],Table1[[#This Row],[quarter]])</f>
        <v>53441200</v>
      </c>
    </row>
    <row r="476" spans="2:47" x14ac:dyDescent="0.2">
      <c r="B476" s="5" t="s">
        <v>413</v>
      </c>
      <c r="C476" s="2" t="s">
        <v>913</v>
      </c>
      <c r="D476" s="3">
        <v>45576</v>
      </c>
      <c r="E476" s="2" t="s">
        <v>1027</v>
      </c>
      <c r="F476" s="2" t="s">
        <v>1030</v>
      </c>
      <c r="G476" s="2" t="s">
        <v>1033</v>
      </c>
      <c r="H476" s="2" t="s">
        <v>1041</v>
      </c>
      <c r="I476" s="2">
        <v>36</v>
      </c>
      <c r="J476" s="2">
        <v>6123600</v>
      </c>
      <c r="K476" s="2">
        <v>9.5399999999999991</v>
      </c>
      <c r="L476" s="2">
        <v>196271</v>
      </c>
      <c r="M476" s="2">
        <v>1382208</v>
      </c>
      <c r="N476" s="2">
        <v>704</v>
      </c>
      <c r="O476" s="2" t="s">
        <v>1044</v>
      </c>
      <c r="P476" s="2">
        <v>0.33</v>
      </c>
      <c r="Q476" s="2">
        <v>0.9</v>
      </c>
      <c r="R476" s="2">
        <v>6837700</v>
      </c>
      <c r="S476" s="2">
        <v>14</v>
      </c>
      <c r="T476" s="2">
        <v>2554236</v>
      </c>
      <c r="U476" s="2">
        <v>3841987</v>
      </c>
      <c r="V476" s="2">
        <v>0</v>
      </c>
      <c r="W476" s="2">
        <v>0</v>
      </c>
      <c r="X476" s="2">
        <v>0</v>
      </c>
      <c r="Y476" s="2" t="s">
        <v>1049</v>
      </c>
      <c r="Z476" s="12">
        <f>SUMIF(Table1[product],Table1[[#This Row],[product]],Table1[loan_amount])</f>
        <v>403369500</v>
      </c>
      <c r="AA476" s="15">
        <f>SUMIF(Table1[region],Table1[[#This Row],[region]],Table1[current_balance])</f>
        <v>83297251</v>
      </c>
      <c r="AB476" s="2">
        <f>COUNTIF(Table1[loan_status],Table1[[#This Row],[loan_status]])</f>
        <v>301</v>
      </c>
      <c r="AC476" s="2">
        <f>COUNTIF(Table1[default_flag],1)/ROWS(Table1[loan_id])</f>
        <v>2.5999999999999999E-2</v>
      </c>
      <c r="AD476" s="2">
        <f>COUNTIFS(Table1[region],Table1[[#This Row],[region]],Table1[default_flag],1)/COUNTIF(Table1[region],Table1[[#This Row],[region]])</f>
        <v>3.1914893617021274E-2</v>
      </c>
      <c r="AE476" s="2">
        <f>COUNTIFS(Table1[channel],Table1[[#This Row],[channel]],Table1[prepayment_flag],1)/COUNTIF(Table1[channel],Table1[[#This Row],[channel]])</f>
        <v>5.8201058201058198E-2</v>
      </c>
      <c r="AF476" s="2">
        <f>AVERAGEIFS(Table1[interest_rate_pct],Table1[product],Table1[[#This Row],[product]],Table1[risk_band],Table1[[#This Row],[risk_band]])</f>
        <v>8.8557142857142868</v>
      </c>
      <c r="AG476" s="2" t="str" cm="1">
        <f t="array" ref="AG476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476" s="2">
        <f>COUNTIF(Table1[DTI band],Table1[[#This Row],[DTI band]])</f>
        <v>260</v>
      </c>
      <c r="AI476" s="2" t="str" cm="1">
        <f t="array" ref="AI476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476" s="2">
        <f>COUNTIF(Table1[LTV band],Table1[[#This Row],[LTV band]])</f>
        <v>141</v>
      </c>
      <c r="AK476" s="19">
        <f>COUNTIFS(Table1[count_loan_perband],Table1[[#This Row],[count_loan_perband]],Table1[default_flag],1)/COUNTIF(Table1[count_loan_perband],Table1[[#This Row],[count_loan_perband]])</f>
        <v>1.4184397163120567E-2</v>
      </c>
      <c r="AL476" s="19" t="str" cm="1">
        <f t="array" ref="AL476">_xlfn.IFS(Table1[[#This Row],[loan_amount]] &lt; 900000, "lower size (&lt; 9L)", Table1[[#This Row],[loan_amount]] &lt;=3300000, "medium size (&lt;=33L)", Table1[[#This Row],[loan_amount]] &gt; 3300000, "larger size (&gt; 33L)")</f>
        <v>larger size (&gt; 33L)</v>
      </c>
      <c r="AM476" s="19">
        <f>IF(Table1[[#This Row],[dpd]] &gt;=30,1,0)</f>
        <v>0</v>
      </c>
      <c r="AN476" s="19">
        <f>COUNTIFS(Table1[Loan size],Table1[[#This Row],[Loan size]],Table1[dpd flag],1)/COUNTIF(Table1[Loan size],Table1[[#This Row],[Loan size]])</f>
        <v>0.16250000000000001</v>
      </c>
      <c r="AO476" s="19" t="str">
        <f>IF(OR(Table1[[#This Row],[credit_score]] &lt; 600, Table1[ [#This Row],[dti_ratio] ] &gt; 0.5, Table1[[#This Row],[dpd]] &gt;=30), "high risk", " not riskY")</f>
        <v xml:space="preserve"> not riskY</v>
      </c>
      <c r="AP476" s="29">
        <f>EOMONTH(Table1[[#This Row],[origination_date]],0)</f>
        <v>45596</v>
      </c>
      <c r="AQ476" s="19">
        <f>SUMIFS(Table1[loan_amount],Table1[origination month],Table1[[#This Row],[origination month]])</f>
        <v>14982900</v>
      </c>
      <c r="AR476" s="19">
        <f>AVERAGEIFS(Table1[months_on_book],Table1[product],Table1[[#This Row],[product]])</f>
        <v>20.516129032258064</v>
      </c>
      <c r="AS476" s="19" t="str">
        <f ca="1">IF(EDATE(Table1[[#This Row],[origination_date]],6) &gt;= TODAY(), "New Loan", "Old Loan")</f>
        <v>Old Loan</v>
      </c>
      <c r="AT476" s="19" t="str">
        <f>"Q"&amp;ROUNDUP(MONTH(Table1[[#This Row],[origination_date]])/3,0)&amp;YEAR(Table1[[#This Row],[origination_date]])</f>
        <v>Q42024</v>
      </c>
      <c r="AU476" s="19">
        <f>SUMIFS(Table1[loan_amount],Table1[quarter],Table1[[#This Row],[quarter]])</f>
        <v>53441200</v>
      </c>
    </row>
    <row r="477" spans="2:47" x14ac:dyDescent="0.2">
      <c r="B477" s="5" t="s">
        <v>470</v>
      </c>
      <c r="C477" s="2" t="s">
        <v>970</v>
      </c>
      <c r="D477" s="3">
        <v>45625</v>
      </c>
      <c r="E477" s="2" t="s">
        <v>1027</v>
      </c>
      <c r="F477" s="2" t="s">
        <v>1030</v>
      </c>
      <c r="G477" s="2" t="s">
        <v>1035</v>
      </c>
      <c r="H477" s="2" t="s">
        <v>1041</v>
      </c>
      <c r="I477" s="2">
        <v>36</v>
      </c>
      <c r="J477" s="2">
        <v>4710600</v>
      </c>
      <c r="K477" s="2">
        <v>9.86</v>
      </c>
      <c r="L477" s="2">
        <v>151688</v>
      </c>
      <c r="M477" s="2">
        <v>869564</v>
      </c>
      <c r="N477" s="2">
        <v>705</v>
      </c>
      <c r="O477" s="2" t="s">
        <v>1044</v>
      </c>
      <c r="P477" s="2">
        <v>0.33</v>
      </c>
      <c r="Q477" s="2">
        <v>0.75</v>
      </c>
      <c r="R477" s="2">
        <v>6279800</v>
      </c>
      <c r="S477" s="2">
        <v>13</v>
      </c>
      <c r="T477" s="2">
        <v>2003923</v>
      </c>
      <c r="U477" s="2">
        <v>2907945</v>
      </c>
      <c r="V477" s="2">
        <v>0</v>
      </c>
      <c r="W477" s="2">
        <v>0</v>
      </c>
      <c r="X477" s="2">
        <v>0</v>
      </c>
      <c r="Y477" s="2" t="s">
        <v>1049</v>
      </c>
      <c r="Z477" s="12">
        <f>SUMIF(Table1[product],Table1[[#This Row],[product]],Table1[loan_amount])</f>
        <v>403369500</v>
      </c>
      <c r="AA477" s="15">
        <f>SUMIF(Table1[region],Table1[[#This Row],[region]],Table1[current_balance])</f>
        <v>83903255</v>
      </c>
      <c r="AB477" s="2">
        <f>COUNTIF(Table1[loan_status],Table1[[#This Row],[loan_status]])</f>
        <v>301</v>
      </c>
      <c r="AC477" s="2">
        <f>COUNTIF(Table1[default_flag],1)/ROWS(Table1[loan_id])</f>
        <v>2.5999999999999999E-2</v>
      </c>
      <c r="AD477" s="2">
        <f>COUNTIFS(Table1[region],Table1[[#This Row],[region]],Table1[default_flag],1)/COUNTIF(Table1[region],Table1[[#This Row],[region]])</f>
        <v>4.2553191489361701E-2</v>
      </c>
      <c r="AE477" s="2">
        <f>COUNTIFS(Table1[channel],Table1[[#This Row],[channel]],Table1[prepayment_flag],1)/COUNTIF(Table1[channel],Table1[[#This Row],[channel]])</f>
        <v>5.8201058201058198E-2</v>
      </c>
      <c r="AF477" s="2">
        <f>AVERAGEIFS(Table1[interest_rate_pct],Table1[product],Table1[[#This Row],[product]],Table1[risk_band],Table1[[#This Row],[risk_band]])</f>
        <v>8.8557142857142868</v>
      </c>
      <c r="AG477" s="2" t="str" cm="1">
        <f t="array" ref="AG477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477" s="2">
        <f>COUNTIF(Table1[DTI band],Table1[[#This Row],[DTI band]])</f>
        <v>260</v>
      </c>
      <c r="AI477" s="2" t="str" cm="1">
        <f t="array" ref="AI477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477" s="2">
        <f>COUNTIF(Table1[LTV band],Table1[[#This Row],[LTV band]])</f>
        <v>302</v>
      </c>
      <c r="AK477" s="19">
        <f>COUNTIFS(Table1[count_loan_perband],Table1[[#This Row],[count_loan_perband]],Table1[default_flag],1)/COUNTIF(Table1[count_loan_perband],Table1[[#This Row],[count_loan_perband]])</f>
        <v>3.6423841059602648E-2</v>
      </c>
      <c r="AL477" s="19" t="str" cm="1">
        <f t="array" ref="AL477">_xlfn.IFS(Table1[[#This Row],[loan_amount]] &lt; 900000, "lower size (&lt; 9L)", Table1[[#This Row],[loan_amount]] &lt;=3300000, "medium size (&lt;=33L)", Table1[[#This Row],[loan_amount]] &gt; 3300000, "larger size (&gt; 33L)")</f>
        <v>larger size (&gt; 33L)</v>
      </c>
      <c r="AM477" s="19">
        <f>IF(Table1[[#This Row],[dpd]] &gt;=30,1,0)</f>
        <v>0</v>
      </c>
      <c r="AN477" s="19">
        <f>COUNTIFS(Table1[Loan size],Table1[[#This Row],[Loan size]],Table1[dpd flag],1)/COUNTIF(Table1[Loan size],Table1[[#This Row],[Loan size]])</f>
        <v>0.16250000000000001</v>
      </c>
      <c r="AO477" s="19" t="str">
        <f>IF(OR(Table1[[#This Row],[credit_score]] &lt; 600, Table1[ [#This Row],[dti_ratio] ] &gt; 0.5, Table1[[#This Row],[dpd]] &gt;=30), "high risk", " not riskY")</f>
        <v xml:space="preserve"> not riskY</v>
      </c>
      <c r="AP477" s="29">
        <f>EOMONTH(Table1[[#This Row],[origination_date]],0)</f>
        <v>45626</v>
      </c>
      <c r="AQ477" s="19">
        <f>SUMIFS(Table1[loan_amount],Table1[origination month],Table1[[#This Row],[origination month]])</f>
        <v>18553400</v>
      </c>
      <c r="AR477" s="19">
        <f>AVERAGEIFS(Table1[months_on_book],Table1[product],Table1[[#This Row],[product]])</f>
        <v>20.516129032258064</v>
      </c>
      <c r="AS477" s="19" t="str">
        <f ca="1">IF(EDATE(Table1[[#This Row],[origination_date]],6) &gt;= TODAY(), "New Loan", "Old Loan")</f>
        <v>Old Loan</v>
      </c>
      <c r="AT477" s="19" t="str">
        <f>"Q"&amp;ROUNDUP(MONTH(Table1[[#This Row],[origination_date]])/3,0)&amp;YEAR(Table1[[#This Row],[origination_date]])</f>
        <v>Q42024</v>
      </c>
      <c r="AU477" s="19">
        <f>SUMIFS(Table1[loan_amount],Table1[quarter],Table1[[#This Row],[quarter]])</f>
        <v>53441200</v>
      </c>
    </row>
    <row r="478" spans="2:47" x14ac:dyDescent="0.2">
      <c r="B478" s="5" t="s">
        <v>154</v>
      </c>
      <c r="C478" s="2" t="s">
        <v>654</v>
      </c>
      <c r="D478" s="3">
        <v>45624</v>
      </c>
      <c r="E478" s="2" t="s">
        <v>1027</v>
      </c>
      <c r="F478" s="2" t="s">
        <v>1030</v>
      </c>
      <c r="G478" s="2" t="s">
        <v>1033</v>
      </c>
      <c r="H478" s="2" t="s">
        <v>1038</v>
      </c>
      <c r="I478" s="2">
        <v>60</v>
      </c>
      <c r="J478" s="2">
        <v>4995000</v>
      </c>
      <c r="K478" s="2">
        <v>7</v>
      </c>
      <c r="L478" s="2">
        <v>98907</v>
      </c>
      <c r="M478" s="2">
        <v>801976</v>
      </c>
      <c r="N478" s="2">
        <v>839</v>
      </c>
      <c r="O478" s="2" t="s">
        <v>1043</v>
      </c>
      <c r="P478" s="2">
        <v>0.32</v>
      </c>
      <c r="Q478" s="2">
        <v>0.84</v>
      </c>
      <c r="R478" s="2">
        <v>5940900</v>
      </c>
      <c r="S478" s="2">
        <v>13</v>
      </c>
      <c r="T478" s="2">
        <v>1191476</v>
      </c>
      <c r="U478" s="2">
        <v>3955039</v>
      </c>
      <c r="V478" s="2">
        <v>0</v>
      </c>
      <c r="W478" s="2">
        <v>0</v>
      </c>
      <c r="X478" s="2">
        <v>0</v>
      </c>
      <c r="Y478" s="2" t="s">
        <v>1049</v>
      </c>
      <c r="Z478" s="12">
        <f>SUMIF(Table1[product],Table1[[#This Row],[product]],Table1[loan_amount])</f>
        <v>403369500</v>
      </c>
      <c r="AA478" s="15">
        <f>SUMIF(Table1[region],Table1[[#This Row],[region]],Table1[current_balance])</f>
        <v>83297251</v>
      </c>
      <c r="AB478" s="2">
        <f>COUNTIF(Table1[loan_status],Table1[[#This Row],[loan_status]])</f>
        <v>301</v>
      </c>
      <c r="AC478" s="2">
        <f>COUNTIF(Table1[default_flag],1)/ROWS(Table1[loan_id])</f>
        <v>2.5999999999999999E-2</v>
      </c>
      <c r="AD478" s="2">
        <f>COUNTIFS(Table1[region],Table1[[#This Row],[region]],Table1[default_flag],1)/COUNTIF(Table1[region],Table1[[#This Row],[region]])</f>
        <v>3.1914893617021274E-2</v>
      </c>
      <c r="AE478" s="2">
        <f>COUNTIFS(Table1[channel],Table1[[#This Row],[channel]],Table1[prepayment_flag],1)/COUNTIF(Table1[channel],Table1[[#This Row],[channel]])</f>
        <v>5.8201058201058198E-2</v>
      </c>
      <c r="AF478" s="2">
        <f>AVERAGEIFS(Table1[interest_rate_pct],Table1[product],Table1[[#This Row],[product]],Table1[risk_band],Table1[[#This Row],[risk_band]])</f>
        <v>7.1876190476190471</v>
      </c>
      <c r="AG478" s="2" t="str" cm="1">
        <f t="array" ref="AG478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478" s="2">
        <f>COUNTIF(Table1[DTI band],Table1[[#This Row],[DTI band]])</f>
        <v>260</v>
      </c>
      <c r="AI478" s="2" t="str" cm="1">
        <f t="array" ref="AI478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478" s="2">
        <f>COUNTIF(Table1[LTV band],Table1[[#This Row],[LTV band]])</f>
        <v>141</v>
      </c>
      <c r="AK478" s="19">
        <f>COUNTIFS(Table1[count_loan_perband],Table1[[#This Row],[count_loan_perband]],Table1[default_flag],1)/COUNTIF(Table1[count_loan_perband],Table1[[#This Row],[count_loan_perband]])</f>
        <v>1.4184397163120567E-2</v>
      </c>
      <c r="AL478" s="19" t="str" cm="1">
        <f t="array" ref="AL478">_xlfn.IFS(Table1[[#This Row],[loan_amount]] &lt; 900000, "lower size (&lt; 9L)", Table1[[#This Row],[loan_amount]] &lt;=3300000, "medium size (&lt;=33L)", Table1[[#This Row],[loan_amount]] &gt; 3300000, "larger size (&gt; 33L)")</f>
        <v>larger size (&gt; 33L)</v>
      </c>
      <c r="AM478" s="19">
        <f>IF(Table1[[#This Row],[dpd]] &gt;=30,1,0)</f>
        <v>0</v>
      </c>
      <c r="AN478" s="19">
        <f>COUNTIFS(Table1[Loan size],Table1[[#This Row],[Loan size]],Table1[dpd flag],1)/COUNTIF(Table1[Loan size],Table1[[#This Row],[Loan size]])</f>
        <v>0.16250000000000001</v>
      </c>
      <c r="AO478" s="19" t="str">
        <f>IF(OR(Table1[[#This Row],[credit_score]] &lt; 600, Table1[ [#This Row],[dti_ratio] ] &gt; 0.5, Table1[[#This Row],[dpd]] &gt;=30), "high risk", " not riskY")</f>
        <v xml:space="preserve"> not riskY</v>
      </c>
      <c r="AP478" s="29">
        <f>EOMONTH(Table1[[#This Row],[origination_date]],0)</f>
        <v>45626</v>
      </c>
      <c r="AQ478" s="19">
        <f>SUMIFS(Table1[loan_amount],Table1[origination month],Table1[[#This Row],[origination month]])</f>
        <v>18553400</v>
      </c>
      <c r="AR478" s="19">
        <f>AVERAGEIFS(Table1[months_on_book],Table1[product],Table1[[#This Row],[product]])</f>
        <v>20.516129032258064</v>
      </c>
      <c r="AS478" s="19" t="str">
        <f ca="1">IF(EDATE(Table1[[#This Row],[origination_date]],6) &gt;= TODAY(), "New Loan", "Old Loan")</f>
        <v>Old Loan</v>
      </c>
      <c r="AT478" s="19" t="str">
        <f>"Q"&amp;ROUNDUP(MONTH(Table1[[#This Row],[origination_date]])/3,0)&amp;YEAR(Table1[[#This Row],[origination_date]])</f>
        <v>Q42024</v>
      </c>
      <c r="AU478" s="19">
        <f>SUMIFS(Table1[loan_amount],Table1[quarter],Table1[[#This Row],[quarter]])</f>
        <v>53441200</v>
      </c>
    </row>
    <row r="479" spans="2:47" x14ac:dyDescent="0.2">
      <c r="B479" s="5" t="s">
        <v>494</v>
      </c>
      <c r="C479" s="2" t="s">
        <v>994</v>
      </c>
      <c r="D479" s="3">
        <v>45620</v>
      </c>
      <c r="E479" s="2" t="s">
        <v>1026</v>
      </c>
      <c r="F479" s="2" t="s">
        <v>1029</v>
      </c>
      <c r="G479" s="2" t="s">
        <v>1036</v>
      </c>
      <c r="H479" s="2" t="s">
        <v>1038</v>
      </c>
      <c r="I479" s="2">
        <v>120</v>
      </c>
      <c r="J479" s="2">
        <v>503500</v>
      </c>
      <c r="K479" s="2">
        <v>16.600000000000001</v>
      </c>
      <c r="L479" s="2">
        <v>8624</v>
      </c>
      <c r="M479" s="2">
        <v>695118</v>
      </c>
      <c r="N479" s="2">
        <v>707</v>
      </c>
      <c r="O479" s="2" t="s">
        <v>1044</v>
      </c>
      <c r="P479" s="2">
        <v>0.31</v>
      </c>
      <c r="Q479" s="2">
        <v>0.65</v>
      </c>
      <c r="R479" s="2">
        <v>0</v>
      </c>
      <c r="S479" s="2">
        <v>13</v>
      </c>
      <c r="T479" s="2">
        <v>114064</v>
      </c>
      <c r="U479" s="2">
        <v>425654</v>
      </c>
      <c r="V479" s="2">
        <v>0</v>
      </c>
      <c r="W479" s="2">
        <v>0</v>
      </c>
      <c r="X479" s="2">
        <v>0</v>
      </c>
      <c r="Y479" s="2" t="s">
        <v>1049</v>
      </c>
      <c r="Z479" s="12">
        <f>SUMIF(Table1[product],Table1[[#This Row],[product]],Table1[loan_amount])</f>
        <v>74897600</v>
      </c>
      <c r="AA479" s="15">
        <f>SUMIF(Table1[region],Table1[[#This Row],[region]],Table1[current_balance])</f>
        <v>98928695</v>
      </c>
      <c r="AB479" s="2">
        <f>COUNTIF(Table1[loan_status],Table1[[#This Row],[loan_status]])</f>
        <v>301</v>
      </c>
      <c r="AC479" s="2">
        <f>COUNTIF(Table1[default_flag],1)/ROWS(Table1[loan_id])</f>
        <v>2.5999999999999999E-2</v>
      </c>
      <c r="AD479" s="2">
        <f>COUNTIFS(Table1[region],Table1[[#This Row],[region]],Table1[default_flag],1)/COUNTIF(Table1[region],Table1[[#This Row],[region]])</f>
        <v>2.8571428571428571E-2</v>
      </c>
      <c r="AE479" s="2">
        <f>COUNTIFS(Table1[channel],Table1[[#This Row],[channel]],Table1[prepayment_flag],1)/COUNTIF(Table1[channel],Table1[[#This Row],[channel]])</f>
        <v>7.1090047393364927E-2</v>
      </c>
      <c r="AF479" s="2">
        <f>AVERAGEIFS(Table1[interest_rate_pct],Table1[product],Table1[[#This Row],[product]],Table1[risk_band],Table1[[#This Row],[risk_band]])</f>
        <v>16.500166666666669</v>
      </c>
      <c r="AG479" s="2" t="str" cm="1">
        <f t="array" ref="AG479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479" s="2">
        <f>COUNTIF(Table1[DTI band],Table1[[#This Row],[DTI band]])</f>
        <v>260</v>
      </c>
      <c r="AI479" s="2" t="str" cm="1">
        <f t="array" ref="AI479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479" s="2">
        <f>COUNTIF(Table1[LTV band],Table1[[#This Row],[LTV band]])</f>
        <v>302</v>
      </c>
      <c r="AK479" s="19">
        <f>COUNTIFS(Table1[count_loan_perband],Table1[[#This Row],[count_loan_perband]],Table1[default_flag],1)/COUNTIF(Table1[count_loan_perband],Table1[[#This Row],[count_loan_perband]])</f>
        <v>3.6423841059602648E-2</v>
      </c>
      <c r="AL479" s="19" t="str" cm="1">
        <f t="array" ref="AL479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479" s="19">
        <f>IF(Table1[[#This Row],[dpd]] &gt;=30,1,0)</f>
        <v>0</v>
      </c>
      <c r="AN479" s="19">
        <f>COUNTIFS(Table1[Loan size],Table1[[#This Row],[Loan size]],Table1[dpd flag],1)/COUNTIF(Table1[Loan size],Table1[[#This Row],[Loan size]])</f>
        <v>0.13934426229508196</v>
      </c>
      <c r="AO479" s="19" t="str">
        <f>IF(OR(Table1[[#This Row],[credit_score]] &lt; 600, Table1[ [#This Row],[dti_ratio] ] &gt; 0.5, Table1[[#This Row],[dpd]] &gt;=30), "high risk", " not riskY")</f>
        <v xml:space="preserve"> not riskY</v>
      </c>
      <c r="AP479" s="29">
        <f>EOMONTH(Table1[[#This Row],[origination_date]],0)</f>
        <v>45626</v>
      </c>
      <c r="AQ479" s="19">
        <f>SUMIFS(Table1[loan_amount],Table1[origination month],Table1[[#This Row],[origination month]])</f>
        <v>18553400</v>
      </c>
      <c r="AR479" s="19">
        <f>AVERAGEIFS(Table1[months_on_book],Table1[product],Table1[[#This Row],[product]])</f>
        <v>21.092024539877301</v>
      </c>
      <c r="AS479" s="19" t="str">
        <f ca="1">IF(EDATE(Table1[[#This Row],[origination_date]],6) &gt;= TODAY(), "New Loan", "Old Loan")</f>
        <v>Old Loan</v>
      </c>
      <c r="AT479" s="19" t="str">
        <f>"Q"&amp;ROUNDUP(MONTH(Table1[[#This Row],[origination_date]])/3,0)&amp;YEAR(Table1[[#This Row],[origination_date]])</f>
        <v>Q42024</v>
      </c>
      <c r="AU479" s="19">
        <f>SUMIFS(Table1[loan_amount],Table1[quarter],Table1[[#This Row],[quarter]])</f>
        <v>53441200</v>
      </c>
    </row>
    <row r="480" spans="2:47" x14ac:dyDescent="0.2">
      <c r="B480" s="5" t="s">
        <v>443</v>
      </c>
      <c r="C480" s="2" t="s">
        <v>943</v>
      </c>
      <c r="D480" s="3">
        <v>45623</v>
      </c>
      <c r="E480" s="2" t="s">
        <v>1026</v>
      </c>
      <c r="F480" s="2" t="s">
        <v>1029</v>
      </c>
      <c r="G480" s="2" t="s">
        <v>1034</v>
      </c>
      <c r="H480" s="2" t="s">
        <v>1038</v>
      </c>
      <c r="I480" s="2">
        <v>120</v>
      </c>
      <c r="J480" s="2">
        <v>345900</v>
      </c>
      <c r="K480" s="2">
        <v>15.68</v>
      </c>
      <c r="L480" s="2">
        <v>5725</v>
      </c>
      <c r="M480" s="2">
        <v>980735</v>
      </c>
      <c r="N480" s="2">
        <v>722</v>
      </c>
      <c r="O480" s="2" t="s">
        <v>1044</v>
      </c>
      <c r="P480" s="2">
        <v>0.3</v>
      </c>
      <c r="Q480" s="2">
        <v>0.68</v>
      </c>
      <c r="R480" s="2">
        <v>0</v>
      </c>
      <c r="S480" s="2">
        <v>13</v>
      </c>
      <c r="T480" s="2">
        <v>68489</v>
      </c>
      <c r="U480" s="2">
        <v>300914</v>
      </c>
      <c r="V480" s="2">
        <v>0</v>
      </c>
      <c r="W480" s="2">
        <v>0</v>
      </c>
      <c r="X480" s="2">
        <v>0</v>
      </c>
      <c r="Y480" s="2" t="s">
        <v>1049</v>
      </c>
      <c r="Z480" s="12">
        <f>SUMIF(Table1[product],Table1[[#This Row],[product]],Table1[loan_amount])</f>
        <v>74897600</v>
      </c>
      <c r="AA480" s="15">
        <f>SUMIF(Table1[region],Table1[[#This Row],[region]],Table1[current_balance])</f>
        <v>105779369</v>
      </c>
      <c r="AB480" s="2">
        <f>COUNTIF(Table1[loan_status],Table1[[#This Row],[loan_status]])</f>
        <v>301</v>
      </c>
      <c r="AC480" s="2">
        <f>COUNTIF(Table1[default_flag],1)/ROWS(Table1[loan_id])</f>
        <v>2.5999999999999999E-2</v>
      </c>
      <c r="AD480" s="2">
        <f>COUNTIFS(Table1[region],Table1[[#This Row],[region]],Table1[default_flag],1)/COUNTIF(Table1[region],Table1[[#This Row],[region]])</f>
        <v>2.6548672566371681E-2</v>
      </c>
      <c r="AE480" s="2">
        <f>COUNTIFS(Table1[channel],Table1[[#This Row],[channel]],Table1[prepayment_flag],1)/COUNTIF(Table1[channel],Table1[[#This Row],[channel]])</f>
        <v>7.1090047393364927E-2</v>
      </c>
      <c r="AF480" s="2">
        <f>AVERAGEIFS(Table1[interest_rate_pct],Table1[product],Table1[[#This Row],[product]],Table1[risk_band],Table1[[#This Row],[risk_band]])</f>
        <v>16.500166666666669</v>
      </c>
      <c r="AG480" s="2" t="str" cm="1">
        <f t="array" ref="AG480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480" s="2">
        <f>COUNTIF(Table1[DTI band],Table1[[#This Row],[DTI band]])</f>
        <v>260</v>
      </c>
      <c r="AI480" s="2" t="str" cm="1">
        <f t="array" ref="AI480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480" s="2">
        <f>COUNTIF(Table1[LTV band],Table1[[#This Row],[LTV band]])</f>
        <v>302</v>
      </c>
      <c r="AK480" s="19">
        <f>COUNTIFS(Table1[count_loan_perband],Table1[[#This Row],[count_loan_perband]],Table1[default_flag],1)/COUNTIF(Table1[count_loan_perband],Table1[[#This Row],[count_loan_perband]])</f>
        <v>3.6423841059602648E-2</v>
      </c>
      <c r="AL480" s="19" t="str" cm="1">
        <f t="array" ref="AL480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480" s="19">
        <f>IF(Table1[[#This Row],[dpd]] &gt;=30,1,0)</f>
        <v>0</v>
      </c>
      <c r="AN480" s="19">
        <f>COUNTIFS(Table1[Loan size],Table1[[#This Row],[Loan size]],Table1[dpd flag],1)/COUNTIF(Table1[Loan size],Table1[[#This Row],[Loan size]])</f>
        <v>0.13934426229508196</v>
      </c>
      <c r="AO480" s="19" t="str">
        <f>IF(OR(Table1[[#This Row],[credit_score]] &lt; 600, Table1[ [#This Row],[dti_ratio] ] &gt; 0.5, Table1[[#This Row],[dpd]] &gt;=30), "high risk", " not riskY")</f>
        <v xml:space="preserve"> not riskY</v>
      </c>
      <c r="AP480" s="29">
        <f>EOMONTH(Table1[[#This Row],[origination_date]],0)</f>
        <v>45626</v>
      </c>
      <c r="AQ480" s="19">
        <f>SUMIFS(Table1[loan_amount],Table1[origination month],Table1[[#This Row],[origination month]])</f>
        <v>18553400</v>
      </c>
      <c r="AR480" s="19">
        <f>AVERAGEIFS(Table1[months_on_book],Table1[product],Table1[[#This Row],[product]])</f>
        <v>21.092024539877301</v>
      </c>
      <c r="AS480" s="19" t="str">
        <f ca="1">IF(EDATE(Table1[[#This Row],[origination_date]],6) &gt;= TODAY(), "New Loan", "Old Loan")</f>
        <v>Old Loan</v>
      </c>
      <c r="AT480" s="19" t="str">
        <f>"Q"&amp;ROUNDUP(MONTH(Table1[[#This Row],[origination_date]])/3,0)&amp;YEAR(Table1[[#This Row],[origination_date]])</f>
        <v>Q42024</v>
      </c>
      <c r="AU480" s="19">
        <f>SUMIFS(Table1[loan_amount],Table1[quarter],Table1[[#This Row],[quarter]])</f>
        <v>53441200</v>
      </c>
    </row>
    <row r="481" spans="2:47" x14ac:dyDescent="0.2">
      <c r="B481" s="5" t="s">
        <v>487</v>
      </c>
      <c r="C481" s="2" t="s">
        <v>987</v>
      </c>
      <c r="D481" s="3">
        <v>45612</v>
      </c>
      <c r="E481" s="2" t="s">
        <v>1026</v>
      </c>
      <c r="F481" s="2" t="s">
        <v>1030</v>
      </c>
      <c r="G481" s="2" t="s">
        <v>1034</v>
      </c>
      <c r="H481" s="2" t="s">
        <v>1038</v>
      </c>
      <c r="I481" s="2">
        <v>24</v>
      </c>
      <c r="J481" s="2">
        <v>465000</v>
      </c>
      <c r="K481" s="2">
        <v>19.46</v>
      </c>
      <c r="L481" s="2">
        <v>23544</v>
      </c>
      <c r="M481" s="2">
        <v>624971</v>
      </c>
      <c r="N481" s="2">
        <v>658</v>
      </c>
      <c r="O481" s="2" t="s">
        <v>1042</v>
      </c>
      <c r="P481" s="2">
        <v>0.28000000000000003</v>
      </c>
      <c r="Q481" s="2">
        <v>0.63</v>
      </c>
      <c r="R481" s="2">
        <v>0</v>
      </c>
      <c r="S481" s="2">
        <v>13</v>
      </c>
      <c r="T481" s="2">
        <v>307151</v>
      </c>
      <c r="U481" s="2">
        <v>197061</v>
      </c>
      <c r="V481" s="2">
        <v>0</v>
      </c>
      <c r="W481" s="2">
        <v>0</v>
      </c>
      <c r="X481" s="2">
        <v>0</v>
      </c>
      <c r="Y481" s="2" t="s">
        <v>1049</v>
      </c>
      <c r="Z481" s="12">
        <f>SUMIF(Table1[product],Table1[[#This Row],[product]],Table1[loan_amount])</f>
        <v>74897600</v>
      </c>
      <c r="AA481" s="15">
        <f>SUMIF(Table1[region],Table1[[#This Row],[region]],Table1[current_balance])</f>
        <v>105779369</v>
      </c>
      <c r="AB481" s="2">
        <f>COUNTIF(Table1[loan_status],Table1[[#This Row],[loan_status]])</f>
        <v>301</v>
      </c>
      <c r="AC481" s="2">
        <f>COUNTIF(Table1[default_flag],1)/ROWS(Table1[loan_id])</f>
        <v>2.5999999999999999E-2</v>
      </c>
      <c r="AD481" s="2">
        <f>COUNTIFS(Table1[region],Table1[[#This Row],[region]],Table1[default_flag],1)/COUNTIF(Table1[region],Table1[[#This Row],[region]])</f>
        <v>2.6548672566371681E-2</v>
      </c>
      <c r="AE481" s="2">
        <f>COUNTIFS(Table1[channel],Table1[[#This Row],[channel]],Table1[prepayment_flag],1)/COUNTIF(Table1[channel],Table1[[#This Row],[channel]])</f>
        <v>5.8201058201058198E-2</v>
      </c>
      <c r="AF481" s="2">
        <f>AVERAGEIFS(Table1[interest_rate_pct],Table1[product],Table1[[#This Row],[product]],Table1[risk_band],Table1[[#This Row],[risk_band]])</f>
        <v>18.603181818181817</v>
      </c>
      <c r="AG481" s="2" t="str" cm="1">
        <f t="array" ref="AG481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481" s="2">
        <f>COUNTIF(Table1[DTI band],Table1[[#This Row],[DTI band]])</f>
        <v>122</v>
      </c>
      <c r="AI481" s="2" t="str" cm="1">
        <f t="array" ref="AI481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481" s="2">
        <f>COUNTIF(Table1[LTV band],Table1[[#This Row],[LTV band]])</f>
        <v>302</v>
      </c>
      <c r="AK481" s="19">
        <f>COUNTIFS(Table1[count_loan_perband],Table1[[#This Row],[count_loan_perband]],Table1[default_flag],1)/COUNTIF(Table1[count_loan_perband],Table1[[#This Row],[count_loan_perband]])</f>
        <v>3.6423841059602648E-2</v>
      </c>
      <c r="AL481" s="19" t="str" cm="1">
        <f t="array" ref="AL481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481" s="19">
        <f>IF(Table1[[#This Row],[dpd]] &gt;=30,1,0)</f>
        <v>0</v>
      </c>
      <c r="AN481" s="19">
        <f>COUNTIFS(Table1[Loan size],Table1[[#This Row],[Loan size]],Table1[dpd flag],1)/COUNTIF(Table1[Loan size],Table1[[#This Row],[Loan size]])</f>
        <v>0.13934426229508196</v>
      </c>
      <c r="AO481" s="19" t="str">
        <f>IF(OR(Table1[[#This Row],[credit_score]] &lt; 600, Table1[ [#This Row],[dti_ratio] ] &gt; 0.5, Table1[[#This Row],[dpd]] &gt;=30), "high risk", " not riskY")</f>
        <v xml:space="preserve"> not riskY</v>
      </c>
      <c r="AP481" s="29">
        <f>EOMONTH(Table1[[#This Row],[origination_date]],0)</f>
        <v>45626</v>
      </c>
      <c r="AQ481" s="19">
        <f>SUMIFS(Table1[loan_amount],Table1[origination month],Table1[[#This Row],[origination month]])</f>
        <v>18553400</v>
      </c>
      <c r="AR481" s="19">
        <f>AVERAGEIFS(Table1[months_on_book],Table1[product],Table1[[#This Row],[product]])</f>
        <v>21.092024539877301</v>
      </c>
      <c r="AS481" s="19" t="str">
        <f ca="1">IF(EDATE(Table1[[#This Row],[origination_date]],6) &gt;= TODAY(), "New Loan", "Old Loan")</f>
        <v>Old Loan</v>
      </c>
      <c r="AT481" s="19" t="str">
        <f>"Q"&amp;ROUNDUP(MONTH(Table1[[#This Row],[origination_date]])/3,0)&amp;YEAR(Table1[[#This Row],[origination_date]])</f>
        <v>Q42024</v>
      </c>
      <c r="AU481" s="19">
        <f>SUMIFS(Table1[loan_amount],Table1[quarter],Table1[[#This Row],[quarter]])</f>
        <v>53441200</v>
      </c>
    </row>
    <row r="482" spans="2:47" x14ac:dyDescent="0.2">
      <c r="B482" s="5" t="s">
        <v>112</v>
      </c>
      <c r="C482" s="2" t="s">
        <v>612</v>
      </c>
      <c r="D482" s="3">
        <v>45576</v>
      </c>
      <c r="E482" s="2" t="s">
        <v>1028</v>
      </c>
      <c r="F482" s="2" t="s">
        <v>1029</v>
      </c>
      <c r="G482" s="2" t="s">
        <v>1036</v>
      </c>
      <c r="H482" s="2" t="s">
        <v>1038</v>
      </c>
      <c r="I482" s="2">
        <v>36</v>
      </c>
      <c r="J482" s="2">
        <v>822600</v>
      </c>
      <c r="K482" s="2">
        <v>12.4</v>
      </c>
      <c r="L482" s="2">
        <v>27480</v>
      </c>
      <c r="M482" s="2">
        <v>656937</v>
      </c>
      <c r="N482" s="2">
        <v>697</v>
      </c>
      <c r="O482" s="2" t="s">
        <v>1042</v>
      </c>
      <c r="P482" s="2">
        <v>0.27</v>
      </c>
      <c r="Q482" s="2">
        <v>0.78</v>
      </c>
      <c r="R482" s="2">
        <v>0</v>
      </c>
      <c r="S482" s="2">
        <v>14</v>
      </c>
      <c r="T482" s="2">
        <v>388014</v>
      </c>
      <c r="U482" s="2">
        <v>482187</v>
      </c>
      <c r="V482" s="2">
        <v>0</v>
      </c>
      <c r="W482" s="2">
        <v>0</v>
      </c>
      <c r="X482" s="2">
        <v>0</v>
      </c>
      <c r="Y482" s="2" t="s">
        <v>1049</v>
      </c>
      <c r="Z482" s="12">
        <f>SUMIF(Table1[product],Table1[[#This Row],[product]],Table1[loan_amount])</f>
        <v>62765800</v>
      </c>
      <c r="AA482" s="15">
        <f>SUMIF(Table1[region],Table1[[#This Row],[region]],Table1[current_balance])</f>
        <v>98928695</v>
      </c>
      <c r="AB482" s="2">
        <f>COUNTIF(Table1[loan_status],Table1[[#This Row],[loan_status]])</f>
        <v>301</v>
      </c>
      <c r="AC482" s="2">
        <f>COUNTIF(Table1[default_flag],1)/ROWS(Table1[loan_id])</f>
        <v>2.5999999999999999E-2</v>
      </c>
      <c r="AD482" s="2">
        <f>COUNTIFS(Table1[region],Table1[[#This Row],[region]],Table1[default_flag],1)/COUNTIF(Table1[region],Table1[[#This Row],[region]])</f>
        <v>2.8571428571428571E-2</v>
      </c>
      <c r="AE482" s="2">
        <f>COUNTIFS(Table1[channel],Table1[[#This Row],[channel]],Table1[prepayment_flag],1)/COUNTIF(Table1[channel],Table1[[#This Row],[channel]])</f>
        <v>7.1090047393364927E-2</v>
      </c>
      <c r="AF482" s="2">
        <f>AVERAGEIFS(Table1[interest_rate_pct],Table1[product],Table1[[#This Row],[product]],Table1[risk_band],Table1[[#This Row],[risk_band]])</f>
        <v>13.463888888888889</v>
      </c>
      <c r="AG482" s="2" t="str" cm="1">
        <f t="array" ref="AG482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482" s="2">
        <f>COUNTIF(Table1[DTI band],Table1[[#This Row],[DTI band]])</f>
        <v>122</v>
      </c>
      <c r="AI482" s="2" t="str" cm="1">
        <f t="array" ref="AI482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482" s="2">
        <f>COUNTIF(Table1[LTV band],Table1[[#This Row],[LTV band]])</f>
        <v>302</v>
      </c>
      <c r="AK482" s="19">
        <f>COUNTIFS(Table1[count_loan_perband],Table1[[#This Row],[count_loan_perband]],Table1[default_flag],1)/COUNTIF(Table1[count_loan_perband],Table1[[#This Row],[count_loan_perband]])</f>
        <v>3.6423841059602648E-2</v>
      </c>
      <c r="AL482" s="19" t="str" cm="1">
        <f t="array" ref="AL482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482" s="19">
        <f>IF(Table1[[#This Row],[dpd]] &gt;=30,1,0)</f>
        <v>0</v>
      </c>
      <c r="AN482" s="19">
        <f>COUNTIFS(Table1[Loan size],Table1[[#This Row],[Loan size]],Table1[dpd flag],1)/COUNTIF(Table1[Loan size],Table1[[#This Row],[Loan size]])</f>
        <v>0.13934426229508196</v>
      </c>
      <c r="AO482" s="19" t="str">
        <f>IF(OR(Table1[[#This Row],[credit_score]] &lt; 600, Table1[ [#This Row],[dti_ratio] ] &gt; 0.5, Table1[[#This Row],[dpd]] &gt;=30), "high risk", " not riskY")</f>
        <v xml:space="preserve"> not riskY</v>
      </c>
      <c r="AP482" s="29">
        <f>EOMONTH(Table1[[#This Row],[origination_date]],0)</f>
        <v>45596</v>
      </c>
      <c r="AQ482" s="19">
        <f>SUMIFS(Table1[loan_amount],Table1[origination month],Table1[[#This Row],[origination month]])</f>
        <v>14982900</v>
      </c>
      <c r="AR482" s="19">
        <f>AVERAGEIFS(Table1[months_on_book],Table1[product],Table1[[#This Row],[product]])</f>
        <v>21.962962962962962</v>
      </c>
      <c r="AS482" s="19" t="str">
        <f ca="1">IF(EDATE(Table1[[#This Row],[origination_date]],6) &gt;= TODAY(), "New Loan", "Old Loan")</f>
        <v>Old Loan</v>
      </c>
      <c r="AT482" s="19" t="str">
        <f>"Q"&amp;ROUNDUP(MONTH(Table1[[#This Row],[origination_date]])/3,0)&amp;YEAR(Table1[[#This Row],[origination_date]])</f>
        <v>Q42024</v>
      </c>
      <c r="AU482" s="19">
        <f>SUMIFS(Table1[loan_amount],Table1[quarter],Table1[[#This Row],[quarter]])</f>
        <v>53441200</v>
      </c>
    </row>
    <row r="483" spans="2:47" x14ac:dyDescent="0.2">
      <c r="B483" s="5" t="s">
        <v>229</v>
      </c>
      <c r="C483" s="2" t="s">
        <v>729</v>
      </c>
      <c r="D483" s="3">
        <v>45650</v>
      </c>
      <c r="E483" s="2" t="s">
        <v>1027</v>
      </c>
      <c r="F483" s="2" t="s">
        <v>1030</v>
      </c>
      <c r="G483" s="2" t="s">
        <v>1036</v>
      </c>
      <c r="H483" s="2" t="s">
        <v>1038</v>
      </c>
      <c r="I483" s="2">
        <v>24</v>
      </c>
      <c r="J483" s="2">
        <v>2888500</v>
      </c>
      <c r="K483" s="2">
        <v>11.45</v>
      </c>
      <c r="L483" s="2">
        <v>135231</v>
      </c>
      <c r="M483" s="2">
        <v>720227</v>
      </c>
      <c r="N483" s="2">
        <v>683</v>
      </c>
      <c r="O483" s="2" t="s">
        <v>1042</v>
      </c>
      <c r="P483" s="2">
        <v>0.27</v>
      </c>
      <c r="Q483" s="2">
        <v>1</v>
      </c>
      <c r="R483" s="2">
        <v>2890600</v>
      </c>
      <c r="S483" s="2">
        <v>12</v>
      </c>
      <c r="T483" s="2">
        <v>1570584</v>
      </c>
      <c r="U483" s="2">
        <v>1450209</v>
      </c>
      <c r="V483" s="2">
        <v>0</v>
      </c>
      <c r="W483" s="2">
        <v>0</v>
      </c>
      <c r="X483" s="2">
        <v>0</v>
      </c>
      <c r="Y483" s="2" t="s">
        <v>1049</v>
      </c>
      <c r="Z483" s="12">
        <f>SUMIF(Table1[product],Table1[[#This Row],[product]],Table1[loan_amount])</f>
        <v>403369500</v>
      </c>
      <c r="AA483" s="15">
        <f>SUMIF(Table1[region],Table1[[#This Row],[region]],Table1[current_balance])</f>
        <v>98928695</v>
      </c>
      <c r="AB483" s="2">
        <f>COUNTIF(Table1[loan_status],Table1[[#This Row],[loan_status]])</f>
        <v>301</v>
      </c>
      <c r="AC483" s="2">
        <f>COUNTIF(Table1[default_flag],1)/ROWS(Table1[loan_id])</f>
        <v>2.5999999999999999E-2</v>
      </c>
      <c r="AD483" s="2">
        <f>COUNTIFS(Table1[region],Table1[[#This Row],[region]],Table1[default_flag],1)/COUNTIF(Table1[region],Table1[[#This Row],[region]])</f>
        <v>2.8571428571428571E-2</v>
      </c>
      <c r="AE483" s="2">
        <f>COUNTIFS(Table1[channel],Table1[[#This Row],[channel]],Table1[prepayment_flag],1)/COUNTIF(Table1[channel],Table1[[#This Row],[channel]])</f>
        <v>5.8201058201058198E-2</v>
      </c>
      <c r="AF483" s="2">
        <f>AVERAGEIFS(Table1[interest_rate_pct],Table1[product],Table1[[#This Row],[product]],Table1[risk_band],Table1[[#This Row],[risk_band]])</f>
        <v>11.719736842105268</v>
      </c>
      <c r="AG483" s="2" t="str" cm="1">
        <f t="array" ref="AG483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483" s="2">
        <f>COUNTIF(Table1[DTI band],Table1[[#This Row],[DTI band]])</f>
        <v>122</v>
      </c>
      <c r="AI483" s="2" t="str" cm="1">
        <f t="array" ref="AI483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483" s="2">
        <f>COUNTIF(Table1[LTV band],Table1[[#This Row],[LTV band]])</f>
        <v>141</v>
      </c>
      <c r="AK483" s="19">
        <f>COUNTIFS(Table1[count_loan_perband],Table1[[#This Row],[count_loan_perband]],Table1[default_flag],1)/COUNTIF(Table1[count_loan_perband],Table1[[#This Row],[count_loan_perband]])</f>
        <v>1.4184397163120567E-2</v>
      </c>
      <c r="AL483" s="19" t="str" cm="1">
        <f t="array" ref="AL483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483" s="19">
        <f>IF(Table1[[#This Row],[dpd]] &gt;=30,1,0)</f>
        <v>0</v>
      </c>
      <c r="AN483" s="19">
        <f>COUNTIFS(Table1[Loan size],Table1[[#This Row],[Loan size]],Table1[dpd flag],1)/COUNTIF(Table1[Loan size],Table1[[#This Row],[Loan size]])</f>
        <v>0.15909090909090909</v>
      </c>
      <c r="AO483" s="19" t="str">
        <f>IF(OR(Table1[[#This Row],[credit_score]] &lt; 600, Table1[ [#This Row],[dti_ratio] ] &gt; 0.5, Table1[[#This Row],[dpd]] &gt;=30), "high risk", " not riskY")</f>
        <v xml:space="preserve"> not riskY</v>
      </c>
      <c r="AP483" s="29">
        <f>EOMONTH(Table1[[#This Row],[origination_date]],0)</f>
        <v>45657</v>
      </c>
      <c r="AQ483" s="19">
        <f>SUMIFS(Table1[loan_amount],Table1[origination month],Table1[[#This Row],[origination month]])</f>
        <v>19904900</v>
      </c>
      <c r="AR483" s="19">
        <f>AVERAGEIFS(Table1[months_on_book],Table1[product],Table1[[#This Row],[product]])</f>
        <v>20.516129032258064</v>
      </c>
      <c r="AS483" s="19" t="str">
        <f ca="1">IF(EDATE(Table1[[#This Row],[origination_date]],6) &gt;= TODAY(), "New Loan", "Old Loan")</f>
        <v>Old Loan</v>
      </c>
      <c r="AT483" s="19" t="str">
        <f>"Q"&amp;ROUNDUP(MONTH(Table1[[#This Row],[origination_date]])/3,0)&amp;YEAR(Table1[[#This Row],[origination_date]])</f>
        <v>Q42024</v>
      </c>
      <c r="AU483" s="19">
        <f>SUMIFS(Table1[loan_amount],Table1[quarter],Table1[[#This Row],[quarter]])</f>
        <v>53441200</v>
      </c>
    </row>
    <row r="484" spans="2:47" x14ac:dyDescent="0.2">
      <c r="B484" s="5" t="s">
        <v>74</v>
      </c>
      <c r="C484" s="2" t="s">
        <v>574</v>
      </c>
      <c r="D484" s="3">
        <v>45579</v>
      </c>
      <c r="E484" s="2" t="s">
        <v>1026</v>
      </c>
      <c r="F484" s="2" t="s">
        <v>1029</v>
      </c>
      <c r="G484" s="2" t="s">
        <v>1034</v>
      </c>
      <c r="H484" s="2" t="s">
        <v>1039</v>
      </c>
      <c r="I484" s="2">
        <v>180</v>
      </c>
      <c r="J484" s="2">
        <v>663700</v>
      </c>
      <c r="K484" s="2">
        <v>22.09</v>
      </c>
      <c r="L484" s="2">
        <v>12694</v>
      </c>
      <c r="M484" s="2">
        <v>824664</v>
      </c>
      <c r="N484" s="2">
        <v>610</v>
      </c>
      <c r="O484" s="2" t="s">
        <v>1045</v>
      </c>
      <c r="P484" s="2">
        <v>0.23</v>
      </c>
      <c r="Q484" s="2">
        <v>0.77</v>
      </c>
      <c r="R484" s="2">
        <v>0</v>
      </c>
      <c r="S484" s="2">
        <v>14</v>
      </c>
      <c r="T484" s="2">
        <v>156525</v>
      </c>
      <c r="U484" s="2">
        <v>575594</v>
      </c>
      <c r="V484" s="2">
        <v>0</v>
      </c>
      <c r="W484" s="2">
        <v>0</v>
      </c>
      <c r="X484" s="2">
        <v>0</v>
      </c>
      <c r="Y484" s="2" t="s">
        <v>1049</v>
      </c>
      <c r="Z484" s="12">
        <f>SUMIF(Table1[product],Table1[[#This Row],[product]],Table1[loan_amount])</f>
        <v>74897600</v>
      </c>
      <c r="AA484" s="15">
        <f>SUMIF(Table1[region],Table1[[#This Row],[region]],Table1[current_balance])</f>
        <v>105779369</v>
      </c>
      <c r="AB484" s="2">
        <f>COUNTIF(Table1[loan_status],Table1[[#This Row],[loan_status]])</f>
        <v>301</v>
      </c>
      <c r="AC484" s="2">
        <f>COUNTIF(Table1[default_flag],1)/ROWS(Table1[loan_id])</f>
        <v>2.5999999999999999E-2</v>
      </c>
      <c r="AD484" s="2">
        <f>COUNTIFS(Table1[region],Table1[[#This Row],[region]],Table1[default_flag],1)/COUNTIF(Table1[region],Table1[[#This Row],[region]])</f>
        <v>2.6548672566371681E-2</v>
      </c>
      <c r="AE484" s="2">
        <f>COUNTIFS(Table1[channel],Table1[[#This Row],[channel]],Table1[prepayment_flag],1)/COUNTIF(Table1[channel],Table1[[#This Row],[channel]])</f>
        <v>7.1090047393364927E-2</v>
      </c>
      <c r="AF484" s="2">
        <f>AVERAGEIFS(Table1[interest_rate_pct],Table1[product],Table1[[#This Row],[product]],Table1[risk_band],Table1[[#This Row],[risk_band]])</f>
        <v>20.962592592592593</v>
      </c>
      <c r="AG484" s="2" t="str" cm="1">
        <f t="array" ref="AG484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484" s="2">
        <f>COUNTIF(Table1[DTI band],Table1[[#This Row],[DTI band]])</f>
        <v>122</v>
      </c>
      <c r="AI484" s="2" t="str" cm="1">
        <f t="array" ref="AI484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484" s="2">
        <f>COUNTIF(Table1[LTV band],Table1[[#This Row],[LTV band]])</f>
        <v>302</v>
      </c>
      <c r="AK484" s="19">
        <f>COUNTIFS(Table1[count_loan_perband],Table1[[#This Row],[count_loan_perband]],Table1[default_flag],1)/COUNTIF(Table1[count_loan_perband],Table1[[#This Row],[count_loan_perband]])</f>
        <v>3.6423841059602648E-2</v>
      </c>
      <c r="AL484" s="19" t="str" cm="1">
        <f t="array" ref="AL484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484" s="19">
        <f>IF(Table1[[#This Row],[dpd]] &gt;=30,1,0)</f>
        <v>0</v>
      </c>
      <c r="AN484" s="19">
        <f>COUNTIFS(Table1[Loan size],Table1[[#This Row],[Loan size]],Table1[dpd flag],1)/COUNTIF(Table1[Loan size],Table1[[#This Row],[Loan size]])</f>
        <v>0.13934426229508196</v>
      </c>
      <c r="AO484" s="19" t="str">
        <f>IF(OR(Table1[[#This Row],[credit_score]] &lt; 600, Table1[ [#This Row],[dti_ratio] ] &gt; 0.5, Table1[[#This Row],[dpd]] &gt;=30), "high risk", " not riskY")</f>
        <v xml:space="preserve"> not riskY</v>
      </c>
      <c r="AP484" s="29">
        <f>EOMONTH(Table1[[#This Row],[origination_date]],0)</f>
        <v>45596</v>
      </c>
      <c r="AQ484" s="19">
        <f>SUMIFS(Table1[loan_amount],Table1[origination month],Table1[[#This Row],[origination month]])</f>
        <v>14982900</v>
      </c>
      <c r="AR484" s="19">
        <f>AVERAGEIFS(Table1[months_on_book],Table1[product],Table1[[#This Row],[product]])</f>
        <v>21.092024539877301</v>
      </c>
      <c r="AS484" s="19" t="str">
        <f ca="1">IF(EDATE(Table1[[#This Row],[origination_date]],6) &gt;= TODAY(), "New Loan", "Old Loan")</f>
        <v>Old Loan</v>
      </c>
      <c r="AT484" s="19" t="str">
        <f>"Q"&amp;ROUNDUP(MONTH(Table1[[#This Row],[origination_date]])/3,0)&amp;YEAR(Table1[[#This Row],[origination_date]])</f>
        <v>Q42024</v>
      </c>
      <c r="AU484" s="19">
        <f>SUMIFS(Table1[loan_amount],Table1[quarter],Table1[[#This Row],[quarter]])</f>
        <v>53441200</v>
      </c>
    </row>
    <row r="485" spans="2:47" x14ac:dyDescent="0.2">
      <c r="B485" s="5" t="s">
        <v>391</v>
      </c>
      <c r="C485" s="2" t="s">
        <v>891</v>
      </c>
      <c r="D485" s="3">
        <v>45588</v>
      </c>
      <c r="E485" s="2" t="s">
        <v>1025</v>
      </c>
      <c r="F485" s="2" t="s">
        <v>1030</v>
      </c>
      <c r="G485" s="2" t="s">
        <v>1034</v>
      </c>
      <c r="H485" s="2" t="s">
        <v>1038</v>
      </c>
      <c r="I485" s="2">
        <v>36</v>
      </c>
      <c r="J485" s="2">
        <v>3181700</v>
      </c>
      <c r="K485" s="2">
        <v>18.29</v>
      </c>
      <c r="L485" s="2">
        <v>115489</v>
      </c>
      <c r="M485" s="2">
        <v>1822159</v>
      </c>
      <c r="N485" s="2">
        <v>616</v>
      </c>
      <c r="O485" s="2" t="s">
        <v>1045</v>
      </c>
      <c r="P485" s="2">
        <v>0.21</v>
      </c>
      <c r="Q485" s="2">
        <v>0.69</v>
      </c>
      <c r="R485" s="2">
        <v>4613100</v>
      </c>
      <c r="S485" s="2">
        <v>14</v>
      </c>
      <c r="T485" s="2">
        <v>1445629</v>
      </c>
      <c r="U485" s="2">
        <v>2007640</v>
      </c>
      <c r="V485" s="2">
        <v>0</v>
      </c>
      <c r="W485" s="2">
        <v>0</v>
      </c>
      <c r="X485" s="2">
        <v>0</v>
      </c>
      <c r="Y485" s="2" t="s">
        <v>1049</v>
      </c>
      <c r="Z485" s="12">
        <f>SUMIF(Table1[product],Table1[[#This Row],[product]],Table1[loan_amount])</f>
        <v>201475100</v>
      </c>
      <c r="AA485" s="15">
        <f>SUMIF(Table1[region],Table1[[#This Row],[region]],Table1[current_balance])</f>
        <v>105779369</v>
      </c>
      <c r="AB485" s="2">
        <f>COUNTIF(Table1[loan_status],Table1[[#This Row],[loan_status]])</f>
        <v>301</v>
      </c>
      <c r="AC485" s="2">
        <f>COUNTIF(Table1[default_flag],1)/ROWS(Table1[loan_id])</f>
        <v>2.5999999999999999E-2</v>
      </c>
      <c r="AD485" s="2">
        <f>COUNTIFS(Table1[region],Table1[[#This Row],[region]],Table1[default_flag],1)/COUNTIF(Table1[region],Table1[[#This Row],[region]])</f>
        <v>2.6548672566371681E-2</v>
      </c>
      <c r="AE485" s="2">
        <f>COUNTIFS(Table1[channel],Table1[[#This Row],[channel]],Table1[prepayment_flag],1)/COUNTIF(Table1[channel],Table1[[#This Row],[channel]])</f>
        <v>5.8201058201058198E-2</v>
      </c>
      <c r="AF485" s="2">
        <f>AVERAGEIFS(Table1[interest_rate_pct],Table1[product],Table1[[#This Row],[product]],Table1[risk_band],Table1[[#This Row],[risk_band]])</f>
        <v>18.241249999999997</v>
      </c>
      <c r="AG485" s="2" t="str" cm="1">
        <f t="array" ref="AG485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485" s="2">
        <f>COUNTIF(Table1[DTI band],Table1[[#This Row],[DTI band]])</f>
        <v>122</v>
      </c>
      <c r="AI485" s="2" t="str" cm="1">
        <f t="array" ref="AI485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485" s="2">
        <f>COUNTIF(Table1[LTV band],Table1[[#This Row],[LTV band]])</f>
        <v>302</v>
      </c>
      <c r="AK485" s="19">
        <f>COUNTIFS(Table1[count_loan_perband],Table1[[#This Row],[count_loan_perband]],Table1[default_flag],1)/COUNTIF(Table1[count_loan_perband],Table1[[#This Row],[count_loan_perband]])</f>
        <v>3.6423841059602648E-2</v>
      </c>
      <c r="AL485" s="19" t="str" cm="1">
        <f t="array" ref="AL485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485" s="19">
        <f>IF(Table1[[#This Row],[dpd]] &gt;=30,1,0)</f>
        <v>0</v>
      </c>
      <c r="AN485" s="19">
        <f>COUNTIFS(Table1[Loan size],Table1[[#This Row],[Loan size]],Table1[dpd flag],1)/COUNTIF(Table1[Loan size],Table1[[#This Row],[Loan size]])</f>
        <v>0.15909090909090909</v>
      </c>
      <c r="AO485" s="19" t="str">
        <f>IF(OR(Table1[[#This Row],[credit_score]] &lt; 600, Table1[ [#This Row],[dti_ratio] ] &gt; 0.5, Table1[[#This Row],[dpd]] &gt;=30), "high risk", " not riskY")</f>
        <v xml:space="preserve"> not riskY</v>
      </c>
      <c r="AP485" s="29">
        <f>EOMONTH(Table1[[#This Row],[origination_date]],0)</f>
        <v>45596</v>
      </c>
      <c r="AQ485" s="19">
        <f>SUMIFS(Table1[loan_amount],Table1[origination month],Table1[[#This Row],[origination month]])</f>
        <v>14982900</v>
      </c>
      <c r="AR485" s="19">
        <f>AVERAGEIFS(Table1[months_on_book],Table1[product],Table1[[#This Row],[product]])</f>
        <v>19.091954022988507</v>
      </c>
      <c r="AS485" s="19" t="str">
        <f ca="1">IF(EDATE(Table1[[#This Row],[origination_date]],6) &gt;= TODAY(), "New Loan", "Old Loan")</f>
        <v>Old Loan</v>
      </c>
      <c r="AT485" s="19" t="str">
        <f>"Q"&amp;ROUNDUP(MONTH(Table1[[#This Row],[origination_date]])/3,0)&amp;YEAR(Table1[[#This Row],[origination_date]])</f>
        <v>Q42024</v>
      </c>
      <c r="AU485" s="19">
        <f>SUMIFS(Table1[loan_amount],Table1[quarter],Table1[[#This Row],[quarter]])</f>
        <v>53441200</v>
      </c>
    </row>
    <row r="486" spans="2:47" x14ac:dyDescent="0.2">
      <c r="B486" s="5" t="s">
        <v>198</v>
      </c>
      <c r="C486" s="2" t="s">
        <v>698</v>
      </c>
      <c r="D486" s="3">
        <v>45596</v>
      </c>
      <c r="E486" s="2" t="s">
        <v>1026</v>
      </c>
      <c r="F486" s="2" t="s">
        <v>1031</v>
      </c>
      <c r="G486" s="2" t="s">
        <v>1035</v>
      </c>
      <c r="H486" s="2" t="s">
        <v>1039</v>
      </c>
      <c r="I486" s="2">
        <v>240</v>
      </c>
      <c r="J486" s="2">
        <v>638100</v>
      </c>
      <c r="K486" s="2">
        <v>10.44</v>
      </c>
      <c r="L486" s="2">
        <v>6345</v>
      </c>
      <c r="M486" s="2">
        <v>1364855</v>
      </c>
      <c r="N486" s="2">
        <v>850</v>
      </c>
      <c r="O486" s="2" t="s">
        <v>1043</v>
      </c>
      <c r="P486" s="2">
        <v>0.17</v>
      </c>
      <c r="Q486" s="2">
        <v>0.66</v>
      </c>
      <c r="R486" s="2">
        <v>0</v>
      </c>
      <c r="S486" s="2">
        <v>14</v>
      </c>
      <c r="T486" s="2">
        <v>79852</v>
      </c>
      <c r="U486" s="2">
        <v>589336</v>
      </c>
      <c r="V486" s="2">
        <v>0</v>
      </c>
      <c r="W486" s="2">
        <v>0</v>
      </c>
      <c r="X486" s="2">
        <v>0</v>
      </c>
      <c r="Y486" s="2" t="s">
        <v>1049</v>
      </c>
      <c r="Z486" s="12">
        <f>SUMIF(Table1[product],Table1[[#This Row],[product]],Table1[loan_amount])</f>
        <v>74897600</v>
      </c>
      <c r="AA486" s="15">
        <f>SUMIF(Table1[region],Table1[[#This Row],[region]],Table1[current_balance])</f>
        <v>83903255</v>
      </c>
      <c r="AB486" s="2">
        <f>COUNTIF(Table1[loan_status],Table1[[#This Row],[loan_status]])</f>
        <v>301</v>
      </c>
      <c r="AC486" s="2">
        <f>COUNTIF(Table1[default_flag],1)/ROWS(Table1[loan_id])</f>
        <v>2.5999999999999999E-2</v>
      </c>
      <c r="AD486" s="2">
        <f>COUNTIFS(Table1[region],Table1[[#This Row],[region]],Table1[default_flag],1)/COUNTIF(Table1[region],Table1[[#This Row],[region]])</f>
        <v>4.2553191489361701E-2</v>
      </c>
      <c r="AE486" s="2">
        <f>COUNTIFS(Table1[channel],Table1[[#This Row],[channel]],Table1[prepayment_flag],1)/COUNTIF(Table1[channel],Table1[[#This Row],[channel]])</f>
        <v>0.12</v>
      </c>
      <c r="AF486" s="2">
        <f>AVERAGEIFS(Table1[interest_rate_pct],Table1[product],Table1[[#This Row],[product]],Table1[risk_band],Table1[[#This Row],[risk_band]])</f>
        <v>13.328333333333335</v>
      </c>
      <c r="AG486" s="2" t="str" cm="1">
        <f t="array" ref="AG486">_xlfn.IFS(Table1[[#This Row],[dti_ratio]] &lt; 0.2, " less than 0.2", Table1[[#This Row],[dti_ratio]] &lt; 0.3, "0.2 - 0.3", Table1[[#This Row],[dti_ratio]] &lt;= 0.5, "0.35 - 0.5", Table1[[#This Row],[dti_ratio]] &gt; 0.5, "greater than 0.5")</f>
        <v xml:space="preserve"> less than 0.2</v>
      </c>
      <c r="AH486" s="2">
        <f>COUNTIF(Table1[DTI band],Table1[[#This Row],[DTI band]])</f>
        <v>86</v>
      </c>
      <c r="AI486" s="2" t="str" cm="1">
        <f t="array" ref="AI486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486" s="2">
        <f>COUNTIF(Table1[LTV band],Table1[[#This Row],[LTV band]])</f>
        <v>302</v>
      </c>
      <c r="AK486" s="19">
        <f>COUNTIFS(Table1[count_loan_perband],Table1[[#This Row],[count_loan_perband]],Table1[default_flag],1)/COUNTIF(Table1[count_loan_perband],Table1[[#This Row],[count_loan_perband]])</f>
        <v>3.6423841059602648E-2</v>
      </c>
      <c r="AL486" s="19" t="str" cm="1">
        <f t="array" ref="AL486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486" s="19">
        <f>IF(Table1[[#This Row],[dpd]] &gt;=30,1,0)</f>
        <v>0</v>
      </c>
      <c r="AN486" s="19">
        <f>COUNTIFS(Table1[Loan size],Table1[[#This Row],[Loan size]],Table1[dpd flag],1)/COUNTIF(Table1[Loan size],Table1[[#This Row],[Loan size]])</f>
        <v>0.13934426229508196</v>
      </c>
      <c r="AO486" s="19" t="str">
        <f>IF(OR(Table1[[#This Row],[credit_score]] &lt; 600, Table1[ [#This Row],[dti_ratio] ] &gt; 0.5, Table1[[#This Row],[dpd]] &gt;=30), "high risk", " not riskY")</f>
        <v xml:space="preserve"> not riskY</v>
      </c>
      <c r="AP486" s="29">
        <f>EOMONTH(Table1[[#This Row],[origination_date]],0)</f>
        <v>45596</v>
      </c>
      <c r="AQ486" s="19">
        <f>SUMIFS(Table1[loan_amount],Table1[origination month],Table1[[#This Row],[origination month]])</f>
        <v>14982900</v>
      </c>
      <c r="AR486" s="19">
        <f>AVERAGEIFS(Table1[months_on_book],Table1[product],Table1[[#This Row],[product]])</f>
        <v>21.092024539877301</v>
      </c>
      <c r="AS486" s="19" t="str">
        <f ca="1">IF(EDATE(Table1[[#This Row],[origination_date]],6) &gt;= TODAY(), "New Loan", "Old Loan")</f>
        <v>Old Loan</v>
      </c>
      <c r="AT486" s="19" t="str">
        <f>"Q"&amp;ROUNDUP(MONTH(Table1[[#This Row],[origination_date]])/3,0)&amp;YEAR(Table1[[#This Row],[origination_date]])</f>
        <v>Q42024</v>
      </c>
      <c r="AU486" s="19">
        <f>SUMIFS(Table1[loan_amount],Table1[quarter],Table1[[#This Row],[quarter]])</f>
        <v>53441200</v>
      </c>
    </row>
    <row r="487" spans="2:47" x14ac:dyDescent="0.2">
      <c r="B487" s="5" t="s">
        <v>160</v>
      </c>
      <c r="C487" s="2" t="s">
        <v>660</v>
      </c>
      <c r="D487" s="3">
        <v>45582</v>
      </c>
      <c r="E487" s="2" t="s">
        <v>1026</v>
      </c>
      <c r="F487" s="2" t="s">
        <v>1032</v>
      </c>
      <c r="G487" s="2" t="s">
        <v>1034</v>
      </c>
      <c r="H487" s="2" t="s">
        <v>1038</v>
      </c>
      <c r="I487" s="2">
        <v>48</v>
      </c>
      <c r="J487" s="2">
        <v>614400</v>
      </c>
      <c r="K487" s="2">
        <v>17.63</v>
      </c>
      <c r="L487" s="2">
        <v>17929</v>
      </c>
      <c r="M487" s="2">
        <v>1106024</v>
      </c>
      <c r="N487" s="2">
        <v>678</v>
      </c>
      <c r="O487" s="2" t="s">
        <v>1042</v>
      </c>
      <c r="P487" s="2">
        <v>0.13</v>
      </c>
      <c r="Q487" s="2">
        <v>0.72</v>
      </c>
      <c r="R487" s="2">
        <v>0</v>
      </c>
      <c r="S487" s="2">
        <v>14</v>
      </c>
      <c r="T487" s="2">
        <v>247077</v>
      </c>
      <c r="U487" s="2">
        <v>417872</v>
      </c>
      <c r="V487" s="2">
        <v>0</v>
      </c>
      <c r="W487" s="2">
        <v>0</v>
      </c>
      <c r="X487" s="2">
        <v>0</v>
      </c>
      <c r="Y487" s="2" t="s">
        <v>1049</v>
      </c>
      <c r="Z487" s="12">
        <f>SUMIF(Table1[product],Table1[[#This Row],[product]],Table1[loan_amount])</f>
        <v>74897600</v>
      </c>
      <c r="AA487" s="15">
        <f>SUMIF(Table1[region],Table1[[#This Row],[region]],Table1[current_balance])</f>
        <v>105779369</v>
      </c>
      <c r="AB487" s="2">
        <f>COUNTIF(Table1[loan_status],Table1[[#This Row],[loan_status]])</f>
        <v>301</v>
      </c>
      <c r="AC487" s="2">
        <f>COUNTIF(Table1[default_flag],1)/ROWS(Table1[loan_id])</f>
        <v>2.5999999999999999E-2</v>
      </c>
      <c r="AD487" s="2">
        <f>COUNTIFS(Table1[region],Table1[[#This Row],[region]],Table1[default_flag],1)/COUNTIF(Table1[region],Table1[[#This Row],[region]])</f>
        <v>2.6548672566371681E-2</v>
      </c>
      <c r="AE487" s="2">
        <f>COUNTIFS(Table1[channel],Table1[[#This Row],[channel]],Table1[prepayment_flag],1)/COUNTIF(Table1[channel],Table1[[#This Row],[channel]])</f>
        <v>0.1</v>
      </c>
      <c r="AF487" s="2">
        <f>AVERAGEIFS(Table1[interest_rate_pct],Table1[product],Table1[[#This Row],[product]],Table1[risk_band],Table1[[#This Row],[risk_band]])</f>
        <v>18.603181818181817</v>
      </c>
      <c r="AG487" s="2" t="str" cm="1">
        <f t="array" ref="AG487">_xlfn.IFS(Table1[[#This Row],[dti_ratio]] &lt; 0.2, " less than 0.2", Table1[[#This Row],[dti_ratio]] &lt; 0.3, "0.2 - 0.3", Table1[[#This Row],[dti_ratio]] &lt;= 0.5, "0.35 - 0.5", Table1[[#This Row],[dti_ratio]] &gt; 0.5, "greater than 0.5")</f>
        <v xml:space="preserve"> less than 0.2</v>
      </c>
      <c r="AH487" s="2">
        <f>COUNTIF(Table1[DTI band],Table1[[#This Row],[DTI band]])</f>
        <v>86</v>
      </c>
      <c r="AI487" s="2" t="str" cm="1">
        <f t="array" ref="AI487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487" s="2">
        <f>COUNTIF(Table1[LTV band],Table1[[#This Row],[LTV band]])</f>
        <v>302</v>
      </c>
      <c r="AK487" s="19">
        <f>COUNTIFS(Table1[count_loan_perband],Table1[[#This Row],[count_loan_perband]],Table1[default_flag],1)/COUNTIF(Table1[count_loan_perband],Table1[[#This Row],[count_loan_perband]])</f>
        <v>3.6423841059602648E-2</v>
      </c>
      <c r="AL487" s="19" t="str" cm="1">
        <f t="array" ref="AL487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487" s="19">
        <f>IF(Table1[[#This Row],[dpd]] &gt;=30,1,0)</f>
        <v>0</v>
      </c>
      <c r="AN487" s="19">
        <f>COUNTIFS(Table1[Loan size],Table1[[#This Row],[Loan size]],Table1[dpd flag],1)/COUNTIF(Table1[Loan size],Table1[[#This Row],[Loan size]])</f>
        <v>0.13934426229508196</v>
      </c>
      <c r="AO487" s="19" t="str">
        <f>IF(OR(Table1[[#This Row],[credit_score]] &lt; 600, Table1[ [#This Row],[dti_ratio] ] &gt; 0.5, Table1[[#This Row],[dpd]] &gt;=30), "high risk", " not riskY")</f>
        <v xml:space="preserve"> not riskY</v>
      </c>
      <c r="AP487" s="29">
        <f>EOMONTH(Table1[[#This Row],[origination_date]],0)</f>
        <v>45596</v>
      </c>
      <c r="AQ487" s="19">
        <f>SUMIFS(Table1[loan_amount],Table1[origination month],Table1[[#This Row],[origination month]])</f>
        <v>14982900</v>
      </c>
      <c r="AR487" s="19">
        <f>AVERAGEIFS(Table1[months_on_book],Table1[product],Table1[[#This Row],[product]])</f>
        <v>21.092024539877301</v>
      </c>
      <c r="AS487" s="19" t="str">
        <f ca="1">IF(EDATE(Table1[[#This Row],[origination_date]],6) &gt;= TODAY(), "New Loan", "Old Loan")</f>
        <v>Old Loan</v>
      </c>
      <c r="AT487" s="19" t="str">
        <f>"Q"&amp;ROUNDUP(MONTH(Table1[[#This Row],[origination_date]])/3,0)&amp;YEAR(Table1[[#This Row],[origination_date]])</f>
        <v>Q42024</v>
      </c>
      <c r="AU487" s="19">
        <f>SUMIFS(Table1[loan_amount],Table1[quarter],Table1[[#This Row],[quarter]])</f>
        <v>53441200</v>
      </c>
    </row>
    <row r="488" spans="2:47" x14ac:dyDescent="0.2">
      <c r="B488" s="5" t="s">
        <v>357</v>
      </c>
      <c r="C488" s="2" t="s">
        <v>857</v>
      </c>
      <c r="D488" s="3">
        <v>45607</v>
      </c>
      <c r="E488" s="2" t="s">
        <v>1024</v>
      </c>
      <c r="F488" s="2" t="s">
        <v>1030</v>
      </c>
      <c r="G488" s="2" t="s">
        <v>1035</v>
      </c>
      <c r="H488" s="2" t="s">
        <v>1039</v>
      </c>
      <c r="I488" s="2">
        <v>24</v>
      </c>
      <c r="J488" s="2">
        <v>551200</v>
      </c>
      <c r="K488" s="2">
        <v>14.94</v>
      </c>
      <c r="L488" s="2">
        <v>26710</v>
      </c>
      <c r="M488" s="2">
        <v>188933</v>
      </c>
      <c r="N488" s="2">
        <v>639</v>
      </c>
      <c r="O488" s="2" t="s">
        <v>1045</v>
      </c>
      <c r="P488" s="2">
        <v>0.06</v>
      </c>
      <c r="Q488" s="2">
        <v>0.78</v>
      </c>
      <c r="R488" s="2">
        <v>706100</v>
      </c>
      <c r="S488" s="2">
        <v>13</v>
      </c>
      <c r="T488" s="2">
        <v>333755</v>
      </c>
      <c r="U488" s="2">
        <v>253130</v>
      </c>
      <c r="V488" s="2">
        <v>0</v>
      </c>
      <c r="W488" s="2">
        <v>1</v>
      </c>
      <c r="X488" s="2">
        <v>0</v>
      </c>
      <c r="Y488" s="2" t="s">
        <v>1047</v>
      </c>
      <c r="Z488" s="12">
        <f>SUMIF(Table1[product],Table1[[#This Row],[product]],Table1[loan_amount])</f>
        <v>92273000</v>
      </c>
      <c r="AA488" s="15">
        <f>SUMIF(Table1[region],Table1[[#This Row],[region]],Table1[current_balance])</f>
        <v>83903255</v>
      </c>
      <c r="AB488" s="2">
        <f>COUNTIF(Table1[loan_status],Table1[[#This Row],[loan_status]])</f>
        <v>139</v>
      </c>
      <c r="AC488" s="2">
        <f>COUNTIF(Table1[default_flag],1)/ROWS(Table1[loan_id])</f>
        <v>2.5999999999999999E-2</v>
      </c>
      <c r="AD488" s="2">
        <f>COUNTIFS(Table1[region],Table1[[#This Row],[region]],Table1[default_flag],1)/COUNTIF(Table1[region],Table1[[#This Row],[region]])</f>
        <v>4.2553191489361701E-2</v>
      </c>
      <c r="AE488" s="2">
        <f>COUNTIFS(Table1[channel],Table1[[#This Row],[channel]],Table1[prepayment_flag],1)/COUNTIF(Table1[channel],Table1[[#This Row],[channel]])</f>
        <v>5.8201058201058198E-2</v>
      </c>
      <c r="AF488" s="2">
        <f>AVERAGEIFS(Table1[interest_rate_pct],Table1[product],Table1[[#This Row],[product]],Table1[risk_band],Table1[[#This Row],[risk_band]])</f>
        <v>15.092000000000001</v>
      </c>
      <c r="AG488" s="2" t="str" cm="1">
        <f t="array" ref="AG488">_xlfn.IFS(Table1[[#This Row],[dti_ratio]] &lt; 0.2, " less than 0.2", Table1[[#This Row],[dti_ratio]] &lt; 0.3, "0.2 - 0.3", Table1[[#This Row],[dti_ratio]] &lt;= 0.5, "0.35 - 0.5", Table1[[#This Row],[dti_ratio]] &gt; 0.5, "greater than 0.5")</f>
        <v xml:space="preserve"> less than 0.2</v>
      </c>
      <c r="AH488" s="2">
        <f>COUNTIF(Table1[DTI band],Table1[[#This Row],[DTI band]])</f>
        <v>86</v>
      </c>
      <c r="AI488" s="2" t="str" cm="1">
        <f t="array" ref="AI488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488" s="2">
        <f>COUNTIF(Table1[LTV band],Table1[[#This Row],[LTV band]])</f>
        <v>302</v>
      </c>
      <c r="AK488" s="19">
        <f>COUNTIFS(Table1[count_loan_perband],Table1[[#This Row],[count_loan_perband]],Table1[default_flag],1)/COUNTIF(Table1[count_loan_perband],Table1[[#This Row],[count_loan_perband]])</f>
        <v>3.6423841059602648E-2</v>
      </c>
      <c r="AL488" s="19" t="str" cm="1">
        <f t="array" ref="AL488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488" s="19">
        <f>IF(Table1[[#This Row],[dpd]] &gt;=30,1,0)</f>
        <v>0</v>
      </c>
      <c r="AN488" s="19">
        <f>COUNTIFS(Table1[Loan size],Table1[[#This Row],[Loan size]],Table1[dpd flag],1)/COUNTIF(Table1[Loan size],Table1[[#This Row],[Loan size]])</f>
        <v>0.13934426229508196</v>
      </c>
      <c r="AO488" s="19" t="str">
        <f>IF(OR(Table1[[#This Row],[credit_score]] &lt; 600, Table1[ [#This Row],[dti_ratio] ] &gt; 0.5, Table1[[#This Row],[dpd]] &gt;=30), "high risk", " not riskY")</f>
        <v xml:space="preserve"> not riskY</v>
      </c>
      <c r="AP488" s="29">
        <f>EOMONTH(Table1[[#This Row],[origination_date]],0)</f>
        <v>45626</v>
      </c>
      <c r="AQ488" s="19">
        <f>SUMIFS(Table1[loan_amount],Table1[origination month],Table1[[#This Row],[origination month]])</f>
        <v>18553400</v>
      </c>
      <c r="AR488" s="19">
        <f>AVERAGEIFS(Table1[months_on_book],Table1[product],Table1[[#This Row],[product]])</f>
        <v>20.262135922330096</v>
      </c>
      <c r="AS488" s="19" t="str">
        <f ca="1">IF(EDATE(Table1[[#This Row],[origination_date]],6) &gt;= TODAY(), "New Loan", "Old Loan")</f>
        <v>Old Loan</v>
      </c>
      <c r="AT488" s="19" t="str">
        <f>"Q"&amp;ROUNDUP(MONTH(Table1[[#This Row],[origination_date]])/3,0)&amp;YEAR(Table1[[#This Row],[origination_date]])</f>
        <v>Q42024</v>
      </c>
      <c r="AU488" s="19">
        <f>SUMIFS(Table1[loan_amount],Table1[quarter],Table1[[#This Row],[quarter]])</f>
        <v>53441200</v>
      </c>
    </row>
    <row r="489" spans="2:47" x14ac:dyDescent="0.2">
      <c r="B489" s="5" t="s">
        <v>311</v>
      </c>
      <c r="C489" s="2" t="s">
        <v>811</v>
      </c>
      <c r="D489" s="3">
        <v>45619</v>
      </c>
      <c r="E489" s="2" t="s">
        <v>1026</v>
      </c>
      <c r="F489" s="2" t="s">
        <v>1030</v>
      </c>
      <c r="G489" s="2" t="s">
        <v>1037</v>
      </c>
      <c r="H489" s="2" t="s">
        <v>1038</v>
      </c>
      <c r="I489" s="2">
        <v>24</v>
      </c>
      <c r="J489" s="2">
        <v>144100</v>
      </c>
      <c r="K489" s="2">
        <v>20.079999999999998</v>
      </c>
      <c r="L489" s="2">
        <v>7340</v>
      </c>
      <c r="M489" s="2">
        <v>867095</v>
      </c>
      <c r="N489" s="2">
        <v>638</v>
      </c>
      <c r="O489" s="2" t="s">
        <v>1045</v>
      </c>
      <c r="P489" s="2">
        <v>0.05</v>
      </c>
      <c r="Q489" s="2">
        <v>0.6</v>
      </c>
      <c r="R489" s="2">
        <v>0</v>
      </c>
      <c r="S489" s="2">
        <v>13</v>
      </c>
      <c r="T489" s="2">
        <v>96979</v>
      </c>
      <c r="U489" s="2">
        <v>59660</v>
      </c>
      <c r="V489" s="2">
        <v>0</v>
      </c>
      <c r="W489" s="2">
        <v>0</v>
      </c>
      <c r="X489" s="2">
        <v>0</v>
      </c>
      <c r="Y489" s="2" t="s">
        <v>1049</v>
      </c>
      <c r="Z489" s="12">
        <f>SUMIF(Table1[product],Table1[[#This Row],[product]],Table1[loan_amount])</f>
        <v>74897600</v>
      </c>
      <c r="AA489" s="15">
        <f>SUMIF(Table1[region],Table1[[#This Row],[region]],Table1[current_balance])</f>
        <v>94548000</v>
      </c>
      <c r="AB489" s="2">
        <f>COUNTIF(Table1[loan_status],Table1[[#This Row],[loan_status]])</f>
        <v>301</v>
      </c>
      <c r="AC489" s="2">
        <f>COUNTIF(Table1[default_flag],1)/ROWS(Table1[loan_id])</f>
        <v>2.5999999999999999E-2</v>
      </c>
      <c r="AD489" s="2">
        <f>COUNTIFS(Table1[region],Table1[[#This Row],[region]],Table1[default_flag],1)/COUNTIF(Table1[region],Table1[[#This Row],[region]])</f>
        <v>0</v>
      </c>
      <c r="AE489" s="2">
        <f>COUNTIFS(Table1[channel],Table1[[#This Row],[channel]],Table1[prepayment_flag],1)/COUNTIF(Table1[channel],Table1[[#This Row],[channel]])</f>
        <v>5.8201058201058198E-2</v>
      </c>
      <c r="AF489" s="2">
        <f>AVERAGEIFS(Table1[interest_rate_pct],Table1[product],Table1[[#This Row],[product]],Table1[risk_band],Table1[[#This Row],[risk_band]])</f>
        <v>20.962592592592593</v>
      </c>
      <c r="AG489" s="2" t="str" cm="1">
        <f t="array" ref="AG489">_xlfn.IFS(Table1[[#This Row],[dti_ratio]] &lt; 0.2, " less than 0.2", Table1[[#This Row],[dti_ratio]] &lt; 0.3, "0.2 - 0.3", Table1[[#This Row],[dti_ratio]] &lt;= 0.5, "0.35 - 0.5", Table1[[#This Row],[dti_ratio]] &gt; 0.5, "greater than 0.5")</f>
        <v xml:space="preserve"> less than 0.2</v>
      </c>
      <c r="AH489" s="2">
        <f>COUNTIF(Table1[DTI band],Table1[[#This Row],[DTI band]])</f>
        <v>86</v>
      </c>
      <c r="AI489" s="2" t="str" cm="1">
        <f t="array" ref="AI489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489" s="2">
        <f>COUNTIF(Table1[LTV band],Table1[[#This Row],[LTV band]])</f>
        <v>302</v>
      </c>
      <c r="AK489" s="19">
        <f>COUNTIFS(Table1[count_loan_perband],Table1[[#This Row],[count_loan_perband]],Table1[default_flag],1)/COUNTIF(Table1[count_loan_perband],Table1[[#This Row],[count_loan_perband]])</f>
        <v>3.6423841059602648E-2</v>
      </c>
      <c r="AL489" s="19" t="str" cm="1">
        <f t="array" ref="AL489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489" s="19">
        <f>IF(Table1[[#This Row],[dpd]] &gt;=30,1,0)</f>
        <v>0</v>
      </c>
      <c r="AN489" s="19">
        <f>COUNTIFS(Table1[Loan size],Table1[[#This Row],[Loan size]],Table1[dpd flag],1)/COUNTIF(Table1[Loan size],Table1[[#This Row],[Loan size]])</f>
        <v>0.13934426229508196</v>
      </c>
      <c r="AO489" s="19" t="str">
        <f>IF(OR(Table1[[#This Row],[credit_score]] &lt; 600, Table1[ [#This Row],[dti_ratio] ] &gt; 0.5, Table1[[#This Row],[dpd]] &gt;=30), "high risk", " not riskY")</f>
        <v xml:space="preserve"> not riskY</v>
      </c>
      <c r="AP489" s="29">
        <f>EOMONTH(Table1[[#This Row],[origination_date]],0)</f>
        <v>45626</v>
      </c>
      <c r="AQ489" s="19">
        <f>SUMIFS(Table1[loan_amount],Table1[origination month],Table1[[#This Row],[origination month]])</f>
        <v>18553400</v>
      </c>
      <c r="AR489" s="19">
        <f>AVERAGEIFS(Table1[months_on_book],Table1[product],Table1[[#This Row],[product]])</f>
        <v>21.092024539877301</v>
      </c>
      <c r="AS489" s="19" t="str">
        <f ca="1">IF(EDATE(Table1[[#This Row],[origination_date]],6) &gt;= TODAY(), "New Loan", "Old Loan")</f>
        <v>Old Loan</v>
      </c>
      <c r="AT489" s="19" t="str">
        <f>"Q"&amp;ROUNDUP(MONTH(Table1[[#This Row],[origination_date]])/3,0)&amp;YEAR(Table1[[#This Row],[origination_date]])</f>
        <v>Q42024</v>
      </c>
      <c r="AU489" s="19">
        <f>SUMIFS(Table1[loan_amount],Table1[quarter],Table1[[#This Row],[quarter]])</f>
        <v>53441200</v>
      </c>
    </row>
    <row r="490" spans="2:47" x14ac:dyDescent="0.2">
      <c r="B490" s="5" t="s">
        <v>78</v>
      </c>
      <c r="C490" s="2" t="s">
        <v>578</v>
      </c>
      <c r="D490" s="3">
        <v>45965</v>
      </c>
      <c r="E490" s="2" t="s">
        <v>1027</v>
      </c>
      <c r="F490" s="2" t="s">
        <v>1031</v>
      </c>
      <c r="G490" s="2" t="s">
        <v>1034</v>
      </c>
      <c r="H490" s="2" t="s">
        <v>1038</v>
      </c>
      <c r="I490" s="2">
        <v>24</v>
      </c>
      <c r="J490" s="2">
        <v>3354500</v>
      </c>
      <c r="K490" s="2">
        <v>7</v>
      </c>
      <c r="L490" s="2">
        <v>150190</v>
      </c>
      <c r="M490" s="2">
        <v>869233</v>
      </c>
      <c r="N490" s="2">
        <v>850</v>
      </c>
      <c r="O490" s="2" t="s">
        <v>1043</v>
      </c>
      <c r="P490" s="2">
        <v>0.52</v>
      </c>
      <c r="Q490" s="2">
        <v>1.19</v>
      </c>
      <c r="R490" s="2">
        <v>2821200</v>
      </c>
      <c r="S490" s="2">
        <v>1</v>
      </c>
      <c r="T490" s="2">
        <v>131404</v>
      </c>
      <c r="U490" s="2">
        <v>3230923</v>
      </c>
      <c r="V490" s="2">
        <v>0</v>
      </c>
      <c r="W490" s="2">
        <v>1</v>
      </c>
      <c r="X490" s="2">
        <v>0</v>
      </c>
      <c r="Y490" s="2" t="s">
        <v>1047</v>
      </c>
      <c r="Z490" s="12">
        <f>SUMIF(Table1[product],Table1[[#This Row],[product]],Table1[loan_amount])</f>
        <v>403369500</v>
      </c>
      <c r="AA490" s="15">
        <f>SUMIF(Table1[region],Table1[[#This Row],[region]],Table1[current_balance])</f>
        <v>105779369</v>
      </c>
      <c r="AB490" s="2">
        <f>COUNTIF(Table1[loan_status],Table1[[#This Row],[loan_status]])</f>
        <v>139</v>
      </c>
      <c r="AC490" s="2">
        <f>COUNTIF(Table1[default_flag],1)/ROWS(Table1[loan_id])</f>
        <v>2.5999999999999999E-2</v>
      </c>
      <c r="AD490" s="2">
        <f>COUNTIFS(Table1[region],Table1[[#This Row],[region]],Table1[default_flag],1)/COUNTIF(Table1[region],Table1[[#This Row],[region]])</f>
        <v>2.6548672566371681E-2</v>
      </c>
      <c r="AE490" s="2">
        <f>COUNTIFS(Table1[channel],Table1[[#This Row],[channel]],Table1[prepayment_flag],1)/COUNTIF(Table1[channel],Table1[[#This Row],[channel]])</f>
        <v>0.12</v>
      </c>
      <c r="AF490" s="2">
        <f>AVERAGEIFS(Table1[interest_rate_pct],Table1[product],Table1[[#This Row],[product]],Table1[risk_band],Table1[[#This Row],[risk_band]])</f>
        <v>7.1876190476190471</v>
      </c>
      <c r="AG490" s="2" t="str" cm="1">
        <f t="array" ref="AG490">_xlfn.IFS(Table1[[#This Row],[dti_ratio]] &lt; 0.2, " less than 0.2", Table1[[#This Row],[dti_ratio]] &lt; 0.3, "0.2 - 0.3", Table1[[#This Row],[dti_ratio]] &lt;= 0.5, "0.35 - 0.5", Table1[[#This Row],[dti_ratio]] &gt; 0.5, "greater than 0.5")</f>
        <v>greater than 0.5</v>
      </c>
      <c r="AH490" s="2">
        <f>COUNTIF(Table1[DTI band],Table1[[#This Row],[DTI band]])</f>
        <v>32</v>
      </c>
      <c r="AI490" s="2" t="str" cm="1">
        <f t="array" ref="AI490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490" s="2">
        <f>COUNTIF(Table1[LTV band],Table1[[#This Row],[LTV band]])</f>
        <v>141</v>
      </c>
      <c r="AK490" s="19">
        <f>COUNTIFS(Table1[count_loan_perband],Table1[[#This Row],[count_loan_perband]],Table1[default_flag],1)/COUNTIF(Table1[count_loan_perband],Table1[[#This Row],[count_loan_perband]])</f>
        <v>1.4184397163120567E-2</v>
      </c>
      <c r="AL490" s="19" t="str" cm="1">
        <f t="array" ref="AL490">_xlfn.IFS(Table1[[#This Row],[loan_amount]] &lt; 900000, "lower size (&lt; 9L)", Table1[[#This Row],[loan_amount]] &lt;=3300000, "medium size (&lt;=33L)", Table1[[#This Row],[loan_amount]] &gt; 3300000, "larger size (&gt; 33L)")</f>
        <v>larger size (&gt; 33L)</v>
      </c>
      <c r="AM490" s="19">
        <f>IF(Table1[[#This Row],[dpd]] &gt;=30,1,0)</f>
        <v>0</v>
      </c>
      <c r="AN490" s="19">
        <f>COUNTIFS(Table1[Loan size],Table1[[#This Row],[Loan size]],Table1[dpd flag],1)/COUNTIF(Table1[Loan size],Table1[[#This Row],[Loan size]])</f>
        <v>0.16250000000000001</v>
      </c>
      <c r="AO490" s="19" t="str">
        <f>IF(OR(Table1[[#This Row],[credit_score]] &lt; 600, Table1[ [#This Row],[dti_ratio] ] &gt; 0.5, Table1[[#This Row],[dpd]] &gt;=30), "high risk", " not riskY")</f>
        <v>high risk</v>
      </c>
      <c r="AP490" s="29">
        <f>EOMONTH(Table1[[#This Row],[origination_date]],0)</f>
        <v>45991</v>
      </c>
      <c r="AQ490" s="19">
        <f>SUMIFS(Table1[loan_amount],Table1[origination month],Table1[[#This Row],[origination month]])</f>
        <v>20272200</v>
      </c>
      <c r="AR490" s="19">
        <f>AVERAGEIFS(Table1[months_on_book],Table1[product],Table1[[#This Row],[product]])</f>
        <v>20.516129032258064</v>
      </c>
      <c r="AS490" s="19" t="str">
        <f ca="1">IF(EDATE(Table1[[#This Row],[origination_date]],6) &gt;= TODAY(), "New Loan", "Old Loan")</f>
        <v>New Loan</v>
      </c>
      <c r="AT490" s="19" t="str">
        <f>"Q"&amp;ROUNDUP(MONTH(Table1[[#This Row],[origination_date]])/3,0)&amp;YEAR(Table1[[#This Row],[origination_date]])</f>
        <v>Q42025</v>
      </c>
      <c r="AU490" s="19">
        <f>SUMIFS(Table1[loan_amount],Table1[quarter],Table1[[#This Row],[quarter]])</f>
        <v>38483800</v>
      </c>
    </row>
    <row r="491" spans="2:47" x14ac:dyDescent="0.2">
      <c r="B491" s="5" t="s">
        <v>69</v>
      </c>
      <c r="C491" s="2" t="s">
        <v>569</v>
      </c>
      <c r="D491" s="3">
        <v>45976</v>
      </c>
      <c r="E491" s="2" t="s">
        <v>1026</v>
      </c>
      <c r="F491" s="2" t="s">
        <v>1029</v>
      </c>
      <c r="G491" s="2" t="s">
        <v>1036</v>
      </c>
      <c r="H491" s="2" t="s">
        <v>1038</v>
      </c>
      <c r="I491" s="2">
        <v>24</v>
      </c>
      <c r="J491" s="2">
        <v>751300</v>
      </c>
      <c r="K491" s="2">
        <v>18.989999999999998</v>
      </c>
      <c r="L491" s="2">
        <v>37868</v>
      </c>
      <c r="M491" s="2">
        <v>1138837</v>
      </c>
      <c r="N491" s="2">
        <v>691</v>
      </c>
      <c r="O491" s="2" t="s">
        <v>1042</v>
      </c>
      <c r="P491" s="2">
        <v>0.51</v>
      </c>
      <c r="Q491" s="2">
        <v>0.61</v>
      </c>
      <c r="R491" s="2">
        <v>0</v>
      </c>
      <c r="S491" s="2">
        <v>1</v>
      </c>
      <c r="T491" s="2">
        <v>37205</v>
      </c>
      <c r="U491" s="2">
        <v>718851</v>
      </c>
      <c r="V491" s="2">
        <v>90</v>
      </c>
      <c r="W491" s="2">
        <v>0</v>
      </c>
      <c r="X491" s="2">
        <v>1</v>
      </c>
      <c r="Y491" s="2" t="s">
        <v>1050</v>
      </c>
      <c r="Z491" s="12">
        <f>SUMIF(Table1[product],Table1[[#This Row],[product]],Table1[loan_amount])</f>
        <v>74897600</v>
      </c>
      <c r="AA491" s="15">
        <f>SUMIF(Table1[region],Table1[[#This Row],[region]],Table1[current_balance])</f>
        <v>98928695</v>
      </c>
      <c r="AB491" s="2">
        <f>COUNTIF(Table1[loan_status],Table1[[#This Row],[loan_status]])</f>
        <v>13</v>
      </c>
      <c r="AC491" s="2">
        <f>COUNTIF(Table1[default_flag],1)/ROWS(Table1[loan_id])</f>
        <v>2.5999999999999999E-2</v>
      </c>
      <c r="AD491" s="2">
        <f>COUNTIFS(Table1[region],Table1[[#This Row],[region]],Table1[default_flag],1)/COUNTIF(Table1[region],Table1[[#This Row],[region]])</f>
        <v>2.8571428571428571E-2</v>
      </c>
      <c r="AE491" s="2">
        <f>COUNTIFS(Table1[channel],Table1[[#This Row],[channel]],Table1[prepayment_flag],1)/COUNTIF(Table1[channel],Table1[[#This Row],[channel]])</f>
        <v>7.1090047393364927E-2</v>
      </c>
      <c r="AF491" s="2">
        <f>AVERAGEIFS(Table1[interest_rate_pct],Table1[product],Table1[[#This Row],[product]],Table1[risk_band],Table1[[#This Row],[risk_band]])</f>
        <v>18.603181818181817</v>
      </c>
      <c r="AG491" s="2" t="str" cm="1">
        <f t="array" ref="AG491">_xlfn.IFS(Table1[[#This Row],[dti_ratio]] &lt; 0.2, " less than 0.2", Table1[[#This Row],[dti_ratio]] &lt; 0.3, "0.2 - 0.3", Table1[[#This Row],[dti_ratio]] &lt;= 0.5, "0.35 - 0.5", Table1[[#This Row],[dti_ratio]] &gt; 0.5, "greater than 0.5")</f>
        <v>greater than 0.5</v>
      </c>
      <c r="AH491" s="2">
        <f>COUNTIF(Table1[DTI band],Table1[[#This Row],[DTI band]])</f>
        <v>32</v>
      </c>
      <c r="AI491" s="2" t="str" cm="1">
        <f t="array" ref="AI491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491" s="2">
        <f>COUNTIF(Table1[LTV band],Table1[[#This Row],[LTV band]])</f>
        <v>302</v>
      </c>
      <c r="AK491" s="19">
        <f>COUNTIFS(Table1[count_loan_perband],Table1[[#This Row],[count_loan_perband]],Table1[default_flag],1)/COUNTIF(Table1[count_loan_perband],Table1[[#This Row],[count_loan_perband]])</f>
        <v>3.6423841059602648E-2</v>
      </c>
      <c r="AL491" s="19" t="str" cm="1">
        <f t="array" ref="AL491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491" s="19">
        <f>IF(Table1[[#This Row],[dpd]] &gt;=30,1,0)</f>
        <v>1</v>
      </c>
      <c r="AN491" s="19">
        <f>COUNTIFS(Table1[Loan size],Table1[[#This Row],[Loan size]],Table1[dpd flag],1)/COUNTIF(Table1[Loan size],Table1[[#This Row],[Loan size]])</f>
        <v>0.13934426229508196</v>
      </c>
      <c r="AO491" s="19" t="str">
        <f>IF(OR(Table1[[#This Row],[credit_score]] &lt; 600, Table1[ [#This Row],[dti_ratio] ] &gt; 0.5, Table1[[#This Row],[dpd]] &gt;=30), "high risk", " not riskY")</f>
        <v>high risk</v>
      </c>
      <c r="AP491" s="29">
        <f>EOMONTH(Table1[[#This Row],[origination_date]],0)</f>
        <v>45991</v>
      </c>
      <c r="AQ491" s="19">
        <f>SUMIFS(Table1[loan_amount],Table1[origination month],Table1[[#This Row],[origination month]])</f>
        <v>20272200</v>
      </c>
      <c r="AR491" s="19">
        <f>AVERAGEIFS(Table1[months_on_book],Table1[product],Table1[[#This Row],[product]])</f>
        <v>21.092024539877301</v>
      </c>
      <c r="AS491" s="19" t="str">
        <f ca="1">IF(EDATE(Table1[[#This Row],[origination_date]],6) &gt;= TODAY(), "New Loan", "Old Loan")</f>
        <v>New Loan</v>
      </c>
      <c r="AT491" s="19" t="str">
        <f>"Q"&amp;ROUNDUP(MONTH(Table1[[#This Row],[origination_date]])/3,0)&amp;YEAR(Table1[[#This Row],[origination_date]])</f>
        <v>Q42025</v>
      </c>
      <c r="AU491" s="19">
        <f>SUMIFS(Table1[loan_amount],Table1[quarter],Table1[[#This Row],[quarter]])</f>
        <v>38483800</v>
      </c>
    </row>
    <row r="492" spans="2:47" x14ac:dyDescent="0.2">
      <c r="B492" s="5" t="s">
        <v>277</v>
      </c>
      <c r="C492" s="2" t="s">
        <v>777</v>
      </c>
      <c r="D492" s="3">
        <v>45970</v>
      </c>
      <c r="E492" s="2" t="s">
        <v>1028</v>
      </c>
      <c r="F492" s="2" t="s">
        <v>1031</v>
      </c>
      <c r="G492" s="2" t="s">
        <v>1033</v>
      </c>
      <c r="H492" s="2" t="s">
        <v>1038</v>
      </c>
      <c r="I492" s="2">
        <v>60</v>
      </c>
      <c r="J492" s="2">
        <v>1120400</v>
      </c>
      <c r="K492" s="2">
        <v>11.13</v>
      </c>
      <c r="L492" s="2">
        <v>24433</v>
      </c>
      <c r="M492" s="2">
        <v>1474124</v>
      </c>
      <c r="N492" s="2">
        <v>744</v>
      </c>
      <c r="O492" s="2" t="s">
        <v>1044</v>
      </c>
      <c r="P492" s="2">
        <v>0.49</v>
      </c>
      <c r="Q492" s="2">
        <v>0.75</v>
      </c>
      <c r="R492" s="2">
        <v>0</v>
      </c>
      <c r="S492" s="2">
        <v>1</v>
      </c>
      <c r="T492" s="2">
        <v>21142</v>
      </c>
      <c r="U492" s="2">
        <v>1103415</v>
      </c>
      <c r="V492" s="2">
        <v>0</v>
      </c>
      <c r="W492" s="2">
        <v>0</v>
      </c>
      <c r="X492" s="2">
        <v>0</v>
      </c>
      <c r="Y492" s="2" t="s">
        <v>1049</v>
      </c>
      <c r="Z492" s="12">
        <f>SUMIF(Table1[product],Table1[[#This Row],[product]],Table1[loan_amount])</f>
        <v>62765800</v>
      </c>
      <c r="AA492" s="15">
        <f>SUMIF(Table1[region],Table1[[#This Row],[region]],Table1[current_balance])</f>
        <v>83297251</v>
      </c>
      <c r="AB492" s="2">
        <f>COUNTIF(Table1[loan_status],Table1[[#This Row],[loan_status]])</f>
        <v>301</v>
      </c>
      <c r="AC492" s="2">
        <f>COUNTIF(Table1[default_flag],1)/ROWS(Table1[loan_id])</f>
        <v>2.5999999999999999E-2</v>
      </c>
      <c r="AD492" s="2">
        <f>COUNTIFS(Table1[region],Table1[[#This Row],[region]],Table1[default_flag],1)/COUNTIF(Table1[region],Table1[[#This Row],[region]])</f>
        <v>3.1914893617021274E-2</v>
      </c>
      <c r="AE492" s="2">
        <f>COUNTIFS(Table1[channel],Table1[[#This Row],[channel]],Table1[prepayment_flag],1)/COUNTIF(Table1[channel],Table1[[#This Row],[channel]])</f>
        <v>0.12</v>
      </c>
      <c r="AF492" s="2">
        <f>AVERAGEIFS(Table1[interest_rate_pct],Table1[product],Table1[[#This Row],[product]],Table1[risk_band],Table1[[#This Row],[risk_band]])</f>
        <v>10.832666666666663</v>
      </c>
      <c r="AG492" s="2" t="str" cm="1">
        <f t="array" ref="AG492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492" s="2">
        <f>COUNTIF(Table1[DTI band],Table1[[#This Row],[DTI band]])</f>
        <v>260</v>
      </c>
      <c r="AI492" s="2" t="str" cm="1">
        <f t="array" ref="AI492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492" s="2">
        <f>COUNTIF(Table1[LTV band],Table1[[#This Row],[LTV band]])</f>
        <v>302</v>
      </c>
      <c r="AK492" s="19">
        <f>COUNTIFS(Table1[count_loan_perband],Table1[[#This Row],[count_loan_perband]],Table1[default_flag],1)/COUNTIF(Table1[count_loan_perband],Table1[[#This Row],[count_loan_perband]])</f>
        <v>3.6423841059602648E-2</v>
      </c>
      <c r="AL492" s="19" t="str" cm="1">
        <f t="array" ref="AL492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492" s="19">
        <f>IF(Table1[[#This Row],[dpd]] &gt;=30,1,0)</f>
        <v>0</v>
      </c>
      <c r="AN492" s="19">
        <f>COUNTIFS(Table1[Loan size],Table1[[#This Row],[Loan size]],Table1[dpd flag],1)/COUNTIF(Table1[Loan size],Table1[[#This Row],[Loan size]])</f>
        <v>0.15909090909090909</v>
      </c>
      <c r="AO492" s="19" t="str">
        <f>IF(OR(Table1[[#This Row],[credit_score]] &lt; 600, Table1[ [#This Row],[dti_ratio] ] &gt; 0.5, Table1[[#This Row],[dpd]] &gt;=30), "high risk", " not riskY")</f>
        <v xml:space="preserve"> not riskY</v>
      </c>
      <c r="AP492" s="29">
        <f>EOMONTH(Table1[[#This Row],[origination_date]],0)</f>
        <v>45991</v>
      </c>
      <c r="AQ492" s="19">
        <f>SUMIFS(Table1[loan_amount],Table1[origination month],Table1[[#This Row],[origination month]])</f>
        <v>20272200</v>
      </c>
      <c r="AR492" s="19">
        <f>AVERAGEIFS(Table1[months_on_book],Table1[product],Table1[[#This Row],[product]])</f>
        <v>21.962962962962962</v>
      </c>
      <c r="AS492" s="19" t="str">
        <f ca="1">IF(EDATE(Table1[[#This Row],[origination_date]],6) &gt;= TODAY(), "New Loan", "Old Loan")</f>
        <v>New Loan</v>
      </c>
      <c r="AT492" s="19" t="str">
        <f>"Q"&amp;ROUNDUP(MONTH(Table1[[#This Row],[origination_date]])/3,0)&amp;YEAR(Table1[[#This Row],[origination_date]])</f>
        <v>Q42025</v>
      </c>
      <c r="AU492" s="19">
        <f>SUMIFS(Table1[loan_amount],Table1[quarter],Table1[[#This Row],[quarter]])</f>
        <v>38483800</v>
      </c>
    </row>
    <row r="493" spans="2:47" x14ac:dyDescent="0.2">
      <c r="B493" s="5" t="s">
        <v>461</v>
      </c>
      <c r="C493" s="2" t="s">
        <v>961</v>
      </c>
      <c r="D493" s="3">
        <v>45971</v>
      </c>
      <c r="E493" s="2" t="s">
        <v>1028</v>
      </c>
      <c r="F493" s="2" t="s">
        <v>1030</v>
      </c>
      <c r="G493" s="2" t="s">
        <v>1037</v>
      </c>
      <c r="H493" s="2" t="s">
        <v>1038</v>
      </c>
      <c r="I493" s="2">
        <v>24</v>
      </c>
      <c r="J493" s="2">
        <v>674600</v>
      </c>
      <c r="K493" s="2">
        <v>16.75</v>
      </c>
      <c r="L493" s="2">
        <v>33273</v>
      </c>
      <c r="M493" s="2">
        <v>231583</v>
      </c>
      <c r="N493" s="2">
        <v>601</v>
      </c>
      <c r="O493" s="2" t="s">
        <v>1045</v>
      </c>
      <c r="P493" s="2">
        <v>0.48</v>
      </c>
      <c r="Q493" s="2">
        <v>1.02</v>
      </c>
      <c r="R493" s="2">
        <v>0</v>
      </c>
      <c r="S493" s="2">
        <v>1</v>
      </c>
      <c r="T493" s="2">
        <v>28982</v>
      </c>
      <c r="U493" s="2">
        <v>649385</v>
      </c>
      <c r="V493" s="2">
        <v>0</v>
      </c>
      <c r="W493" s="2">
        <v>0</v>
      </c>
      <c r="X493" s="2">
        <v>0</v>
      </c>
      <c r="Y493" s="2" t="s">
        <v>1049</v>
      </c>
      <c r="Z493" s="12">
        <f>SUMIF(Table1[product],Table1[[#This Row],[product]],Table1[loan_amount])</f>
        <v>62765800</v>
      </c>
      <c r="AA493" s="15">
        <f>SUMIF(Table1[region],Table1[[#This Row],[region]],Table1[current_balance])</f>
        <v>94548000</v>
      </c>
      <c r="AB493" s="2">
        <f>COUNTIF(Table1[loan_status],Table1[[#This Row],[loan_status]])</f>
        <v>301</v>
      </c>
      <c r="AC493" s="2">
        <f>COUNTIF(Table1[default_flag],1)/ROWS(Table1[loan_id])</f>
        <v>2.5999999999999999E-2</v>
      </c>
      <c r="AD493" s="2">
        <f>COUNTIFS(Table1[region],Table1[[#This Row],[region]],Table1[default_flag],1)/COUNTIF(Table1[region],Table1[[#This Row],[region]])</f>
        <v>0</v>
      </c>
      <c r="AE493" s="2">
        <f>COUNTIFS(Table1[channel],Table1[[#This Row],[channel]],Table1[prepayment_flag],1)/COUNTIF(Table1[channel],Table1[[#This Row],[channel]])</f>
        <v>5.8201058201058198E-2</v>
      </c>
      <c r="AF493" s="2">
        <f>AVERAGEIFS(Table1[interest_rate_pct],Table1[product],Table1[[#This Row],[product]],Table1[risk_band],Table1[[#This Row],[risk_band]])</f>
        <v>15.810000000000002</v>
      </c>
      <c r="AG493" s="2" t="str" cm="1">
        <f t="array" ref="AG493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493" s="2">
        <f>COUNTIF(Table1[DTI band],Table1[[#This Row],[DTI band]])</f>
        <v>260</v>
      </c>
      <c r="AI493" s="2" t="str" cm="1">
        <f t="array" ref="AI493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493" s="2">
        <f>COUNTIF(Table1[LTV band],Table1[[#This Row],[LTV band]])</f>
        <v>141</v>
      </c>
      <c r="AK493" s="19">
        <f>COUNTIFS(Table1[count_loan_perband],Table1[[#This Row],[count_loan_perband]],Table1[default_flag],1)/COUNTIF(Table1[count_loan_perband],Table1[[#This Row],[count_loan_perband]])</f>
        <v>1.4184397163120567E-2</v>
      </c>
      <c r="AL493" s="19" t="str" cm="1">
        <f t="array" ref="AL493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493" s="19">
        <f>IF(Table1[[#This Row],[dpd]] &gt;=30,1,0)</f>
        <v>0</v>
      </c>
      <c r="AN493" s="19">
        <f>COUNTIFS(Table1[Loan size],Table1[[#This Row],[Loan size]],Table1[dpd flag],1)/COUNTIF(Table1[Loan size],Table1[[#This Row],[Loan size]])</f>
        <v>0.13934426229508196</v>
      </c>
      <c r="AO493" s="19" t="str">
        <f>IF(OR(Table1[[#This Row],[credit_score]] &lt; 600, Table1[ [#This Row],[dti_ratio] ] &gt; 0.5, Table1[[#This Row],[dpd]] &gt;=30), "high risk", " not riskY")</f>
        <v xml:space="preserve"> not riskY</v>
      </c>
      <c r="AP493" s="29">
        <f>EOMONTH(Table1[[#This Row],[origination_date]],0)</f>
        <v>45991</v>
      </c>
      <c r="AQ493" s="19">
        <f>SUMIFS(Table1[loan_amount],Table1[origination month],Table1[[#This Row],[origination month]])</f>
        <v>20272200</v>
      </c>
      <c r="AR493" s="19">
        <f>AVERAGEIFS(Table1[months_on_book],Table1[product],Table1[[#This Row],[product]])</f>
        <v>21.962962962962962</v>
      </c>
      <c r="AS493" s="19" t="str">
        <f ca="1">IF(EDATE(Table1[[#This Row],[origination_date]],6) &gt;= TODAY(), "New Loan", "Old Loan")</f>
        <v>New Loan</v>
      </c>
      <c r="AT493" s="19" t="str">
        <f>"Q"&amp;ROUNDUP(MONTH(Table1[[#This Row],[origination_date]])/3,0)&amp;YEAR(Table1[[#This Row],[origination_date]])</f>
        <v>Q42025</v>
      </c>
      <c r="AU493" s="19">
        <f>SUMIFS(Table1[loan_amount],Table1[quarter],Table1[[#This Row],[quarter]])</f>
        <v>38483800</v>
      </c>
    </row>
    <row r="494" spans="2:47" x14ac:dyDescent="0.2">
      <c r="B494" s="5" t="s">
        <v>447</v>
      </c>
      <c r="C494" s="2" t="s">
        <v>947</v>
      </c>
      <c r="D494" s="3">
        <v>45932</v>
      </c>
      <c r="E494" s="2" t="s">
        <v>1027</v>
      </c>
      <c r="F494" s="2" t="s">
        <v>1029</v>
      </c>
      <c r="G494" s="2" t="s">
        <v>1033</v>
      </c>
      <c r="H494" s="2" t="s">
        <v>1040</v>
      </c>
      <c r="I494" s="2">
        <v>36</v>
      </c>
      <c r="J494" s="2">
        <v>334200</v>
      </c>
      <c r="K494" s="2">
        <v>7</v>
      </c>
      <c r="L494" s="2">
        <v>10319</v>
      </c>
      <c r="M494" s="2">
        <v>150000</v>
      </c>
      <c r="N494" s="2">
        <v>842</v>
      </c>
      <c r="O494" s="2" t="s">
        <v>1043</v>
      </c>
      <c r="P494" s="2">
        <v>0.45</v>
      </c>
      <c r="Q494" s="2">
        <v>0.71</v>
      </c>
      <c r="R494" s="2">
        <v>472000</v>
      </c>
      <c r="S494" s="2">
        <v>2</v>
      </c>
      <c r="T494" s="2">
        <v>20527</v>
      </c>
      <c r="U494" s="2">
        <v>315233</v>
      </c>
      <c r="V494" s="2">
        <v>0</v>
      </c>
      <c r="W494" s="2">
        <v>0</v>
      </c>
      <c r="X494" s="2">
        <v>0</v>
      </c>
      <c r="Y494" s="2" t="s">
        <v>1049</v>
      </c>
      <c r="Z494" s="12">
        <f>SUMIF(Table1[product],Table1[[#This Row],[product]],Table1[loan_amount])</f>
        <v>403369500</v>
      </c>
      <c r="AA494" s="15">
        <f>SUMIF(Table1[region],Table1[[#This Row],[region]],Table1[current_balance])</f>
        <v>83297251</v>
      </c>
      <c r="AB494" s="2">
        <f>COUNTIF(Table1[loan_status],Table1[[#This Row],[loan_status]])</f>
        <v>301</v>
      </c>
      <c r="AC494" s="2">
        <f>COUNTIF(Table1[default_flag],1)/ROWS(Table1[loan_id])</f>
        <v>2.5999999999999999E-2</v>
      </c>
      <c r="AD494" s="2">
        <f>COUNTIFS(Table1[region],Table1[[#This Row],[region]],Table1[default_flag],1)/COUNTIF(Table1[region],Table1[[#This Row],[region]])</f>
        <v>3.1914893617021274E-2</v>
      </c>
      <c r="AE494" s="2">
        <f>COUNTIFS(Table1[channel],Table1[[#This Row],[channel]],Table1[prepayment_flag],1)/COUNTIF(Table1[channel],Table1[[#This Row],[channel]])</f>
        <v>7.1090047393364927E-2</v>
      </c>
      <c r="AF494" s="2">
        <f>AVERAGEIFS(Table1[interest_rate_pct],Table1[product],Table1[[#This Row],[product]],Table1[risk_band],Table1[[#This Row],[risk_band]])</f>
        <v>7.1876190476190471</v>
      </c>
      <c r="AG494" s="2" t="str" cm="1">
        <f t="array" ref="AG494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494" s="2">
        <f>COUNTIF(Table1[DTI band],Table1[[#This Row],[DTI band]])</f>
        <v>260</v>
      </c>
      <c r="AI494" s="2" t="str" cm="1">
        <f t="array" ref="AI494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494" s="2">
        <f>COUNTIF(Table1[LTV band],Table1[[#This Row],[LTV band]])</f>
        <v>302</v>
      </c>
      <c r="AK494" s="19">
        <f>COUNTIFS(Table1[count_loan_perband],Table1[[#This Row],[count_loan_perband]],Table1[default_flag],1)/COUNTIF(Table1[count_loan_perband],Table1[[#This Row],[count_loan_perband]])</f>
        <v>3.6423841059602648E-2</v>
      </c>
      <c r="AL494" s="19" t="str" cm="1">
        <f t="array" ref="AL494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494" s="19">
        <f>IF(Table1[[#This Row],[dpd]] &gt;=30,1,0)</f>
        <v>0</v>
      </c>
      <c r="AN494" s="19">
        <f>COUNTIFS(Table1[Loan size],Table1[[#This Row],[Loan size]],Table1[dpd flag],1)/COUNTIF(Table1[Loan size],Table1[[#This Row],[Loan size]])</f>
        <v>0.13934426229508196</v>
      </c>
      <c r="AO494" s="19" t="str">
        <f>IF(OR(Table1[[#This Row],[credit_score]] &lt; 600, Table1[ [#This Row],[dti_ratio] ] &gt; 0.5, Table1[[#This Row],[dpd]] &gt;=30), "high risk", " not riskY")</f>
        <v xml:space="preserve"> not riskY</v>
      </c>
      <c r="AP494" s="29">
        <f>EOMONTH(Table1[[#This Row],[origination_date]],0)</f>
        <v>45961</v>
      </c>
      <c r="AQ494" s="19">
        <f>SUMIFS(Table1[loan_amount],Table1[origination month],Table1[[#This Row],[origination month]])</f>
        <v>18211600</v>
      </c>
      <c r="AR494" s="19">
        <f>AVERAGEIFS(Table1[months_on_book],Table1[product],Table1[[#This Row],[product]])</f>
        <v>20.516129032258064</v>
      </c>
      <c r="AS494" s="19" t="str">
        <f ca="1">IF(EDATE(Table1[[#This Row],[origination_date]],6) &gt;= TODAY(), "New Loan", "Old Loan")</f>
        <v>New Loan</v>
      </c>
      <c r="AT494" s="19" t="str">
        <f>"Q"&amp;ROUNDUP(MONTH(Table1[[#This Row],[origination_date]])/3,0)&amp;YEAR(Table1[[#This Row],[origination_date]])</f>
        <v>Q42025</v>
      </c>
      <c r="AU494" s="19">
        <f>SUMIFS(Table1[loan_amount],Table1[quarter],Table1[[#This Row],[quarter]])</f>
        <v>38483800</v>
      </c>
    </row>
    <row r="495" spans="2:47" x14ac:dyDescent="0.2">
      <c r="B495" s="5" t="s">
        <v>508</v>
      </c>
      <c r="C495" s="2" t="s">
        <v>1008</v>
      </c>
      <c r="D495" s="3">
        <v>45938</v>
      </c>
      <c r="E495" s="2" t="s">
        <v>1024</v>
      </c>
      <c r="F495" s="2" t="s">
        <v>1029</v>
      </c>
      <c r="G495" s="2" t="s">
        <v>1033</v>
      </c>
      <c r="H495" s="2" t="s">
        <v>1038</v>
      </c>
      <c r="I495" s="2">
        <v>36</v>
      </c>
      <c r="J495" s="2">
        <v>830100</v>
      </c>
      <c r="K495" s="2">
        <v>15.41</v>
      </c>
      <c r="L495" s="2">
        <v>28943</v>
      </c>
      <c r="M495" s="2">
        <v>360743</v>
      </c>
      <c r="N495" s="2">
        <v>586</v>
      </c>
      <c r="O495" s="2" t="s">
        <v>1046</v>
      </c>
      <c r="P495" s="2">
        <v>0.44</v>
      </c>
      <c r="Q495" s="2">
        <v>0.65</v>
      </c>
      <c r="R495" s="2">
        <v>1283100</v>
      </c>
      <c r="S495" s="2">
        <v>2</v>
      </c>
      <c r="T495" s="2">
        <v>54571</v>
      </c>
      <c r="U495" s="2">
        <v>784057</v>
      </c>
      <c r="V495" s="2">
        <v>0</v>
      </c>
      <c r="W495" s="2">
        <v>0</v>
      </c>
      <c r="X495" s="2">
        <v>0</v>
      </c>
      <c r="Y495" s="2" t="s">
        <v>1049</v>
      </c>
      <c r="Z495" s="12">
        <f>SUMIF(Table1[product],Table1[[#This Row],[product]],Table1[loan_amount])</f>
        <v>92273000</v>
      </c>
      <c r="AA495" s="15">
        <f>SUMIF(Table1[region],Table1[[#This Row],[region]],Table1[current_balance])</f>
        <v>83297251</v>
      </c>
      <c r="AB495" s="2">
        <f>COUNTIF(Table1[loan_status],Table1[[#This Row],[loan_status]])</f>
        <v>301</v>
      </c>
      <c r="AC495" s="2">
        <f>COUNTIF(Table1[default_flag],1)/ROWS(Table1[loan_id])</f>
        <v>2.5999999999999999E-2</v>
      </c>
      <c r="AD495" s="2">
        <f>COUNTIFS(Table1[region],Table1[[#This Row],[region]],Table1[default_flag],1)/COUNTIF(Table1[region],Table1[[#This Row],[region]])</f>
        <v>3.1914893617021274E-2</v>
      </c>
      <c r="AE495" s="2">
        <f>COUNTIFS(Table1[channel],Table1[[#This Row],[channel]],Table1[prepayment_flag],1)/COUNTIF(Table1[channel],Table1[[#This Row],[channel]])</f>
        <v>7.1090047393364927E-2</v>
      </c>
      <c r="AF495" s="2">
        <f>AVERAGEIFS(Table1[interest_rate_pct],Table1[product],Table1[[#This Row],[product]],Table1[risk_band],Table1[[#This Row],[risk_band]])</f>
        <v>17.744166666666668</v>
      </c>
      <c r="AG495" s="2" t="str" cm="1">
        <f t="array" ref="AG495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495" s="2">
        <f>COUNTIF(Table1[DTI band],Table1[[#This Row],[DTI band]])</f>
        <v>260</v>
      </c>
      <c r="AI495" s="2" t="str" cm="1">
        <f t="array" ref="AI495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495" s="2">
        <f>COUNTIF(Table1[LTV band],Table1[[#This Row],[LTV band]])</f>
        <v>302</v>
      </c>
      <c r="AK495" s="19">
        <f>COUNTIFS(Table1[count_loan_perband],Table1[[#This Row],[count_loan_perband]],Table1[default_flag],1)/COUNTIF(Table1[count_loan_perband],Table1[[#This Row],[count_loan_perband]])</f>
        <v>3.6423841059602648E-2</v>
      </c>
      <c r="AL495" s="19" t="str" cm="1">
        <f t="array" ref="AL495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495" s="19">
        <f>IF(Table1[[#This Row],[dpd]] &gt;=30,1,0)</f>
        <v>0</v>
      </c>
      <c r="AN495" s="19">
        <f>COUNTIFS(Table1[Loan size],Table1[[#This Row],[Loan size]],Table1[dpd flag],1)/COUNTIF(Table1[Loan size],Table1[[#This Row],[Loan size]])</f>
        <v>0.13934426229508196</v>
      </c>
      <c r="AO495" s="19" t="str">
        <f>IF(OR(Table1[[#This Row],[credit_score]] &lt; 600, Table1[ [#This Row],[dti_ratio] ] &gt; 0.5, Table1[[#This Row],[dpd]] &gt;=30), "high risk", " not riskY")</f>
        <v>high risk</v>
      </c>
      <c r="AP495" s="29">
        <f>EOMONTH(Table1[[#This Row],[origination_date]],0)</f>
        <v>45961</v>
      </c>
      <c r="AQ495" s="19">
        <f>SUMIFS(Table1[loan_amount],Table1[origination month],Table1[[#This Row],[origination month]])</f>
        <v>18211600</v>
      </c>
      <c r="AR495" s="19">
        <f>AVERAGEIFS(Table1[months_on_book],Table1[product],Table1[[#This Row],[product]])</f>
        <v>20.262135922330096</v>
      </c>
      <c r="AS495" s="19" t="str">
        <f ca="1">IF(EDATE(Table1[[#This Row],[origination_date]],6) &gt;= TODAY(), "New Loan", "Old Loan")</f>
        <v>New Loan</v>
      </c>
      <c r="AT495" s="19" t="str">
        <f>"Q"&amp;ROUNDUP(MONTH(Table1[[#This Row],[origination_date]])/3,0)&amp;YEAR(Table1[[#This Row],[origination_date]])</f>
        <v>Q42025</v>
      </c>
      <c r="AU495" s="19">
        <f>SUMIFS(Table1[loan_amount],Table1[quarter],Table1[[#This Row],[quarter]])</f>
        <v>38483800</v>
      </c>
    </row>
    <row r="496" spans="2:47" x14ac:dyDescent="0.2">
      <c r="B496" s="5" t="s">
        <v>318</v>
      </c>
      <c r="C496" s="2" t="s">
        <v>818</v>
      </c>
      <c r="D496" s="3">
        <v>45985</v>
      </c>
      <c r="E496" s="2" t="s">
        <v>1024</v>
      </c>
      <c r="F496" s="2" t="s">
        <v>1029</v>
      </c>
      <c r="G496" s="2" t="s">
        <v>1037</v>
      </c>
      <c r="H496" s="2" t="s">
        <v>1038</v>
      </c>
      <c r="I496" s="2">
        <v>18</v>
      </c>
      <c r="J496" s="2">
        <v>558000</v>
      </c>
      <c r="K496" s="2">
        <v>8.89</v>
      </c>
      <c r="L496" s="2">
        <v>33227</v>
      </c>
      <c r="M496" s="2">
        <v>1025635</v>
      </c>
      <c r="N496" s="2">
        <v>767</v>
      </c>
      <c r="O496" s="2" t="s">
        <v>1043</v>
      </c>
      <c r="P496" s="2">
        <v>0.41</v>
      </c>
      <c r="Q496" s="2">
        <v>0.77</v>
      </c>
      <c r="R496" s="2">
        <v>722900</v>
      </c>
      <c r="S496" s="2">
        <v>1</v>
      </c>
      <c r="T496" s="2">
        <v>31301</v>
      </c>
      <c r="U496" s="2">
        <v>528353</v>
      </c>
      <c r="V496" s="2">
        <v>0</v>
      </c>
      <c r="W496" s="2">
        <v>0</v>
      </c>
      <c r="X496" s="2">
        <v>0</v>
      </c>
      <c r="Y496" s="2" t="s">
        <v>1049</v>
      </c>
      <c r="Z496" s="12">
        <f>SUMIF(Table1[product],Table1[[#This Row],[product]],Table1[loan_amount])</f>
        <v>92273000</v>
      </c>
      <c r="AA496" s="15">
        <f>SUMIF(Table1[region],Table1[[#This Row],[region]],Table1[current_balance])</f>
        <v>94548000</v>
      </c>
      <c r="AB496" s="2">
        <f>COUNTIF(Table1[loan_status],Table1[[#This Row],[loan_status]])</f>
        <v>301</v>
      </c>
      <c r="AC496" s="2">
        <f>COUNTIF(Table1[default_flag],1)/ROWS(Table1[loan_id])</f>
        <v>2.5999999999999999E-2</v>
      </c>
      <c r="AD496" s="2">
        <f>COUNTIFS(Table1[region],Table1[[#This Row],[region]],Table1[default_flag],1)/COUNTIF(Table1[region],Table1[[#This Row],[region]])</f>
        <v>0</v>
      </c>
      <c r="AE496" s="2">
        <f>COUNTIFS(Table1[channel],Table1[[#This Row],[channel]],Table1[prepayment_flag],1)/COUNTIF(Table1[channel],Table1[[#This Row],[channel]])</f>
        <v>7.1090047393364927E-2</v>
      </c>
      <c r="AF496" s="2">
        <f>AVERAGEIFS(Table1[interest_rate_pct],Table1[product],Table1[[#This Row],[product]],Table1[risk_band],Table1[[#This Row],[risk_band]])</f>
        <v>7.9444999999999997</v>
      </c>
      <c r="AG496" s="2" t="str" cm="1">
        <f t="array" ref="AG496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496" s="2">
        <f>COUNTIF(Table1[DTI band],Table1[[#This Row],[DTI band]])</f>
        <v>260</v>
      </c>
      <c r="AI496" s="2" t="str" cm="1">
        <f t="array" ref="AI496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496" s="2">
        <f>COUNTIF(Table1[LTV band],Table1[[#This Row],[LTV band]])</f>
        <v>302</v>
      </c>
      <c r="AK496" s="19">
        <f>COUNTIFS(Table1[count_loan_perband],Table1[[#This Row],[count_loan_perband]],Table1[default_flag],1)/COUNTIF(Table1[count_loan_perband],Table1[[#This Row],[count_loan_perband]])</f>
        <v>3.6423841059602648E-2</v>
      </c>
      <c r="AL496" s="19" t="str" cm="1">
        <f t="array" ref="AL496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496" s="19">
        <f>IF(Table1[[#This Row],[dpd]] &gt;=30,1,0)</f>
        <v>0</v>
      </c>
      <c r="AN496" s="19">
        <f>COUNTIFS(Table1[Loan size],Table1[[#This Row],[Loan size]],Table1[dpd flag],1)/COUNTIF(Table1[Loan size],Table1[[#This Row],[Loan size]])</f>
        <v>0.13934426229508196</v>
      </c>
      <c r="AO496" s="19" t="str">
        <f>IF(OR(Table1[[#This Row],[credit_score]] &lt; 600, Table1[ [#This Row],[dti_ratio] ] &gt; 0.5, Table1[[#This Row],[dpd]] &gt;=30), "high risk", " not riskY")</f>
        <v xml:space="preserve"> not riskY</v>
      </c>
      <c r="AP496" s="29">
        <f>EOMONTH(Table1[[#This Row],[origination_date]],0)</f>
        <v>45991</v>
      </c>
      <c r="AQ496" s="19">
        <f>SUMIFS(Table1[loan_amount],Table1[origination month],Table1[[#This Row],[origination month]])</f>
        <v>20272200</v>
      </c>
      <c r="AR496" s="19">
        <f>AVERAGEIFS(Table1[months_on_book],Table1[product],Table1[[#This Row],[product]])</f>
        <v>20.262135922330096</v>
      </c>
      <c r="AS496" s="19" t="str">
        <f ca="1">IF(EDATE(Table1[[#This Row],[origination_date]],6) &gt;= TODAY(), "New Loan", "Old Loan")</f>
        <v>New Loan</v>
      </c>
      <c r="AT496" s="19" t="str">
        <f>"Q"&amp;ROUNDUP(MONTH(Table1[[#This Row],[origination_date]])/3,0)&amp;YEAR(Table1[[#This Row],[origination_date]])</f>
        <v>Q42025</v>
      </c>
      <c r="AU496" s="19">
        <f>SUMIFS(Table1[loan_amount],Table1[quarter],Table1[[#This Row],[quarter]])</f>
        <v>38483800</v>
      </c>
    </row>
    <row r="497" spans="2:47" x14ac:dyDescent="0.2">
      <c r="B497" s="5" t="s">
        <v>450</v>
      </c>
      <c r="C497" s="2" t="s">
        <v>950</v>
      </c>
      <c r="D497" s="3">
        <v>45939</v>
      </c>
      <c r="E497" s="2" t="s">
        <v>1024</v>
      </c>
      <c r="F497" s="2" t="s">
        <v>1030</v>
      </c>
      <c r="G497" s="2" t="s">
        <v>1033</v>
      </c>
      <c r="H497" s="2" t="s">
        <v>1038</v>
      </c>
      <c r="I497" s="2">
        <v>48</v>
      </c>
      <c r="J497" s="2">
        <v>1199600</v>
      </c>
      <c r="K497" s="2">
        <v>12.54</v>
      </c>
      <c r="L497" s="2">
        <v>31909</v>
      </c>
      <c r="M497" s="2">
        <v>610617</v>
      </c>
      <c r="N497" s="2">
        <v>681</v>
      </c>
      <c r="O497" s="2" t="s">
        <v>1042</v>
      </c>
      <c r="P497" s="2">
        <v>0.41</v>
      </c>
      <c r="Q497" s="2">
        <v>0.63</v>
      </c>
      <c r="R497" s="2">
        <v>1901300</v>
      </c>
      <c r="S497" s="2">
        <v>2</v>
      </c>
      <c r="T497" s="2">
        <v>57795</v>
      </c>
      <c r="U497" s="2">
        <v>1151834</v>
      </c>
      <c r="V497" s="2">
        <v>0</v>
      </c>
      <c r="W497" s="2">
        <v>0</v>
      </c>
      <c r="X497" s="2">
        <v>0</v>
      </c>
      <c r="Y497" s="2" t="s">
        <v>1049</v>
      </c>
      <c r="Z497" s="12">
        <f>SUMIF(Table1[product],Table1[[#This Row],[product]],Table1[loan_amount])</f>
        <v>92273000</v>
      </c>
      <c r="AA497" s="15">
        <f>SUMIF(Table1[region],Table1[[#This Row],[region]],Table1[current_balance])</f>
        <v>83297251</v>
      </c>
      <c r="AB497" s="2">
        <f>COUNTIF(Table1[loan_status],Table1[[#This Row],[loan_status]])</f>
        <v>301</v>
      </c>
      <c r="AC497" s="2">
        <f>COUNTIF(Table1[default_flag],1)/ROWS(Table1[loan_id])</f>
        <v>2.5999999999999999E-2</v>
      </c>
      <c r="AD497" s="2">
        <f>COUNTIFS(Table1[region],Table1[[#This Row],[region]],Table1[default_flag],1)/COUNTIF(Table1[region],Table1[[#This Row],[region]])</f>
        <v>3.1914893617021274E-2</v>
      </c>
      <c r="AE497" s="2">
        <f>COUNTIFS(Table1[channel],Table1[[#This Row],[channel]],Table1[prepayment_flag],1)/COUNTIF(Table1[channel],Table1[[#This Row],[channel]])</f>
        <v>5.8201058201058198E-2</v>
      </c>
      <c r="AF497" s="2">
        <f>AVERAGEIFS(Table1[interest_rate_pct],Table1[product],Table1[[#This Row],[product]],Table1[risk_band],Table1[[#This Row],[risk_band]])</f>
        <v>13.246500000000001</v>
      </c>
      <c r="AG497" s="2" t="str" cm="1">
        <f t="array" ref="AG497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497" s="2">
        <f>COUNTIF(Table1[DTI band],Table1[[#This Row],[DTI band]])</f>
        <v>260</v>
      </c>
      <c r="AI497" s="2" t="str" cm="1">
        <f t="array" ref="AI497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497" s="2">
        <f>COUNTIF(Table1[LTV band],Table1[[#This Row],[LTV band]])</f>
        <v>302</v>
      </c>
      <c r="AK497" s="19">
        <f>COUNTIFS(Table1[count_loan_perband],Table1[[#This Row],[count_loan_perband]],Table1[default_flag],1)/COUNTIF(Table1[count_loan_perband],Table1[[#This Row],[count_loan_perband]])</f>
        <v>3.6423841059602648E-2</v>
      </c>
      <c r="AL497" s="19" t="str" cm="1">
        <f t="array" ref="AL497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497" s="19">
        <f>IF(Table1[[#This Row],[dpd]] &gt;=30,1,0)</f>
        <v>0</v>
      </c>
      <c r="AN497" s="19">
        <f>COUNTIFS(Table1[Loan size],Table1[[#This Row],[Loan size]],Table1[dpd flag],1)/COUNTIF(Table1[Loan size],Table1[[#This Row],[Loan size]])</f>
        <v>0.15909090909090909</v>
      </c>
      <c r="AO497" s="19" t="str">
        <f>IF(OR(Table1[[#This Row],[credit_score]] &lt; 600, Table1[ [#This Row],[dti_ratio] ] &gt; 0.5, Table1[[#This Row],[dpd]] &gt;=30), "high risk", " not riskY")</f>
        <v xml:space="preserve"> not riskY</v>
      </c>
      <c r="AP497" s="29">
        <f>EOMONTH(Table1[[#This Row],[origination_date]],0)</f>
        <v>45961</v>
      </c>
      <c r="AQ497" s="19">
        <f>SUMIFS(Table1[loan_amount],Table1[origination month],Table1[[#This Row],[origination month]])</f>
        <v>18211600</v>
      </c>
      <c r="AR497" s="19">
        <f>AVERAGEIFS(Table1[months_on_book],Table1[product],Table1[[#This Row],[product]])</f>
        <v>20.262135922330096</v>
      </c>
      <c r="AS497" s="19" t="str">
        <f ca="1">IF(EDATE(Table1[[#This Row],[origination_date]],6) &gt;= TODAY(), "New Loan", "Old Loan")</f>
        <v>New Loan</v>
      </c>
      <c r="AT497" s="19" t="str">
        <f>"Q"&amp;ROUNDUP(MONTH(Table1[[#This Row],[origination_date]])/3,0)&amp;YEAR(Table1[[#This Row],[origination_date]])</f>
        <v>Q42025</v>
      </c>
      <c r="AU497" s="19">
        <f>SUMIFS(Table1[loan_amount],Table1[quarter],Table1[[#This Row],[quarter]])</f>
        <v>38483800</v>
      </c>
    </row>
    <row r="498" spans="2:47" x14ac:dyDescent="0.2">
      <c r="B498" s="5" t="s">
        <v>345</v>
      </c>
      <c r="C498" s="2" t="s">
        <v>845</v>
      </c>
      <c r="D498" s="3">
        <v>45969</v>
      </c>
      <c r="E498" s="2" t="s">
        <v>1024</v>
      </c>
      <c r="F498" s="2" t="s">
        <v>1030</v>
      </c>
      <c r="G498" s="2" t="s">
        <v>1034</v>
      </c>
      <c r="H498" s="2" t="s">
        <v>1038</v>
      </c>
      <c r="I498" s="2">
        <v>12</v>
      </c>
      <c r="J498" s="2">
        <v>725600</v>
      </c>
      <c r="K498" s="2">
        <v>10.83</v>
      </c>
      <c r="L498" s="2">
        <v>64072</v>
      </c>
      <c r="M498" s="2">
        <v>703843</v>
      </c>
      <c r="N498" s="2">
        <v>716</v>
      </c>
      <c r="O498" s="2" t="s">
        <v>1044</v>
      </c>
      <c r="P498" s="2">
        <v>0.4</v>
      </c>
      <c r="Q498" s="2">
        <v>0.73</v>
      </c>
      <c r="R498" s="2">
        <v>989000</v>
      </c>
      <c r="S498" s="2">
        <v>1</v>
      </c>
      <c r="T498" s="2">
        <v>64695</v>
      </c>
      <c r="U498" s="2">
        <v>663524</v>
      </c>
      <c r="V498" s="2">
        <v>0</v>
      </c>
      <c r="W498" s="2">
        <v>0</v>
      </c>
      <c r="X498" s="2">
        <v>0</v>
      </c>
      <c r="Y498" s="2" t="s">
        <v>1049</v>
      </c>
      <c r="Z498" s="12">
        <f>SUMIF(Table1[product],Table1[[#This Row],[product]],Table1[loan_amount])</f>
        <v>92273000</v>
      </c>
      <c r="AA498" s="15">
        <f>SUMIF(Table1[region],Table1[[#This Row],[region]],Table1[current_balance])</f>
        <v>105779369</v>
      </c>
      <c r="AB498" s="2">
        <f>COUNTIF(Table1[loan_status],Table1[[#This Row],[loan_status]])</f>
        <v>301</v>
      </c>
      <c r="AC498" s="2">
        <f>COUNTIF(Table1[default_flag],1)/ROWS(Table1[loan_id])</f>
        <v>2.5999999999999999E-2</v>
      </c>
      <c r="AD498" s="2">
        <f>COUNTIFS(Table1[region],Table1[[#This Row],[region]],Table1[default_flag],1)/COUNTIF(Table1[region],Table1[[#This Row],[region]])</f>
        <v>2.6548672566371681E-2</v>
      </c>
      <c r="AE498" s="2">
        <f>COUNTIFS(Table1[channel],Table1[[#This Row],[channel]],Table1[prepayment_flag],1)/COUNTIF(Table1[channel],Table1[[#This Row],[channel]])</f>
        <v>5.8201058201058198E-2</v>
      </c>
      <c r="AF498" s="2">
        <f>AVERAGEIFS(Table1[interest_rate_pct],Table1[product],Table1[[#This Row],[product]],Table1[risk_band],Table1[[#This Row],[risk_band]])</f>
        <v>10.611923076923079</v>
      </c>
      <c r="AG498" s="2" t="str" cm="1">
        <f t="array" ref="AG498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498" s="2">
        <f>COUNTIF(Table1[DTI band],Table1[[#This Row],[DTI band]])</f>
        <v>260</v>
      </c>
      <c r="AI498" s="2" t="str" cm="1">
        <f t="array" ref="AI498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498" s="2">
        <f>COUNTIF(Table1[LTV band],Table1[[#This Row],[LTV band]])</f>
        <v>302</v>
      </c>
      <c r="AK498" s="19">
        <f>COUNTIFS(Table1[count_loan_perband],Table1[[#This Row],[count_loan_perband]],Table1[default_flag],1)/COUNTIF(Table1[count_loan_perband],Table1[[#This Row],[count_loan_perband]])</f>
        <v>3.6423841059602648E-2</v>
      </c>
      <c r="AL498" s="19" t="str" cm="1">
        <f t="array" ref="AL498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498" s="19">
        <f>IF(Table1[[#This Row],[dpd]] &gt;=30,1,0)</f>
        <v>0</v>
      </c>
      <c r="AN498" s="19">
        <f>COUNTIFS(Table1[Loan size],Table1[[#This Row],[Loan size]],Table1[dpd flag],1)/COUNTIF(Table1[Loan size],Table1[[#This Row],[Loan size]])</f>
        <v>0.13934426229508196</v>
      </c>
      <c r="AO498" s="19" t="str">
        <f>IF(OR(Table1[[#This Row],[credit_score]] &lt; 600, Table1[ [#This Row],[dti_ratio] ] &gt; 0.5, Table1[[#This Row],[dpd]] &gt;=30), "high risk", " not riskY")</f>
        <v xml:space="preserve"> not riskY</v>
      </c>
      <c r="AP498" s="29">
        <f>EOMONTH(Table1[[#This Row],[origination_date]],0)</f>
        <v>45991</v>
      </c>
      <c r="AQ498" s="19">
        <f>SUMIFS(Table1[loan_amount],Table1[origination month],Table1[[#This Row],[origination month]])</f>
        <v>20272200</v>
      </c>
      <c r="AR498" s="19">
        <f>AVERAGEIFS(Table1[months_on_book],Table1[product],Table1[[#This Row],[product]])</f>
        <v>20.262135922330096</v>
      </c>
      <c r="AS498" s="19" t="str">
        <f ca="1">IF(EDATE(Table1[[#This Row],[origination_date]],6) &gt;= TODAY(), "New Loan", "Old Loan")</f>
        <v>New Loan</v>
      </c>
      <c r="AT498" s="19" t="str">
        <f>"Q"&amp;ROUNDUP(MONTH(Table1[[#This Row],[origination_date]])/3,0)&amp;YEAR(Table1[[#This Row],[origination_date]])</f>
        <v>Q42025</v>
      </c>
      <c r="AU498" s="19">
        <f>SUMIFS(Table1[loan_amount],Table1[quarter],Table1[[#This Row],[quarter]])</f>
        <v>38483800</v>
      </c>
    </row>
    <row r="499" spans="2:47" x14ac:dyDescent="0.2">
      <c r="B499" s="5" t="s">
        <v>39</v>
      </c>
      <c r="C499" s="2" t="s">
        <v>539</v>
      </c>
      <c r="D499" s="3">
        <v>45969</v>
      </c>
      <c r="E499" s="2" t="s">
        <v>1028</v>
      </c>
      <c r="F499" s="2" t="s">
        <v>1032</v>
      </c>
      <c r="G499" s="2" t="s">
        <v>1034</v>
      </c>
      <c r="H499" s="2" t="s">
        <v>1038</v>
      </c>
      <c r="I499" s="2">
        <v>36</v>
      </c>
      <c r="J499" s="2">
        <v>1487900</v>
      </c>
      <c r="K499" s="2">
        <v>14.69</v>
      </c>
      <c r="L499" s="2">
        <v>51353</v>
      </c>
      <c r="M499" s="2">
        <v>1094016</v>
      </c>
      <c r="N499" s="2">
        <v>674</v>
      </c>
      <c r="O499" s="2" t="s">
        <v>1042</v>
      </c>
      <c r="P499" s="2">
        <v>0.39</v>
      </c>
      <c r="Q499" s="2">
        <v>0.76</v>
      </c>
      <c r="R499" s="2">
        <v>0</v>
      </c>
      <c r="S499" s="2">
        <v>1</v>
      </c>
      <c r="T499" s="2">
        <v>51921</v>
      </c>
      <c r="U499" s="2">
        <v>1443265</v>
      </c>
      <c r="V499" s="2">
        <v>60</v>
      </c>
      <c r="W499" s="2">
        <v>0</v>
      </c>
      <c r="X499" s="2">
        <v>0</v>
      </c>
      <c r="Y499" s="2" t="s">
        <v>1048</v>
      </c>
      <c r="Z499" s="12">
        <f>SUMIF(Table1[product],Table1[[#This Row],[product]],Table1[loan_amount])</f>
        <v>62765800</v>
      </c>
      <c r="AA499" s="15">
        <f>SUMIF(Table1[region],Table1[[#This Row],[region]],Table1[current_balance])</f>
        <v>105779369</v>
      </c>
      <c r="AB499" s="2">
        <f>COUNTIF(Table1[loan_status],Table1[[#This Row],[loan_status]])</f>
        <v>47</v>
      </c>
      <c r="AC499" s="2">
        <f>COUNTIF(Table1[default_flag],1)/ROWS(Table1[loan_id])</f>
        <v>2.5999999999999999E-2</v>
      </c>
      <c r="AD499" s="2">
        <f>COUNTIFS(Table1[region],Table1[[#This Row],[region]],Table1[default_flag],1)/COUNTIF(Table1[region],Table1[[#This Row],[region]])</f>
        <v>2.6548672566371681E-2</v>
      </c>
      <c r="AE499" s="2">
        <f>COUNTIFS(Table1[channel],Table1[[#This Row],[channel]],Table1[prepayment_flag],1)/COUNTIF(Table1[channel],Table1[[#This Row],[channel]])</f>
        <v>0.1</v>
      </c>
      <c r="AF499" s="2">
        <f>AVERAGEIFS(Table1[interest_rate_pct],Table1[product],Table1[[#This Row],[product]],Table1[risk_band],Table1[[#This Row],[risk_band]])</f>
        <v>13.463888888888889</v>
      </c>
      <c r="AG499" s="2" t="str" cm="1">
        <f t="array" ref="AG499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499" s="2">
        <f>COUNTIF(Table1[DTI band],Table1[[#This Row],[DTI band]])</f>
        <v>260</v>
      </c>
      <c r="AI499" s="2" t="str" cm="1">
        <f t="array" ref="AI499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499" s="2">
        <f>COUNTIF(Table1[LTV band],Table1[[#This Row],[LTV band]])</f>
        <v>302</v>
      </c>
      <c r="AK499" s="19">
        <f>COUNTIFS(Table1[count_loan_perband],Table1[[#This Row],[count_loan_perband]],Table1[default_flag],1)/COUNTIF(Table1[count_loan_perband],Table1[[#This Row],[count_loan_perband]])</f>
        <v>3.6423841059602648E-2</v>
      </c>
      <c r="AL499" s="19" t="str" cm="1">
        <f t="array" ref="AL499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499" s="19">
        <f>IF(Table1[[#This Row],[dpd]] &gt;=30,1,0)</f>
        <v>1</v>
      </c>
      <c r="AN499" s="19">
        <f>COUNTIFS(Table1[Loan size],Table1[[#This Row],[Loan size]],Table1[dpd flag],1)/COUNTIF(Table1[Loan size],Table1[[#This Row],[Loan size]])</f>
        <v>0.15909090909090909</v>
      </c>
      <c r="AO499" s="19" t="str">
        <f>IF(OR(Table1[[#This Row],[credit_score]] &lt; 600, Table1[ [#This Row],[dti_ratio] ] &gt; 0.5, Table1[[#This Row],[dpd]] &gt;=30), "high risk", " not riskY")</f>
        <v>high risk</v>
      </c>
      <c r="AP499" s="29">
        <f>EOMONTH(Table1[[#This Row],[origination_date]],0)</f>
        <v>45991</v>
      </c>
      <c r="AQ499" s="19">
        <f>SUMIFS(Table1[loan_amount],Table1[origination month],Table1[[#This Row],[origination month]])</f>
        <v>20272200</v>
      </c>
      <c r="AR499" s="19">
        <f>AVERAGEIFS(Table1[months_on_book],Table1[product],Table1[[#This Row],[product]])</f>
        <v>21.962962962962962</v>
      </c>
      <c r="AS499" s="19" t="str">
        <f ca="1">IF(EDATE(Table1[[#This Row],[origination_date]],6) &gt;= TODAY(), "New Loan", "Old Loan")</f>
        <v>New Loan</v>
      </c>
      <c r="AT499" s="19" t="str">
        <f>"Q"&amp;ROUNDUP(MONTH(Table1[[#This Row],[origination_date]])/3,0)&amp;YEAR(Table1[[#This Row],[origination_date]])</f>
        <v>Q42025</v>
      </c>
      <c r="AU499" s="19">
        <f>SUMIFS(Table1[loan_amount],Table1[quarter],Table1[[#This Row],[quarter]])</f>
        <v>38483800</v>
      </c>
    </row>
    <row r="500" spans="2:47" x14ac:dyDescent="0.2">
      <c r="B500" s="5" t="s">
        <v>364</v>
      </c>
      <c r="C500" s="2" t="s">
        <v>864</v>
      </c>
      <c r="D500" s="3">
        <v>45985</v>
      </c>
      <c r="E500" s="2" t="s">
        <v>1026</v>
      </c>
      <c r="F500" s="2" t="s">
        <v>1029</v>
      </c>
      <c r="G500" s="2" t="s">
        <v>1037</v>
      </c>
      <c r="H500" s="2" t="s">
        <v>1040</v>
      </c>
      <c r="I500" s="2">
        <v>60</v>
      </c>
      <c r="J500" s="2">
        <v>1078600</v>
      </c>
      <c r="K500" s="2">
        <v>19.43</v>
      </c>
      <c r="L500" s="2">
        <v>28235</v>
      </c>
      <c r="M500" s="2">
        <v>1331156</v>
      </c>
      <c r="N500" s="2">
        <v>668</v>
      </c>
      <c r="O500" s="2" t="s">
        <v>1042</v>
      </c>
      <c r="P500" s="2">
        <v>0.39</v>
      </c>
      <c r="Q500" s="2">
        <v>0.57999999999999996</v>
      </c>
      <c r="R500" s="2">
        <v>0</v>
      </c>
      <c r="S500" s="2">
        <v>1</v>
      </c>
      <c r="T500" s="2">
        <v>28005</v>
      </c>
      <c r="U500" s="2">
        <v>1057581</v>
      </c>
      <c r="V500" s="2">
        <v>45</v>
      </c>
      <c r="W500" s="2">
        <v>0</v>
      </c>
      <c r="X500" s="2">
        <v>0</v>
      </c>
      <c r="Y500" s="2" t="s">
        <v>1048</v>
      </c>
      <c r="Z500" s="12">
        <f>SUMIF(Table1[product],Table1[[#This Row],[product]],Table1[loan_amount])</f>
        <v>74897600</v>
      </c>
      <c r="AA500" s="15">
        <f>SUMIF(Table1[region],Table1[[#This Row],[region]],Table1[current_balance])</f>
        <v>94548000</v>
      </c>
      <c r="AB500" s="2">
        <f>COUNTIF(Table1[loan_status],Table1[[#This Row],[loan_status]])</f>
        <v>47</v>
      </c>
      <c r="AC500" s="2">
        <f>COUNTIF(Table1[default_flag],1)/ROWS(Table1[loan_id])</f>
        <v>2.5999999999999999E-2</v>
      </c>
      <c r="AD500" s="2">
        <f>COUNTIFS(Table1[region],Table1[[#This Row],[region]],Table1[default_flag],1)/COUNTIF(Table1[region],Table1[[#This Row],[region]])</f>
        <v>0</v>
      </c>
      <c r="AE500" s="2">
        <f>COUNTIFS(Table1[channel],Table1[[#This Row],[channel]],Table1[prepayment_flag],1)/COUNTIF(Table1[channel],Table1[[#This Row],[channel]])</f>
        <v>7.1090047393364927E-2</v>
      </c>
      <c r="AF500" s="2">
        <f>AVERAGEIFS(Table1[interest_rate_pct],Table1[product],Table1[[#This Row],[product]],Table1[risk_band],Table1[[#This Row],[risk_band]])</f>
        <v>18.603181818181817</v>
      </c>
      <c r="AG500" s="2" t="str" cm="1">
        <f t="array" ref="AG500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500" s="2">
        <f>COUNTIF(Table1[DTI band],Table1[[#This Row],[DTI band]])</f>
        <v>260</v>
      </c>
      <c r="AI500" s="2" t="str" cm="1">
        <f t="array" ref="AI500">_xlfn.IFS(Table1[[#This Row],[ltv_ratio]] &lt; 0.6, "less than 0.6 -less risky", Table1[[#This Row],[ltv_ratio]]  &lt;= 0.8, "0.6 - 0.8 -medium risky",Table1[[#This Row],[ltv_ratio]] &gt; 0.8, "greater than 0.8 -highly risky")</f>
        <v>less than 0.6 -less risky</v>
      </c>
      <c r="AJ500" s="2">
        <f>COUNTIF(Table1[LTV band],Table1[[#This Row],[LTV band]])</f>
        <v>57</v>
      </c>
      <c r="AK500" s="19">
        <f>COUNTIFS(Table1[count_loan_perband],Table1[[#This Row],[count_loan_perband]],Table1[default_flag],1)/COUNTIF(Table1[count_loan_perband],Table1[[#This Row],[count_loan_perband]])</f>
        <v>0</v>
      </c>
      <c r="AL500" s="19" t="str" cm="1">
        <f t="array" ref="AL500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500" s="19">
        <f>IF(Table1[[#This Row],[dpd]] &gt;=30,1,0)</f>
        <v>1</v>
      </c>
      <c r="AN500" s="19">
        <f>COUNTIFS(Table1[Loan size],Table1[[#This Row],[Loan size]],Table1[dpd flag],1)/COUNTIF(Table1[Loan size],Table1[[#This Row],[Loan size]])</f>
        <v>0.15909090909090909</v>
      </c>
      <c r="AO500" s="19" t="str">
        <f>IF(OR(Table1[[#This Row],[credit_score]] &lt; 600, Table1[ [#This Row],[dti_ratio] ] &gt; 0.5, Table1[[#This Row],[dpd]] &gt;=30), "high risk", " not riskY")</f>
        <v>high risk</v>
      </c>
      <c r="AP500" s="29">
        <f>EOMONTH(Table1[[#This Row],[origination_date]],0)</f>
        <v>45991</v>
      </c>
      <c r="AQ500" s="19">
        <f>SUMIFS(Table1[loan_amount],Table1[origination month],Table1[[#This Row],[origination month]])</f>
        <v>20272200</v>
      </c>
      <c r="AR500" s="19">
        <f>AVERAGEIFS(Table1[months_on_book],Table1[product],Table1[[#This Row],[product]])</f>
        <v>21.092024539877301</v>
      </c>
      <c r="AS500" s="19" t="str">
        <f ca="1">IF(EDATE(Table1[[#This Row],[origination_date]],6) &gt;= TODAY(), "New Loan", "Old Loan")</f>
        <v>New Loan</v>
      </c>
      <c r="AT500" s="19" t="str">
        <f>"Q"&amp;ROUNDUP(MONTH(Table1[[#This Row],[origination_date]])/3,0)&amp;YEAR(Table1[[#This Row],[origination_date]])</f>
        <v>Q42025</v>
      </c>
      <c r="AU500" s="19">
        <f>SUMIFS(Table1[loan_amount],Table1[quarter],Table1[[#This Row],[quarter]])</f>
        <v>38483800</v>
      </c>
    </row>
    <row r="501" spans="2:47" x14ac:dyDescent="0.2">
      <c r="B501" s="5" t="s">
        <v>305</v>
      </c>
      <c r="C501" s="2" t="s">
        <v>805</v>
      </c>
      <c r="D501" s="3">
        <v>45969</v>
      </c>
      <c r="E501" s="2" t="s">
        <v>1024</v>
      </c>
      <c r="F501" s="2" t="s">
        <v>1030</v>
      </c>
      <c r="G501" s="2" t="s">
        <v>1036</v>
      </c>
      <c r="H501" s="2" t="s">
        <v>1039</v>
      </c>
      <c r="I501" s="2">
        <v>60</v>
      </c>
      <c r="J501" s="2">
        <v>1013600</v>
      </c>
      <c r="K501" s="2">
        <v>9.69</v>
      </c>
      <c r="L501" s="2">
        <v>21382</v>
      </c>
      <c r="M501" s="2">
        <v>1402592</v>
      </c>
      <c r="N501" s="2">
        <v>735</v>
      </c>
      <c r="O501" s="2" t="s">
        <v>1044</v>
      </c>
      <c r="P501" s="2">
        <v>0.38</v>
      </c>
      <c r="Q501" s="2">
        <v>0.82</v>
      </c>
      <c r="R501" s="2">
        <v>1237700</v>
      </c>
      <c r="S501" s="2">
        <v>1</v>
      </c>
      <c r="T501" s="2">
        <v>19055</v>
      </c>
      <c r="U501" s="2">
        <v>997819</v>
      </c>
      <c r="V501" s="2">
        <v>0</v>
      </c>
      <c r="W501" s="2">
        <v>1</v>
      </c>
      <c r="X501" s="2">
        <v>0</v>
      </c>
      <c r="Y501" s="2" t="s">
        <v>1047</v>
      </c>
      <c r="Z501" s="12">
        <f>SUMIF(Table1[product],Table1[[#This Row],[product]],Table1[loan_amount])</f>
        <v>92273000</v>
      </c>
      <c r="AA501" s="15">
        <f>SUMIF(Table1[region],Table1[[#This Row],[region]],Table1[current_balance])</f>
        <v>98928695</v>
      </c>
      <c r="AB501" s="2">
        <f>COUNTIF(Table1[loan_status],Table1[[#This Row],[loan_status]])</f>
        <v>139</v>
      </c>
      <c r="AC501" s="2">
        <f>COUNTIF(Table1[default_flag],1)/ROWS(Table1[loan_id])</f>
        <v>2.5999999999999999E-2</v>
      </c>
      <c r="AD501" s="2">
        <f>COUNTIFS(Table1[region],Table1[[#This Row],[region]],Table1[default_flag],1)/COUNTIF(Table1[region],Table1[[#This Row],[region]])</f>
        <v>2.8571428571428571E-2</v>
      </c>
      <c r="AE501" s="2">
        <f>COUNTIFS(Table1[channel],Table1[[#This Row],[channel]],Table1[prepayment_flag],1)/COUNTIF(Table1[channel],Table1[[#This Row],[channel]])</f>
        <v>5.8201058201058198E-2</v>
      </c>
      <c r="AF501" s="2">
        <f>AVERAGEIFS(Table1[interest_rate_pct],Table1[product],Table1[[#This Row],[product]],Table1[risk_band],Table1[[#This Row],[risk_band]])</f>
        <v>10.611923076923079</v>
      </c>
      <c r="AG501" s="2" t="str" cm="1">
        <f t="array" ref="AG501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501" s="2">
        <f>COUNTIF(Table1[DTI band],Table1[[#This Row],[DTI band]])</f>
        <v>260</v>
      </c>
      <c r="AI501" s="2" t="str" cm="1">
        <f t="array" ref="AI501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501" s="2">
        <f>COUNTIF(Table1[LTV band],Table1[[#This Row],[LTV band]])</f>
        <v>141</v>
      </c>
      <c r="AK501" s="19">
        <f>COUNTIFS(Table1[count_loan_perband],Table1[[#This Row],[count_loan_perband]],Table1[default_flag],1)/COUNTIF(Table1[count_loan_perband],Table1[[#This Row],[count_loan_perband]])</f>
        <v>1.4184397163120567E-2</v>
      </c>
      <c r="AL501" s="19" t="str" cm="1">
        <f t="array" ref="AL501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501" s="19">
        <f>IF(Table1[[#This Row],[dpd]] &gt;=30,1,0)</f>
        <v>0</v>
      </c>
      <c r="AN501" s="19">
        <f>COUNTIFS(Table1[Loan size],Table1[[#This Row],[Loan size]],Table1[dpd flag],1)/COUNTIF(Table1[Loan size],Table1[[#This Row],[Loan size]])</f>
        <v>0.15909090909090909</v>
      </c>
      <c r="AO501" s="19" t="str">
        <f>IF(OR(Table1[[#This Row],[credit_score]] &lt; 600, Table1[ [#This Row],[dti_ratio] ] &gt; 0.5, Table1[[#This Row],[dpd]] &gt;=30), "high risk", " not riskY")</f>
        <v xml:space="preserve"> not riskY</v>
      </c>
      <c r="AP501" s="29">
        <f>EOMONTH(Table1[[#This Row],[origination_date]],0)</f>
        <v>45991</v>
      </c>
      <c r="AQ501" s="19">
        <f>SUMIFS(Table1[loan_amount],Table1[origination month],Table1[[#This Row],[origination month]])</f>
        <v>20272200</v>
      </c>
      <c r="AR501" s="19">
        <f>AVERAGEIFS(Table1[months_on_book],Table1[product],Table1[[#This Row],[product]])</f>
        <v>20.262135922330096</v>
      </c>
      <c r="AS501" s="19" t="str">
        <f ca="1">IF(EDATE(Table1[[#This Row],[origination_date]],6) &gt;= TODAY(), "New Loan", "Old Loan")</f>
        <v>New Loan</v>
      </c>
      <c r="AT501" s="19" t="str">
        <f>"Q"&amp;ROUNDUP(MONTH(Table1[[#This Row],[origination_date]])/3,0)&amp;YEAR(Table1[[#This Row],[origination_date]])</f>
        <v>Q42025</v>
      </c>
      <c r="AU501" s="19">
        <f>SUMIFS(Table1[loan_amount],Table1[quarter],Table1[[#This Row],[quarter]])</f>
        <v>38483800</v>
      </c>
    </row>
    <row r="502" spans="2:47" x14ac:dyDescent="0.2">
      <c r="B502" s="5" t="s">
        <v>83</v>
      </c>
      <c r="C502" s="2" t="s">
        <v>583</v>
      </c>
      <c r="D502" s="3">
        <v>45931</v>
      </c>
      <c r="E502" s="2" t="s">
        <v>1028</v>
      </c>
      <c r="F502" s="2" t="s">
        <v>1029</v>
      </c>
      <c r="G502" s="2" t="s">
        <v>1034</v>
      </c>
      <c r="H502" s="2" t="s">
        <v>1038</v>
      </c>
      <c r="I502" s="2">
        <v>60</v>
      </c>
      <c r="J502" s="2">
        <v>1232500</v>
      </c>
      <c r="K502" s="2">
        <v>11.2</v>
      </c>
      <c r="L502" s="2">
        <v>26921</v>
      </c>
      <c r="M502" s="2">
        <v>875495</v>
      </c>
      <c r="N502" s="2">
        <v>738</v>
      </c>
      <c r="O502" s="2" t="s">
        <v>1044</v>
      </c>
      <c r="P502" s="2">
        <v>0.37</v>
      </c>
      <c r="Q502" s="2">
        <v>0.66</v>
      </c>
      <c r="R502" s="2">
        <v>0</v>
      </c>
      <c r="S502" s="2">
        <v>2</v>
      </c>
      <c r="T502" s="2">
        <v>49665</v>
      </c>
      <c r="U502" s="2">
        <v>1192038</v>
      </c>
      <c r="V502" s="2">
        <v>0</v>
      </c>
      <c r="W502" s="2">
        <v>0</v>
      </c>
      <c r="X502" s="2">
        <v>0</v>
      </c>
      <c r="Y502" s="2" t="s">
        <v>1049</v>
      </c>
      <c r="Z502" s="12">
        <f>SUMIF(Table1[product],Table1[[#This Row],[product]],Table1[loan_amount])</f>
        <v>62765800</v>
      </c>
      <c r="AA502" s="15">
        <f>SUMIF(Table1[region],Table1[[#This Row],[region]],Table1[current_balance])</f>
        <v>105779369</v>
      </c>
      <c r="AB502" s="2">
        <f>COUNTIF(Table1[loan_status],Table1[[#This Row],[loan_status]])</f>
        <v>301</v>
      </c>
      <c r="AC502" s="2">
        <f>COUNTIF(Table1[default_flag],1)/ROWS(Table1[loan_id])</f>
        <v>2.5999999999999999E-2</v>
      </c>
      <c r="AD502" s="2">
        <f>COUNTIFS(Table1[region],Table1[[#This Row],[region]],Table1[default_flag],1)/COUNTIF(Table1[region],Table1[[#This Row],[region]])</f>
        <v>2.6548672566371681E-2</v>
      </c>
      <c r="AE502" s="2">
        <f>COUNTIFS(Table1[channel],Table1[[#This Row],[channel]],Table1[prepayment_flag],1)/COUNTIF(Table1[channel],Table1[[#This Row],[channel]])</f>
        <v>7.1090047393364927E-2</v>
      </c>
      <c r="AF502" s="2">
        <f>AVERAGEIFS(Table1[interest_rate_pct],Table1[product],Table1[[#This Row],[product]],Table1[risk_band],Table1[[#This Row],[risk_band]])</f>
        <v>10.832666666666663</v>
      </c>
      <c r="AG502" s="2" t="str" cm="1">
        <f t="array" ref="AG502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502" s="2">
        <f>COUNTIF(Table1[DTI band],Table1[[#This Row],[DTI band]])</f>
        <v>260</v>
      </c>
      <c r="AI502" s="2" t="str" cm="1">
        <f t="array" ref="AI502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502" s="2">
        <f>COUNTIF(Table1[LTV band],Table1[[#This Row],[LTV band]])</f>
        <v>302</v>
      </c>
      <c r="AK502" s="19">
        <f>COUNTIFS(Table1[count_loan_perband],Table1[[#This Row],[count_loan_perband]],Table1[default_flag],1)/COUNTIF(Table1[count_loan_perband],Table1[[#This Row],[count_loan_perband]])</f>
        <v>3.6423841059602648E-2</v>
      </c>
      <c r="AL502" s="19" t="str" cm="1">
        <f t="array" ref="AL502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502" s="19">
        <f>IF(Table1[[#This Row],[dpd]] &gt;=30,1,0)</f>
        <v>0</v>
      </c>
      <c r="AN502" s="19">
        <f>COUNTIFS(Table1[Loan size],Table1[[#This Row],[Loan size]],Table1[dpd flag],1)/COUNTIF(Table1[Loan size],Table1[[#This Row],[Loan size]])</f>
        <v>0.15909090909090909</v>
      </c>
      <c r="AO502" s="19" t="str">
        <f>IF(OR(Table1[[#This Row],[credit_score]] &lt; 600, Table1[ [#This Row],[dti_ratio] ] &gt; 0.5, Table1[[#This Row],[dpd]] &gt;=30), "high risk", " not riskY")</f>
        <v xml:space="preserve"> not riskY</v>
      </c>
      <c r="AP502" s="29">
        <f>EOMONTH(Table1[[#This Row],[origination_date]],0)</f>
        <v>45961</v>
      </c>
      <c r="AQ502" s="19">
        <f>SUMIFS(Table1[loan_amount],Table1[origination month],Table1[[#This Row],[origination month]])</f>
        <v>18211600</v>
      </c>
      <c r="AR502" s="19">
        <f>AVERAGEIFS(Table1[months_on_book],Table1[product],Table1[[#This Row],[product]])</f>
        <v>21.962962962962962</v>
      </c>
      <c r="AS502" s="19" t="str">
        <f ca="1">IF(EDATE(Table1[[#This Row],[origination_date]],6) &gt;= TODAY(), "New Loan", "Old Loan")</f>
        <v>New Loan</v>
      </c>
      <c r="AT502" s="19" t="str">
        <f>"Q"&amp;ROUNDUP(MONTH(Table1[[#This Row],[origination_date]])/3,0)&amp;YEAR(Table1[[#This Row],[origination_date]])</f>
        <v>Q42025</v>
      </c>
      <c r="AU502" s="19">
        <f>SUMIFS(Table1[loan_amount],Table1[quarter],Table1[[#This Row],[quarter]])</f>
        <v>38483800</v>
      </c>
    </row>
    <row r="503" spans="2:47" x14ac:dyDescent="0.2">
      <c r="B503" s="5" t="s">
        <v>156</v>
      </c>
      <c r="C503" s="2" t="s">
        <v>656</v>
      </c>
      <c r="D503" s="3">
        <v>45959</v>
      </c>
      <c r="E503" s="2" t="s">
        <v>1027</v>
      </c>
      <c r="F503" s="2" t="s">
        <v>1029</v>
      </c>
      <c r="G503" s="2" t="s">
        <v>1036</v>
      </c>
      <c r="H503" s="2" t="s">
        <v>1038</v>
      </c>
      <c r="I503" s="2">
        <v>240</v>
      </c>
      <c r="J503" s="2">
        <v>4194900</v>
      </c>
      <c r="K503" s="2">
        <v>10.039999999999999</v>
      </c>
      <c r="L503" s="2">
        <v>40593</v>
      </c>
      <c r="M503" s="2">
        <v>543084</v>
      </c>
      <c r="N503" s="2">
        <v>699</v>
      </c>
      <c r="O503" s="2" t="s">
        <v>1042</v>
      </c>
      <c r="P503" s="2">
        <v>0.35</v>
      </c>
      <c r="Q503" s="2">
        <v>0.79</v>
      </c>
      <c r="R503" s="2">
        <v>5325400</v>
      </c>
      <c r="S503" s="2">
        <v>2</v>
      </c>
      <c r="T503" s="2">
        <v>78658</v>
      </c>
      <c r="U503" s="2">
        <v>4144320</v>
      </c>
      <c r="V503" s="2">
        <v>0</v>
      </c>
      <c r="W503" s="2">
        <v>0</v>
      </c>
      <c r="X503" s="2">
        <v>0</v>
      </c>
      <c r="Y503" s="2" t="s">
        <v>1049</v>
      </c>
      <c r="Z503" s="12">
        <f>SUMIF(Table1[product],Table1[[#This Row],[product]],Table1[loan_amount])</f>
        <v>403369500</v>
      </c>
      <c r="AA503" s="15">
        <f>SUMIF(Table1[region],Table1[[#This Row],[region]],Table1[current_balance])</f>
        <v>98928695</v>
      </c>
      <c r="AB503" s="2">
        <f>COUNTIF(Table1[loan_status],Table1[[#This Row],[loan_status]])</f>
        <v>301</v>
      </c>
      <c r="AC503" s="2">
        <f>COUNTIF(Table1[default_flag],1)/ROWS(Table1[loan_id])</f>
        <v>2.5999999999999999E-2</v>
      </c>
      <c r="AD503" s="2">
        <f>COUNTIFS(Table1[region],Table1[[#This Row],[region]],Table1[default_flag],1)/COUNTIF(Table1[region],Table1[[#This Row],[region]])</f>
        <v>2.8571428571428571E-2</v>
      </c>
      <c r="AE503" s="2">
        <f>COUNTIFS(Table1[channel],Table1[[#This Row],[channel]],Table1[prepayment_flag],1)/COUNTIF(Table1[channel],Table1[[#This Row],[channel]])</f>
        <v>7.1090047393364927E-2</v>
      </c>
      <c r="AF503" s="2">
        <f>AVERAGEIFS(Table1[interest_rate_pct],Table1[product],Table1[[#This Row],[product]],Table1[risk_band],Table1[[#This Row],[risk_band]])</f>
        <v>11.719736842105268</v>
      </c>
      <c r="AG503" s="2" t="str" cm="1">
        <f t="array" ref="AG503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503" s="2">
        <f>COUNTIF(Table1[DTI band],Table1[[#This Row],[DTI band]])</f>
        <v>260</v>
      </c>
      <c r="AI503" s="2" t="str" cm="1">
        <f t="array" ref="AI503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503" s="2">
        <f>COUNTIF(Table1[LTV band],Table1[[#This Row],[LTV band]])</f>
        <v>302</v>
      </c>
      <c r="AK503" s="19">
        <f>COUNTIFS(Table1[count_loan_perband],Table1[[#This Row],[count_loan_perband]],Table1[default_flag],1)/COUNTIF(Table1[count_loan_perband],Table1[[#This Row],[count_loan_perband]])</f>
        <v>3.6423841059602648E-2</v>
      </c>
      <c r="AL503" s="19" t="str" cm="1">
        <f t="array" ref="AL503">_xlfn.IFS(Table1[[#This Row],[loan_amount]] &lt; 900000, "lower size (&lt; 9L)", Table1[[#This Row],[loan_amount]] &lt;=3300000, "medium size (&lt;=33L)", Table1[[#This Row],[loan_amount]] &gt; 3300000, "larger size (&gt; 33L)")</f>
        <v>larger size (&gt; 33L)</v>
      </c>
      <c r="AM503" s="19">
        <f>IF(Table1[[#This Row],[dpd]] &gt;=30,1,0)</f>
        <v>0</v>
      </c>
      <c r="AN503" s="19">
        <f>COUNTIFS(Table1[Loan size],Table1[[#This Row],[Loan size]],Table1[dpd flag],1)/COUNTIF(Table1[Loan size],Table1[[#This Row],[Loan size]])</f>
        <v>0.16250000000000001</v>
      </c>
      <c r="AO503" s="19" t="str">
        <f>IF(OR(Table1[[#This Row],[credit_score]] &lt; 600, Table1[ [#This Row],[dti_ratio] ] &gt; 0.5, Table1[[#This Row],[dpd]] &gt;=30), "high risk", " not riskY")</f>
        <v xml:space="preserve"> not riskY</v>
      </c>
      <c r="AP503" s="29">
        <f>EOMONTH(Table1[[#This Row],[origination_date]],0)</f>
        <v>45961</v>
      </c>
      <c r="AQ503" s="19">
        <f>SUMIFS(Table1[loan_amount],Table1[origination month],Table1[[#This Row],[origination month]])</f>
        <v>18211600</v>
      </c>
      <c r="AR503" s="19">
        <f>AVERAGEIFS(Table1[months_on_book],Table1[product],Table1[[#This Row],[product]])</f>
        <v>20.516129032258064</v>
      </c>
      <c r="AS503" s="19" t="str">
        <f ca="1">IF(EDATE(Table1[[#This Row],[origination_date]],6) &gt;= TODAY(), "New Loan", "Old Loan")</f>
        <v>New Loan</v>
      </c>
      <c r="AT503" s="19" t="str">
        <f>"Q"&amp;ROUNDUP(MONTH(Table1[[#This Row],[origination_date]])/3,0)&amp;YEAR(Table1[[#This Row],[origination_date]])</f>
        <v>Q42025</v>
      </c>
      <c r="AU503" s="19">
        <f>SUMIFS(Table1[loan_amount],Table1[quarter],Table1[[#This Row],[quarter]])</f>
        <v>38483800</v>
      </c>
    </row>
    <row r="504" spans="2:47" x14ac:dyDescent="0.2">
      <c r="B504" s="5" t="s">
        <v>362</v>
      </c>
      <c r="C504" s="2" t="s">
        <v>862</v>
      </c>
      <c r="D504" s="3">
        <v>45948</v>
      </c>
      <c r="E504" s="2" t="s">
        <v>1024</v>
      </c>
      <c r="F504" s="2" t="s">
        <v>1029</v>
      </c>
      <c r="G504" s="2" t="s">
        <v>1033</v>
      </c>
      <c r="H504" s="2" t="s">
        <v>1038</v>
      </c>
      <c r="I504" s="2">
        <v>360</v>
      </c>
      <c r="J504" s="2">
        <v>1516500</v>
      </c>
      <c r="K504" s="2">
        <v>17.100000000000001</v>
      </c>
      <c r="L504" s="2">
        <v>21744</v>
      </c>
      <c r="M504" s="2">
        <v>670490</v>
      </c>
      <c r="N504" s="2">
        <v>613</v>
      </c>
      <c r="O504" s="2" t="s">
        <v>1045</v>
      </c>
      <c r="P504" s="2">
        <v>0.34</v>
      </c>
      <c r="Q504" s="2">
        <v>0.81</v>
      </c>
      <c r="R504" s="2">
        <v>1882700</v>
      </c>
      <c r="S504" s="2">
        <v>2</v>
      </c>
      <c r="T504" s="2">
        <v>42821</v>
      </c>
      <c r="U504" s="2">
        <v>1490967</v>
      </c>
      <c r="V504" s="2">
        <v>10</v>
      </c>
      <c r="W504" s="2">
        <v>0</v>
      </c>
      <c r="X504" s="2">
        <v>0</v>
      </c>
      <c r="Y504" s="2" t="s">
        <v>1049</v>
      </c>
      <c r="Z504" s="12">
        <f>SUMIF(Table1[product],Table1[[#This Row],[product]],Table1[loan_amount])</f>
        <v>92273000</v>
      </c>
      <c r="AA504" s="15">
        <f>SUMIF(Table1[region],Table1[[#This Row],[region]],Table1[current_balance])</f>
        <v>83297251</v>
      </c>
      <c r="AB504" s="2">
        <f>COUNTIF(Table1[loan_status],Table1[[#This Row],[loan_status]])</f>
        <v>301</v>
      </c>
      <c r="AC504" s="2">
        <f>COUNTIF(Table1[default_flag],1)/ROWS(Table1[loan_id])</f>
        <v>2.5999999999999999E-2</v>
      </c>
      <c r="AD504" s="2">
        <f>COUNTIFS(Table1[region],Table1[[#This Row],[region]],Table1[default_flag],1)/COUNTIF(Table1[region],Table1[[#This Row],[region]])</f>
        <v>3.1914893617021274E-2</v>
      </c>
      <c r="AE504" s="2">
        <f>COUNTIFS(Table1[channel],Table1[[#This Row],[channel]],Table1[prepayment_flag],1)/COUNTIF(Table1[channel],Table1[[#This Row],[channel]])</f>
        <v>7.1090047393364927E-2</v>
      </c>
      <c r="AF504" s="2">
        <f>AVERAGEIFS(Table1[interest_rate_pct],Table1[product],Table1[[#This Row],[product]],Table1[risk_band],Table1[[#This Row],[risk_band]])</f>
        <v>15.092000000000001</v>
      </c>
      <c r="AG504" s="2" t="str" cm="1">
        <f t="array" ref="AG504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504" s="2">
        <f>COUNTIF(Table1[DTI band],Table1[[#This Row],[DTI band]])</f>
        <v>260</v>
      </c>
      <c r="AI504" s="2" t="str" cm="1">
        <f t="array" ref="AI504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504" s="2">
        <f>COUNTIF(Table1[LTV band],Table1[[#This Row],[LTV band]])</f>
        <v>141</v>
      </c>
      <c r="AK504" s="19">
        <f>COUNTIFS(Table1[count_loan_perband],Table1[[#This Row],[count_loan_perband]],Table1[default_flag],1)/COUNTIF(Table1[count_loan_perband],Table1[[#This Row],[count_loan_perband]])</f>
        <v>1.4184397163120567E-2</v>
      </c>
      <c r="AL504" s="19" t="str" cm="1">
        <f t="array" ref="AL504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504" s="19">
        <f>IF(Table1[[#This Row],[dpd]] &gt;=30,1,0)</f>
        <v>0</v>
      </c>
      <c r="AN504" s="19">
        <f>COUNTIFS(Table1[Loan size],Table1[[#This Row],[Loan size]],Table1[dpd flag],1)/COUNTIF(Table1[Loan size],Table1[[#This Row],[Loan size]])</f>
        <v>0.15909090909090909</v>
      </c>
      <c r="AO504" s="19" t="str">
        <f>IF(OR(Table1[[#This Row],[credit_score]] &lt; 600, Table1[ [#This Row],[dti_ratio] ] &gt; 0.5, Table1[[#This Row],[dpd]] &gt;=30), "high risk", " not riskY")</f>
        <v xml:space="preserve"> not riskY</v>
      </c>
      <c r="AP504" s="29">
        <f>EOMONTH(Table1[[#This Row],[origination_date]],0)</f>
        <v>45961</v>
      </c>
      <c r="AQ504" s="19">
        <f>SUMIFS(Table1[loan_amount],Table1[origination month],Table1[[#This Row],[origination month]])</f>
        <v>18211600</v>
      </c>
      <c r="AR504" s="19">
        <f>AVERAGEIFS(Table1[months_on_book],Table1[product],Table1[[#This Row],[product]])</f>
        <v>20.262135922330096</v>
      </c>
      <c r="AS504" s="19" t="str">
        <f ca="1">IF(EDATE(Table1[[#This Row],[origination_date]],6) &gt;= TODAY(), "New Loan", "Old Loan")</f>
        <v>New Loan</v>
      </c>
      <c r="AT504" s="19" t="str">
        <f>"Q"&amp;ROUNDUP(MONTH(Table1[[#This Row],[origination_date]])/3,0)&amp;YEAR(Table1[[#This Row],[origination_date]])</f>
        <v>Q42025</v>
      </c>
      <c r="AU504" s="19">
        <f>SUMIFS(Table1[loan_amount],Table1[quarter],Table1[[#This Row],[quarter]])</f>
        <v>38483800</v>
      </c>
    </row>
    <row r="505" spans="2:47" x14ac:dyDescent="0.2">
      <c r="B505" s="5" t="s">
        <v>181</v>
      </c>
      <c r="C505" s="2" t="s">
        <v>681</v>
      </c>
      <c r="D505" s="3">
        <v>45936</v>
      </c>
      <c r="E505" s="2" t="s">
        <v>1025</v>
      </c>
      <c r="F505" s="2" t="s">
        <v>1030</v>
      </c>
      <c r="G505" s="2" t="s">
        <v>1036</v>
      </c>
      <c r="H505" s="2" t="s">
        <v>1038</v>
      </c>
      <c r="I505" s="2">
        <v>24</v>
      </c>
      <c r="J505" s="2">
        <v>2343200</v>
      </c>
      <c r="K505" s="2">
        <v>18.309999999999999</v>
      </c>
      <c r="L505" s="2">
        <v>117333</v>
      </c>
      <c r="M505" s="2">
        <v>760158</v>
      </c>
      <c r="N505" s="2">
        <v>633</v>
      </c>
      <c r="O505" s="2" t="s">
        <v>1045</v>
      </c>
      <c r="P505" s="2">
        <v>0.32</v>
      </c>
      <c r="Q505" s="2">
        <v>0.59</v>
      </c>
      <c r="R505" s="2">
        <v>3957400</v>
      </c>
      <c r="S505" s="2">
        <v>2</v>
      </c>
      <c r="T505" s="2">
        <v>222654</v>
      </c>
      <c r="U505" s="2">
        <v>2149149</v>
      </c>
      <c r="V505" s="2">
        <v>10</v>
      </c>
      <c r="W505" s="2">
        <v>0</v>
      </c>
      <c r="X505" s="2">
        <v>0</v>
      </c>
      <c r="Y505" s="2" t="s">
        <v>1049</v>
      </c>
      <c r="Z505" s="12">
        <f>SUMIF(Table1[product],Table1[[#This Row],[product]],Table1[loan_amount])</f>
        <v>201475100</v>
      </c>
      <c r="AA505" s="15">
        <f>SUMIF(Table1[region],Table1[[#This Row],[region]],Table1[current_balance])</f>
        <v>98928695</v>
      </c>
      <c r="AB505" s="2">
        <f>COUNTIF(Table1[loan_status],Table1[[#This Row],[loan_status]])</f>
        <v>301</v>
      </c>
      <c r="AC505" s="2">
        <f>COUNTIF(Table1[default_flag],1)/ROWS(Table1[loan_id])</f>
        <v>2.5999999999999999E-2</v>
      </c>
      <c r="AD505" s="2">
        <f>COUNTIFS(Table1[region],Table1[[#This Row],[region]],Table1[default_flag],1)/COUNTIF(Table1[region],Table1[[#This Row],[region]])</f>
        <v>2.8571428571428571E-2</v>
      </c>
      <c r="AE505" s="2">
        <f>COUNTIFS(Table1[channel],Table1[[#This Row],[channel]],Table1[prepayment_flag],1)/COUNTIF(Table1[channel],Table1[[#This Row],[channel]])</f>
        <v>5.8201058201058198E-2</v>
      </c>
      <c r="AF505" s="2">
        <f>AVERAGEIFS(Table1[interest_rate_pct],Table1[product],Table1[[#This Row],[product]],Table1[risk_band],Table1[[#This Row],[risk_band]])</f>
        <v>18.241249999999997</v>
      </c>
      <c r="AG505" s="2" t="str" cm="1">
        <f t="array" ref="AG505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505" s="2">
        <f>COUNTIF(Table1[DTI band],Table1[[#This Row],[DTI band]])</f>
        <v>260</v>
      </c>
      <c r="AI505" s="2" t="str" cm="1">
        <f t="array" ref="AI505">_xlfn.IFS(Table1[[#This Row],[ltv_ratio]] &lt; 0.6, "less than 0.6 -less risky", Table1[[#This Row],[ltv_ratio]]  &lt;= 0.8, "0.6 - 0.8 -medium risky",Table1[[#This Row],[ltv_ratio]] &gt; 0.8, "greater than 0.8 -highly risky")</f>
        <v>less than 0.6 -less risky</v>
      </c>
      <c r="AJ505" s="2">
        <f>COUNTIF(Table1[LTV band],Table1[[#This Row],[LTV band]])</f>
        <v>57</v>
      </c>
      <c r="AK505" s="19">
        <f>COUNTIFS(Table1[count_loan_perband],Table1[[#This Row],[count_loan_perband]],Table1[default_flag],1)/COUNTIF(Table1[count_loan_perband],Table1[[#This Row],[count_loan_perband]])</f>
        <v>0</v>
      </c>
      <c r="AL505" s="19" t="str" cm="1">
        <f t="array" ref="AL505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505" s="19">
        <f>IF(Table1[[#This Row],[dpd]] &gt;=30,1,0)</f>
        <v>0</v>
      </c>
      <c r="AN505" s="19">
        <f>COUNTIFS(Table1[Loan size],Table1[[#This Row],[Loan size]],Table1[dpd flag],1)/COUNTIF(Table1[Loan size],Table1[[#This Row],[Loan size]])</f>
        <v>0.15909090909090909</v>
      </c>
      <c r="AO505" s="19" t="str">
        <f>IF(OR(Table1[[#This Row],[credit_score]] &lt; 600, Table1[ [#This Row],[dti_ratio] ] &gt; 0.5, Table1[[#This Row],[dpd]] &gt;=30), "high risk", " not riskY")</f>
        <v xml:space="preserve"> not riskY</v>
      </c>
      <c r="AP505" s="29">
        <f>EOMONTH(Table1[[#This Row],[origination_date]],0)</f>
        <v>45961</v>
      </c>
      <c r="AQ505" s="19">
        <f>SUMIFS(Table1[loan_amount],Table1[origination month],Table1[[#This Row],[origination month]])</f>
        <v>18211600</v>
      </c>
      <c r="AR505" s="19">
        <f>AVERAGEIFS(Table1[months_on_book],Table1[product],Table1[[#This Row],[product]])</f>
        <v>19.091954022988507</v>
      </c>
      <c r="AS505" s="19" t="str">
        <f ca="1">IF(EDATE(Table1[[#This Row],[origination_date]],6) &gt;= TODAY(), "New Loan", "Old Loan")</f>
        <v>New Loan</v>
      </c>
      <c r="AT505" s="19" t="str">
        <f>"Q"&amp;ROUNDUP(MONTH(Table1[[#This Row],[origination_date]])/3,0)&amp;YEAR(Table1[[#This Row],[origination_date]])</f>
        <v>Q42025</v>
      </c>
      <c r="AU505" s="19">
        <f>SUMIFS(Table1[loan_amount],Table1[quarter],Table1[[#This Row],[quarter]])</f>
        <v>38483800</v>
      </c>
    </row>
    <row r="506" spans="2:47" x14ac:dyDescent="0.2">
      <c r="B506" s="5" t="s">
        <v>225</v>
      </c>
      <c r="C506" s="2" t="s">
        <v>725</v>
      </c>
      <c r="D506" s="3">
        <v>45978</v>
      </c>
      <c r="E506" s="2" t="s">
        <v>1025</v>
      </c>
      <c r="F506" s="2" t="s">
        <v>1030</v>
      </c>
      <c r="G506" s="2" t="s">
        <v>1037</v>
      </c>
      <c r="H506" s="2" t="s">
        <v>1040</v>
      </c>
      <c r="I506" s="2">
        <v>60</v>
      </c>
      <c r="J506" s="2">
        <v>2939500</v>
      </c>
      <c r="K506" s="2">
        <v>14.33</v>
      </c>
      <c r="L506" s="2">
        <v>68901</v>
      </c>
      <c r="M506" s="2">
        <v>1089768</v>
      </c>
      <c r="N506" s="2">
        <v>727</v>
      </c>
      <c r="O506" s="2" t="s">
        <v>1044</v>
      </c>
      <c r="P506" s="2">
        <v>0.3</v>
      </c>
      <c r="Q506" s="2">
        <v>0.68</v>
      </c>
      <c r="R506" s="2">
        <v>4322900</v>
      </c>
      <c r="S506" s="2">
        <v>1</v>
      </c>
      <c r="T506" s="2">
        <v>68298</v>
      </c>
      <c r="U506" s="2">
        <v>2885243</v>
      </c>
      <c r="V506" s="2">
        <v>0</v>
      </c>
      <c r="W506" s="2">
        <v>0</v>
      </c>
      <c r="X506" s="2">
        <v>0</v>
      </c>
      <c r="Y506" s="2" t="s">
        <v>1049</v>
      </c>
      <c r="Z506" s="12">
        <f>SUMIF(Table1[product],Table1[[#This Row],[product]],Table1[loan_amount])</f>
        <v>201475100</v>
      </c>
      <c r="AA506" s="15">
        <f>SUMIF(Table1[region],Table1[[#This Row],[region]],Table1[current_balance])</f>
        <v>94548000</v>
      </c>
      <c r="AB506" s="2">
        <f>COUNTIF(Table1[loan_status],Table1[[#This Row],[loan_status]])</f>
        <v>301</v>
      </c>
      <c r="AC506" s="2">
        <f>COUNTIF(Table1[default_flag],1)/ROWS(Table1[loan_id])</f>
        <v>2.5999999999999999E-2</v>
      </c>
      <c r="AD506" s="2">
        <f>COUNTIFS(Table1[region],Table1[[#This Row],[region]],Table1[default_flag],1)/COUNTIF(Table1[region],Table1[[#This Row],[region]])</f>
        <v>0</v>
      </c>
      <c r="AE506" s="2">
        <f>COUNTIFS(Table1[channel],Table1[[#This Row],[channel]],Table1[prepayment_flag],1)/COUNTIF(Table1[channel],Table1[[#This Row],[channel]])</f>
        <v>5.8201058201058198E-2</v>
      </c>
      <c r="AF506" s="2">
        <f>AVERAGEIFS(Table1[interest_rate_pct],Table1[product],Table1[[#This Row],[product]],Table1[risk_band],Table1[[#This Row],[risk_band]])</f>
        <v>13.042631578947367</v>
      </c>
      <c r="AG506" s="2" t="str" cm="1">
        <f t="array" ref="AG506">_xlfn.IFS(Table1[[#This Row],[dti_ratio]] &lt; 0.2, " less than 0.2", Table1[[#This Row],[dti_ratio]] &lt; 0.3, "0.2 - 0.3", Table1[[#This Row],[dti_ratio]] &lt;= 0.5, "0.35 - 0.5", Table1[[#This Row],[dti_ratio]] &gt; 0.5, "greater than 0.5")</f>
        <v>0.35 - 0.5</v>
      </c>
      <c r="AH506" s="2">
        <f>COUNTIF(Table1[DTI band],Table1[[#This Row],[DTI band]])</f>
        <v>260</v>
      </c>
      <c r="AI506" s="2" t="str" cm="1">
        <f t="array" ref="AI506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506" s="2">
        <f>COUNTIF(Table1[LTV band],Table1[[#This Row],[LTV band]])</f>
        <v>302</v>
      </c>
      <c r="AK506" s="19">
        <f>COUNTIFS(Table1[count_loan_perband],Table1[[#This Row],[count_loan_perband]],Table1[default_flag],1)/COUNTIF(Table1[count_loan_perband],Table1[[#This Row],[count_loan_perband]])</f>
        <v>3.6423841059602648E-2</v>
      </c>
      <c r="AL506" s="19" t="str" cm="1">
        <f t="array" ref="AL506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506" s="19">
        <f>IF(Table1[[#This Row],[dpd]] &gt;=30,1,0)</f>
        <v>0</v>
      </c>
      <c r="AN506" s="19">
        <f>COUNTIFS(Table1[Loan size],Table1[[#This Row],[Loan size]],Table1[dpd flag],1)/COUNTIF(Table1[Loan size],Table1[[#This Row],[Loan size]])</f>
        <v>0.15909090909090909</v>
      </c>
      <c r="AO506" s="19" t="str">
        <f>IF(OR(Table1[[#This Row],[credit_score]] &lt; 600, Table1[ [#This Row],[dti_ratio] ] &gt; 0.5, Table1[[#This Row],[dpd]] &gt;=30), "high risk", " not riskY")</f>
        <v xml:space="preserve"> not riskY</v>
      </c>
      <c r="AP506" s="29">
        <f>EOMONTH(Table1[[#This Row],[origination_date]],0)</f>
        <v>45991</v>
      </c>
      <c r="AQ506" s="19">
        <f>SUMIFS(Table1[loan_amount],Table1[origination month],Table1[[#This Row],[origination month]])</f>
        <v>20272200</v>
      </c>
      <c r="AR506" s="19">
        <f>AVERAGEIFS(Table1[months_on_book],Table1[product],Table1[[#This Row],[product]])</f>
        <v>19.091954022988507</v>
      </c>
      <c r="AS506" s="19" t="str">
        <f ca="1">IF(EDATE(Table1[[#This Row],[origination_date]],6) &gt;= TODAY(), "New Loan", "Old Loan")</f>
        <v>New Loan</v>
      </c>
      <c r="AT506" s="19" t="str">
        <f>"Q"&amp;ROUNDUP(MONTH(Table1[[#This Row],[origination_date]])/3,0)&amp;YEAR(Table1[[#This Row],[origination_date]])</f>
        <v>Q42025</v>
      </c>
      <c r="AU506" s="19">
        <f>SUMIFS(Table1[loan_amount],Table1[quarter],Table1[[#This Row],[quarter]])</f>
        <v>38483800</v>
      </c>
    </row>
    <row r="507" spans="2:47" x14ac:dyDescent="0.2">
      <c r="B507" s="5" t="s">
        <v>38</v>
      </c>
      <c r="C507" s="2" t="s">
        <v>538</v>
      </c>
      <c r="D507" s="3">
        <v>45933</v>
      </c>
      <c r="E507" s="2" t="s">
        <v>1026</v>
      </c>
      <c r="F507" s="2" t="s">
        <v>1030</v>
      </c>
      <c r="G507" s="2" t="s">
        <v>1035</v>
      </c>
      <c r="H507" s="2" t="s">
        <v>1039</v>
      </c>
      <c r="I507" s="2">
        <v>24</v>
      </c>
      <c r="J507" s="2">
        <v>347200</v>
      </c>
      <c r="K507" s="2">
        <v>15.31</v>
      </c>
      <c r="L507" s="2">
        <v>16886</v>
      </c>
      <c r="M507" s="2">
        <v>1195111</v>
      </c>
      <c r="N507" s="2">
        <v>740</v>
      </c>
      <c r="O507" s="2" t="s">
        <v>1044</v>
      </c>
      <c r="P507" s="2">
        <v>0.28000000000000003</v>
      </c>
      <c r="Q507" s="2">
        <v>1.1299999999999999</v>
      </c>
      <c r="R507" s="2">
        <v>0</v>
      </c>
      <c r="S507" s="2">
        <v>2</v>
      </c>
      <c r="T507" s="2">
        <v>32739</v>
      </c>
      <c r="U507" s="2">
        <v>318005</v>
      </c>
      <c r="V507" s="2">
        <v>0</v>
      </c>
      <c r="W507" s="2">
        <v>0</v>
      </c>
      <c r="X507" s="2">
        <v>0</v>
      </c>
      <c r="Y507" s="2" t="s">
        <v>1049</v>
      </c>
      <c r="Z507" s="12">
        <f>SUMIF(Table1[product],Table1[[#This Row],[product]],Table1[loan_amount])</f>
        <v>74897600</v>
      </c>
      <c r="AA507" s="15">
        <f>SUMIF(Table1[region],Table1[[#This Row],[region]],Table1[current_balance])</f>
        <v>83903255</v>
      </c>
      <c r="AB507" s="2">
        <f>COUNTIF(Table1[loan_status],Table1[[#This Row],[loan_status]])</f>
        <v>301</v>
      </c>
      <c r="AC507" s="2">
        <f>COUNTIF(Table1[default_flag],1)/ROWS(Table1[loan_id])</f>
        <v>2.5999999999999999E-2</v>
      </c>
      <c r="AD507" s="2">
        <f>COUNTIFS(Table1[region],Table1[[#This Row],[region]],Table1[default_flag],1)/COUNTIF(Table1[region],Table1[[#This Row],[region]])</f>
        <v>4.2553191489361701E-2</v>
      </c>
      <c r="AE507" s="2">
        <f>COUNTIFS(Table1[channel],Table1[[#This Row],[channel]],Table1[prepayment_flag],1)/COUNTIF(Table1[channel],Table1[[#This Row],[channel]])</f>
        <v>5.8201058201058198E-2</v>
      </c>
      <c r="AF507" s="2">
        <f>AVERAGEIFS(Table1[interest_rate_pct],Table1[product],Table1[[#This Row],[product]],Table1[risk_band],Table1[[#This Row],[risk_band]])</f>
        <v>16.500166666666669</v>
      </c>
      <c r="AG507" s="2" t="str" cm="1">
        <f t="array" ref="AG507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507" s="2">
        <f>COUNTIF(Table1[DTI band],Table1[[#This Row],[DTI band]])</f>
        <v>122</v>
      </c>
      <c r="AI507" s="2" t="str" cm="1">
        <f t="array" ref="AI507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507" s="2">
        <f>COUNTIF(Table1[LTV band],Table1[[#This Row],[LTV band]])</f>
        <v>141</v>
      </c>
      <c r="AK507" s="19">
        <f>COUNTIFS(Table1[count_loan_perband],Table1[[#This Row],[count_loan_perband]],Table1[default_flag],1)/COUNTIF(Table1[count_loan_perband],Table1[[#This Row],[count_loan_perband]])</f>
        <v>1.4184397163120567E-2</v>
      </c>
      <c r="AL507" s="19" t="str" cm="1">
        <f t="array" ref="AL507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507" s="19">
        <f>IF(Table1[[#This Row],[dpd]] &gt;=30,1,0)</f>
        <v>0</v>
      </c>
      <c r="AN507" s="19">
        <f>COUNTIFS(Table1[Loan size],Table1[[#This Row],[Loan size]],Table1[dpd flag],1)/COUNTIF(Table1[Loan size],Table1[[#This Row],[Loan size]])</f>
        <v>0.13934426229508196</v>
      </c>
      <c r="AO507" s="19" t="str">
        <f>IF(OR(Table1[[#This Row],[credit_score]] &lt; 600, Table1[ [#This Row],[dti_ratio] ] &gt; 0.5, Table1[[#This Row],[dpd]] &gt;=30), "high risk", " not riskY")</f>
        <v xml:space="preserve"> not riskY</v>
      </c>
      <c r="AP507" s="29">
        <f>EOMONTH(Table1[[#This Row],[origination_date]],0)</f>
        <v>45961</v>
      </c>
      <c r="AQ507" s="19">
        <f>SUMIFS(Table1[loan_amount],Table1[origination month],Table1[[#This Row],[origination month]])</f>
        <v>18211600</v>
      </c>
      <c r="AR507" s="19">
        <f>AVERAGEIFS(Table1[months_on_book],Table1[product],Table1[[#This Row],[product]])</f>
        <v>21.092024539877301</v>
      </c>
      <c r="AS507" s="19" t="str">
        <f ca="1">IF(EDATE(Table1[[#This Row],[origination_date]],6) &gt;= TODAY(), "New Loan", "Old Loan")</f>
        <v>New Loan</v>
      </c>
      <c r="AT507" s="19" t="str">
        <f>"Q"&amp;ROUNDUP(MONTH(Table1[[#This Row],[origination_date]])/3,0)&amp;YEAR(Table1[[#This Row],[origination_date]])</f>
        <v>Q42025</v>
      </c>
      <c r="AU507" s="19">
        <f>SUMIFS(Table1[loan_amount],Table1[quarter],Table1[[#This Row],[quarter]])</f>
        <v>38483800</v>
      </c>
    </row>
    <row r="508" spans="2:47" x14ac:dyDescent="0.2">
      <c r="B508" s="5" t="s">
        <v>312</v>
      </c>
      <c r="C508" s="2" t="s">
        <v>812</v>
      </c>
      <c r="D508" s="3">
        <v>45964</v>
      </c>
      <c r="E508" s="2" t="s">
        <v>1026</v>
      </c>
      <c r="F508" s="2" t="s">
        <v>1030</v>
      </c>
      <c r="G508" s="2" t="s">
        <v>1037</v>
      </c>
      <c r="H508" s="2" t="s">
        <v>1038</v>
      </c>
      <c r="I508" s="2">
        <v>72</v>
      </c>
      <c r="J508" s="2">
        <v>510700</v>
      </c>
      <c r="K508" s="2">
        <v>15.97</v>
      </c>
      <c r="L508" s="2">
        <v>11070</v>
      </c>
      <c r="M508" s="2">
        <v>903211</v>
      </c>
      <c r="N508" s="2">
        <v>749</v>
      </c>
      <c r="O508" s="2" t="s">
        <v>1044</v>
      </c>
      <c r="P508" s="2">
        <v>0.28000000000000003</v>
      </c>
      <c r="Q508" s="2">
        <v>0.62</v>
      </c>
      <c r="R508" s="2">
        <v>0</v>
      </c>
      <c r="S508" s="2">
        <v>1</v>
      </c>
      <c r="T508" s="2">
        <v>11227</v>
      </c>
      <c r="U508" s="2">
        <v>502192</v>
      </c>
      <c r="V508" s="2">
        <v>0</v>
      </c>
      <c r="W508" s="2">
        <v>0</v>
      </c>
      <c r="X508" s="2">
        <v>0</v>
      </c>
      <c r="Y508" s="2" t="s">
        <v>1049</v>
      </c>
      <c r="Z508" s="12">
        <f>SUMIF(Table1[product],Table1[[#This Row],[product]],Table1[loan_amount])</f>
        <v>74897600</v>
      </c>
      <c r="AA508" s="15">
        <f>SUMIF(Table1[region],Table1[[#This Row],[region]],Table1[current_balance])</f>
        <v>94548000</v>
      </c>
      <c r="AB508" s="2">
        <f>COUNTIF(Table1[loan_status],Table1[[#This Row],[loan_status]])</f>
        <v>301</v>
      </c>
      <c r="AC508" s="2">
        <f>COUNTIF(Table1[default_flag],1)/ROWS(Table1[loan_id])</f>
        <v>2.5999999999999999E-2</v>
      </c>
      <c r="AD508" s="2">
        <f>COUNTIFS(Table1[region],Table1[[#This Row],[region]],Table1[default_flag],1)/COUNTIF(Table1[region],Table1[[#This Row],[region]])</f>
        <v>0</v>
      </c>
      <c r="AE508" s="2">
        <f>COUNTIFS(Table1[channel],Table1[[#This Row],[channel]],Table1[prepayment_flag],1)/COUNTIF(Table1[channel],Table1[[#This Row],[channel]])</f>
        <v>5.8201058201058198E-2</v>
      </c>
      <c r="AF508" s="2">
        <f>AVERAGEIFS(Table1[interest_rate_pct],Table1[product],Table1[[#This Row],[product]],Table1[risk_band],Table1[[#This Row],[risk_band]])</f>
        <v>16.500166666666669</v>
      </c>
      <c r="AG508" s="2" t="str" cm="1">
        <f t="array" ref="AG508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508" s="2">
        <f>COUNTIF(Table1[DTI band],Table1[[#This Row],[DTI band]])</f>
        <v>122</v>
      </c>
      <c r="AI508" s="2" t="str" cm="1">
        <f t="array" ref="AI508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508" s="2">
        <f>COUNTIF(Table1[LTV band],Table1[[#This Row],[LTV band]])</f>
        <v>302</v>
      </c>
      <c r="AK508" s="19">
        <f>COUNTIFS(Table1[count_loan_perband],Table1[[#This Row],[count_loan_perband]],Table1[default_flag],1)/COUNTIF(Table1[count_loan_perband],Table1[[#This Row],[count_loan_perband]])</f>
        <v>3.6423841059602648E-2</v>
      </c>
      <c r="AL508" s="19" t="str" cm="1">
        <f t="array" ref="AL508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508" s="19">
        <f>IF(Table1[[#This Row],[dpd]] &gt;=30,1,0)</f>
        <v>0</v>
      </c>
      <c r="AN508" s="19">
        <f>COUNTIFS(Table1[Loan size],Table1[[#This Row],[Loan size]],Table1[dpd flag],1)/COUNTIF(Table1[Loan size],Table1[[#This Row],[Loan size]])</f>
        <v>0.13934426229508196</v>
      </c>
      <c r="AO508" s="19" t="str">
        <f>IF(OR(Table1[[#This Row],[credit_score]] &lt; 600, Table1[ [#This Row],[dti_ratio] ] &gt; 0.5, Table1[[#This Row],[dpd]] &gt;=30), "high risk", " not riskY")</f>
        <v xml:space="preserve"> not riskY</v>
      </c>
      <c r="AP508" s="29">
        <f>EOMONTH(Table1[[#This Row],[origination_date]],0)</f>
        <v>45991</v>
      </c>
      <c r="AQ508" s="19">
        <f>SUMIFS(Table1[loan_amount],Table1[origination month],Table1[[#This Row],[origination month]])</f>
        <v>20272200</v>
      </c>
      <c r="AR508" s="19">
        <f>AVERAGEIFS(Table1[months_on_book],Table1[product],Table1[[#This Row],[product]])</f>
        <v>21.092024539877301</v>
      </c>
      <c r="AS508" s="19" t="str">
        <f ca="1">IF(EDATE(Table1[[#This Row],[origination_date]],6) &gt;= TODAY(), "New Loan", "Old Loan")</f>
        <v>New Loan</v>
      </c>
      <c r="AT508" s="19" t="str">
        <f>"Q"&amp;ROUNDUP(MONTH(Table1[[#This Row],[origination_date]])/3,0)&amp;YEAR(Table1[[#This Row],[origination_date]])</f>
        <v>Q42025</v>
      </c>
      <c r="AU508" s="19">
        <f>SUMIFS(Table1[loan_amount],Table1[quarter],Table1[[#This Row],[quarter]])</f>
        <v>38483800</v>
      </c>
    </row>
    <row r="509" spans="2:47" x14ac:dyDescent="0.2">
      <c r="B509" s="5" t="s">
        <v>95</v>
      </c>
      <c r="C509" s="2" t="s">
        <v>595</v>
      </c>
      <c r="D509" s="3">
        <v>45988</v>
      </c>
      <c r="E509" s="2" t="s">
        <v>1024</v>
      </c>
      <c r="F509" s="2" t="s">
        <v>1030</v>
      </c>
      <c r="G509" s="2" t="s">
        <v>1035</v>
      </c>
      <c r="H509" s="2" t="s">
        <v>1040</v>
      </c>
      <c r="I509" s="2">
        <v>24</v>
      </c>
      <c r="J509" s="2">
        <v>1420900</v>
      </c>
      <c r="K509" s="2">
        <v>16.09</v>
      </c>
      <c r="L509" s="2">
        <v>69633</v>
      </c>
      <c r="M509" s="2">
        <v>742681</v>
      </c>
      <c r="N509" s="2">
        <v>623</v>
      </c>
      <c r="O509" s="2" t="s">
        <v>1045</v>
      </c>
      <c r="P509" s="2">
        <v>0.26</v>
      </c>
      <c r="Q509" s="2">
        <v>0.79</v>
      </c>
      <c r="R509" s="2">
        <v>1790000</v>
      </c>
      <c r="S509" s="2">
        <v>1</v>
      </c>
      <c r="T509" s="2">
        <v>69836</v>
      </c>
      <c r="U509" s="2">
        <v>1358685</v>
      </c>
      <c r="V509" s="2">
        <v>0</v>
      </c>
      <c r="W509" s="2">
        <v>0</v>
      </c>
      <c r="X509" s="2">
        <v>0</v>
      </c>
      <c r="Y509" s="2" t="s">
        <v>1049</v>
      </c>
      <c r="Z509" s="12">
        <f>SUMIF(Table1[product],Table1[[#This Row],[product]],Table1[loan_amount])</f>
        <v>92273000</v>
      </c>
      <c r="AA509" s="15">
        <f>SUMIF(Table1[region],Table1[[#This Row],[region]],Table1[current_balance])</f>
        <v>83903255</v>
      </c>
      <c r="AB509" s="2">
        <f>COUNTIF(Table1[loan_status],Table1[[#This Row],[loan_status]])</f>
        <v>301</v>
      </c>
      <c r="AC509" s="2">
        <f>COUNTIF(Table1[default_flag],1)/ROWS(Table1[loan_id])</f>
        <v>2.5999999999999999E-2</v>
      </c>
      <c r="AD509" s="2">
        <f>COUNTIFS(Table1[region],Table1[[#This Row],[region]],Table1[default_flag],1)/COUNTIF(Table1[region],Table1[[#This Row],[region]])</f>
        <v>4.2553191489361701E-2</v>
      </c>
      <c r="AE509" s="2">
        <f>COUNTIFS(Table1[channel],Table1[[#This Row],[channel]],Table1[prepayment_flag],1)/COUNTIF(Table1[channel],Table1[[#This Row],[channel]])</f>
        <v>5.8201058201058198E-2</v>
      </c>
      <c r="AF509" s="2">
        <f>AVERAGEIFS(Table1[interest_rate_pct],Table1[product],Table1[[#This Row],[product]],Table1[risk_band],Table1[[#This Row],[risk_band]])</f>
        <v>15.092000000000001</v>
      </c>
      <c r="AG509" s="2" t="str" cm="1">
        <f t="array" ref="AG509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509" s="2">
        <f>COUNTIF(Table1[DTI band],Table1[[#This Row],[DTI band]])</f>
        <v>122</v>
      </c>
      <c r="AI509" s="2" t="str" cm="1">
        <f t="array" ref="AI509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509" s="2">
        <f>COUNTIF(Table1[LTV band],Table1[[#This Row],[LTV band]])</f>
        <v>302</v>
      </c>
      <c r="AK509" s="19">
        <f>COUNTIFS(Table1[count_loan_perband],Table1[[#This Row],[count_loan_perband]],Table1[default_flag],1)/COUNTIF(Table1[count_loan_perband],Table1[[#This Row],[count_loan_perband]])</f>
        <v>3.6423841059602648E-2</v>
      </c>
      <c r="AL509" s="19" t="str" cm="1">
        <f t="array" ref="AL509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509" s="19">
        <f>IF(Table1[[#This Row],[dpd]] &gt;=30,1,0)</f>
        <v>0</v>
      </c>
      <c r="AN509" s="19">
        <f>COUNTIFS(Table1[Loan size],Table1[[#This Row],[Loan size]],Table1[dpd flag],1)/COUNTIF(Table1[Loan size],Table1[[#This Row],[Loan size]])</f>
        <v>0.15909090909090909</v>
      </c>
      <c r="AO509" s="19" t="str">
        <f>IF(OR(Table1[[#This Row],[credit_score]] &lt; 600, Table1[ [#This Row],[dti_ratio] ] &gt; 0.5, Table1[[#This Row],[dpd]] &gt;=30), "high risk", " not riskY")</f>
        <v xml:space="preserve"> not riskY</v>
      </c>
      <c r="AP509" s="29">
        <f>EOMONTH(Table1[[#This Row],[origination_date]],0)</f>
        <v>45991</v>
      </c>
      <c r="AQ509" s="19">
        <f>SUMIFS(Table1[loan_amount],Table1[origination month],Table1[[#This Row],[origination month]])</f>
        <v>20272200</v>
      </c>
      <c r="AR509" s="19">
        <f>AVERAGEIFS(Table1[months_on_book],Table1[product],Table1[[#This Row],[product]])</f>
        <v>20.262135922330096</v>
      </c>
      <c r="AS509" s="19" t="str">
        <f ca="1">IF(EDATE(Table1[[#This Row],[origination_date]],6) &gt;= TODAY(), "New Loan", "Old Loan")</f>
        <v>New Loan</v>
      </c>
      <c r="AT509" s="19" t="str">
        <f>"Q"&amp;ROUNDUP(MONTH(Table1[[#This Row],[origination_date]])/3,0)&amp;YEAR(Table1[[#This Row],[origination_date]])</f>
        <v>Q42025</v>
      </c>
      <c r="AU509" s="19">
        <f>SUMIFS(Table1[loan_amount],Table1[quarter],Table1[[#This Row],[quarter]])</f>
        <v>38483800</v>
      </c>
    </row>
    <row r="510" spans="2:47" x14ac:dyDescent="0.2">
      <c r="B510" s="5" t="s">
        <v>249</v>
      </c>
      <c r="C510" s="2" t="s">
        <v>749</v>
      </c>
      <c r="D510" s="3">
        <v>45939</v>
      </c>
      <c r="E510" s="2" t="s">
        <v>1026</v>
      </c>
      <c r="F510" s="2" t="s">
        <v>1030</v>
      </c>
      <c r="G510" s="2" t="s">
        <v>1036</v>
      </c>
      <c r="H510" s="2" t="s">
        <v>1040</v>
      </c>
      <c r="I510" s="2">
        <v>18</v>
      </c>
      <c r="J510" s="2">
        <v>433100</v>
      </c>
      <c r="K510" s="2">
        <v>18.559999999999999</v>
      </c>
      <c r="L510" s="2">
        <v>27750</v>
      </c>
      <c r="M510" s="2">
        <v>752822</v>
      </c>
      <c r="N510" s="2">
        <v>679</v>
      </c>
      <c r="O510" s="2" t="s">
        <v>1042</v>
      </c>
      <c r="P510" s="2">
        <v>0.26</v>
      </c>
      <c r="Q510" s="2">
        <v>0.75</v>
      </c>
      <c r="R510" s="2">
        <v>0</v>
      </c>
      <c r="S510" s="2">
        <v>2</v>
      </c>
      <c r="T510" s="2">
        <v>49366</v>
      </c>
      <c r="U510" s="2">
        <v>389093</v>
      </c>
      <c r="V510" s="2">
        <v>0</v>
      </c>
      <c r="W510" s="2">
        <v>1</v>
      </c>
      <c r="X510" s="2">
        <v>0</v>
      </c>
      <c r="Y510" s="2" t="s">
        <v>1047</v>
      </c>
      <c r="Z510" s="12">
        <f>SUMIF(Table1[product],Table1[[#This Row],[product]],Table1[loan_amount])</f>
        <v>74897600</v>
      </c>
      <c r="AA510" s="15">
        <f>SUMIF(Table1[region],Table1[[#This Row],[region]],Table1[current_balance])</f>
        <v>98928695</v>
      </c>
      <c r="AB510" s="2">
        <f>COUNTIF(Table1[loan_status],Table1[[#This Row],[loan_status]])</f>
        <v>139</v>
      </c>
      <c r="AC510" s="2">
        <f>COUNTIF(Table1[default_flag],1)/ROWS(Table1[loan_id])</f>
        <v>2.5999999999999999E-2</v>
      </c>
      <c r="AD510" s="2">
        <f>COUNTIFS(Table1[region],Table1[[#This Row],[region]],Table1[default_flag],1)/COUNTIF(Table1[region],Table1[[#This Row],[region]])</f>
        <v>2.8571428571428571E-2</v>
      </c>
      <c r="AE510" s="2">
        <f>COUNTIFS(Table1[channel],Table1[[#This Row],[channel]],Table1[prepayment_flag],1)/COUNTIF(Table1[channel],Table1[[#This Row],[channel]])</f>
        <v>5.8201058201058198E-2</v>
      </c>
      <c r="AF510" s="2">
        <f>AVERAGEIFS(Table1[interest_rate_pct],Table1[product],Table1[[#This Row],[product]],Table1[risk_band],Table1[[#This Row],[risk_band]])</f>
        <v>18.603181818181817</v>
      </c>
      <c r="AG510" s="2" t="str" cm="1">
        <f t="array" ref="AG510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510" s="2">
        <f>COUNTIF(Table1[DTI band],Table1[[#This Row],[DTI band]])</f>
        <v>122</v>
      </c>
      <c r="AI510" s="2" t="str" cm="1">
        <f t="array" ref="AI510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510" s="2">
        <f>COUNTIF(Table1[LTV band],Table1[[#This Row],[LTV band]])</f>
        <v>302</v>
      </c>
      <c r="AK510" s="19">
        <f>COUNTIFS(Table1[count_loan_perband],Table1[[#This Row],[count_loan_perband]],Table1[default_flag],1)/COUNTIF(Table1[count_loan_perband],Table1[[#This Row],[count_loan_perband]])</f>
        <v>3.6423841059602648E-2</v>
      </c>
      <c r="AL510" s="19" t="str" cm="1">
        <f t="array" ref="AL510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510" s="19">
        <f>IF(Table1[[#This Row],[dpd]] &gt;=30,1,0)</f>
        <v>0</v>
      </c>
      <c r="AN510" s="19">
        <f>COUNTIFS(Table1[Loan size],Table1[[#This Row],[Loan size]],Table1[dpd flag],1)/COUNTIF(Table1[Loan size],Table1[[#This Row],[Loan size]])</f>
        <v>0.13934426229508196</v>
      </c>
      <c r="AO510" s="19" t="str">
        <f>IF(OR(Table1[[#This Row],[credit_score]] &lt; 600, Table1[ [#This Row],[dti_ratio] ] &gt; 0.5, Table1[[#This Row],[dpd]] &gt;=30), "high risk", " not riskY")</f>
        <v xml:space="preserve"> not riskY</v>
      </c>
      <c r="AP510" s="29">
        <f>EOMONTH(Table1[[#This Row],[origination_date]],0)</f>
        <v>45961</v>
      </c>
      <c r="AQ510" s="19">
        <f>SUMIFS(Table1[loan_amount],Table1[origination month],Table1[[#This Row],[origination month]])</f>
        <v>18211600</v>
      </c>
      <c r="AR510" s="19">
        <f>AVERAGEIFS(Table1[months_on_book],Table1[product],Table1[[#This Row],[product]])</f>
        <v>21.092024539877301</v>
      </c>
      <c r="AS510" s="19" t="str">
        <f ca="1">IF(EDATE(Table1[[#This Row],[origination_date]],6) &gt;= TODAY(), "New Loan", "Old Loan")</f>
        <v>New Loan</v>
      </c>
      <c r="AT510" s="19" t="str">
        <f>"Q"&amp;ROUNDUP(MONTH(Table1[[#This Row],[origination_date]])/3,0)&amp;YEAR(Table1[[#This Row],[origination_date]])</f>
        <v>Q42025</v>
      </c>
      <c r="AU510" s="19">
        <f>SUMIFS(Table1[loan_amount],Table1[quarter],Table1[[#This Row],[quarter]])</f>
        <v>38483800</v>
      </c>
    </row>
    <row r="511" spans="2:47" x14ac:dyDescent="0.2">
      <c r="B511" s="5" t="s">
        <v>327</v>
      </c>
      <c r="C511" s="2" t="s">
        <v>827</v>
      </c>
      <c r="D511" s="3">
        <v>45989</v>
      </c>
      <c r="E511" s="2" t="s">
        <v>1027</v>
      </c>
      <c r="F511" s="2" t="s">
        <v>1029</v>
      </c>
      <c r="G511" s="2" t="s">
        <v>1035</v>
      </c>
      <c r="H511" s="2" t="s">
        <v>1039</v>
      </c>
      <c r="I511" s="2">
        <v>12</v>
      </c>
      <c r="J511" s="2">
        <v>3405300</v>
      </c>
      <c r="K511" s="2">
        <v>7</v>
      </c>
      <c r="L511" s="2">
        <v>294650</v>
      </c>
      <c r="M511" s="2">
        <v>688958</v>
      </c>
      <c r="N511" s="2">
        <v>795</v>
      </c>
      <c r="O511" s="2" t="s">
        <v>1043</v>
      </c>
      <c r="P511" s="2">
        <v>0.25</v>
      </c>
      <c r="Q511" s="2">
        <v>0.66</v>
      </c>
      <c r="R511" s="2">
        <v>5187500</v>
      </c>
      <c r="S511" s="2">
        <v>1</v>
      </c>
      <c r="T511" s="2">
        <v>269464</v>
      </c>
      <c r="U511" s="2">
        <v>3143782</v>
      </c>
      <c r="V511" s="2">
        <v>0</v>
      </c>
      <c r="W511" s="2">
        <v>0</v>
      </c>
      <c r="X511" s="2">
        <v>0</v>
      </c>
      <c r="Y511" s="2" t="s">
        <v>1049</v>
      </c>
      <c r="Z511" s="12">
        <f>SUMIF(Table1[product],Table1[[#This Row],[product]],Table1[loan_amount])</f>
        <v>403369500</v>
      </c>
      <c r="AA511" s="15">
        <f>SUMIF(Table1[region],Table1[[#This Row],[region]],Table1[current_balance])</f>
        <v>83903255</v>
      </c>
      <c r="AB511" s="2">
        <f>COUNTIF(Table1[loan_status],Table1[[#This Row],[loan_status]])</f>
        <v>301</v>
      </c>
      <c r="AC511" s="2">
        <f>COUNTIF(Table1[default_flag],1)/ROWS(Table1[loan_id])</f>
        <v>2.5999999999999999E-2</v>
      </c>
      <c r="AD511" s="2">
        <f>COUNTIFS(Table1[region],Table1[[#This Row],[region]],Table1[default_flag],1)/COUNTIF(Table1[region],Table1[[#This Row],[region]])</f>
        <v>4.2553191489361701E-2</v>
      </c>
      <c r="AE511" s="2">
        <f>COUNTIFS(Table1[channel],Table1[[#This Row],[channel]],Table1[prepayment_flag],1)/COUNTIF(Table1[channel],Table1[[#This Row],[channel]])</f>
        <v>7.1090047393364927E-2</v>
      </c>
      <c r="AF511" s="2">
        <f>AVERAGEIFS(Table1[interest_rate_pct],Table1[product],Table1[[#This Row],[product]],Table1[risk_band],Table1[[#This Row],[risk_band]])</f>
        <v>7.1876190476190471</v>
      </c>
      <c r="AG511" s="2" t="str" cm="1">
        <f t="array" ref="AG511">_xlfn.IFS(Table1[[#This Row],[dti_ratio]] &lt; 0.2, " less than 0.2", Table1[[#This Row],[dti_ratio]] &lt; 0.3, "0.2 - 0.3", Table1[[#This Row],[dti_ratio]] &lt;= 0.5, "0.35 - 0.5", Table1[[#This Row],[dti_ratio]] &gt; 0.5, "greater than 0.5")</f>
        <v>0.2 - 0.3</v>
      </c>
      <c r="AH511" s="2">
        <f>COUNTIF(Table1[DTI band],Table1[[#This Row],[DTI band]])</f>
        <v>122</v>
      </c>
      <c r="AI511" s="2" t="str" cm="1">
        <f t="array" ref="AI511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511" s="2">
        <f>COUNTIF(Table1[LTV band],Table1[[#This Row],[LTV band]])</f>
        <v>302</v>
      </c>
      <c r="AK511" s="19">
        <f>COUNTIFS(Table1[count_loan_perband],Table1[[#This Row],[count_loan_perband]],Table1[default_flag],1)/COUNTIF(Table1[count_loan_perband],Table1[[#This Row],[count_loan_perband]])</f>
        <v>3.6423841059602648E-2</v>
      </c>
      <c r="AL511" s="19" t="str" cm="1">
        <f t="array" ref="AL511">_xlfn.IFS(Table1[[#This Row],[loan_amount]] &lt; 900000, "lower size (&lt; 9L)", Table1[[#This Row],[loan_amount]] &lt;=3300000, "medium size (&lt;=33L)", Table1[[#This Row],[loan_amount]] &gt; 3300000, "larger size (&gt; 33L)")</f>
        <v>larger size (&gt; 33L)</v>
      </c>
      <c r="AM511" s="19">
        <f>IF(Table1[[#This Row],[dpd]] &gt;=30,1,0)</f>
        <v>0</v>
      </c>
      <c r="AN511" s="19">
        <f>COUNTIFS(Table1[Loan size],Table1[[#This Row],[Loan size]],Table1[dpd flag],1)/COUNTIF(Table1[Loan size],Table1[[#This Row],[Loan size]])</f>
        <v>0.16250000000000001</v>
      </c>
      <c r="AO511" s="19" t="str">
        <f>IF(OR(Table1[[#This Row],[credit_score]] &lt; 600, Table1[ [#This Row],[dti_ratio] ] &gt; 0.5, Table1[[#This Row],[dpd]] &gt;=30), "high risk", " not riskY")</f>
        <v xml:space="preserve"> not riskY</v>
      </c>
      <c r="AP511" s="29">
        <f>EOMONTH(Table1[[#This Row],[origination_date]],0)</f>
        <v>45991</v>
      </c>
      <c r="AQ511" s="19">
        <f>SUMIFS(Table1[loan_amount],Table1[origination month],Table1[[#This Row],[origination month]])</f>
        <v>20272200</v>
      </c>
      <c r="AR511" s="19">
        <f>AVERAGEIFS(Table1[months_on_book],Table1[product],Table1[[#This Row],[product]])</f>
        <v>20.516129032258064</v>
      </c>
      <c r="AS511" s="19" t="str">
        <f ca="1">IF(EDATE(Table1[[#This Row],[origination_date]],6) &gt;= TODAY(), "New Loan", "Old Loan")</f>
        <v>New Loan</v>
      </c>
      <c r="AT511" s="19" t="str">
        <f>"Q"&amp;ROUNDUP(MONTH(Table1[[#This Row],[origination_date]])/3,0)&amp;YEAR(Table1[[#This Row],[origination_date]])</f>
        <v>Q42025</v>
      </c>
      <c r="AU511" s="19">
        <f>SUMIFS(Table1[loan_amount],Table1[quarter],Table1[[#This Row],[quarter]])</f>
        <v>38483800</v>
      </c>
    </row>
    <row r="512" spans="2:47" x14ac:dyDescent="0.2">
      <c r="B512" s="5" t="s">
        <v>150</v>
      </c>
      <c r="C512" s="2" t="s">
        <v>650</v>
      </c>
      <c r="D512" s="3">
        <v>45984</v>
      </c>
      <c r="E512" s="2" t="s">
        <v>1025</v>
      </c>
      <c r="F512" s="2" t="s">
        <v>1029</v>
      </c>
      <c r="G512" s="2" t="s">
        <v>1036</v>
      </c>
      <c r="H512" s="2" t="s">
        <v>1038</v>
      </c>
      <c r="I512" s="2">
        <v>12</v>
      </c>
      <c r="J512" s="2">
        <v>565900</v>
      </c>
      <c r="K512" s="2">
        <v>19.21</v>
      </c>
      <c r="L512" s="2">
        <v>52208</v>
      </c>
      <c r="M512" s="2">
        <v>459916</v>
      </c>
      <c r="N512" s="2">
        <v>607</v>
      </c>
      <c r="O512" s="2" t="s">
        <v>1045</v>
      </c>
      <c r="P512" s="2">
        <v>0.19</v>
      </c>
      <c r="Q512" s="2">
        <v>0.87</v>
      </c>
      <c r="R512" s="2">
        <v>653500</v>
      </c>
      <c r="S512" s="2">
        <v>1</v>
      </c>
      <c r="T512" s="2">
        <v>51045</v>
      </c>
      <c r="U512" s="2">
        <v>518479</v>
      </c>
      <c r="V512" s="2">
        <v>0</v>
      </c>
      <c r="W512" s="2">
        <v>0</v>
      </c>
      <c r="X512" s="2">
        <v>0</v>
      </c>
      <c r="Y512" s="2" t="s">
        <v>1049</v>
      </c>
      <c r="Z512" s="12">
        <f>SUMIF(Table1[product],Table1[[#This Row],[product]],Table1[loan_amount])</f>
        <v>201475100</v>
      </c>
      <c r="AA512" s="15">
        <f>SUMIF(Table1[region],Table1[[#This Row],[region]],Table1[current_balance])</f>
        <v>98928695</v>
      </c>
      <c r="AB512" s="2">
        <f>COUNTIF(Table1[loan_status],Table1[[#This Row],[loan_status]])</f>
        <v>301</v>
      </c>
      <c r="AC512" s="2">
        <f>COUNTIF(Table1[default_flag],1)/ROWS(Table1[loan_id])</f>
        <v>2.5999999999999999E-2</v>
      </c>
      <c r="AD512" s="2">
        <f>COUNTIFS(Table1[region],Table1[[#This Row],[region]],Table1[default_flag],1)/COUNTIF(Table1[region],Table1[[#This Row],[region]])</f>
        <v>2.8571428571428571E-2</v>
      </c>
      <c r="AE512" s="2">
        <f>COUNTIFS(Table1[channel],Table1[[#This Row],[channel]],Table1[prepayment_flag],1)/COUNTIF(Table1[channel],Table1[[#This Row],[channel]])</f>
        <v>7.1090047393364927E-2</v>
      </c>
      <c r="AF512" s="2">
        <f>AVERAGEIFS(Table1[interest_rate_pct],Table1[product],Table1[[#This Row],[product]],Table1[risk_band],Table1[[#This Row],[risk_band]])</f>
        <v>18.241249999999997</v>
      </c>
      <c r="AG512" s="2" t="str" cm="1">
        <f t="array" ref="AG512">_xlfn.IFS(Table1[[#This Row],[dti_ratio]] &lt; 0.2, " less than 0.2", Table1[[#This Row],[dti_ratio]] &lt; 0.3, "0.2 - 0.3", Table1[[#This Row],[dti_ratio]] &lt;= 0.5, "0.35 - 0.5", Table1[[#This Row],[dti_ratio]] &gt; 0.5, "greater than 0.5")</f>
        <v xml:space="preserve"> less than 0.2</v>
      </c>
      <c r="AH512" s="2">
        <f>COUNTIF(Table1[DTI band],Table1[[#This Row],[DTI band]])</f>
        <v>86</v>
      </c>
      <c r="AI512" s="2" t="str" cm="1">
        <f t="array" ref="AI512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512" s="2">
        <f>COUNTIF(Table1[LTV band],Table1[[#This Row],[LTV band]])</f>
        <v>141</v>
      </c>
      <c r="AK512" s="19">
        <f>COUNTIFS(Table1[count_loan_perband],Table1[[#This Row],[count_loan_perband]],Table1[default_flag],1)/COUNTIF(Table1[count_loan_perband],Table1[[#This Row],[count_loan_perband]])</f>
        <v>1.4184397163120567E-2</v>
      </c>
      <c r="AL512" s="19" t="str" cm="1">
        <f t="array" ref="AL512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512" s="19">
        <f>IF(Table1[[#This Row],[dpd]] &gt;=30,1,0)</f>
        <v>0</v>
      </c>
      <c r="AN512" s="19">
        <f>COUNTIFS(Table1[Loan size],Table1[[#This Row],[Loan size]],Table1[dpd flag],1)/COUNTIF(Table1[Loan size],Table1[[#This Row],[Loan size]])</f>
        <v>0.13934426229508196</v>
      </c>
      <c r="AO512" s="19" t="str">
        <f>IF(OR(Table1[[#This Row],[credit_score]] &lt; 600, Table1[ [#This Row],[dti_ratio] ] &gt; 0.5, Table1[[#This Row],[dpd]] &gt;=30), "high risk", " not riskY")</f>
        <v xml:space="preserve"> not riskY</v>
      </c>
      <c r="AP512" s="29">
        <f>EOMONTH(Table1[[#This Row],[origination_date]],0)</f>
        <v>45991</v>
      </c>
      <c r="AQ512" s="19">
        <f>SUMIFS(Table1[loan_amount],Table1[origination month],Table1[[#This Row],[origination month]])</f>
        <v>20272200</v>
      </c>
      <c r="AR512" s="19">
        <f>AVERAGEIFS(Table1[months_on_book],Table1[product],Table1[[#This Row],[product]])</f>
        <v>19.091954022988507</v>
      </c>
      <c r="AS512" s="19" t="str">
        <f ca="1">IF(EDATE(Table1[[#This Row],[origination_date]],6) &gt;= TODAY(), "New Loan", "Old Loan")</f>
        <v>New Loan</v>
      </c>
      <c r="AT512" s="19" t="str">
        <f>"Q"&amp;ROUNDUP(MONTH(Table1[[#This Row],[origination_date]])/3,0)&amp;YEAR(Table1[[#This Row],[origination_date]])</f>
        <v>Q42025</v>
      </c>
      <c r="AU512" s="19">
        <f>SUMIFS(Table1[loan_amount],Table1[quarter],Table1[[#This Row],[quarter]])</f>
        <v>38483800</v>
      </c>
    </row>
    <row r="513" spans="2:47" x14ac:dyDescent="0.2">
      <c r="B513" s="5" t="s">
        <v>230</v>
      </c>
      <c r="C513" s="2" t="s">
        <v>730</v>
      </c>
      <c r="D513" s="3">
        <v>45949</v>
      </c>
      <c r="E513" s="2" t="s">
        <v>1024</v>
      </c>
      <c r="F513" s="2" t="s">
        <v>1032</v>
      </c>
      <c r="G513" s="2" t="s">
        <v>1035</v>
      </c>
      <c r="H513" s="2" t="s">
        <v>1039</v>
      </c>
      <c r="I513" s="2">
        <v>360</v>
      </c>
      <c r="J513" s="2">
        <v>1937600</v>
      </c>
      <c r="K513" s="2">
        <v>9.51</v>
      </c>
      <c r="L513" s="2">
        <v>16307</v>
      </c>
      <c r="M513" s="2">
        <v>1448023</v>
      </c>
      <c r="N513" s="2">
        <v>746</v>
      </c>
      <c r="O513" s="2" t="s">
        <v>1044</v>
      </c>
      <c r="P513" s="2">
        <v>0.19</v>
      </c>
      <c r="Q513" s="2">
        <v>0.79</v>
      </c>
      <c r="R513" s="2">
        <v>2442500</v>
      </c>
      <c r="S513" s="2">
        <v>2</v>
      </c>
      <c r="T513" s="2">
        <v>28427</v>
      </c>
      <c r="U513" s="2">
        <v>1921457</v>
      </c>
      <c r="V513" s="2">
        <v>0</v>
      </c>
      <c r="W513" s="2">
        <v>0</v>
      </c>
      <c r="X513" s="2">
        <v>0</v>
      </c>
      <c r="Y513" s="2" t="s">
        <v>1049</v>
      </c>
      <c r="Z513" s="12">
        <f>SUMIF(Table1[product],Table1[[#This Row],[product]],Table1[loan_amount])</f>
        <v>92273000</v>
      </c>
      <c r="AA513" s="15">
        <f>SUMIF(Table1[region],Table1[[#This Row],[region]],Table1[current_balance])</f>
        <v>83903255</v>
      </c>
      <c r="AB513" s="2">
        <f>COUNTIF(Table1[loan_status],Table1[[#This Row],[loan_status]])</f>
        <v>301</v>
      </c>
      <c r="AC513" s="2">
        <f>COUNTIF(Table1[default_flag],1)/ROWS(Table1[loan_id])</f>
        <v>2.5999999999999999E-2</v>
      </c>
      <c r="AD513" s="2">
        <f>COUNTIFS(Table1[region],Table1[[#This Row],[region]],Table1[default_flag],1)/COUNTIF(Table1[region],Table1[[#This Row],[region]])</f>
        <v>4.2553191489361701E-2</v>
      </c>
      <c r="AE513" s="2">
        <f>COUNTIFS(Table1[channel],Table1[[#This Row],[channel]],Table1[prepayment_flag],1)/COUNTIF(Table1[channel],Table1[[#This Row],[channel]])</f>
        <v>0.1</v>
      </c>
      <c r="AF513" s="2">
        <f>AVERAGEIFS(Table1[interest_rate_pct],Table1[product],Table1[[#This Row],[product]],Table1[risk_band],Table1[[#This Row],[risk_band]])</f>
        <v>10.611923076923079</v>
      </c>
      <c r="AG513" s="2" t="str" cm="1">
        <f t="array" ref="AG513">_xlfn.IFS(Table1[[#This Row],[dti_ratio]] &lt; 0.2, " less than 0.2", Table1[[#This Row],[dti_ratio]] &lt; 0.3, "0.2 - 0.3", Table1[[#This Row],[dti_ratio]] &lt;= 0.5, "0.35 - 0.5", Table1[[#This Row],[dti_ratio]] &gt; 0.5, "greater than 0.5")</f>
        <v xml:space="preserve"> less than 0.2</v>
      </c>
      <c r="AH513" s="2">
        <f>COUNTIF(Table1[DTI band],Table1[[#This Row],[DTI band]])</f>
        <v>86</v>
      </c>
      <c r="AI513" s="2" t="str" cm="1">
        <f t="array" ref="AI513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513" s="2">
        <f>COUNTIF(Table1[LTV band],Table1[[#This Row],[LTV band]])</f>
        <v>302</v>
      </c>
      <c r="AK513" s="19">
        <f>COUNTIFS(Table1[count_loan_perband],Table1[[#This Row],[count_loan_perband]],Table1[default_flag],1)/COUNTIF(Table1[count_loan_perband],Table1[[#This Row],[count_loan_perband]])</f>
        <v>3.6423841059602648E-2</v>
      </c>
      <c r="AL513" s="19" t="str" cm="1">
        <f t="array" ref="AL513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513" s="19">
        <f>IF(Table1[[#This Row],[dpd]] &gt;=30,1,0)</f>
        <v>0</v>
      </c>
      <c r="AN513" s="19">
        <f>COUNTIFS(Table1[Loan size],Table1[[#This Row],[Loan size]],Table1[dpd flag],1)/COUNTIF(Table1[Loan size],Table1[[#This Row],[Loan size]])</f>
        <v>0.15909090909090909</v>
      </c>
      <c r="AO513" s="19" t="str">
        <f>IF(OR(Table1[[#This Row],[credit_score]] &lt; 600, Table1[ [#This Row],[dti_ratio] ] &gt; 0.5, Table1[[#This Row],[dpd]] &gt;=30), "high risk", " not riskY")</f>
        <v xml:space="preserve"> not riskY</v>
      </c>
      <c r="AP513" s="29">
        <f>EOMONTH(Table1[[#This Row],[origination_date]],0)</f>
        <v>45961</v>
      </c>
      <c r="AQ513" s="19">
        <f>SUMIFS(Table1[loan_amount],Table1[origination month],Table1[[#This Row],[origination month]])</f>
        <v>18211600</v>
      </c>
      <c r="AR513" s="19">
        <f>AVERAGEIFS(Table1[months_on_book],Table1[product],Table1[[#This Row],[product]])</f>
        <v>20.262135922330096</v>
      </c>
      <c r="AS513" s="19" t="str">
        <f ca="1">IF(EDATE(Table1[[#This Row],[origination_date]],6) &gt;= TODAY(), "New Loan", "Old Loan")</f>
        <v>New Loan</v>
      </c>
      <c r="AT513" s="19" t="str">
        <f>"Q"&amp;ROUNDUP(MONTH(Table1[[#This Row],[origination_date]])/3,0)&amp;YEAR(Table1[[#This Row],[origination_date]])</f>
        <v>Q42025</v>
      </c>
      <c r="AU513" s="19">
        <f>SUMIFS(Table1[loan_amount],Table1[quarter],Table1[[#This Row],[quarter]])</f>
        <v>38483800</v>
      </c>
    </row>
    <row r="514" spans="2:47" x14ac:dyDescent="0.2">
      <c r="B514" s="5" t="s">
        <v>92</v>
      </c>
      <c r="C514" s="2" t="s">
        <v>592</v>
      </c>
      <c r="D514" s="3">
        <v>45939</v>
      </c>
      <c r="E514" s="2" t="s">
        <v>1026</v>
      </c>
      <c r="F514" s="2" t="s">
        <v>1030</v>
      </c>
      <c r="G514" s="2" t="s">
        <v>1033</v>
      </c>
      <c r="H514" s="2" t="s">
        <v>1039</v>
      </c>
      <c r="I514" s="2">
        <v>60</v>
      </c>
      <c r="J514" s="2">
        <v>421600</v>
      </c>
      <c r="K514" s="2">
        <v>20.77</v>
      </c>
      <c r="L514" s="2">
        <v>11351</v>
      </c>
      <c r="M514" s="2">
        <v>285233</v>
      </c>
      <c r="N514" s="2">
        <v>626</v>
      </c>
      <c r="O514" s="2" t="s">
        <v>1045</v>
      </c>
      <c r="P514" s="2">
        <v>0.17</v>
      </c>
      <c r="Q514" s="2">
        <v>0.79</v>
      </c>
      <c r="R514" s="2">
        <v>0</v>
      </c>
      <c r="S514" s="2">
        <v>2</v>
      </c>
      <c r="T514" s="2">
        <v>20305</v>
      </c>
      <c r="U514" s="2">
        <v>407133</v>
      </c>
      <c r="V514" s="2">
        <v>0</v>
      </c>
      <c r="W514" s="2">
        <v>0</v>
      </c>
      <c r="X514" s="2">
        <v>0</v>
      </c>
      <c r="Y514" s="2" t="s">
        <v>1049</v>
      </c>
      <c r="Z514" s="12">
        <f>SUMIF(Table1[product],Table1[[#This Row],[product]],Table1[loan_amount])</f>
        <v>74897600</v>
      </c>
      <c r="AA514" s="15">
        <f>SUMIF(Table1[region],Table1[[#This Row],[region]],Table1[current_balance])</f>
        <v>83297251</v>
      </c>
      <c r="AB514" s="2">
        <f>COUNTIF(Table1[loan_status],Table1[[#This Row],[loan_status]])</f>
        <v>301</v>
      </c>
      <c r="AC514" s="2">
        <f>COUNTIF(Table1[default_flag],1)/ROWS(Table1[loan_id])</f>
        <v>2.5999999999999999E-2</v>
      </c>
      <c r="AD514" s="2">
        <f>COUNTIFS(Table1[region],Table1[[#This Row],[region]],Table1[default_flag],1)/COUNTIF(Table1[region],Table1[[#This Row],[region]])</f>
        <v>3.1914893617021274E-2</v>
      </c>
      <c r="AE514" s="2">
        <f>COUNTIFS(Table1[channel],Table1[[#This Row],[channel]],Table1[prepayment_flag],1)/COUNTIF(Table1[channel],Table1[[#This Row],[channel]])</f>
        <v>5.8201058201058198E-2</v>
      </c>
      <c r="AF514" s="2">
        <f>AVERAGEIFS(Table1[interest_rate_pct],Table1[product],Table1[[#This Row],[product]],Table1[risk_band],Table1[[#This Row],[risk_band]])</f>
        <v>20.962592592592593</v>
      </c>
      <c r="AG514" s="2" t="str" cm="1">
        <f t="array" ref="AG514">_xlfn.IFS(Table1[[#This Row],[dti_ratio]] &lt; 0.2, " less than 0.2", Table1[[#This Row],[dti_ratio]] &lt; 0.3, "0.2 - 0.3", Table1[[#This Row],[dti_ratio]] &lt;= 0.5, "0.35 - 0.5", Table1[[#This Row],[dti_ratio]] &gt; 0.5, "greater than 0.5")</f>
        <v xml:space="preserve"> less than 0.2</v>
      </c>
      <c r="AH514" s="2">
        <f>COUNTIF(Table1[DTI band],Table1[[#This Row],[DTI band]])</f>
        <v>86</v>
      </c>
      <c r="AI514" s="2" t="str" cm="1">
        <f t="array" ref="AI514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514" s="2">
        <f>COUNTIF(Table1[LTV band],Table1[[#This Row],[LTV band]])</f>
        <v>302</v>
      </c>
      <c r="AK514" s="19">
        <f>COUNTIFS(Table1[count_loan_perband],Table1[[#This Row],[count_loan_perband]],Table1[default_flag],1)/COUNTIF(Table1[count_loan_perband],Table1[[#This Row],[count_loan_perband]])</f>
        <v>3.6423841059602648E-2</v>
      </c>
      <c r="AL514" s="19" t="str" cm="1">
        <f t="array" ref="AL514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514" s="19">
        <f>IF(Table1[[#This Row],[dpd]] &gt;=30,1,0)</f>
        <v>0</v>
      </c>
      <c r="AN514" s="19">
        <f>COUNTIFS(Table1[Loan size],Table1[[#This Row],[Loan size]],Table1[dpd flag],1)/COUNTIF(Table1[Loan size],Table1[[#This Row],[Loan size]])</f>
        <v>0.13934426229508196</v>
      </c>
      <c r="AO514" s="19" t="str">
        <f>IF(OR(Table1[[#This Row],[credit_score]] &lt; 600, Table1[ [#This Row],[dti_ratio] ] &gt; 0.5, Table1[[#This Row],[dpd]] &gt;=30), "high risk", " not riskY")</f>
        <v xml:space="preserve"> not riskY</v>
      </c>
      <c r="AP514" s="29">
        <f>EOMONTH(Table1[[#This Row],[origination_date]],0)</f>
        <v>45961</v>
      </c>
      <c r="AQ514" s="19">
        <f>SUMIFS(Table1[loan_amount],Table1[origination month],Table1[[#This Row],[origination month]])</f>
        <v>18211600</v>
      </c>
      <c r="AR514" s="19">
        <f>AVERAGEIFS(Table1[months_on_book],Table1[product],Table1[[#This Row],[product]])</f>
        <v>21.092024539877301</v>
      </c>
      <c r="AS514" s="19" t="str">
        <f ca="1">IF(EDATE(Table1[[#This Row],[origination_date]],6) &gt;= TODAY(), "New Loan", "Old Loan")</f>
        <v>New Loan</v>
      </c>
      <c r="AT514" s="19" t="str">
        <f>"Q"&amp;ROUNDUP(MONTH(Table1[[#This Row],[origination_date]])/3,0)&amp;YEAR(Table1[[#This Row],[origination_date]])</f>
        <v>Q42025</v>
      </c>
      <c r="AU514" s="19">
        <f>SUMIFS(Table1[loan_amount],Table1[quarter],Table1[[#This Row],[quarter]])</f>
        <v>38483800</v>
      </c>
    </row>
    <row r="515" spans="2:47" x14ac:dyDescent="0.2">
      <c r="B515" s="5" t="s">
        <v>226</v>
      </c>
      <c r="C515" s="2" t="s">
        <v>726</v>
      </c>
      <c r="D515" s="3">
        <v>45960</v>
      </c>
      <c r="E515" s="2" t="s">
        <v>1027</v>
      </c>
      <c r="F515" s="2" t="s">
        <v>1030</v>
      </c>
      <c r="G515" s="2" t="s">
        <v>1037</v>
      </c>
      <c r="H515" s="2" t="s">
        <v>1038</v>
      </c>
      <c r="I515" s="2">
        <v>12</v>
      </c>
      <c r="J515" s="2">
        <v>2997100</v>
      </c>
      <c r="K515" s="2">
        <v>13.87</v>
      </c>
      <c r="L515" s="2">
        <v>268918</v>
      </c>
      <c r="M515" s="2">
        <v>771999</v>
      </c>
      <c r="N515" s="2">
        <v>613</v>
      </c>
      <c r="O515" s="2" t="s">
        <v>1045</v>
      </c>
      <c r="P515" s="2">
        <v>0.16</v>
      </c>
      <c r="Q515" s="2">
        <v>0.61</v>
      </c>
      <c r="R515" s="2">
        <v>4916800</v>
      </c>
      <c r="S515" s="2">
        <v>2</v>
      </c>
      <c r="T515" s="2">
        <v>543875</v>
      </c>
      <c r="U515" s="2">
        <v>2480938</v>
      </c>
      <c r="V515" s="2">
        <v>0</v>
      </c>
      <c r="W515" s="2">
        <v>0</v>
      </c>
      <c r="X515" s="2">
        <v>0</v>
      </c>
      <c r="Y515" s="2" t="s">
        <v>1049</v>
      </c>
      <c r="Z515" s="12">
        <f>SUMIF(Table1[product],Table1[[#This Row],[product]],Table1[loan_amount])</f>
        <v>403369500</v>
      </c>
      <c r="AA515" s="15">
        <f>SUMIF(Table1[region],Table1[[#This Row],[region]],Table1[current_balance])</f>
        <v>94548000</v>
      </c>
      <c r="AB515" s="2">
        <f>COUNTIF(Table1[loan_status],Table1[[#This Row],[loan_status]])</f>
        <v>301</v>
      </c>
      <c r="AC515" s="2">
        <f>COUNTIF(Table1[default_flag],1)/ROWS(Table1[loan_id])</f>
        <v>2.5999999999999999E-2</v>
      </c>
      <c r="AD515" s="2">
        <f>COUNTIFS(Table1[region],Table1[[#This Row],[region]],Table1[default_flag],1)/COUNTIF(Table1[region],Table1[[#This Row],[region]])</f>
        <v>0</v>
      </c>
      <c r="AE515" s="2">
        <f>COUNTIFS(Table1[channel],Table1[[#This Row],[channel]],Table1[prepayment_flag],1)/COUNTIF(Table1[channel],Table1[[#This Row],[channel]])</f>
        <v>5.8201058201058198E-2</v>
      </c>
      <c r="AF515" s="2">
        <f>AVERAGEIFS(Table1[interest_rate_pct],Table1[product],Table1[[#This Row],[product]],Table1[risk_band],Table1[[#This Row],[risk_band]])</f>
        <v>13.406874999999999</v>
      </c>
      <c r="AG515" s="2" t="str" cm="1">
        <f t="array" ref="AG515">_xlfn.IFS(Table1[[#This Row],[dti_ratio]] &lt; 0.2, " less than 0.2", Table1[[#This Row],[dti_ratio]] &lt; 0.3, "0.2 - 0.3", Table1[[#This Row],[dti_ratio]] &lt;= 0.5, "0.35 - 0.5", Table1[[#This Row],[dti_ratio]] &gt; 0.5, "greater than 0.5")</f>
        <v xml:space="preserve"> less than 0.2</v>
      </c>
      <c r="AH515" s="2">
        <f>COUNTIF(Table1[DTI band],Table1[[#This Row],[DTI band]])</f>
        <v>86</v>
      </c>
      <c r="AI515" s="2" t="str" cm="1">
        <f t="array" ref="AI515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515" s="2">
        <f>COUNTIF(Table1[LTV band],Table1[[#This Row],[LTV band]])</f>
        <v>302</v>
      </c>
      <c r="AK515" s="19">
        <f>COUNTIFS(Table1[count_loan_perband],Table1[[#This Row],[count_loan_perband]],Table1[default_flag],1)/COUNTIF(Table1[count_loan_perband],Table1[[#This Row],[count_loan_perband]])</f>
        <v>3.6423841059602648E-2</v>
      </c>
      <c r="AL515" s="19" t="str" cm="1">
        <f t="array" ref="AL515">_xlfn.IFS(Table1[[#This Row],[loan_amount]] &lt; 900000, "lower size (&lt; 9L)", Table1[[#This Row],[loan_amount]] &lt;=3300000, "medium size (&lt;=33L)", Table1[[#This Row],[loan_amount]] &gt; 3300000, "larger size (&gt; 33L)")</f>
        <v>medium size (&lt;=33L)</v>
      </c>
      <c r="AM515" s="19">
        <f>IF(Table1[[#This Row],[dpd]] &gt;=30,1,0)</f>
        <v>0</v>
      </c>
      <c r="AN515" s="19">
        <f>COUNTIFS(Table1[Loan size],Table1[[#This Row],[Loan size]],Table1[dpd flag],1)/COUNTIF(Table1[Loan size],Table1[[#This Row],[Loan size]])</f>
        <v>0.15909090909090909</v>
      </c>
      <c r="AO515" s="19" t="str">
        <f>IF(OR(Table1[[#This Row],[credit_score]] &lt; 600, Table1[ [#This Row],[dti_ratio] ] &gt; 0.5, Table1[[#This Row],[dpd]] &gt;=30), "high risk", " not riskY")</f>
        <v xml:space="preserve"> not riskY</v>
      </c>
      <c r="AP515" s="29">
        <f>EOMONTH(Table1[[#This Row],[origination_date]],0)</f>
        <v>45961</v>
      </c>
      <c r="AQ515" s="19">
        <f>SUMIFS(Table1[loan_amount],Table1[origination month],Table1[[#This Row],[origination month]])</f>
        <v>18211600</v>
      </c>
      <c r="AR515" s="19">
        <f>AVERAGEIFS(Table1[months_on_book],Table1[product],Table1[[#This Row],[product]])</f>
        <v>20.516129032258064</v>
      </c>
      <c r="AS515" s="19" t="str">
        <f ca="1">IF(EDATE(Table1[[#This Row],[origination_date]],6) &gt;= TODAY(), "New Loan", "Old Loan")</f>
        <v>New Loan</v>
      </c>
      <c r="AT515" s="19" t="str">
        <f>"Q"&amp;ROUNDUP(MONTH(Table1[[#This Row],[origination_date]])/3,0)&amp;YEAR(Table1[[#This Row],[origination_date]])</f>
        <v>Q42025</v>
      </c>
      <c r="AU515" s="19">
        <f>SUMIFS(Table1[loan_amount],Table1[quarter],Table1[[#This Row],[quarter]])</f>
        <v>38483800</v>
      </c>
    </row>
    <row r="516" spans="2:47" x14ac:dyDescent="0.2">
      <c r="B516" s="5" t="s">
        <v>495</v>
      </c>
      <c r="C516" s="2" t="s">
        <v>995</v>
      </c>
      <c r="D516" s="3">
        <v>45934</v>
      </c>
      <c r="E516" s="2" t="s">
        <v>1024</v>
      </c>
      <c r="F516" s="2" t="s">
        <v>1032</v>
      </c>
      <c r="G516" s="2" t="s">
        <v>1033</v>
      </c>
      <c r="H516" s="2" t="s">
        <v>1039</v>
      </c>
      <c r="I516" s="2">
        <v>24</v>
      </c>
      <c r="J516" s="2">
        <v>424000</v>
      </c>
      <c r="K516" s="2">
        <v>17.52</v>
      </c>
      <c r="L516" s="2">
        <v>21070</v>
      </c>
      <c r="M516" s="2">
        <v>1047566</v>
      </c>
      <c r="N516" s="2">
        <v>578</v>
      </c>
      <c r="O516" s="2" t="s">
        <v>1046</v>
      </c>
      <c r="P516" s="2">
        <v>0.15</v>
      </c>
      <c r="Q516" s="2">
        <v>0.91</v>
      </c>
      <c r="R516" s="2">
        <v>467700</v>
      </c>
      <c r="S516" s="2">
        <v>2</v>
      </c>
      <c r="T516" s="2">
        <v>37556</v>
      </c>
      <c r="U516" s="2">
        <v>391396</v>
      </c>
      <c r="V516" s="2">
        <v>0</v>
      </c>
      <c r="W516" s="2">
        <v>0</v>
      </c>
      <c r="X516" s="2">
        <v>0</v>
      </c>
      <c r="Y516" s="2" t="s">
        <v>1049</v>
      </c>
      <c r="Z516" s="12">
        <f>SUMIF(Table1[product],Table1[[#This Row],[product]],Table1[loan_amount])</f>
        <v>92273000</v>
      </c>
      <c r="AA516" s="15">
        <f>SUMIF(Table1[region],Table1[[#This Row],[region]],Table1[current_balance])</f>
        <v>83297251</v>
      </c>
      <c r="AB516" s="2">
        <f>COUNTIF(Table1[loan_status],Table1[[#This Row],[loan_status]])</f>
        <v>301</v>
      </c>
      <c r="AC516" s="2">
        <f>COUNTIF(Table1[default_flag],1)/ROWS(Table1[loan_id])</f>
        <v>2.5999999999999999E-2</v>
      </c>
      <c r="AD516" s="2">
        <f>COUNTIFS(Table1[region],Table1[[#This Row],[region]],Table1[default_flag],1)/COUNTIF(Table1[region],Table1[[#This Row],[region]])</f>
        <v>3.1914893617021274E-2</v>
      </c>
      <c r="AE516" s="2">
        <f>COUNTIFS(Table1[channel],Table1[[#This Row],[channel]],Table1[prepayment_flag],1)/COUNTIF(Table1[channel],Table1[[#This Row],[channel]])</f>
        <v>0.1</v>
      </c>
      <c r="AF516" s="2">
        <f>AVERAGEIFS(Table1[interest_rate_pct],Table1[product],Table1[[#This Row],[product]],Table1[risk_band],Table1[[#This Row],[risk_band]])</f>
        <v>17.744166666666668</v>
      </c>
      <c r="AG516" s="2" t="str" cm="1">
        <f t="array" ref="AG516">_xlfn.IFS(Table1[[#This Row],[dti_ratio]] &lt; 0.2, " less than 0.2", Table1[[#This Row],[dti_ratio]] &lt; 0.3, "0.2 - 0.3", Table1[[#This Row],[dti_ratio]] &lt;= 0.5, "0.35 - 0.5", Table1[[#This Row],[dti_ratio]] &gt; 0.5, "greater than 0.5")</f>
        <v xml:space="preserve"> less than 0.2</v>
      </c>
      <c r="AH516" s="2">
        <f>COUNTIF(Table1[DTI band],Table1[[#This Row],[DTI band]])</f>
        <v>86</v>
      </c>
      <c r="AI516" s="2" t="str" cm="1">
        <f t="array" ref="AI516">_xlfn.IFS(Table1[[#This Row],[ltv_ratio]] &lt; 0.6, "less than 0.6 -less risky", Table1[[#This Row],[ltv_ratio]]  &lt;= 0.8, "0.6 - 0.8 -medium risky",Table1[[#This Row],[ltv_ratio]] &gt; 0.8, "greater than 0.8 -highly risky")</f>
        <v>greater than 0.8 -highly risky</v>
      </c>
      <c r="AJ516" s="2">
        <f>COUNTIF(Table1[LTV band],Table1[[#This Row],[LTV band]])</f>
        <v>141</v>
      </c>
      <c r="AK516" s="19">
        <f>COUNTIFS(Table1[count_loan_perband],Table1[[#This Row],[count_loan_perband]],Table1[default_flag],1)/COUNTIF(Table1[count_loan_perband],Table1[[#This Row],[count_loan_perband]])</f>
        <v>1.4184397163120567E-2</v>
      </c>
      <c r="AL516" s="19" t="str" cm="1">
        <f t="array" ref="AL516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516" s="19">
        <f>IF(Table1[[#This Row],[dpd]] &gt;=30,1,0)</f>
        <v>0</v>
      </c>
      <c r="AN516" s="19">
        <f>COUNTIFS(Table1[Loan size],Table1[[#This Row],[Loan size]],Table1[dpd flag],1)/COUNTIF(Table1[Loan size],Table1[[#This Row],[Loan size]])</f>
        <v>0.13934426229508196</v>
      </c>
      <c r="AO516" s="19" t="str">
        <f>IF(OR(Table1[[#This Row],[credit_score]] &lt; 600, Table1[ [#This Row],[dti_ratio] ] &gt; 0.5, Table1[[#This Row],[dpd]] &gt;=30), "high risk", " not riskY")</f>
        <v>high risk</v>
      </c>
      <c r="AP516" s="29">
        <f>EOMONTH(Table1[[#This Row],[origination_date]],0)</f>
        <v>45961</v>
      </c>
      <c r="AQ516" s="19">
        <f>SUMIFS(Table1[loan_amount],Table1[origination month],Table1[[#This Row],[origination month]])</f>
        <v>18211600</v>
      </c>
      <c r="AR516" s="19">
        <f>AVERAGEIFS(Table1[months_on_book],Table1[product],Table1[[#This Row],[product]])</f>
        <v>20.262135922330096</v>
      </c>
      <c r="AS516" s="19" t="str">
        <f ca="1">IF(EDATE(Table1[[#This Row],[origination_date]],6) &gt;= TODAY(), "New Loan", "Old Loan")</f>
        <v>New Loan</v>
      </c>
      <c r="AT516" s="19" t="str">
        <f>"Q"&amp;ROUNDUP(MONTH(Table1[[#This Row],[origination_date]])/3,0)&amp;YEAR(Table1[[#This Row],[origination_date]])</f>
        <v>Q42025</v>
      </c>
      <c r="AU516" s="19">
        <f>SUMIFS(Table1[loan_amount],Table1[quarter],Table1[[#This Row],[quarter]])</f>
        <v>38483800</v>
      </c>
    </row>
    <row r="517" spans="2:47" x14ac:dyDescent="0.2">
      <c r="B517" s="9" t="s">
        <v>132</v>
      </c>
      <c r="C517" s="10" t="s">
        <v>632</v>
      </c>
      <c r="D517" s="11">
        <v>45990</v>
      </c>
      <c r="E517" s="10" t="s">
        <v>1026</v>
      </c>
      <c r="F517" s="10" t="s">
        <v>1030</v>
      </c>
      <c r="G517" s="10" t="s">
        <v>1033</v>
      </c>
      <c r="H517" s="10" t="s">
        <v>1038</v>
      </c>
      <c r="I517" s="10">
        <v>180</v>
      </c>
      <c r="J517" s="10">
        <v>665400</v>
      </c>
      <c r="K517" s="10">
        <v>20.11</v>
      </c>
      <c r="L517" s="10">
        <v>11741</v>
      </c>
      <c r="M517" s="10">
        <v>546196</v>
      </c>
      <c r="N517" s="10">
        <v>664</v>
      </c>
      <c r="O517" s="10" t="s">
        <v>1042</v>
      </c>
      <c r="P517" s="10">
        <v>0.09</v>
      </c>
      <c r="Q517" s="10">
        <v>0.62</v>
      </c>
      <c r="R517" s="10">
        <v>0</v>
      </c>
      <c r="S517" s="10">
        <v>1</v>
      </c>
      <c r="T517" s="10">
        <v>11605</v>
      </c>
      <c r="U517" s="10">
        <v>658255</v>
      </c>
      <c r="V517" s="10">
        <v>0</v>
      </c>
      <c r="W517" s="10">
        <v>0</v>
      </c>
      <c r="X517" s="10">
        <v>0</v>
      </c>
      <c r="Y517" s="10" t="s">
        <v>1049</v>
      </c>
      <c r="Z517" s="13">
        <f>SUMIF(Table1[product],Table1[[#This Row],[product]],Table1[loan_amount])</f>
        <v>74897600</v>
      </c>
      <c r="AA517" s="16">
        <f>SUMIF(Table1[region],Table1[[#This Row],[region]],Table1[current_balance])</f>
        <v>83297251</v>
      </c>
      <c r="AB517" s="2">
        <f>COUNTIF(Table1[loan_status],Table1[[#This Row],[loan_status]])</f>
        <v>301</v>
      </c>
      <c r="AC517" s="2">
        <f>COUNTIF(Table1[default_flag],1)/ROWS(Table1[loan_id])</f>
        <v>2.5999999999999999E-2</v>
      </c>
      <c r="AD517" s="2">
        <f>COUNTIFS(Table1[region],Table1[[#This Row],[region]],Table1[default_flag],1)/COUNTIF(Table1[region],Table1[[#This Row],[region]])</f>
        <v>3.1914893617021274E-2</v>
      </c>
      <c r="AE517" s="2">
        <f>COUNTIFS(Table1[channel],Table1[[#This Row],[channel]],Table1[prepayment_flag],1)/COUNTIF(Table1[channel],Table1[[#This Row],[channel]])</f>
        <v>5.8201058201058198E-2</v>
      </c>
      <c r="AF517" s="2">
        <f>AVERAGEIFS(Table1[interest_rate_pct],Table1[product],Table1[[#This Row],[product]],Table1[risk_band],Table1[[#This Row],[risk_band]])</f>
        <v>18.603181818181817</v>
      </c>
      <c r="AG517" s="10" t="str" cm="1">
        <f t="array" ref="AG517">_xlfn.IFS(Table1[[#This Row],[dti_ratio]] &lt; 0.2, " less than 0.2", Table1[[#This Row],[dti_ratio]] &lt; 0.3, "0.2 - 0.3", Table1[[#This Row],[dti_ratio]] &lt;= 0.5, "0.35 - 0.5", Table1[[#This Row],[dti_ratio]] &gt; 0.5, "greater than 0.5")</f>
        <v xml:space="preserve"> less than 0.2</v>
      </c>
      <c r="AH517" s="10">
        <f>COUNTIF(Table1[DTI band],Table1[[#This Row],[DTI band]])</f>
        <v>86</v>
      </c>
      <c r="AI517" s="10" t="str" cm="1">
        <f t="array" ref="AI517">_xlfn.IFS(Table1[[#This Row],[ltv_ratio]] &lt; 0.6, "less than 0.6 -less risky", Table1[[#This Row],[ltv_ratio]]  &lt;= 0.8, "0.6 - 0.8 -medium risky",Table1[[#This Row],[ltv_ratio]] &gt; 0.8, "greater than 0.8 -highly risky")</f>
        <v>0.6 - 0.8 -medium risky</v>
      </c>
      <c r="AJ517" s="10">
        <f>COUNTIF(Table1[LTV band],Table1[[#This Row],[LTV band]])</f>
        <v>302</v>
      </c>
      <c r="AK517" s="21">
        <f>COUNTIFS(Table1[count_loan_perband],Table1[[#This Row],[count_loan_perband]],Table1[default_flag],1)/COUNTIF(Table1[count_loan_perband],Table1[[#This Row],[count_loan_perband]])</f>
        <v>3.6423841059602648E-2</v>
      </c>
      <c r="AL517" s="21" t="str" cm="1">
        <f t="array" ref="AL517">_xlfn.IFS(Table1[[#This Row],[loan_amount]] &lt; 900000, "lower size (&lt; 9L)", Table1[[#This Row],[loan_amount]] &lt;=3300000, "medium size (&lt;=33L)", Table1[[#This Row],[loan_amount]] &gt; 3300000, "larger size (&gt; 33L)")</f>
        <v>lower size (&lt; 9L)</v>
      </c>
      <c r="AM517" s="21">
        <f>IF(Table1[[#This Row],[dpd]] &gt;=30,1,0)</f>
        <v>0</v>
      </c>
      <c r="AN517" s="21">
        <f>COUNTIFS(Table1[Loan size],Table1[[#This Row],[Loan size]],Table1[dpd flag],1)/COUNTIF(Table1[Loan size],Table1[[#This Row],[Loan size]])</f>
        <v>0.13934426229508196</v>
      </c>
      <c r="AO517" s="21" t="str">
        <f>IF(OR(Table1[[#This Row],[credit_score]] &lt; 600, Table1[ [#This Row],[dti_ratio] ] &gt; 0.5, Table1[[#This Row],[dpd]] &gt;=30), "high risk", " not riskY")</f>
        <v xml:space="preserve"> not riskY</v>
      </c>
      <c r="AP517" s="30">
        <f>EOMONTH(Table1[[#This Row],[origination_date]],0)</f>
        <v>45991</v>
      </c>
      <c r="AQ517" s="21">
        <f>SUMIFS(Table1[loan_amount],Table1[origination month],Table1[[#This Row],[origination month]])</f>
        <v>20272200</v>
      </c>
      <c r="AR517" s="21">
        <f>AVERAGEIFS(Table1[months_on_book],Table1[product],Table1[[#This Row],[product]])</f>
        <v>21.092024539877301</v>
      </c>
      <c r="AS517" s="21" t="str">
        <f ca="1">IF(EDATE(Table1[[#This Row],[origination_date]],6) &gt;= TODAY(), "New Loan", "Old Loan")</f>
        <v>New Loan</v>
      </c>
      <c r="AT517" s="21" t="str">
        <f>"Q"&amp;ROUNDUP(MONTH(Table1[[#This Row],[origination_date]])/3,0)&amp;YEAR(Table1[[#This Row],[origination_date]])</f>
        <v>Q42025</v>
      </c>
      <c r="AU517" s="21">
        <f>SUMIFS(Table1[loan_amount],Table1[quarter],Table1[[#This Row],[quarter]])</f>
        <v>38483800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BA28E-3557-CC41-A283-C9461C3862AC}">
  <dimension ref="B4:C15"/>
  <sheetViews>
    <sheetView workbookViewId="0">
      <selection activeCell="H15" sqref="H15"/>
    </sheetView>
  </sheetViews>
  <sheetFormatPr baseColWidth="10" defaultRowHeight="15" x14ac:dyDescent="0.2"/>
  <sheetData>
    <row r="4" spans="2:3" x14ac:dyDescent="0.2">
      <c r="B4" t="s">
        <v>1125</v>
      </c>
      <c r="C4" t="s">
        <v>1126</v>
      </c>
    </row>
    <row r="6" spans="2:3" x14ac:dyDescent="0.2">
      <c r="B6" t="s">
        <v>1127</v>
      </c>
    </row>
    <row r="8" spans="2:3" x14ac:dyDescent="0.2">
      <c r="B8" t="s">
        <v>1128</v>
      </c>
    </row>
    <row r="9" spans="2:3" x14ac:dyDescent="0.2">
      <c r="B9" t="s">
        <v>1129</v>
      </c>
    </row>
    <row r="10" spans="2:3" x14ac:dyDescent="0.2">
      <c r="B10" t="s">
        <v>1130</v>
      </c>
    </row>
    <row r="11" spans="2:3" x14ac:dyDescent="0.2">
      <c r="B11" t="s">
        <v>1131</v>
      </c>
    </row>
    <row r="12" spans="2:3" x14ac:dyDescent="0.2">
      <c r="B12" t="s">
        <v>1132</v>
      </c>
    </row>
    <row r="13" spans="2:3" x14ac:dyDescent="0.2">
      <c r="B13" t="s">
        <v>1134</v>
      </c>
    </row>
    <row r="14" spans="2:3" x14ac:dyDescent="0.2">
      <c r="B14" t="s">
        <v>1133</v>
      </c>
    </row>
    <row r="15" spans="2:3" x14ac:dyDescent="0.2">
      <c r="B15" t="s">
        <v>1135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304A9-1EAA-4084-B921-D908F461C92A}">
  <dimension ref="B2:K61"/>
  <sheetViews>
    <sheetView showGridLines="0" zoomScale="130" zoomScaleNormal="130" workbookViewId="0">
      <selection activeCell="H9" sqref="H9"/>
    </sheetView>
  </sheetViews>
  <sheetFormatPr baseColWidth="10" defaultColWidth="8.83203125" defaultRowHeight="15" x14ac:dyDescent="0.2"/>
  <cols>
    <col min="1" max="1" width="12.6640625" customWidth="1"/>
    <col min="2" max="2" width="72.83203125" customWidth="1"/>
    <col min="3" max="3" width="9.1640625" bestFit="1" customWidth="1"/>
  </cols>
  <sheetData>
    <row r="2" spans="2:11" x14ac:dyDescent="0.2">
      <c r="B2" s="4" t="s">
        <v>1051</v>
      </c>
    </row>
    <row r="3" spans="2:11" x14ac:dyDescent="0.2">
      <c r="B3" s="4"/>
    </row>
    <row r="4" spans="2:11" x14ac:dyDescent="0.2">
      <c r="B4" s="4" t="s">
        <v>1052</v>
      </c>
    </row>
    <row r="5" spans="2:11" x14ac:dyDescent="0.2">
      <c r="B5" t="s">
        <v>1053</v>
      </c>
      <c r="C5" t="s">
        <v>1103</v>
      </c>
      <c r="D5" s="18" t="b">
        <v>1</v>
      </c>
    </row>
    <row r="6" spans="2:11" x14ac:dyDescent="0.2">
      <c r="B6" t="s">
        <v>1054</v>
      </c>
      <c r="C6" t="s">
        <v>1103</v>
      </c>
      <c r="D6" s="18" t="b">
        <v>1</v>
      </c>
    </row>
    <row r="7" spans="2:11" x14ac:dyDescent="0.2">
      <c r="B7" t="s">
        <v>1055</v>
      </c>
      <c r="C7" t="s">
        <v>1103</v>
      </c>
      <c r="D7" s="18" t="b">
        <v>1</v>
      </c>
      <c r="K7">
        <f>MAX(Table1[dti_ratio])</f>
        <v>0.66</v>
      </c>
    </row>
    <row r="8" spans="2:11" x14ac:dyDescent="0.2">
      <c r="B8" t="s">
        <v>1056</v>
      </c>
      <c r="C8" t="s">
        <v>1103</v>
      </c>
      <c r="D8" s="18" t="b">
        <v>1</v>
      </c>
      <c r="K8">
        <f>MIN(Table1[dti_ratio])</f>
        <v>0.05</v>
      </c>
    </row>
    <row r="9" spans="2:11" x14ac:dyDescent="0.2">
      <c r="B9" t="s">
        <v>1057</v>
      </c>
      <c r="C9" t="s">
        <v>1103</v>
      </c>
      <c r="D9" s="18" t="b">
        <v>1</v>
      </c>
      <c r="H9" t="str">
        <f>TEXT("31/03/2024","mmyyyy")</f>
        <v>032024</v>
      </c>
      <c r="K9">
        <f>SUM(Table1[dti_ratio])/ROWS(Table1[dti_ratio])</f>
        <v>0.3212600000000001</v>
      </c>
    </row>
    <row r="10" spans="2:11" x14ac:dyDescent="0.2">
      <c r="B10" t="s">
        <v>1058</v>
      </c>
      <c r="C10" t="s">
        <v>1103</v>
      </c>
      <c r="D10" s="18" t="b">
        <v>1</v>
      </c>
      <c r="K10">
        <f>ROWS(Table1[loan_id])</f>
        <v>500</v>
      </c>
    </row>
    <row r="11" spans="2:11" x14ac:dyDescent="0.2">
      <c r="B11" t="s">
        <v>1059</v>
      </c>
      <c r="K11">
        <f>INDEX(Table1[dti_ratio],266)</f>
        <v>0.39</v>
      </c>
    </row>
    <row r="13" spans="2:11" x14ac:dyDescent="0.2">
      <c r="B13" s="4" t="s">
        <v>1060</v>
      </c>
    </row>
    <row r="14" spans="2:11" x14ac:dyDescent="0.2">
      <c r="B14" t="s">
        <v>1061</v>
      </c>
    </row>
    <row r="15" spans="2:11" x14ac:dyDescent="0.2">
      <c r="B15" t="s">
        <v>1062</v>
      </c>
    </row>
    <row r="16" spans="2:11" x14ac:dyDescent="0.2">
      <c r="B16" t="s">
        <v>1063</v>
      </c>
    </row>
    <row r="17" spans="2:5" x14ac:dyDescent="0.2">
      <c r="B17" t="s">
        <v>1064</v>
      </c>
    </row>
    <row r="18" spans="2:5" ht="16.5" customHeight="1" x14ac:dyDescent="0.2"/>
    <row r="19" spans="2:5" x14ac:dyDescent="0.2">
      <c r="B19" s="4" t="s">
        <v>1065</v>
      </c>
    </row>
    <row r="20" spans="2:5" x14ac:dyDescent="0.2">
      <c r="B20" t="s">
        <v>1066</v>
      </c>
      <c r="C20">
        <f>COUNTIF(Table1[dpd],"&gt;=30")</f>
        <v>75</v>
      </c>
      <c r="D20">
        <f>COUNTIF(Table1[dpd],"&gt;=60")</f>
        <v>23</v>
      </c>
      <c r="E20">
        <f>COUNTIF(Table1[dpd],"&gt;=90")</f>
        <v>13</v>
      </c>
    </row>
    <row r="21" spans="2:5" x14ac:dyDescent="0.2">
      <c r="B21" t="s">
        <v>1067</v>
      </c>
      <c r="C21">
        <f>IFERROR(SUMIF(Table1[dpd],"&gt;=30",Table1[current_balance]),0)</f>
        <v>77374917</v>
      </c>
    </row>
    <row r="22" spans="2:5" x14ac:dyDescent="0.2">
      <c r="B22" t="s">
        <v>1068</v>
      </c>
    </row>
    <row r="23" spans="2:5" x14ac:dyDescent="0.2">
      <c r="B23" t="s">
        <v>1069</v>
      </c>
      <c r="C23">
        <f>COUNTIFS(Table1[loan_status],"Active",Table1[dpd], "&gt;=30")</f>
        <v>0</v>
      </c>
    </row>
    <row r="26" spans="2:5" x14ac:dyDescent="0.2">
      <c r="B26" s="4" t="s">
        <v>1070</v>
      </c>
    </row>
    <row r="27" spans="2:5" x14ac:dyDescent="0.2">
      <c r="B27" t="s">
        <v>1071</v>
      </c>
    </row>
    <row r="28" spans="2:5" x14ac:dyDescent="0.2">
      <c r="B28" t="s">
        <v>1072</v>
      </c>
    </row>
    <row r="29" spans="2:5" x14ac:dyDescent="0.2">
      <c r="B29" t="s">
        <v>1073</v>
      </c>
    </row>
    <row r="30" spans="2:5" x14ac:dyDescent="0.2">
      <c r="B30" t="s">
        <v>1074</v>
      </c>
    </row>
    <row r="31" spans="2:5" x14ac:dyDescent="0.2">
      <c r="B31" t="s">
        <v>1075</v>
      </c>
    </row>
    <row r="32" spans="2:5" x14ac:dyDescent="0.2">
      <c r="B32" s="4" t="s">
        <v>1076</v>
      </c>
    </row>
    <row r="33" spans="2:2" x14ac:dyDescent="0.2">
      <c r="B33" t="s">
        <v>1077</v>
      </c>
    </row>
    <row r="34" spans="2:2" x14ac:dyDescent="0.2">
      <c r="B34" t="s">
        <v>1078</v>
      </c>
    </row>
    <row r="35" spans="2:2" x14ac:dyDescent="0.2">
      <c r="B35" t="s">
        <v>1079</v>
      </c>
    </row>
    <row r="37" spans="2:2" x14ac:dyDescent="0.2">
      <c r="B37" s="4" t="s">
        <v>1080</v>
      </c>
    </row>
    <row r="38" spans="2:2" x14ac:dyDescent="0.2">
      <c r="B38" t="s">
        <v>1081</v>
      </c>
    </row>
    <row r="39" spans="2:2" x14ac:dyDescent="0.2">
      <c r="B39" t="s">
        <v>1082</v>
      </c>
    </row>
    <row r="40" spans="2:2" x14ac:dyDescent="0.2">
      <c r="B40" t="s">
        <v>1083</v>
      </c>
    </row>
    <row r="42" spans="2:2" x14ac:dyDescent="0.2">
      <c r="B42" s="4" t="s">
        <v>1084</v>
      </c>
    </row>
    <row r="43" spans="2:2" x14ac:dyDescent="0.2">
      <c r="B43" t="s">
        <v>1085</v>
      </c>
    </row>
    <row r="44" spans="2:2" x14ac:dyDescent="0.2">
      <c r="B44" t="s">
        <v>1086</v>
      </c>
    </row>
    <row r="45" spans="2:2" x14ac:dyDescent="0.2">
      <c r="B45" t="s">
        <v>1087</v>
      </c>
    </row>
    <row r="46" spans="2:2" x14ac:dyDescent="0.2">
      <c r="B46" t="s">
        <v>1088</v>
      </c>
    </row>
    <row r="48" spans="2:2" x14ac:dyDescent="0.2">
      <c r="B48" s="4" t="s">
        <v>1089</v>
      </c>
    </row>
    <row r="49" spans="2:2" x14ac:dyDescent="0.2">
      <c r="B49" t="s">
        <v>1090</v>
      </c>
    </row>
    <row r="50" spans="2:2" x14ac:dyDescent="0.2">
      <c r="B50" t="s">
        <v>1091</v>
      </c>
    </row>
    <row r="51" spans="2:2" x14ac:dyDescent="0.2">
      <c r="B51" t="s">
        <v>1092</v>
      </c>
    </row>
    <row r="52" spans="2:2" x14ac:dyDescent="0.2">
      <c r="B52" t="s">
        <v>1093</v>
      </c>
    </row>
    <row r="53" spans="2:2" x14ac:dyDescent="0.2">
      <c r="B53" t="s">
        <v>1094</v>
      </c>
    </row>
    <row r="54" spans="2:2" x14ac:dyDescent="0.2">
      <c r="B54" t="s">
        <v>1095</v>
      </c>
    </row>
    <row r="55" spans="2:2" x14ac:dyDescent="0.2">
      <c r="B55" t="s">
        <v>1096</v>
      </c>
    </row>
    <row r="56" spans="2:2" x14ac:dyDescent="0.2">
      <c r="B56" t="s">
        <v>1097</v>
      </c>
    </row>
    <row r="58" spans="2:2" x14ac:dyDescent="0.2">
      <c r="B58" s="4" t="s">
        <v>1098</v>
      </c>
    </row>
    <row r="59" spans="2:2" x14ac:dyDescent="0.2">
      <c r="B59" t="s">
        <v>1099</v>
      </c>
    </row>
    <row r="60" spans="2:2" x14ac:dyDescent="0.2">
      <c r="B60" t="s">
        <v>1100</v>
      </c>
    </row>
    <row r="61" spans="2:2" x14ac:dyDescent="0.2">
      <c r="B61" t="s">
        <v>1101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- Data</vt:lpstr>
      <vt:lpstr>summary</vt:lpstr>
      <vt:lpstr>Business 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ria maitra</cp:lastModifiedBy>
  <dcterms:created xsi:type="dcterms:W3CDTF">2025-12-23T14:28:25Z</dcterms:created>
  <dcterms:modified xsi:type="dcterms:W3CDTF">2026-01-26T10:01:37Z</dcterms:modified>
</cp:coreProperties>
</file>